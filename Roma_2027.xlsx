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9F757905-FD32-4610-A4A1-2F9ADAA9D5CF}" xr6:coauthVersionLast="47" xr6:coauthVersionMax="47" xr10:uidLastSave="{00000000-0000-0000-0000-000000000000}"/>
  <bookViews>
    <workbookView xWindow="-108" yWindow="-108" windowWidth="23256" windowHeight="12576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golose'!$A$7:$Q$497</definedName>
    <definedName name="_xlnm.Print_Area" localSheetId="0">'Tavole e pause golose'!$D$7:$I$179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85" i="6" l="1"/>
  <c r="AE185" i="6"/>
  <c r="AF185" i="6"/>
  <c r="AG185" i="6"/>
  <c r="S185" i="6"/>
  <c r="T185" i="6"/>
  <c r="U185" i="6"/>
  <c r="V185" i="6"/>
  <c r="W185" i="6"/>
  <c r="X185" i="6"/>
  <c r="Y185" i="6"/>
  <c r="Z185" i="6"/>
  <c r="AA185" i="6"/>
  <c r="AB185" i="6"/>
  <c r="AH185" i="6"/>
  <c r="AI185" i="6"/>
  <c r="AD151" i="6"/>
  <c r="AE151" i="6"/>
  <c r="AF151" i="6"/>
  <c r="AG151" i="6"/>
  <c r="S151" i="6"/>
  <c r="AH151" i="6"/>
  <c r="AI151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S238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AD294" i="6"/>
  <c r="AE294" i="6"/>
  <c r="AF294" i="6"/>
  <c r="AG294" i="6"/>
  <c r="AH294" i="6"/>
  <c r="AI294" i="6"/>
  <c r="AD295" i="6"/>
  <c r="AE295" i="6"/>
  <c r="AF295" i="6"/>
  <c r="AG295" i="6"/>
  <c r="AH295" i="6"/>
  <c r="AI295" i="6"/>
  <c r="S291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AD411" i="6"/>
  <c r="AE411" i="6"/>
  <c r="AF411" i="6"/>
  <c r="AG411" i="6"/>
  <c r="S411" i="6"/>
  <c r="AH411" i="6"/>
  <c r="AI411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AD459" i="6"/>
  <c r="AE459" i="6"/>
  <c r="AF459" i="6"/>
  <c r="AG459" i="6"/>
  <c r="AH459" i="6"/>
  <c r="AI459" i="6"/>
  <c r="AD460" i="6"/>
  <c r="AE460" i="6"/>
  <c r="AF460" i="6"/>
  <c r="AG460" i="6"/>
  <c r="AH460" i="6"/>
  <c r="AI460" i="6"/>
  <c r="S457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S366" i="6"/>
  <c r="AI273" i="6"/>
  <c r="AH273" i="6"/>
  <c r="AG273" i="6"/>
  <c r="AF273" i="6"/>
  <c r="AE273" i="6"/>
  <c r="AD273" i="6"/>
  <c r="S273" i="6"/>
  <c r="AI272" i="6"/>
  <c r="AH272" i="6"/>
  <c r="AG272" i="6"/>
  <c r="AF272" i="6"/>
  <c r="AE272" i="6"/>
  <c r="AD272" i="6"/>
  <c r="S272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90" i="6"/>
  <c r="AE190" i="6"/>
  <c r="AF190" i="6"/>
  <c r="AD191" i="6"/>
  <c r="AE191" i="6"/>
  <c r="AF191" i="6"/>
  <c r="AD192" i="6"/>
  <c r="AE192" i="6"/>
  <c r="AF192" i="6"/>
  <c r="AD193" i="6"/>
  <c r="AE193" i="6"/>
  <c r="AF193" i="6"/>
  <c r="AD194" i="6"/>
  <c r="AE194" i="6"/>
  <c r="AF194" i="6"/>
  <c r="S192" i="6"/>
  <c r="AG192" i="6"/>
  <c r="AH192" i="6"/>
  <c r="AI192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AI495" i="6"/>
  <c r="AH495" i="6"/>
  <c r="AG495" i="6"/>
  <c r="AF495" i="6"/>
  <c r="AE495" i="6"/>
  <c r="AD495" i="6"/>
  <c r="AI494" i="6"/>
  <c r="AH494" i="6"/>
  <c r="AG494" i="6"/>
  <c r="AF494" i="6"/>
  <c r="AE494" i="6"/>
  <c r="AD494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268" i="6"/>
  <c r="AH268" i="6"/>
  <c r="AG268" i="6"/>
  <c r="AF268" i="6"/>
  <c r="AE268" i="6"/>
  <c r="AD268" i="6"/>
  <c r="AI267" i="6"/>
  <c r="AH267" i="6"/>
  <c r="AG267" i="6"/>
  <c r="AF267" i="6"/>
  <c r="AE267" i="6"/>
  <c r="AD267" i="6"/>
  <c r="S495" i="6"/>
  <c r="S494" i="6"/>
  <c r="S493" i="6"/>
  <c r="S492" i="6"/>
  <c r="S491" i="6"/>
  <c r="S490" i="6"/>
  <c r="S489" i="6"/>
  <c r="S488" i="6"/>
  <c r="AD196" i="6"/>
  <c r="AE196" i="6"/>
  <c r="AF196" i="6"/>
  <c r="AD197" i="6"/>
  <c r="AE197" i="6"/>
  <c r="AF197" i="6"/>
  <c r="S197" i="6"/>
  <c r="AG197" i="6"/>
  <c r="AH197" i="6"/>
  <c r="AI197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2" i="6"/>
  <c r="AD332" i="6"/>
  <c r="AE332" i="6"/>
  <c r="AF332" i="6"/>
  <c r="AG332" i="6"/>
  <c r="AH332" i="6"/>
  <c r="AI332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AD371" i="6"/>
  <c r="AE371" i="6"/>
  <c r="AF371" i="6"/>
  <c r="AG371" i="6"/>
  <c r="AH371" i="6"/>
  <c r="AI371" i="6"/>
  <c r="AD372" i="6"/>
  <c r="AE372" i="6"/>
  <c r="AF372" i="6"/>
  <c r="AG372" i="6"/>
  <c r="AH372" i="6"/>
  <c r="AI372" i="6"/>
  <c r="S370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AD465" i="6"/>
  <c r="AE465" i="6"/>
  <c r="AD466" i="6"/>
  <c r="AE466" i="6"/>
  <c r="S465" i="6"/>
  <c r="AF465" i="6"/>
  <c r="AG465" i="6"/>
  <c r="AH465" i="6"/>
  <c r="AI465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80" i="6"/>
  <c r="AE480" i="6"/>
  <c r="S480" i="6"/>
  <c r="AF480" i="6"/>
  <c r="AG480" i="6"/>
  <c r="AH480" i="6"/>
  <c r="AI480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G190" i="6"/>
  <c r="AH190" i="6"/>
  <c r="AI190" i="6"/>
  <c r="S191" i="6"/>
  <c r="AG191" i="6"/>
  <c r="AH191" i="6"/>
  <c r="AI191" i="6"/>
  <c r="S193" i="6"/>
  <c r="AG193" i="6"/>
  <c r="AH193" i="6"/>
  <c r="AI193" i="6"/>
  <c r="S194" i="6"/>
  <c r="AG194" i="6"/>
  <c r="AH194" i="6"/>
  <c r="AI194" i="6"/>
  <c r="S195" i="6"/>
  <c r="AD195" i="6"/>
  <c r="AE195" i="6"/>
  <c r="AF195" i="6"/>
  <c r="AG195" i="6"/>
  <c r="AH195" i="6"/>
  <c r="AI195" i="6"/>
  <c r="S196" i="6"/>
  <c r="AG196" i="6"/>
  <c r="AH196" i="6"/>
  <c r="AI196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9" i="6"/>
  <c r="S240" i="6"/>
  <c r="S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S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S293" i="6"/>
  <c r="S294" i="6"/>
  <c r="S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S367" i="6"/>
  <c r="S368" i="6"/>
  <c r="AD368" i="6"/>
  <c r="AE368" i="6"/>
  <c r="AF368" i="6"/>
  <c r="AG368" i="6"/>
  <c r="AH368" i="6"/>
  <c r="AI368" i="6"/>
  <c r="S369" i="6"/>
  <c r="S371" i="6"/>
  <c r="S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7" i="6"/>
  <c r="AD387" i="6"/>
  <c r="AE387" i="6"/>
  <c r="AF387" i="6"/>
  <c r="AG387" i="6"/>
  <c r="AH387" i="6"/>
  <c r="AI387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S459" i="6"/>
  <c r="S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2" i="6" s="1"/>
  <c r="T151" i="6" l="1"/>
  <c r="T238" i="6"/>
  <c r="T291" i="6"/>
  <c r="T85" i="6"/>
  <c r="T35" i="6"/>
  <c r="T34" i="6"/>
  <c r="T33" i="6"/>
  <c r="T32" i="6"/>
  <c r="T172" i="6"/>
  <c r="T171" i="6"/>
  <c r="T411" i="6"/>
  <c r="T391" i="6"/>
  <c r="T390" i="6"/>
  <c r="T389" i="6"/>
  <c r="T388" i="6"/>
  <c r="T162" i="6"/>
  <c r="T161" i="6"/>
  <c r="T160" i="6"/>
  <c r="T159" i="6"/>
  <c r="T158" i="6"/>
  <c r="T457" i="6"/>
  <c r="T366" i="6"/>
  <c r="T272" i="6"/>
  <c r="T273" i="6"/>
  <c r="T418" i="6"/>
  <c r="T417" i="6"/>
  <c r="T416" i="6"/>
  <c r="T415" i="6"/>
  <c r="T414" i="6"/>
  <c r="T413" i="6"/>
  <c r="T412" i="6"/>
  <c r="T74" i="6"/>
  <c r="T479" i="6"/>
  <c r="T478" i="6"/>
  <c r="T477" i="6"/>
  <c r="T476" i="6"/>
  <c r="T475" i="6"/>
  <c r="T474" i="6"/>
  <c r="T54" i="6"/>
  <c r="T53" i="6"/>
  <c r="T52" i="6"/>
  <c r="T192" i="6"/>
  <c r="T490" i="6"/>
  <c r="T495" i="6"/>
  <c r="T492" i="6"/>
  <c r="T494" i="6"/>
  <c r="T491" i="6"/>
  <c r="T493" i="6"/>
  <c r="T497" i="6"/>
  <c r="T496" i="6"/>
  <c r="T489" i="6"/>
  <c r="T488" i="6"/>
  <c r="T197" i="6"/>
  <c r="T436" i="6"/>
  <c r="T435" i="6"/>
  <c r="T434" i="6"/>
  <c r="T433" i="6"/>
  <c r="T432" i="6"/>
  <c r="T101" i="6"/>
  <c r="T100" i="6"/>
  <c r="T99" i="6"/>
  <c r="T332" i="6"/>
  <c r="T370" i="6"/>
  <c r="T89" i="6"/>
  <c r="T344" i="6"/>
  <c r="T375" i="6"/>
  <c r="T306" i="6"/>
  <c r="T193" i="6"/>
  <c r="T191" i="6"/>
  <c r="T65" i="6"/>
  <c r="T386" i="6"/>
  <c r="T385" i="6"/>
  <c r="T384" i="6"/>
  <c r="T465" i="6"/>
  <c r="T277" i="6"/>
  <c r="T246" i="6"/>
  <c r="T278" i="6"/>
  <c r="T223" i="6"/>
  <c r="T222" i="6"/>
  <c r="T362" i="6"/>
  <c r="T348" i="6"/>
  <c r="T143" i="6"/>
  <c r="T168" i="6"/>
  <c r="T106" i="6"/>
  <c r="T144" i="6"/>
  <c r="T328" i="6"/>
  <c r="T105" i="6"/>
  <c r="T96" i="6"/>
  <c r="T95" i="6"/>
  <c r="T94" i="6"/>
  <c r="T303" i="6"/>
  <c r="T247" i="6"/>
  <c r="T379" i="6"/>
  <c r="T363" i="6"/>
  <c r="T327" i="6"/>
  <c r="T299" i="6"/>
  <c r="T275" i="6"/>
  <c r="T245" i="6"/>
  <c r="T221" i="6"/>
  <c r="T189" i="6"/>
  <c r="T71" i="6"/>
  <c r="T142" i="6"/>
  <c r="T102" i="6"/>
  <c r="T383" i="6"/>
  <c r="T350" i="6"/>
  <c r="T326" i="6"/>
  <c r="T298" i="6"/>
  <c r="T274" i="6"/>
  <c r="T244" i="6"/>
  <c r="T218" i="6"/>
  <c r="T188" i="6"/>
  <c r="T134" i="6"/>
  <c r="T66" i="6"/>
  <c r="T297" i="6"/>
  <c r="T187" i="6"/>
  <c r="T213" i="6"/>
  <c r="T401" i="6"/>
  <c r="T69" i="6"/>
  <c r="T211" i="6"/>
  <c r="T372" i="6"/>
  <c r="T409" i="6"/>
  <c r="T338" i="6"/>
  <c r="T315" i="6"/>
  <c r="T292" i="6"/>
  <c r="T81" i="6"/>
  <c r="T237" i="6"/>
  <c r="T210" i="6"/>
  <c r="T92" i="6"/>
  <c r="T126" i="6"/>
  <c r="T91" i="6"/>
  <c r="T129" i="6"/>
  <c r="T240" i="6"/>
  <c r="T354" i="6"/>
  <c r="T376" i="6"/>
  <c r="T420" i="6"/>
  <c r="T259" i="6"/>
  <c r="T314" i="6"/>
  <c r="T290" i="6"/>
  <c r="T253" i="6"/>
  <c r="T234" i="6"/>
  <c r="T209" i="6"/>
  <c r="T174" i="6"/>
  <c r="T125" i="6"/>
  <c r="T49" i="6"/>
  <c r="T336" i="6"/>
  <c r="T130" i="6"/>
  <c r="T268" i="6"/>
  <c r="T337" i="6"/>
  <c r="T264" i="6"/>
  <c r="T179" i="6"/>
  <c r="T405" i="6"/>
  <c r="T313" i="6"/>
  <c r="T254" i="6"/>
  <c r="T230" i="6"/>
  <c r="T207" i="6"/>
  <c r="T166" i="6"/>
  <c r="T156" i="6"/>
  <c r="T123" i="6"/>
  <c r="T48" i="6"/>
  <c r="T271" i="6"/>
  <c r="T61" i="6"/>
  <c r="T242" i="6"/>
  <c r="T295" i="6"/>
  <c r="T177" i="6"/>
  <c r="T380" i="6"/>
  <c r="T339" i="6"/>
  <c r="T289" i="6"/>
  <c r="T257" i="6"/>
  <c r="T312" i="6"/>
  <c r="T286" i="6"/>
  <c r="T255" i="6"/>
  <c r="T229" i="6"/>
  <c r="T206" i="6"/>
  <c r="T175" i="6"/>
  <c r="T155" i="6"/>
  <c r="T122" i="6"/>
  <c r="T46" i="6"/>
  <c r="T324" i="6"/>
  <c r="T86" i="6"/>
  <c r="T393" i="6"/>
  <c r="T296" i="6"/>
  <c r="T68" i="6"/>
  <c r="T322" i="6"/>
  <c r="T128" i="6"/>
  <c r="T127" i="6"/>
  <c r="T345" i="6"/>
  <c r="T346" i="6"/>
  <c r="T356" i="6"/>
  <c r="T311" i="6"/>
  <c r="T282" i="6"/>
  <c r="T176" i="6"/>
  <c r="T228" i="6"/>
  <c r="T198" i="6"/>
  <c r="T70" i="6"/>
  <c r="T154" i="6"/>
  <c r="T118" i="6"/>
  <c r="T45" i="6"/>
  <c r="T243" i="6"/>
  <c r="T353" i="6"/>
  <c r="T183" i="6"/>
  <c r="T212" i="6"/>
  <c r="T368" i="6"/>
  <c r="T319" i="6"/>
  <c r="T239" i="6"/>
  <c r="T170" i="6"/>
  <c r="T59" i="6"/>
  <c r="T333" i="6"/>
  <c r="T310" i="6"/>
  <c r="T167" i="6"/>
  <c r="T196" i="6"/>
  <c r="T150" i="6"/>
  <c r="T402" i="6"/>
  <c r="T262" i="6"/>
  <c r="T308" i="6"/>
  <c r="T280" i="6"/>
  <c r="T178" i="6"/>
  <c r="T226" i="6"/>
  <c r="T195" i="6"/>
  <c r="T93" i="6"/>
  <c r="T146" i="6"/>
  <c r="T109" i="6"/>
  <c r="T41" i="6"/>
  <c r="T214" i="6"/>
  <c r="T323" i="6"/>
  <c r="T87" i="6"/>
  <c r="T294" i="6"/>
  <c r="T398" i="6"/>
  <c r="T261" i="6"/>
  <c r="T281" i="6"/>
  <c r="T227" i="6"/>
  <c r="T60" i="6"/>
  <c r="T114" i="6"/>
  <c r="T43" i="6"/>
  <c r="T406" i="6"/>
  <c r="T347" i="6"/>
  <c r="T263" i="6"/>
  <c r="T307" i="6"/>
  <c r="T279" i="6"/>
  <c r="T251" i="6"/>
  <c r="T225" i="6"/>
  <c r="T194" i="6"/>
  <c r="T75" i="6"/>
  <c r="T145" i="6"/>
  <c r="T107" i="6"/>
  <c r="T38" i="6"/>
  <c r="T62" i="6"/>
  <c r="T56" i="6"/>
  <c r="T141" i="6"/>
  <c r="T113" i="6"/>
  <c r="T80" i="6"/>
  <c r="T31" i="6"/>
  <c r="T205" i="6"/>
  <c r="T164" i="6"/>
  <c r="T139" i="6"/>
  <c r="T112" i="6"/>
  <c r="T64" i="6"/>
  <c r="T30" i="6"/>
  <c r="T202" i="6"/>
  <c r="T173" i="6"/>
  <c r="T163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T444" i="6"/>
  <c r="T381" i="6"/>
  <c r="T480" i="6"/>
  <c r="T394" i="6"/>
  <c r="T397" i="6"/>
  <c r="T258" i="6"/>
  <c r="T355" i="6"/>
  <c r="T325" i="6"/>
  <c r="T309" i="6"/>
  <c r="T293" i="6"/>
  <c r="T276" i="6"/>
  <c r="T256" i="6"/>
  <c r="T241" i="6"/>
  <c r="T224" i="6"/>
  <c r="T208" i="6"/>
  <c r="T190" i="6"/>
  <c r="T84" i="6"/>
  <c r="T58" i="6"/>
  <c r="T157" i="6"/>
  <c r="T140" i="6"/>
  <c r="T124" i="6"/>
  <c r="T108" i="6"/>
  <c r="T97" i="6"/>
  <c r="T44" i="6"/>
  <c r="T28" i="6"/>
  <c r="T12" i="6"/>
  <c r="T486" i="6"/>
  <c r="T410" i="6"/>
  <c r="T349" i="6"/>
  <c r="T340" i="6"/>
  <c r="T321" i="6"/>
  <c r="T305" i="6"/>
  <c r="T288" i="6"/>
  <c r="T270" i="6"/>
  <c r="T169" i="6"/>
  <c r="T236" i="6"/>
  <c r="T220" i="6"/>
  <c r="T204" i="6"/>
  <c r="T186" i="6"/>
  <c r="T98" i="6"/>
  <c r="T153" i="6"/>
  <c r="T136" i="6"/>
  <c r="T120" i="6"/>
  <c r="T104" i="6"/>
  <c r="T57" i="6"/>
  <c r="T40" i="6"/>
  <c r="T24" i="6"/>
  <c r="T10" i="6"/>
  <c r="T481" i="6"/>
  <c r="T421" i="6"/>
  <c r="T334" i="6"/>
  <c r="T260" i="6"/>
  <c r="T320" i="6"/>
  <c r="T304" i="6"/>
  <c r="T287" i="6"/>
  <c r="T269" i="6"/>
  <c r="T252" i="6"/>
  <c r="T235" i="6"/>
  <c r="T219" i="6"/>
  <c r="T203" i="6"/>
  <c r="T184" i="6"/>
  <c r="T88" i="6"/>
  <c r="T82" i="6"/>
  <c r="T152" i="6"/>
  <c r="T135" i="6"/>
  <c r="T119" i="6"/>
  <c r="T103" i="6"/>
  <c r="T73" i="6"/>
  <c r="T39" i="6"/>
  <c r="T23" i="6"/>
  <c r="T360" i="6"/>
  <c r="T400" i="6"/>
  <c r="T449" i="6"/>
  <c r="AD6" i="6"/>
  <c r="F3" i="6" s="1"/>
  <c r="T424" i="6"/>
  <c r="T422" i="6"/>
  <c r="T359" i="6"/>
  <c r="T351" i="6"/>
  <c r="T331" i="6"/>
  <c r="T318" i="6"/>
  <c r="T302" i="6"/>
  <c r="T285" i="6"/>
  <c r="T267" i="6"/>
  <c r="T250" i="6"/>
  <c r="T233" i="6"/>
  <c r="T217" i="6"/>
  <c r="T201" i="6"/>
  <c r="T182" i="6"/>
  <c r="T67" i="6"/>
  <c r="T79" i="6"/>
  <c r="T149" i="6"/>
  <c r="T133" i="6"/>
  <c r="T117" i="6"/>
  <c r="T90" i="6"/>
  <c r="T37" i="6"/>
  <c r="T21" i="6"/>
  <c r="T461" i="6"/>
  <c r="T365" i="6"/>
  <c r="T342" i="6"/>
  <c r="T343" i="6"/>
  <c r="T335" i="6"/>
  <c r="T330" i="6"/>
  <c r="T317" i="6"/>
  <c r="T301" i="6"/>
  <c r="T284" i="6"/>
  <c r="T266" i="6"/>
  <c r="T249" i="6"/>
  <c r="T232" i="6"/>
  <c r="T216" i="6"/>
  <c r="T200" i="6"/>
  <c r="T181" i="6"/>
  <c r="T63" i="6"/>
  <c r="T148" i="6"/>
  <c r="T132" i="6"/>
  <c r="T116" i="6"/>
  <c r="T36" i="6"/>
  <c r="T20" i="6"/>
  <c r="T357" i="6"/>
  <c r="T367" i="6"/>
  <c r="T361" i="6"/>
  <c r="T352" i="6"/>
  <c r="T329" i="6"/>
  <c r="T316" i="6"/>
  <c r="T300" i="6"/>
  <c r="T283" i="6"/>
  <c r="T265" i="6"/>
  <c r="T248" i="6"/>
  <c r="T231" i="6"/>
  <c r="T215" i="6"/>
  <c r="T199" i="6"/>
  <c r="T180" i="6"/>
  <c r="T78" i="6"/>
  <c r="T165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3" i="6"/>
  <c r="T456" i="6"/>
  <c r="T440" i="6"/>
  <c r="T484" i="6"/>
  <c r="T464" i="6"/>
  <c r="T447" i="6"/>
  <c r="T430" i="6"/>
  <c r="T404" i="6"/>
  <c r="T371" i="6"/>
  <c r="T471" i="6"/>
  <c r="T454" i="6"/>
  <c r="T438" i="6"/>
  <c r="T358" i="6"/>
  <c r="T482" i="6"/>
  <c r="T462" i="6"/>
  <c r="T445" i="6"/>
  <c r="T428" i="6"/>
  <c r="T408" i="6"/>
  <c r="T374" i="6"/>
  <c r="T469" i="6"/>
  <c r="T452" i="6"/>
  <c r="T426" i="6"/>
  <c r="T460" i="6"/>
  <c r="T443" i="6"/>
  <c r="T395" i="6"/>
  <c r="T378" i="6"/>
  <c r="T487" i="6"/>
  <c r="T467" i="6"/>
  <c r="T450" i="6"/>
  <c r="T458" i="6"/>
  <c r="T441" i="6"/>
  <c r="T399" i="6"/>
  <c r="T382" i="6"/>
  <c r="T364" i="6"/>
  <c r="T485" i="6"/>
  <c r="T466" i="6"/>
  <c r="T448" i="6"/>
  <c r="T431" i="6"/>
  <c r="T419" i="6"/>
  <c r="T472" i="6"/>
  <c r="T455" i="6"/>
  <c r="T439" i="6"/>
  <c r="T403" i="6"/>
  <c r="T387" i="6"/>
  <c r="T369" i="6"/>
  <c r="T483" i="6"/>
  <c r="T463" i="6"/>
  <c r="T446" i="6"/>
  <c r="T429" i="6"/>
  <c r="T470" i="6"/>
  <c r="T453" i="6"/>
  <c r="T437" i="6"/>
  <c r="T427" i="6"/>
  <c r="T423" i="6"/>
  <c r="T407" i="6"/>
  <c r="T392" i="6"/>
  <c r="T373" i="6"/>
  <c r="T425" i="6"/>
  <c r="T341" i="6"/>
  <c r="T468" i="6"/>
  <c r="T451" i="6"/>
  <c r="T396" i="6"/>
  <c r="T377" i="6"/>
  <c r="T459" i="6"/>
  <c r="U238" i="6" l="1"/>
  <c r="U151" i="6"/>
  <c r="U85" i="6"/>
  <c r="U291" i="6"/>
  <c r="U32" i="6"/>
  <c r="U33" i="6"/>
  <c r="U34" i="6"/>
  <c r="U35" i="6"/>
  <c r="U411" i="6"/>
  <c r="U171" i="6"/>
  <c r="U172" i="6"/>
  <c r="U388" i="6"/>
  <c r="U389" i="6"/>
  <c r="U390" i="6"/>
  <c r="U391" i="6"/>
  <c r="U158" i="6"/>
  <c r="U159" i="6"/>
  <c r="U160" i="6"/>
  <c r="U161" i="6"/>
  <c r="U162" i="6"/>
  <c r="U366" i="6"/>
  <c r="U457" i="6"/>
  <c r="U273" i="6"/>
  <c r="U272" i="6"/>
  <c r="U74" i="6"/>
  <c r="U412" i="6"/>
  <c r="U413" i="6"/>
  <c r="U414" i="6"/>
  <c r="U415" i="6"/>
  <c r="U416" i="6"/>
  <c r="U417" i="6"/>
  <c r="U418" i="6"/>
  <c r="U474" i="6"/>
  <c r="U475" i="6"/>
  <c r="U476" i="6"/>
  <c r="U477" i="6"/>
  <c r="U478" i="6"/>
  <c r="U479" i="6"/>
  <c r="U192" i="6"/>
  <c r="U52" i="6"/>
  <c r="U53" i="6"/>
  <c r="U54" i="6"/>
  <c r="U490" i="6"/>
  <c r="U496" i="6"/>
  <c r="U497" i="6"/>
  <c r="U493" i="6"/>
  <c r="U491" i="6"/>
  <c r="U494" i="6"/>
  <c r="U492" i="6"/>
  <c r="U495" i="6"/>
  <c r="U197" i="6"/>
  <c r="U488" i="6"/>
  <c r="U489" i="6"/>
  <c r="U432" i="6"/>
  <c r="U433" i="6"/>
  <c r="U434" i="6"/>
  <c r="U435" i="6"/>
  <c r="U436" i="6"/>
  <c r="U332" i="6"/>
  <c r="U99" i="6"/>
  <c r="U100" i="6"/>
  <c r="U101" i="6"/>
  <c r="U13" i="6"/>
  <c r="U370" i="6"/>
  <c r="U343" i="6"/>
  <c r="U465" i="6"/>
  <c r="U384" i="6"/>
  <c r="U385" i="6"/>
  <c r="U386" i="6"/>
  <c r="U94" i="6"/>
  <c r="U95" i="6"/>
  <c r="U96" i="6"/>
  <c r="U145" i="6"/>
  <c r="U110" i="6"/>
  <c r="U300" i="6"/>
  <c r="U187" i="6"/>
  <c r="U463" i="6"/>
  <c r="U426" i="6"/>
  <c r="U467" i="6"/>
  <c r="U301" i="6"/>
  <c r="U226" i="6"/>
  <c r="U236" i="6"/>
  <c r="U319" i="6"/>
  <c r="U177" i="6"/>
  <c r="U134" i="6"/>
  <c r="U282" i="6"/>
  <c r="U149" i="6"/>
  <c r="U285" i="6"/>
  <c r="U103" i="6"/>
  <c r="U341" i="6"/>
  <c r="U329" i="6"/>
  <c r="U78" i="6"/>
  <c r="U305" i="6"/>
  <c r="U166" i="6"/>
  <c r="U394" i="6"/>
  <c r="U111" i="6"/>
  <c r="U108" i="6"/>
  <c r="U340" i="6"/>
  <c r="U179" i="6"/>
  <c r="U212" i="6"/>
  <c r="U121" i="6"/>
  <c r="U334" i="6"/>
  <c r="U206" i="6"/>
  <c r="U303" i="6"/>
  <c r="U182" i="6"/>
  <c r="U45" i="6"/>
  <c r="U22" i="6"/>
  <c r="U194" i="6"/>
  <c r="U36" i="6"/>
  <c r="U24" i="6"/>
  <c r="U307" i="6"/>
  <c r="U124" i="6"/>
  <c r="U233" i="6"/>
  <c r="U209" i="6"/>
  <c r="U482" i="6"/>
  <c r="U487" i="6"/>
  <c r="U470" i="6"/>
  <c r="U20" i="6"/>
  <c r="U454" i="6"/>
  <c r="U331" i="6"/>
  <c r="U71" i="6"/>
  <c r="U469" i="6"/>
  <c r="U461" i="6"/>
  <c r="U242" i="6"/>
  <c r="U155" i="6"/>
  <c r="U323" i="6"/>
  <c r="U246" i="6"/>
  <c r="U235" i="6"/>
  <c r="U113" i="6"/>
  <c r="U205" i="6"/>
  <c r="U237" i="6"/>
  <c r="V7" i="6"/>
  <c r="U27" i="6"/>
  <c r="U472" i="6"/>
  <c r="U253" i="6"/>
  <c r="U452" i="6"/>
  <c r="U21" i="6"/>
  <c r="U112" i="6"/>
  <c r="U19" i="6"/>
  <c r="U69" i="6"/>
  <c r="U423" i="6"/>
  <c r="U140" i="6"/>
  <c r="U351" i="6"/>
  <c r="U221" i="6"/>
  <c r="U359" i="6"/>
  <c r="U79" i="6"/>
  <c r="U274" i="6"/>
  <c r="U211" i="6"/>
  <c r="U290" i="6"/>
  <c r="U460" i="6"/>
  <c r="U471" i="6"/>
  <c r="U57" i="6"/>
  <c r="U107" i="6"/>
  <c r="U73" i="6"/>
  <c r="U142" i="6"/>
  <c r="U133" i="6"/>
  <c r="U135" i="6"/>
  <c r="U342" i="6"/>
  <c r="U180" i="6"/>
  <c r="U278" i="6"/>
  <c r="U449" i="6"/>
  <c r="U9" i="6"/>
  <c r="U68" i="6"/>
  <c r="U176" i="6"/>
  <c r="U154" i="6"/>
  <c r="U109" i="6"/>
  <c r="U11" i="6"/>
  <c r="U297" i="6"/>
  <c r="U360" i="6"/>
  <c r="U196" i="6"/>
  <c r="U447" i="6"/>
  <c r="U199" i="6"/>
  <c r="U77" i="6"/>
  <c r="U299" i="6"/>
  <c r="U440" i="6"/>
  <c r="U281" i="6"/>
  <c r="U184" i="6"/>
  <c r="U30" i="6"/>
  <c r="U453" i="6"/>
  <c r="U441" i="6"/>
  <c r="U483" i="6"/>
  <c r="U427" i="6"/>
  <c r="U144" i="6"/>
  <c r="U443" i="6"/>
  <c r="U10" i="6"/>
  <c r="U114" i="6"/>
  <c r="U23" i="6"/>
  <c r="U424" i="6"/>
  <c r="U481" i="6"/>
  <c r="U105" i="6"/>
  <c r="U280" i="6"/>
  <c r="U76" i="6"/>
  <c r="U244" i="6"/>
  <c r="U163" i="6"/>
  <c r="U421" i="6"/>
  <c r="U86" i="6"/>
  <c r="U137" i="6"/>
  <c r="U431" i="6"/>
  <c r="U120" i="6"/>
  <c r="U152" i="6"/>
  <c r="U25" i="6"/>
  <c r="U313" i="6"/>
  <c r="U428" i="6"/>
  <c r="U213" i="6"/>
  <c r="U215" i="6"/>
  <c r="U318" i="6"/>
  <c r="U181" i="6"/>
  <c r="U321" i="6"/>
  <c r="U214" i="6"/>
  <c r="U59" i="6"/>
  <c r="U485" i="6"/>
  <c r="U126" i="6"/>
  <c r="U62" i="6"/>
  <c r="U8" i="6"/>
  <c r="U444" i="6"/>
  <c r="U361" i="6"/>
  <c r="U40" i="6"/>
  <c r="U227" i="6"/>
  <c r="U459" i="6"/>
  <c r="U89" i="6"/>
  <c r="U87" i="6"/>
  <c r="U430" i="6"/>
  <c r="U51" i="6"/>
  <c r="U91" i="6"/>
  <c r="U422" i="6"/>
  <c r="U104" i="6"/>
  <c r="U429" i="6"/>
  <c r="U260" i="6"/>
  <c r="U190" i="6"/>
  <c r="U173" i="6"/>
  <c r="U41" i="6"/>
  <c r="U168" i="6"/>
  <c r="U229" i="6"/>
  <c r="U464" i="6"/>
  <c r="U231" i="6"/>
  <c r="U262" i="6"/>
  <c r="U207" i="6"/>
  <c r="U376" i="6"/>
  <c r="U178" i="6"/>
  <c r="U419" i="6"/>
  <c r="U252" i="6"/>
  <c r="U82" i="6"/>
  <c r="U438" i="6"/>
  <c r="U458" i="6"/>
  <c r="U43" i="6"/>
  <c r="U38" i="6"/>
  <c r="U60" i="6"/>
  <c r="U55" i="6"/>
  <c r="U167" i="6"/>
  <c r="U486" i="6"/>
  <c r="U468" i="6"/>
  <c r="U129" i="6"/>
  <c r="U446" i="6"/>
  <c r="U224" i="6"/>
  <c r="U450" i="6"/>
  <c r="U193" i="6"/>
  <c r="U75" i="6"/>
  <c r="U484" i="6"/>
  <c r="U266" i="6"/>
  <c r="U407" i="6"/>
  <c r="U240" i="6"/>
  <c r="U283" i="6"/>
  <c r="U16" i="6"/>
  <c r="U216" i="6"/>
  <c r="U455" i="6"/>
  <c r="U29" i="6"/>
  <c r="U169" i="6"/>
  <c r="U442" i="6"/>
  <c r="U97" i="6"/>
  <c r="U451" i="6"/>
  <c r="U18" i="6"/>
  <c r="U448" i="6"/>
  <c r="U208" i="6"/>
  <c r="U136" i="6"/>
  <c r="U58" i="6"/>
  <c r="U445" i="6"/>
  <c r="U358" i="6"/>
  <c r="U256" i="6"/>
  <c r="U352" i="6"/>
  <c r="U234" i="6"/>
  <c r="U15" i="6"/>
  <c r="U437" i="6"/>
  <c r="U156" i="6"/>
  <c r="U439" i="6"/>
  <c r="U466" i="6"/>
  <c r="U130" i="6"/>
  <c r="U210" i="6"/>
  <c r="U92" i="6"/>
  <c r="U462" i="6"/>
  <c r="U284" i="6"/>
  <c r="U80" i="6"/>
  <c r="U279" i="6"/>
  <c r="U410" i="6"/>
  <c r="U186" i="6"/>
  <c r="U49" i="6"/>
  <c r="U90" i="6"/>
  <c r="U119" i="6"/>
  <c r="U304" i="6"/>
  <c r="U378" i="6"/>
  <c r="U122" i="6"/>
  <c r="U131" i="6"/>
  <c r="U302" i="6"/>
  <c r="U322" i="6"/>
  <c r="U396" i="6"/>
  <c r="U324" i="6"/>
  <c r="U195" i="6"/>
  <c r="U374" i="6"/>
  <c r="U320" i="6"/>
  <c r="U357" i="6"/>
  <c r="U425" i="6"/>
  <c r="U289" i="6"/>
  <c r="U373" i="6"/>
  <c r="U250" i="6"/>
  <c r="U392" i="6"/>
  <c r="U261" i="6"/>
  <c r="U350" i="6"/>
  <c r="U456" i="6"/>
  <c r="U473" i="6"/>
  <c r="U310" i="6"/>
  <c r="U408" i="6"/>
  <c r="U335" i="6"/>
  <c r="U377" i="6"/>
  <c r="U328" i="6"/>
  <c r="U44" i="6"/>
  <c r="U346" i="6"/>
  <c r="U393" i="6"/>
  <c r="U395" i="6"/>
  <c r="U355" i="6"/>
  <c r="U42" i="6"/>
  <c r="U333" i="6"/>
  <c r="U72" i="6"/>
  <c r="U375" i="6"/>
  <c r="U47" i="6"/>
  <c r="U14" i="6"/>
  <c r="U365" i="6"/>
  <c r="U70" i="6"/>
  <c r="U12" i="6"/>
  <c r="U106" i="6"/>
  <c r="U409" i="6"/>
  <c r="U183" i="6"/>
  <c r="U48" i="6"/>
  <c r="U344" i="6"/>
  <c r="U382" i="6"/>
  <c r="U174" i="6"/>
  <c r="U46" i="6"/>
  <c r="U248" i="6"/>
  <c r="U81" i="6"/>
  <c r="U115" i="6"/>
  <c r="U400" i="6"/>
  <c r="U345" i="6"/>
  <c r="U123" i="6"/>
  <c r="U217" i="6"/>
  <c r="U255" i="6"/>
  <c r="U294" i="6"/>
  <c r="U239" i="6"/>
  <c r="U363" i="6"/>
  <c r="U258" i="6"/>
  <c r="U218" i="6"/>
  <c r="U247" i="6"/>
  <c r="U50" i="6"/>
  <c r="U165" i="6"/>
  <c r="U222" i="6"/>
  <c r="U265" i="6"/>
  <c r="U298" i="6"/>
  <c r="U251" i="6"/>
  <c r="U368" i="6"/>
  <c r="U399" i="6"/>
  <c r="U116" i="6"/>
  <c r="U402" i="6"/>
  <c r="U201" i="6"/>
  <c r="U98" i="6"/>
  <c r="U147" i="6"/>
  <c r="U480" i="6"/>
  <c r="U102" i="6"/>
  <c r="U170" i="6"/>
  <c r="U223" i="6"/>
  <c r="U267" i="6"/>
  <c r="U306" i="6"/>
  <c r="U263" i="6"/>
  <c r="U369" i="6"/>
  <c r="U401" i="6"/>
  <c r="U128" i="6"/>
  <c r="U269" i="6"/>
  <c r="U125" i="6"/>
  <c r="U83" i="6"/>
  <c r="U317" i="6"/>
  <c r="U93" i="6"/>
  <c r="U327" i="6"/>
  <c r="U254" i="6"/>
  <c r="U347" i="6"/>
  <c r="U39" i="6"/>
  <c r="U296" i="6"/>
  <c r="U56" i="6"/>
  <c r="U225" i="6"/>
  <c r="U308" i="6"/>
  <c r="U371" i="6"/>
  <c r="U287" i="6"/>
  <c r="U293" i="6"/>
  <c r="U219" i="6"/>
  <c r="U61" i="6"/>
  <c r="U117" i="6"/>
  <c r="U153" i="6"/>
  <c r="U228" i="6"/>
  <c r="U270" i="6"/>
  <c r="U309" i="6"/>
  <c r="U356" i="6"/>
  <c r="U403" i="6"/>
  <c r="U148" i="6"/>
  <c r="U362" i="6"/>
  <c r="U398" i="6"/>
  <c r="U63" i="6"/>
  <c r="U118" i="6"/>
  <c r="U188" i="6"/>
  <c r="U230" i="6"/>
  <c r="U271" i="6"/>
  <c r="U311" i="6"/>
  <c r="U330" i="6"/>
  <c r="U372" i="6"/>
  <c r="U404" i="6"/>
  <c r="U232" i="6"/>
  <c r="U339" i="6"/>
  <c r="U379" i="6"/>
  <c r="U138" i="6"/>
  <c r="U259" i="6"/>
  <c r="U37" i="6"/>
  <c r="U64" i="6"/>
  <c r="U127" i="6"/>
  <c r="U189" i="6"/>
  <c r="U275" i="6"/>
  <c r="U312" i="6"/>
  <c r="U405" i="6"/>
  <c r="U276" i="6"/>
  <c r="U380" i="6"/>
  <c r="U139" i="6"/>
  <c r="U65" i="6"/>
  <c r="U143" i="6"/>
  <c r="U191" i="6"/>
  <c r="U314" i="6"/>
  <c r="U406" i="6"/>
  <c r="U141" i="6"/>
  <c r="U249" i="6"/>
  <c r="U367" i="6"/>
  <c r="U17" i="6"/>
  <c r="U66" i="6"/>
  <c r="U175" i="6"/>
  <c r="U198" i="6"/>
  <c r="U146" i="6"/>
  <c r="U277" i="6"/>
  <c r="U315" i="6"/>
  <c r="U338" i="6"/>
  <c r="U381" i="6"/>
  <c r="U286" i="6"/>
  <c r="U316" i="6"/>
  <c r="U383" i="6"/>
  <c r="U204" i="6"/>
  <c r="U397" i="6"/>
  <c r="U26" i="6"/>
  <c r="U67" i="6"/>
  <c r="U132" i="6"/>
  <c r="U200" i="6"/>
  <c r="U164" i="6"/>
  <c r="U354" i="6"/>
  <c r="U28" i="6"/>
  <c r="U337" i="6"/>
  <c r="U349" i="6"/>
  <c r="U295" i="6"/>
  <c r="U31" i="6"/>
  <c r="U84" i="6"/>
  <c r="U157" i="6"/>
  <c r="U202" i="6"/>
  <c r="U241" i="6"/>
  <c r="U288" i="6"/>
  <c r="U325" i="6"/>
  <c r="U353" i="6"/>
  <c r="U420" i="6"/>
  <c r="U243" i="6"/>
  <c r="U264" i="6"/>
  <c r="U88" i="6"/>
  <c r="U150" i="6"/>
  <c r="U203" i="6"/>
  <c r="U245" i="6"/>
  <c r="U292" i="6"/>
  <c r="U326" i="6"/>
  <c r="U336" i="6"/>
  <c r="U387" i="6"/>
  <c r="U348" i="6"/>
  <c r="U364" i="6"/>
  <c r="U220" i="6"/>
  <c r="U257" i="6"/>
  <c r="U268" i="6"/>
  <c r="F5" i="6"/>
  <c r="G5" i="6"/>
  <c r="E5" i="6"/>
  <c r="H4" i="6"/>
  <c r="H3" i="6"/>
  <c r="T5" i="6"/>
  <c r="V238" i="6" l="1"/>
  <c r="V151" i="6"/>
  <c r="V85" i="6"/>
  <c r="V291" i="6"/>
  <c r="V32" i="6"/>
  <c r="V33" i="6"/>
  <c r="V34" i="6"/>
  <c r="V35" i="6"/>
  <c r="V411" i="6"/>
  <c r="V171" i="6"/>
  <c r="V172" i="6"/>
  <c r="V388" i="6"/>
  <c r="V389" i="6"/>
  <c r="V390" i="6"/>
  <c r="V391" i="6"/>
  <c r="V158" i="6"/>
  <c r="V159" i="6"/>
  <c r="V160" i="6"/>
  <c r="V161" i="6"/>
  <c r="V162" i="6"/>
  <c r="V366" i="6"/>
  <c r="V457" i="6"/>
  <c r="V272" i="6"/>
  <c r="V273" i="6"/>
  <c r="V74" i="6"/>
  <c r="V412" i="6"/>
  <c r="V413" i="6"/>
  <c r="V414" i="6"/>
  <c r="V415" i="6"/>
  <c r="V416" i="6"/>
  <c r="V417" i="6"/>
  <c r="V418" i="6"/>
  <c r="V320" i="6"/>
  <c r="V474" i="6"/>
  <c r="V475" i="6"/>
  <c r="V476" i="6"/>
  <c r="V477" i="6"/>
  <c r="V478" i="6"/>
  <c r="V479" i="6"/>
  <c r="V52" i="6"/>
  <c r="V53" i="6"/>
  <c r="V54" i="6"/>
  <c r="V142" i="6"/>
  <c r="V192" i="6"/>
  <c r="V480" i="6"/>
  <c r="V490" i="6"/>
  <c r="V496" i="6"/>
  <c r="V497" i="6"/>
  <c r="V493" i="6"/>
  <c r="V491" i="6"/>
  <c r="V494" i="6"/>
  <c r="V492" i="6"/>
  <c r="V495" i="6"/>
  <c r="V387" i="6"/>
  <c r="V194" i="6"/>
  <c r="V362" i="6"/>
  <c r="V244" i="6"/>
  <c r="V197" i="6"/>
  <c r="V488" i="6"/>
  <c r="V489" i="6"/>
  <c r="V432" i="6"/>
  <c r="V433" i="6"/>
  <c r="V434" i="6"/>
  <c r="V435" i="6"/>
  <c r="V436" i="6"/>
  <c r="V99" i="6"/>
  <c r="V100" i="6"/>
  <c r="V101" i="6"/>
  <c r="V370" i="6"/>
  <c r="V332" i="6"/>
  <c r="V97" i="6"/>
  <c r="V317" i="6"/>
  <c r="V392" i="6"/>
  <c r="V38" i="6"/>
  <c r="V268" i="6"/>
  <c r="V130" i="6"/>
  <c r="V325" i="6"/>
  <c r="V400" i="6"/>
  <c r="V13" i="6"/>
  <c r="V68" i="6"/>
  <c r="V138" i="6"/>
  <c r="V359" i="6"/>
  <c r="V170" i="6"/>
  <c r="V290" i="6"/>
  <c r="V296" i="6"/>
  <c r="V232" i="6"/>
  <c r="V329" i="6"/>
  <c r="V28" i="6"/>
  <c r="V18" i="6"/>
  <c r="V239" i="6"/>
  <c r="V448" i="6"/>
  <c r="V187" i="6"/>
  <c r="V465" i="6"/>
  <c r="V384" i="6"/>
  <c r="V385" i="6"/>
  <c r="V386" i="6"/>
  <c r="V94" i="6"/>
  <c r="V95" i="6"/>
  <c r="V96" i="6"/>
  <c r="V156" i="6"/>
  <c r="V428" i="6"/>
  <c r="V209" i="6"/>
  <c r="V482" i="6"/>
  <c r="V257" i="6"/>
  <c r="V73" i="6"/>
  <c r="V365" i="6"/>
  <c r="V106" i="6"/>
  <c r="V398" i="6"/>
  <c r="V136" i="6"/>
  <c r="V258" i="6"/>
  <c r="V206" i="6"/>
  <c r="V260" i="6"/>
  <c r="V56" i="6"/>
  <c r="V287" i="6"/>
  <c r="V12" i="6"/>
  <c r="V235" i="6"/>
  <c r="V352" i="6"/>
  <c r="V51" i="6"/>
  <c r="V284" i="6"/>
  <c r="V460" i="6"/>
  <c r="V200" i="6"/>
  <c r="V299" i="6"/>
  <c r="V255" i="6"/>
  <c r="V401" i="6"/>
  <c r="V126" i="6"/>
  <c r="V450" i="6"/>
  <c r="V364" i="6"/>
  <c r="V65" i="6"/>
  <c r="V467" i="6"/>
  <c r="V355" i="6"/>
  <c r="V380" i="6"/>
  <c r="V120" i="6"/>
  <c r="V240" i="6"/>
  <c r="V449" i="6"/>
  <c r="V188" i="6"/>
  <c r="V149" i="6"/>
  <c r="V269" i="6"/>
  <c r="V483" i="6"/>
  <c r="V219" i="6"/>
  <c r="V333" i="6"/>
  <c r="V19" i="6"/>
  <c r="V266" i="6"/>
  <c r="V443" i="6"/>
  <c r="V181" i="6"/>
  <c r="V282" i="6"/>
  <c r="V403" i="6"/>
  <c r="V141" i="6"/>
  <c r="V245" i="6"/>
  <c r="V274" i="6"/>
  <c r="V462" i="6"/>
  <c r="V309" i="6"/>
  <c r="V487" i="6"/>
  <c r="V9" i="6"/>
  <c r="V253" i="6"/>
  <c r="V90" i="6"/>
  <c r="V438" i="6"/>
  <c r="V326" i="6"/>
  <c r="V66" i="6"/>
  <c r="V363" i="6"/>
  <c r="V104" i="6"/>
  <c r="V223" i="6"/>
  <c r="V175" i="6"/>
  <c r="V395" i="6"/>
  <c r="V133" i="6"/>
  <c r="V81" i="6"/>
  <c r="V463" i="6"/>
  <c r="V203" i="6"/>
  <c r="V318" i="6"/>
  <c r="V80" i="6"/>
  <c r="V250" i="6"/>
  <c r="W7" i="6"/>
  <c r="V93" i="6"/>
  <c r="V264" i="6"/>
  <c r="V125" i="6"/>
  <c r="V228" i="6"/>
  <c r="V486" i="6"/>
  <c r="V214" i="6"/>
  <c r="V454" i="6"/>
  <c r="V371" i="6"/>
  <c r="V471" i="6"/>
  <c r="V422" i="6"/>
  <c r="V310" i="6"/>
  <c r="V67" i="6"/>
  <c r="V356" i="6"/>
  <c r="V31" i="6"/>
  <c r="V207" i="6"/>
  <c r="V345" i="6"/>
  <c r="V82" i="6"/>
  <c r="V377" i="6"/>
  <c r="V117" i="6"/>
  <c r="V236" i="6"/>
  <c r="V446" i="6"/>
  <c r="V184" i="6"/>
  <c r="V302" i="6"/>
  <c r="V40" i="6"/>
  <c r="V233" i="6"/>
  <c r="V425" i="6"/>
  <c r="V248" i="6"/>
  <c r="V369" i="6"/>
  <c r="V109" i="6"/>
  <c r="V212" i="6"/>
  <c r="V458" i="6"/>
  <c r="V259" i="6"/>
  <c r="V176" i="6"/>
  <c r="V374" i="6"/>
  <c r="V315" i="6"/>
  <c r="V139" i="6"/>
  <c r="V10" i="6"/>
  <c r="V278" i="6"/>
  <c r="V43" i="6"/>
  <c r="V440" i="6"/>
  <c r="V327" i="6"/>
  <c r="V294" i="6"/>
  <c r="V24" i="6"/>
  <c r="V324" i="6"/>
  <c r="V87" i="6"/>
  <c r="V189" i="6"/>
  <c r="V150" i="6"/>
  <c r="V350" i="6"/>
  <c r="V79" i="6"/>
  <c r="V220" i="6"/>
  <c r="V429" i="6"/>
  <c r="V92" i="6"/>
  <c r="V285" i="6"/>
  <c r="V481" i="6"/>
  <c r="V217" i="6"/>
  <c r="V406" i="6"/>
  <c r="V144" i="6"/>
  <c r="V231" i="6"/>
  <c r="V354" i="6"/>
  <c r="V41" i="6"/>
  <c r="V195" i="6"/>
  <c r="V77" i="6"/>
  <c r="V314" i="6"/>
  <c r="V456" i="6"/>
  <c r="V383" i="6"/>
  <c r="V191" i="6"/>
  <c r="V473" i="6"/>
  <c r="V424" i="6"/>
  <c r="V242" i="6"/>
  <c r="V277" i="6"/>
  <c r="V105" i="6"/>
  <c r="V308" i="6"/>
  <c r="V174" i="6"/>
  <c r="V396" i="6"/>
  <c r="V134" i="6"/>
  <c r="V341" i="6"/>
  <c r="V25" i="6"/>
  <c r="V204" i="6"/>
  <c r="V347" i="6"/>
  <c r="V165" i="6"/>
  <c r="V267" i="6"/>
  <c r="V461" i="6"/>
  <c r="V201" i="6"/>
  <c r="V128" i="6"/>
  <c r="V215" i="6"/>
  <c r="V263" i="6"/>
  <c r="V98" i="6"/>
  <c r="V60" i="6"/>
  <c r="V76" i="6"/>
  <c r="V227" i="6"/>
  <c r="V361" i="6"/>
  <c r="V293" i="6"/>
  <c r="V110" i="6"/>
  <c r="V442" i="6"/>
  <c r="V339" i="6"/>
  <c r="V169" i="6"/>
  <c r="V292" i="6"/>
  <c r="V20" i="6"/>
  <c r="V378" i="6"/>
  <c r="V118" i="6"/>
  <c r="V321" i="6"/>
  <c r="V59" i="6"/>
  <c r="V186" i="6"/>
  <c r="V409" i="6"/>
  <c r="V147" i="6"/>
  <c r="V251" i="6"/>
  <c r="V444" i="6"/>
  <c r="V182" i="6"/>
  <c r="V372" i="6"/>
  <c r="V112" i="6"/>
  <c r="V199" i="6"/>
  <c r="V313" i="6"/>
  <c r="V30" i="6"/>
  <c r="V71" i="6"/>
  <c r="V154" i="6"/>
  <c r="V399" i="6"/>
  <c r="V198" i="6"/>
  <c r="V247" i="6"/>
  <c r="V70" i="6"/>
  <c r="V243" i="6"/>
  <c r="V61" i="6"/>
  <c r="V275" i="6"/>
  <c r="V152" i="6"/>
  <c r="V334" i="6"/>
  <c r="V102" i="6"/>
  <c r="V305" i="6"/>
  <c r="V46" i="6"/>
  <c r="V167" i="6"/>
  <c r="V393" i="6"/>
  <c r="V131" i="6"/>
  <c r="V234" i="6"/>
  <c r="V343" i="6"/>
  <c r="V62" i="6"/>
  <c r="V261" i="6"/>
  <c r="V47" i="6"/>
  <c r="V180" i="6"/>
  <c r="V297" i="6"/>
  <c r="V421" i="6"/>
  <c r="V157" i="6"/>
  <c r="V26" i="6"/>
  <c r="V298" i="6"/>
  <c r="V123" i="6"/>
  <c r="V447" i="6"/>
  <c r="V337" i="6"/>
  <c r="V58" i="6"/>
  <c r="V427" i="6"/>
  <c r="V226" i="6"/>
  <c r="V55" i="6"/>
  <c r="V178" i="6"/>
  <c r="V397" i="6"/>
  <c r="V135" i="6"/>
  <c r="V357" i="6"/>
  <c r="V27" i="6"/>
  <c r="V288" i="6"/>
  <c r="V14" i="6"/>
  <c r="V166" i="6"/>
  <c r="V375" i="6"/>
  <c r="V115" i="6"/>
  <c r="V218" i="6"/>
  <c r="V348" i="6"/>
  <c r="V163" i="6"/>
  <c r="V330" i="6"/>
  <c r="V15" i="6"/>
  <c r="V75" i="6"/>
  <c r="V280" i="6"/>
  <c r="V402" i="6"/>
  <c r="V140" i="6"/>
  <c r="V459" i="6"/>
  <c r="V211" i="6"/>
  <c r="V484" i="6"/>
  <c r="V11" i="6"/>
  <c r="V256" i="6"/>
  <c r="V72" i="6"/>
  <c r="V470" i="6"/>
  <c r="V210" i="6"/>
  <c r="V22" i="6"/>
  <c r="V241" i="6"/>
  <c r="V379" i="6"/>
  <c r="V119" i="6"/>
  <c r="V322" i="6"/>
  <c r="V83" i="6"/>
  <c r="V270" i="6"/>
  <c r="V410" i="6"/>
  <c r="V148" i="6"/>
  <c r="V335" i="6"/>
  <c r="V202" i="6"/>
  <c r="V407" i="6"/>
  <c r="V145" i="6"/>
  <c r="V316" i="6"/>
  <c r="V64" i="6"/>
  <c r="V254" i="6"/>
  <c r="V124" i="6"/>
  <c r="V295" i="6"/>
  <c r="V86" i="6"/>
  <c r="V153" i="6"/>
  <c r="V304" i="6"/>
  <c r="V114" i="6"/>
  <c r="V57" i="6"/>
  <c r="V430" i="6"/>
  <c r="V137" i="6"/>
  <c r="V452" i="6"/>
  <c r="V367" i="6"/>
  <c r="V469" i="6"/>
  <c r="V453" i="6"/>
  <c r="V193" i="6"/>
  <c r="V426" i="6"/>
  <c r="V224" i="6"/>
  <c r="V349" i="6"/>
  <c r="V103" i="6"/>
  <c r="V306" i="6"/>
  <c r="V48" i="6"/>
  <c r="V168" i="6"/>
  <c r="V394" i="6"/>
  <c r="V132" i="6"/>
  <c r="V342" i="6"/>
  <c r="V21" i="6"/>
  <c r="V183" i="6"/>
  <c r="V129" i="6"/>
  <c r="V300" i="6"/>
  <c r="V36" i="6"/>
  <c r="V143" i="6"/>
  <c r="V246" i="6"/>
  <c r="V368" i="6"/>
  <c r="V108" i="6"/>
  <c r="V230" i="6"/>
  <c r="V445" i="6"/>
  <c r="V122" i="6"/>
  <c r="V431" i="6"/>
  <c r="V252" i="6"/>
  <c r="V89" i="6"/>
  <c r="V464" i="6"/>
  <c r="V404" i="6"/>
  <c r="V360" i="6"/>
  <c r="V8" i="6"/>
  <c r="V276" i="6"/>
  <c r="V37" i="6"/>
  <c r="V439" i="6"/>
  <c r="V437" i="6"/>
  <c r="V173" i="6"/>
  <c r="V468" i="6"/>
  <c r="V208" i="6"/>
  <c r="V340" i="6"/>
  <c r="V29" i="6"/>
  <c r="V289" i="6"/>
  <c r="V16" i="6"/>
  <c r="V237" i="6"/>
  <c r="V376" i="6"/>
  <c r="V116" i="6"/>
  <c r="V319" i="6"/>
  <c r="V91" i="6"/>
  <c r="V84" i="6"/>
  <c r="V373" i="6"/>
  <c r="V113" i="6"/>
  <c r="V283" i="6"/>
  <c r="V405" i="6"/>
  <c r="V127" i="6"/>
  <c r="V229" i="6"/>
  <c r="V338" i="6"/>
  <c r="V39" i="6"/>
  <c r="V311" i="6"/>
  <c r="V455" i="6"/>
  <c r="V381" i="6"/>
  <c r="V179" i="6"/>
  <c r="V472" i="6"/>
  <c r="V423" i="6"/>
  <c r="V344" i="6"/>
  <c r="V451" i="6"/>
  <c r="V190" i="6"/>
  <c r="V323" i="6"/>
  <c r="V69" i="6"/>
  <c r="V271" i="6"/>
  <c r="V485" i="6"/>
  <c r="V221" i="6"/>
  <c r="V351" i="6"/>
  <c r="V63" i="6"/>
  <c r="V303" i="6"/>
  <c r="V42" i="6"/>
  <c r="V164" i="6"/>
  <c r="V336" i="6"/>
  <c r="V49" i="6"/>
  <c r="V265" i="6"/>
  <c r="V111" i="6"/>
  <c r="V213" i="6"/>
  <c r="V328" i="6"/>
  <c r="V121" i="6"/>
  <c r="V382" i="6"/>
  <c r="V222" i="6"/>
  <c r="V44" i="6"/>
  <c r="V301" i="6"/>
  <c r="V216" i="6"/>
  <c r="V279" i="6"/>
  <c r="V420" i="6"/>
  <c r="V225" i="6"/>
  <c r="V346" i="6"/>
  <c r="V281" i="6"/>
  <c r="V107" i="6"/>
  <c r="V441" i="6"/>
  <c r="V262" i="6"/>
  <c r="V419" i="6"/>
  <c r="V155" i="6"/>
  <c r="V78" i="6"/>
  <c r="V307" i="6"/>
  <c r="V50" i="6"/>
  <c r="V177" i="6"/>
  <c r="V466" i="6"/>
  <c r="V205" i="6"/>
  <c r="V358" i="6"/>
  <c r="V23" i="6"/>
  <c r="V286" i="6"/>
  <c r="V408" i="6"/>
  <c r="V146" i="6"/>
  <c r="V331" i="6"/>
  <c r="V17" i="6"/>
  <c r="V249" i="6"/>
  <c r="V353" i="6"/>
  <c r="V45" i="6"/>
  <c r="V196" i="6"/>
  <c r="V312" i="6"/>
  <c r="V88" i="6"/>
  <c r="U5" i="6"/>
  <c r="H5" i="6"/>
  <c r="W238" i="6" l="1"/>
  <c r="W151" i="6"/>
  <c r="W85" i="6"/>
  <c r="W291" i="6"/>
  <c r="W32" i="6"/>
  <c r="W33" i="6"/>
  <c r="W34" i="6"/>
  <c r="W35" i="6"/>
  <c r="W411" i="6"/>
  <c r="W171" i="6"/>
  <c r="W172" i="6"/>
  <c r="W388" i="6"/>
  <c r="W389" i="6"/>
  <c r="W390" i="6"/>
  <c r="W391" i="6"/>
  <c r="W158" i="6"/>
  <c r="W159" i="6"/>
  <c r="W160" i="6"/>
  <c r="W161" i="6"/>
  <c r="W162" i="6"/>
  <c r="W366" i="6"/>
  <c r="W457" i="6"/>
  <c r="W273" i="6"/>
  <c r="W272" i="6"/>
  <c r="W74" i="6"/>
  <c r="W412" i="6"/>
  <c r="W413" i="6"/>
  <c r="W414" i="6"/>
  <c r="W415" i="6"/>
  <c r="W416" i="6"/>
  <c r="W417" i="6"/>
  <c r="W418" i="6"/>
  <c r="W474" i="6"/>
  <c r="W475" i="6"/>
  <c r="W476" i="6"/>
  <c r="W477" i="6"/>
  <c r="W478" i="6"/>
  <c r="W479" i="6"/>
  <c r="W192" i="6"/>
  <c r="W52" i="6"/>
  <c r="W53" i="6"/>
  <c r="W54" i="6"/>
  <c r="W495" i="6"/>
  <c r="W490" i="6"/>
  <c r="W496" i="6"/>
  <c r="W497" i="6"/>
  <c r="W493" i="6"/>
  <c r="W491" i="6"/>
  <c r="W494" i="6"/>
  <c r="W492" i="6"/>
  <c r="W197" i="6"/>
  <c r="W488" i="6"/>
  <c r="W489" i="6"/>
  <c r="W432" i="6"/>
  <c r="W433" i="6"/>
  <c r="W434" i="6"/>
  <c r="W435" i="6"/>
  <c r="W436" i="6"/>
  <c r="W127" i="6"/>
  <c r="W99" i="6"/>
  <c r="W100" i="6"/>
  <c r="W101" i="6"/>
  <c r="W365" i="6"/>
  <c r="W332" i="6"/>
  <c r="W61" i="6"/>
  <c r="W120" i="6"/>
  <c r="W88" i="6"/>
  <c r="W256" i="6"/>
  <c r="W190" i="6"/>
  <c r="W285" i="6"/>
  <c r="W17" i="6"/>
  <c r="W421" i="6"/>
  <c r="W12" i="6"/>
  <c r="W37" i="6"/>
  <c r="W149" i="6"/>
  <c r="W326" i="6"/>
  <c r="W370" i="6"/>
  <c r="W362" i="6"/>
  <c r="W60" i="6"/>
  <c r="W442" i="6"/>
  <c r="W204" i="6"/>
  <c r="W8" i="6"/>
  <c r="W486" i="6"/>
  <c r="W430" i="6"/>
  <c r="W62" i="6"/>
  <c r="W67" i="6"/>
  <c r="W465" i="6"/>
  <c r="W384" i="6"/>
  <c r="W385" i="6"/>
  <c r="W386" i="6"/>
  <c r="W310" i="6"/>
  <c r="W94" i="6"/>
  <c r="W95" i="6"/>
  <c r="W96" i="6"/>
  <c r="V5" i="6"/>
  <c r="W387" i="6"/>
  <c r="W410" i="6"/>
  <c r="W422" i="6"/>
  <c r="W482" i="6"/>
  <c r="W462" i="6"/>
  <c r="W445" i="6"/>
  <c r="W31" i="6"/>
  <c r="W30" i="6"/>
  <c r="W59" i="6"/>
  <c r="W86" i="6"/>
  <c r="W119" i="6"/>
  <c r="W147" i="6"/>
  <c r="W166" i="6"/>
  <c r="W249" i="6"/>
  <c r="W183" i="6"/>
  <c r="W43" i="6"/>
  <c r="W267" i="6"/>
  <c r="W395" i="6"/>
  <c r="W111" i="6"/>
  <c r="W213" i="6"/>
  <c r="W36" i="6"/>
  <c r="W50" i="6"/>
  <c r="W294" i="6"/>
  <c r="W350" i="6"/>
  <c r="W408" i="6"/>
  <c r="W344" i="6"/>
  <c r="W429" i="6"/>
  <c r="W443" i="6"/>
  <c r="W260" i="6"/>
  <c r="W481" i="6"/>
  <c r="W461" i="6"/>
  <c r="W29" i="6"/>
  <c r="W57" i="6"/>
  <c r="W82" i="6"/>
  <c r="W118" i="6"/>
  <c r="W145" i="6"/>
  <c r="W167" i="6"/>
  <c r="W342" i="6"/>
  <c r="W27" i="6"/>
  <c r="W227" i="6"/>
  <c r="W453" i="6"/>
  <c r="W377" i="6"/>
  <c r="W89" i="6"/>
  <c r="W313" i="6"/>
  <c r="W20" i="6"/>
  <c r="W277" i="6"/>
  <c r="W77" i="6"/>
  <c r="W193" i="6"/>
  <c r="W234" i="6"/>
  <c r="W351" i="6"/>
  <c r="W383" i="6"/>
  <c r="W407" i="6"/>
  <c r="W327" i="6"/>
  <c r="W423" i="6"/>
  <c r="W483" i="6"/>
  <c r="W459" i="6"/>
  <c r="W472" i="6"/>
  <c r="W444" i="6"/>
  <c r="W28" i="6"/>
  <c r="W81" i="6"/>
  <c r="W117" i="6"/>
  <c r="W142" i="6"/>
  <c r="W320" i="6"/>
  <c r="W468" i="6"/>
  <c r="W253" i="6"/>
  <c r="W424" i="6"/>
  <c r="W144" i="6"/>
  <c r="W328" i="6"/>
  <c r="W71" i="6"/>
  <c r="W297" i="6"/>
  <c r="W311" i="6"/>
  <c r="W18" i="6"/>
  <c r="W232" i="6"/>
  <c r="W76" i="6"/>
  <c r="W358" i="6"/>
  <c r="W359" i="6"/>
  <c r="W210" i="6"/>
  <c r="W381" i="6"/>
  <c r="W405" i="6"/>
  <c r="W404" i="6"/>
  <c r="W403" i="6"/>
  <c r="W333" i="6"/>
  <c r="W463" i="6"/>
  <c r="W473" i="6"/>
  <c r="W439" i="6"/>
  <c r="W487" i="6"/>
  <c r="W26" i="6"/>
  <c r="W51" i="6"/>
  <c r="W80" i="6"/>
  <c r="W115" i="6"/>
  <c r="W304" i="6"/>
  <c r="W220" i="6"/>
  <c r="W128" i="6"/>
  <c r="W355" i="6"/>
  <c r="W55" i="6"/>
  <c r="W280" i="6"/>
  <c r="W295" i="6"/>
  <c r="X7" i="6"/>
  <c r="W244" i="6"/>
  <c r="W308" i="6"/>
  <c r="W307" i="6"/>
  <c r="W262" i="6"/>
  <c r="W352" i="6"/>
  <c r="W379" i="6"/>
  <c r="W376" i="6"/>
  <c r="W374" i="6"/>
  <c r="W402" i="6"/>
  <c r="W425" i="6"/>
  <c r="W456" i="6"/>
  <c r="W484" i="6"/>
  <c r="W464" i="6"/>
  <c r="W24" i="6"/>
  <c r="W48" i="6"/>
  <c r="W79" i="6"/>
  <c r="W287" i="6"/>
  <c r="W441" i="6"/>
  <c r="W259" i="6"/>
  <c r="W396" i="6"/>
  <c r="W112" i="6"/>
  <c r="W229" i="6"/>
  <c r="W38" i="6"/>
  <c r="W247" i="6"/>
  <c r="W278" i="6"/>
  <c r="W431" i="6"/>
  <c r="W182" i="6"/>
  <c r="W480" i="6"/>
  <c r="W279" i="6"/>
  <c r="W276" i="6"/>
  <c r="W306" i="6"/>
  <c r="W221" i="6"/>
  <c r="W336" i="6"/>
  <c r="W329" i="6"/>
  <c r="W261" i="6"/>
  <c r="W373" i="6"/>
  <c r="W401" i="6"/>
  <c r="W399" i="6"/>
  <c r="W426" i="6"/>
  <c r="W447" i="6"/>
  <c r="W454" i="6"/>
  <c r="W21" i="6"/>
  <c r="W47" i="6"/>
  <c r="W269" i="6"/>
  <c r="W471" i="6"/>
  <c r="W164" i="6"/>
  <c r="W378" i="6"/>
  <c r="W90" i="6"/>
  <c r="W315" i="6"/>
  <c r="W22" i="6"/>
  <c r="W184" i="6"/>
  <c r="W239" i="6"/>
  <c r="W10" i="6"/>
  <c r="W178" i="6"/>
  <c r="W219" i="6"/>
  <c r="W194" i="6"/>
  <c r="W275" i="6"/>
  <c r="W305" i="6"/>
  <c r="W205" i="6"/>
  <c r="W196" i="6"/>
  <c r="W263" i="6"/>
  <c r="W353" i="6"/>
  <c r="W354" i="6"/>
  <c r="W371" i="6"/>
  <c r="W397" i="6"/>
  <c r="W360" i="6"/>
  <c r="W470" i="6"/>
  <c r="W458" i="6"/>
  <c r="W451" i="6"/>
  <c r="W19" i="6"/>
  <c r="W179" i="6"/>
  <c r="W146" i="6"/>
  <c r="W334" i="6"/>
  <c r="W72" i="6"/>
  <c r="W299" i="6"/>
  <c r="W485" i="6"/>
  <c r="W209" i="6"/>
  <c r="W248" i="6"/>
  <c r="W460" i="6"/>
  <c r="W176" i="6"/>
  <c r="W235" i="6"/>
  <c r="W93" i="6"/>
  <c r="W241" i="6"/>
  <c r="W228" i="6"/>
  <c r="W252" i="6"/>
  <c r="W274" i="6"/>
  <c r="W303" i="6"/>
  <c r="W301" i="6"/>
  <c r="W298" i="6"/>
  <c r="W181" i="6"/>
  <c r="W323" i="6"/>
  <c r="W339" i="6"/>
  <c r="W369" i="6"/>
  <c r="W394" i="6"/>
  <c r="W345" i="6"/>
  <c r="W9" i="6"/>
  <c r="W469" i="6"/>
  <c r="W198" i="6"/>
  <c r="W348" i="6"/>
  <c r="W130" i="6"/>
  <c r="W338" i="6"/>
  <c r="W56" i="6"/>
  <c r="W282" i="6"/>
  <c r="W455" i="6"/>
  <c r="W180" i="6"/>
  <c r="W191" i="6"/>
  <c r="W246" i="6"/>
  <c r="W155" i="6"/>
  <c r="W309" i="6"/>
  <c r="W245" i="6"/>
  <c r="W140" i="6"/>
  <c r="W177" i="6"/>
  <c r="W168" i="6"/>
  <c r="W212" i="6"/>
  <c r="W240" i="6"/>
  <c r="W271" i="6"/>
  <c r="W270" i="6"/>
  <c r="W268" i="6"/>
  <c r="W296" i="6"/>
  <c r="W293" i="6"/>
  <c r="W322" i="6"/>
  <c r="W356" i="6"/>
  <c r="W368" i="6"/>
  <c r="W392" i="6"/>
  <c r="W346" i="6"/>
  <c r="W420" i="6"/>
  <c r="W428" i="6"/>
  <c r="W236" i="6"/>
  <c r="W398" i="6"/>
  <c r="W114" i="6"/>
  <c r="W237" i="6"/>
  <c r="W39" i="6"/>
  <c r="W264" i="6"/>
  <c r="W446" i="6"/>
  <c r="W174" i="6"/>
  <c r="W257" i="6"/>
  <c r="W226" i="6"/>
  <c r="W138" i="6"/>
  <c r="W281" i="6"/>
  <c r="W113" i="6"/>
  <c r="W137" i="6"/>
  <c r="W136" i="6"/>
  <c r="W186" i="6"/>
  <c r="W230" i="6"/>
  <c r="W222" i="6"/>
  <c r="W214" i="6"/>
  <c r="W266" i="6"/>
  <c r="W251" i="6"/>
  <c r="W292" i="6"/>
  <c r="W321" i="6"/>
  <c r="W340" i="6"/>
  <c r="W367" i="6"/>
  <c r="W250" i="6"/>
  <c r="W450" i="6"/>
  <c r="W199" i="6"/>
  <c r="W380" i="6"/>
  <c r="W92" i="6"/>
  <c r="W316" i="6"/>
  <c r="W23" i="6"/>
  <c r="W203" i="6"/>
  <c r="W242" i="6"/>
  <c r="W175" i="6"/>
  <c r="W406" i="6"/>
  <c r="W122" i="6"/>
  <c r="W78" i="6"/>
  <c r="W110" i="6"/>
  <c r="W108" i="6"/>
  <c r="W135" i="6"/>
  <c r="W165" i="6"/>
  <c r="W169" i="6"/>
  <c r="W258" i="6"/>
  <c r="W231" i="6"/>
  <c r="W206" i="6"/>
  <c r="W188" i="6"/>
  <c r="W243" i="6"/>
  <c r="W290" i="6"/>
  <c r="W319" i="6"/>
  <c r="W218" i="6"/>
  <c r="W364" i="6"/>
  <c r="W440" i="6"/>
  <c r="W363" i="6"/>
  <c r="W75" i="6"/>
  <c r="W300" i="6"/>
  <c r="W438" i="6"/>
  <c r="W225" i="6"/>
  <c r="W11" i="6"/>
  <c r="W141" i="6"/>
  <c r="W156" i="6"/>
  <c r="W106" i="6"/>
  <c r="W46" i="6"/>
  <c r="W45" i="6"/>
  <c r="W73" i="6"/>
  <c r="W105" i="6"/>
  <c r="W134" i="6"/>
  <c r="W163" i="6"/>
  <c r="W157" i="6"/>
  <c r="W223" i="6"/>
  <c r="W215" i="6"/>
  <c r="W254" i="6"/>
  <c r="W224" i="6"/>
  <c r="W289" i="6"/>
  <c r="W317" i="6"/>
  <c r="W357" i="6"/>
  <c r="W349" i="6"/>
  <c r="W331" i="6"/>
  <c r="W148" i="6"/>
  <c r="W337" i="6"/>
  <c r="W58" i="6"/>
  <c r="W283" i="6"/>
  <c r="W324" i="6"/>
  <c r="W195" i="6"/>
  <c r="W409" i="6"/>
  <c r="W125" i="6"/>
  <c r="W139" i="6"/>
  <c r="W372" i="6"/>
  <c r="W83" i="6"/>
  <c r="W16" i="6"/>
  <c r="W15" i="6"/>
  <c r="W44" i="6"/>
  <c r="W70" i="6"/>
  <c r="W104" i="6"/>
  <c r="W133" i="6"/>
  <c r="W131" i="6"/>
  <c r="W129" i="6"/>
  <c r="W154" i="6"/>
  <c r="W153" i="6"/>
  <c r="W207" i="6"/>
  <c r="W217" i="6"/>
  <c r="W216" i="6"/>
  <c r="W288" i="6"/>
  <c r="W314" i="6"/>
  <c r="W341" i="6"/>
  <c r="W202" i="6"/>
  <c r="W132" i="6"/>
  <c r="W343" i="6"/>
  <c r="W41" i="6"/>
  <c r="W265" i="6"/>
  <c r="W449" i="6"/>
  <c r="W173" i="6"/>
  <c r="W393" i="6"/>
  <c r="W109" i="6"/>
  <c r="W123" i="6"/>
  <c r="W335" i="6"/>
  <c r="W66" i="6"/>
  <c r="W452" i="6"/>
  <c r="W448" i="6"/>
  <c r="W14" i="6"/>
  <c r="W42" i="6"/>
  <c r="W68" i="6"/>
  <c r="W103" i="6"/>
  <c r="W102" i="6"/>
  <c r="W126" i="6"/>
  <c r="W124" i="6"/>
  <c r="W152" i="6"/>
  <c r="W189" i="6"/>
  <c r="W201" i="6"/>
  <c r="W208" i="6"/>
  <c r="W286" i="6"/>
  <c r="W312" i="6"/>
  <c r="W400" i="6"/>
  <c r="W116" i="6"/>
  <c r="W318" i="6"/>
  <c r="W25" i="6"/>
  <c r="W211" i="6"/>
  <c r="W437" i="6"/>
  <c r="W375" i="6"/>
  <c r="W87" i="6"/>
  <c r="W107" i="6"/>
  <c r="W330" i="6"/>
  <c r="W49" i="6"/>
  <c r="W419" i="6"/>
  <c r="W466" i="6"/>
  <c r="W361" i="6"/>
  <c r="W427" i="6"/>
  <c r="W467" i="6"/>
  <c r="W13" i="6"/>
  <c r="W40" i="6"/>
  <c r="W65" i="6"/>
  <c r="W64" i="6"/>
  <c r="W63" i="6"/>
  <c r="W98" i="6"/>
  <c r="W91" i="6"/>
  <c r="W121" i="6"/>
  <c r="W150" i="6"/>
  <c r="W170" i="6"/>
  <c r="W255" i="6"/>
  <c r="W200" i="6"/>
  <c r="W284" i="6"/>
  <c r="W382" i="6"/>
  <c r="W97" i="6"/>
  <c r="W302" i="6"/>
  <c r="W233" i="6"/>
  <c r="W347" i="6"/>
  <c r="W143" i="6"/>
  <c r="W325" i="6"/>
  <c r="W69" i="6"/>
  <c r="W84" i="6"/>
  <c r="W187" i="6"/>
  <c r="X238" i="6" l="1"/>
  <c r="X151" i="6"/>
  <c r="X85" i="6"/>
  <c r="X291" i="6"/>
  <c r="X32" i="6"/>
  <c r="X33" i="6"/>
  <c r="X34" i="6"/>
  <c r="X35" i="6"/>
  <c r="X411" i="6"/>
  <c r="X171" i="6"/>
  <c r="X172" i="6"/>
  <c r="X388" i="6"/>
  <c r="X389" i="6"/>
  <c r="X390" i="6"/>
  <c r="X391" i="6"/>
  <c r="X158" i="6"/>
  <c r="X159" i="6"/>
  <c r="X160" i="6"/>
  <c r="X161" i="6"/>
  <c r="X162" i="6"/>
  <c r="X366" i="6"/>
  <c r="X457" i="6"/>
  <c r="X273" i="6"/>
  <c r="X272" i="6"/>
  <c r="X74" i="6"/>
  <c r="X412" i="6"/>
  <c r="X413" i="6"/>
  <c r="X414" i="6"/>
  <c r="X415" i="6"/>
  <c r="X416" i="6"/>
  <c r="X417" i="6"/>
  <c r="X418" i="6"/>
  <c r="X474" i="6"/>
  <c r="X475" i="6"/>
  <c r="X476" i="6"/>
  <c r="X477" i="6"/>
  <c r="X478" i="6"/>
  <c r="X479" i="6"/>
  <c r="X192" i="6"/>
  <c r="X52" i="6"/>
  <c r="X53" i="6"/>
  <c r="X54" i="6"/>
  <c r="X495" i="6"/>
  <c r="X490" i="6"/>
  <c r="X496" i="6"/>
  <c r="X497" i="6"/>
  <c r="X493" i="6"/>
  <c r="X491" i="6"/>
  <c r="X494" i="6"/>
  <c r="X492" i="6"/>
  <c r="X197" i="6"/>
  <c r="X488" i="6"/>
  <c r="X489" i="6"/>
  <c r="X432" i="6"/>
  <c r="X433" i="6"/>
  <c r="X434" i="6"/>
  <c r="X435" i="6"/>
  <c r="X436" i="6"/>
  <c r="X332" i="6"/>
  <c r="X99" i="6"/>
  <c r="X100" i="6"/>
  <c r="X101" i="6"/>
  <c r="X278" i="6"/>
  <c r="X370" i="6"/>
  <c r="X394" i="6"/>
  <c r="X304" i="6"/>
  <c r="X169" i="6"/>
  <c r="X483" i="6"/>
  <c r="X329" i="6"/>
  <c r="X72" i="6"/>
  <c r="X384" i="6"/>
  <c r="X385" i="6"/>
  <c r="X386" i="6"/>
  <c r="X277" i="6"/>
  <c r="X294" i="6"/>
  <c r="X454" i="6"/>
  <c r="X425" i="6"/>
  <c r="X79" i="6"/>
  <c r="X67" i="6"/>
  <c r="X13" i="6"/>
  <c r="X28" i="6"/>
  <c r="X465" i="6"/>
  <c r="X440" i="6"/>
  <c r="X81" i="6"/>
  <c r="X168" i="6"/>
  <c r="X26" i="6"/>
  <c r="X327" i="6"/>
  <c r="X255" i="6"/>
  <c r="X223" i="6"/>
  <c r="X458" i="6"/>
  <c r="X318" i="6"/>
  <c r="X82" i="6"/>
  <c r="X442" i="6"/>
  <c r="X428" i="6"/>
  <c r="X376" i="6"/>
  <c r="X230" i="6"/>
  <c r="X455" i="6"/>
  <c r="X256" i="6"/>
  <c r="X320" i="6"/>
  <c r="X334" i="6"/>
  <c r="X183" i="6"/>
  <c r="X88" i="6"/>
  <c r="X134" i="6"/>
  <c r="X403" i="6"/>
  <c r="X367" i="6"/>
  <c r="X152" i="6"/>
  <c r="X353" i="6"/>
  <c r="X298" i="6"/>
  <c r="X281" i="6"/>
  <c r="X198" i="6"/>
  <c r="X339" i="6"/>
  <c r="X361" i="6"/>
  <c r="X29" i="6"/>
  <c r="X94" i="6"/>
  <c r="X95" i="6"/>
  <c r="X96" i="6"/>
  <c r="X365" i="6"/>
  <c r="X173" i="6"/>
  <c r="X296" i="6"/>
  <c r="X93" i="6"/>
  <c r="X65" i="6"/>
  <c r="X70" i="6"/>
  <c r="X346" i="6"/>
  <c r="X155" i="6"/>
  <c r="X27" i="6"/>
  <c r="X279" i="6"/>
  <c r="X84" i="6"/>
  <c r="X482" i="6"/>
  <c r="X295" i="6"/>
  <c r="X90" i="6"/>
  <c r="W5" i="6"/>
  <c r="X484" i="6"/>
  <c r="X437" i="6"/>
  <c r="X103" i="6"/>
  <c r="X357" i="6"/>
  <c r="X10" i="6"/>
  <c r="X445" i="6"/>
  <c r="X270" i="6"/>
  <c r="X337" i="6"/>
  <c r="X251" i="6"/>
  <c r="X181" i="6"/>
  <c r="X43" i="6"/>
  <c r="X243" i="6"/>
  <c r="X239" i="6"/>
  <c r="X232" i="6"/>
  <c r="X446" i="6"/>
  <c r="X193" i="6"/>
  <c r="X215" i="6"/>
  <c r="X406" i="6"/>
  <c r="X138" i="6"/>
  <c r="X154" i="6"/>
  <c r="X421" i="6"/>
  <c r="X150" i="6"/>
  <c r="X343" i="6"/>
  <c r="X51" i="6"/>
  <c r="X49" i="6"/>
  <c r="X48" i="6"/>
  <c r="X46" i="6"/>
  <c r="X77" i="6"/>
  <c r="X315" i="6"/>
  <c r="X429" i="6"/>
  <c r="X194" i="6"/>
  <c r="X22" i="6"/>
  <c r="X248" i="6"/>
  <c r="X137" i="6"/>
  <c r="X25" i="6"/>
  <c r="X24" i="6"/>
  <c r="X76" i="6"/>
  <c r="X471" i="6"/>
  <c r="X399" i="6"/>
  <c r="X189" i="6"/>
  <c r="X358" i="6"/>
  <c r="X387" i="6"/>
  <c r="Y7" i="6"/>
  <c r="X190" i="6"/>
  <c r="X217" i="6"/>
  <c r="X297" i="6"/>
  <c r="X201" i="6"/>
  <c r="X191" i="6"/>
  <c r="X182" i="6"/>
  <c r="X427" i="6"/>
  <c r="X157" i="6"/>
  <c r="X174" i="6"/>
  <c r="X372" i="6"/>
  <c r="X106" i="6"/>
  <c r="X121" i="6"/>
  <c r="X118" i="6"/>
  <c r="X302" i="6"/>
  <c r="X301" i="6"/>
  <c r="X300" i="6"/>
  <c r="X299" i="6"/>
  <c r="X9" i="6"/>
  <c r="X373" i="6"/>
  <c r="X467" i="6"/>
  <c r="X311" i="6"/>
  <c r="X263" i="6"/>
  <c r="X409" i="6"/>
  <c r="X456" i="6"/>
  <c r="X120" i="6"/>
  <c r="X186" i="6"/>
  <c r="X280" i="6"/>
  <c r="X481" i="6"/>
  <c r="X257" i="6"/>
  <c r="X258" i="6"/>
  <c r="X231" i="6"/>
  <c r="X408" i="6"/>
  <c r="X140" i="6"/>
  <c r="X156" i="6"/>
  <c r="X352" i="6"/>
  <c r="X80" i="6"/>
  <c r="X105" i="6"/>
  <c r="X368" i="6"/>
  <c r="X102" i="6"/>
  <c r="X285" i="6"/>
  <c r="X284" i="6"/>
  <c r="X283" i="6"/>
  <c r="X282" i="6"/>
  <c r="X36" i="6"/>
  <c r="X480" i="6"/>
  <c r="X423" i="6"/>
  <c r="X338" i="6"/>
  <c r="X422" i="6"/>
  <c r="X486" i="6"/>
  <c r="X75" i="6"/>
  <c r="X262" i="6"/>
  <c r="X382" i="6"/>
  <c r="X11" i="6"/>
  <c r="X234" i="6"/>
  <c r="X247" i="6"/>
  <c r="X218" i="6"/>
  <c r="X210" i="6"/>
  <c r="X202" i="6"/>
  <c r="X392" i="6"/>
  <c r="X124" i="6"/>
  <c r="X139" i="6"/>
  <c r="X341" i="6"/>
  <c r="X58" i="6"/>
  <c r="X57" i="6"/>
  <c r="X196" i="6"/>
  <c r="X92" i="6"/>
  <c r="X267" i="6"/>
  <c r="X266" i="6"/>
  <c r="X265" i="6"/>
  <c r="X264" i="6"/>
  <c r="X20" i="6"/>
  <c r="X407" i="6"/>
  <c r="X321" i="6"/>
  <c r="X396" i="6"/>
  <c r="X348" i="6"/>
  <c r="X431" i="6"/>
  <c r="X305" i="6"/>
  <c r="X221" i="6"/>
  <c r="X404" i="6"/>
  <c r="X438" i="6"/>
  <c r="X86" i="6"/>
  <c r="X184" i="6"/>
  <c r="X487" i="6"/>
  <c r="X178" i="6"/>
  <c r="X177" i="6"/>
  <c r="X176" i="6"/>
  <c r="X374" i="6"/>
  <c r="X108" i="6"/>
  <c r="X123" i="6"/>
  <c r="X323" i="6"/>
  <c r="X37" i="6"/>
  <c r="X359" i="6"/>
  <c r="X227" i="6"/>
  <c r="X219" i="6"/>
  <c r="X211" i="6"/>
  <c r="X203" i="6"/>
  <c r="X50" i="6"/>
  <c r="X443" i="6"/>
  <c r="X136" i="6"/>
  <c r="X313" i="6"/>
  <c r="X244" i="6"/>
  <c r="X397" i="6"/>
  <c r="X206" i="6"/>
  <c r="X369" i="6"/>
  <c r="X449" i="6"/>
  <c r="X170" i="6"/>
  <c r="X344" i="6"/>
  <c r="X379" i="6"/>
  <c r="X453" i="6"/>
  <c r="X163" i="6"/>
  <c r="X209" i="6"/>
  <c r="X347" i="6"/>
  <c r="X335" i="6"/>
  <c r="X83" i="6"/>
  <c r="X107" i="6"/>
  <c r="X307" i="6"/>
  <c r="X12" i="6"/>
  <c r="X98" i="6"/>
  <c r="X319" i="6"/>
  <c r="X30" i="6"/>
  <c r="X253" i="6"/>
  <c r="X254" i="6"/>
  <c r="X233" i="6"/>
  <c r="X225" i="6"/>
  <c r="X363" i="6"/>
  <c r="X122" i="6"/>
  <c r="X381" i="6"/>
  <c r="X104" i="6"/>
  <c r="X330" i="6"/>
  <c r="X393" i="6"/>
  <c r="X362" i="6"/>
  <c r="X462" i="6"/>
  <c r="X288" i="6"/>
  <c r="X261" i="6"/>
  <c r="X187" i="6"/>
  <c r="X145" i="6"/>
  <c r="X180" i="6"/>
  <c r="X143" i="6"/>
  <c r="X142" i="6"/>
  <c r="X141" i="6"/>
  <c r="X229" i="6"/>
  <c r="X60" i="6"/>
  <c r="X91" i="6"/>
  <c r="X290" i="6"/>
  <c r="X306" i="6"/>
  <c r="X56" i="6"/>
  <c r="X303" i="6"/>
  <c r="X448" i="6"/>
  <c r="X220" i="6"/>
  <c r="X212" i="6"/>
  <c r="X204" i="6"/>
  <c r="X195" i="6"/>
  <c r="X18" i="6"/>
  <c r="X426" i="6"/>
  <c r="X371" i="6"/>
  <c r="X441" i="6"/>
  <c r="X316" i="6"/>
  <c r="X364" i="6"/>
  <c r="X463" i="6"/>
  <c r="X153" i="6"/>
  <c r="X326" i="6"/>
  <c r="X400" i="6"/>
  <c r="X129" i="6"/>
  <c r="X226" i="6"/>
  <c r="X395" i="6"/>
  <c r="X127" i="6"/>
  <c r="X126" i="6"/>
  <c r="X125" i="6"/>
  <c r="X325" i="6"/>
  <c r="X39" i="6"/>
  <c r="X59" i="6"/>
  <c r="X274" i="6"/>
  <c r="X289" i="6"/>
  <c r="X286" i="6"/>
  <c r="X452" i="6"/>
  <c r="X250" i="6"/>
  <c r="X246" i="6"/>
  <c r="X242" i="6"/>
  <c r="X237" i="6"/>
  <c r="X64" i="6"/>
  <c r="X402" i="6"/>
  <c r="X336" i="6"/>
  <c r="X439" i="6"/>
  <c r="X236" i="6"/>
  <c r="X205" i="6"/>
  <c r="X8" i="6"/>
  <c r="X447" i="6"/>
  <c r="X269" i="6"/>
  <c r="X375" i="6"/>
  <c r="X113" i="6"/>
  <c r="X68" i="6"/>
  <c r="X377" i="6"/>
  <c r="X111" i="6"/>
  <c r="X110" i="6"/>
  <c r="X109" i="6"/>
  <c r="X309" i="6"/>
  <c r="X16" i="6"/>
  <c r="X38" i="6"/>
  <c r="X208" i="6"/>
  <c r="X271" i="6"/>
  <c r="X73" i="6"/>
  <c r="X268" i="6"/>
  <c r="X89" i="6"/>
  <c r="X71" i="6"/>
  <c r="X47" i="6"/>
  <c r="X340" i="6"/>
  <c r="X461" i="6"/>
  <c r="X468" i="6"/>
  <c r="X314" i="6"/>
  <c r="X349" i="6"/>
  <c r="X410" i="6"/>
  <c r="X473" i="6"/>
  <c r="X135" i="6"/>
  <c r="X354" i="6"/>
  <c r="X66" i="6"/>
  <c r="X350" i="6"/>
  <c r="X87" i="6"/>
  <c r="X69" i="6"/>
  <c r="X97" i="6"/>
  <c r="X293" i="6"/>
  <c r="X308" i="6"/>
  <c r="X14" i="6"/>
  <c r="X222" i="6"/>
  <c r="X200" i="6"/>
  <c r="X55" i="6"/>
  <c r="X235" i="6"/>
  <c r="X213" i="6"/>
  <c r="X167" i="6"/>
  <c r="X166" i="6"/>
  <c r="X165" i="6"/>
  <c r="X164" i="6"/>
  <c r="X31" i="6"/>
  <c r="X252" i="6"/>
  <c r="X331" i="6"/>
  <c r="X424" i="6"/>
  <c r="X464" i="6"/>
  <c r="X259" i="6"/>
  <c r="X342" i="6"/>
  <c r="X345" i="6"/>
  <c r="X459" i="6"/>
  <c r="X322" i="6"/>
  <c r="X44" i="6"/>
  <c r="X144" i="6"/>
  <c r="X356" i="6"/>
  <c r="X63" i="6"/>
  <c r="X62" i="6"/>
  <c r="X61" i="6"/>
  <c r="X276" i="6"/>
  <c r="X292" i="6"/>
  <c r="X451" i="6"/>
  <c r="X249" i="6"/>
  <c r="X214" i="6"/>
  <c r="X188" i="6"/>
  <c r="X420" i="6"/>
  <c r="X149" i="6"/>
  <c r="X148" i="6"/>
  <c r="X147" i="6"/>
  <c r="X146" i="6"/>
  <c r="X15" i="6"/>
  <c r="X444" i="6"/>
  <c r="X324" i="6"/>
  <c r="X430" i="6"/>
  <c r="X317" i="6"/>
  <c r="X398" i="6"/>
  <c r="X450" i="6"/>
  <c r="X466" i="6"/>
  <c r="X310" i="6"/>
  <c r="X351" i="6"/>
  <c r="X405" i="6"/>
  <c r="X470" i="6"/>
  <c r="X179" i="6"/>
  <c r="X23" i="6"/>
  <c r="X128" i="6"/>
  <c r="X328" i="6"/>
  <c r="X42" i="6"/>
  <c r="X41" i="6"/>
  <c r="X40" i="6"/>
  <c r="X224" i="6"/>
  <c r="X275" i="6"/>
  <c r="X472" i="6"/>
  <c r="X207" i="6"/>
  <c r="X245" i="6"/>
  <c r="X485" i="6"/>
  <c r="X228" i="6"/>
  <c r="X401" i="6"/>
  <c r="X133" i="6"/>
  <c r="X132" i="6"/>
  <c r="X131" i="6"/>
  <c r="X130" i="6"/>
  <c r="X45" i="6"/>
  <c r="X175" i="6"/>
  <c r="X241" i="6"/>
  <c r="X287" i="6"/>
  <c r="X355" i="6"/>
  <c r="X419" i="6"/>
  <c r="X360" i="6"/>
  <c r="X380" i="6"/>
  <c r="X333" i="6"/>
  <c r="X119" i="6"/>
  <c r="X378" i="6"/>
  <c r="X112" i="6"/>
  <c r="X312" i="6"/>
  <c r="X21" i="6"/>
  <c r="X19" i="6"/>
  <c r="X17" i="6"/>
  <c r="X240" i="6"/>
  <c r="X216" i="6"/>
  <c r="X460" i="6"/>
  <c r="X78" i="6"/>
  <c r="X199" i="6"/>
  <c r="X469" i="6"/>
  <c r="X260" i="6"/>
  <c r="X383" i="6"/>
  <c r="X117" i="6"/>
  <c r="X116" i="6"/>
  <c r="X115" i="6"/>
  <c r="X114" i="6"/>
  <c r="Y238" i="6" l="1"/>
  <c r="Y151" i="6"/>
  <c r="Y85" i="6"/>
  <c r="Y291" i="6"/>
  <c r="Y32" i="6"/>
  <c r="Y33" i="6"/>
  <c r="Y34" i="6"/>
  <c r="Y35" i="6"/>
  <c r="Y411" i="6"/>
  <c r="Y171" i="6"/>
  <c r="Y172" i="6"/>
  <c r="Y388" i="6"/>
  <c r="Y389" i="6"/>
  <c r="Y390" i="6"/>
  <c r="Y391" i="6"/>
  <c r="Y158" i="6"/>
  <c r="Y159" i="6"/>
  <c r="Y160" i="6"/>
  <c r="Y161" i="6"/>
  <c r="Y162" i="6"/>
  <c r="Y366" i="6"/>
  <c r="Y457" i="6"/>
  <c r="Y273" i="6"/>
  <c r="Y272" i="6"/>
  <c r="Y74" i="6"/>
  <c r="Y412" i="6"/>
  <c r="Y413" i="6"/>
  <c r="Y414" i="6"/>
  <c r="Y415" i="6"/>
  <c r="Y416" i="6"/>
  <c r="Y417" i="6"/>
  <c r="Y418" i="6"/>
  <c r="Y474" i="6"/>
  <c r="Y475" i="6"/>
  <c r="Y476" i="6"/>
  <c r="Y477" i="6"/>
  <c r="Y478" i="6"/>
  <c r="Y479" i="6"/>
  <c r="Y192" i="6"/>
  <c r="Y52" i="6"/>
  <c r="Y53" i="6"/>
  <c r="Y54" i="6"/>
  <c r="Y492" i="6"/>
  <c r="Y495" i="6"/>
  <c r="Y490" i="6"/>
  <c r="Y496" i="6"/>
  <c r="Y497" i="6"/>
  <c r="Y493" i="6"/>
  <c r="Y491" i="6"/>
  <c r="Y494" i="6"/>
  <c r="Y488" i="6"/>
  <c r="Y489" i="6"/>
  <c r="Y103" i="6"/>
  <c r="Y374" i="6"/>
  <c r="Y137" i="6"/>
  <c r="Y197" i="6"/>
  <c r="Y481" i="6"/>
  <c r="Y409" i="6"/>
  <c r="Y406" i="6"/>
  <c r="Y146" i="6"/>
  <c r="Y42" i="6"/>
  <c r="Y75" i="6"/>
  <c r="Y123" i="6"/>
  <c r="Y203" i="6"/>
  <c r="Y432" i="6"/>
  <c r="Y433" i="6"/>
  <c r="Y434" i="6"/>
  <c r="Y435" i="6"/>
  <c r="Y436" i="6"/>
  <c r="Y275" i="6"/>
  <c r="Y220" i="6"/>
  <c r="Y179" i="6"/>
  <c r="Y129" i="6"/>
  <c r="Y78" i="6"/>
  <c r="Y57" i="6"/>
  <c r="Y372" i="6"/>
  <c r="Y209" i="6"/>
  <c r="Y14" i="6"/>
  <c r="Y288" i="6"/>
  <c r="Y441" i="6"/>
  <c r="Y282" i="6"/>
  <c r="Y430" i="6"/>
  <c r="Y27" i="6"/>
  <c r="Y297" i="6"/>
  <c r="Y145" i="6"/>
  <c r="Y65" i="6"/>
  <c r="Y105" i="6"/>
  <c r="Y18" i="6"/>
  <c r="Y225" i="6"/>
  <c r="Y110" i="6"/>
  <c r="Y246" i="6"/>
  <c r="Y181" i="6"/>
  <c r="Y149" i="6"/>
  <c r="Y87" i="6"/>
  <c r="Y223" i="6"/>
  <c r="Y72" i="6"/>
  <c r="Y61" i="6"/>
  <c r="Y124" i="6"/>
  <c r="Y355" i="6"/>
  <c r="Y278" i="6"/>
  <c r="Y404" i="6"/>
  <c r="Y311" i="6"/>
  <c r="Y221" i="6"/>
  <c r="Y115" i="6"/>
  <c r="Y332" i="6"/>
  <c r="Y99" i="6"/>
  <c r="Y100" i="6"/>
  <c r="Y101" i="6"/>
  <c r="Y346" i="6"/>
  <c r="Y175" i="6"/>
  <c r="Y236" i="6"/>
  <c r="Y84" i="6"/>
  <c r="Y62" i="6"/>
  <c r="Y419" i="6"/>
  <c r="Y82" i="6"/>
  <c r="Y321" i="6"/>
  <c r="Y190" i="6"/>
  <c r="Y467" i="6"/>
  <c r="Y148" i="6"/>
  <c r="Y104" i="6"/>
  <c r="Y362" i="6"/>
  <c r="Y353" i="6"/>
  <c r="Y258" i="6"/>
  <c r="Y12" i="6"/>
  <c r="Y119" i="6"/>
  <c r="Y234" i="6"/>
  <c r="Y370" i="6"/>
  <c r="Y456" i="6"/>
  <c r="Y132" i="6"/>
  <c r="Y335" i="6"/>
  <c r="Y206" i="6"/>
  <c r="Y134" i="6"/>
  <c r="Y442" i="6"/>
  <c r="Y426" i="6"/>
  <c r="Y401" i="6"/>
  <c r="Y49" i="6"/>
  <c r="Y127" i="6"/>
  <c r="Y198" i="6"/>
  <c r="Y196" i="6"/>
  <c r="Y217" i="6"/>
  <c r="Y319" i="6"/>
  <c r="Y16" i="6"/>
  <c r="Y38" i="6"/>
  <c r="Y60" i="6"/>
  <c r="Y9" i="6"/>
  <c r="Y113" i="6"/>
  <c r="Y191" i="6"/>
  <c r="Y207" i="6"/>
  <c r="Y184" i="6"/>
  <c r="Y46" i="6"/>
  <c r="Y264" i="6"/>
  <c r="Y334" i="6"/>
  <c r="Y242" i="6"/>
  <c r="Y17" i="6"/>
  <c r="Y112" i="6"/>
  <c r="Y377" i="6"/>
  <c r="Y402" i="6"/>
  <c r="Y26" i="6"/>
  <c r="Y102" i="6"/>
  <c r="Y167" i="6"/>
  <c r="Y89" i="6"/>
  <c r="Y194" i="6"/>
  <c r="Y368" i="6"/>
  <c r="Y283" i="6"/>
  <c r="Y13" i="6"/>
  <c r="Y36" i="6"/>
  <c r="Y405" i="6"/>
  <c r="Y73" i="6"/>
  <c r="Y174" i="6"/>
  <c r="Y157" i="6"/>
  <c r="Y168" i="6"/>
  <c r="Y30" i="6"/>
  <c r="Y396" i="6"/>
  <c r="Y280" i="6"/>
  <c r="Y8" i="6"/>
  <c r="Y58" i="6"/>
  <c r="Y251" i="6"/>
  <c r="Y373" i="6"/>
  <c r="Y464" i="6"/>
  <c r="Y397" i="6"/>
  <c r="Y48" i="6"/>
  <c r="Y125" i="6"/>
  <c r="Y69" i="6"/>
  <c r="Y122" i="6"/>
  <c r="Y452" i="6"/>
  <c r="Y347" i="6"/>
  <c r="Y349" i="6"/>
  <c r="Y371" i="6"/>
  <c r="Y363" i="6"/>
  <c r="Y40" i="6"/>
  <c r="Y70" i="6"/>
  <c r="Y108" i="6"/>
  <c r="Y81" i="6"/>
  <c r="Y77" i="6"/>
  <c r="Y262" i="6"/>
  <c r="Y97" i="6"/>
  <c r="Y265" i="6"/>
  <c r="Y382" i="6"/>
  <c r="Y485" i="6"/>
  <c r="Y24" i="6"/>
  <c r="Y37" i="6"/>
  <c r="Y86" i="6"/>
  <c r="Y47" i="6"/>
  <c r="Y76" i="6"/>
  <c r="Y230" i="6"/>
  <c r="Y387" i="6"/>
  <c r="Y425" i="6"/>
  <c r="Y22" i="6"/>
  <c r="Y393" i="6"/>
  <c r="Y55" i="6"/>
  <c r="Y309" i="6"/>
  <c r="Y43" i="6"/>
  <c r="Y449" i="6"/>
  <c r="Y448" i="6"/>
  <c r="Y445" i="6"/>
  <c r="Y383" i="6"/>
  <c r="Y51" i="6"/>
  <c r="Y480" i="6"/>
  <c r="Y352" i="6"/>
  <c r="Y317" i="6"/>
  <c r="Y44" i="6"/>
  <c r="Y358" i="6"/>
  <c r="Y256" i="6"/>
  <c r="Y314" i="6"/>
  <c r="Y471" i="6"/>
  <c r="Y240" i="6"/>
  <c r="Y344" i="6"/>
  <c r="Y379" i="6"/>
  <c r="Y320" i="6"/>
  <c r="Y15" i="6"/>
  <c r="Y303" i="6"/>
  <c r="Y446" i="6"/>
  <c r="Y109" i="6"/>
  <c r="Y316" i="6"/>
  <c r="Y447" i="6"/>
  <c r="Y133" i="6"/>
  <c r="Y204" i="6"/>
  <c r="Y249" i="6"/>
  <c r="Y361" i="6"/>
  <c r="Y487" i="6"/>
  <c r="Y486" i="6"/>
  <c r="Y375" i="6"/>
  <c r="Y20" i="6"/>
  <c r="Y342" i="6"/>
  <c r="Y306" i="6"/>
  <c r="Y298" i="6"/>
  <c r="Y403" i="6"/>
  <c r="Y271" i="6"/>
  <c r="Y428" i="6"/>
  <c r="Y410" i="6"/>
  <c r="Y454" i="6"/>
  <c r="Y440" i="6"/>
  <c r="Y369" i="6"/>
  <c r="Y466" i="6"/>
  <c r="Y227" i="6"/>
  <c r="Y421" i="6"/>
  <c r="Y469" i="6"/>
  <c r="Y111" i="6"/>
  <c r="Y301" i="6"/>
  <c r="Y459" i="6"/>
  <c r="Y380" i="6"/>
  <c r="Y312" i="6"/>
  <c r="Y296" i="6"/>
  <c r="Y289" i="6"/>
  <c r="Y315" i="6"/>
  <c r="Y348" i="6"/>
  <c r="Y365" i="6"/>
  <c r="Y295" i="6"/>
  <c r="Y438" i="6"/>
  <c r="Y398" i="6"/>
  <c r="Y429" i="6"/>
  <c r="Y357" i="6"/>
  <c r="Y268" i="6"/>
  <c r="Y451" i="6"/>
  <c r="Y68" i="6"/>
  <c r="Y470" i="6"/>
  <c r="Y450" i="6"/>
  <c r="Y308" i="6"/>
  <c r="Y399" i="6"/>
  <c r="Y201" i="6"/>
  <c r="Y461" i="6"/>
  <c r="Y216" i="6"/>
  <c r="Y156" i="6"/>
  <c r="Y229" i="6"/>
  <c r="Y79" i="6"/>
  <c r="Y131" i="6"/>
  <c r="Y224" i="6"/>
  <c r="Y323" i="6"/>
  <c r="Y484" i="6"/>
  <c r="Y193" i="6"/>
  <c r="Y237" i="6"/>
  <c r="Y318" i="6"/>
  <c r="Y310" i="6"/>
  <c r="Y302" i="6"/>
  <c r="Y277" i="6"/>
  <c r="Y329" i="6"/>
  <c r="Y472" i="6"/>
  <c r="Y284" i="6"/>
  <c r="Y118" i="6"/>
  <c r="Y25" i="6"/>
  <c r="Y180" i="6"/>
  <c r="Y10" i="6"/>
  <c r="Y67" i="6"/>
  <c r="Y473" i="6"/>
  <c r="Y31" i="6"/>
  <c r="Y11" i="6"/>
  <c r="Y437" i="6"/>
  <c r="Y427" i="6"/>
  <c r="Y285" i="6"/>
  <c r="Y336" i="6"/>
  <c r="Y178" i="6"/>
  <c r="Y245" i="6"/>
  <c r="Y270" i="6"/>
  <c r="Y356" i="6"/>
  <c r="Y381" i="6"/>
  <c r="Y281" i="6"/>
  <c r="Y205" i="6"/>
  <c r="Y422" i="6"/>
  <c r="Y253" i="6"/>
  <c r="Y41" i="6"/>
  <c r="Y269" i="6"/>
  <c r="Y107" i="6"/>
  <c r="Y154" i="6"/>
  <c r="Y200" i="6"/>
  <c r="Y345" i="6"/>
  <c r="Y324" i="6"/>
  <c r="Y350" i="6"/>
  <c r="Y458" i="6"/>
  <c r="Y93" i="6"/>
  <c r="Y214" i="6"/>
  <c r="Y261" i="6"/>
  <c r="Y239" i="6"/>
  <c r="Y232" i="6"/>
  <c r="Y212" i="6"/>
  <c r="Y304" i="6"/>
  <c r="Y460" i="6"/>
  <c r="Y455" i="6"/>
  <c r="Y330" i="6"/>
  <c r="Y92" i="6"/>
  <c r="Y144" i="6"/>
  <c r="Y255" i="6"/>
  <c r="Y453" i="6"/>
  <c r="Y244" i="6"/>
  <c r="Y173" i="6"/>
  <c r="Y266" i="6"/>
  <c r="Y211" i="6"/>
  <c r="Y468" i="6"/>
  <c r="Y28" i="6"/>
  <c r="Y121" i="6"/>
  <c r="Y170" i="6"/>
  <c r="Y423" i="6"/>
  <c r="Y23" i="6"/>
  <c r="Y333" i="6"/>
  <c r="Y444" i="6"/>
  <c r="Y483" i="6"/>
  <c r="Y400" i="6"/>
  <c r="Y130" i="6"/>
  <c r="Y241" i="6"/>
  <c r="Y276" i="6"/>
  <c r="Y188" i="6"/>
  <c r="Y213" i="6"/>
  <c r="Y210" i="6"/>
  <c r="Y195" i="6"/>
  <c r="Y360" i="6"/>
  <c r="Y443" i="6"/>
  <c r="Y395" i="6"/>
  <c r="Y267" i="6"/>
  <c r="Y376" i="6"/>
  <c r="Y215" i="6"/>
  <c r="Y231" i="6"/>
  <c r="Y106" i="6"/>
  <c r="Y150" i="6"/>
  <c r="Y222" i="6"/>
  <c r="Y307" i="6"/>
  <c r="Y299" i="6"/>
  <c r="Y263" i="6"/>
  <c r="Y141" i="6"/>
  <c r="Y187" i="6"/>
  <c r="Y164" i="6"/>
  <c r="Y182" i="6"/>
  <c r="Y169" i="6"/>
  <c r="Y325" i="6"/>
  <c r="Y326" i="6"/>
  <c r="Y143" i="6"/>
  <c r="Y250" i="6"/>
  <c r="Y29" i="6"/>
  <c r="Y208" i="6"/>
  <c r="Y424" i="6"/>
  <c r="Y378" i="6"/>
  <c r="Y50" i="6"/>
  <c r="Y128" i="6"/>
  <c r="Y199" i="6"/>
  <c r="Y327" i="6"/>
  <c r="Y305" i="6"/>
  <c r="Y354" i="6"/>
  <c r="Y91" i="6"/>
  <c r="Y117" i="6"/>
  <c r="Y139" i="6"/>
  <c r="Y138" i="6"/>
  <c r="Y163" i="6"/>
  <c r="Y260" i="6"/>
  <c r="Y248" i="6"/>
  <c r="Y293" i="6"/>
  <c r="Y135" i="6"/>
  <c r="Y340" i="6"/>
  <c r="Y343" i="6"/>
  <c r="Y165" i="6"/>
  <c r="Y233" i="6"/>
  <c r="Y279" i="6"/>
  <c r="Y364" i="6"/>
  <c r="Y420" i="6"/>
  <c r="Y88" i="6"/>
  <c r="Y176" i="6"/>
  <c r="Y359" i="6"/>
  <c r="Y313" i="6"/>
  <c r="Y351" i="6"/>
  <c r="Y338" i="6"/>
  <c r="Y294" i="6"/>
  <c r="Y56" i="6"/>
  <c r="Y155" i="6"/>
  <c r="Y226" i="6"/>
  <c r="Y341" i="6"/>
  <c r="Y463" i="6"/>
  <c r="Y292" i="6"/>
  <c r="Y45" i="6"/>
  <c r="Y90" i="6"/>
  <c r="Y177" i="6"/>
  <c r="Y300" i="6"/>
  <c r="Y39" i="6"/>
  <c r="Y116" i="6"/>
  <c r="Y186" i="6"/>
  <c r="Y252" i="6"/>
  <c r="Y339" i="6"/>
  <c r="Y462" i="6"/>
  <c r="Y140" i="6"/>
  <c r="Y254" i="6"/>
  <c r="Y465" i="6"/>
  <c r="Y384" i="6"/>
  <c r="Y385" i="6"/>
  <c r="Y386" i="6"/>
  <c r="Y114" i="6"/>
  <c r="Y247" i="6"/>
  <c r="Y286" i="6"/>
  <c r="Y328" i="6"/>
  <c r="Y392" i="6"/>
  <c r="Y153" i="6"/>
  <c r="Y218" i="6"/>
  <c r="Y83" i="6"/>
  <c r="Y257" i="6"/>
  <c r="Y408" i="6"/>
  <c r="Y142" i="6"/>
  <c r="Y337" i="6"/>
  <c r="Y367" i="6"/>
  <c r="Y136" i="6"/>
  <c r="Y202" i="6"/>
  <c r="Y71" i="6"/>
  <c r="Y147" i="6"/>
  <c r="Y259" i="6"/>
  <c r="Y66" i="6"/>
  <c r="Y166" i="6"/>
  <c r="Y243" i="6"/>
  <c r="Y407" i="6"/>
  <c r="Z7" i="6"/>
  <c r="Y59" i="6"/>
  <c r="Y228" i="6"/>
  <c r="Y482" i="6"/>
  <c r="Y126" i="6"/>
  <c r="Y287" i="6"/>
  <c r="Y394" i="6"/>
  <c r="Y120" i="6"/>
  <c r="Y183" i="6"/>
  <c r="X5" i="6"/>
  <c r="Y63" i="6"/>
  <c r="Y94" i="6"/>
  <c r="Y95" i="6"/>
  <c r="Y96" i="6"/>
  <c r="Y431" i="6"/>
  <c r="Y98" i="6"/>
  <c r="Y290" i="6"/>
  <c r="Y21" i="6"/>
  <c r="Y189" i="6"/>
  <c r="Y439" i="6"/>
  <c r="Y64" i="6"/>
  <c r="Y152" i="6"/>
  <c r="Y274" i="6"/>
  <c r="Y19" i="6"/>
  <c r="Y235" i="6"/>
  <c r="Y80" i="6"/>
  <c r="Y331" i="6"/>
  <c r="Y219" i="6"/>
  <c r="Y322" i="6"/>
  <c r="Z238" i="6" l="1"/>
  <c r="Z151" i="6"/>
  <c r="Z85" i="6"/>
  <c r="Z291" i="6"/>
  <c r="Z32" i="6"/>
  <c r="Z33" i="6"/>
  <c r="Z34" i="6"/>
  <c r="Z35" i="6"/>
  <c r="Z411" i="6"/>
  <c r="Z171" i="6"/>
  <c r="Z172" i="6"/>
  <c r="Z388" i="6"/>
  <c r="Z389" i="6"/>
  <c r="Z390" i="6"/>
  <c r="Z391" i="6"/>
  <c r="Z158" i="6"/>
  <c r="Z159" i="6"/>
  <c r="Z160" i="6"/>
  <c r="Z161" i="6"/>
  <c r="Z162" i="6"/>
  <c r="Z366" i="6"/>
  <c r="Z457" i="6"/>
  <c r="Z273" i="6"/>
  <c r="Z272" i="6"/>
  <c r="Z74" i="6"/>
  <c r="Z412" i="6"/>
  <c r="Z413" i="6"/>
  <c r="Z414" i="6"/>
  <c r="Z415" i="6"/>
  <c r="Z416" i="6"/>
  <c r="Z417" i="6"/>
  <c r="Z418" i="6"/>
  <c r="Z474" i="6"/>
  <c r="Z475" i="6"/>
  <c r="Z476" i="6"/>
  <c r="Z477" i="6"/>
  <c r="Z478" i="6"/>
  <c r="Z479" i="6"/>
  <c r="Z192" i="6"/>
  <c r="Z52" i="6"/>
  <c r="Z53" i="6"/>
  <c r="Z54" i="6"/>
  <c r="Z492" i="6"/>
  <c r="Z495" i="6"/>
  <c r="Z490" i="6"/>
  <c r="Z496" i="6"/>
  <c r="Z497" i="6"/>
  <c r="Z493" i="6"/>
  <c r="Z491" i="6"/>
  <c r="Z494" i="6"/>
  <c r="Z197" i="6"/>
  <c r="Z488" i="6"/>
  <c r="Z489" i="6"/>
  <c r="Z204" i="6"/>
  <c r="Z186" i="6"/>
  <c r="Z373" i="6"/>
  <c r="Z432" i="6"/>
  <c r="Z433" i="6"/>
  <c r="Z434" i="6"/>
  <c r="Z435" i="6"/>
  <c r="Z436" i="6"/>
  <c r="Z135" i="6"/>
  <c r="Z332" i="6"/>
  <c r="Z99" i="6"/>
  <c r="Z100" i="6"/>
  <c r="Z101" i="6"/>
  <c r="Z169" i="6"/>
  <c r="Z12" i="6"/>
  <c r="Z370" i="6"/>
  <c r="Z76" i="6"/>
  <c r="Z351" i="6"/>
  <c r="Z316" i="6"/>
  <c r="Z456" i="6"/>
  <c r="Z309" i="6"/>
  <c r="Z13" i="6"/>
  <c r="Z352" i="6"/>
  <c r="Z459" i="6"/>
  <c r="Z438" i="6"/>
  <c r="Z278" i="6"/>
  <c r="Z450" i="6"/>
  <c r="Z144" i="6"/>
  <c r="Z480" i="6"/>
  <c r="Z137" i="6"/>
  <c r="Z42" i="6"/>
  <c r="Z155" i="6"/>
  <c r="Z128" i="6"/>
  <c r="Z61" i="6"/>
  <c r="Z392" i="6"/>
  <c r="Z23" i="6"/>
  <c r="Z83" i="6"/>
  <c r="Z8" i="6"/>
  <c r="Z469" i="6"/>
  <c r="Z362" i="6"/>
  <c r="Z324" i="6"/>
  <c r="Y5" i="6"/>
  <c r="Z399" i="6"/>
  <c r="Z252" i="6"/>
  <c r="Z50" i="6"/>
  <c r="Z116" i="6"/>
  <c r="Z355" i="6"/>
  <c r="Z65" i="6"/>
  <c r="Z299" i="6"/>
  <c r="Z63" i="6"/>
  <c r="Z88" i="6"/>
  <c r="Z353" i="6"/>
  <c r="Z305" i="6"/>
  <c r="Z127" i="6"/>
  <c r="Z147" i="6"/>
  <c r="Z288" i="6"/>
  <c r="Z255" i="6"/>
  <c r="Z357" i="6"/>
  <c r="Z89" i="6"/>
  <c r="Z247" i="6"/>
  <c r="Z237" i="6"/>
  <c r="Z287" i="6"/>
  <c r="Z262" i="6"/>
  <c r="Z314" i="6"/>
  <c r="Z420" i="6"/>
  <c r="Z266" i="6"/>
  <c r="Z214" i="6"/>
  <c r="Z401" i="6"/>
  <c r="Z358" i="6"/>
  <c r="Z261" i="6"/>
  <c r="Z279" i="6"/>
  <c r="Z350" i="6"/>
  <c r="Z242" i="6"/>
  <c r="Z422" i="6"/>
  <c r="Z134" i="6"/>
  <c r="Z382" i="6"/>
  <c r="Z118" i="6"/>
  <c r="Z281" i="6"/>
  <c r="Z86" i="6"/>
  <c r="Z334" i="6"/>
  <c r="Z337" i="6"/>
  <c r="Z343" i="6"/>
  <c r="Z254" i="6"/>
  <c r="Z258" i="6"/>
  <c r="Z484" i="6"/>
  <c r="Z440" i="6"/>
  <c r="Z121" i="6"/>
  <c r="Z37" i="6"/>
  <c r="Z143" i="6"/>
  <c r="Z462" i="6"/>
  <c r="Z241" i="6"/>
  <c r="Z374" i="6"/>
  <c r="Z341" i="6"/>
  <c r="Z248" i="6"/>
  <c r="Z365" i="6"/>
  <c r="Z319" i="6"/>
  <c r="Z114" i="6"/>
  <c r="Z62" i="6"/>
  <c r="Z301" i="6"/>
  <c r="Z405" i="6"/>
  <c r="Z487" i="6"/>
  <c r="Z43" i="6"/>
  <c r="Z348" i="6"/>
  <c r="Z383" i="6"/>
  <c r="Z206" i="6"/>
  <c r="Z347" i="6"/>
  <c r="Z467" i="6"/>
  <c r="Z25" i="6"/>
  <c r="Z265" i="6"/>
  <c r="Z51" i="6"/>
  <c r="Z367" i="6"/>
  <c r="Z453" i="6"/>
  <c r="Z292" i="6"/>
  <c r="Z216" i="6"/>
  <c r="Z443" i="6"/>
  <c r="Z56" i="6"/>
  <c r="Z356" i="6"/>
  <c r="Z372" i="6"/>
  <c r="Z180" i="6"/>
  <c r="Z407" i="6"/>
  <c r="Z317" i="6"/>
  <c r="Z31" i="6"/>
  <c r="Z230" i="6"/>
  <c r="Z112" i="6"/>
  <c r="Z111" i="6"/>
  <c r="Z294" i="6"/>
  <c r="Z285" i="6"/>
  <c r="Z328" i="6"/>
  <c r="Z225" i="6"/>
  <c r="Z224" i="6"/>
  <c r="Z221" i="6"/>
  <c r="Z152" i="6"/>
  <c r="Z295" i="6"/>
  <c r="Z73" i="6"/>
  <c r="Z321" i="6"/>
  <c r="Z109" i="6"/>
  <c r="Z447" i="6"/>
  <c r="Z70" i="6"/>
  <c r="Z320" i="6"/>
  <c r="Z406" i="6"/>
  <c r="Z199" i="6"/>
  <c r="Z428" i="6"/>
  <c r="Z29" i="6"/>
  <c r="Z282" i="6"/>
  <c r="Z342" i="6"/>
  <c r="Z375" i="6"/>
  <c r="Z198" i="6"/>
  <c r="Z325" i="6"/>
  <c r="Z93" i="6"/>
  <c r="Z81" i="6"/>
  <c r="Z330" i="6"/>
  <c r="Z329" i="6"/>
  <c r="Z421" i="6"/>
  <c r="Z191" i="6"/>
  <c r="Z190" i="6"/>
  <c r="Z187" i="6"/>
  <c r="Z441" i="6"/>
  <c r="Z119" i="6"/>
  <c r="Z296" i="6"/>
  <c r="Z251" i="6"/>
  <c r="Z84" i="6"/>
  <c r="Z95" i="6"/>
  <c r="Z97" i="6"/>
  <c r="Z209" i="6"/>
  <c r="Z205" i="6"/>
  <c r="Z289" i="6"/>
  <c r="Z398" i="6"/>
  <c r="Z179" i="6"/>
  <c r="Z45" i="6"/>
  <c r="Z44" i="6"/>
  <c r="Z244" i="6"/>
  <c r="Z243" i="6"/>
  <c r="Z376" i="6"/>
  <c r="Z175" i="6"/>
  <c r="Z174" i="6"/>
  <c r="Z170" i="6"/>
  <c r="Z403" i="6"/>
  <c r="Z102" i="6"/>
  <c r="Z264" i="6"/>
  <c r="Z15" i="6"/>
  <c r="Z234" i="6"/>
  <c r="Z49" i="6"/>
  <c r="Z94" i="6"/>
  <c r="Z72" i="6"/>
  <c r="Z253" i="6"/>
  <c r="Z239" i="6"/>
  <c r="Z284" i="6"/>
  <c r="Z426" i="6"/>
  <c r="Z165" i="6"/>
  <c r="Z354" i="6"/>
  <c r="Z423" i="6"/>
  <c r="Z207" i="6"/>
  <c r="Z437" i="6"/>
  <c r="Z47" i="6"/>
  <c r="Z307" i="6"/>
  <c r="Z363" i="6"/>
  <c r="Z259" i="6"/>
  <c r="Z275" i="6"/>
  <c r="Z163" i="6"/>
  <c r="Z326" i="6"/>
  <c r="Z27" i="6"/>
  <c r="Z26" i="6"/>
  <c r="Z227" i="6"/>
  <c r="Z226" i="6"/>
  <c r="Z483" i="6"/>
  <c r="Z157" i="6"/>
  <c r="Z156" i="6"/>
  <c r="Z153" i="6"/>
  <c r="Z303" i="6"/>
  <c r="Z92" i="6"/>
  <c r="Z327" i="6"/>
  <c r="Z400" i="6"/>
  <c r="Z218" i="6"/>
  <c r="AA7" i="6"/>
  <c r="Z90" i="6"/>
  <c r="Z344" i="6"/>
  <c r="Z481" i="6"/>
  <c r="Z138" i="6"/>
  <c r="Z268" i="6"/>
  <c r="Z189" i="6"/>
  <c r="Z249" i="6"/>
  <c r="Z460" i="6"/>
  <c r="Z104" i="6"/>
  <c r="Z250" i="6"/>
  <c r="Z468" i="6"/>
  <c r="Z145" i="6"/>
  <c r="Z310" i="6"/>
  <c r="Z302" i="6"/>
  <c r="Z283" i="6"/>
  <c r="Z211" i="6"/>
  <c r="Z210" i="6"/>
  <c r="Z463" i="6"/>
  <c r="Z140" i="6"/>
  <c r="Z139" i="6"/>
  <c r="Z136" i="6"/>
  <c r="Z336" i="6"/>
  <c r="Z257" i="6"/>
  <c r="Z393" i="6"/>
  <c r="Z202" i="6"/>
  <c r="Z17" i="6"/>
  <c r="Z130" i="6"/>
  <c r="Z379" i="6"/>
  <c r="Z231" i="6"/>
  <c r="Z444" i="6"/>
  <c r="Z269" i="6"/>
  <c r="Z181" i="6"/>
  <c r="Z19" i="6"/>
  <c r="Z233" i="6"/>
  <c r="Z451" i="6"/>
  <c r="Z129" i="6"/>
  <c r="Z280" i="6"/>
  <c r="Z270" i="6"/>
  <c r="Z371" i="6"/>
  <c r="Z194" i="6"/>
  <c r="Z193" i="6"/>
  <c r="Z446" i="6"/>
  <c r="Z124" i="6"/>
  <c r="Z123" i="6"/>
  <c r="Z120" i="6"/>
  <c r="Z304" i="6"/>
  <c r="Z75" i="6"/>
  <c r="Z424" i="6"/>
  <c r="Z183" i="6"/>
  <c r="Z14" i="6"/>
  <c r="Z409" i="6"/>
  <c r="Z486" i="6"/>
  <c r="Z222" i="6"/>
  <c r="Z58" i="6"/>
  <c r="Z122" i="6"/>
  <c r="Z164" i="6"/>
  <c r="Z154" i="6"/>
  <c r="Z349" i="6"/>
  <c r="Z260" i="6"/>
  <c r="Z38" i="6"/>
  <c r="Z115" i="6"/>
  <c r="Z271" i="6"/>
  <c r="Z396" i="6"/>
  <c r="Z217" i="6"/>
  <c r="Z113" i="6"/>
  <c r="Z333" i="6"/>
  <c r="Z331" i="6"/>
  <c r="Z300" i="6"/>
  <c r="Z177" i="6"/>
  <c r="Z176" i="6"/>
  <c r="Z429" i="6"/>
  <c r="Z107" i="6"/>
  <c r="Z106" i="6"/>
  <c r="Z103" i="6"/>
  <c r="Z274" i="6"/>
  <c r="Z16" i="6"/>
  <c r="Z235" i="6"/>
  <c r="Z425" i="6"/>
  <c r="Z167" i="6"/>
  <c r="Z465" i="6"/>
  <c r="Z384" i="6"/>
  <c r="Z385" i="6"/>
  <c r="Z386" i="6"/>
  <c r="Z232" i="6"/>
  <c r="Z464" i="6"/>
  <c r="Z200" i="6"/>
  <c r="Z290" i="6"/>
  <c r="Z67" i="6"/>
  <c r="Z246" i="6"/>
  <c r="Z245" i="6"/>
  <c r="Z485" i="6"/>
  <c r="Z419" i="6"/>
  <c r="Z66" i="6"/>
  <c r="Z345" i="6"/>
  <c r="Z219" i="6"/>
  <c r="Z472" i="6"/>
  <c r="Z149" i="6"/>
  <c r="Z68" i="6"/>
  <c r="Z79" i="6"/>
  <c r="Z430" i="6"/>
  <c r="Z91" i="6"/>
  <c r="Z449" i="6"/>
  <c r="Z10" i="6"/>
  <c r="Z306" i="6"/>
  <c r="Z240" i="6"/>
  <c r="Z410" i="6"/>
  <c r="Z182" i="6"/>
  <c r="Z335" i="6"/>
  <c r="Z46" i="6"/>
  <c r="Z229" i="6"/>
  <c r="Z228" i="6"/>
  <c r="Z466" i="6"/>
  <c r="Z142" i="6"/>
  <c r="Z141" i="6"/>
  <c r="Z298" i="6"/>
  <c r="Z60" i="6"/>
  <c r="Z59" i="6"/>
  <c r="Z55" i="6"/>
  <c r="Z256" i="6"/>
  <c r="Z397" i="6"/>
  <c r="Z203" i="6"/>
  <c r="Z455" i="6"/>
  <c r="Z133" i="6"/>
  <c r="Z57" i="6"/>
  <c r="Z96" i="6"/>
  <c r="Z380" i="6"/>
  <c r="Z470" i="6"/>
  <c r="Z80" i="6"/>
  <c r="Z30" i="6"/>
  <c r="Z201" i="6"/>
  <c r="Z98" i="6"/>
  <c r="Z48" i="6"/>
  <c r="Z166" i="6"/>
  <c r="Z28" i="6"/>
  <c r="Z212" i="6"/>
  <c r="Z448" i="6"/>
  <c r="Z126" i="6"/>
  <c r="Z125" i="6"/>
  <c r="Z338" i="6"/>
  <c r="Z41" i="6"/>
  <c r="Z39" i="6"/>
  <c r="Z36" i="6"/>
  <c r="Z9" i="6"/>
  <c r="Z184" i="6"/>
  <c r="Z439" i="6"/>
  <c r="Z117" i="6"/>
  <c r="Z40" i="6"/>
  <c r="Z346" i="6"/>
  <c r="Z208" i="6"/>
  <c r="Z458" i="6"/>
  <c r="Z313" i="6"/>
  <c r="Z339" i="6"/>
  <c r="Z381" i="6"/>
  <c r="Z360" i="6"/>
  <c r="Z482" i="6"/>
  <c r="Z146" i="6"/>
  <c r="Z311" i="6"/>
  <c r="Z387" i="6"/>
  <c r="Z71" i="6"/>
  <c r="Z461" i="6"/>
  <c r="Z105" i="6"/>
  <c r="Z471" i="6"/>
  <c r="Z148" i="6"/>
  <c r="Z340" i="6"/>
  <c r="Z378" i="6"/>
  <c r="Z196" i="6"/>
  <c r="Z195" i="6"/>
  <c r="Z431" i="6"/>
  <c r="Z110" i="6"/>
  <c r="Z108" i="6"/>
  <c r="Z315" i="6"/>
  <c r="Z22" i="6"/>
  <c r="Z21" i="6"/>
  <c r="Z18" i="6"/>
  <c r="Z236" i="6"/>
  <c r="Z263" i="6"/>
  <c r="Z168" i="6"/>
  <c r="Z395" i="6"/>
  <c r="Z82" i="6"/>
  <c r="Z24" i="6"/>
  <c r="Z359" i="6"/>
  <c r="Z308" i="6"/>
  <c r="Z377" i="6"/>
  <c r="Z404" i="6"/>
  <c r="Z369" i="6"/>
  <c r="Z297" i="6"/>
  <c r="Z131" i="6"/>
  <c r="Z276" i="6"/>
  <c r="Z11" i="6"/>
  <c r="Z215" i="6"/>
  <c r="Z442" i="6"/>
  <c r="Z323" i="6"/>
  <c r="Z368" i="6"/>
  <c r="Z173" i="6"/>
  <c r="Z293" i="6"/>
  <c r="Z213" i="6"/>
  <c r="Z452" i="6"/>
  <c r="Z322" i="6"/>
  <c r="Z223" i="6"/>
  <c r="Z445" i="6"/>
  <c r="Z312" i="6"/>
  <c r="Z402" i="6"/>
  <c r="Z188" i="6"/>
  <c r="Z427" i="6"/>
  <c r="Z20" i="6"/>
  <c r="Z454" i="6"/>
  <c r="Z132" i="6"/>
  <c r="Z318" i="6"/>
  <c r="Z394" i="6"/>
  <c r="Z178" i="6"/>
  <c r="Z78" i="6"/>
  <c r="Z364" i="6"/>
  <c r="Z87" i="6"/>
  <c r="Z69" i="6"/>
  <c r="Z277" i="6"/>
  <c r="Z267" i="6"/>
  <c r="Z361" i="6"/>
  <c r="Z408" i="6"/>
  <c r="Z220" i="6"/>
  <c r="Z473" i="6"/>
  <c r="Z150" i="6"/>
  <c r="Z286" i="6"/>
  <c r="Z64" i="6"/>
  <c r="Z77" i="6"/>
  <c r="AA238" i="6" l="1"/>
  <c r="AA151" i="6"/>
  <c r="AA85" i="6"/>
  <c r="AA291" i="6"/>
  <c r="AA32" i="6"/>
  <c r="AA33" i="6"/>
  <c r="AA34" i="6"/>
  <c r="AA35" i="6"/>
  <c r="AA411" i="6"/>
  <c r="AA171" i="6"/>
  <c r="AA172" i="6"/>
  <c r="AA388" i="6"/>
  <c r="AA389" i="6"/>
  <c r="AA390" i="6"/>
  <c r="AA391" i="6"/>
  <c r="AA158" i="6"/>
  <c r="AA159" i="6"/>
  <c r="AA160" i="6"/>
  <c r="AA161" i="6"/>
  <c r="AA162" i="6"/>
  <c r="AA366" i="6"/>
  <c r="AA457" i="6"/>
  <c r="AA273" i="6"/>
  <c r="AA272" i="6"/>
  <c r="AA74" i="6"/>
  <c r="AA412" i="6"/>
  <c r="AA413" i="6"/>
  <c r="AA414" i="6"/>
  <c r="AA415" i="6"/>
  <c r="AA416" i="6"/>
  <c r="AA417" i="6"/>
  <c r="AA418" i="6"/>
  <c r="AA474" i="6"/>
  <c r="AA475" i="6"/>
  <c r="AA476" i="6"/>
  <c r="AA477" i="6"/>
  <c r="AA478" i="6"/>
  <c r="AA479" i="6"/>
  <c r="AA192" i="6"/>
  <c r="AA52" i="6"/>
  <c r="AA53" i="6"/>
  <c r="AA54" i="6"/>
  <c r="AA492" i="6"/>
  <c r="AA495" i="6"/>
  <c r="AA490" i="6"/>
  <c r="AA496" i="6"/>
  <c r="AA497" i="6"/>
  <c r="AA493" i="6"/>
  <c r="AA491" i="6"/>
  <c r="AA494" i="6"/>
  <c r="AA197" i="6"/>
  <c r="AA489" i="6"/>
  <c r="AA488" i="6"/>
  <c r="AA432" i="6"/>
  <c r="AA433" i="6"/>
  <c r="AA434" i="6"/>
  <c r="AA435" i="6"/>
  <c r="AA436" i="6"/>
  <c r="AA332" i="6"/>
  <c r="AA100" i="6"/>
  <c r="AA101" i="6"/>
  <c r="AA99" i="6"/>
  <c r="AA403" i="6"/>
  <c r="AA275" i="6"/>
  <c r="AA370" i="6"/>
  <c r="AA351" i="6"/>
  <c r="AA139" i="6"/>
  <c r="AA55" i="6"/>
  <c r="AA443" i="6"/>
  <c r="AA39" i="6"/>
  <c r="AA387" i="6"/>
  <c r="AA132" i="6"/>
  <c r="AA371" i="6"/>
  <c r="AA300" i="6"/>
  <c r="AA120" i="6"/>
  <c r="AA23" i="6"/>
  <c r="AA335" i="6"/>
  <c r="AA11" i="6"/>
  <c r="AA98" i="6"/>
  <c r="AA110" i="6"/>
  <c r="AA221" i="6"/>
  <c r="AA327" i="6"/>
  <c r="AA141" i="6"/>
  <c r="AA166" i="6"/>
  <c r="AA92" i="6"/>
  <c r="AA283" i="6"/>
  <c r="AA294" i="6"/>
  <c r="AA256" i="6"/>
  <c r="AA315" i="6"/>
  <c r="AA353" i="6"/>
  <c r="AA66" i="6"/>
  <c r="AA319" i="6"/>
  <c r="AA188" i="6"/>
  <c r="AA203" i="6"/>
  <c r="AA155" i="6"/>
  <c r="AA241" i="6"/>
  <c r="AA276" i="6"/>
  <c r="AA295" i="6"/>
  <c r="AA180" i="6"/>
  <c r="AA81" i="6"/>
  <c r="AA108" i="6"/>
  <c r="AA287" i="6"/>
  <c r="AA49" i="6"/>
  <c r="AA89" i="6"/>
  <c r="AA341" i="6"/>
  <c r="AA29" i="6"/>
  <c r="AA469" i="6"/>
  <c r="AA133" i="6"/>
  <c r="AA208" i="6"/>
  <c r="AA105" i="6"/>
  <c r="AA13" i="6"/>
  <c r="AA368" i="6"/>
  <c r="AA131" i="6"/>
  <c r="AA198" i="6"/>
  <c r="AA399" i="6"/>
  <c r="AA379" i="6"/>
  <c r="AA392" i="6"/>
  <c r="AA257" i="6"/>
  <c r="AA153" i="6"/>
  <c r="AA405" i="6"/>
  <c r="AA102" i="6"/>
  <c r="AA149" i="6"/>
  <c r="AA455" i="6"/>
  <c r="AA365" i="6"/>
  <c r="AA150" i="6"/>
  <c r="AA410" i="6"/>
  <c r="AA419" i="6"/>
  <c r="AA121" i="6"/>
  <c r="AA28" i="6"/>
  <c r="AA70" i="6"/>
  <c r="AA367" i="6"/>
  <c r="AA230" i="6"/>
  <c r="AA94" i="6"/>
  <c r="AA184" i="6"/>
  <c r="AA75" i="6"/>
  <c r="AA206" i="6"/>
  <c r="AA277" i="6"/>
  <c r="AA444" i="6"/>
  <c r="AA364" i="6"/>
  <c r="AA186" i="6"/>
  <c r="AA321" i="6"/>
  <c r="AA211" i="6"/>
  <c r="Z5" i="6"/>
  <c r="AA465" i="6"/>
  <c r="AA384" i="6"/>
  <c r="AA385" i="6"/>
  <c r="AA386" i="6"/>
  <c r="AA244" i="6"/>
  <c r="AA336" i="6"/>
  <c r="AA342" i="6"/>
  <c r="AA395" i="6"/>
  <c r="AA314" i="6"/>
  <c r="AA397" i="6"/>
  <c r="AA65" i="6"/>
  <c r="AA64" i="6"/>
  <c r="AA182" i="6"/>
  <c r="AA285" i="6"/>
  <c r="AA354" i="6"/>
  <c r="AA453" i="6"/>
  <c r="AA298" i="6"/>
  <c r="AA163" i="6"/>
  <c r="AA17" i="6"/>
  <c r="AA401" i="6"/>
  <c r="AA223" i="6"/>
  <c r="AA284" i="6"/>
  <c r="AA58" i="6"/>
  <c r="AA220" i="6"/>
  <c r="AA452" i="6"/>
  <c r="AA143" i="6"/>
  <c r="AA468" i="6"/>
  <c r="AA44" i="6"/>
  <c r="AA281" i="6"/>
  <c r="AA376" i="6"/>
  <c r="AA136" i="6"/>
  <c r="AA288" i="6"/>
  <c r="AA337" i="6"/>
  <c r="AA466" i="6"/>
  <c r="AA406" i="6"/>
  <c r="AA38" i="6"/>
  <c r="AA37" i="6"/>
  <c r="AA262" i="6"/>
  <c r="AA316" i="6"/>
  <c r="AA307" i="6"/>
  <c r="AA431" i="6"/>
  <c r="AA363" i="6"/>
  <c r="AA22" i="6"/>
  <c r="AA178" i="6"/>
  <c r="AA30" i="6"/>
  <c r="AA325" i="6"/>
  <c r="AA210" i="6"/>
  <c r="AA239" i="6"/>
  <c r="AA41" i="6"/>
  <c r="AA228" i="6"/>
  <c r="AA246" i="6"/>
  <c r="AA122" i="6"/>
  <c r="AA218" i="6"/>
  <c r="AA259" i="6"/>
  <c r="AA296" i="6"/>
  <c r="AA59" i="6"/>
  <c r="AA190" i="6"/>
  <c r="AA255" i="6"/>
  <c r="AA187" i="6"/>
  <c r="AA375" i="6"/>
  <c r="AA8" i="6"/>
  <c r="AA114" i="6"/>
  <c r="AA154" i="6"/>
  <c r="AA170" i="6"/>
  <c r="AA269" i="6"/>
  <c r="AA442" i="6"/>
  <c r="AA10" i="6"/>
  <c r="AA393" i="6"/>
  <c r="AA378" i="6"/>
  <c r="AA123" i="6"/>
  <c r="AA253" i="6"/>
  <c r="AA360" i="6"/>
  <c r="AA333" i="6"/>
  <c r="AA311" i="6"/>
  <c r="AA80" i="6"/>
  <c r="AA14" i="6"/>
  <c r="AA286" i="6"/>
  <c r="AA173" i="6"/>
  <c r="AA251" i="6"/>
  <c r="AA25" i="6"/>
  <c r="AA250" i="6"/>
  <c r="AA381" i="6"/>
  <c r="AA84" i="6"/>
  <c r="AA225" i="6"/>
  <c r="AA482" i="6"/>
  <c r="AA470" i="6"/>
  <c r="AA142" i="6"/>
  <c r="AA78" i="6"/>
  <c r="AA199" i="6"/>
  <c r="AA280" i="6"/>
  <c r="AA356" i="6"/>
  <c r="AA441" i="6"/>
  <c r="AA487" i="6"/>
  <c r="AA382" i="6"/>
  <c r="AA93" i="6"/>
  <c r="AA234" i="6"/>
  <c r="AA240" i="6"/>
  <c r="AA299" i="6"/>
  <c r="AA430" i="6"/>
  <c r="AA306" i="6"/>
  <c r="AA21" i="6"/>
  <c r="AA226" i="6"/>
  <c r="AA462" i="6"/>
  <c r="AA140" i="6"/>
  <c r="AA347" i="6"/>
  <c r="AA426" i="6"/>
  <c r="AA111" i="6"/>
  <c r="AA129" i="6"/>
  <c r="AA355" i="6"/>
  <c r="AA50" i="6"/>
  <c r="AA362" i="6"/>
  <c r="AA252" i="6"/>
  <c r="AA377" i="6"/>
  <c r="AA463" i="6"/>
  <c r="AA63" i="6"/>
  <c r="AA236" i="6"/>
  <c r="AA361" i="6"/>
  <c r="AA322" i="6"/>
  <c r="AA473" i="6"/>
  <c r="AA204" i="6"/>
  <c r="AA113" i="6"/>
  <c r="AA445" i="6"/>
  <c r="AA179" i="6"/>
  <c r="AA125" i="6"/>
  <c r="AA471" i="6"/>
  <c r="AA137" i="6"/>
  <c r="AA152" i="6"/>
  <c r="AA330" i="6"/>
  <c r="AA278" i="6"/>
  <c r="AA458" i="6"/>
  <c r="AA317" i="6"/>
  <c r="AA232" i="6"/>
  <c r="AA339" i="6"/>
  <c r="AA428" i="6"/>
  <c r="AA60" i="6"/>
  <c r="AA214" i="6"/>
  <c r="AA454" i="6"/>
  <c r="AA130" i="6"/>
  <c r="AA318" i="6"/>
  <c r="AA18" i="6"/>
  <c r="AA12" i="6"/>
  <c r="AA229" i="6"/>
  <c r="AA346" i="6"/>
  <c r="AA451" i="6"/>
  <c r="AA109" i="6"/>
  <c r="AA352" i="6"/>
  <c r="AA67" i="6"/>
  <c r="AA231" i="6"/>
  <c r="AA47" i="6"/>
  <c r="AA343" i="6"/>
  <c r="AA422" i="6"/>
  <c r="AA421" i="6"/>
  <c r="AA176" i="6"/>
  <c r="AA440" i="6"/>
  <c r="AA177" i="6"/>
  <c r="AA450" i="6"/>
  <c r="AA423" i="6"/>
  <c r="AA407" i="6"/>
  <c r="AA408" i="6"/>
  <c r="AA189" i="6"/>
  <c r="AA373" i="6"/>
  <c r="AA396" i="6"/>
  <c r="AA126" i="6"/>
  <c r="AA290" i="6"/>
  <c r="AA429" i="6"/>
  <c r="AA144" i="6"/>
  <c r="AA157" i="6"/>
  <c r="AA9" i="6"/>
  <c r="AA249" i="6"/>
  <c r="AA438" i="6"/>
  <c r="AA138" i="6"/>
  <c r="AA86" i="6"/>
  <c r="AA305" i="6"/>
  <c r="AA77" i="6"/>
  <c r="AA448" i="6"/>
  <c r="AA329" i="6"/>
  <c r="AA196" i="6"/>
  <c r="AA344" i="6"/>
  <c r="AA268" i="6"/>
  <c r="AA202" i="6"/>
  <c r="AA57" i="6"/>
  <c r="AA313" i="6"/>
  <c r="AA16" i="6"/>
  <c r="AA217" i="6"/>
  <c r="AA398" i="6"/>
  <c r="AA183" i="6"/>
  <c r="AA237" i="6"/>
  <c r="AA323" i="6"/>
  <c r="AA447" i="6"/>
  <c r="AB7" i="6"/>
  <c r="AA472" i="6"/>
  <c r="AA146" i="6"/>
  <c r="AA235" i="6"/>
  <c r="AA340" i="6"/>
  <c r="AA486" i="6"/>
  <c r="AA91" i="6"/>
  <c r="AA254" i="6"/>
  <c r="AA43" i="6"/>
  <c r="AA484" i="6"/>
  <c r="AA245" i="6"/>
  <c r="AA358" i="6"/>
  <c r="AA297" i="6"/>
  <c r="AA328" i="6"/>
  <c r="AA449" i="6"/>
  <c r="AA72" i="6"/>
  <c r="AA165" i="6"/>
  <c r="AA209" i="6"/>
  <c r="AA310" i="6"/>
  <c r="AA309" i="6"/>
  <c r="AA461" i="6"/>
  <c r="AA383" i="6"/>
  <c r="AA61" i="6"/>
  <c r="AA119" i="6"/>
  <c r="AA258" i="6"/>
  <c r="AA345" i="6"/>
  <c r="AA303" i="6"/>
  <c r="AA174" i="6"/>
  <c r="AA181" i="6"/>
  <c r="AA301" i="6"/>
  <c r="AA27" i="6"/>
  <c r="AA207" i="6"/>
  <c r="AA87" i="6"/>
  <c r="AA68" i="6"/>
  <c r="AA265" i="6"/>
  <c r="AA76" i="6"/>
  <c r="AA402" i="6"/>
  <c r="AA48" i="6"/>
  <c r="AA267" i="6"/>
  <c r="AA420" i="6"/>
  <c r="AA26" i="6"/>
  <c r="AA104" i="6"/>
  <c r="AA270" i="6"/>
  <c r="AA134" i="6"/>
  <c r="AA266" i="6"/>
  <c r="AA90" i="6"/>
  <c r="AA215" i="6"/>
  <c r="AA46" i="6"/>
  <c r="AA200" i="6"/>
  <c r="AA427" i="6"/>
  <c r="AA349" i="6"/>
  <c r="AA42" i="6"/>
  <c r="AA167" i="6"/>
  <c r="AA115" i="6"/>
  <c r="AA326" i="6"/>
  <c r="AA439" i="6"/>
  <c r="AA31" i="6"/>
  <c r="AA88" i="6"/>
  <c r="AA106" i="6"/>
  <c r="AA224" i="6"/>
  <c r="AA320" i="6"/>
  <c r="AA107" i="6"/>
  <c r="AA97" i="6"/>
  <c r="AA279" i="6"/>
  <c r="AA424" i="6"/>
  <c r="AA193" i="6"/>
  <c r="AA334" i="6"/>
  <c r="AA69" i="6"/>
  <c r="AA51" i="6"/>
  <c r="AA194" i="6"/>
  <c r="AA464" i="6"/>
  <c r="AA394" i="6"/>
  <c r="AA483" i="6"/>
  <c r="AA350" i="6"/>
  <c r="AA227" i="6"/>
  <c r="AA302" i="6"/>
  <c r="AA369" i="6"/>
  <c r="AA348" i="6"/>
  <c r="AA56" i="6"/>
  <c r="AA116" i="6"/>
  <c r="AA222" i="6"/>
  <c r="AA282" i="6"/>
  <c r="AA135" i="6"/>
  <c r="AA79" i="6"/>
  <c r="AA274" i="6"/>
  <c r="AA213" i="6"/>
  <c r="AA156" i="6"/>
  <c r="AA338" i="6"/>
  <c r="AA233" i="6"/>
  <c r="AA480" i="6"/>
  <c r="AA292" i="6"/>
  <c r="AA118" i="6"/>
  <c r="AA168" i="6"/>
  <c r="AA293" i="6"/>
  <c r="AA62" i="6"/>
  <c r="AA212" i="6"/>
  <c r="AA169" i="6"/>
  <c r="AA112" i="6"/>
  <c r="AA260" i="6"/>
  <c r="AA247" i="6"/>
  <c r="AA248" i="6"/>
  <c r="AA73" i="6"/>
  <c r="AA380" i="6"/>
  <c r="AA145" i="6"/>
  <c r="AA425" i="6"/>
  <c r="AA404" i="6"/>
  <c r="AA147" i="6"/>
  <c r="AA485" i="6"/>
  <c r="AA374" i="6"/>
  <c r="AA127" i="6"/>
  <c r="AA271" i="6"/>
  <c r="AA15" i="6"/>
  <c r="AA312" i="6"/>
  <c r="AA467" i="6"/>
  <c r="AA409" i="6"/>
  <c r="AA71" i="6"/>
  <c r="AA148" i="6"/>
  <c r="AA201" i="6"/>
  <c r="AA219" i="6"/>
  <c r="AA459" i="6"/>
  <c r="AA372" i="6"/>
  <c r="AA24" i="6"/>
  <c r="AA103" i="6"/>
  <c r="AA195" i="6"/>
  <c r="AA331" i="6"/>
  <c r="AA117" i="6"/>
  <c r="AA205" i="6"/>
  <c r="AA175" i="6"/>
  <c r="AA357" i="6"/>
  <c r="AA36" i="6"/>
  <c r="AA19" i="6"/>
  <c r="AA96" i="6"/>
  <c r="AA164" i="6"/>
  <c r="AA456" i="6"/>
  <c r="AA304" i="6"/>
  <c r="AA308" i="6"/>
  <c r="AA128" i="6"/>
  <c r="AA264" i="6"/>
  <c r="AA446" i="6"/>
  <c r="AA40" i="6"/>
  <c r="AA261" i="6"/>
  <c r="AA191" i="6"/>
  <c r="AA243" i="6"/>
  <c r="AA437" i="6"/>
  <c r="AA481" i="6"/>
  <c r="AA400" i="6"/>
  <c r="AA82" i="6"/>
  <c r="AA263" i="6"/>
  <c r="AA216" i="6"/>
  <c r="AA83" i="6"/>
  <c r="AA45" i="6"/>
  <c r="AA324" i="6"/>
  <c r="AA460" i="6"/>
  <c r="AA124" i="6"/>
  <c r="AA359" i="6"/>
  <c r="AA20" i="6"/>
  <c r="AA289" i="6"/>
  <c r="AA242" i="6"/>
  <c r="AA95" i="6"/>
  <c r="AB238" i="6" l="1"/>
  <c r="AB151" i="6"/>
  <c r="AB85" i="6"/>
  <c r="AB291" i="6"/>
  <c r="AB32" i="6"/>
  <c r="AB33" i="6"/>
  <c r="AB34" i="6"/>
  <c r="AB35" i="6"/>
  <c r="AB411" i="6"/>
  <c r="AB171" i="6"/>
  <c r="AB172" i="6"/>
  <c r="AB388" i="6"/>
  <c r="AB391" i="6"/>
  <c r="AB389" i="6"/>
  <c r="AB390" i="6"/>
  <c r="AB158" i="6"/>
  <c r="AB159" i="6"/>
  <c r="AB160" i="6"/>
  <c r="AB161" i="6"/>
  <c r="AB162" i="6"/>
  <c r="AB366" i="6"/>
  <c r="AB457" i="6"/>
  <c r="AB272" i="6"/>
  <c r="AB273" i="6"/>
  <c r="AB74" i="6"/>
  <c r="AB412" i="6"/>
  <c r="AB413" i="6"/>
  <c r="AB414" i="6"/>
  <c r="AB415" i="6"/>
  <c r="AB416" i="6"/>
  <c r="AB417" i="6"/>
  <c r="AB418" i="6"/>
  <c r="AB474" i="6"/>
  <c r="AB475" i="6"/>
  <c r="AB476" i="6"/>
  <c r="AB477" i="6"/>
  <c r="AB478" i="6"/>
  <c r="AB479" i="6"/>
  <c r="AB192" i="6"/>
  <c r="AB52" i="6"/>
  <c r="AB53" i="6"/>
  <c r="AB54" i="6"/>
  <c r="AB492" i="6"/>
  <c r="AB495" i="6"/>
  <c r="AB490" i="6"/>
  <c r="AB496" i="6"/>
  <c r="AB497" i="6"/>
  <c r="AB493" i="6"/>
  <c r="AB491" i="6"/>
  <c r="AB494" i="6"/>
  <c r="AB197" i="6"/>
  <c r="AB489" i="6"/>
  <c r="AB488" i="6"/>
  <c r="AB328" i="6"/>
  <c r="AB435" i="6"/>
  <c r="AB434" i="6"/>
  <c r="AB432" i="6"/>
  <c r="AB433" i="6"/>
  <c r="AB436" i="6"/>
  <c r="AB447" i="6"/>
  <c r="AB332" i="6"/>
  <c r="AB99" i="6"/>
  <c r="AB100" i="6"/>
  <c r="AB101" i="6"/>
  <c r="AB128" i="6"/>
  <c r="AB167" i="6"/>
  <c r="AB370" i="6"/>
  <c r="AB371" i="6"/>
  <c r="AB225" i="6"/>
  <c r="AB170" i="6"/>
  <c r="AB311" i="6"/>
  <c r="AB312" i="6"/>
  <c r="AB322" i="6"/>
  <c r="AB245" i="6"/>
  <c r="AB64" i="6"/>
  <c r="AB431" i="6"/>
  <c r="AB56" i="6"/>
  <c r="AB47" i="6"/>
  <c r="AB72" i="6"/>
  <c r="AB375" i="6"/>
  <c r="AB39" i="6"/>
  <c r="AB31" i="6"/>
  <c r="AB112" i="6"/>
  <c r="AB241" i="6"/>
  <c r="AB134" i="6"/>
  <c r="AB188" i="6"/>
  <c r="AB292" i="6"/>
  <c r="AB275" i="6"/>
  <c r="AB17" i="6"/>
  <c r="AB354" i="6"/>
  <c r="AB224" i="6"/>
  <c r="AB443" i="6"/>
  <c r="AB486" i="6"/>
  <c r="AB360" i="6"/>
  <c r="AB115" i="6"/>
  <c r="AB424" i="6"/>
  <c r="AB130" i="6"/>
  <c r="AB257" i="6"/>
  <c r="AB121" i="6"/>
  <c r="AB288" i="6"/>
  <c r="AB376" i="6"/>
  <c r="AB270" i="6"/>
  <c r="AB87" i="6"/>
  <c r="AB338" i="6"/>
  <c r="AB165" i="6"/>
  <c r="AB69" i="6"/>
  <c r="AB485" i="6"/>
  <c r="AB24" i="6"/>
  <c r="AB428" i="6"/>
  <c r="AB458" i="6"/>
  <c r="AB409" i="6"/>
  <c r="AB359" i="6"/>
  <c r="AB331" i="6"/>
  <c r="AB356" i="6"/>
  <c r="AB445" i="6"/>
  <c r="AB317" i="6"/>
  <c r="AB103" i="6"/>
  <c r="AB442" i="6"/>
  <c r="AB223" i="6"/>
  <c r="AB314" i="6"/>
  <c r="AB173" i="6"/>
  <c r="AB351" i="6"/>
  <c r="AB79" i="6"/>
  <c r="AB110" i="6"/>
  <c r="AB335" i="6"/>
  <c r="AB189" i="6"/>
  <c r="AB62" i="6"/>
  <c r="AB410" i="6"/>
  <c r="AB274" i="6"/>
  <c r="AB253" i="6"/>
  <c r="AB313" i="6"/>
  <c r="AB427" i="6"/>
  <c r="AB157" i="6"/>
  <c r="AB116" i="6"/>
  <c r="AB320" i="6"/>
  <c r="AB397" i="6"/>
  <c r="AB23" i="6"/>
  <c r="AB208" i="6"/>
  <c r="AB138" i="6"/>
  <c r="AB174" i="6"/>
  <c r="AB45" i="6"/>
  <c r="AB246" i="6"/>
  <c r="AB144" i="6"/>
  <c r="AB179" i="6"/>
  <c r="AB132" i="6"/>
  <c r="AB304" i="6"/>
  <c r="AB113" i="6"/>
  <c r="AB365" i="6"/>
  <c r="AB89" i="6"/>
  <c r="AB111" i="6"/>
  <c r="AB107" i="6"/>
  <c r="AB451" i="6"/>
  <c r="AB29" i="6"/>
  <c r="AB106" i="6"/>
  <c r="AB379" i="6"/>
  <c r="AB71" i="6"/>
  <c r="AB426" i="6"/>
  <c r="AB137" i="6"/>
  <c r="AB135" i="6"/>
  <c r="AB393" i="6"/>
  <c r="AB13" i="6"/>
  <c r="AB287" i="6"/>
  <c r="AB345" i="6"/>
  <c r="AB61" i="6"/>
  <c r="AB334" i="6"/>
  <c r="AB357" i="6"/>
  <c r="AB77" i="6"/>
  <c r="AB102" i="6"/>
  <c r="AB196" i="6"/>
  <c r="AB251" i="6"/>
  <c r="AB152" i="6"/>
  <c r="AB219" i="6"/>
  <c r="AB252" i="6"/>
  <c r="AB228" i="6"/>
  <c r="AB44" i="6"/>
  <c r="AB227" i="6"/>
  <c r="AB156" i="6"/>
  <c r="AB319" i="6"/>
  <c r="AB440" i="6"/>
  <c r="AB207" i="6"/>
  <c r="AB11" i="6"/>
  <c r="AB254" i="6"/>
  <c r="AB469" i="6"/>
  <c r="AB341" i="6"/>
  <c r="AB76" i="6"/>
  <c r="AB406" i="6"/>
  <c r="AB78" i="6"/>
  <c r="AB60" i="6"/>
  <c r="AB425" i="6"/>
  <c r="AB361" i="6"/>
  <c r="AB204" i="6"/>
  <c r="AB59" i="6"/>
  <c r="AB49" i="6"/>
  <c r="AB323" i="6"/>
  <c r="AB395" i="6"/>
  <c r="AB28" i="6"/>
  <c r="AB211" i="6"/>
  <c r="AB210" i="6"/>
  <c r="AB303" i="6"/>
  <c r="AB369" i="6"/>
  <c r="AB88" i="6"/>
  <c r="AB461" i="6"/>
  <c r="AB237" i="6"/>
  <c r="AB407" i="6"/>
  <c r="AB80" i="6"/>
  <c r="AB455" i="6"/>
  <c r="AB484" i="6"/>
  <c r="AB235" i="6"/>
  <c r="AB9" i="6"/>
  <c r="AB109" i="6"/>
  <c r="AB55" i="6"/>
  <c r="AB194" i="6"/>
  <c r="AB464" i="6"/>
  <c r="AB481" i="6"/>
  <c r="AB262" i="6"/>
  <c r="AB378" i="6"/>
  <c r="AB306" i="6"/>
  <c r="AB108" i="6"/>
  <c r="AB298" i="6"/>
  <c r="AB67" i="6"/>
  <c r="AB42" i="6"/>
  <c r="AB448" i="6"/>
  <c r="AB193" i="6"/>
  <c r="AB221" i="6"/>
  <c r="AB63" i="6"/>
  <c r="AB129" i="6"/>
  <c r="AB104" i="6"/>
  <c r="AB169" i="6"/>
  <c r="AB164" i="6"/>
  <c r="AB268" i="6"/>
  <c r="AB153" i="6"/>
  <c r="AB21" i="6"/>
  <c r="AB205" i="6"/>
  <c r="AB452" i="6"/>
  <c r="AB46" i="6"/>
  <c r="AB260" i="6"/>
  <c r="AB269" i="6"/>
  <c r="AB12" i="6"/>
  <c r="AB487" i="6"/>
  <c r="AB220" i="6"/>
  <c r="AB380" i="6"/>
  <c r="AB213" i="6"/>
  <c r="AB43" i="6"/>
  <c r="AB429" i="6"/>
  <c r="AB355" i="6"/>
  <c r="AB372" i="6"/>
  <c r="AB92" i="6"/>
  <c r="AB91" i="6"/>
  <c r="AB147" i="6"/>
  <c r="AB349" i="6"/>
  <c r="AB10" i="6"/>
  <c r="AB255" i="6"/>
  <c r="AB122" i="6"/>
  <c r="AB419" i="6"/>
  <c r="AB30" i="6"/>
  <c r="AB350" i="6"/>
  <c r="AB244" i="6"/>
  <c r="AB83" i="6"/>
  <c r="AB286" i="6"/>
  <c r="AB148" i="6"/>
  <c r="AB422" i="6"/>
  <c r="AB18" i="6"/>
  <c r="AB203" i="6"/>
  <c r="AB420" i="6"/>
  <c r="AB27" i="6"/>
  <c r="AB339" i="6"/>
  <c r="AB450" i="6"/>
  <c r="AB368" i="6"/>
  <c r="AB73" i="6"/>
  <c r="AB166" i="6"/>
  <c r="AB267" i="6"/>
  <c r="AB437" i="6"/>
  <c r="AB239" i="6"/>
  <c r="AB86" i="6"/>
  <c r="AB358" i="6"/>
  <c r="AB14" i="6"/>
  <c r="AB297" i="6"/>
  <c r="AB195" i="6"/>
  <c r="AB446" i="6"/>
  <c r="AB377" i="6"/>
  <c r="AB105" i="6"/>
  <c r="AB438" i="6"/>
  <c r="AB342" i="6"/>
  <c r="AB66" i="6"/>
  <c r="AB453" i="6"/>
  <c r="AB324" i="6"/>
  <c r="AB381" i="6"/>
  <c r="AB57" i="6"/>
  <c r="AB139" i="6"/>
  <c r="AB222" i="6"/>
  <c r="AB367" i="6"/>
  <c r="AB396" i="6"/>
  <c r="AB290" i="6"/>
  <c r="AB423" i="6"/>
  <c r="AB392" i="6"/>
  <c r="AB456" i="6"/>
  <c r="AB308" i="6"/>
  <c r="AB468" i="6"/>
  <c r="AB467" i="6"/>
  <c r="AB40" i="6"/>
  <c r="AB258" i="6"/>
  <c r="AB163" i="6"/>
  <c r="AB348" i="6"/>
  <c r="AB206" i="6"/>
  <c r="AB454" i="6"/>
  <c r="AB327" i="6"/>
  <c r="AB401" i="6"/>
  <c r="AB326" i="6"/>
  <c r="AB340" i="6"/>
  <c r="AB36" i="6"/>
  <c r="AB19" i="6"/>
  <c r="AB234" i="6"/>
  <c r="AB250" i="6"/>
  <c r="AB310" i="6"/>
  <c r="AB325" i="6"/>
  <c r="AB480" i="6"/>
  <c r="AB301" i="6"/>
  <c r="AB347" i="6"/>
  <c r="AB20" i="6"/>
  <c r="AB408" i="6"/>
  <c r="AB218" i="6"/>
  <c r="AB233" i="6"/>
  <c r="AB294" i="6"/>
  <c r="AB309" i="6"/>
  <c r="AB38" i="6"/>
  <c r="AB330" i="6"/>
  <c r="AB202" i="6"/>
  <c r="AB277" i="6"/>
  <c r="AB293" i="6"/>
  <c r="AB471" i="6"/>
  <c r="AB186" i="6"/>
  <c r="AB118" i="6"/>
  <c r="AB136" i="6"/>
  <c r="AB93" i="6"/>
  <c r="AB263" i="6"/>
  <c r="AB120" i="6"/>
  <c r="AB75" i="6"/>
  <c r="AB175" i="6"/>
  <c r="AB444" i="6"/>
  <c r="AB209" i="6"/>
  <c r="AB333" i="6"/>
  <c r="AB22" i="6"/>
  <c r="AB131" i="6"/>
  <c r="AB316" i="6"/>
  <c r="AB402" i="6"/>
  <c r="AB183" i="6"/>
  <c r="AB201" i="6"/>
  <c r="AB133" i="6"/>
  <c r="AB276" i="6"/>
  <c r="AB217" i="6"/>
  <c r="AB289" i="6"/>
  <c r="AB459" i="6"/>
  <c r="AB236" i="6"/>
  <c r="AB26" i="6"/>
  <c r="AB352" i="6"/>
  <c r="AB58" i="6"/>
  <c r="AB259" i="6"/>
  <c r="AB373" i="6"/>
  <c r="AB191" i="6"/>
  <c r="AB318" i="6"/>
  <c r="AB362" i="6"/>
  <c r="AB154" i="6"/>
  <c r="AB300" i="6"/>
  <c r="AB299" i="6"/>
  <c r="AB472" i="6"/>
  <c r="AB182" i="6"/>
  <c r="AB200" i="6"/>
  <c r="AB125" i="6"/>
  <c r="AA5" i="6"/>
  <c r="AB353" i="6"/>
  <c r="AB344" i="6"/>
  <c r="AB50" i="6"/>
  <c r="AB307" i="6"/>
  <c r="AB247" i="6"/>
  <c r="AB140" i="6"/>
  <c r="AB280" i="6"/>
  <c r="AB271" i="6"/>
  <c r="AB387" i="6"/>
  <c r="AB117" i="6"/>
  <c r="AB126" i="6"/>
  <c r="AB383" i="6"/>
  <c r="AB230" i="6"/>
  <c r="AB336" i="6"/>
  <c r="AB25" i="6"/>
  <c r="AB243" i="6"/>
  <c r="AB466" i="6"/>
  <c r="AB155" i="6"/>
  <c r="AB302" i="6"/>
  <c r="AB284" i="6"/>
  <c r="AB256" i="6"/>
  <c r="AB283" i="6"/>
  <c r="AB282" i="6"/>
  <c r="AB82" i="6"/>
  <c r="AB181" i="6"/>
  <c r="AB142" i="6"/>
  <c r="AB266" i="6"/>
  <c r="AB382" i="6"/>
  <c r="AB212" i="6"/>
  <c r="AB143" i="6"/>
  <c r="AB261" i="6"/>
  <c r="AB482" i="6"/>
  <c r="AB229" i="6"/>
  <c r="AB460" i="6"/>
  <c r="AB214" i="6"/>
  <c r="AB305" i="6"/>
  <c r="AB374" i="6"/>
  <c r="AB226" i="6"/>
  <c r="AB441" i="6"/>
  <c r="AB90" i="6"/>
  <c r="AB285" i="6"/>
  <c r="AB177" i="6"/>
  <c r="AB240" i="6"/>
  <c r="AB265" i="6"/>
  <c r="AB264" i="6"/>
  <c r="AB483" i="6"/>
  <c r="AB398" i="6"/>
  <c r="AB81" i="6"/>
  <c r="AB98" i="6"/>
  <c r="AB465" i="6"/>
  <c r="AB384" i="6"/>
  <c r="AB385" i="6"/>
  <c r="AB386" i="6"/>
  <c r="AB187" i="6"/>
  <c r="AB343" i="6"/>
  <c r="AB65" i="6"/>
  <c r="AB295" i="6"/>
  <c r="AB15" i="6"/>
  <c r="AB150" i="6"/>
  <c r="AB248" i="6"/>
  <c r="AB96" i="6"/>
  <c r="AB48" i="6"/>
  <c r="AB278" i="6"/>
  <c r="AB400" i="6"/>
  <c r="AB176" i="6"/>
  <c r="AB463" i="6"/>
  <c r="AB231" i="6"/>
  <c r="AB95" i="6"/>
  <c r="AB141" i="6"/>
  <c r="AB405" i="6"/>
  <c r="AB119" i="6"/>
  <c r="AB399" i="6"/>
  <c r="AB215" i="6"/>
  <c r="AB94" i="6"/>
  <c r="AB70" i="6"/>
  <c r="AB123" i="6"/>
  <c r="AB346" i="6"/>
  <c r="AB68" i="6"/>
  <c r="AB296" i="6"/>
  <c r="AB16" i="6"/>
  <c r="AB394" i="6"/>
  <c r="AB249" i="6"/>
  <c r="AB199" i="6"/>
  <c r="AB37" i="6"/>
  <c r="AB329" i="6"/>
  <c r="AB51" i="6"/>
  <c r="AB279" i="6"/>
  <c r="AB404" i="6"/>
  <c r="AB232" i="6"/>
  <c r="AB449" i="6"/>
  <c r="AB180" i="6"/>
  <c r="AB190" i="6"/>
  <c r="AB364" i="6"/>
  <c r="AB145" i="6"/>
  <c r="AB114" i="6"/>
  <c r="AB84" i="6"/>
  <c r="AB281" i="6"/>
  <c r="AB470" i="6"/>
  <c r="AB337" i="6"/>
  <c r="AB184" i="6"/>
  <c r="AB430" i="6"/>
  <c r="AB178" i="6"/>
  <c r="AB473" i="6"/>
  <c r="AB198" i="6"/>
  <c r="AB321" i="6"/>
  <c r="AB41" i="6"/>
  <c r="AB124" i="6"/>
  <c r="AB363" i="6"/>
  <c r="AB242" i="6"/>
  <c r="AB439" i="6"/>
  <c r="AB146" i="6"/>
  <c r="AB462" i="6"/>
  <c r="AB421" i="6"/>
  <c r="AB168" i="6"/>
  <c r="AB315" i="6"/>
  <c r="AB149" i="6"/>
  <c r="AB8" i="6"/>
  <c r="AB127" i="6"/>
  <c r="AB403" i="6"/>
  <c r="AB216" i="6"/>
  <c r="AB97" i="6"/>
  <c r="AB5" i="6" l="1"/>
</calcChain>
</file>

<file path=xl/sharedStrings.xml><?xml version="1.0" encoding="utf-8"?>
<sst xmlns="http://schemas.openxmlformats.org/spreadsheetml/2006/main" count="4766" uniqueCount="2087">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</sst>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6"/>
  <sheetViews>
    <sheetView tabSelected="1" zoomScaleNormal="100" workbookViewId="0">
      <pane ySplit="7" topLeftCell="A165" activePane="bottomLeft" state="frozen"/>
      <selection pane="bottomLeft"/>
    </sheetView>
  </sheetViews>
  <sheetFormatPr defaultColWidth="9.109375" defaultRowHeight="14.25" customHeight="1" x14ac:dyDescent="0.25"/>
  <cols>
    <col min="1" max="1" width="5.33203125" style="1" customWidth="1"/>
    <col min="2" max="2" width="3.6640625" style="1" customWidth="1"/>
    <col min="3" max="3" width="3.88671875" style="1" customWidth="1"/>
    <col min="4" max="4" width="29.6640625" style="2" customWidth="1"/>
    <col min="5" max="5" width="19" style="11" customWidth="1"/>
    <col min="6" max="6" width="25.6640625" style="2" customWidth="1"/>
    <col min="7" max="7" width="27" style="11" customWidth="1"/>
    <col min="8" max="8" width="17.33203125" style="11" customWidth="1"/>
    <col min="9" max="9" width="19" style="1" customWidth="1"/>
    <col min="10" max="10" width="10.5546875" style="1" customWidth="1"/>
    <col min="11" max="11" width="9.33203125" style="1" customWidth="1"/>
    <col min="12" max="12" width="12.44140625" style="10" customWidth="1"/>
    <col min="13" max="13" width="35.6640625" style="14" customWidth="1"/>
    <col min="14" max="14" width="21.109375" style="14" customWidth="1"/>
    <col min="15" max="15" width="6.44140625" style="1" customWidth="1"/>
    <col min="16" max="16" width="7" style="1" customWidth="1"/>
    <col min="17" max="17" width="17.33203125" style="11" customWidth="1"/>
    <col min="18" max="18" width="7.44140625" style="1" customWidth="1"/>
    <col min="19" max="19" width="9.33203125" style="1" customWidth="1"/>
    <col min="20" max="20" width="8.33203125" style="1" customWidth="1"/>
    <col min="21" max="21" width="5.6640625" style="1" customWidth="1"/>
    <col min="22" max="27" width="9.44140625" style="1" bestFit="1" customWidth="1"/>
    <col min="28" max="28" width="10.88671875" style="1" bestFit="1" customWidth="1"/>
    <col min="29" max="29" width="7" style="1" customWidth="1"/>
    <col min="30" max="30" width="21.88671875" style="1" customWidth="1"/>
    <col min="31" max="31" width="27.33203125" style="1" customWidth="1"/>
    <col min="32" max="32" width="18" style="1" customWidth="1"/>
    <col min="33" max="33" width="19.88671875" style="1" customWidth="1"/>
    <col min="34" max="34" width="15.109375" style="1" customWidth="1"/>
    <col min="35" max="35" width="18.109375" style="1" customWidth="1"/>
    <col min="36" max="16384" width="9.109375" style="1"/>
  </cols>
  <sheetData>
    <row r="1" spans="1:35" ht="14.25" customHeight="1" x14ac:dyDescent="0.25">
      <c r="D1" s="1"/>
      <c r="F1" s="1"/>
    </row>
    <row r="2" spans="1:35" ht="14.25" customHeight="1" x14ac:dyDescent="0.25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5">
      <c r="D3" s="1" t="s">
        <v>2</v>
      </c>
      <c r="E3" s="5">
        <f>+AH6</f>
        <v>122</v>
      </c>
      <c r="F3" s="5">
        <f>+AD6</f>
        <v>110</v>
      </c>
      <c r="G3" s="5">
        <f>+AF6</f>
        <v>105</v>
      </c>
      <c r="H3" s="5">
        <f>+E3-G3</f>
        <v>17</v>
      </c>
      <c r="I3" s="13" t="s">
        <v>9</v>
      </c>
      <c r="J3" s="4"/>
      <c r="K3" s="4"/>
    </row>
    <row r="4" spans="1:35" ht="27" customHeight="1" x14ac:dyDescent="0.3">
      <c r="D4" s="6" t="s">
        <v>3</v>
      </c>
      <c r="E4" s="7">
        <f>+AI6</f>
        <v>328</v>
      </c>
      <c r="F4" s="7">
        <f>+AE6</f>
        <v>181</v>
      </c>
      <c r="G4" s="7">
        <f>+AG6</f>
        <v>163</v>
      </c>
      <c r="H4" s="5">
        <f>+E4-G4</f>
        <v>165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3">
      <c r="D5" s="8" t="s">
        <v>12</v>
      </c>
      <c r="E5" s="8">
        <f>+E3+E4</f>
        <v>450</v>
      </c>
      <c r="F5" s="8">
        <f>+F3+F4</f>
        <v>291</v>
      </c>
      <c r="G5" s="8">
        <f>+G3+G4</f>
        <v>268</v>
      </c>
      <c r="H5" s="8">
        <f>+H3+H4</f>
        <v>182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SUM(S8:S2439)</f>
        <v>60</v>
      </c>
      <c r="T5" s="9">
        <f t="shared" si="0"/>
        <v>10</v>
      </c>
      <c r="U5" s="9">
        <f t="shared" si="0"/>
        <v>6</v>
      </c>
      <c r="V5" s="9">
        <f t="shared" si="0"/>
        <v>7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3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SUM(AD8:AD1708)</f>
        <v>110</v>
      </c>
      <c r="AE6" s="1">
        <f t="shared" si="1"/>
        <v>181</v>
      </c>
      <c r="AF6" s="1">
        <f t="shared" si="1"/>
        <v>105</v>
      </c>
      <c r="AG6" s="1">
        <f t="shared" si="1"/>
        <v>163</v>
      </c>
      <c r="AH6" s="1">
        <f t="shared" si="1"/>
        <v>122</v>
      </c>
      <c r="AI6" s="1">
        <f t="shared" si="1"/>
        <v>328</v>
      </c>
    </row>
    <row r="7" spans="1:35" s="69" customFormat="1" ht="14.25" customHeight="1" x14ac:dyDescent="0.3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3">
      <c r="A8" s="31">
        <v>0</v>
      </c>
      <c r="B8" s="31">
        <v>1</v>
      </c>
      <c r="C8" s="31">
        <v>1</v>
      </c>
      <c r="D8" s="32" t="s">
        <v>125</v>
      </c>
      <c r="E8" s="32" t="s">
        <v>907</v>
      </c>
      <c r="F8" s="32" t="s">
        <v>325</v>
      </c>
      <c r="G8" s="32" t="s">
        <v>178</v>
      </c>
      <c r="H8" s="32" t="s">
        <v>354</v>
      </c>
      <c r="I8" s="31" t="s">
        <v>472</v>
      </c>
      <c r="J8" s="31">
        <v>1</v>
      </c>
      <c r="K8" s="33" t="s">
        <v>733</v>
      </c>
      <c r="L8" s="33">
        <v>200</v>
      </c>
      <c r="M8" s="34" t="s">
        <v>39</v>
      </c>
      <c r="N8" s="34" t="s">
        <v>1743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3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3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3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3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3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3">
      <c r="A14" s="31">
        <v>0</v>
      </c>
      <c r="B14" s="31">
        <v>1</v>
      </c>
      <c r="C14" s="31">
        <v>1</v>
      </c>
      <c r="D14" s="32" t="s">
        <v>534</v>
      </c>
      <c r="E14" s="32" t="s">
        <v>171</v>
      </c>
      <c r="F14" s="32" t="s">
        <v>1293</v>
      </c>
      <c r="G14" s="32" t="s">
        <v>240</v>
      </c>
      <c r="H14" s="32" t="s">
        <v>354</v>
      </c>
      <c r="I14" s="31" t="s">
        <v>1360</v>
      </c>
      <c r="J14" s="31">
        <v>1</v>
      </c>
      <c r="K14" s="33" t="s">
        <v>960</v>
      </c>
      <c r="L14" s="33" t="s">
        <v>1708</v>
      </c>
      <c r="M14" s="34" t="s">
        <v>1378</v>
      </c>
      <c r="N14" s="34" t="s">
        <v>1748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3"/>
        <v>0</v>
      </c>
      <c r="AG14" s="1">
        <f t="shared" si="4"/>
        <v>1</v>
      </c>
      <c r="AH14" s="1">
        <f t="shared" si="5"/>
        <v>0</v>
      </c>
      <c r="AI14" s="1">
        <f t="shared" si="6"/>
        <v>1</v>
      </c>
    </row>
    <row r="15" spans="1:35" ht="14.25" customHeight="1" x14ac:dyDescent="0.3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3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3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3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3">
      <c r="A19" s="31">
        <v>0</v>
      </c>
      <c r="B19" s="31">
        <v>1</v>
      </c>
      <c r="C19" s="31">
        <v>1</v>
      </c>
      <c r="D19" s="32" t="s">
        <v>121</v>
      </c>
      <c r="E19" s="32" t="s">
        <v>171</v>
      </c>
      <c r="F19" s="32" t="s">
        <v>322</v>
      </c>
      <c r="G19" s="32" t="s">
        <v>323</v>
      </c>
      <c r="H19" s="32" t="s">
        <v>354</v>
      </c>
      <c r="I19" s="31" t="s">
        <v>468</v>
      </c>
      <c r="J19" s="31">
        <v>99</v>
      </c>
      <c r="K19" s="33" t="s">
        <v>965</v>
      </c>
      <c r="L19" s="33">
        <v>200</v>
      </c>
      <c r="M19" s="34" t="s">
        <v>39</v>
      </c>
      <c r="N19" s="34" t="s">
        <v>1849</v>
      </c>
      <c r="O19" s="35">
        <v>1</v>
      </c>
      <c r="P19" s="35"/>
      <c r="Q19" s="32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1</v>
      </c>
      <c r="AF19" s="1">
        <f t="shared" si="3"/>
        <v>0</v>
      </c>
      <c r="AG19" s="1">
        <f t="shared" si="4"/>
        <v>1</v>
      </c>
      <c r="AH19" s="1">
        <f t="shared" si="5"/>
        <v>0</v>
      </c>
      <c r="AI19" s="1">
        <f t="shared" si="6"/>
        <v>1</v>
      </c>
    </row>
    <row r="20" spans="1:35" ht="14.25" customHeight="1" x14ac:dyDescent="0.3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3">
      <c r="A21" s="31">
        <v>0</v>
      </c>
      <c r="B21" s="31">
        <v>1</v>
      </c>
      <c r="C21" s="31">
        <v>1</v>
      </c>
      <c r="D21" s="32" t="s">
        <v>896</v>
      </c>
      <c r="E21" s="32" t="s">
        <v>170</v>
      </c>
      <c r="F21" s="32" t="s">
        <v>294</v>
      </c>
      <c r="G21" s="32" t="s">
        <v>39</v>
      </c>
      <c r="H21" s="32" t="s">
        <v>355</v>
      </c>
      <c r="I21" s="31" t="s">
        <v>444</v>
      </c>
      <c r="J21" s="31">
        <v>11</v>
      </c>
      <c r="K21" s="33" t="s">
        <v>960</v>
      </c>
      <c r="L21" s="33" t="s">
        <v>39</v>
      </c>
      <c r="M21" s="34" t="s">
        <v>39</v>
      </c>
      <c r="N21" s="34" t="s">
        <v>1727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3">
      <c r="A22" s="31">
        <v>0</v>
      </c>
      <c r="B22" s="31">
        <v>1</v>
      </c>
      <c r="C22" s="31">
        <v>1</v>
      </c>
      <c r="D22" s="32" t="s">
        <v>118</v>
      </c>
      <c r="E22" s="32" t="s">
        <v>171</v>
      </c>
      <c r="F22" s="32" t="s">
        <v>318</v>
      </c>
      <c r="G22" s="32" t="s">
        <v>39</v>
      </c>
      <c r="H22" s="32" t="s">
        <v>368</v>
      </c>
      <c r="I22" s="31" t="s">
        <v>465</v>
      </c>
      <c r="J22" s="31">
        <v>18</v>
      </c>
      <c r="K22" s="33" t="s">
        <v>967</v>
      </c>
      <c r="L22" s="33" t="s">
        <v>39</v>
      </c>
      <c r="M22" s="34" t="s">
        <v>39</v>
      </c>
      <c r="N22" s="34" t="s">
        <v>1733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3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3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3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3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3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3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3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3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3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3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3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3">
      <c r="A34" s="31">
        <v>0</v>
      </c>
      <c r="B34" s="31">
        <v>1</v>
      </c>
      <c r="C34" s="31">
        <v>2</v>
      </c>
      <c r="D34" s="36" t="s">
        <v>1462</v>
      </c>
      <c r="E34" s="36" t="s">
        <v>1464</v>
      </c>
      <c r="F34" s="36" t="s">
        <v>1463</v>
      </c>
      <c r="G34" s="36"/>
      <c r="H34" s="36" t="s">
        <v>1138</v>
      </c>
      <c r="I34" s="37" t="s">
        <v>1465</v>
      </c>
      <c r="J34" s="31">
        <v>99</v>
      </c>
      <c r="K34" s="33" t="s">
        <v>703</v>
      </c>
      <c r="L34" s="33"/>
      <c r="M34" s="34"/>
      <c r="N34" s="34" t="s">
        <v>1727</v>
      </c>
      <c r="O34" s="35">
        <v>1</v>
      </c>
      <c r="P34" s="35">
        <v>1</v>
      </c>
      <c r="Q34" s="36" t="s">
        <v>1920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1</v>
      </c>
      <c r="AE34" s="1">
        <f t="shared" si="30"/>
        <v>0</v>
      </c>
      <c r="AF34" s="1">
        <f t="shared" si="31"/>
        <v>1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3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3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3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3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3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3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3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3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3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3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3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3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3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3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3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3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3">
      <c r="A51" s="31">
        <v>0</v>
      </c>
      <c r="B51" s="31">
        <v>1</v>
      </c>
      <c r="C51" s="31">
        <v>2</v>
      </c>
      <c r="D51" s="32" t="s">
        <v>1471</v>
      </c>
      <c r="E51" s="32"/>
      <c r="F51" s="32" t="s">
        <v>1472</v>
      </c>
      <c r="G51" s="32" t="s">
        <v>1473</v>
      </c>
      <c r="H51" s="32" t="s">
        <v>354</v>
      </c>
      <c r="I51" s="31" t="s">
        <v>1474</v>
      </c>
      <c r="J51" s="31">
        <v>99</v>
      </c>
      <c r="K51" s="33" t="s">
        <v>703</v>
      </c>
      <c r="L51" s="33">
        <v>35</v>
      </c>
      <c r="M51" s="34" t="s">
        <v>1479</v>
      </c>
      <c r="N51" s="34" t="s">
        <v>1748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3">
      <c r="A52" s="31">
        <v>0</v>
      </c>
      <c r="B52" s="31">
        <v>1</v>
      </c>
      <c r="C52" s="31">
        <v>2</v>
      </c>
      <c r="D52" s="32" t="s">
        <v>2001</v>
      </c>
      <c r="E52" s="32" t="s">
        <v>175</v>
      </c>
      <c r="F52" s="32" t="s">
        <v>2002</v>
      </c>
      <c r="G52" s="32" t="s">
        <v>2003</v>
      </c>
      <c r="H52" s="32" t="s">
        <v>354</v>
      </c>
      <c r="I52" s="31" t="s">
        <v>2004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2005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3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3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3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2052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3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3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3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3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3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3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3">
      <c r="A62" s="31">
        <v>0</v>
      </c>
      <c r="B62" s="31">
        <v>1</v>
      </c>
      <c r="C62" s="31">
        <v>2</v>
      </c>
      <c r="D62" s="32" t="s">
        <v>1617</v>
      </c>
      <c r="E62" s="32" t="s">
        <v>174</v>
      </c>
      <c r="F62" s="32" t="s">
        <v>1618</v>
      </c>
      <c r="G62" s="32" t="s">
        <v>1483</v>
      </c>
      <c r="H62" s="32" t="s">
        <v>354</v>
      </c>
      <c r="I62" s="31" t="s">
        <v>1619</v>
      </c>
      <c r="J62" s="31">
        <v>99</v>
      </c>
      <c r="K62" s="33" t="s">
        <v>962</v>
      </c>
      <c r="L62" s="33" t="s">
        <v>39</v>
      </c>
      <c r="M62" s="34" t="s">
        <v>39</v>
      </c>
      <c r="N62" s="34" t="s">
        <v>1727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3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3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3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3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3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3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3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3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3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3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3">
      <c r="A73" s="31">
        <v>0</v>
      </c>
      <c r="B73" s="31">
        <v>1</v>
      </c>
      <c r="C73" s="31">
        <v>2</v>
      </c>
      <c r="D73" s="32" t="s">
        <v>2057</v>
      </c>
      <c r="E73" s="32" t="s">
        <v>1983</v>
      </c>
      <c r="F73" s="32" t="s">
        <v>2058</v>
      </c>
      <c r="G73" s="32" t="s">
        <v>285</v>
      </c>
      <c r="H73" s="32" t="s">
        <v>354</v>
      </c>
      <c r="I73" s="31" t="s">
        <v>2059</v>
      </c>
      <c r="J73" s="31">
        <v>10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6" t="s">
        <v>2060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3">
      <c r="A74" s="31">
        <v>0</v>
      </c>
      <c r="B74" s="31">
        <v>1</v>
      </c>
      <c r="C74" s="31">
        <v>2</v>
      </c>
      <c r="D74" s="36" t="s">
        <v>2013</v>
      </c>
      <c r="E74" s="32" t="s">
        <v>175</v>
      </c>
      <c r="F74" s="36" t="s">
        <v>2014</v>
      </c>
      <c r="G74" s="36" t="s">
        <v>220</v>
      </c>
      <c r="H74" s="36" t="s">
        <v>354</v>
      </c>
      <c r="I74" s="37" t="s">
        <v>2015</v>
      </c>
      <c r="J74" s="31">
        <v>8</v>
      </c>
      <c r="K74" s="33" t="s">
        <v>703</v>
      </c>
      <c r="L74" s="33"/>
      <c r="M74" s="34"/>
      <c r="N74" s="34" t="s">
        <v>1733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3">
      <c r="A75" s="44">
        <v>0</v>
      </c>
      <c r="B75" s="44">
        <v>1</v>
      </c>
      <c r="C75" s="44">
        <v>2</v>
      </c>
      <c r="D75" s="45" t="s">
        <v>584</v>
      </c>
      <c r="E75" s="45" t="s">
        <v>174</v>
      </c>
      <c r="F75" s="45" t="s">
        <v>586</v>
      </c>
      <c r="G75" s="45" t="s">
        <v>39</v>
      </c>
      <c r="H75" s="45" t="s">
        <v>587</v>
      </c>
      <c r="I75" s="44" t="s">
        <v>588</v>
      </c>
      <c r="J75" s="44">
        <v>12</v>
      </c>
      <c r="K75" s="46" t="s">
        <v>960</v>
      </c>
      <c r="L75" s="46" t="s">
        <v>1712</v>
      </c>
      <c r="M75" s="47" t="s">
        <v>1379</v>
      </c>
      <c r="N75" s="47" t="s">
        <v>1738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3">
      <c r="A76" s="31">
        <v>0</v>
      </c>
      <c r="B76" s="31">
        <v>1</v>
      </c>
      <c r="C76" s="31">
        <v>2</v>
      </c>
      <c r="D76" s="32" t="s">
        <v>1842</v>
      </c>
      <c r="E76" s="32" t="s">
        <v>174</v>
      </c>
      <c r="F76" s="32" t="s">
        <v>1843</v>
      </c>
      <c r="G76" s="32"/>
      <c r="H76" s="32" t="s">
        <v>1844</v>
      </c>
      <c r="I76" s="31" t="s">
        <v>1845</v>
      </c>
      <c r="J76" s="31">
        <v>14</v>
      </c>
      <c r="K76" s="33" t="s">
        <v>703</v>
      </c>
      <c r="L76" s="33">
        <v>75</v>
      </c>
      <c r="M76" s="34" t="s">
        <v>971</v>
      </c>
      <c r="N76" s="34" t="s">
        <v>1743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3">
      <c r="A77" s="31">
        <v>0</v>
      </c>
      <c r="B77" s="31">
        <v>1</v>
      </c>
      <c r="C77" s="31">
        <v>2</v>
      </c>
      <c r="D77" s="36" t="s">
        <v>1724</v>
      </c>
      <c r="E77" s="32" t="s">
        <v>175</v>
      </c>
      <c r="F77" s="36" t="s">
        <v>1725</v>
      </c>
      <c r="G77" s="36" t="s">
        <v>207</v>
      </c>
      <c r="H77" s="36" t="s">
        <v>354</v>
      </c>
      <c r="I77" s="37" t="s">
        <v>1726</v>
      </c>
      <c r="J77" s="31">
        <v>99</v>
      </c>
      <c r="K77" s="33" t="s">
        <v>703</v>
      </c>
      <c r="L77" s="33"/>
      <c r="M77" s="34"/>
      <c r="N77" s="34" t="s">
        <v>1727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3">
      <c r="A78" s="31">
        <v>0</v>
      </c>
      <c r="B78" s="31">
        <v>1</v>
      </c>
      <c r="C78" s="31">
        <v>2</v>
      </c>
      <c r="D78" s="36" t="s">
        <v>1058</v>
      </c>
      <c r="E78" s="32" t="s">
        <v>175</v>
      </c>
      <c r="F78" s="36" t="s">
        <v>1097</v>
      </c>
      <c r="G78" s="36" t="s">
        <v>39</v>
      </c>
      <c r="H78" s="36" t="s">
        <v>1059</v>
      </c>
      <c r="I78" s="37" t="s">
        <v>1161</v>
      </c>
      <c r="J78" s="31">
        <v>13</v>
      </c>
      <c r="K78" s="33" t="s">
        <v>702</v>
      </c>
      <c r="L78" s="33" t="s">
        <v>689</v>
      </c>
      <c r="M78" s="34" t="s">
        <v>1441</v>
      </c>
      <c r="N78" s="34" t="s">
        <v>1749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3">
      <c r="A79" s="31">
        <v>0</v>
      </c>
      <c r="B79" s="31">
        <v>1</v>
      </c>
      <c r="C79" s="31">
        <v>2</v>
      </c>
      <c r="D79" s="36" t="s">
        <v>1595</v>
      </c>
      <c r="E79" s="32" t="s">
        <v>175</v>
      </c>
      <c r="F79" s="36" t="s">
        <v>1596</v>
      </c>
      <c r="G79" s="36" t="s">
        <v>235</v>
      </c>
      <c r="H79" s="36" t="s">
        <v>354</v>
      </c>
      <c r="I79" s="37" t="s">
        <v>1597</v>
      </c>
      <c r="J79" s="31">
        <v>99</v>
      </c>
      <c r="K79" s="33" t="s">
        <v>956</v>
      </c>
      <c r="L79" s="33">
        <v>45</v>
      </c>
      <c r="M79" s="34" t="s">
        <v>39</v>
      </c>
      <c r="N79" s="34" t="s">
        <v>1789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3">
      <c r="A80" s="38">
        <v>0</v>
      </c>
      <c r="B80" s="38">
        <v>1</v>
      </c>
      <c r="C80" s="38">
        <v>2</v>
      </c>
      <c r="D80" s="54" t="s">
        <v>1325</v>
      </c>
      <c r="E80" s="39" t="s">
        <v>174</v>
      </c>
      <c r="F80" s="39" t="s">
        <v>1268</v>
      </c>
      <c r="G80" s="39" t="s">
        <v>207</v>
      </c>
      <c r="H80" s="39" t="s">
        <v>354</v>
      </c>
      <c r="I80" s="38" t="s">
        <v>1269</v>
      </c>
      <c r="J80" s="38">
        <v>99</v>
      </c>
      <c r="K80" s="40" t="s">
        <v>962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3">
      <c r="A81" s="31">
        <v>0</v>
      </c>
      <c r="B81" s="31">
        <v>1</v>
      </c>
      <c r="C81" s="31">
        <v>3</v>
      </c>
      <c r="D81" s="36" t="s">
        <v>1799</v>
      </c>
      <c r="E81" s="32" t="s">
        <v>170</v>
      </c>
      <c r="F81" s="36" t="s">
        <v>1797</v>
      </c>
      <c r="G81" s="36" t="s">
        <v>232</v>
      </c>
      <c r="H81" s="36" t="s">
        <v>354</v>
      </c>
      <c r="I81" s="37" t="s">
        <v>1798</v>
      </c>
      <c r="J81" s="31">
        <v>99</v>
      </c>
      <c r="K81" s="33" t="s">
        <v>703</v>
      </c>
      <c r="L81" s="33"/>
      <c r="M81" s="34"/>
      <c r="N81" s="34" t="s">
        <v>1727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3">
      <c r="A82" s="31">
        <v>0</v>
      </c>
      <c r="B82" s="31">
        <v>1</v>
      </c>
      <c r="C82" s="31">
        <v>3</v>
      </c>
      <c r="D82" s="36" t="s">
        <v>1158</v>
      </c>
      <c r="E82" s="32" t="s">
        <v>170</v>
      </c>
      <c r="F82" s="36" t="s">
        <v>1159</v>
      </c>
      <c r="G82" s="36" t="s">
        <v>39</v>
      </c>
      <c r="H82" s="36" t="s">
        <v>1359</v>
      </c>
      <c r="I82" s="37" t="s">
        <v>1160</v>
      </c>
      <c r="J82" s="31">
        <v>11</v>
      </c>
      <c r="K82" s="33" t="s">
        <v>702</v>
      </c>
      <c r="L82" s="33" t="s">
        <v>1699</v>
      </c>
      <c r="M82" s="34" t="s">
        <v>1389</v>
      </c>
      <c r="N82" s="34" t="s">
        <v>1749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3">
      <c r="A83" s="31">
        <v>0</v>
      </c>
      <c r="B83" s="31">
        <v>1</v>
      </c>
      <c r="C83" s="31">
        <v>3</v>
      </c>
      <c r="D83" s="36" t="s">
        <v>124</v>
      </c>
      <c r="E83" s="32" t="s">
        <v>170</v>
      </c>
      <c r="F83" s="36" t="s">
        <v>576</v>
      </c>
      <c r="G83" s="36" t="s">
        <v>39</v>
      </c>
      <c r="H83" s="36" t="s">
        <v>373</v>
      </c>
      <c r="I83" s="37" t="s">
        <v>471</v>
      </c>
      <c r="J83" s="31">
        <v>18</v>
      </c>
      <c r="K83" s="33" t="s">
        <v>703</v>
      </c>
      <c r="L83" s="33" t="s">
        <v>695</v>
      </c>
      <c r="M83" s="34" t="s">
        <v>691</v>
      </c>
      <c r="N83" s="34" t="s">
        <v>1825</v>
      </c>
      <c r="O83" s="35">
        <v>1</v>
      </c>
      <c r="P83" s="35"/>
      <c r="Q83" s="36" t="s">
        <v>1882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3">
      <c r="A84" s="31">
        <v>0</v>
      </c>
      <c r="B84" s="31">
        <v>1</v>
      </c>
      <c r="C84" s="31">
        <v>3</v>
      </c>
      <c r="D84" s="36" t="s">
        <v>1010</v>
      </c>
      <c r="E84" s="32" t="s">
        <v>172</v>
      </c>
      <c r="F84" s="36" t="s">
        <v>1011</v>
      </c>
      <c r="G84" s="36" t="s">
        <v>1012</v>
      </c>
      <c r="H84" s="36" t="s">
        <v>354</v>
      </c>
      <c r="I84" s="37" t="s">
        <v>1013</v>
      </c>
      <c r="J84" s="31">
        <v>99</v>
      </c>
      <c r="K84" s="33" t="s">
        <v>956</v>
      </c>
      <c r="L84" s="33" t="s">
        <v>39</v>
      </c>
      <c r="M84" s="34" t="s">
        <v>39</v>
      </c>
      <c r="N84" s="34" t="s">
        <v>1733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3">
      <c r="A85" s="31">
        <v>0</v>
      </c>
      <c r="B85" s="31">
        <v>1</v>
      </c>
      <c r="C85" s="31">
        <v>3</v>
      </c>
      <c r="D85" s="36" t="s">
        <v>143</v>
      </c>
      <c r="E85" s="32" t="s">
        <v>175</v>
      </c>
      <c r="F85" s="36" t="s">
        <v>344</v>
      </c>
      <c r="G85" s="36" t="s">
        <v>345</v>
      </c>
      <c r="H85" s="36" t="s">
        <v>354</v>
      </c>
      <c r="I85" s="37" t="s">
        <v>491</v>
      </c>
      <c r="J85" s="31">
        <v>6</v>
      </c>
      <c r="K85" s="33" t="s">
        <v>957</v>
      </c>
      <c r="L85" s="33" t="s">
        <v>687</v>
      </c>
      <c r="M85" s="34" t="s">
        <v>691</v>
      </c>
      <c r="N85" s="34" t="s">
        <v>1743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3">
      <c r="A86" s="15">
        <v>0</v>
      </c>
      <c r="B86" s="15">
        <v>1</v>
      </c>
      <c r="C86" s="15">
        <v>3</v>
      </c>
      <c r="D86" s="16" t="s">
        <v>1786</v>
      </c>
      <c r="E86" s="16" t="s">
        <v>172</v>
      </c>
      <c r="F86" s="16" t="s">
        <v>1788</v>
      </c>
      <c r="G86" s="16"/>
      <c r="H86" s="16" t="s">
        <v>364</v>
      </c>
      <c r="I86" s="15" t="s">
        <v>1787</v>
      </c>
      <c r="J86" s="15">
        <v>17</v>
      </c>
      <c r="K86" s="10" t="s">
        <v>703</v>
      </c>
      <c r="L86" s="10" t="s">
        <v>1742</v>
      </c>
      <c r="M86" s="19" t="s">
        <v>691</v>
      </c>
      <c r="N86" s="17"/>
      <c r="Q86" s="20" t="s">
        <v>1914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3">
      <c r="A87" s="31">
        <v>0</v>
      </c>
      <c r="B87" s="31">
        <v>1</v>
      </c>
      <c r="C87" s="31">
        <v>3</v>
      </c>
      <c r="D87" s="32" t="s">
        <v>1810</v>
      </c>
      <c r="E87" s="32" t="s">
        <v>172</v>
      </c>
      <c r="F87" s="32" t="s">
        <v>1811</v>
      </c>
      <c r="G87" s="32" t="s">
        <v>1812</v>
      </c>
      <c r="H87" s="32" t="s">
        <v>354</v>
      </c>
      <c r="I87" s="31" t="s">
        <v>1813</v>
      </c>
      <c r="J87" s="31">
        <v>1</v>
      </c>
      <c r="K87" s="33" t="s">
        <v>703</v>
      </c>
      <c r="L87" s="33">
        <v>60</v>
      </c>
      <c r="M87" s="34" t="s">
        <v>1814</v>
      </c>
      <c r="N87" s="34" t="s">
        <v>1849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3">
      <c r="A88" s="31">
        <v>0</v>
      </c>
      <c r="B88" s="31">
        <v>1</v>
      </c>
      <c r="C88" s="31">
        <v>3</v>
      </c>
      <c r="D88" s="36" t="s">
        <v>2067</v>
      </c>
      <c r="E88" s="36" t="s">
        <v>176</v>
      </c>
      <c r="F88" s="36" t="s">
        <v>2065</v>
      </c>
      <c r="G88" s="36" t="s">
        <v>220</v>
      </c>
      <c r="H88" s="36" t="s">
        <v>354</v>
      </c>
      <c r="I88" s="37" t="s">
        <v>2066</v>
      </c>
      <c r="J88" s="31">
        <v>8</v>
      </c>
      <c r="K88" s="33" t="s">
        <v>703</v>
      </c>
      <c r="L88" s="33"/>
      <c r="M88" s="34"/>
      <c r="N88" s="34" t="s">
        <v>1733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3">
      <c r="A89" s="31">
        <v>0</v>
      </c>
      <c r="B89" s="31">
        <v>1</v>
      </c>
      <c r="C89" s="31">
        <v>3</v>
      </c>
      <c r="D89" s="36" t="s">
        <v>1598</v>
      </c>
      <c r="E89" s="32" t="s">
        <v>175</v>
      </c>
      <c r="F89" s="36" t="s">
        <v>319</v>
      </c>
      <c r="G89" s="36" t="s">
        <v>269</v>
      </c>
      <c r="H89" s="36" t="s">
        <v>354</v>
      </c>
      <c r="I89" s="37" t="s">
        <v>466</v>
      </c>
      <c r="J89" s="31">
        <v>8</v>
      </c>
      <c r="K89" s="33" t="s">
        <v>702</v>
      </c>
      <c r="L89" s="33" t="s">
        <v>689</v>
      </c>
      <c r="M89" s="34" t="s">
        <v>691</v>
      </c>
      <c r="N89" s="34" t="s">
        <v>1755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3">
      <c r="A90" s="38">
        <v>0</v>
      </c>
      <c r="B90" s="38">
        <v>1</v>
      </c>
      <c r="C90" s="38">
        <v>3</v>
      </c>
      <c r="D90" s="39" t="s">
        <v>136</v>
      </c>
      <c r="E90" s="39" t="s">
        <v>172</v>
      </c>
      <c r="F90" s="54" t="s">
        <v>1880</v>
      </c>
      <c r="G90" s="39" t="s">
        <v>240</v>
      </c>
      <c r="H90" s="39" t="s">
        <v>354</v>
      </c>
      <c r="I90" s="38" t="s">
        <v>484</v>
      </c>
      <c r="J90" s="38">
        <v>1</v>
      </c>
      <c r="K90" s="40" t="s">
        <v>956</v>
      </c>
      <c r="L90" s="40" t="s">
        <v>689</v>
      </c>
      <c r="M90" s="41" t="s">
        <v>691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3">
      <c r="A91" s="44">
        <v>0</v>
      </c>
      <c r="B91" s="44">
        <v>1</v>
      </c>
      <c r="C91" s="44">
        <v>3</v>
      </c>
      <c r="D91" s="45" t="s">
        <v>790</v>
      </c>
      <c r="E91" s="45" t="s">
        <v>610</v>
      </c>
      <c r="F91" s="45" t="s">
        <v>792</v>
      </c>
      <c r="G91" s="45" t="s">
        <v>214</v>
      </c>
      <c r="H91" s="45" t="s">
        <v>354</v>
      </c>
      <c r="I91" s="44" t="s">
        <v>791</v>
      </c>
      <c r="J91" s="44">
        <v>99</v>
      </c>
      <c r="K91" s="46" t="s">
        <v>722</v>
      </c>
      <c r="L91" s="46" t="s">
        <v>1699</v>
      </c>
      <c r="M91" s="47" t="s">
        <v>1390</v>
      </c>
      <c r="N91" s="47" t="s">
        <v>1747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3">
      <c r="A92" s="31">
        <v>0</v>
      </c>
      <c r="B92" s="31">
        <v>1</v>
      </c>
      <c r="C92" s="31">
        <v>3</v>
      </c>
      <c r="D92" s="32" t="s">
        <v>77</v>
      </c>
      <c r="E92" s="32" t="s">
        <v>172</v>
      </c>
      <c r="F92" s="32" t="s">
        <v>267</v>
      </c>
      <c r="G92" s="32" t="s">
        <v>263</v>
      </c>
      <c r="H92" s="32" t="s">
        <v>354</v>
      </c>
      <c r="I92" s="31" t="s">
        <v>424</v>
      </c>
      <c r="J92" s="31">
        <v>1</v>
      </c>
      <c r="K92" s="33" t="s">
        <v>956</v>
      </c>
      <c r="L92" s="33" t="s">
        <v>1699</v>
      </c>
      <c r="M92" s="34" t="s">
        <v>970</v>
      </c>
      <c r="N92" s="34" t="s">
        <v>1743</v>
      </c>
      <c r="O92" s="35">
        <v>1</v>
      </c>
      <c r="P92" s="35"/>
      <c r="Q92" s="32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1</v>
      </c>
      <c r="AF92" s="1">
        <f t="shared" si="69"/>
        <v>0</v>
      </c>
      <c r="AG92" s="1">
        <f t="shared" si="70"/>
        <v>1</v>
      </c>
      <c r="AH92" s="1">
        <f t="shared" si="71"/>
        <v>0</v>
      </c>
      <c r="AI92" s="1">
        <f t="shared" si="72"/>
        <v>1</v>
      </c>
    </row>
    <row r="93" spans="1:35" ht="14.25" customHeight="1" x14ac:dyDescent="0.3">
      <c r="A93" s="15">
        <v>0</v>
      </c>
      <c r="B93" s="15">
        <v>1</v>
      </c>
      <c r="C93" s="15">
        <v>3</v>
      </c>
      <c r="D93" s="20" t="s">
        <v>1952</v>
      </c>
      <c r="E93" s="20" t="s">
        <v>1983</v>
      </c>
      <c r="F93" s="20" t="s">
        <v>1984</v>
      </c>
      <c r="G93" s="20"/>
      <c r="H93" s="20" t="s">
        <v>1980</v>
      </c>
      <c r="I93" s="21" t="s">
        <v>1985</v>
      </c>
      <c r="J93" s="15">
        <v>18</v>
      </c>
      <c r="K93" s="10" t="s">
        <v>703</v>
      </c>
      <c r="L93" s="10" t="s">
        <v>1742</v>
      </c>
      <c r="M93" s="19" t="s">
        <v>971</v>
      </c>
      <c r="N93" s="17"/>
      <c r="Q93" s="20" t="s">
        <v>1986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3">
      <c r="A94" s="31">
        <v>0</v>
      </c>
      <c r="B94" s="31">
        <v>1</v>
      </c>
      <c r="C94" s="31">
        <v>3</v>
      </c>
      <c r="D94" s="36" t="s">
        <v>1525</v>
      </c>
      <c r="E94" s="32" t="s">
        <v>176</v>
      </c>
      <c r="F94" s="36" t="s">
        <v>1526</v>
      </c>
      <c r="G94" s="36" t="s">
        <v>39</v>
      </c>
      <c r="H94" s="36" t="s">
        <v>906</v>
      </c>
      <c r="I94" s="37" t="s">
        <v>1527</v>
      </c>
      <c r="J94" s="31">
        <v>11</v>
      </c>
      <c r="K94" s="33" t="s">
        <v>964</v>
      </c>
      <c r="L94" s="33" t="s">
        <v>39</v>
      </c>
      <c r="M94" s="34" t="s">
        <v>39</v>
      </c>
      <c r="N94" s="34" t="s">
        <v>1733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3">
      <c r="A95" s="31">
        <v>0</v>
      </c>
      <c r="B95" s="31">
        <v>1</v>
      </c>
      <c r="C95" s="31">
        <v>3</v>
      </c>
      <c r="D95" s="36" t="s">
        <v>1854</v>
      </c>
      <c r="E95" s="36" t="s">
        <v>172</v>
      </c>
      <c r="F95" s="36" t="s">
        <v>1855</v>
      </c>
      <c r="G95" s="36"/>
      <c r="H95" s="36" t="s">
        <v>1856</v>
      </c>
      <c r="I95" s="37" t="s">
        <v>1857</v>
      </c>
      <c r="J95" s="31">
        <v>15</v>
      </c>
      <c r="K95" s="33" t="s">
        <v>703</v>
      </c>
      <c r="L95" s="33"/>
      <c r="M95" s="34"/>
      <c r="N95" s="34" t="s">
        <v>1733</v>
      </c>
      <c r="O95" s="35">
        <v>1</v>
      </c>
      <c r="P95" s="35">
        <v>1</v>
      </c>
      <c r="Q95" s="36" t="s">
        <v>1892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3">
      <c r="A96" s="44">
        <v>0</v>
      </c>
      <c r="B96" s="44">
        <v>1</v>
      </c>
      <c r="C96" s="44">
        <v>3</v>
      </c>
      <c r="D96" s="45" t="s">
        <v>736</v>
      </c>
      <c r="E96" s="45" t="s">
        <v>1331</v>
      </c>
      <c r="F96" s="45" t="s">
        <v>1658</v>
      </c>
      <c r="G96" s="45" t="s">
        <v>39</v>
      </c>
      <c r="H96" s="45" t="s">
        <v>737</v>
      </c>
      <c r="I96" s="44" t="s">
        <v>738</v>
      </c>
      <c r="J96" s="44">
        <v>18</v>
      </c>
      <c r="K96" s="46" t="s">
        <v>702</v>
      </c>
      <c r="L96" s="46" t="s">
        <v>688</v>
      </c>
      <c r="M96" s="47" t="s">
        <v>970</v>
      </c>
      <c r="N96" s="47" t="s">
        <v>1809</v>
      </c>
      <c r="O96" s="48"/>
      <c r="P96" s="48"/>
      <c r="Q96" s="45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0</v>
      </c>
      <c r="AF96" s="1">
        <f t="shared" si="69"/>
        <v>0</v>
      </c>
      <c r="AG96" s="1">
        <f t="shared" si="70"/>
        <v>0</v>
      </c>
      <c r="AH96" s="1">
        <f t="shared" si="71"/>
        <v>0</v>
      </c>
      <c r="AI96" s="1">
        <f t="shared" si="72"/>
        <v>1</v>
      </c>
    </row>
    <row r="97" spans="1:35" ht="14.25" customHeight="1" x14ac:dyDescent="0.3">
      <c r="A97" s="31">
        <v>0</v>
      </c>
      <c r="B97" s="31">
        <v>1</v>
      </c>
      <c r="C97" s="31">
        <v>3</v>
      </c>
      <c r="D97" s="32" t="s">
        <v>1546</v>
      </c>
      <c r="E97" s="32" t="s">
        <v>172</v>
      </c>
      <c r="F97" s="32" t="s">
        <v>1547</v>
      </c>
      <c r="G97" s="32" t="s">
        <v>39</v>
      </c>
      <c r="H97" s="32" t="s">
        <v>364</v>
      </c>
      <c r="I97" s="31" t="s">
        <v>1548</v>
      </c>
      <c r="J97" s="31">
        <v>17</v>
      </c>
      <c r="K97" s="33" t="s">
        <v>722</v>
      </c>
      <c r="L97" s="33" t="s">
        <v>688</v>
      </c>
      <c r="M97" s="34" t="s">
        <v>39</v>
      </c>
      <c r="N97" s="34" t="s">
        <v>1727</v>
      </c>
      <c r="O97" s="35">
        <v>1</v>
      </c>
      <c r="P97" s="35">
        <v>1</v>
      </c>
      <c r="Q97" s="36" t="s">
        <v>1916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3">
      <c r="A98" s="31">
        <v>0</v>
      </c>
      <c r="B98" s="31">
        <v>1</v>
      </c>
      <c r="C98" s="31">
        <v>3</v>
      </c>
      <c r="D98" s="36" t="s">
        <v>119</v>
      </c>
      <c r="E98" s="32" t="s">
        <v>172</v>
      </c>
      <c r="F98" s="36" t="s">
        <v>320</v>
      </c>
      <c r="G98" s="36" t="s">
        <v>39</v>
      </c>
      <c r="H98" s="36" t="s">
        <v>370</v>
      </c>
      <c r="I98" s="37" t="s">
        <v>467</v>
      </c>
      <c r="J98" s="31">
        <v>14</v>
      </c>
      <c r="K98" s="33" t="s">
        <v>956</v>
      </c>
      <c r="L98" s="33" t="s">
        <v>694</v>
      </c>
      <c r="M98" s="34" t="s">
        <v>691</v>
      </c>
      <c r="N98" s="34" t="s">
        <v>1748</v>
      </c>
      <c r="O98" s="35">
        <v>1</v>
      </c>
      <c r="P98" s="35"/>
      <c r="Q98" s="36" t="s">
        <v>1889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3">
      <c r="A99" s="31">
        <v>0</v>
      </c>
      <c r="B99" s="31">
        <v>1</v>
      </c>
      <c r="C99" s="31">
        <v>3</v>
      </c>
      <c r="D99" s="36" t="s">
        <v>115</v>
      </c>
      <c r="E99" s="32" t="s">
        <v>170</v>
      </c>
      <c r="F99" s="36" t="s">
        <v>326</v>
      </c>
      <c r="G99" s="36" t="s">
        <v>230</v>
      </c>
      <c r="H99" s="36" t="s">
        <v>354</v>
      </c>
      <c r="I99" s="37" t="s">
        <v>474</v>
      </c>
      <c r="J99" s="31">
        <v>7</v>
      </c>
      <c r="K99" s="33" t="s">
        <v>702</v>
      </c>
      <c r="L99" s="33" t="s">
        <v>39</v>
      </c>
      <c r="M99" s="34" t="s">
        <v>39</v>
      </c>
      <c r="N99" s="34" t="s">
        <v>1733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3">
      <c r="A100" s="31">
        <v>0</v>
      </c>
      <c r="B100" s="31">
        <v>1</v>
      </c>
      <c r="C100" s="31">
        <v>3</v>
      </c>
      <c r="D100" s="36" t="s">
        <v>1932</v>
      </c>
      <c r="E100" s="32" t="s">
        <v>1933</v>
      </c>
      <c r="F100" s="36" t="s">
        <v>1934</v>
      </c>
      <c r="G100" s="36"/>
      <c r="H100" s="36" t="s">
        <v>366</v>
      </c>
      <c r="I100" s="37" t="s">
        <v>1936</v>
      </c>
      <c r="J100" s="31">
        <v>18</v>
      </c>
      <c r="K100" s="33" t="s">
        <v>703</v>
      </c>
      <c r="L100" s="33"/>
      <c r="M100" s="34"/>
      <c r="N100" s="34" t="s">
        <v>1733</v>
      </c>
      <c r="O100" s="35">
        <v>1</v>
      </c>
      <c r="P100" s="35">
        <v>1</v>
      </c>
      <c r="Q100" s="36" t="s">
        <v>1935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3">
      <c r="A101" s="44">
        <v>0</v>
      </c>
      <c r="B101" s="44">
        <v>1</v>
      </c>
      <c r="C101" s="44">
        <v>3</v>
      </c>
      <c r="D101" s="45" t="s">
        <v>1207</v>
      </c>
      <c r="E101" s="45" t="s">
        <v>175</v>
      </c>
      <c r="F101" s="45" t="s">
        <v>1339</v>
      </c>
      <c r="G101" s="45" t="s">
        <v>39</v>
      </c>
      <c r="H101" s="45" t="s">
        <v>611</v>
      </c>
      <c r="I101" s="44" t="s">
        <v>1208</v>
      </c>
      <c r="J101" s="44">
        <v>14</v>
      </c>
      <c r="K101" s="46" t="s">
        <v>956</v>
      </c>
      <c r="L101" s="46" t="s">
        <v>1699</v>
      </c>
      <c r="M101" s="47" t="s">
        <v>1391</v>
      </c>
      <c r="N101" s="47" t="s">
        <v>1802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3">
      <c r="A102" s="31">
        <v>0</v>
      </c>
      <c r="B102" s="31">
        <v>1</v>
      </c>
      <c r="C102" s="31">
        <v>3</v>
      </c>
      <c r="D102" s="36" t="s">
        <v>821</v>
      </c>
      <c r="E102" s="32" t="s">
        <v>176</v>
      </c>
      <c r="F102" s="36" t="s">
        <v>927</v>
      </c>
      <c r="G102" s="36" t="s">
        <v>39</v>
      </c>
      <c r="H102" s="36" t="s">
        <v>372</v>
      </c>
      <c r="I102" s="37" t="s">
        <v>822</v>
      </c>
      <c r="J102" s="31">
        <v>16</v>
      </c>
      <c r="K102" s="33" t="s">
        <v>957</v>
      </c>
      <c r="L102" s="33" t="s">
        <v>688</v>
      </c>
      <c r="M102" s="34" t="s">
        <v>970</v>
      </c>
      <c r="N102" s="34" t="s">
        <v>1727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3">
      <c r="A103" s="15">
        <v>0</v>
      </c>
      <c r="B103" s="15">
        <v>1</v>
      </c>
      <c r="C103" s="15">
        <v>3</v>
      </c>
      <c r="D103" s="16" t="s">
        <v>104</v>
      </c>
      <c r="E103" s="16" t="s">
        <v>170</v>
      </c>
      <c r="F103" s="16" t="s">
        <v>303</v>
      </c>
      <c r="G103" s="16" t="s">
        <v>39</v>
      </c>
      <c r="H103" s="16" t="s">
        <v>357</v>
      </c>
      <c r="I103" s="15" t="s">
        <v>451</v>
      </c>
      <c r="J103" s="15">
        <v>18</v>
      </c>
      <c r="K103" s="10" t="s">
        <v>702</v>
      </c>
      <c r="L103" s="10" t="s">
        <v>688</v>
      </c>
      <c r="M103" s="19" t="s">
        <v>691</v>
      </c>
      <c r="N103" s="17"/>
      <c r="Q103" s="16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3">
      <c r="A104" s="44">
        <v>0</v>
      </c>
      <c r="B104" s="44">
        <v>1</v>
      </c>
      <c r="C104" s="44">
        <v>3</v>
      </c>
      <c r="D104" s="45" t="s">
        <v>516</v>
      </c>
      <c r="E104" s="45" t="s">
        <v>170</v>
      </c>
      <c r="F104" s="45" t="s">
        <v>517</v>
      </c>
      <c r="G104" s="45" t="s">
        <v>504</v>
      </c>
      <c r="H104" s="45" t="s">
        <v>354</v>
      </c>
      <c r="I104" s="44" t="s">
        <v>518</v>
      </c>
      <c r="J104" s="44">
        <v>99</v>
      </c>
      <c r="K104" s="46" t="s">
        <v>956</v>
      </c>
      <c r="L104" s="46" t="s">
        <v>694</v>
      </c>
      <c r="M104" s="47" t="s">
        <v>691</v>
      </c>
      <c r="N104" s="47" t="s">
        <v>1747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3">
      <c r="A105" s="15">
        <v>0</v>
      </c>
      <c r="B105" s="15">
        <v>1</v>
      </c>
      <c r="C105" s="15">
        <v>3</v>
      </c>
      <c r="D105" s="16" t="s">
        <v>1645</v>
      </c>
      <c r="E105" s="16" t="s">
        <v>1087</v>
      </c>
      <c r="F105" s="16" t="s">
        <v>1219</v>
      </c>
      <c r="G105" s="16" t="s">
        <v>39</v>
      </c>
      <c r="H105" s="16" t="s">
        <v>1220</v>
      </c>
      <c r="I105" s="15" t="s">
        <v>1221</v>
      </c>
      <c r="J105" s="15">
        <v>18</v>
      </c>
      <c r="K105" s="10" t="s">
        <v>958</v>
      </c>
      <c r="L105" s="10" t="s">
        <v>688</v>
      </c>
      <c r="M105" s="19" t="s">
        <v>970</v>
      </c>
      <c r="N105" s="17"/>
      <c r="Q105" s="16" t="s">
        <v>1884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3">
      <c r="A106" s="15">
        <v>0</v>
      </c>
      <c r="B106" s="15">
        <v>1</v>
      </c>
      <c r="C106" s="15">
        <v>3</v>
      </c>
      <c r="D106" s="16" t="s">
        <v>1558</v>
      </c>
      <c r="E106" s="16" t="s">
        <v>170</v>
      </c>
      <c r="F106" s="16" t="s">
        <v>1677</v>
      </c>
      <c r="G106" s="16" t="s">
        <v>39</v>
      </c>
      <c r="H106" s="16" t="s">
        <v>357</v>
      </c>
      <c r="I106" s="15" t="s">
        <v>1559</v>
      </c>
      <c r="J106" s="15">
        <v>18</v>
      </c>
      <c r="K106" s="10" t="s">
        <v>722</v>
      </c>
      <c r="L106" s="10" t="s">
        <v>688</v>
      </c>
      <c r="M106" s="19" t="s">
        <v>691</v>
      </c>
      <c r="N106" s="17"/>
      <c r="Q106" s="16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3">
      <c r="A107" s="31">
        <v>0</v>
      </c>
      <c r="B107" s="31">
        <v>1</v>
      </c>
      <c r="C107" s="31">
        <v>3</v>
      </c>
      <c r="D107" s="32" t="s">
        <v>1319</v>
      </c>
      <c r="E107" s="32" t="s">
        <v>175</v>
      </c>
      <c r="F107" s="32" t="s">
        <v>1340</v>
      </c>
      <c r="G107" s="32" t="s">
        <v>39</v>
      </c>
      <c r="H107" s="32" t="s">
        <v>354</v>
      </c>
      <c r="I107" s="31" t="s">
        <v>1136</v>
      </c>
      <c r="J107" s="31">
        <v>99</v>
      </c>
      <c r="K107" s="33" t="s">
        <v>702</v>
      </c>
      <c r="L107" s="33" t="s">
        <v>1699</v>
      </c>
      <c r="M107" s="34" t="s">
        <v>1392</v>
      </c>
      <c r="N107" s="34" t="s">
        <v>1749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3">
      <c r="A108" s="31">
        <v>0</v>
      </c>
      <c r="B108" s="31">
        <v>1</v>
      </c>
      <c r="C108" s="31">
        <v>3</v>
      </c>
      <c r="D108" s="32" t="s">
        <v>1263</v>
      </c>
      <c r="E108" s="32" t="s">
        <v>170</v>
      </c>
      <c r="F108" s="32" t="s">
        <v>1341</v>
      </c>
      <c r="G108" s="32" t="s">
        <v>1194</v>
      </c>
      <c r="H108" s="32" t="s">
        <v>354</v>
      </c>
      <c r="I108" s="31" t="s">
        <v>1195</v>
      </c>
      <c r="J108" s="31">
        <v>99</v>
      </c>
      <c r="K108" s="33" t="s">
        <v>722</v>
      </c>
      <c r="L108" s="33">
        <v>50</v>
      </c>
      <c r="M108" s="34" t="s">
        <v>39</v>
      </c>
      <c r="N108" s="34" t="s">
        <v>1801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3">
      <c r="A109" s="31">
        <v>0</v>
      </c>
      <c r="B109" s="31">
        <v>1</v>
      </c>
      <c r="C109" s="31">
        <v>3</v>
      </c>
      <c r="D109" s="32" t="s">
        <v>1019</v>
      </c>
      <c r="E109" s="32" t="s">
        <v>610</v>
      </c>
      <c r="F109" s="32" t="s">
        <v>1020</v>
      </c>
      <c r="G109" s="32" t="s">
        <v>1021</v>
      </c>
      <c r="H109" s="32" t="s">
        <v>354</v>
      </c>
      <c r="I109" s="31" t="s">
        <v>1022</v>
      </c>
      <c r="J109" s="31">
        <v>99</v>
      </c>
      <c r="K109" s="33" t="s">
        <v>956</v>
      </c>
      <c r="L109" s="33" t="s">
        <v>39</v>
      </c>
      <c r="M109" s="34" t="s">
        <v>39</v>
      </c>
      <c r="N109" s="34" t="s">
        <v>1733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3">
      <c r="A110" s="31">
        <v>0</v>
      </c>
      <c r="B110" s="31">
        <v>1</v>
      </c>
      <c r="C110" s="31">
        <v>3</v>
      </c>
      <c r="D110" s="32" t="s">
        <v>141</v>
      </c>
      <c r="E110" s="32" t="s">
        <v>175</v>
      </c>
      <c r="F110" s="32" t="s">
        <v>342</v>
      </c>
      <c r="G110" s="32" t="s">
        <v>39</v>
      </c>
      <c r="H110" s="32" t="s">
        <v>376</v>
      </c>
      <c r="I110" s="31" t="s">
        <v>489</v>
      </c>
      <c r="J110" s="31">
        <v>16</v>
      </c>
      <c r="K110" s="33" t="s">
        <v>702</v>
      </c>
      <c r="L110" s="33" t="s">
        <v>688</v>
      </c>
      <c r="M110" s="34" t="s">
        <v>1393</v>
      </c>
      <c r="N110" s="34" t="s">
        <v>1748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3">
      <c r="A111" s="31">
        <v>0</v>
      </c>
      <c r="B111" s="31">
        <v>1</v>
      </c>
      <c r="C111" s="31">
        <v>3</v>
      </c>
      <c r="D111" s="32" t="s">
        <v>817</v>
      </c>
      <c r="E111" s="32" t="s">
        <v>172</v>
      </c>
      <c r="F111" s="32" t="s">
        <v>818</v>
      </c>
      <c r="G111" s="32" t="s">
        <v>39</v>
      </c>
      <c r="H111" s="32" t="s">
        <v>819</v>
      </c>
      <c r="I111" s="31" t="s">
        <v>820</v>
      </c>
      <c r="J111" s="31">
        <v>16</v>
      </c>
      <c r="K111" s="33" t="s">
        <v>702</v>
      </c>
      <c r="L111" s="33" t="s">
        <v>688</v>
      </c>
      <c r="M111" s="34" t="s">
        <v>1393</v>
      </c>
      <c r="N111" s="34" t="s">
        <v>1727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3">
      <c r="A112" s="15">
        <v>0</v>
      </c>
      <c r="B112" s="15">
        <v>1</v>
      </c>
      <c r="C112" s="15">
        <v>3</v>
      </c>
      <c r="D112" s="16" t="s">
        <v>108</v>
      </c>
      <c r="E112" s="16" t="s">
        <v>170</v>
      </c>
      <c r="F112" s="16" t="s">
        <v>306</v>
      </c>
      <c r="G112" s="16" t="s">
        <v>39</v>
      </c>
      <c r="H112" s="16" t="s">
        <v>361</v>
      </c>
      <c r="I112" s="15" t="s">
        <v>455</v>
      </c>
      <c r="J112" s="15">
        <v>18</v>
      </c>
      <c r="K112" s="10" t="s">
        <v>703</v>
      </c>
      <c r="L112" s="10" t="s">
        <v>688</v>
      </c>
      <c r="M112" s="19" t="s">
        <v>691</v>
      </c>
      <c r="N112" s="17"/>
      <c r="Q112" s="20" t="s">
        <v>1883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3">
      <c r="A113" s="31">
        <v>0</v>
      </c>
      <c r="B113" s="31">
        <v>1</v>
      </c>
      <c r="C113" s="31">
        <v>3</v>
      </c>
      <c r="D113" s="32" t="s">
        <v>1505</v>
      </c>
      <c r="E113" s="32" t="s">
        <v>170</v>
      </c>
      <c r="F113" s="32" t="s">
        <v>1506</v>
      </c>
      <c r="G113" s="32" t="s">
        <v>39</v>
      </c>
      <c r="H113" s="32" t="s">
        <v>374</v>
      </c>
      <c r="I113" s="31" t="s">
        <v>1507</v>
      </c>
      <c r="J113" s="31">
        <v>11</v>
      </c>
      <c r="K113" s="33" t="s">
        <v>722</v>
      </c>
      <c r="L113" s="33">
        <v>50</v>
      </c>
      <c r="M113" s="34" t="s">
        <v>39</v>
      </c>
      <c r="N113" s="34" t="s">
        <v>1749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3">
      <c r="A114" s="44">
        <v>0</v>
      </c>
      <c r="B114" s="44">
        <v>1</v>
      </c>
      <c r="C114" s="44">
        <v>3</v>
      </c>
      <c r="D114" s="45" t="s">
        <v>107</v>
      </c>
      <c r="E114" s="45" t="s">
        <v>170</v>
      </c>
      <c r="F114" s="45" t="s">
        <v>305</v>
      </c>
      <c r="G114" s="45" t="s">
        <v>39</v>
      </c>
      <c r="H114" s="45" t="s">
        <v>360</v>
      </c>
      <c r="I114" s="44" t="s">
        <v>454</v>
      </c>
      <c r="J114" s="44">
        <v>18</v>
      </c>
      <c r="K114" s="46" t="s">
        <v>702</v>
      </c>
      <c r="L114" s="46">
        <v>55</v>
      </c>
      <c r="M114" s="47" t="s">
        <v>691</v>
      </c>
      <c r="N114" s="47" t="s">
        <v>1734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3">
      <c r="A115" s="31">
        <v>0</v>
      </c>
      <c r="B115" s="31">
        <v>1</v>
      </c>
      <c r="C115" s="31">
        <v>3</v>
      </c>
      <c r="D115" s="32" t="s">
        <v>128</v>
      </c>
      <c r="E115" s="32" t="s">
        <v>175</v>
      </c>
      <c r="F115" s="32" t="s">
        <v>329</v>
      </c>
      <c r="G115" s="32" t="s">
        <v>39</v>
      </c>
      <c r="H115" s="32" t="s">
        <v>375</v>
      </c>
      <c r="I115" s="31" t="s">
        <v>477</v>
      </c>
      <c r="J115" s="31">
        <v>12</v>
      </c>
      <c r="K115" s="33" t="s">
        <v>702</v>
      </c>
      <c r="L115" s="33">
        <v>35</v>
      </c>
      <c r="M115" s="34" t="s">
        <v>691</v>
      </c>
      <c r="N115" s="34" t="s">
        <v>1749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3">
      <c r="A116" s="31">
        <v>0</v>
      </c>
      <c r="B116" s="31">
        <v>1</v>
      </c>
      <c r="C116" s="31">
        <v>3</v>
      </c>
      <c r="D116" s="32" t="s">
        <v>994</v>
      </c>
      <c r="E116" s="32" t="s">
        <v>170</v>
      </c>
      <c r="F116" s="32" t="s">
        <v>1093</v>
      </c>
      <c r="G116" s="32" t="s">
        <v>232</v>
      </c>
      <c r="H116" s="32" t="s">
        <v>354</v>
      </c>
      <c r="I116" s="31" t="s">
        <v>995</v>
      </c>
      <c r="J116" s="31">
        <v>99</v>
      </c>
      <c r="K116" s="33" t="s">
        <v>956</v>
      </c>
      <c r="L116" s="33">
        <v>40</v>
      </c>
      <c r="M116" s="34" t="s">
        <v>39</v>
      </c>
      <c r="N116" s="34" t="s">
        <v>1946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3">
      <c r="A117" s="31">
        <v>0</v>
      </c>
      <c r="B117" s="31">
        <v>1</v>
      </c>
      <c r="C117" s="31">
        <v>3</v>
      </c>
      <c r="D117" s="32" t="s">
        <v>129</v>
      </c>
      <c r="E117" s="32" t="s">
        <v>170</v>
      </c>
      <c r="F117" s="32" t="s">
        <v>330</v>
      </c>
      <c r="G117" s="32" t="s">
        <v>39</v>
      </c>
      <c r="H117" s="32" t="s">
        <v>371</v>
      </c>
      <c r="I117" s="31" t="s">
        <v>478</v>
      </c>
      <c r="J117" s="31">
        <v>11</v>
      </c>
      <c r="K117" s="33" t="s">
        <v>702</v>
      </c>
      <c r="L117" s="33" t="s">
        <v>39</v>
      </c>
      <c r="M117" s="34" t="s">
        <v>39</v>
      </c>
      <c r="N117" s="34" t="s">
        <v>1727</v>
      </c>
      <c r="O117" s="35">
        <v>1</v>
      </c>
      <c r="P117" s="35">
        <v>1</v>
      </c>
      <c r="Q117" s="32" t="s">
        <v>2040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3">
      <c r="A118" s="15">
        <v>0</v>
      </c>
      <c r="B118" s="15">
        <v>1</v>
      </c>
      <c r="C118" s="15">
        <v>3</v>
      </c>
      <c r="D118" s="16" t="s">
        <v>1320</v>
      </c>
      <c r="E118" s="16" t="s">
        <v>172</v>
      </c>
      <c r="F118" s="16" t="s">
        <v>1343</v>
      </c>
      <c r="G118" s="16" t="s">
        <v>39</v>
      </c>
      <c r="H118" s="16" t="s">
        <v>988</v>
      </c>
      <c r="I118" s="15" t="s">
        <v>989</v>
      </c>
      <c r="J118" s="15">
        <v>14</v>
      </c>
      <c r="K118" s="10" t="s">
        <v>703</v>
      </c>
      <c r="L118" s="10">
        <v>30</v>
      </c>
      <c r="M118" s="19" t="s">
        <v>971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3">
      <c r="A119" s="44">
        <v>0</v>
      </c>
      <c r="B119" s="44">
        <v>1</v>
      </c>
      <c r="C119" s="44">
        <v>3</v>
      </c>
      <c r="D119" s="45" t="s">
        <v>699</v>
      </c>
      <c r="E119" s="45" t="s">
        <v>175</v>
      </c>
      <c r="F119" s="45" t="s">
        <v>700</v>
      </c>
      <c r="G119" s="45" t="s">
        <v>39</v>
      </c>
      <c r="H119" s="45" t="s">
        <v>701</v>
      </c>
      <c r="I119" s="44" t="s">
        <v>1115</v>
      </c>
      <c r="J119" s="44">
        <v>13</v>
      </c>
      <c r="K119" s="46" t="s">
        <v>702</v>
      </c>
      <c r="L119" s="46" t="s">
        <v>1699</v>
      </c>
      <c r="M119" s="47" t="s">
        <v>970</v>
      </c>
      <c r="N119" s="47" t="s">
        <v>1802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3">
      <c r="A120" s="31">
        <v>0</v>
      </c>
      <c r="B120" s="31">
        <v>1</v>
      </c>
      <c r="C120" s="31">
        <v>3</v>
      </c>
      <c r="D120" s="32" t="s">
        <v>1520</v>
      </c>
      <c r="E120" s="32" t="s">
        <v>170</v>
      </c>
      <c r="F120" s="32" t="s">
        <v>1667</v>
      </c>
      <c r="G120" s="32" t="s">
        <v>39</v>
      </c>
      <c r="H120" s="32" t="s">
        <v>1521</v>
      </c>
      <c r="I120" s="31" t="s">
        <v>1522</v>
      </c>
      <c r="J120" s="31">
        <v>11</v>
      </c>
      <c r="K120" s="33" t="s">
        <v>722</v>
      </c>
      <c r="L120" s="33">
        <v>40</v>
      </c>
      <c r="M120" s="34" t="s">
        <v>39</v>
      </c>
      <c r="N120" s="34" t="s">
        <v>1727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3">
      <c r="A121" s="15">
        <v>0</v>
      </c>
      <c r="B121" s="15">
        <v>1</v>
      </c>
      <c r="C121" s="15">
        <v>3</v>
      </c>
      <c r="D121" s="16" t="s">
        <v>146</v>
      </c>
      <c r="E121" s="16" t="s">
        <v>172</v>
      </c>
      <c r="F121" s="16" t="s">
        <v>348</v>
      </c>
      <c r="G121" s="16" t="s">
        <v>39</v>
      </c>
      <c r="H121" s="16" t="s">
        <v>367</v>
      </c>
      <c r="I121" s="15" t="s">
        <v>493</v>
      </c>
      <c r="J121" s="15">
        <v>18</v>
      </c>
      <c r="K121" s="10" t="s">
        <v>956</v>
      </c>
      <c r="L121" s="10" t="s">
        <v>697</v>
      </c>
      <c r="M121" s="19" t="s">
        <v>970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3">
      <c r="A122" s="15">
        <v>0</v>
      </c>
      <c r="B122" s="15">
        <v>1</v>
      </c>
      <c r="C122" s="15">
        <v>3</v>
      </c>
      <c r="D122" s="20" t="s">
        <v>1978</v>
      </c>
      <c r="E122" s="20" t="s">
        <v>172</v>
      </c>
      <c r="F122" s="20" t="s">
        <v>1975</v>
      </c>
      <c r="G122" s="20"/>
      <c r="H122" s="20" t="s">
        <v>1976</v>
      </c>
      <c r="I122" s="21" t="s">
        <v>1974</v>
      </c>
      <c r="J122" s="15">
        <v>17</v>
      </c>
      <c r="K122" s="10" t="s">
        <v>703</v>
      </c>
      <c r="L122" s="10" t="s">
        <v>1742</v>
      </c>
      <c r="M122" s="19" t="s">
        <v>971</v>
      </c>
      <c r="N122" s="17"/>
      <c r="Q122" s="20" t="s">
        <v>1977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3">
      <c r="A123" s="44">
        <v>0</v>
      </c>
      <c r="B123" s="44">
        <v>1</v>
      </c>
      <c r="C123" s="44">
        <v>3</v>
      </c>
      <c r="D123" s="45" t="s">
        <v>1000</v>
      </c>
      <c r="E123" s="45" t="s">
        <v>172</v>
      </c>
      <c r="F123" s="65" t="s">
        <v>1867</v>
      </c>
      <c r="G123" s="45" t="s">
        <v>39</v>
      </c>
      <c r="H123" s="45" t="s">
        <v>1001</v>
      </c>
      <c r="I123" s="44" t="s">
        <v>1116</v>
      </c>
      <c r="J123" s="44">
        <v>16</v>
      </c>
      <c r="K123" s="46" t="s">
        <v>722</v>
      </c>
      <c r="L123" s="46" t="s">
        <v>1742</v>
      </c>
      <c r="M123" s="47" t="s">
        <v>1394</v>
      </c>
      <c r="N123" s="47" t="s">
        <v>1802</v>
      </c>
      <c r="O123" s="48"/>
      <c r="P123" s="48"/>
      <c r="Q123" s="65" t="s">
        <v>1890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3">
      <c r="A124" s="15">
        <v>0</v>
      </c>
      <c r="B124" s="15">
        <v>1</v>
      </c>
      <c r="C124" s="15">
        <v>3</v>
      </c>
      <c r="D124" s="16" t="s">
        <v>1127</v>
      </c>
      <c r="E124" s="16" t="s">
        <v>172</v>
      </c>
      <c r="F124" s="16" t="s">
        <v>1344</v>
      </c>
      <c r="G124" s="16" t="s">
        <v>39</v>
      </c>
      <c r="H124" s="16" t="s">
        <v>1129</v>
      </c>
      <c r="I124" s="15" t="s">
        <v>1128</v>
      </c>
      <c r="J124" s="15">
        <v>14</v>
      </c>
      <c r="K124" s="10" t="s">
        <v>958</v>
      </c>
      <c r="L124" s="10" t="s">
        <v>1699</v>
      </c>
      <c r="M124" s="19" t="s">
        <v>1395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3">
      <c r="A125" s="31">
        <v>0</v>
      </c>
      <c r="B125" s="31">
        <v>1</v>
      </c>
      <c r="C125" s="31">
        <v>3</v>
      </c>
      <c r="D125" s="32" t="s">
        <v>1078</v>
      </c>
      <c r="E125" s="32" t="s">
        <v>172</v>
      </c>
      <c r="F125" s="32" t="s">
        <v>1040</v>
      </c>
      <c r="G125" s="32" t="s">
        <v>1104</v>
      </c>
      <c r="H125" s="32" t="s">
        <v>354</v>
      </c>
      <c r="I125" s="31" t="s">
        <v>1041</v>
      </c>
      <c r="J125" s="31">
        <v>1</v>
      </c>
      <c r="K125" s="33" t="s">
        <v>958</v>
      </c>
      <c r="L125" s="33" t="s">
        <v>687</v>
      </c>
      <c r="M125" s="34" t="s">
        <v>971</v>
      </c>
      <c r="N125" s="34" t="s">
        <v>1755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3">
      <c r="A126" s="31">
        <v>0</v>
      </c>
      <c r="B126" s="31">
        <v>1</v>
      </c>
      <c r="C126" s="31">
        <v>3</v>
      </c>
      <c r="D126" s="32" t="s">
        <v>1629</v>
      </c>
      <c r="E126" s="32" t="s">
        <v>1087</v>
      </c>
      <c r="F126" s="32" t="s">
        <v>1630</v>
      </c>
      <c r="G126" s="32" t="s">
        <v>39</v>
      </c>
      <c r="H126" s="32" t="s">
        <v>1631</v>
      </c>
      <c r="I126" s="31" t="s">
        <v>1632</v>
      </c>
      <c r="J126" s="31">
        <v>15</v>
      </c>
      <c r="K126" s="33" t="s">
        <v>958</v>
      </c>
      <c r="L126" s="33" t="s">
        <v>39</v>
      </c>
      <c r="M126" s="34" t="s">
        <v>39</v>
      </c>
      <c r="N126" s="34" t="s">
        <v>1748</v>
      </c>
      <c r="O126" s="35">
        <v>1</v>
      </c>
      <c r="P126" s="35"/>
      <c r="Q126" s="36" t="s">
        <v>1895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3">
      <c r="A127" s="15">
        <v>0</v>
      </c>
      <c r="B127" s="15">
        <v>1</v>
      </c>
      <c r="C127" s="15">
        <v>3</v>
      </c>
      <c r="D127" s="16" t="s">
        <v>613</v>
      </c>
      <c r="E127" s="16" t="s">
        <v>170</v>
      </c>
      <c r="F127" s="16" t="s">
        <v>614</v>
      </c>
      <c r="G127" s="16" t="s">
        <v>39</v>
      </c>
      <c r="H127" s="16" t="s">
        <v>366</v>
      </c>
      <c r="I127" s="15" t="s">
        <v>615</v>
      </c>
      <c r="J127" s="15">
        <v>18</v>
      </c>
      <c r="K127" s="10" t="s">
        <v>722</v>
      </c>
      <c r="L127" s="10" t="s">
        <v>1742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3">
      <c r="A128" s="15">
        <v>0</v>
      </c>
      <c r="B128" s="15">
        <v>1</v>
      </c>
      <c r="C128" s="15">
        <v>3</v>
      </c>
      <c r="D128" s="20" t="s">
        <v>1950</v>
      </c>
      <c r="E128" s="20" t="s">
        <v>172</v>
      </c>
      <c r="F128" s="20" t="s">
        <v>1971</v>
      </c>
      <c r="G128" s="20"/>
      <c r="H128" s="20" t="s">
        <v>1970</v>
      </c>
      <c r="I128" s="21" t="s">
        <v>1972</v>
      </c>
      <c r="J128" s="15">
        <v>15</v>
      </c>
      <c r="K128" s="10" t="s">
        <v>703</v>
      </c>
      <c r="L128" s="10" t="s">
        <v>1742</v>
      </c>
      <c r="M128" s="19" t="s">
        <v>971</v>
      </c>
      <c r="N128" s="17"/>
      <c r="Q128" s="20" t="s">
        <v>1973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3">
      <c r="A129" s="31">
        <v>0</v>
      </c>
      <c r="B129" s="31">
        <v>1</v>
      </c>
      <c r="C129" s="31">
        <v>3</v>
      </c>
      <c r="D129" s="32" t="s">
        <v>920</v>
      </c>
      <c r="E129" s="32" t="s">
        <v>172</v>
      </c>
      <c r="F129" s="32" t="s">
        <v>1157</v>
      </c>
      <c r="G129" s="32" t="s">
        <v>39</v>
      </c>
      <c r="H129" s="32" t="s">
        <v>363</v>
      </c>
      <c r="I129" s="31" t="s">
        <v>891</v>
      </c>
      <c r="J129" s="31">
        <v>14</v>
      </c>
      <c r="K129" s="33" t="s">
        <v>957</v>
      </c>
      <c r="L129" s="33" t="s">
        <v>39</v>
      </c>
      <c r="M129" s="34" t="s">
        <v>39</v>
      </c>
      <c r="N129" s="34" t="s">
        <v>1733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3">
      <c r="A130" s="15">
        <v>0</v>
      </c>
      <c r="B130" s="15">
        <v>1</v>
      </c>
      <c r="C130" s="15">
        <v>3</v>
      </c>
      <c r="D130" s="16" t="s">
        <v>105</v>
      </c>
      <c r="E130" s="16" t="s">
        <v>172</v>
      </c>
      <c r="F130" s="16" t="s">
        <v>931</v>
      </c>
      <c r="G130" s="16" t="s">
        <v>39</v>
      </c>
      <c r="H130" s="16" t="s">
        <v>358</v>
      </c>
      <c r="I130" s="15" t="s">
        <v>452</v>
      </c>
      <c r="J130" s="15">
        <v>18</v>
      </c>
      <c r="K130" s="10" t="s">
        <v>956</v>
      </c>
      <c r="L130" s="10" t="s">
        <v>697</v>
      </c>
      <c r="M130" s="19" t="s">
        <v>691</v>
      </c>
      <c r="N130" s="17"/>
      <c r="Q130" s="16" t="s">
        <v>1888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3">
      <c r="A131" s="31">
        <v>0</v>
      </c>
      <c r="B131" s="31">
        <v>1</v>
      </c>
      <c r="C131" s="31">
        <v>3</v>
      </c>
      <c r="D131" s="32" t="s">
        <v>1508</v>
      </c>
      <c r="E131" s="32" t="s">
        <v>1652</v>
      </c>
      <c r="F131" s="32" t="s">
        <v>1510</v>
      </c>
      <c r="G131" s="32" t="s">
        <v>39</v>
      </c>
      <c r="H131" s="32" t="s">
        <v>1511</v>
      </c>
      <c r="I131" s="31" t="s">
        <v>1509</v>
      </c>
      <c r="J131" s="31">
        <v>14</v>
      </c>
      <c r="K131" s="33" t="s">
        <v>962</v>
      </c>
      <c r="L131" s="33" t="s">
        <v>687</v>
      </c>
      <c r="M131" s="34" t="s">
        <v>1396</v>
      </c>
      <c r="N131" s="34" t="s">
        <v>1727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3">
      <c r="A132" s="44">
        <v>0</v>
      </c>
      <c r="B132" s="44">
        <v>1</v>
      </c>
      <c r="C132" s="44">
        <v>3</v>
      </c>
      <c r="D132" s="45" t="s">
        <v>1256</v>
      </c>
      <c r="E132" s="45" t="s">
        <v>172</v>
      </c>
      <c r="F132" s="45" t="s">
        <v>1257</v>
      </c>
      <c r="G132" s="45" t="s">
        <v>1259</v>
      </c>
      <c r="H132" s="45" t="s">
        <v>354</v>
      </c>
      <c r="I132" s="44" t="s">
        <v>1258</v>
      </c>
      <c r="J132" s="44">
        <v>99</v>
      </c>
      <c r="K132" s="46" t="s">
        <v>958</v>
      </c>
      <c r="L132" s="46" t="s">
        <v>693</v>
      </c>
      <c r="M132" s="47" t="s">
        <v>971</v>
      </c>
      <c r="N132" s="47" t="s">
        <v>1802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3">
      <c r="A133" s="15">
        <v>0</v>
      </c>
      <c r="B133" s="15">
        <v>1</v>
      </c>
      <c r="C133" s="15">
        <v>3</v>
      </c>
      <c r="D133" s="16" t="s">
        <v>1502</v>
      </c>
      <c r="E133" s="16" t="s">
        <v>172</v>
      </c>
      <c r="F133" s="16" t="s">
        <v>1503</v>
      </c>
      <c r="G133" s="16" t="s">
        <v>39</v>
      </c>
      <c r="H133" s="16" t="s">
        <v>365</v>
      </c>
      <c r="I133" s="15" t="s">
        <v>1504</v>
      </c>
      <c r="J133" s="15">
        <v>18</v>
      </c>
      <c r="K133" s="10" t="s">
        <v>956</v>
      </c>
      <c r="L133" s="10" t="s">
        <v>1742</v>
      </c>
      <c r="M133" s="19" t="s">
        <v>39</v>
      </c>
      <c r="N133" s="17"/>
      <c r="Q133" s="16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ht="14.25" customHeight="1" x14ac:dyDescent="0.3">
      <c r="A134" s="15">
        <v>0</v>
      </c>
      <c r="B134" s="15">
        <v>1</v>
      </c>
      <c r="C134" s="15">
        <v>3</v>
      </c>
      <c r="D134" s="16" t="s">
        <v>1623</v>
      </c>
      <c r="E134" s="16" t="s">
        <v>172</v>
      </c>
      <c r="F134" s="16" t="s">
        <v>1626</v>
      </c>
      <c r="G134" s="16" t="s">
        <v>39</v>
      </c>
      <c r="H134" s="16" t="s">
        <v>1624</v>
      </c>
      <c r="I134" s="15" t="s">
        <v>1625</v>
      </c>
      <c r="J134" s="15">
        <v>15</v>
      </c>
      <c r="K134" s="10" t="s">
        <v>722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3">
      <c r="A135" s="31">
        <v>0</v>
      </c>
      <c r="B135" s="31">
        <v>1</v>
      </c>
      <c r="C135" s="31">
        <v>3</v>
      </c>
      <c r="D135" s="32" t="s">
        <v>1244</v>
      </c>
      <c r="E135" s="32" t="s">
        <v>1246</v>
      </c>
      <c r="F135" s="32" t="s">
        <v>1247</v>
      </c>
      <c r="G135" s="32" t="s">
        <v>39</v>
      </c>
      <c r="H135" s="32" t="s">
        <v>369</v>
      </c>
      <c r="I135" s="31" t="s">
        <v>1245</v>
      </c>
      <c r="J135" s="31">
        <v>14</v>
      </c>
      <c r="K135" s="33" t="s">
        <v>958</v>
      </c>
      <c r="L135" s="33" t="s">
        <v>687</v>
      </c>
      <c r="M135" s="34" t="s">
        <v>1396</v>
      </c>
      <c r="N135" s="34" t="s">
        <v>1733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3">
      <c r="A136" s="31">
        <v>0</v>
      </c>
      <c r="B136" s="31">
        <v>1</v>
      </c>
      <c r="C136" s="31">
        <v>3</v>
      </c>
      <c r="D136" s="32" t="s">
        <v>130</v>
      </c>
      <c r="E136" s="32" t="s">
        <v>176</v>
      </c>
      <c r="F136" s="32" t="s">
        <v>331</v>
      </c>
      <c r="G136" s="32" t="s">
        <v>182</v>
      </c>
      <c r="H136" s="32" t="s">
        <v>354</v>
      </c>
      <c r="I136" s="31" t="s">
        <v>479</v>
      </c>
      <c r="J136" s="31">
        <v>99</v>
      </c>
      <c r="K136" s="33" t="s">
        <v>957</v>
      </c>
      <c r="L136" s="33" t="s">
        <v>39</v>
      </c>
      <c r="M136" s="34" t="s">
        <v>39</v>
      </c>
      <c r="N136" s="34" t="s">
        <v>1733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3">
      <c r="A137" s="31">
        <v>0</v>
      </c>
      <c r="B137" s="31">
        <v>1</v>
      </c>
      <c r="C137" s="31">
        <v>3</v>
      </c>
      <c r="D137" s="32" t="s">
        <v>921</v>
      </c>
      <c r="E137" s="32" t="s">
        <v>172</v>
      </c>
      <c r="F137" s="32" t="s">
        <v>933</v>
      </c>
      <c r="G137" s="32" t="s">
        <v>235</v>
      </c>
      <c r="H137" s="32" t="s">
        <v>354</v>
      </c>
      <c r="I137" s="31" t="s">
        <v>947</v>
      </c>
      <c r="J137" s="31">
        <v>99</v>
      </c>
      <c r="K137" s="33" t="s">
        <v>722</v>
      </c>
      <c r="L137" s="33">
        <v>45</v>
      </c>
      <c r="M137" s="34" t="s">
        <v>39</v>
      </c>
      <c r="N137" s="34" t="s">
        <v>1801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3">
      <c r="A138" s="44">
        <v>0</v>
      </c>
      <c r="B138" s="44">
        <v>1</v>
      </c>
      <c r="C138" s="44">
        <v>3</v>
      </c>
      <c r="D138" s="45" t="s">
        <v>78</v>
      </c>
      <c r="E138" s="45" t="s">
        <v>610</v>
      </c>
      <c r="F138" s="45" t="s">
        <v>308</v>
      </c>
      <c r="G138" s="45" t="s">
        <v>39</v>
      </c>
      <c r="H138" s="45" t="s">
        <v>362</v>
      </c>
      <c r="I138" s="44" t="s">
        <v>457</v>
      </c>
      <c r="J138" s="44">
        <v>12</v>
      </c>
      <c r="K138" s="46" t="s">
        <v>703</v>
      </c>
      <c r="L138" s="46">
        <v>40</v>
      </c>
      <c r="M138" s="47" t="s">
        <v>971</v>
      </c>
      <c r="N138" s="47" t="s">
        <v>1802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3">
      <c r="A139" s="15">
        <v>0</v>
      </c>
      <c r="B139" s="15">
        <v>1</v>
      </c>
      <c r="C139" s="15">
        <v>3</v>
      </c>
      <c r="D139" s="16" t="s">
        <v>1582</v>
      </c>
      <c r="E139" s="16" t="s">
        <v>170</v>
      </c>
      <c r="F139" s="16" t="s">
        <v>1584</v>
      </c>
      <c r="G139" s="16"/>
      <c r="H139" s="16" t="s">
        <v>365</v>
      </c>
      <c r="I139" s="15" t="s">
        <v>1583</v>
      </c>
      <c r="J139" s="15">
        <v>18</v>
      </c>
      <c r="K139" s="10" t="s">
        <v>703</v>
      </c>
      <c r="L139" s="10" t="s">
        <v>688</v>
      </c>
      <c r="M139" s="19" t="s">
        <v>971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3">
      <c r="A140" s="31">
        <v>0</v>
      </c>
      <c r="B140" s="31">
        <v>1</v>
      </c>
      <c r="C140" s="31">
        <v>3</v>
      </c>
      <c r="D140" s="32" t="s">
        <v>1287</v>
      </c>
      <c r="E140" s="32" t="s">
        <v>172</v>
      </c>
      <c r="F140" s="32" t="s">
        <v>1288</v>
      </c>
      <c r="G140" s="32" t="s">
        <v>238</v>
      </c>
      <c r="H140" s="32" t="s">
        <v>354</v>
      </c>
      <c r="I140" s="31" t="s">
        <v>1289</v>
      </c>
      <c r="J140" s="31">
        <v>4</v>
      </c>
      <c r="K140" s="33" t="s">
        <v>957</v>
      </c>
      <c r="L140" s="33" t="s">
        <v>39</v>
      </c>
      <c r="M140" s="34" t="s">
        <v>39</v>
      </c>
      <c r="N140" s="34" t="s">
        <v>1727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09" si="113">+O140*P140*(1-A140)</f>
        <v>1</v>
      </c>
      <c r="AG140" s="1">
        <f t="shared" ref="AG140:AG209" si="114">O140*(1-P140)*(1-A140)</f>
        <v>0</v>
      </c>
      <c r="AH140" s="1">
        <f t="shared" ref="AH140:AH209" si="115">+P140*(1-A140)</f>
        <v>1</v>
      </c>
      <c r="AI140" s="1">
        <f t="shared" ref="AI140:AI209" si="116">+(1-A140)*(1-P140)</f>
        <v>0</v>
      </c>
    </row>
    <row r="141" spans="1:35" ht="14.25" customHeight="1" x14ac:dyDescent="0.3">
      <c r="A141" s="31">
        <v>0</v>
      </c>
      <c r="B141" s="31">
        <v>1</v>
      </c>
      <c r="C141" s="31">
        <v>3</v>
      </c>
      <c r="D141" s="32" t="s">
        <v>648</v>
      </c>
      <c r="E141" s="32" t="s">
        <v>172</v>
      </c>
      <c r="F141" s="32" t="s">
        <v>657</v>
      </c>
      <c r="G141" s="32" t="s">
        <v>232</v>
      </c>
      <c r="H141" s="32" t="s">
        <v>354</v>
      </c>
      <c r="I141" s="31" t="s">
        <v>612</v>
      </c>
      <c r="J141" s="31">
        <v>99</v>
      </c>
      <c r="K141" s="33" t="s">
        <v>702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3">
      <c r="A142" s="38">
        <v>0</v>
      </c>
      <c r="B142" s="38">
        <v>1</v>
      </c>
      <c r="C142" s="38">
        <v>3</v>
      </c>
      <c r="D142" s="39" t="s">
        <v>873</v>
      </c>
      <c r="E142" s="39" t="s">
        <v>874</v>
      </c>
      <c r="F142" s="39" t="s">
        <v>875</v>
      </c>
      <c r="G142" s="39" t="s">
        <v>39</v>
      </c>
      <c r="H142" s="39" t="s">
        <v>366</v>
      </c>
      <c r="I142" s="38" t="s">
        <v>876</v>
      </c>
      <c r="J142" s="38">
        <v>18</v>
      </c>
      <c r="K142" s="40" t="s">
        <v>956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3">
      <c r="A143" s="31">
        <v>0</v>
      </c>
      <c r="B143" s="31">
        <v>1</v>
      </c>
      <c r="C143" s="31">
        <v>3</v>
      </c>
      <c r="D143" s="32" t="s">
        <v>1307</v>
      </c>
      <c r="E143" s="32" t="s">
        <v>172</v>
      </c>
      <c r="F143" s="32" t="s">
        <v>1308</v>
      </c>
      <c r="G143" s="32" t="s">
        <v>208</v>
      </c>
      <c r="H143" s="32" t="s">
        <v>354</v>
      </c>
      <c r="I143" s="31" t="s">
        <v>1309</v>
      </c>
      <c r="J143" s="31">
        <v>3</v>
      </c>
      <c r="K143" s="33" t="s">
        <v>956</v>
      </c>
      <c r="L143" s="33" t="s">
        <v>39</v>
      </c>
      <c r="M143" s="34" t="s">
        <v>39</v>
      </c>
      <c r="N143" s="34" t="s">
        <v>1733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3">
      <c r="A144" s="44">
        <v>0</v>
      </c>
      <c r="B144" s="44">
        <v>1</v>
      </c>
      <c r="C144" s="44">
        <v>3</v>
      </c>
      <c r="D144" s="45" t="s">
        <v>867</v>
      </c>
      <c r="E144" s="45" t="s">
        <v>170</v>
      </c>
      <c r="F144" s="45" t="s">
        <v>868</v>
      </c>
      <c r="G144" s="45" t="s">
        <v>39</v>
      </c>
      <c r="H144" s="45" t="s">
        <v>869</v>
      </c>
      <c r="I144" s="44" t="s">
        <v>948</v>
      </c>
      <c r="J144" s="44">
        <v>11</v>
      </c>
      <c r="K144" s="46" t="s">
        <v>702</v>
      </c>
      <c r="L144" s="46" t="s">
        <v>689</v>
      </c>
      <c r="M144" s="47" t="s">
        <v>971</v>
      </c>
      <c r="N144" s="47" t="s">
        <v>1741</v>
      </c>
      <c r="O144" s="48"/>
      <c r="P144" s="48"/>
      <c r="Q144" s="45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0</v>
      </c>
      <c r="AF144" s="1">
        <f t="shared" si="113"/>
        <v>0</v>
      </c>
      <c r="AG144" s="1">
        <f t="shared" si="114"/>
        <v>0</v>
      </c>
      <c r="AH144" s="1">
        <f t="shared" si="115"/>
        <v>0</v>
      </c>
      <c r="AI144" s="1">
        <f t="shared" si="116"/>
        <v>1</v>
      </c>
    </row>
    <row r="145" spans="1:35" ht="14.25" customHeight="1" x14ac:dyDescent="0.3">
      <c r="A145" s="31">
        <v>0</v>
      </c>
      <c r="B145" s="31">
        <v>1</v>
      </c>
      <c r="C145" s="31">
        <v>3</v>
      </c>
      <c r="D145" s="36" t="s">
        <v>506</v>
      </c>
      <c r="E145" s="36" t="s">
        <v>170</v>
      </c>
      <c r="F145" s="36" t="s">
        <v>507</v>
      </c>
      <c r="G145" s="36" t="s">
        <v>504</v>
      </c>
      <c r="H145" s="36" t="s">
        <v>354</v>
      </c>
      <c r="I145" s="37" t="s">
        <v>508</v>
      </c>
      <c r="J145" s="31">
        <v>99</v>
      </c>
      <c r="K145" s="33" t="s">
        <v>703</v>
      </c>
      <c r="L145" s="33">
        <v>40</v>
      </c>
      <c r="M145" s="34" t="s">
        <v>971</v>
      </c>
      <c r="N145" s="34" t="s">
        <v>1946</v>
      </c>
      <c r="O145" s="35">
        <v>1</v>
      </c>
      <c r="P145" s="35"/>
      <c r="Q145" s="36"/>
      <c r="S145" s="1">
        <f t="shared" ref="S145:S214" si="117">IF(J145=$S$7,1,0)</f>
        <v>0</v>
      </c>
      <c r="T145" s="1">
        <f t="shared" ref="T145:T214" si="118">IF(J145=$T$7,1,0)</f>
        <v>0</v>
      </c>
      <c r="U145" s="1">
        <f t="shared" ref="U145:U214" si="119">IF(J145=$U$7,1,0)</f>
        <v>0</v>
      </c>
      <c r="V145" s="1">
        <f t="shared" ref="V145:V214" si="120">IF(J145=$V$7,1,0)</f>
        <v>0</v>
      </c>
      <c r="W145" s="1">
        <f t="shared" ref="W145:W214" si="121">IF(J145=$W$7,1,0)</f>
        <v>0</v>
      </c>
      <c r="X145" s="1">
        <f t="shared" ref="X145:X214" si="122">IF(J145=$X$7,1,0)</f>
        <v>0</v>
      </c>
      <c r="Y145" s="1">
        <f t="shared" ref="Y145:Y214" si="123">IF(J145=$Y$7,1,0)</f>
        <v>0</v>
      </c>
      <c r="Z145" s="1">
        <f t="shared" ref="Z145:Z214" si="124">IF(J145=$Z$7,1,0)</f>
        <v>0</v>
      </c>
      <c r="AA145" s="1">
        <f t="shared" ref="AA145:AA214" si="125">IF(J145=$AA$7,1,0)</f>
        <v>0</v>
      </c>
      <c r="AB145" s="1">
        <f t="shared" ref="AB145:AB214" si="126">IF(J145=$AB$7,1,0)</f>
        <v>0</v>
      </c>
      <c r="AD145" s="1">
        <f t="shared" ref="AD145:AD214" si="127">+O145*P145</f>
        <v>0</v>
      </c>
      <c r="AE145" s="1">
        <f t="shared" ref="AE145:AE214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3">
      <c r="A146" s="31">
        <v>0</v>
      </c>
      <c r="B146" s="31">
        <v>1</v>
      </c>
      <c r="C146" s="31">
        <v>3</v>
      </c>
      <c r="D146" s="36" t="s">
        <v>1792</v>
      </c>
      <c r="E146" s="36" t="s">
        <v>1793</v>
      </c>
      <c r="F146" s="36" t="s">
        <v>1794</v>
      </c>
      <c r="G146" s="36" t="s">
        <v>1795</v>
      </c>
      <c r="H146" s="36" t="s">
        <v>354</v>
      </c>
      <c r="I146" s="37" t="s">
        <v>1796</v>
      </c>
      <c r="J146" s="31">
        <v>99</v>
      </c>
      <c r="K146" s="33" t="s">
        <v>703</v>
      </c>
      <c r="L146" s="33"/>
      <c r="M146" s="34"/>
      <c r="N146" s="34" t="s">
        <v>1733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3">
      <c r="A147" s="31">
        <v>0</v>
      </c>
      <c r="B147" s="31">
        <v>1</v>
      </c>
      <c r="C147" s="31">
        <v>3</v>
      </c>
      <c r="D147" s="32" t="s">
        <v>529</v>
      </c>
      <c r="E147" s="32" t="s">
        <v>170</v>
      </c>
      <c r="F147" s="32" t="s">
        <v>658</v>
      </c>
      <c r="G147" s="32" t="s">
        <v>39</v>
      </c>
      <c r="H147" s="32" t="s">
        <v>530</v>
      </c>
      <c r="I147" s="31" t="s">
        <v>531</v>
      </c>
      <c r="J147" s="31">
        <v>18</v>
      </c>
      <c r="K147" s="33" t="s">
        <v>956</v>
      </c>
      <c r="L147" s="33" t="s">
        <v>1742</v>
      </c>
      <c r="M147" s="34" t="s">
        <v>970</v>
      </c>
      <c r="N147" s="34" t="s">
        <v>1733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3">
      <c r="A148" s="44">
        <v>0</v>
      </c>
      <c r="B148" s="44">
        <v>1</v>
      </c>
      <c r="C148" s="44">
        <v>3</v>
      </c>
      <c r="D148" s="45" t="s">
        <v>975</v>
      </c>
      <c r="E148" s="45" t="s">
        <v>175</v>
      </c>
      <c r="F148" s="45" t="s">
        <v>805</v>
      </c>
      <c r="G148" s="45" t="s">
        <v>39</v>
      </c>
      <c r="H148" s="45" t="s">
        <v>806</v>
      </c>
      <c r="I148" s="44" t="s">
        <v>807</v>
      </c>
      <c r="J148" s="44">
        <v>16</v>
      </c>
      <c r="K148" s="46" t="s">
        <v>957</v>
      </c>
      <c r="L148" s="46" t="s">
        <v>1141</v>
      </c>
      <c r="M148" s="47" t="s">
        <v>970</v>
      </c>
      <c r="N148" s="47" t="s">
        <v>1739</v>
      </c>
      <c r="O148" s="48"/>
      <c r="P148" s="48"/>
      <c r="Q148" s="45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0</v>
      </c>
      <c r="AF148" s="1">
        <f t="shared" si="113"/>
        <v>0</v>
      </c>
      <c r="AG148" s="1">
        <f t="shared" si="114"/>
        <v>0</v>
      </c>
      <c r="AH148" s="1">
        <f t="shared" si="115"/>
        <v>0</v>
      </c>
      <c r="AI148" s="1">
        <f t="shared" si="116"/>
        <v>1</v>
      </c>
    </row>
    <row r="149" spans="1:35" ht="14.25" customHeight="1" x14ac:dyDescent="0.3">
      <c r="A149" s="31">
        <v>0</v>
      </c>
      <c r="B149" s="31">
        <v>1</v>
      </c>
      <c r="C149" s="31">
        <v>3</v>
      </c>
      <c r="D149" s="32" t="s">
        <v>1198</v>
      </c>
      <c r="E149" s="32" t="s">
        <v>172</v>
      </c>
      <c r="F149" s="32" t="s">
        <v>1199</v>
      </c>
      <c r="G149" s="32" t="s">
        <v>238</v>
      </c>
      <c r="H149" s="32" t="s">
        <v>354</v>
      </c>
      <c r="I149" s="31" t="s">
        <v>1200</v>
      </c>
      <c r="J149" s="31">
        <v>4</v>
      </c>
      <c r="K149" s="33" t="s">
        <v>963</v>
      </c>
      <c r="L149" s="33" t="s">
        <v>1699</v>
      </c>
      <c r="M149" s="34" t="s">
        <v>1604</v>
      </c>
      <c r="N149" s="34" t="s">
        <v>1727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3">
      <c r="A150" s="31">
        <v>0</v>
      </c>
      <c r="B150" s="31">
        <v>1</v>
      </c>
      <c r="C150" s="31">
        <v>3</v>
      </c>
      <c r="D150" s="32" t="s">
        <v>1641</v>
      </c>
      <c r="E150" s="32" t="s">
        <v>170</v>
      </c>
      <c r="F150" s="32" t="s">
        <v>1476</v>
      </c>
      <c r="G150" s="32" t="s">
        <v>1669</v>
      </c>
      <c r="H150" s="32" t="s">
        <v>354</v>
      </c>
      <c r="I150" s="31" t="s">
        <v>1475</v>
      </c>
      <c r="J150" s="31">
        <v>99</v>
      </c>
      <c r="K150" s="33" t="s">
        <v>702</v>
      </c>
      <c r="L150" s="33" t="s">
        <v>1704</v>
      </c>
      <c r="M150" s="34" t="s">
        <v>1477</v>
      </c>
      <c r="N150" s="34" t="s">
        <v>1749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3">
      <c r="A151" s="31">
        <v>0</v>
      </c>
      <c r="B151" s="31">
        <v>1</v>
      </c>
      <c r="C151" s="31">
        <v>3</v>
      </c>
      <c r="D151" s="36" t="s">
        <v>2079</v>
      </c>
      <c r="E151" s="36" t="s">
        <v>172</v>
      </c>
      <c r="F151" s="36" t="s">
        <v>2080</v>
      </c>
      <c r="G151" s="32"/>
      <c r="H151" s="36" t="s">
        <v>611</v>
      </c>
      <c r="I151" s="37" t="s">
        <v>2081</v>
      </c>
      <c r="J151" s="31">
        <v>14</v>
      </c>
      <c r="K151" s="33" t="s">
        <v>703</v>
      </c>
      <c r="L151" s="33"/>
      <c r="M151" s="34"/>
      <c r="N151" s="34" t="s">
        <v>1733</v>
      </c>
      <c r="O151" s="35">
        <v>1</v>
      </c>
      <c r="P151" s="35">
        <v>1</v>
      </c>
      <c r="Q151" s="32" t="s">
        <v>2082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1</v>
      </c>
      <c r="AE151" s="1">
        <f t="shared" si="128"/>
        <v>0</v>
      </c>
      <c r="AF151" s="1">
        <f t="shared" si="113"/>
        <v>1</v>
      </c>
      <c r="AG151" s="1">
        <f t="shared" si="114"/>
        <v>0</v>
      </c>
      <c r="AH151" s="1">
        <f t="shared" si="115"/>
        <v>1</v>
      </c>
      <c r="AI151" s="1">
        <f t="shared" si="116"/>
        <v>0</v>
      </c>
    </row>
    <row r="152" spans="1:35" ht="14.25" customHeight="1" x14ac:dyDescent="0.3">
      <c r="A152" s="15">
        <v>0</v>
      </c>
      <c r="B152" s="15">
        <v>1</v>
      </c>
      <c r="C152" s="15">
        <v>3</v>
      </c>
      <c r="D152" s="20" t="s">
        <v>1948</v>
      </c>
      <c r="E152" s="20" t="s">
        <v>172</v>
      </c>
      <c r="F152" s="20" t="s">
        <v>1964</v>
      </c>
      <c r="G152" s="20"/>
      <c r="H152" s="20" t="s">
        <v>1963</v>
      </c>
      <c r="I152" s="21" t="s">
        <v>1962</v>
      </c>
      <c r="J152" s="15">
        <v>14</v>
      </c>
      <c r="K152" s="10" t="s">
        <v>703</v>
      </c>
      <c r="L152" s="10" t="s">
        <v>697</v>
      </c>
      <c r="M152" s="19" t="s">
        <v>971</v>
      </c>
      <c r="N152" s="17"/>
      <c r="Q152" s="20" t="s">
        <v>1965</v>
      </c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0</v>
      </c>
      <c r="AF152" s="1">
        <f t="shared" si="113"/>
        <v>0</v>
      </c>
      <c r="AG152" s="1">
        <f t="shared" si="114"/>
        <v>0</v>
      </c>
      <c r="AH152" s="1">
        <f t="shared" si="115"/>
        <v>0</v>
      </c>
      <c r="AI152" s="1">
        <f t="shared" si="116"/>
        <v>1</v>
      </c>
    </row>
    <row r="153" spans="1:35" ht="14.25" customHeight="1" x14ac:dyDescent="0.3">
      <c r="A153" s="31">
        <v>0</v>
      </c>
      <c r="B153" s="31">
        <v>1</v>
      </c>
      <c r="C153" s="31">
        <v>3</v>
      </c>
      <c r="D153" s="32" t="s">
        <v>145</v>
      </c>
      <c r="E153" s="32" t="s">
        <v>172</v>
      </c>
      <c r="F153" s="32" t="s">
        <v>347</v>
      </c>
      <c r="G153" s="32" t="s">
        <v>39</v>
      </c>
      <c r="H153" s="32" t="s">
        <v>378</v>
      </c>
      <c r="I153" s="31" t="s">
        <v>1362</v>
      </c>
      <c r="J153" s="31">
        <v>14</v>
      </c>
      <c r="K153" s="33" t="s">
        <v>956</v>
      </c>
      <c r="L153" s="33" t="s">
        <v>689</v>
      </c>
      <c r="M153" s="34" t="s">
        <v>691</v>
      </c>
      <c r="N153" s="34" t="s">
        <v>1748</v>
      </c>
      <c r="O153" s="35">
        <v>1</v>
      </c>
      <c r="P153" s="35"/>
      <c r="Q153" s="32"/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0</v>
      </c>
      <c r="AE153" s="1">
        <f t="shared" si="128"/>
        <v>1</v>
      </c>
      <c r="AF153" s="1">
        <f t="shared" si="113"/>
        <v>0</v>
      </c>
      <c r="AG153" s="1">
        <f t="shared" si="114"/>
        <v>1</v>
      </c>
      <c r="AH153" s="1">
        <f t="shared" si="115"/>
        <v>0</v>
      </c>
      <c r="AI153" s="1">
        <f t="shared" si="116"/>
        <v>1</v>
      </c>
    </row>
    <row r="154" spans="1:35" ht="14.25" customHeight="1" x14ac:dyDescent="0.3">
      <c r="A154" s="31">
        <v>0</v>
      </c>
      <c r="B154" s="31">
        <v>1</v>
      </c>
      <c r="C154" s="31">
        <v>3</v>
      </c>
      <c r="D154" s="32" t="s">
        <v>1567</v>
      </c>
      <c r="E154" s="32" t="s">
        <v>172</v>
      </c>
      <c r="F154" s="32" t="s">
        <v>1568</v>
      </c>
      <c r="G154" s="32" t="s">
        <v>39</v>
      </c>
      <c r="H154" s="32" t="s">
        <v>1569</v>
      </c>
      <c r="I154" s="31" t="s">
        <v>1570</v>
      </c>
      <c r="J154" s="31">
        <v>17</v>
      </c>
      <c r="K154" s="33" t="s">
        <v>722</v>
      </c>
      <c r="L154" s="33" t="s">
        <v>39</v>
      </c>
      <c r="M154" s="34" t="s">
        <v>39</v>
      </c>
      <c r="N154" s="34" t="s">
        <v>1733</v>
      </c>
      <c r="O154" s="35">
        <v>1</v>
      </c>
      <c r="P154" s="35">
        <v>1</v>
      </c>
      <c r="Q154" s="32" t="s">
        <v>1913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1</v>
      </c>
      <c r="AE154" s="1">
        <f t="shared" si="128"/>
        <v>0</v>
      </c>
      <c r="AF154" s="1">
        <f t="shared" si="113"/>
        <v>1</v>
      </c>
      <c r="AG154" s="1">
        <f t="shared" si="114"/>
        <v>0</v>
      </c>
      <c r="AH154" s="1">
        <f t="shared" si="115"/>
        <v>1</v>
      </c>
      <c r="AI154" s="1">
        <f t="shared" si="116"/>
        <v>0</v>
      </c>
    </row>
    <row r="155" spans="1:35" ht="14.25" customHeight="1" x14ac:dyDescent="0.3">
      <c r="A155" s="31">
        <v>0</v>
      </c>
      <c r="B155" s="31">
        <v>1</v>
      </c>
      <c r="C155" s="31">
        <v>3</v>
      </c>
      <c r="D155" s="32" t="s">
        <v>153</v>
      </c>
      <c r="E155" s="32" t="s">
        <v>172</v>
      </c>
      <c r="F155" s="32" t="s">
        <v>353</v>
      </c>
      <c r="G155" s="32" t="s">
        <v>39</v>
      </c>
      <c r="H155" s="32" t="s">
        <v>1869</v>
      </c>
      <c r="I155" s="31" t="s">
        <v>500</v>
      </c>
      <c r="J155" s="31">
        <v>14</v>
      </c>
      <c r="K155" s="33" t="s">
        <v>702</v>
      </c>
      <c r="L155" s="33" t="s">
        <v>689</v>
      </c>
      <c r="M155" s="34" t="s">
        <v>970</v>
      </c>
      <c r="N155" s="34" t="s">
        <v>1748</v>
      </c>
      <c r="O155" s="35">
        <v>1</v>
      </c>
      <c r="P155" s="35"/>
      <c r="Q155" s="32" t="s">
        <v>1896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1</v>
      </c>
      <c r="AF155" s="1">
        <f t="shared" si="113"/>
        <v>0</v>
      </c>
      <c r="AG155" s="1">
        <f t="shared" si="114"/>
        <v>1</v>
      </c>
      <c r="AH155" s="1">
        <f t="shared" si="115"/>
        <v>0</v>
      </c>
      <c r="AI155" s="1">
        <f t="shared" si="116"/>
        <v>1</v>
      </c>
    </row>
    <row r="156" spans="1:35" ht="14.25" customHeight="1" x14ac:dyDescent="0.3">
      <c r="A156" s="15">
        <v>0</v>
      </c>
      <c r="B156" s="15">
        <v>1</v>
      </c>
      <c r="C156" s="15">
        <v>3</v>
      </c>
      <c r="D156" s="16" t="s">
        <v>739</v>
      </c>
      <c r="E156" s="16" t="s">
        <v>172</v>
      </c>
      <c r="F156" s="16" t="s">
        <v>740</v>
      </c>
      <c r="G156" s="16" t="s">
        <v>39</v>
      </c>
      <c r="H156" s="16" t="s">
        <v>741</v>
      </c>
      <c r="I156" s="15" t="s">
        <v>742</v>
      </c>
      <c r="J156" s="15">
        <v>17</v>
      </c>
      <c r="K156" s="10" t="s">
        <v>722</v>
      </c>
      <c r="L156" s="10" t="s">
        <v>697</v>
      </c>
      <c r="M156" s="19" t="s">
        <v>691</v>
      </c>
      <c r="N156" s="17"/>
      <c r="Q156" s="16" t="s">
        <v>1887</v>
      </c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3">
      <c r="A157" s="44">
        <v>0</v>
      </c>
      <c r="B157" s="44">
        <v>1</v>
      </c>
      <c r="C157" s="44">
        <v>3</v>
      </c>
      <c r="D157" s="45" t="s">
        <v>904</v>
      </c>
      <c r="E157" s="45" t="s">
        <v>172</v>
      </c>
      <c r="F157" s="45" t="s">
        <v>1096</v>
      </c>
      <c r="G157" s="45" t="s">
        <v>39</v>
      </c>
      <c r="H157" s="45" t="s">
        <v>906</v>
      </c>
      <c r="I157" s="44" t="s">
        <v>905</v>
      </c>
      <c r="J157" s="44">
        <v>11</v>
      </c>
      <c r="K157" s="46" t="s">
        <v>957</v>
      </c>
      <c r="L157" s="46">
        <v>60</v>
      </c>
      <c r="M157" s="47" t="s">
        <v>39</v>
      </c>
      <c r="N157" s="47" t="s">
        <v>1739</v>
      </c>
      <c r="O157" s="48"/>
      <c r="P157" s="48"/>
      <c r="Q157" s="45"/>
      <c r="S157" s="1">
        <f t="shared" si="117"/>
        <v>0</v>
      </c>
      <c r="T157" s="1">
        <f t="shared" si="118"/>
        <v>0</v>
      </c>
      <c r="U157" s="1">
        <f t="shared" si="119"/>
        <v>0</v>
      </c>
      <c r="V157" s="1">
        <f t="shared" si="120"/>
        <v>0</v>
      </c>
      <c r="W157" s="1">
        <f t="shared" si="121"/>
        <v>0</v>
      </c>
      <c r="X157" s="1">
        <f t="shared" si="122"/>
        <v>0</v>
      </c>
      <c r="Y157" s="1">
        <f t="shared" si="123"/>
        <v>0</v>
      </c>
      <c r="Z157" s="1">
        <f t="shared" si="124"/>
        <v>0</v>
      </c>
      <c r="AA157" s="1">
        <f t="shared" si="125"/>
        <v>0</v>
      </c>
      <c r="AB157" s="1">
        <f t="shared" si="126"/>
        <v>0</v>
      </c>
      <c r="AD157" s="1">
        <f t="shared" si="127"/>
        <v>0</v>
      </c>
      <c r="AE157" s="1">
        <f t="shared" si="128"/>
        <v>0</v>
      </c>
      <c r="AF157" s="1">
        <f t="shared" si="113"/>
        <v>0</v>
      </c>
      <c r="AG157" s="1">
        <f t="shared" si="114"/>
        <v>0</v>
      </c>
      <c r="AH157" s="1">
        <f t="shared" si="115"/>
        <v>0</v>
      </c>
      <c r="AI157" s="1">
        <f t="shared" si="116"/>
        <v>1</v>
      </c>
    </row>
    <row r="158" spans="1:35" ht="14.25" customHeight="1" x14ac:dyDescent="0.3">
      <c r="A158" s="31">
        <v>0</v>
      </c>
      <c r="B158" s="31">
        <v>1</v>
      </c>
      <c r="C158" s="31">
        <v>3</v>
      </c>
      <c r="D158" s="32" t="s">
        <v>123</v>
      </c>
      <c r="E158" s="32" t="s">
        <v>175</v>
      </c>
      <c r="F158" s="32" t="s">
        <v>324</v>
      </c>
      <c r="G158" s="32" t="s">
        <v>39</v>
      </c>
      <c r="H158" s="32" t="s">
        <v>363</v>
      </c>
      <c r="I158" s="31" t="s">
        <v>470</v>
      </c>
      <c r="J158" s="31">
        <v>14</v>
      </c>
      <c r="K158" s="33" t="s">
        <v>722</v>
      </c>
      <c r="L158" s="33" t="s">
        <v>693</v>
      </c>
      <c r="M158" s="34" t="s">
        <v>1379</v>
      </c>
      <c r="N158" s="34" t="s">
        <v>1849</v>
      </c>
      <c r="O158" s="35">
        <v>1</v>
      </c>
      <c r="P158" s="35"/>
      <c r="Q158" s="36"/>
      <c r="S158" s="1">
        <f t="shared" ref="S158:S162" si="129">IF(J158=$S$7,1,0)</f>
        <v>0</v>
      </c>
      <c r="T158" s="1">
        <f t="shared" ref="T158:T162" si="130">IF(J158=$T$7,1,0)</f>
        <v>0</v>
      </c>
      <c r="U158" s="1">
        <f t="shared" ref="U158:U162" si="131">IF(J158=$U$7,1,0)</f>
        <v>0</v>
      </c>
      <c r="V158" s="1">
        <f t="shared" ref="V158:V162" si="132">IF(J158=$V$7,1,0)</f>
        <v>0</v>
      </c>
      <c r="W158" s="1">
        <f t="shared" ref="W158:W162" si="133">IF(J158=$W$7,1,0)</f>
        <v>0</v>
      </c>
      <c r="X158" s="1">
        <f t="shared" ref="X158:X162" si="134">IF(J158=$X$7,1,0)</f>
        <v>0</v>
      </c>
      <c r="Y158" s="1">
        <f t="shared" ref="Y158:Y162" si="135">IF(J158=$Y$7,1,0)</f>
        <v>0</v>
      </c>
      <c r="Z158" s="1">
        <f t="shared" ref="Z158:Z162" si="136">IF(J158=$Z$7,1,0)</f>
        <v>0</v>
      </c>
      <c r="AA158" s="1">
        <f t="shared" ref="AA158:AA162" si="137">IF(J158=$AA$7,1,0)</f>
        <v>0</v>
      </c>
      <c r="AB158" s="1">
        <f t="shared" ref="AB158:AB162" si="138">IF(J158=$AB$7,1,0)</f>
        <v>0</v>
      </c>
      <c r="AD158" s="1">
        <f t="shared" ref="AD158:AD162" si="139">+O158*P158</f>
        <v>0</v>
      </c>
      <c r="AE158" s="1">
        <f t="shared" ref="AE158:AE162" si="140">O158*(1-P158)</f>
        <v>1</v>
      </c>
      <c r="AF158" s="1">
        <f t="shared" ref="AF158:AF162" si="141">+O158*P158*(1-A158)</f>
        <v>0</v>
      </c>
      <c r="AG158" s="1">
        <f t="shared" ref="AG158:AG162" si="142">O158*(1-P158)*(1-A158)</f>
        <v>1</v>
      </c>
      <c r="AH158" s="1">
        <f t="shared" ref="AH158:AH162" si="143">+P158*(1-A158)</f>
        <v>0</v>
      </c>
      <c r="AI158" s="1">
        <f t="shared" ref="AI158:AI162" si="144">+(1-A158)*(1-P158)</f>
        <v>1</v>
      </c>
    </row>
    <row r="159" spans="1:35" ht="14.25" customHeight="1" x14ac:dyDescent="0.3">
      <c r="A159" s="31">
        <v>0</v>
      </c>
      <c r="B159" s="31">
        <v>1</v>
      </c>
      <c r="C159" s="31">
        <v>3</v>
      </c>
      <c r="D159" s="32" t="s">
        <v>1169</v>
      </c>
      <c r="E159" s="32" t="s">
        <v>172</v>
      </c>
      <c r="F159" s="32" t="s">
        <v>1171</v>
      </c>
      <c r="G159" s="32" t="s">
        <v>767</v>
      </c>
      <c r="H159" s="32" t="s">
        <v>354</v>
      </c>
      <c r="I159" s="31" t="s">
        <v>1170</v>
      </c>
      <c r="J159" s="31">
        <v>99</v>
      </c>
      <c r="K159" s="33" t="s">
        <v>703</v>
      </c>
      <c r="L159" s="33">
        <v>30</v>
      </c>
      <c r="M159" s="34" t="s">
        <v>970</v>
      </c>
      <c r="N159" s="34" t="s">
        <v>1825</v>
      </c>
      <c r="O159" s="35">
        <v>1</v>
      </c>
      <c r="P159" s="35"/>
      <c r="Q159" s="36"/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0</v>
      </c>
      <c r="AE159" s="1">
        <f t="shared" si="140"/>
        <v>1</v>
      </c>
      <c r="AF159" s="1">
        <f t="shared" si="141"/>
        <v>0</v>
      </c>
      <c r="AG159" s="1">
        <f t="shared" si="142"/>
        <v>1</v>
      </c>
      <c r="AH159" s="1">
        <f t="shared" si="143"/>
        <v>0</v>
      </c>
      <c r="AI159" s="1">
        <f t="shared" si="144"/>
        <v>1</v>
      </c>
    </row>
    <row r="160" spans="1:35" ht="14.25" customHeight="1" x14ac:dyDescent="0.3">
      <c r="A160" s="31">
        <v>0</v>
      </c>
      <c r="B160" s="31">
        <v>1</v>
      </c>
      <c r="C160" s="31">
        <v>3</v>
      </c>
      <c r="D160" s="32" t="s">
        <v>2041</v>
      </c>
      <c r="E160" s="32" t="s">
        <v>172</v>
      </c>
      <c r="F160" s="32" t="s">
        <v>2042</v>
      </c>
      <c r="G160" s="32"/>
      <c r="H160" s="32" t="s">
        <v>354</v>
      </c>
      <c r="I160" s="31" t="s">
        <v>2043</v>
      </c>
      <c r="J160" s="31">
        <v>18</v>
      </c>
      <c r="K160" s="33" t="s">
        <v>703</v>
      </c>
      <c r="L160" s="33"/>
      <c r="M160" s="34"/>
      <c r="N160" s="34" t="s">
        <v>1733</v>
      </c>
      <c r="O160" s="35">
        <v>1</v>
      </c>
      <c r="P160" s="35">
        <v>1</v>
      </c>
      <c r="Q160" s="36" t="s">
        <v>2044</v>
      </c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1</v>
      </c>
      <c r="AE160" s="1">
        <f t="shared" si="140"/>
        <v>0</v>
      </c>
      <c r="AF160" s="1">
        <f t="shared" si="141"/>
        <v>1</v>
      </c>
      <c r="AG160" s="1">
        <f t="shared" si="142"/>
        <v>0</v>
      </c>
      <c r="AH160" s="1">
        <f t="shared" si="143"/>
        <v>1</v>
      </c>
      <c r="AI160" s="1">
        <f t="shared" si="144"/>
        <v>0</v>
      </c>
    </row>
    <row r="161" spans="1:35" ht="14.25" customHeight="1" x14ac:dyDescent="0.3">
      <c r="A161" s="15">
        <v>0</v>
      </c>
      <c r="B161" s="15">
        <v>1</v>
      </c>
      <c r="C161" s="15">
        <v>3</v>
      </c>
      <c r="D161" s="16" t="s">
        <v>743</v>
      </c>
      <c r="E161" s="16" t="s">
        <v>170</v>
      </c>
      <c r="F161" s="16" t="s">
        <v>744</v>
      </c>
      <c r="G161" s="16" t="s">
        <v>39</v>
      </c>
      <c r="H161" s="16" t="s">
        <v>745</v>
      </c>
      <c r="I161" s="15" t="s">
        <v>746</v>
      </c>
      <c r="J161" s="15">
        <v>17</v>
      </c>
      <c r="K161" s="10" t="s">
        <v>703</v>
      </c>
      <c r="L161" s="10" t="s">
        <v>697</v>
      </c>
      <c r="M161" s="19" t="s">
        <v>971</v>
      </c>
      <c r="N161" s="17"/>
      <c r="Q161" s="16"/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3">
      <c r="A162" s="15">
        <v>0</v>
      </c>
      <c r="B162" s="15">
        <v>1</v>
      </c>
      <c r="C162" s="15">
        <v>3</v>
      </c>
      <c r="D162" s="20" t="s">
        <v>1947</v>
      </c>
      <c r="E162" s="20" t="s">
        <v>172</v>
      </c>
      <c r="F162" s="20" t="s">
        <v>1958</v>
      </c>
      <c r="G162" s="20"/>
      <c r="H162" s="20" t="s">
        <v>1959</v>
      </c>
      <c r="I162" s="21" t="s">
        <v>1960</v>
      </c>
      <c r="J162" s="15">
        <v>16</v>
      </c>
      <c r="K162" s="10" t="s">
        <v>703</v>
      </c>
      <c r="L162" s="10" t="s">
        <v>697</v>
      </c>
      <c r="M162" s="19" t="s">
        <v>971</v>
      </c>
      <c r="N162" s="17"/>
      <c r="Q162" s="20" t="s">
        <v>1957</v>
      </c>
      <c r="S162" s="1">
        <f t="shared" si="129"/>
        <v>0</v>
      </c>
      <c r="T162" s="1">
        <f t="shared" si="130"/>
        <v>0</v>
      </c>
      <c r="U162" s="1">
        <f t="shared" si="131"/>
        <v>0</v>
      </c>
      <c r="V162" s="1">
        <f t="shared" si="132"/>
        <v>0</v>
      </c>
      <c r="W162" s="1">
        <f t="shared" si="133"/>
        <v>0</v>
      </c>
      <c r="X162" s="1">
        <f t="shared" si="134"/>
        <v>0</v>
      </c>
      <c r="Y162" s="1">
        <f t="shared" si="135"/>
        <v>0</v>
      </c>
      <c r="Z162" s="1">
        <f t="shared" si="136"/>
        <v>0</v>
      </c>
      <c r="AA162" s="1">
        <f t="shared" si="137"/>
        <v>0</v>
      </c>
      <c r="AB162" s="1">
        <f t="shared" si="138"/>
        <v>0</v>
      </c>
      <c r="AD162" s="1">
        <f t="shared" si="139"/>
        <v>0</v>
      </c>
      <c r="AE162" s="1">
        <f t="shared" si="140"/>
        <v>0</v>
      </c>
      <c r="AF162" s="1">
        <f t="shared" si="141"/>
        <v>0</v>
      </c>
      <c r="AG162" s="1">
        <f t="shared" si="142"/>
        <v>0</v>
      </c>
      <c r="AH162" s="1">
        <f t="shared" si="143"/>
        <v>0</v>
      </c>
      <c r="AI162" s="1">
        <f t="shared" si="144"/>
        <v>1</v>
      </c>
    </row>
    <row r="163" spans="1:35" ht="14.25" customHeight="1" x14ac:dyDescent="0.3">
      <c r="A163" s="44">
        <v>0</v>
      </c>
      <c r="B163" s="44">
        <v>1</v>
      </c>
      <c r="C163" s="44">
        <v>3</v>
      </c>
      <c r="D163" s="45" t="s">
        <v>834</v>
      </c>
      <c r="E163" s="45" t="s">
        <v>914</v>
      </c>
      <c r="F163" s="45" t="s">
        <v>835</v>
      </c>
      <c r="G163" s="45" t="s">
        <v>208</v>
      </c>
      <c r="H163" s="45" t="s">
        <v>354</v>
      </c>
      <c r="I163" s="44" t="s">
        <v>836</v>
      </c>
      <c r="J163" s="44">
        <v>3</v>
      </c>
      <c r="K163" s="46" t="s">
        <v>722</v>
      </c>
      <c r="L163" s="46" t="s">
        <v>693</v>
      </c>
      <c r="M163" s="47" t="s">
        <v>698</v>
      </c>
      <c r="N163" s="47" t="s">
        <v>1740</v>
      </c>
      <c r="O163" s="48"/>
      <c r="P163" s="48"/>
      <c r="Q163" s="45"/>
      <c r="S163" s="1">
        <f t="shared" si="117"/>
        <v>0</v>
      </c>
      <c r="T163" s="1">
        <f t="shared" si="118"/>
        <v>0</v>
      </c>
      <c r="U163" s="1">
        <f t="shared" si="119"/>
        <v>1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3">
      <c r="A164" s="15">
        <v>0</v>
      </c>
      <c r="B164" s="15">
        <v>1</v>
      </c>
      <c r="C164" s="15">
        <v>3</v>
      </c>
      <c r="D164" s="20" t="s">
        <v>1953</v>
      </c>
      <c r="E164" s="20" t="s">
        <v>172</v>
      </c>
      <c r="F164" s="20" t="s">
        <v>1955</v>
      </c>
      <c r="G164" s="20"/>
      <c r="H164" s="20" t="s">
        <v>1956</v>
      </c>
      <c r="I164" s="21" t="s">
        <v>1954</v>
      </c>
      <c r="J164" s="15">
        <v>16</v>
      </c>
      <c r="K164" s="10" t="s">
        <v>703</v>
      </c>
      <c r="L164" s="10" t="s">
        <v>697</v>
      </c>
      <c r="M164" s="19" t="s">
        <v>971</v>
      </c>
      <c r="N164" s="17"/>
      <c r="Q164" s="20" t="s">
        <v>1961</v>
      </c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3">
      <c r="A165" s="31">
        <v>0</v>
      </c>
      <c r="B165" s="31">
        <v>1</v>
      </c>
      <c r="C165" s="31">
        <v>3</v>
      </c>
      <c r="D165" s="32" t="s">
        <v>1209</v>
      </c>
      <c r="E165" s="32" t="s">
        <v>172</v>
      </c>
      <c r="F165" s="32" t="s">
        <v>1211</v>
      </c>
      <c r="G165" s="32" t="s">
        <v>185</v>
      </c>
      <c r="H165" s="32" t="s">
        <v>354</v>
      </c>
      <c r="I165" s="31" t="s">
        <v>1210</v>
      </c>
      <c r="J165" s="31">
        <v>99</v>
      </c>
      <c r="K165" s="33" t="s">
        <v>958</v>
      </c>
      <c r="L165" s="33" t="s">
        <v>689</v>
      </c>
      <c r="M165" s="34" t="s">
        <v>971</v>
      </c>
      <c r="N165" s="34" t="s">
        <v>1749</v>
      </c>
      <c r="O165" s="35">
        <v>1</v>
      </c>
      <c r="P165" s="35"/>
      <c r="Q165" s="32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0</v>
      </c>
      <c r="AB165" s="1">
        <f t="shared" si="126"/>
        <v>0</v>
      </c>
      <c r="AD165" s="1">
        <f t="shared" si="127"/>
        <v>0</v>
      </c>
      <c r="AE165" s="1">
        <f t="shared" si="128"/>
        <v>1</v>
      </c>
      <c r="AF165" s="1">
        <f t="shared" si="113"/>
        <v>0</v>
      </c>
      <c r="AG165" s="1">
        <f t="shared" si="114"/>
        <v>1</v>
      </c>
      <c r="AH165" s="1">
        <f t="shared" si="115"/>
        <v>0</v>
      </c>
      <c r="AI165" s="1">
        <f t="shared" si="116"/>
        <v>1</v>
      </c>
    </row>
    <row r="166" spans="1:35" ht="14.25" customHeight="1" x14ac:dyDescent="0.3">
      <c r="A166" s="31">
        <v>0</v>
      </c>
      <c r="B166" s="31">
        <v>1</v>
      </c>
      <c r="C166" s="31">
        <v>3</v>
      </c>
      <c r="D166" s="32" t="s">
        <v>632</v>
      </c>
      <c r="E166" s="32" t="s">
        <v>170</v>
      </c>
      <c r="F166" s="32" t="s">
        <v>633</v>
      </c>
      <c r="G166" s="32" t="s">
        <v>194</v>
      </c>
      <c r="H166" s="32" t="s">
        <v>354</v>
      </c>
      <c r="I166" s="31" t="s">
        <v>634</v>
      </c>
      <c r="J166" s="31">
        <v>9</v>
      </c>
      <c r="K166" s="33" t="s">
        <v>957</v>
      </c>
      <c r="L166" s="33" t="s">
        <v>1699</v>
      </c>
      <c r="M166" s="34" t="s">
        <v>970</v>
      </c>
      <c r="N166" s="34" t="s">
        <v>1727</v>
      </c>
      <c r="O166" s="35">
        <v>1</v>
      </c>
      <c r="P166" s="35">
        <v>1</v>
      </c>
      <c r="Q166" s="32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1</v>
      </c>
      <c r="AB166" s="1">
        <f t="shared" si="126"/>
        <v>0</v>
      </c>
      <c r="AD166" s="1">
        <f t="shared" si="127"/>
        <v>1</v>
      </c>
      <c r="AE166" s="1">
        <f t="shared" si="128"/>
        <v>0</v>
      </c>
      <c r="AF166" s="1">
        <f t="shared" si="113"/>
        <v>1</v>
      </c>
      <c r="AG166" s="1">
        <f t="shared" si="114"/>
        <v>0</v>
      </c>
      <c r="AH166" s="1">
        <f t="shared" si="115"/>
        <v>1</v>
      </c>
      <c r="AI166" s="1">
        <f t="shared" si="116"/>
        <v>0</v>
      </c>
    </row>
    <row r="167" spans="1:35" ht="14.25" customHeight="1" x14ac:dyDescent="0.3">
      <c r="A167" s="44">
        <v>0</v>
      </c>
      <c r="B167" s="44">
        <v>1</v>
      </c>
      <c r="C167" s="44">
        <v>3</v>
      </c>
      <c r="D167" s="45" t="s">
        <v>132</v>
      </c>
      <c r="E167" s="45" t="s">
        <v>683</v>
      </c>
      <c r="F167" s="45" t="s">
        <v>334</v>
      </c>
      <c r="G167" s="45" t="s">
        <v>39</v>
      </c>
      <c r="H167" s="45" t="s">
        <v>362</v>
      </c>
      <c r="I167" s="44" t="s">
        <v>481</v>
      </c>
      <c r="J167" s="44">
        <v>12</v>
      </c>
      <c r="K167" s="46" t="s">
        <v>722</v>
      </c>
      <c r="L167" s="46">
        <v>35</v>
      </c>
      <c r="M167" s="47" t="s">
        <v>39</v>
      </c>
      <c r="N167" s="47" t="s">
        <v>1802</v>
      </c>
      <c r="O167" s="48"/>
      <c r="P167" s="48"/>
      <c r="Q167" s="45"/>
      <c r="S167" s="1">
        <f t="shared" si="117"/>
        <v>0</v>
      </c>
      <c r="T167" s="1">
        <f t="shared" si="118"/>
        <v>0</v>
      </c>
      <c r="U167" s="1">
        <f t="shared" si="119"/>
        <v>0</v>
      </c>
      <c r="V167" s="1">
        <f t="shared" si="120"/>
        <v>0</v>
      </c>
      <c r="W167" s="1">
        <f t="shared" si="121"/>
        <v>0</v>
      </c>
      <c r="X167" s="1">
        <f t="shared" si="122"/>
        <v>0</v>
      </c>
      <c r="Y167" s="1">
        <f t="shared" si="123"/>
        <v>0</v>
      </c>
      <c r="Z167" s="1">
        <f t="shared" si="124"/>
        <v>0</v>
      </c>
      <c r="AA167" s="1">
        <f t="shared" si="125"/>
        <v>0</v>
      </c>
      <c r="AB167" s="1">
        <f t="shared" si="126"/>
        <v>0</v>
      </c>
      <c r="AD167" s="1">
        <f t="shared" si="127"/>
        <v>0</v>
      </c>
      <c r="AE167" s="1">
        <f t="shared" si="128"/>
        <v>0</v>
      </c>
      <c r="AF167" s="1">
        <f t="shared" si="113"/>
        <v>0</v>
      </c>
      <c r="AG167" s="1">
        <f t="shared" si="114"/>
        <v>0</v>
      </c>
      <c r="AH167" s="1">
        <f t="shared" si="115"/>
        <v>0</v>
      </c>
      <c r="AI167" s="1">
        <f t="shared" si="116"/>
        <v>1</v>
      </c>
    </row>
    <row r="168" spans="1:35" ht="14.25" customHeight="1" x14ac:dyDescent="0.3">
      <c r="A168" s="15">
        <v>0</v>
      </c>
      <c r="B168" s="15">
        <v>1</v>
      </c>
      <c r="C168" s="15">
        <v>3</v>
      </c>
      <c r="D168" s="16" t="s">
        <v>826</v>
      </c>
      <c r="E168" s="16" t="s">
        <v>172</v>
      </c>
      <c r="F168" s="16" t="s">
        <v>827</v>
      </c>
      <c r="G168" s="16" t="s">
        <v>39</v>
      </c>
      <c r="H168" s="16" t="s">
        <v>375</v>
      </c>
      <c r="I168" s="15" t="s">
        <v>825</v>
      </c>
      <c r="J168" s="15">
        <v>12</v>
      </c>
      <c r="K168" s="10" t="s">
        <v>703</v>
      </c>
      <c r="L168" s="10">
        <v>40</v>
      </c>
      <c r="M168" s="19" t="s">
        <v>970</v>
      </c>
      <c r="N168" s="19"/>
      <c r="Q168" s="16"/>
      <c r="S168" s="1">
        <f t="shared" si="117"/>
        <v>0</v>
      </c>
      <c r="T168" s="1">
        <f t="shared" si="118"/>
        <v>0</v>
      </c>
      <c r="U168" s="1">
        <f t="shared" si="119"/>
        <v>0</v>
      </c>
      <c r="V168" s="1">
        <f t="shared" si="120"/>
        <v>0</v>
      </c>
      <c r="W168" s="1">
        <f t="shared" si="121"/>
        <v>0</v>
      </c>
      <c r="X168" s="1">
        <f t="shared" si="122"/>
        <v>0</v>
      </c>
      <c r="Y168" s="1">
        <f t="shared" si="123"/>
        <v>0</v>
      </c>
      <c r="Z168" s="1">
        <f t="shared" si="124"/>
        <v>0</v>
      </c>
      <c r="AA168" s="1">
        <f t="shared" si="125"/>
        <v>0</v>
      </c>
      <c r="AB168" s="1">
        <f t="shared" si="126"/>
        <v>0</v>
      </c>
      <c r="AD168" s="1">
        <f t="shared" si="127"/>
        <v>0</v>
      </c>
      <c r="AE168" s="1">
        <f t="shared" si="128"/>
        <v>0</v>
      </c>
      <c r="AF168" s="1">
        <f t="shared" si="113"/>
        <v>0</v>
      </c>
      <c r="AG168" s="1">
        <f t="shared" si="114"/>
        <v>0</v>
      </c>
      <c r="AH168" s="1">
        <f t="shared" si="115"/>
        <v>0</v>
      </c>
      <c r="AI168" s="1">
        <f t="shared" si="116"/>
        <v>1</v>
      </c>
    </row>
    <row r="169" spans="1:35" ht="14.25" customHeight="1" x14ac:dyDescent="0.3">
      <c r="A169" s="31">
        <v>0</v>
      </c>
      <c r="B169" s="31">
        <v>1</v>
      </c>
      <c r="C169" s="31">
        <v>3</v>
      </c>
      <c r="D169" s="32" t="s">
        <v>142</v>
      </c>
      <c r="E169" s="32" t="s">
        <v>172</v>
      </c>
      <c r="F169" s="32" t="s">
        <v>343</v>
      </c>
      <c r="G169" s="32" t="s">
        <v>39</v>
      </c>
      <c r="H169" s="32" t="s">
        <v>377</v>
      </c>
      <c r="I169" s="31" t="s">
        <v>490</v>
      </c>
      <c r="J169" s="31">
        <v>15</v>
      </c>
      <c r="K169" s="33" t="s">
        <v>702</v>
      </c>
      <c r="L169" s="33" t="s">
        <v>692</v>
      </c>
      <c r="M169" s="34" t="s">
        <v>691</v>
      </c>
      <c r="N169" s="34" t="s">
        <v>1733</v>
      </c>
      <c r="O169" s="35">
        <v>1</v>
      </c>
      <c r="P169" s="35">
        <v>1</v>
      </c>
      <c r="Q169" s="36" t="s">
        <v>1891</v>
      </c>
      <c r="S169" s="1">
        <f t="shared" si="117"/>
        <v>0</v>
      </c>
      <c r="T169" s="1">
        <f t="shared" si="118"/>
        <v>0</v>
      </c>
      <c r="U169" s="1">
        <f t="shared" si="119"/>
        <v>0</v>
      </c>
      <c r="V169" s="1">
        <f t="shared" si="120"/>
        <v>0</v>
      </c>
      <c r="W169" s="1">
        <f t="shared" si="121"/>
        <v>0</v>
      </c>
      <c r="X169" s="1">
        <f t="shared" si="122"/>
        <v>0</v>
      </c>
      <c r="Y169" s="1">
        <f t="shared" si="123"/>
        <v>0</v>
      </c>
      <c r="Z169" s="1">
        <f t="shared" si="124"/>
        <v>0</v>
      </c>
      <c r="AA169" s="1">
        <f t="shared" si="125"/>
        <v>0</v>
      </c>
      <c r="AB169" s="1">
        <f t="shared" si="126"/>
        <v>0</v>
      </c>
      <c r="AD169" s="1">
        <f t="shared" si="127"/>
        <v>1</v>
      </c>
      <c r="AE169" s="1">
        <f t="shared" si="128"/>
        <v>0</v>
      </c>
      <c r="AF169" s="1">
        <f t="shared" si="113"/>
        <v>1</v>
      </c>
      <c r="AG169" s="1">
        <f t="shared" si="114"/>
        <v>0</v>
      </c>
      <c r="AH169" s="1">
        <f t="shared" si="115"/>
        <v>1</v>
      </c>
      <c r="AI169" s="1">
        <f t="shared" si="116"/>
        <v>0</v>
      </c>
    </row>
    <row r="170" spans="1:35" ht="14.25" customHeight="1" x14ac:dyDescent="0.3">
      <c r="A170" s="15">
        <v>0</v>
      </c>
      <c r="B170" s="15">
        <v>1</v>
      </c>
      <c r="C170" s="15">
        <v>3</v>
      </c>
      <c r="D170" s="16" t="s">
        <v>747</v>
      </c>
      <c r="E170" s="16" t="s">
        <v>610</v>
      </c>
      <c r="F170" s="16" t="s">
        <v>748</v>
      </c>
      <c r="G170" s="16" t="s">
        <v>39</v>
      </c>
      <c r="H170" s="16" t="s">
        <v>749</v>
      </c>
      <c r="I170" s="15" t="s">
        <v>750</v>
      </c>
      <c r="J170" s="15">
        <v>18</v>
      </c>
      <c r="K170" s="10" t="s">
        <v>703</v>
      </c>
      <c r="L170" s="10" t="s">
        <v>697</v>
      </c>
      <c r="M170" s="19" t="s">
        <v>691</v>
      </c>
      <c r="N170" s="17"/>
      <c r="Q170" s="16"/>
      <c r="S170" s="1">
        <f t="shared" si="117"/>
        <v>0</v>
      </c>
      <c r="T170" s="1">
        <f t="shared" si="118"/>
        <v>0</v>
      </c>
      <c r="U170" s="1">
        <f t="shared" si="119"/>
        <v>0</v>
      </c>
      <c r="V170" s="1">
        <f t="shared" si="120"/>
        <v>0</v>
      </c>
      <c r="W170" s="1">
        <f t="shared" si="121"/>
        <v>0</v>
      </c>
      <c r="X170" s="1">
        <f t="shared" si="122"/>
        <v>0</v>
      </c>
      <c r="Y170" s="1">
        <f t="shared" si="123"/>
        <v>0</v>
      </c>
      <c r="Z170" s="1">
        <f t="shared" si="124"/>
        <v>0</v>
      </c>
      <c r="AA170" s="1">
        <f t="shared" si="125"/>
        <v>0</v>
      </c>
      <c r="AB170" s="1">
        <f t="shared" si="126"/>
        <v>0</v>
      </c>
      <c r="AD170" s="1">
        <f t="shared" si="127"/>
        <v>0</v>
      </c>
      <c r="AE170" s="1">
        <f t="shared" si="128"/>
        <v>0</v>
      </c>
      <c r="AF170" s="1">
        <f t="shared" si="113"/>
        <v>0</v>
      </c>
      <c r="AG170" s="1">
        <f t="shared" si="114"/>
        <v>0</v>
      </c>
      <c r="AH170" s="1">
        <f t="shared" si="115"/>
        <v>0</v>
      </c>
      <c r="AI170" s="1">
        <f t="shared" si="116"/>
        <v>1</v>
      </c>
    </row>
    <row r="171" spans="1:35" ht="14.25" customHeight="1" x14ac:dyDescent="0.3">
      <c r="A171" s="31">
        <v>0</v>
      </c>
      <c r="B171" s="31">
        <v>1</v>
      </c>
      <c r="C171" s="31">
        <v>3</v>
      </c>
      <c r="D171" s="36" t="s">
        <v>1841</v>
      </c>
      <c r="E171" s="32" t="s">
        <v>1087</v>
      </c>
      <c r="F171" s="32" t="s">
        <v>1826</v>
      </c>
      <c r="G171" s="32"/>
      <c r="H171" s="32" t="s">
        <v>372</v>
      </c>
      <c r="I171" s="31" t="s">
        <v>1827</v>
      </c>
      <c r="J171" s="31">
        <v>16</v>
      </c>
      <c r="K171" s="33" t="s">
        <v>703</v>
      </c>
      <c r="L171" s="33"/>
      <c r="M171" s="34"/>
      <c r="N171" s="34" t="s">
        <v>1727</v>
      </c>
      <c r="O171" s="35">
        <v>1</v>
      </c>
      <c r="P171" s="35">
        <v>1</v>
      </c>
      <c r="Q171" s="32"/>
      <c r="S171" s="1">
        <f t="shared" ref="S171:S172" si="145">IF(J171=$S$7,1,0)</f>
        <v>0</v>
      </c>
      <c r="T171" s="1">
        <f t="shared" ref="T171:T172" si="146">IF(J171=$T$7,1,0)</f>
        <v>0</v>
      </c>
      <c r="U171" s="1">
        <f t="shared" ref="U171:U172" si="147">IF(J171=$U$7,1,0)</f>
        <v>0</v>
      </c>
      <c r="V171" s="1">
        <f t="shared" ref="V171:V172" si="148">IF(J171=$V$7,1,0)</f>
        <v>0</v>
      </c>
      <c r="W171" s="1">
        <f t="shared" ref="W171:W172" si="149">IF(J171=$W$7,1,0)</f>
        <v>0</v>
      </c>
      <c r="X171" s="1">
        <f t="shared" ref="X171:X172" si="150">IF(J171=$X$7,1,0)</f>
        <v>0</v>
      </c>
      <c r="Y171" s="1">
        <f t="shared" ref="Y171:Y172" si="151">IF(J171=$Y$7,1,0)</f>
        <v>0</v>
      </c>
      <c r="Z171" s="1">
        <f t="shared" ref="Z171:Z172" si="152">IF(J171=$Z$7,1,0)</f>
        <v>0</v>
      </c>
      <c r="AA171" s="1">
        <f t="shared" ref="AA171:AA172" si="153">IF(J171=$AA$7,1,0)</f>
        <v>0</v>
      </c>
      <c r="AB171" s="1">
        <f t="shared" ref="AB171:AB172" si="154">IF(J171=$AB$7,1,0)</f>
        <v>0</v>
      </c>
      <c r="AD171" s="1">
        <f t="shared" ref="AD171:AD172" si="155">+O171*P171</f>
        <v>1</v>
      </c>
      <c r="AE171" s="1">
        <f t="shared" ref="AE171:AE172" si="156">O171*(1-P171)</f>
        <v>0</v>
      </c>
      <c r="AF171" s="1">
        <f t="shared" ref="AF171:AF172" si="157">+O171*P171*(1-A171)</f>
        <v>1</v>
      </c>
      <c r="AG171" s="1">
        <f t="shared" ref="AG171:AG172" si="158">O171*(1-P171)*(1-A171)</f>
        <v>0</v>
      </c>
      <c r="AH171" s="1">
        <f t="shared" ref="AH171:AH172" si="159">+P171*(1-A171)</f>
        <v>1</v>
      </c>
      <c r="AI171" s="1">
        <f t="shared" ref="AI171:AI172" si="160">+(1-A171)*(1-P171)</f>
        <v>0</v>
      </c>
    </row>
    <row r="172" spans="1:35" ht="14.25" customHeight="1" x14ac:dyDescent="0.3">
      <c r="A172" s="31">
        <v>0</v>
      </c>
      <c r="B172" s="31">
        <v>1</v>
      </c>
      <c r="C172" s="31">
        <v>3</v>
      </c>
      <c r="D172" s="32" t="s">
        <v>979</v>
      </c>
      <c r="E172" s="32" t="s">
        <v>610</v>
      </c>
      <c r="F172" s="32" t="s">
        <v>980</v>
      </c>
      <c r="G172" s="32" t="s">
        <v>203</v>
      </c>
      <c r="H172" s="32" t="s">
        <v>354</v>
      </c>
      <c r="I172" s="31" t="s">
        <v>981</v>
      </c>
      <c r="J172" s="31">
        <v>99</v>
      </c>
      <c r="K172" s="33" t="s">
        <v>956</v>
      </c>
      <c r="L172" s="33" t="s">
        <v>39</v>
      </c>
      <c r="M172" s="34" t="s">
        <v>39</v>
      </c>
      <c r="N172" s="34" t="s">
        <v>1727</v>
      </c>
      <c r="O172" s="35">
        <v>1</v>
      </c>
      <c r="P172" s="35">
        <v>1</v>
      </c>
      <c r="Q172" s="32"/>
      <c r="S172" s="1">
        <f t="shared" si="145"/>
        <v>0</v>
      </c>
      <c r="T172" s="1">
        <f t="shared" si="146"/>
        <v>0</v>
      </c>
      <c r="U172" s="1">
        <f t="shared" si="147"/>
        <v>0</v>
      </c>
      <c r="V172" s="1">
        <f t="shared" si="148"/>
        <v>0</v>
      </c>
      <c r="W172" s="1">
        <f t="shared" si="149"/>
        <v>0</v>
      </c>
      <c r="X172" s="1">
        <f t="shared" si="150"/>
        <v>0</v>
      </c>
      <c r="Y172" s="1">
        <f t="shared" si="151"/>
        <v>0</v>
      </c>
      <c r="Z172" s="1">
        <f t="shared" si="152"/>
        <v>0</v>
      </c>
      <c r="AA172" s="1">
        <f t="shared" si="153"/>
        <v>0</v>
      </c>
      <c r="AB172" s="1">
        <f t="shared" si="154"/>
        <v>0</v>
      </c>
      <c r="AD172" s="1">
        <f t="shared" si="155"/>
        <v>1</v>
      </c>
      <c r="AE172" s="1">
        <f t="shared" si="156"/>
        <v>0</v>
      </c>
      <c r="AF172" s="1">
        <f t="shared" si="157"/>
        <v>1</v>
      </c>
      <c r="AG172" s="1">
        <f t="shared" si="158"/>
        <v>0</v>
      </c>
      <c r="AH172" s="1">
        <f t="shared" si="159"/>
        <v>1</v>
      </c>
      <c r="AI172" s="1">
        <f t="shared" si="160"/>
        <v>0</v>
      </c>
    </row>
    <row r="173" spans="1:35" ht="14.25" customHeight="1" x14ac:dyDescent="0.3">
      <c r="A173" s="31">
        <v>0</v>
      </c>
      <c r="B173" s="31">
        <v>1</v>
      </c>
      <c r="C173" s="31">
        <v>3</v>
      </c>
      <c r="D173" s="32" t="s">
        <v>149</v>
      </c>
      <c r="E173" s="32" t="s">
        <v>172</v>
      </c>
      <c r="F173" s="32" t="s">
        <v>350</v>
      </c>
      <c r="G173" s="32" t="s">
        <v>39</v>
      </c>
      <c r="H173" s="32" t="s">
        <v>380</v>
      </c>
      <c r="I173" s="31" t="s">
        <v>496</v>
      </c>
      <c r="J173" s="31">
        <v>14</v>
      </c>
      <c r="K173" s="33" t="s">
        <v>964</v>
      </c>
      <c r="L173" s="33" t="s">
        <v>39</v>
      </c>
      <c r="M173" s="34" t="s">
        <v>39</v>
      </c>
      <c r="N173" s="34" t="s">
        <v>1733</v>
      </c>
      <c r="O173" s="35">
        <v>1</v>
      </c>
      <c r="P173" s="35">
        <v>1</v>
      </c>
      <c r="Q173" s="32"/>
      <c r="S173" s="1">
        <f t="shared" si="117"/>
        <v>0</v>
      </c>
      <c r="T173" s="1">
        <f t="shared" si="118"/>
        <v>0</v>
      </c>
      <c r="U173" s="1">
        <f t="shared" si="119"/>
        <v>0</v>
      </c>
      <c r="V173" s="1">
        <f t="shared" si="120"/>
        <v>0</v>
      </c>
      <c r="W173" s="1">
        <f t="shared" si="121"/>
        <v>0</v>
      </c>
      <c r="X173" s="1">
        <f t="shared" si="122"/>
        <v>0</v>
      </c>
      <c r="Y173" s="1">
        <f t="shared" si="123"/>
        <v>0</v>
      </c>
      <c r="Z173" s="1">
        <f t="shared" si="124"/>
        <v>0</v>
      </c>
      <c r="AA173" s="1">
        <f t="shared" si="125"/>
        <v>0</v>
      </c>
      <c r="AB173" s="1">
        <f t="shared" si="126"/>
        <v>0</v>
      </c>
      <c r="AD173" s="1">
        <f t="shared" si="127"/>
        <v>1</v>
      </c>
      <c r="AE173" s="1">
        <f t="shared" si="128"/>
        <v>0</v>
      </c>
      <c r="AF173" s="1">
        <f t="shared" si="113"/>
        <v>1</v>
      </c>
      <c r="AG173" s="1">
        <f t="shared" si="114"/>
        <v>0</v>
      </c>
      <c r="AH173" s="1">
        <f t="shared" si="115"/>
        <v>1</v>
      </c>
      <c r="AI173" s="1">
        <f t="shared" si="116"/>
        <v>0</v>
      </c>
    </row>
    <row r="174" spans="1:35" ht="14.25" customHeight="1" x14ac:dyDescent="0.3">
      <c r="A174" s="31">
        <v>0</v>
      </c>
      <c r="B174" s="31">
        <v>1</v>
      </c>
      <c r="C174" s="31">
        <v>3</v>
      </c>
      <c r="D174" s="32" t="s">
        <v>1989</v>
      </c>
      <c r="E174" s="32" t="s">
        <v>1990</v>
      </c>
      <c r="F174" s="32" t="s">
        <v>1991</v>
      </c>
      <c r="G174" s="32" t="s">
        <v>535</v>
      </c>
      <c r="H174" s="32" t="s">
        <v>354</v>
      </c>
      <c r="I174" s="31" t="s">
        <v>1992</v>
      </c>
      <c r="J174" s="31"/>
      <c r="K174" s="33" t="s">
        <v>703</v>
      </c>
      <c r="L174" s="33"/>
      <c r="M174" s="34"/>
      <c r="N174" s="34" t="s">
        <v>1733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0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3">
      <c r="A175" s="31">
        <v>0</v>
      </c>
      <c r="B175" s="31">
        <v>1</v>
      </c>
      <c r="C175" s="31">
        <v>3</v>
      </c>
      <c r="D175" s="32" t="s">
        <v>635</v>
      </c>
      <c r="E175" s="32" t="s">
        <v>172</v>
      </c>
      <c r="F175" s="32" t="s">
        <v>637</v>
      </c>
      <c r="G175" s="32" t="s">
        <v>238</v>
      </c>
      <c r="H175" s="32" t="s">
        <v>354</v>
      </c>
      <c r="I175" s="31" t="s">
        <v>636</v>
      </c>
      <c r="J175" s="31">
        <v>4</v>
      </c>
      <c r="K175" s="33" t="s">
        <v>956</v>
      </c>
      <c r="L175" s="33" t="s">
        <v>39</v>
      </c>
      <c r="M175" s="34" t="s">
        <v>39</v>
      </c>
      <c r="N175" s="34" t="s">
        <v>1733</v>
      </c>
      <c r="O175" s="35">
        <v>1</v>
      </c>
      <c r="P175" s="35">
        <v>1</v>
      </c>
      <c r="Q175" s="32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1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1</v>
      </c>
      <c r="AE175" s="1">
        <f t="shared" si="128"/>
        <v>0</v>
      </c>
      <c r="AF175" s="1">
        <f t="shared" si="113"/>
        <v>1</v>
      </c>
      <c r="AG175" s="1">
        <f t="shared" si="114"/>
        <v>0</v>
      </c>
      <c r="AH175" s="1">
        <f t="shared" si="115"/>
        <v>1</v>
      </c>
      <c r="AI175" s="1">
        <f t="shared" si="116"/>
        <v>0</v>
      </c>
    </row>
    <row r="176" spans="1:35" ht="14.25" customHeight="1" x14ac:dyDescent="0.3">
      <c r="A176" s="15">
        <v>0</v>
      </c>
      <c r="B176" s="15">
        <v>1</v>
      </c>
      <c r="C176" s="15">
        <v>3</v>
      </c>
      <c r="D176" s="16" t="s">
        <v>1528</v>
      </c>
      <c r="E176" s="16" t="s">
        <v>1087</v>
      </c>
      <c r="F176" s="16" t="s">
        <v>1529</v>
      </c>
      <c r="G176" s="16" t="s">
        <v>218</v>
      </c>
      <c r="H176" s="16" t="s">
        <v>354</v>
      </c>
      <c r="I176" s="15" t="s">
        <v>1530</v>
      </c>
      <c r="J176" s="15">
        <v>99</v>
      </c>
      <c r="K176" s="10" t="s">
        <v>703</v>
      </c>
      <c r="L176" s="10">
        <v>40</v>
      </c>
      <c r="M176" s="19" t="s">
        <v>970</v>
      </c>
      <c r="N176" s="19"/>
      <c r="Q176" s="16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0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0</v>
      </c>
      <c r="AE176" s="1">
        <f t="shared" si="128"/>
        <v>0</v>
      </c>
      <c r="AF176" s="1">
        <f t="shared" si="113"/>
        <v>0</v>
      </c>
      <c r="AG176" s="1">
        <f t="shared" si="114"/>
        <v>0</v>
      </c>
      <c r="AH176" s="1">
        <f t="shared" si="115"/>
        <v>0</v>
      </c>
      <c r="AI176" s="1">
        <f t="shared" si="116"/>
        <v>1</v>
      </c>
    </row>
    <row r="177" spans="1:35" ht="14.25" customHeight="1" x14ac:dyDescent="0.3">
      <c r="A177" s="31">
        <v>0</v>
      </c>
      <c r="B177" s="31">
        <v>1</v>
      </c>
      <c r="C177" s="31">
        <v>3</v>
      </c>
      <c r="D177" s="32" t="s">
        <v>102</v>
      </c>
      <c r="E177" s="32" t="s">
        <v>172</v>
      </c>
      <c r="F177" s="32" t="s">
        <v>299</v>
      </c>
      <c r="G177" s="32" t="s">
        <v>300</v>
      </c>
      <c r="H177" s="32" t="s">
        <v>354</v>
      </c>
      <c r="I177" s="31" t="s">
        <v>449</v>
      </c>
      <c r="J177" s="31">
        <v>99</v>
      </c>
      <c r="K177" s="33" t="s">
        <v>958</v>
      </c>
      <c r="L177" s="33" t="s">
        <v>693</v>
      </c>
      <c r="M177" s="34" t="s">
        <v>691</v>
      </c>
      <c r="N177" s="34" t="s">
        <v>1743</v>
      </c>
      <c r="O177" s="35">
        <v>1</v>
      </c>
      <c r="P177" s="35"/>
      <c r="Q177" s="32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1</v>
      </c>
      <c r="AF177" s="1">
        <f t="shared" si="113"/>
        <v>0</v>
      </c>
      <c r="AG177" s="1">
        <f t="shared" si="114"/>
        <v>1</v>
      </c>
      <c r="AH177" s="1">
        <f t="shared" si="115"/>
        <v>0</v>
      </c>
      <c r="AI177" s="1">
        <f t="shared" si="116"/>
        <v>1</v>
      </c>
    </row>
    <row r="178" spans="1:35" ht="14.25" customHeight="1" x14ac:dyDescent="0.3">
      <c r="A178" s="44">
        <v>0</v>
      </c>
      <c r="B178" s="44">
        <v>1</v>
      </c>
      <c r="C178" s="44">
        <v>3</v>
      </c>
      <c r="D178" s="45" t="s">
        <v>990</v>
      </c>
      <c r="E178" s="45" t="s">
        <v>172</v>
      </c>
      <c r="F178" s="45" t="s">
        <v>993</v>
      </c>
      <c r="G178" s="45" t="s">
        <v>39</v>
      </c>
      <c r="H178" s="45" t="s">
        <v>992</v>
      </c>
      <c r="I178" s="44" t="s">
        <v>991</v>
      </c>
      <c r="J178" s="44">
        <v>14</v>
      </c>
      <c r="K178" s="46" t="s">
        <v>722</v>
      </c>
      <c r="L178" s="46" t="s">
        <v>694</v>
      </c>
      <c r="M178" s="47" t="s">
        <v>971</v>
      </c>
      <c r="N178" s="47" t="s">
        <v>1735</v>
      </c>
      <c r="O178" s="48"/>
      <c r="P178" s="48"/>
      <c r="Q178" s="45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0</v>
      </c>
      <c r="AF178" s="1">
        <f t="shared" si="113"/>
        <v>0</v>
      </c>
      <c r="AG178" s="1">
        <f t="shared" si="114"/>
        <v>0</v>
      </c>
      <c r="AH178" s="1">
        <f t="shared" si="115"/>
        <v>0</v>
      </c>
      <c r="AI178" s="1">
        <f t="shared" si="116"/>
        <v>1</v>
      </c>
    </row>
    <row r="179" spans="1:35" ht="14.25" customHeight="1" x14ac:dyDescent="0.3">
      <c r="A179" s="57">
        <v>0</v>
      </c>
      <c r="B179" s="57">
        <v>1</v>
      </c>
      <c r="C179" s="57">
        <v>3</v>
      </c>
      <c r="D179" s="58" t="s">
        <v>1644</v>
      </c>
      <c r="E179" s="58" t="s">
        <v>172</v>
      </c>
      <c r="F179" s="58" t="s">
        <v>773</v>
      </c>
      <c r="G179" s="58" t="s">
        <v>39</v>
      </c>
      <c r="H179" s="58" t="s">
        <v>367</v>
      </c>
      <c r="I179" s="57" t="s">
        <v>781</v>
      </c>
      <c r="J179" s="57">
        <v>18</v>
      </c>
      <c r="K179" s="59" t="s">
        <v>1697</v>
      </c>
      <c r="L179" s="59" t="s">
        <v>39</v>
      </c>
      <c r="M179" s="60" t="s">
        <v>774</v>
      </c>
      <c r="N179" s="61"/>
      <c r="O179" s="62"/>
      <c r="P179" s="62"/>
      <c r="Q179" s="58"/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0</v>
      </c>
      <c r="AF179" s="1">
        <f t="shared" si="113"/>
        <v>0</v>
      </c>
      <c r="AG179" s="1">
        <f t="shared" si="114"/>
        <v>0</v>
      </c>
      <c r="AH179" s="1">
        <f t="shared" si="115"/>
        <v>0</v>
      </c>
      <c r="AI179" s="1">
        <f t="shared" si="116"/>
        <v>1</v>
      </c>
    </row>
    <row r="180" spans="1:35" ht="14.25" customHeight="1" x14ac:dyDescent="0.3">
      <c r="A180" s="49">
        <v>0</v>
      </c>
      <c r="B180" s="49">
        <v>1</v>
      </c>
      <c r="C180" s="49">
        <v>3</v>
      </c>
      <c r="D180" s="50" t="s">
        <v>135</v>
      </c>
      <c r="E180" s="50" t="s">
        <v>172</v>
      </c>
      <c r="F180" s="50" t="s">
        <v>659</v>
      </c>
      <c r="G180" s="50" t="s">
        <v>257</v>
      </c>
      <c r="H180" s="50" t="s">
        <v>354</v>
      </c>
      <c r="I180" s="49" t="s">
        <v>1693</v>
      </c>
      <c r="J180" s="49">
        <v>99</v>
      </c>
      <c r="K180" s="51" t="s">
        <v>722</v>
      </c>
      <c r="L180" s="51" t="s">
        <v>687</v>
      </c>
      <c r="M180" s="52" t="s">
        <v>1397</v>
      </c>
      <c r="N180" s="52" t="s">
        <v>1743</v>
      </c>
      <c r="O180" s="53">
        <v>1</v>
      </c>
      <c r="P180" s="53"/>
      <c r="Q180" s="50" t="s">
        <v>1930</v>
      </c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1</v>
      </c>
      <c r="AF180" s="1">
        <f t="shared" si="113"/>
        <v>0</v>
      </c>
      <c r="AG180" s="1">
        <f t="shared" si="114"/>
        <v>1</v>
      </c>
      <c r="AH180" s="1">
        <f t="shared" si="115"/>
        <v>0</v>
      </c>
      <c r="AI180" s="1">
        <f t="shared" si="116"/>
        <v>1</v>
      </c>
    </row>
    <row r="181" spans="1:35" ht="14.25" customHeight="1" x14ac:dyDescent="0.3">
      <c r="A181" s="15">
        <v>0</v>
      </c>
      <c r="B181" s="15">
        <v>1</v>
      </c>
      <c r="C181" s="15">
        <v>3</v>
      </c>
      <c r="D181" s="16" t="s">
        <v>923</v>
      </c>
      <c r="E181" s="16" t="s">
        <v>170</v>
      </c>
      <c r="F181" s="16" t="s">
        <v>940</v>
      </c>
      <c r="G181" s="16" t="s">
        <v>39</v>
      </c>
      <c r="H181" s="16" t="s">
        <v>365</v>
      </c>
      <c r="I181" s="15" t="s">
        <v>883</v>
      </c>
      <c r="J181" s="15">
        <v>18</v>
      </c>
      <c r="K181" s="10" t="s">
        <v>702</v>
      </c>
      <c r="L181" s="10" t="s">
        <v>697</v>
      </c>
      <c r="M181" s="19" t="s">
        <v>971</v>
      </c>
      <c r="N181" s="17"/>
      <c r="Q181" s="16"/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0</v>
      </c>
      <c r="AF181" s="1">
        <f t="shared" si="113"/>
        <v>0</v>
      </c>
      <c r="AG181" s="1">
        <f t="shared" si="114"/>
        <v>0</v>
      </c>
      <c r="AH181" s="1">
        <f t="shared" si="115"/>
        <v>0</v>
      </c>
      <c r="AI181" s="1">
        <f t="shared" si="116"/>
        <v>1</v>
      </c>
    </row>
    <row r="182" spans="1:35" ht="14.25" customHeight="1" x14ac:dyDescent="0.3">
      <c r="A182" s="31">
        <v>0</v>
      </c>
      <c r="B182" s="31">
        <v>1</v>
      </c>
      <c r="C182" s="31">
        <v>3</v>
      </c>
      <c r="D182" s="32" t="s">
        <v>1260</v>
      </c>
      <c r="E182" s="32" t="s">
        <v>170</v>
      </c>
      <c r="F182" s="32" t="s">
        <v>1676</v>
      </c>
      <c r="G182" s="32" t="s">
        <v>39</v>
      </c>
      <c r="H182" s="32" t="s">
        <v>771</v>
      </c>
      <c r="I182" s="31" t="s">
        <v>1261</v>
      </c>
      <c r="J182" s="31">
        <v>11</v>
      </c>
      <c r="K182" s="33" t="s">
        <v>722</v>
      </c>
      <c r="L182" s="33" t="s">
        <v>689</v>
      </c>
      <c r="M182" s="34" t="s">
        <v>1398</v>
      </c>
      <c r="N182" s="34" t="s">
        <v>1749</v>
      </c>
      <c r="O182" s="35">
        <v>1</v>
      </c>
      <c r="P182" s="35"/>
      <c r="Q182" s="32"/>
      <c r="S182" s="1">
        <f t="shared" si="117"/>
        <v>0</v>
      </c>
      <c r="T182" s="1">
        <f t="shared" si="118"/>
        <v>0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0</v>
      </c>
      <c r="AE182" s="1">
        <f t="shared" si="128"/>
        <v>1</v>
      </c>
      <c r="AF182" s="1">
        <f t="shared" si="113"/>
        <v>0</v>
      </c>
      <c r="AG182" s="1">
        <f t="shared" si="114"/>
        <v>1</v>
      </c>
      <c r="AH182" s="1">
        <f t="shared" si="115"/>
        <v>0</v>
      </c>
      <c r="AI182" s="1">
        <f t="shared" si="116"/>
        <v>1</v>
      </c>
    </row>
    <row r="183" spans="1:35" ht="14.25" customHeight="1" x14ac:dyDescent="0.3">
      <c r="A183" s="31">
        <v>0</v>
      </c>
      <c r="B183" s="31">
        <v>1</v>
      </c>
      <c r="C183" s="31">
        <v>4</v>
      </c>
      <c r="D183" s="32" t="s">
        <v>996</v>
      </c>
      <c r="E183" s="32" t="s">
        <v>772</v>
      </c>
      <c r="F183" s="32" t="s">
        <v>1094</v>
      </c>
      <c r="G183" s="32" t="s">
        <v>200</v>
      </c>
      <c r="H183" s="32" t="s">
        <v>354</v>
      </c>
      <c r="I183" s="31" t="s">
        <v>997</v>
      </c>
      <c r="J183" s="31">
        <v>2</v>
      </c>
      <c r="K183" s="33" t="s">
        <v>956</v>
      </c>
      <c r="L183" s="33" t="s">
        <v>693</v>
      </c>
      <c r="M183" s="34" t="s">
        <v>1399</v>
      </c>
      <c r="N183" s="34" t="s">
        <v>1727</v>
      </c>
      <c r="O183" s="35">
        <v>1</v>
      </c>
      <c r="P183" s="35">
        <v>1</v>
      </c>
      <c r="Q183" s="32"/>
      <c r="S183" s="1">
        <f t="shared" si="117"/>
        <v>0</v>
      </c>
      <c r="T183" s="1">
        <f t="shared" si="118"/>
        <v>1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0</v>
      </c>
      <c r="AB183" s="1">
        <f t="shared" si="126"/>
        <v>0</v>
      </c>
      <c r="AD183" s="1">
        <f t="shared" si="127"/>
        <v>1</v>
      </c>
      <c r="AE183" s="1">
        <f t="shared" si="128"/>
        <v>0</v>
      </c>
      <c r="AF183" s="1">
        <f t="shared" si="113"/>
        <v>1</v>
      </c>
      <c r="AG183" s="1">
        <f t="shared" si="114"/>
        <v>0</v>
      </c>
      <c r="AH183" s="1">
        <f t="shared" si="115"/>
        <v>1</v>
      </c>
      <c r="AI183" s="1">
        <f t="shared" si="116"/>
        <v>0</v>
      </c>
    </row>
    <row r="184" spans="1:35" ht="14.25" customHeight="1" x14ac:dyDescent="0.3">
      <c r="A184" s="31">
        <v>0</v>
      </c>
      <c r="B184" s="31">
        <v>1</v>
      </c>
      <c r="C184" s="31">
        <v>4</v>
      </c>
      <c r="D184" s="32" t="s">
        <v>50</v>
      </c>
      <c r="E184" s="32" t="s">
        <v>772</v>
      </c>
      <c r="F184" s="32" t="s">
        <v>193</v>
      </c>
      <c r="G184" s="32" t="s">
        <v>194</v>
      </c>
      <c r="H184" s="32" t="s">
        <v>354</v>
      </c>
      <c r="I184" s="31" t="s">
        <v>387</v>
      </c>
      <c r="J184" s="31">
        <v>9</v>
      </c>
      <c r="K184" s="33" t="s">
        <v>956</v>
      </c>
      <c r="L184" s="33" t="s">
        <v>694</v>
      </c>
      <c r="M184" s="34" t="s">
        <v>969</v>
      </c>
      <c r="N184" s="34" t="s">
        <v>1801</v>
      </c>
      <c r="O184" s="35">
        <v>1</v>
      </c>
      <c r="P184" s="35"/>
      <c r="Q184" s="32"/>
      <c r="S184" s="1">
        <f t="shared" si="117"/>
        <v>0</v>
      </c>
      <c r="T184" s="1">
        <f t="shared" si="118"/>
        <v>0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1</v>
      </c>
      <c r="AB184" s="1">
        <f t="shared" si="126"/>
        <v>0</v>
      </c>
      <c r="AD184" s="1">
        <f t="shared" si="127"/>
        <v>0</v>
      </c>
      <c r="AE184" s="1">
        <f t="shared" si="128"/>
        <v>1</v>
      </c>
      <c r="AF184" s="1">
        <f t="shared" si="113"/>
        <v>0</v>
      </c>
      <c r="AG184" s="1">
        <f t="shared" si="114"/>
        <v>1</v>
      </c>
      <c r="AH184" s="1">
        <f t="shared" si="115"/>
        <v>0</v>
      </c>
      <c r="AI184" s="1">
        <f t="shared" si="116"/>
        <v>1</v>
      </c>
    </row>
    <row r="185" spans="1:35" ht="14.25" customHeight="1" x14ac:dyDescent="0.3">
      <c r="A185" s="31">
        <v>0</v>
      </c>
      <c r="B185" s="31">
        <v>1</v>
      </c>
      <c r="C185" s="31">
        <v>4</v>
      </c>
      <c r="D185" s="36" t="s">
        <v>2083</v>
      </c>
      <c r="E185" s="32" t="s">
        <v>772</v>
      </c>
      <c r="F185" s="36" t="s">
        <v>2084</v>
      </c>
      <c r="G185" s="36" t="s">
        <v>213</v>
      </c>
      <c r="H185" s="36" t="s">
        <v>354</v>
      </c>
      <c r="I185" s="37" t="s">
        <v>2085</v>
      </c>
      <c r="J185" s="31">
        <v>1</v>
      </c>
      <c r="K185" s="33" t="s">
        <v>703</v>
      </c>
      <c r="L185" s="33"/>
      <c r="M185" s="34"/>
      <c r="N185" s="34" t="s">
        <v>1733</v>
      </c>
      <c r="O185" s="35">
        <v>1</v>
      </c>
      <c r="P185" s="35">
        <v>1</v>
      </c>
      <c r="Q185" s="32" t="s">
        <v>2086</v>
      </c>
      <c r="S185" s="1">
        <f t="shared" si="117"/>
        <v>1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0</v>
      </c>
      <c r="AB185" s="1">
        <f t="shared" si="126"/>
        <v>0</v>
      </c>
      <c r="AD185" s="1">
        <f t="shared" si="127"/>
        <v>1</v>
      </c>
      <c r="AE185" s="1">
        <f t="shared" si="128"/>
        <v>0</v>
      </c>
      <c r="AF185" s="1">
        <f t="shared" si="113"/>
        <v>1</v>
      </c>
      <c r="AG185" s="1">
        <f t="shared" si="114"/>
        <v>0</v>
      </c>
      <c r="AH185" s="1">
        <f t="shared" si="115"/>
        <v>1</v>
      </c>
      <c r="AI185" s="1">
        <f t="shared" si="116"/>
        <v>0</v>
      </c>
    </row>
    <row r="186" spans="1:35" ht="14.25" customHeight="1" x14ac:dyDescent="0.3">
      <c r="A186" s="31">
        <v>0</v>
      </c>
      <c r="B186" s="31">
        <v>1</v>
      </c>
      <c r="C186" s="31">
        <v>4</v>
      </c>
      <c r="D186" s="32" t="s">
        <v>134</v>
      </c>
      <c r="E186" s="32" t="s">
        <v>177</v>
      </c>
      <c r="F186" s="32" t="s">
        <v>336</v>
      </c>
      <c r="G186" s="32" t="s">
        <v>213</v>
      </c>
      <c r="H186" s="32" t="s">
        <v>354</v>
      </c>
      <c r="I186" s="31" t="s">
        <v>483</v>
      </c>
      <c r="J186" s="31">
        <v>1</v>
      </c>
      <c r="K186" s="33" t="s">
        <v>956</v>
      </c>
      <c r="L186" s="33" t="s">
        <v>689</v>
      </c>
      <c r="M186" s="34" t="s">
        <v>691</v>
      </c>
      <c r="N186" s="34" t="s">
        <v>1743</v>
      </c>
      <c r="O186" s="35">
        <v>1</v>
      </c>
      <c r="P186" s="35"/>
      <c r="Q186" s="32"/>
      <c r="S186" s="1">
        <f t="shared" si="117"/>
        <v>1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0</v>
      </c>
      <c r="AE186" s="1">
        <f t="shared" si="128"/>
        <v>1</v>
      </c>
      <c r="AF186" s="1">
        <f t="shared" si="113"/>
        <v>0</v>
      </c>
      <c r="AG186" s="1">
        <f t="shared" si="114"/>
        <v>1</v>
      </c>
      <c r="AH186" s="1">
        <f t="shared" si="115"/>
        <v>0</v>
      </c>
      <c r="AI186" s="1">
        <f t="shared" si="116"/>
        <v>1</v>
      </c>
    </row>
    <row r="187" spans="1:35" ht="14.25" customHeight="1" x14ac:dyDescent="0.3">
      <c r="A187" s="15">
        <v>0</v>
      </c>
      <c r="B187" s="15">
        <v>1</v>
      </c>
      <c r="C187" s="15">
        <v>4</v>
      </c>
      <c r="D187" s="16" t="s">
        <v>884</v>
      </c>
      <c r="E187" s="16" t="s">
        <v>772</v>
      </c>
      <c r="F187" s="16" t="s">
        <v>885</v>
      </c>
      <c r="G187" s="16" t="s">
        <v>39</v>
      </c>
      <c r="H187" s="16" t="s">
        <v>886</v>
      </c>
      <c r="I187" s="15" t="s">
        <v>950</v>
      </c>
      <c r="J187" s="15">
        <v>17</v>
      </c>
      <c r="K187" s="10" t="s">
        <v>703</v>
      </c>
      <c r="L187" s="10" t="s">
        <v>1141</v>
      </c>
      <c r="M187" s="19" t="s">
        <v>972</v>
      </c>
      <c r="N187" s="17"/>
      <c r="Q187" s="16"/>
      <c r="S187" s="1">
        <f t="shared" si="117"/>
        <v>0</v>
      </c>
      <c r="T187" s="1">
        <f t="shared" si="118"/>
        <v>0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0</v>
      </c>
      <c r="AE187" s="1">
        <f t="shared" si="128"/>
        <v>0</v>
      </c>
      <c r="AF187" s="1">
        <f t="shared" si="113"/>
        <v>0</v>
      </c>
      <c r="AG187" s="1">
        <f t="shared" si="114"/>
        <v>0</v>
      </c>
      <c r="AH187" s="1">
        <f t="shared" si="115"/>
        <v>0</v>
      </c>
      <c r="AI187" s="1">
        <f t="shared" si="116"/>
        <v>1</v>
      </c>
    </row>
    <row r="188" spans="1:35" ht="14.25" customHeight="1" x14ac:dyDescent="0.3">
      <c r="A188" s="31">
        <v>0</v>
      </c>
      <c r="B188" s="31">
        <v>1</v>
      </c>
      <c r="C188" s="31">
        <v>5</v>
      </c>
      <c r="D188" s="32" t="s">
        <v>126</v>
      </c>
      <c r="E188" s="32" t="s">
        <v>526</v>
      </c>
      <c r="F188" s="32" t="s">
        <v>327</v>
      </c>
      <c r="G188" s="32" t="s">
        <v>300</v>
      </c>
      <c r="H188" s="32" t="s">
        <v>354</v>
      </c>
      <c r="I188" s="31" t="s">
        <v>475</v>
      </c>
      <c r="J188" s="31">
        <v>99</v>
      </c>
      <c r="K188" s="33" t="s">
        <v>702</v>
      </c>
      <c r="L188" s="33" t="s">
        <v>689</v>
      </c>
      <c r="M188" s="34" t="s">
        <v>970</v>
      </c>
      <c r="N188" s="34" t="s">
        <v>1743</v>
      </c>
      <c r="O188" s="35">
        <v>1</v>
      </c>
      <c r="P188" s="35"/>
      <c r="Q188" s="32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0</v>
      </c>
      <c r="AB188" s="1">
        <f t="shared" si="126"/>
        <v>0</v>
      </c>
      <c r="AD188" s="1">
        <f t="shared" si="127"/>
        <v>0</v>
      </c>
      <c r="AE188" s="1">
        <f t="shared" si="128"/>
        <v>1</v>
      </c>
      <c r="AF188" s="1">
        <f t="shared" si="113"/>
        <v>0</v>
      </c>
      <c r="AG188" s="1">
        <f t="shared" si="114"/>
        <v>1</v>
      </c>
      <c r="AH188" s="1">
        <f t="shared" si="115"/>
        <v>0</v>
      </c>
      <c r="AI188" s="1">
        <f t="shared" si="116"/>
        <v>1</v>
      </c>
    </row>
    <row r="189" spans="1:35" ht="14.25" customHeight="1" x14ac:dyDescent="0.3">
      <c r="A189" s="31">
        <v>0</v>
      </c>
      <c r="B189" s="31">
        <v>1</v>
      </c>
      <c r="C189" s="31">
        <v>5</v>
      </c>
      <c r="D189" s="32" t="s">
        <v>1729</v>
      </c>
      <c r="E189" s="32" t="s">
        <v>166</v>
      </c>
      <c r="F189" s="32" t="s">
        <v>1730</v>
      </c>
      <c r="G189" s="32" t="s">
        <v>1731</v>
      </c>
      <c r="H189" s="32" t="s">
        <v>354</v>
      </c>
      <c r="I189" s="31" t="s">
        <v>1732</v>
      </c>
      <c r="J189" s="31">
        <v>2</v>
      </c>
      <c r="K189" s="33" t="s">
        <v>703</v>
      </c>
      <c r="L189" s="33"/>
      <c r="M189" s="34"/>
      <c r="N189" s="34" t="s">
        <v>1733</v>
      </c>
      <c r="O189" s="35">
        <v>1</v>
      </c>
      <c r="P189" s="35">
        <v>1</v>
      </c>
      <c r="Q189" s="32"/>
      <c r="S189" s="1">
        <f t="shared" si="117"/>
        <v>0</v>
      </c>
      <c r="T189" s="1">
        <f t="shared" si="118"/>
        <v>1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27"/>
        <v>1</v>
      </c>
      <c r="AE189" s="1">
        <f t="shared" si="128"/>
        <v>0</v>
      </c>
      <c r="AF189" s="1">
        <f t="shared" si="113"/>
        <v>1</v>
      </c>
      <c r="AG189" s="1">
        <f t="shared" si="114"/>
        <v>0</v>
      </c>
      <c r="AH189" s="1">
        <f t="shared" si="115"/>
        <v>1</v>
      </c>
      <c r="AI189" s="1">
        <f t="shared" si="116"/>
        <v>0</v>
      </c>
    </row>
    <row r="190" spans="1:35" ht="14.25" customHeight="1" x14ac:dyDescent="0.3">
      <c r="A190" s="44">
        <v>0</v>
      </c>
      <c r="B190" s="44">
        <v>1</v>
      </c>
      <c r="C190" s="44">
        <v>5</v>
      </c>
      <c r="D190" s="45" t="s">
        <v>87</v>
      </c>
      <c r="E190" s="45" t="s">
        <v>166</v>
      </c>
      <c r="F190" s="45" t="s">
        <v>577</v>
      </c>
      <c r="G190" s="45" t="s">
        <v>194</v>
      </c>
      <c r="H190" s="45" t="s">
        <v>354</v>
      </c>
      <c r="I190" s="44" t="s">
        <v>436</v>
      </c>
      <c r="J190" s="44">
        <v>9</v>
      </c>
      <c r="K190" s="46" t="s">
        <v>956</v>
      </c>
      <c r="L190" s="46" t="s">
        <v>696</v>
      </c>
      <c r="M190" s="47" t="s">
        <v>691</v>
      </c>
      <c r="N190" s="47" t="s">
        <v>1735</v>
      </c>
      <c r="O190" s="48"/>
      <c r="P190" s="48"/>
      <c r="Q190" s="45"/>
      <c r="S190" s="1">
        <f t="shared" si="117"/>
        <v>0</v>
      </c>
      <c r="T190" s="1">
        <f t="shared" si="118"/>
        <v>0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1</v>
      </c>
      <c r="AB190" s="1">
        <f t="shared" si="126"/>
        <v>0</v>
      </c>
      <c r="AD190" s="1">
        <f t="shared" ref="AD190:AD194" si="161">+O190*P190</f>
        <v>0</v>
      </c>
      <c r="AE190" s="1">
        <f t="shared" ref="AE190:AE194" si="162">O190*(1-P190)</f>
        <v>0</v>
      </c>
      <c r="AF190" s="1">
        <f t="shared" ref="AF190:AF194" si="163">+O190*P190*(1-A190)</f>
        <v>0</v>
      </c>
      <c r="AG190" s="1">
        <f t="shared" si="114"/>
        <v>0</v>
      </c>
      <c r="AH190" s="1">
        <f t="shared" si="115"/>
        <v>0</v>
      </c>
      <c r="AI190" s="1">
        <f t="shared" si="116"/>
        <v>1</v>
      </c>
    </row>
    <row r="191" spans="1:35" ht="14.25" customHeight="1" x14ac:dyDescent="0.3">
      <c r="A191" s="31">
        <v>0</v>
      </c>
      <c r="B191" s="31">
        <v>1</v>
      </c>
      <c r="C191" s="31">
        <v>5</v>
      </c>
      <c r="D191" s="32" t="s">
        <v>1996</v>
      </c>
      <c r="E191" s="32" t="s">
        <v>166</v>
      </c>
      <c r="F191" s="32" t="s">
        <v>1997</v>
      </c>
      <c r="G191" s="32" t="s">
        <v>2000</v>
      </c>
      <c r="H191" s="32" t="s">
        <v>354</v>
      </c>
      <c r="I191" s="31" t="s">
        <v>1998</v>
      </c>
      <c r="J191" s="31">
        <v>99</v>
      </c>
      <c r="K191" s="33" t="s">
        <v>703</v>
      </c>
      <c r="L191" s="33">
        <v>25</v>
      </c>
      <c r="M191" s="34" t="s">
        <v>691</v>
      </c>
      <c r="N191" s="34" t="s">
        <v>1743</v>
      </c>
      <c r="O191" s="35">
        <v>1</v>
      </c>
      <c r="P191" s="35"/>
      <c r="Q191" s="32" t="s">
        <v>1999</v>
      </c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0</v>
      </c>
      <c r="AA191" s="1">
        <f t="shared" si="125"/>
        <v>0</v>
      </c>
      <c r="AB191" s="1">
        <f t="shared" si="126"/>
        <v>0</v>
      </c>
      <c r="AD191" s="1">
        <f t="shared" si="161"/>
        <v>0</v>
      </c>
      <c r="AE191" s="1">
        <f t="shared" si="162"/>
        <v>1</v>
      </c>
      <c r="AF191" s="1">
        <f t="shared" si="163"/>
        <v>0</v>
      </c>
      <c r="AG191" s="1">
        <f t="shared" si="114"/>
        <v>1</v>
      </c>
      <c r="AH191" s="1">
        <f t="shared" si="115"/>
        <v>0</v>
      </c>
      <c r="AI191" s="1">
        <f t="shared" si="116"/>
        <v>1</v>
      </c>
    </row>
    <row r="192" spans="1:35" ht="14.25" customHeight="1" x14ac:dyDescent="0.3">
      <c r="A192" s="44">
        <v>0</v>
      </c>
      <c r="B192" s="44">
        <v>1</v>
      </c>
      <c r="C192" s="44">
        <v>5</v>
      </c>
      <c r="D192" s="45" t="s">
        <v>127</v>
      </c>
      <c r="E192" s="45" t="s">
        <v>166</v>
      </c>
      <c r="F192" s="45" t="s">
        <v>328</v>
      </c>
      <c r="G192" s="45" t="s">
        <v>180</v>
      </c>
      <c r="H192" s="45" t="s">
        <v>354</v>
      </c>
      <c r="I192" s="44" t="s">
        <v>476</v>
      </c>
      <c r="J192" s="44">
        <v>10</v>
      </c>
      <c r="K192" s="46" t="s">
        <v>958</v>
      </c>
      <c r="L192" s="46" t="s">
        <v>694</v>
      </c>
      <c r="M192" s="47" t="s">
        <v>691</v>
      </c>
      <c r="N192" s="47" t="s">
        <v>1740</v>
      </c>
      <c r="O192" s="48"/>
      <c r="P192" s="48"/>
      <c r="Q192" s="45"/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1</v>
      </c>
      <c r="AD192" s="1">
        <f t="shared" si="161"/>
        <v>0</v>
      </c>
      <c r="AE192" s="1">
        <f t="shared" si="162"/>
        <v>0</v>
      </c>
      <c r="AF192" s="1">
        <f t="shared" si="163"/>
        <v>0</v>
      </c>
      <c r="AG192" s="1">
        <f t="shared" si="114"/>
        <v>0</v>
      </c>
      <c r="AH192" s="1">
        <f t="shared" si="115"/>
        <v>0</v>
      </c>
      <c r="AI192" s="1">
        <f t="shared" si="116"/>
        <v>1</v>
      </c>
    </row>
    <row r="193" spans="1:35" ht="14.25" customHeight="1" x14ac:dyDescent="0.3">
      <c r="A193" s="31">
        <v>0</v>
      </c>
      <c r="B193" s="31">
        <v>1</v>
      </c>
      <c r="C193" s="31">
        <v>5</v>
      </c>
      <c r="D193" s="32" t="s">
        <v>137</v>
      </c>
      <c r="E193" s="32" t="s">
        <v>166</v>
      </c>
      <c r="F193" s="32" t="s">
        <v>548</v>
      </c>
      <c r="G193" s="32" t="s">
        <v>220</v>
      </c>
      <c r="H193" s="32" t="s">
        <v>354</v>
      </c>
      <c r="I193" s="31" t="s">
        <v>540</v>
      </c>
      <c r="J193" s="31">
        <v>8</v>
      </c>
      <c r="K193" s="33" t="s">
        <v>956</v>
      </c>
      <c r="L193" s="33" t="s">
        <v>694</v>
      </c>
      <c r="M193" s="34" t="s">
        <v>691</v>
      </c>
      <c r="N193" s="34" t="s">
        <v>1743</v>
      </c>
      <c r="O193" s="35">
        <v>1</v>
      </c>
      <c r="P193" s="35"/>
      <c r="Q193" s="32"/>
      <c r="S193" s="1">
        <f t="shared" si="117"/>
        <v>0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1</v>
      </c>
      <c r="AA193" s="1">
        <f t="shared" si="125"/>
        <v>0</v>
      </c>
      <c r="AB193" s="1">
        <f t="shared" si="126"/>
        <v>0</v>
      </c>
      <c r="AD193" s="1">
        <f t="shared" si="161"/>
        <v>0</v>
      </c>
      <c r="AE193" s="1">
        <f t="shared" si="162"/>
        <v>1</v>
      </c>
      <c r="AF193" s="1">
        <f t="shared" si="163"/>
        <v>0</v>
      </c>
      <c r="AG193" s="1">
        <f t="shared" si="114"/>
        <v>1</v>
      </c>
      <c r="AH193" s="1">
        <f t="shared" si="115"/>
        <v>0</v>
      </c>
      <c r="AI193" s="1">
        <f t="shared" si="116"/>
        <v>1</v>
      </c>
    </row>
    <row r="194" spans="1:35" ht="14.25" customHeight="1" x14ac:dyDescent="0.3">
      <c r="A194" s="31">
        <v>1</v>
      </c>
      <c r="B194" s="31">
        <v>1</v>
      </c>
      <c r="C194" s="31">
        <v>5</v>
      </c>
      <c r="D194" s="32" t="s">
        <v>137</v>
      </c>
      <c r="E194" s="32" t="s">
        <v>166</v>
      </c>
      <c r="F194" s="32" t="s">
        <v>337</v>
      </c>
      <c r="G194" s="32" t="s">
        <v>338</v>
      </c>
      <c r="H194" s="32" t="s">
        <v>354</v>
      </c>
      <c r="I194" s="31" t="s">
        <v>485</v>
      </c>
      <c r="J194" s="31">
        <v>10</v>
      </c>
      <c r="K194" s="33" t="s">
        <v>956</v>
      </c>
      <c r="L194" s="33" t="s">
        <v>694</v>
      </c>
      <c r="M194" s="34" t="s">
        <v>691</v>
      </c>
      <c r="N194" s="34" t="s">
        <v>1743</v>
      </c>
      <c r="O194" s="35">
        <v>1</v>
      </c>
      <c r="P194" s="35"/>
      <c r="Q194" s="32"/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0</v>
      </c>
      <c r="AA194" s="1">
        <f t="shared" si="125"/>
        <v>0</v>
      </c>
      <c r="AB194" s="1">
        <f t="shared" si="126"/>
        <v>1</v>
      </c>
      <c r="AD194" s="1">
        <f t="shared" si="161"/>
        <v>0</v>
      </c>
      <c r="AE194" s="1">
        <f t="shared" si="162"/>
        <v>1</v>
      </c>
      <c r="AF194" s="1">
        <f t="shared" si="163"/>
        <v>0</v>
      </c>
      <c r="AG194" s="1">
        <f t="shared" si="114"/>
        <v>0</v>
      </c>
      <c r="AH194" s="1">
        <f t="shared" si="115"/>
        <v>0</v>
      </c>
      <c r="AI194" s="1">
        <f t="shared" si="116"/>
        <v>0</v>
      </c>
    </row>
    <row r="195" spans="1:35" ht="14.25" customHeight="1" x14ac:dyDescent="0.3">
      <c r="A195" s="44">
        <v>0</v>
      </c>
      <c r="B195" s="44">
        <v>1</v>
      </c>
      <c r="C195" s="44">
        <v>5</v>
      </c>
      <c r="D195" s="45" t="s">
        <v>1637</v>
      </c>
      <c r="E195" s="45" t="s">
        <v>166</v>
      </c>
      <c r="F195" s="45" t="s">
        <v>865</v>
      </c>
      <c r="G195" s="45" t="s">
        <v>1664</v>
      </c>
      <c r="H195" s="45" t="s">
        <v>354</v>
      </c>
      <c r="I195" s="44" t="s">
        <v>866</v>
      </c>
      <c r="J195" s="44">
        <v>1</v>
      </c>
      <c r="K195" s="46" t="s">
        <v>722</v>
      </c>
      <c r="L195" s="46" t="s">
        <v>1707</v>
      </c>
      <c r="M195" s="47" t="s">
        <v>1400</v>
      </c>
      <c r="N195" s="47" t="s">
        <v>1735</v>
      </c>
      <c r="O195" s="48"/>
      <c r="P195" s="48"/>
      <c r="Q195" s="45"/>
      <c r="S195" s="1">
        <f t="shared" si="117"/>
        <v>1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0</v>
      </c>
      <c r="AD195" s="1">
        <f t="shared" si="127"/>
        <v>0</v>
      </c>
      <c r="AE195" s="1">
        <f t="shared" si="128"/>
        <v>0</v>
      </c>
      <c r="AF195" s="1">
        <f t="shared" si="113"/>
        <v>0</v>
      </c>
      <c r="AG195" s="1">
        <f t="shared" si="114"/>
        <v>0</v>
      </c>
      <c r="AH195" s="1">
        <f t="shared" si="115"/>
        <v>0</v>
      </c>
      <c r="AI195" s="1">
        <f t="shared" si="116"/>
        <v>1</v>
      </c>
    </row>
    <row r="196" spans="1:35" ht="14.25" customHeight="1" x14ac:dyDescent="0.3">
      <c r="A196" s="15">
        <v>0</v>
      </c>
      <c r="B196" s="15">
        <v>1</v>
      </c>
      <c r="C196" s="15">
        <v>5</v>
      </c>
      <c r="D196" s="20" t="s">
        <v>1949</v>
      </c>
      <c r="E196" s="20" t="s">
        <v>893</v>
      </c>
      <c r="F196" s="20" t="s">
        <v>1967</v>
      </c>
      <c r="G196" s="20"/>
      <c r="H196" s="20" t="s">
        <v>1968</v>
      </c>
      <c r="I196" s="21" t="s">
        <v>1966</v>
      </c>
      <c r="J196" s="15">
        <v>15</v>
      </c>
      <c r="K196" s="10" t="s">
        <v>703</v>
      </c>
      <c r="L196" s="10" t="s">
        <v>697</v>
      </c>
      <c r="M196" s="19" t="s">
        <v>971</v>
      </c>
      <c r="N196" s="17"/>
      <c r="Q196" s="20" t="s">
        <v>1969</v>
      </c>
      <c r="S196" s="1">
        <f t="shared" si="117"/>
        <v>0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ref="AD196:AD197" si="164">+O196*P196</f>
        <v>0</v>
      </c>
      <c r="AE196" s="1">
        <f t="shared" ref="AE196:AE197" si="165">O196*(1-P196)</f>
        <v>0</v>
      </c>
      <c r="AF196" s="1">
        <f t="shared" ref="AF196:AF197" si="166">+O196*P196*(1-A196)</f>
        <v>0</v>
      </c>
      <c r="AG196" s="1">
        <f t="shared" si="114"/>
        <v>0</v>
      </c>
      <c r="AH196" s="1">
        <f t="shared" si="115"/>
        <v>0</v>
      </c>
      <c r="AI196" s="1">
        <f t="shared" si="116"/>
        <v>1</v>
      </c>
    </row>
    <row r="197" spans="1:35" ht="14.25" customHeight="1" x14ac:dyDescent="0.3">
      <c r="A197" s="31">
        <v>0</v>
      </c>
      <c r="B197" s="31">
        <v>1</v>
      </c>
      <c r="C197" s="31">
        <v>5</v>
      </c>
      <c r="D197" s="32" t="s">
        <v>887</v>
      </c>
      <c r="E197" s="32" t="s">
        <v>888</v>
      </c>
      <c r="F197" s="32" t="s">
        <v>1092</v>
      </c>
      <c r="G197" s="32" t="s">
        <v>39</v>
      </c>
      <c r="H197" s="32" t="s">
        <v>889</v>
      </c>
      <c r="I197" s="31" t="s">
        <v>890</v>
      </c>
      <c r="J197" s="31">
        <v>16</v>
      </c>
      <c r="K197" s="33" t="s">
        <v>703</v>
      </c>
      <c r="L197" s="33" t="s">
        <v>692</v>
      </c>
      <c r="M197" s="34" t="s">
        <v>970</v>
      </c>
      <c r="N197" s="34" t="s">
        <v>1733</v>
      </c>
      <c r="O197" s="35">
        <v>1</v>
      </c>
      <c r="P197" s="35">
        <v>1</v>
      </c>
      <c r="Q197" s="36" t="s">
        <v>1894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si="164"/>
        <v>1</v>
      </c>
      <c r="AE197" s="1">
        <f t="shared" si="165"/>
        <v>0</v>
      </c>
      <c r="AF197" s="1">
        <f t="shared" si="166"/>
        <v>1</v>
      </c>
      <c r="AG197" s="1">
        <f t="shared" si="114"/>
        <v>0</v>
      </c>
      <c r="AH197" s="1">
        <f t="shared" si="115"/>
        <v>1</v>
      </c>
      <c r="AI197" s="1">
        <f t="shared" si="116"/>
        <v>0</v>
      </c>
    </row>
    <row r="198" spans="1:35" ht="14.25" customHeight="1" x14ac:dyDescent="0.3">
      <c r="A198" s="31">
        <v>0</v>
      </c>
      <c r="B198" s="31">
        <v>1</v>
      </c>
      <c r="C198" s="31">
        <v>5</v>
      </c>
      <c r="D198" s="32" t="s">
        <v>106</v>
      </c>
      <c r="E198" s="32" t="s">
        <v>173</v>
      </c>
      <c r="F198" s="32" t="s">
        <v>304</v>
      </c>
      <c r="G198" s="32" t="s">
        <v>39</v>
      </c>
      <c r="H198" s="32" t="s">
        <v>359</v>
      </c>
      <c r="I198" s="31" t="s">
        <v>453</v>
      </c>
      <c r="J198" s="31">
        <v>14</v>
      </c>
      <c r="K198" s="33" t="s">
        <v>956</v>
      </c>
      <c r="L198" s="33" t="s">
        <v>693</v>
      </c>
      <c r="M198" s="34" t="s">
        <v>970</v>
      </c>
      <c r="N198" s="34" t="s">
        <v>1743</v>
      </c>
      <c r="O198" s="35">
        <v>1</v>
      </c>
      <c r="P198" s="35"/>
      <c r="Q198" s="32"/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27"/>
        <v>0</v>
      </c>
      <c r="AE198" s="1">
        <f t="shared" si="128"/>
        <v>1</v>
      </c>
      <c r="AF198" s="1">
        <f t="shared" si="113"/>
        <v>0</v>
      </c>
      <c r="AG198" s="1">
        <f t="shared" si="114"/>
        <v>1</v>
      </c>
      <c r="AH198" s="1">
        <f t="shared" si="115"/>
        <v>0</v>
      </c>
      <c r="AI198" s="1">
        <f t="shared" si="116"/>
        <v>1</v>
      </c>
    </row>
    <row r="199" spans="1:35" ht="14.25" customHeight="1" x14ac:dyDescent="0.3">
      <c r="A199" s="15">
        <v>0</v>
      </c>
      <c r="B199" s="15">
        <v>1</v>
      </c>
      <c r="C199" s="15">
        <v>5</v>
      </c>
      <c r="D199" s="20" t="s">
        <v>1951</v>
      </c>
      <c r="E199" s="20" t="s">
        <v>893</v>
      </c>
      <c r="F199" s="20" t="s">
        <v>1981</v>
      </c>
      <c r="G199" s="20"/>
      <c r="H199" s="20" t="s">
        <v>1980</v>
      </c>
      <c r="I199" s="21" t="s">
        <v>1979</v>
      </c>
      <c r="J199" s="15">
        <v>18</v>
      </c>
      <c r="K199" s="10" t="s">
        <v>703</v>
      </c>
      <c r="L199" s="10" t="s">
        <v>697</v>
      </c>
      <c r="M199" s="19" t="s">
        <v>971</v>
      </c>
      <c r="N199" s="17"/>
      <c r="Q199" s="20" t="s">
        <v>1982</v>
      </c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0</v>
      </c>
      <c r="AF199" s="1">
        <f t="shared" si="113"/>
        <v>0</v>
      </c>
      <c r="AG199" s="1">
        <f t="shared" si="114"/>
        <v>0</v>
      </c>
      <c r="AH199" s="1">
        <f t="shared" si="115"/>
        <v>0</v>
      </c>
      <c r="AI199" s="1">
        <f t="shared" si="116"/>
        <v>1</v>
      </c>
    </row>
    <row r="200" spans="1:35" ht="14.25" customHeight="1" x14ac:dyDescent="0.3">
      <c r="A200" s="44">
        <v>0</v>
      </c>
      <c r="B200" s="44">
        <v>1</v>
      </c>
      <c r="C200" s="44">
        <v>5</v>
      </c>
      <c r="D200" s="45" t="s">
        <v>513</v>
      </c>
      <c r="E200" s="45" t="s">
        <v>172</v>
      </c>
      <c r="F200" s="45" t="s">
        <v>549</v>
      </c>
      <c r="G200" s="45" t="s">
        <v>39</v>
      </c>
      <c r="H200" s="45" t="s">
        <v>362</v>
      </c>
      <c r="I200" s="44" t="s">
        <v>1114</v>
      </c>
      <c r="J200" s="44">
        <v>12</v>
      </c>
      <c r="K200" s="46" t="s">
        <v>703</v>
      </c>
      <c r="L200" s="46">
        <v>35</v>
      </c>
      <c r="M200" s="47" t="s">
        <v>970</v>
      </c>
      <c r="N200" s="47" t="s">
        <v>1802</v>
      </c>
      <c r="O200" s="48"/>
      <c r="P200" s="48"/>
      <c r="Q200" s="45"/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ht="14.25" customHeight="1" x14ac:dyDescent="0.3">
      <c r="A201" s="31">
        <v>0</v>
      </c>
      <c r="B201" s="31">
        <v>1</v>
      </c>
      <c r="C201" s="31">
        <v>5</v>
      </c>
      <c r="D201" s="32" t="s">
        <v>151</v>
      </c>
      <c r="E201" s="32" t="s">
        <v>166</v>
      </c>
      <c r="F201" s="36" t="s">
        <v>1870</v>
      </c>
      <c r="G201" s="32" t="s">
        <v>197</v>
      </c>
      <c r="H201" s="32" t="s">
        <v>354</v>
      </c>
      <c r="I201" s="31" t="s">
        <v>498</v>
      </c>
      <c r="J201" s="31">
        <v>99</v>
      </c>
      <c r="K201" s="33" t="s">
        <v>956</v>
      </c>
      <c r="L201" s="33" t="s">
        <v>693</v>
      </c>
      <c r="M201" s="34" t="s">
        <v>970</v>
      </c>
      <c r="N201" s="34" t="s">
        <v>1748</v>
      </c>
      <c r="O201" s="35">
        <v>1</v>
      </c>
      <c r="P201" s="35"/>
      <c r="Q201" s="32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0</v>
      </c>
      <c r="AE201" s="1">
        <f t="shared" si="128"/>
        <v>1</v>
      </c>
      <c r="AF201" s="1">
        <f t="shared" si="113"/>
        <v>0</v>
      </c>
      <c r="AG201" s="1">
        <f t="shared" si="114"/>
        <v>1</v>
      </c>
      <c r="AH201" s="1">
        <f t="shared" si="115"/>
        <v>0</v>
      </c>
      <c r="AI201" s="1">
        <f t="shared" si="116"/>
        <v>1</v>
      </c>
    </row>
    <row r="202" spans="1:35" ht="14.25" customHeight="1" x14ac:dyDescent="0.3">
      <c r="A202" s="44">
        <v>0</v>
      </c>
      <c r="B202" s="44">
        <v>1</v>
      </c>
      <c r="C202" s="44">
        <v>5</v>
      </c>
      <c r="D202" s="45" t="s">
        <v>649</v>
      </c>
      <c r="E202" s="45" t="s">
        <v>684</v>
      </c>
      <c r="F202" s="45" t="s">
        <v>645</v>
      </c>
      <c r="G202" s="45" t="s">
        <v>185</v>
      </c>
      <c r="H202" s="45" t="s">
        <v>354</v>
      </c>
      <c r="I202" s="44" t="s">
        <v>646</v>
      </c>
      <c r="J202" s="44">
        <v>99</v>
      </c>
      <c r="K202" s="46" t="s">
        <v>722</v>
      </c>
      <c r="L202" s="46" t="s">
        <v>693</v>
      </c>
      <c r="M202" s="47" t="s">
        <v>970</v>
      </c>
      <c r="N202" s="47" t="s">
        <v>1734</v>
      </c>
      <c r="O202" s="48"/>
      <c r="P202" s="48"/>
      <c r="Q202" s="45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0</v>
      </c>
      <c r="AF202" s="1">
        <f t="shared" si="113"/>
        <v>0</v>
      </c>
      <c r="AG202" s="1">
        <f t="shared" si="114"/>
        <v>0</v>
      </c>
      <c r="AH202" s="1">
        <f t="shared" si="115"/>
        <v>0</v>
      </c>
      <c r="AI202" s="1">
        <f t="shared" si="116"/>
        <v>1</v>
      </c>
    </row>
    <row r="203" spans="1:35" ht="14.25" customHeight="1" x14ac:dyDescent="0.3">
      <c r="A203" s="31">
        <v>0</v>
      </c>
      <c r="B203" s="31">
        <v>1</v>
      </c>
      <c r="C203" s="31">
        <v>5</v>
      </c>
      <c r="D203" s="32" t="s">
        <v>1310</v>
      </c>
      <c r="E203" s="32" t="s">
        <v>166</v>
      </c>
      <c r="F203" s="32" t="s">
        <v>1311</v>
      </c>
      <c r="G203" s="32" t="s">
        <v>283</v>
      </c>
      <c r="H203" s="32" t="s">
        <v>354</v>
      </c>
      <c r="I203" s="31" t="s">
        <v>1312</v>
      </c>
      <c r="J203" s="31">
        <v>99</v>
      </c>
      <c r="K203" s="33" t="s">
        <v>702</v>
      </c>
      <c r="L203" s="33" t="s">
        <v>39</v>
      </c>
      <c r="M203" s="34" t="s">
        <v>39</v>
      </c>
      <c r="N203" s="34" t="s">
        <v>1733</v>
      </c>
      <c r="O203" s="35">
        <v>1</v>
      </c>
      <c r="P203" s="35">
        <v>1</v>
      </c>
      <c r="Q203" s="32"/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1</v>
      </c>
      <c r="AE203" s="1">
        <f t="shared" si="128"/>
        <v>0</v>
      </c>
      <c r="AF203" s="1">
        <f t="shared" si="113"/>
        <v>1</v>
      </c>
      <c r="AG203" s="1">
        <f t="shared" si="114"/>
        <v>0</v>
      </c>
      <c r="AH203" s="1">
        <f t="shared" si="115"/>
        <v>1</v>
      </c>
      <c r="AI203" s="1">
        <f t="shared" si="116"/>
        <v>0</v>
      </c>
    </row>
    <row r="204" spans="1:35" ht="14.25" customHeight="1" x14ac:dyDescent="0.3">
      <c r="A204" s="44">
        <v>0</v>
      </c>
      <c r="B204" s="44">
        <v>1</v>
      </c>
      <c r="C204" s="44">
        <v>5</v>
      </c>
      <c r="D204" s="45" t="s">
        <v>892</v>
      </c>
      <c r="E204" s="45" t="s">
        <v>893</v>
      </c>
      <c r="F204" s="45" t="s">
        <v>934</v>
      </c>
      <c r="G204" s="45" t="s">
        <v>39</v>
      </c>
      <c r="H204" s="45" t="s">
        <v>894</v>
      </c>
      <c r="I204" s="44" t="s">
        <v>895</v>
      </c>
      <c r="J204" s="44">
        <v>17</v>
      </c>
      <c r="K204" s="46" t="s">
        <v>703</v>
      </c>
      <c r="L204" s="46" t="s">
        <v>697</v>
      </c>
      <c r="M204" s="47" t="s">
        <v>970</v>
      </c>
      <c r="N204" s="47" t="s">
        <v>1741</v>
      </c>
      <c r="O204" s="48"/>
      <c r="P204" s="48"/>
      <c r="Q204" s="45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0</v>
      </c>
      <c r="AE204" s="1">
        <f t="shared" si="128"/>
        <v>0</v>
      </c>
      <c r="AF204" s="1">
        <f t="shared" si="113"/>
        <v>0</v>
      </c>
      <c r="AG204" s="1">
        <f t="shared" si="114"/>
        <v>0</v>
      </c>
      <c r="AH204" s="1">
        <f t="shared" si="115"/>
        <v>0</v>
      </c>
      <c r="AI204" s="1">
        <f t="shared" si="116"/>
        <v>1</v>
      </c>
    </row>
    <row r="205" spans="1:35" ht="14.25" customHeight="1" x14ac:dyDescent="0.3">
      <c r="A205" s="15">
        <v>0</v>
      </c>
      <c r="B205" s="15">
        <v>1</v>
      </c>
      <c r="C205" s="15">
        <v>5</v>
      </c>
      <c r="D205" s="16" t="s">
        <v>1941</v>
      </c>
      <c r="E205" s="16" t="s">
        <v>893</v>
      </c>
      <c r="F205" s="16" t="s">
        <v>1943</v>
      </c>
      <c r="G205" s="16"/>
      <c r="H205" s="16" t="s">
        <v>1942</v>
      </c>
      <c r="I205" s="15" t="s">
        <v>1944</v>
      </c>
      <c r="J205" s="15">
        <v>16</v>
      </c>
      <c r="K205" s="10" t="s">
        <v>703</v>
      </c>
      <c r="L205" s="10" t="s">
        <v>697</v>
      </c>
      <c r="M205" s="19" t="s">
        <v>970</v>
      </c>
      <c r="N205" s="17"/>
      <c r="Q205" s="20" t="s">
        <v>1945</v>
      </c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0</v>
      </c>
      <c r="AF205" s="1">
        <f t="shared" si="113"/>
        <v>0</v>
      </c>
      <c r="AG205" s="1">
        <f t="shared" si="114"/>
        <v>0</v>
      </c>
      <c r="AH205" s="1">
        <f t="shared" si="115"/>
        <v>0</v>
      </c>
      <c r="AI205" s="1">
        <f t="shared" si="116"/>
        <v>1</v>
      </c>
    </row>
    <row r="206" spans="1:35" ht="14.25" customHeight="1" x14ac:dyDescent="0.3">
      <c r="A206" s="44">
        <v>0</v>
      </c>
      <c r="B206" s="44">
        <v>1</v>
      </c>
      <c r="C206" s="44">
        <v>5</v>
      </c>
      <c r="D206" s="45" t="s">
        <v>131</v>
      </c>
      <c r="E206" s="45" t="s">
        <v>166</v>
      </c>
      <c r="F206" s="45" t="s">
        <v>332</v>
      </c>
      <c r="G206" s="45" t="s">
        <v>333</v>
      </c>
      <c r="H206" s="45" t="s">
        <v>354</v>
      </c>
      <c r="I206" s="44" t="s">
        <v>480</v>
      </c>
      <c r="J206" s="44">
        <v>99</v>
      </c>
      <c r="K206" s="46" t="s">
        <v>722</v>
      </c>
      <c r="L206" s="46" t="s">
        <v>694</v>
      </c>
      <c r="M206" s="47" t="s">
        <v>970</v>
      </c>
      <c r="N206" s="47" t="s">
        <v>1747</v>
      </c>
      <c r="O206" s="48"/>
      <c r="P206" s="48"/>
      <c r="Q206" s="45"/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0</v>
      </c>
      <c r="AE206" s="1">
        <f t="shared" si="128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3">
      <c r="A207" s="31">
        <v>0</v>
      </c>
      <c r="B207" s="31">
        <v>1</v>
      </c>
      <c r="C207" s="31">
        <v>5</v>
      </c>
      <c r="D207" s="32" t="s">
        <v>109</v>
      </c>
      <c r="E207" s="32" t="s">
        <v>166</v>
      </c>
      <c r="F207" s="32" t="s">
        <v>307</v>
      </c>
      <c r="G207" s="32" t="s">
        <v>231</v>
      </c>
      <c r="H207" s="32" t="s">
        <v>354</v>
      </c>
      <c r="I207" s="31" t="s">
        <v>456</v>
      </c>
      <c r="J207" s="31">
        <v>99</v>
      </c>
      <c r="K207" s="33" t="s">
        <v>722</v>
      </c>
      <c r="L207" s="33" t="s">
        <v>696</v>
      </c>
      <c r="M207" s="34" t="s">
        <v>691</v>
      </c>
      <c r="N207" s="34" t="s">
        <v>1743</v>
      </c>
      <c r="O207" s="35">
        <v>1</v>
      </c>
      <c r="P207" s="35"/>
      <c r="Q207" s="32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0</v>
      </c>
      <c r="AD207" s="1">
        <f t="shared" si="127"/>
        <v>0</v>
      </c>
      <c r="AE207" s="1">
        <f t="shared" si="128"/>
        <v>1</v>
      </c>
      <c r="AF207" s="1">
        <f t="shared" si="113"/>
        <v>0</v>
      </c>
      <c r="AG207" s="1">
        <f t="shared" si="114"/>
        <v>1</v>
      </c>
      <c r="AH207" s="1">
        <f t="shared" si="115"/>
        <v>0</v>
      </c>
      <c r="AI207" s="1">
        <f t="shared" si="116"/>
        <v>1</v>
      </c>
    </row>
    <row r="208" spans="1:35" ht="14.25" customHeight="1" x14ac:dyDescent="0.3">
      <c r="A208" s="31">
        <v>0</v>
      </c>
      <c r="B208" s="31">
        <v>1</v>
      </c>
      <c r="C208" s="31">
        <v>5</v>
      </c>
      <c r="D208" s="32" t="s">
        <v>111</v>
      </c>
      <c r="E208" s="32" t="s">
        <v>172</v>
      </c>
      <c r="F208" s="32" t="s">
        <v>310</v>
      </c>
      <c r="G208" s="32" t="s">
        <v>39</v>
      </c>
      <c r="H208" s="32" t="s">
        <v>364</v>
      </c>
      <c r="I208" s="31" t="s">
        <v>459</v>
      </c>
      <c r="J208" s="31">
        <v>17</v>
      </c>
      <c r="K208" s="33" t="s">
        <v>703</v>
      </c>
      <c r="L208" s="33" t="s">
        <v>697</v>
      </c>
      <c r="M208" s="34" t="s">
        <v>691</v>
      </c>
      <c r="N208" s="34" t="s">
        <v>1733</v>
      </c>
      <c r="O208" s="35">
        <v>1</v>
      </c>
      <c r="P208" s="35">
        <v>1</v>
      </c>
      <c r="Q208" s="32" t="s">
        <v>1915</v>
      </c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0</v>
      </c>
      <c r="AD208" s="1">
        <f t="shared" si="127"/>
        <v>1</v>
      </c>
      <c r="AE208" s="1">
        <f t="shared" si="128"/>
        <v>0</v>
      </c>
      <c r="AF208" s="1">
        <f t="shared" si="113"/>
        <v>1</v>
      </c>
      <c r="AG208" s="1">
        <f t="shared" si="114"/>
        <v>0</v>
      </c>
      <c r="AH208" s="1">
        <f t="shared" si="115"/>
        <v>1</v>
      </c>
      <c r="AI208" s="1">
        <f t="shared" si="116"/>
        <v>0</v>
      </c>
    </row>
    <row r="209" spans="1:35" ht="14.25" customHeight="1" x14ac:dyDescent="0.3">
      <c r="A209" s="31">
        <v>0</v>
      </c>
      <c r="B209" s="31">
        <v>1</v>
      </c>
      <c r="C209" s="31">
        <v>5</v>
      </c>
      <c r="D209" s="32" t="s">
        <v>525</v>
      </c>
      <c r="E209" s="32" t="s">
        <v>526</v>
      </c>
      <c r="F209" s="32" t="s">
        <v>527</v>
      </c>
      <c r="G209" s="32" t="s">
        <v>202</v>
      </c>
      <c r="H209" s="32" t="s">
        <v>354</v>
      </c>
      <c r="I209" s="31" t="s">
        <v>528</v>
      </c>
      <c r="J209" s="31">
        <v>10</v>
      </c>
      <c r="K209" s="33" t="s">
        <v>702</v>
      </c>
      <c r="L209" s="33" t="s">
        <v>693</v>
      </c>
      <c r="M209" s="34" t="s">
        <v>970</v>
      </c>
      <c r="N209" s="34" t="s">
        <v>1733</v>
      </c>
      <c r="O209" s="35">
        <v>1</v>
      </c>
      <c r="P209" s="35">
        <v>1</v>
      </c>
      <c r="Q209" s="32"/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1</v>
      </c>
      <c r="AD209" s="1">
        <f t="shared" si="127"/>
        <v>1</v>
      </c>
      <c r="AE209" s="1">
        <f t="shared" si="128"/>
        <v>0</v>
      </c>
      <c r="AF209" s="1">
        <f t="shared" si="113"/>
        <v>1</v>
      </c>
      <c r="AG209" s="1">
        <f t="shared" si="114"/>
        <v>0</v>
      </c>
      <c r="AH209" s="1">
        <f t="shared" si="115"/>
        <v>1</v>
      </c>
      <c r="AI209" s="1">
        <f t="shared" si="116"/>
        <v>0</v>
      </c>
    </row>
    <row r="210" spans="1:35" ht="14.25" customHeight="1" x14ac:dyDescent="0.3">
      <c r="A210" s="31">
        <v>0</v>
      </c>
      <c r="B210" s="31">
        <v>1</v>
      </c>
      <c r="C210" s="31">
        <v>5</v>
      </c>
      <c r="D210" s="32" t="s">
        <v>1499</v>
      </c>
      <c r="E210" s="32" t="s">
        <v>166</v>
      </c>
      <c r="F210" s="32" t="s">
        <v>1500</v>
      </c>
      <c r="G210" s="32" t="s">
        <v>180</v>
      </c>
      <c r="H210" s="32" t="s">
        <v>354</v>
      </c>
      <c r="I210" s="31" t="s">
        <v>1501</v>
      </c>
      <c r="J210" s="31">
        <v>10</v>
      </c>
      <c r="K210" s="33" t="s">
        <v>956</v>
      </c>
      <c r="L210" s="33" t="s">
        <v>693</v>
      </c>
      <c r="M210" s="34" t="s">
        <v>970</v>
      </c>
      <c r="N210" s="34" t="s">
        <v>1727</v>
      </c>
      <c r="O210" s="35">
        <v>1</v>
      </c>
      <c r="P210" s="35">
        <v>1</v>
      </c>
      <c r="Q210" s="32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1</v>
      </c>
      <c r="AD210" s="1">
        <f t="shared" si="127"/>
        <v>1</v>
      </c>
      <c r="AE210" s="1">
        <f t="shared" si="128"/>
        <v>0</v>
      </c>
      <c r="AF210" s="1">
        <f t="shared" ref="AF210:AF276" si="167">+O210*P210*(1-A210)</f>
        <v>1</v>
      </c>
      <c r="AG210" s="1">
        <f t="shared" ref="AG210:AG276" si="168">O210*(1-P210)*(1-A210)</f>
        <v>0</v>
      </c>
      <c r="AH210" s="1">
        <f t="shared" ref="AH210:AH276" si="169">+P210*(1-A210)</f>
        <v>1</v>
      </c>
      <c r="AI210" s="1">
        <f t="shared" ref="AI210:AI276" si="170">+(1-A210)*(1-P210)</f>
        <v>0</v>
      </c>
    </row>
    <row r="211" spans="1:35" ht="14.25" customHeight="1" x14ac:dyDescent="0.3">
      <c r="A211" s="31">
        <v>0</v>
      </c>
      <c r="B211" s="31">
        <v>1</v>
      </c>
      <c r="C211" s="31">
        <v>5</v>
      </c>
      <c r="D211" s="32" t="s">
        <v>1757</v>
      </c>
      <c r="E211" s="32" t="s">
        <v>166</v>
      </c>
      <c r="F211" s="32" t="s">
        <v>1758</v>
      </c>
      <c r="G211" s="32" t="s">
        <v>1759</v>
      </c>
      <c r="H211" s="32" t="s">
        <v>354</v>
      </c>
      <c r="I211" s="31" t="s">
        <v>1760</v>
      </c>
      <c r="J211" s="31">
        <v>1</v>
      </c>
      <c r="K211" s="33" t="s">
        <v>703</v>
      </c>
      <c r="L211" s="33"/>
      <c r="M211" s="34"/>
      <c r="N211" s="34" t="s">
        <v>1748</v>
      </c>
      <c r="O211" s="35">
        <v>1</v>
      </c>
      <c r="P211" s="35"/>
      <c r="Q211" s="32"/>
      <c r="S211" s="1">
        <f t="shared" si="117"/>
        <v>1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0</v>
      </c>
      <c r="AE211" s="1">
        <f t="shared" si="128"/>
        <v>1</v>
      </c>
      <c r="AF211" s="1">
        <f t="shared" si="167"/>
        <v>0</v>
      </c>
      <c r="AG211" s="1">
        <f t="shared" si="168"/>
        <v>1</v>
      </c>
      <c r="AH211" s="1">
        <f t="shared" si="169"/>
        <v>0</v>
      </c>
      <c r="AI211" s="1">
        <f t="shared" si="170"/>
        <v>1</v>
      </c>
    </row>
    <row r="212" spans="1:35" ht="14.25" customHeight="1" x14ac:dyDescent="0.3">
      <c r="A212" s="44">
        <v>0</v>
      </c>
      <c r="B212" s="44">
        <v>1</v>
      </c>
      <c r="C212" s="44">
        <v>5</v>
      </c>
      <c r="D212" s="45" t="s">
        <v>1026</v>
      </c>
      <c r="E212" s="45" t="s">
        <v>1087</v>
      </c>
      <c r="F212" s="45" t="s">
        <v>1027</v>
      </c>
      <c r="G212" s="45" t="s">
        <v>194</v>
      </c>
      <c r="H212" s="45" t="s">
        <v>354</v>
      </c>
      <c r="I212" s="44" t="s">
        <v>1028</v>
      </c>
      <c r="J212" s="44">
        <v>9</v>
      </c>
      <c r="K212" s="46" t="s">
        <v>722</v>
      </c>
      <c r="L212" s="46" t="s">
        <v>1704</v>
      </c>
      <c r="M212" s="47" t="s">
        <v>1604</v>
      </c>
      <c r="N212" s="47" t="s">
        <v>1735</v>
      </c>
      <c r="O212" s="48"/>
      <c r="P212" s="48"/>
      <c r="Q212" s="45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1</v>
      </c>
      <c r="AB212" s="1">
        <f t="shared" si="126"/>
        <v>0</v>
      </c>
      <c r="AD212" s="1">
        <f t="shared" si="127"/>
        <v>0</v>
      </c>
      <c r="AE212" s="1">
        <f t="shared" si="128"/>
        <v>0</v>
      </c>
      <c r="AF212" s="1">
        <f t="shared" si="167"/>
        <v>0</v>
      </c>
      <c r="AG212" s="1">
        <f t="shared" si="168"/>
        <v>0</v>
      </c>
      <c r="AH212" s="1">
        <f t="shared" si="169"/>
        <v>0</v>
      </c>
      <c r="AI212" s="1">
        <f t="shared" si="170"/>
        <v>1</v>
      </c>
    </row>
    <row r="213" spans="1:35" ht="14.25" customHeight="1" x14ac:dyDescent="0.3">
      <c r="A213" s="44">
        <v>0</v>
      </c>
      <c r="B213" s="44">
        <v>1</v>
      </c>
      <c r="C213" s="44">
        <v>5</v>
      </c>
      <c r="D213" s="45" t="s">
        <v>1614</v>
      </c>
      <c r="E213" s="45" t="s">
        <v>166</v>
      </c>
      <c r="F213" s="45" t="s">
        <v>1615</v>
      </c>
      <c r="G213" s="45" t="s">
        <v>213</v>
      </c>
      <c r="H213" s="45" t="s">
        <v>354</v>
      </c>
      <c r="I213" s="44" t="s">
        <v>1616</v>
      </c>
      <c r="J213" s="44">
        <v>1</v>
      </c>
      <c r="K213" s="46" t="s">
        <v>722</v>
      </c>
      <c r="L213" s="46" t="s">
        <v>694</v>
      </c>
      <c r="M213" s="47" t="s">
        <v>970</v>
      </c>
      <c r="N213" s="47" t="s">
        <v>1736</v>
      </c>
      <c r="O213" s="48"/>
      <c r="P213" s="48"/>
      <c r="Q213" s="45"/>
      <c r="S213" s="1">
        <f t="shared" si="117"/>
        <v>1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0</v>
      </c>
      <c r="AB213" s="1">
        <f t="shared" si="126"/>
        <v>0</v>
      </c>
      <c r="AD213" s="1">
        <f t="shared" si="127"/>
        <v>0</v>
      </c>
      <c r="AE213" s="1">
        <f t="shared" si="128"/>
        <v>0</v>
      </c>
      <c r="AF213" s="1">
        <f t="shared" si="167"/>
        <v>0</v>
      </c>
      <c r="AG213" s="1">
        <f t="shared" si="168"/>
        <v>0</v>
      </c>
      <c r="AH213" s="1">
        <f t="shared" si="169"/>
        <v>0</v>
      </c>
      <c r="AI213" s="1">
        <f t="shared" si="170"/>
        <v>1</v>
      </c>
    </row>
    <row r="214" spans="1:35" ht="14.25" customHeight="1" x14ac:dyDescent="0.3">
      <c r="A214" s="31">
        <v>0</v>
      </c>
      <c r="B214" s="31">
        <v>1</v>
      </c>
      <c r="C214" s="31">
        <v>5</v>
      </c>
      <c r="D214" s="32" t="s">
        <v>147</v>
      </c>
      <c r="E214" s="32" t="s">
        <v>545</v>
      </c>
      <c r="F214" s="32" t="s">
        <v>1599</v>
      </c>
      <c r="G214" s="32" t="s">
        <v>1673</v>
      </c>
      <c r="H214" s="32" t="s">
        <v>354</v>
      </c>
      <c r="I214" s="31" t="s">
        <v>494</v>
      </c>
      <c r="J214" s="31">
        <v>99</v>
      </c>
      <c r="K214" s="33" t="s">
        <v>702</v>
      </c>
      <c r="L214" s="33" t="s">
        <v>689</v>
      </c>
      <c r="M214" s="34" t="s">
        <v>970</v>
      </c>
      <c r="N214" s="34" t="s">
        <v>1825</v>
      </c>
      <c r="O214" s="35">
        <v>1</v>
      </c>
      <c r="P214" s="35"/>
      <c r="Q214" s="32"/>
      <c r="S214" s="1">
        <f t="shared" si="117"/>
        <v>0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0</v>
      </c>
      <c r="AE214" s="1">
        <f t="shared" si="128"/>
        <v>1</v>
      </c>
      <c r="AF214" s="1">
        <f t="shared" si="167"/>
        <v>0</v>
      </c>
      <c r="AG214" s="1">
        <f t="shared" si="168"/>
        <v>1</v>
      </c>
      <c r="AH214" s="1">
        <f t="shared" si="169"/>
        <v>0</v>
      </c>
      <c r="AI214" s="1">
        <f t="shared" si="170"/>
        <v>1</v>
      </c>
    </row>
    <row r="215" spans="1:35" ht="14.25" customHeight="1" x14ac:dyDescent="0.3">
      <c r="A215" s="15">
        <v>0</v>
      </c>
      <c r="B215" s="15">
        <v>1</v>
      </c>
      <c r="C215" s="15">
        <v>5</v>
      </c>
      <c r="D215" s="16" t="s">
        <v>1212</v>
      </c>
      <c r="E215" s="16" t="s">
        <v>166</v>
      </c>
      <c r="F215" s="16" t="s">
        <v>1213</v>
      </c>
      <c r="G215" s="16" t="s">
        <v>1214</v>
      </c>
      <c r="H215" s="16" t="s">
        <v>354</v>
      </c>
      <c r="I215" s="15" t="s">
        <v>1215</v>
      </c>
      <c r="J215" s="15">
        <v>99</v>
      </c>
      <c r="K215" s="10" t="s">
        <v>703</v>
      </c>
      <c r="L215" s="10">
        <v>30</v>
      </c>
      <c r="M215" s="19" t="s">
        <v>970</v>
      </c>
      <c r="N215" s="19"/>
      <c r="Q215" s="16"/>
      <c r="S215" s="1">
        <f t="shared" ref="S215:S280" si="171">IF(J215=$S$7,1,0)</f>
        <v>0</v>
      </c>
      <c r="T215" s="1">
        <f t="shared" ref="T215:T280" si="172">IF(J215=$T$7,1,0)</f>
        <v>0</v>
      </c>
      <c r="U215" s="1">
        <f t="shared" ref="U215:U280" si="173">IF(J215=$U$7,1,0)</f>
        <v>0</v>
      </c>
      <c r="V215" s="1">
        <f t="shared" ref="V215:V280" si="174">IF(J215=$V$7,1,0)</f>
        <v>0</v>
      </c>
      <c r="W215" s="1">
        <f t="shared" ref="W215:W280" si="175">IF(J215=$W$7,1,0)</f>
        <v>0</v>
      </c>
      <c r="X215" s="1">
        <f t="shared" ref="X215:X280" si="176">IF(J215=$X$7,1,0)</f>
        <v>0</v>
      </c>
      <c r="Y215" s="1">
        <f t="shared" ref="Y215:Y280" si="177">IF(J215=$Y$7,1,0)</f>
        <v>0</v>
      </c>
      <c r="Z215" s="1">
        <f t="shared" ref="Z215:Z280" si="178">IF(J215=$Z$7,1,0)</f>
        <v>0</v>
      </c>
      <c r="AA215" s="1">
        <f t="shared" ref="AA215:AA280" si="179">IF(J215=$AA$7,1,0)</f>
        <v>0</v>
      </c>
      <c r="AB215" s="1">
        <f t="shared" ref="AB215:AB280" si="180">IF(J215=$AB$7,1,0)</f>
        <v>0</v>
      </c>
      <c r="AD215" s="1">
        <f t="shared" ref="AD215:AD280" si="181">+O215*P215</f>
        <v>0</v>
      </c>
      <c r="AE215" s="1">
        <f t="shared" ref="AE215:AE280" si="182">O215*(1-P215)</f>
        <v>0</v>
      </c>
      <c r="AF215" s="1">
        <f t="shared" si="167"/>
        <v>0</v>
      </c>
      <c r="AG215" s="1">
        <f t="shared" si="168"/>
        <v>0</v>
      </c>
      <c r="AH215" s="1">
        <f t="shared" si="169"/>
        <v>0</v>
      </c>
      <c r="AI215" s="1">
        <f t="shared" si="170"/>
        <v>1</v>
      </c>
    </row>
    <row r="216" spans="1:35" ht="14.25" customHeight="1" x14ac:dyDescent="0.3">
      <c r="A216" s="31">
        <v>0</v>
      </c>
      <c r="B216" s="31">
        <v>1</v>
      </c>
      <c r="C216" s="31">
        <v>5</v>
      </c>
      <c r="D216" s="32" t="s">
        <v>1600</v>
      </c>
      <c r="E216" s="32" t="s">
        <v>172</v>
      </c>
      <c r="F216" s="32" t="s">
        <v>808</v>
      </c>
      <c r="G216" s="32" t="s">
        <v>39</v>
      </c>
      <c r="H216" s="32" t="s">
        <v>809</v>
      </c>
      <c r="I216" s="31" t="s">
        <v>810</v>
      </c>
      <c r="J216" s="31">
        <v>16</v>
      </c>
      <c r="K216" s="33" t="s">
        <v>957</v>
      </c>
      <c r="L216" s="33" t="s">
        <v>1742</v>
      </c>
      <c r="M216" s="34" t="s">
        <v>970</v>
      </c>
      <c r="N216" s="34" t="s">
        <v>1748</v>
      </c>
      <c r="O216" s="35">
        <v>1</v>
      </c>
      <c r="P216" s="35"/>
      <c r="Q216" s="32"/>
      <c r="S216" s="1">
        <f t="shared" si="171"/>
        <v>0</v>
      </c>
      <c r="T216" s="1">
        <f t="shared" si="172"/>
        <v>0</v>
      </c>
      <c r="U216" s="1">
        <f t="shared" si="173"/>
        <v>0</v>
      </c>
      <c r="V216" s="1">
        <f t="shared" si="174"/>
        <v>0</v>
      </c>
      <c r="W216" s="1">
        <f t="shared" si="175"/>
        <v>0</v>
      </c>
      <c r="X216" s="1">
        <f t="shared" si="176"/>
        <v>0</v>
      </c>
      <c r="Y216" s="1">
        <f t="shared" si="177"/>
        <v>0</v>
      </c>
      <c r="Z216" s="1">
        <f t="shared" si="178"/>
        <v>0</v>
      </c>
      <c r="AA216" s="1">
        <f t="shared" si="179"/>
        <v>0</v>
      </c>
      <c r="AB216" s="1">
        <f t="shared" si="180"/>
        <v>0</v>
      </c>
      <c r="AD216" s="1">
        <f t="shared" si="181"/>
        <v>0</v>
      </c>
      <c r="AE216" s="1">
        <f t="shared" si="182"/>
        <v>1</v>
      </c>
      <c r="AF216" s="1">
        <f t="shared" si="167"/>
        <v>0</v>
      </c>
      <c r="AG216" s="1">
        <f t="shared" si="168"/>
        <v>1</v>
      </c>
      <c r="AH216" s="1">
        <f t="shared" si="169"/>
        <v>0</v>
      </c>
      <c r="AI216" s="1">
        <f t="shared" si="170"/>
        <v>1</v>
      </c>
    </row>
    <row r="217" spans="1:35" ht="14.25" customHeight="1" x14ac:dyDescent="0.3">
      <c r="A217" s="31">
        <v>0</v>
      </c>
      <c r="B217" s="31">
        <v>1</v>
      </c>
      <c r="C217" s="31">
        <v>5</v>
      </c>
      <c r="D217" s="32" t="s">
        <v>502</v>
      </c>
      <c r="E217" s="32" t="s">
        <v>166</v>
      </c>
      <c r="F217" s="32" t="s">
        <v>503</v>
      </c>
      <c r="G217" s="32" t="s">
        <v>504</v>
      </c>
      <c r="H217" s="32" t="s">
        <v>354</v>
      </c>
      <c r="I217" s="31" t="s">
        <v>505</v>
      </c>
      <c r="J217" s="31">
        <v>99</v>
      </c>
      <c r="K217" s="33" t="s">
        <v>957</v>
      </c>
      <c r="L217" s="33" t="s">
        <v>694</v>
      </c>
      <c r="M217" s="34" t="s">
        <v>691</v>
      </c>
      <c r="N217" s="34" t="s">
        <v>1727</v>
      </c>
      <c r="O217" s="35">
        <v>1</v>
      </c>
      <c r="P217" s="35">
        <v>1</v>
      </c>
      <c r="Q217" s="32"/>
      <c r="S217" s="1">
        <f t="shared" si="171"/>
        <v>0</v>
      </c>
      <c r="T217" s="1">
        <f t="shared" si="172"/>
        <v>0</v>
      </c>
      <c r="U217" s="1">
        <f t="shared" si="173"/>
        <v>0</v>
      </c>
      <c r="V217" s="1">
        <f t="shared" si="174"/>
        <v>0</v>
      </c>
      <c r="W217" s="1">
        <f t="shared" si="175"/>
        <v>0</v>
      </c>
      <c r="X217" s="1">
        <f t="shared" si="176"/>
        <v>0</v>
      </c>
      <c r="Y217" s="1">
        <f t="shared" si="177"/>
        <v>0</v>
      </c>
      <c r="Z217" s="1">
        <f t="shared" si="178"/>
        <v>0</v>
      </c>
      <c r="AA217" s="1">
        <f t="shared" si="179"/>
        <v>0</v>
      </c>
      <c r="AB217" s="1">
        <f t="shared" si="180"/>
        <v>0</v>
      </c>
      <c r="AD217" s="1">
        <f t="shared" si="181"/>
        <v>1</v>
      </c>
      <c r="AE217" s="1">
        <f t="shared" si="182"/>
        <v>0</v>
      </c>
      <c r="AF217" s="1">
        <f t="shared" si="167"/>
        <v>1</v>
      </c>
      <c r="AG217" s="1">
        <f t="shared" si="168"/>
        <v>0</v>
      </c>
      <c r="AH217" s="1">
        <f t="shared" si="169"/>
        <v>1</v>
      </c>
      <c r="AI217" s="1">
        <f t="shared" si="170"/>
        <v>0</v>
      </c>
    </row>
    <row r="218" spans="1:35" ht="14.25" customHeight="1" x14ac:dyDescent="0.3">
      <c r="A218" s="31">
        <v>0</v>
      </c>
      <c r="B218" s="31">
        <v>1</v>
      </c>
      <c r="C218" s="31">
        <v>6</v>
      </c>
      <c r="D218" s="32" t="s">
        <v>1450</v>
      </c>
      <c r="E218" s="32" t="s">
        <v>167</v>
      </c>
      <c r="F218" s="32" t="s">
        <v>1451</v>
      </c>
      <c r="G218" s="32" t="s">
        <v>179</v>
      </c>
      <c r="H218" s="32" t="s">
        <v>354</v>
      </c>
      <c r="I218" s="31" t="s">
        <v>1452</v>
      </c>
      <c r="J218" s="31">
        <v>99</v>
      </c>
      <c r="K218" s="33" t="s">
        <v>956</v>
      </c>
      <c r="L218" s="33" t="s">
        <v>696</v>
      </c>
      <c r="M218" s="34" t="s">
        <v>1453</v>
      </c>
      <c r="N218" s="34" t="s">
        <v>1749</v>
      </c>
      <c r="O218" s="35">
        <v>1</v>
      </c>
      <c r="P218" s="35"/>
      <c r="Q218" s="36"/>
      <c r="S218" s="1">
        <f t="shared" si="171"/>
        <v>0</v>
      </c>
      <c r="T218" s="1">
        <f t="shared" si="172"/>
        <v>0</v>
      </c>
      <c r="U218" s="1">
        <f t="shared" si="173"/>
        <v>0</v>
      </c>
      <c r="V218" s="1">
        <f t="shared" si="174"/>
        <v>0</v>
      </c>
      <c r="W218" s="1">
        <f t="shared" si="175"/>
        <v>0</v>
      </c>
      <c r="X218" s="1">
        <f t="shared" si="176"/>
        <v>0</v>
      </c>
      <c r="Y218" s="1">
        <f t="shared" si="177"/>
        <v>0</v>
      </c>
      <c r="Z218" s="1">
        <f t="shared" si="178"/>
        <v>0</v>
      </c>
      <c r="AA218" s="1">
        <f t="shared" si="179"/>
        <v>0</v>
      </c>
      <c r="AB218" s="1">
        <f t="shared" si="180"/>
        <v>0</v>
      </c>
      <c r="AD218" s="1">
        <f t="shared" si="181"/>
        <v>0</v>
      </c>
      <c r="AE218" s="1">
        <f t="shared" si="182"/>
        <v>1</v>
      </c>
      <c r="AF218" s="1">
        <f t="shared" si="167"/>
        <v>0</v>
      </c>
      <c r="AG218" s="1">
        <f t="shared" si="168"/>
        <v>1</v>
      </c>
      <c r="AH218" s="1">
        <f t="shared" si="169"/>
        <v>0</v>
      </c>
      <c r="AI218" s="1">
        <f t="shared" si="170"/>
        <v>1</v>
      </c>
    </row>
    <row r="219" spans="1:35" ht="14.25" customHeight="1" x14ac:dyDescent="0.3">
      <c r="A219" s="31">
        <v>0</v>
      </c>
      <c r="B219" s="31">
        <v>1</v>
      </c>
      <c r="C219" s="31">
        <v>6</v>
      </c>
      <c r="D219" s="32" t="s">
        <v>1186</v>
      </c>
      <c r="E219" s="32" t="s">
        <v>1189</v>
      </c>
      <c r="F219" s="32" t="s">
        <v>1187</v>
      </c>
      <c r="G219" s="32" t="s">
        <v>39</v>
      </c>
      <c r="H219" s="32" t="s">
        <v>354</v>
      </c>
      <c r="I219" s="31" t="s">
        <v>1188</v>
      </c>
      <c r="J219" s="31">
        <v>99</v>
      </c>
      <c r="K219" s="33" t="s">
        <v>962</v>
      </c>
      <c r="L219" s="33" t="s">
        <v>39</v>
      </c>
      <c r="M219" s="34" t="s">
        <v>39</v>
      </c>
      <c r="N219" s="34" t="s">
        <v>1733</v>
      </c>
      <c r="O219" s="35">
        <v>1</v>
      </c>
      <c r="P219" s="35">
        <v>1</v>
      </c>
      <c r="Q219" s="36" t="s">
        <v>1908</v>
      </c>
      <c r="S219" s="1">
        <f t="shared" si="171"/>
        <v>0</v>
      </c>
      <c r="T219" s="1">
        <f t="shared" si="172"/>
        <v>0</v>
      </c>
      <c r="U219" s="1">
        <f t="shared" si="173"/>
        <v>0</v>
      </c>
      <c r="V219" s="1">
        <f t="shared" si="174"/>
        <v>0</v>
      </c>
      <c r="W219" s="1">
        <f t="shared" si="175"/>
        <v>0</v>
      </c>
      <c r="X219" s="1">
        <f t="shared" si="176"/>
        <v>0</v>
      </c>
      <c r="Y219" s="1">
        <f t="shared" si="177"/>
        <v>0</v>
      </c>
      <c r="Z219" s="1">
        <f t="shared" si="178"/>
        <v>0</v>
      </c>
      <c r="AA219" s="1">
        <f t="shared" si="179"/>
        <v>0</v>
      </c>
      <c r="AB219" s="1">
        <f t="shared" si="180"/>
        <v>0</v>
      </c>
      <c r="AD219" s="1">
        <f t="shared" si="181"/>
        <v>1</v>
      </c>
      <c r="AE219" s="1">
        <f t="shared" si="182"/>
        <v>0</v>
      </c>
      <c r="AF219" s="1">
        <f t="shared" si="167"/>
        <v>1</v>
      </c>
      <c r="AG219" s="1">
        <f t="shared" si="168"/>
        <v>0</v>
      </c>
      <c r="AH219" s="1">
        <f t="shared" si="169"/>
        <v>1</v>
      </c>
      <c r="AI219" s="1">
        <f t="shared" si="170"/>
        <v>0</v>
      </c>
    </row>
    <row r="220" spans="1:35" ht="14.25" customHeight="1" x14ac:dyDescent="0.3">
      <c r="A220" s="31">
        <v>0</v>
      </c>
      <c r="B220" s="31">
        <v>1</v>
      </c>
      <c r="C220" s="31">
        <v>6</v>
      </c>
      <c r="D220" s="32" t="s">
        <v>1648</v>
      </c>
      <c r="E220" s="32" t="s">
        <v>1656</v>
      </c>
      <c r="F220" s="32" t="s">
        <v>1683</v>
      </c>
      <c r="G220" s="32" t="s">
        <v>1684</v>
      </c>
      <c r="H220" s="32" t="s">
        <v>354</v>
      </c>
      <c r="I220" s="31" t="s">
        <v>1696</v>
      </c>
      <c r="J220" s="31">
        <v>1</v>
      </c>
      <c r="K220" s="33" t="s">
        <v>958</v>
      </c>
      <c r="L220" s="33" t="s">
        <v>39</v>
      </c>
      <c r="M220" s="34" t="s">
        <v>39</v>
      </c>
      <c r="N220" s="34" t="s">
        <v>1727</v>
      </c>
      <c r="O220" s="35">
        <v>1</v>
      </c>
      <c r="P220" s="35">
        <v>1</v>
      </c>
      <c r="Q220" s="32"/>
      <c r="S220" s="1">
        <f t="shared" si="171"/>
        <v>1</v>
      </c>
      <c r="T220" s="1">
        <f t="shared" si="172"/>
        <v>0</v>
      </c>
      <c r="U220" s="1">
        <f t="shared" si="173"/>
        <v>0</v>
      </c>
      <c r="V220" s="1">
        <f t="shared" si="174"/>
        <v>0</v>
      </c>
      <c r="W220" s="1">
        <f t="shared" si="175"/>
        <v>0</v>
      </c>
      <c r="X220" s="1">
        <f t="shared" si="176"/>
        <v>0</v>
      </c>
      <c r="Y220" s="1">
        <f t="shared" si="177"/>
        <v>0</v>
      </c>
      <c r="Z220" s="1">
        <f t="shared" si="178"/>
        <v>0</v>
      </c>
      <c r="AA220" s="1">
        <f t="shared" si="179"/>
        <v>0</v>
      </c>
      <c r="AB220" s="1">
        <f t="shared" si="180"/>
        <v>0</v>
      </c>
      <c r="AD220" s="1">
        <f t="shared" si="181"/>
        <v>1</v>
      </c>
      <c r="AE220" s="1">
        <f t="shared" si="182"/>
        <v>0</v>
      </c>
      <c r="AF220" s="1">
        <f t="shared" si="167"/>
        <v>1</v>
      </c>
      <c r="AG220" s="1">
        <f t="shared" si="168"/>
        <v>0</v>
      </c>
      <c r="AH220" s="1">
        <f t="shared" si="169"/>
        <v>1</v>
      </c>
      <c r="AI220" s="1">
        <f t="shared" si="170"/>
        <v>0</v>
      </c>
    </row>
    <row r="221" spans="1:35" ht="14.25" customHeight="1" x14ac:dyDescent="0.3">
      <c r="A221" s="31">
        <v>0</v>
      </c>
      <c r="B221" s="31">
        <v>1</v>
      </c>
      <c r="C221" s="31">
        <v>6</v>
      </c>
      <c r="D221" s="32" t="s">
        <v>90</v>
      </c>
      <c r="E221" s="32" t="s">
        <v>168</v>
      </c>
      <c r="F221" s="32" t="s">
        <v>284</v>
      </c>
      <c r="G221" s="32" t="s">
        <v>230</v>
      </c>
      <c r="H221" s="32" t="s">
        <v>354</v>
      </c>
      <c r="I221" s="31" t="s">
        <v>438</v>
      </c>
      <c r="J221" s="31">
        <v>7</v>
      </c>
      <c r="K221" s="33" t="s">
        <v>722</v>
      </c>
      <c r="L221" s="33">
        <v>40</v>
      </c>
      <c r="M221" s="34" t="s">
        <v>39</v>
      </c>
      <c r="N221" s="34" t="s">
        <v>1748</v>
      </c>
      <c r="O221" s="35">
        <v>1</v>
      </c>
      <c r="P221" s="35"/>
      <c r="Q221" s="32"/>
      <c r="S221" s="1">
        <f t="shared" si="171"/>
        <v>0</v>
      </c>
      <c r="T221" s="1">
        <f t="shared" si="172"/>
        <v>0</v>
      </c>
      <c r="U221" s="1">
        <f t="shared" si="173"/>
        <v>0</v>
      </c>
      <c r="V221" s="1">
        <f t="shared" si="174"/>
        <v>0</v>
      </c>
      <c r="W221" s="1">
        <f t="shared" si="175"/>
        <v>0</v>
      </c>
      <c r="X221" s="1">
        <f t="shared" si="176"/>
        <v>0</v>
      </c>
      <c r="Y221" s="1">
        <f t="shared" si="177"/>
        <v>1</v>
      </c>
      <c r="Z221" s="1">
        <f t="shared" si="178"/>
        <v>0</v>
      </c>
      <c r="AA221" s="1">
        <f t="shared" si="179"/>
        <v>0</v>
      </c>
      <c r="AB221" s="1">
        <f t="shared" si="180"/>
        <v>0</v>
      </c>
      <c r="AD221" s="1">
        <f t="shared" si="181"/>
        <v>0</v>
      </c>
      <c r="AE221" s="1">
        <f t="shared" si="182"/>
        <v>1</v>
      </c>
      <c r="AF221" s="1">
        <f t="shared" si="167"/>
        <v>0</v>
      </c>
      <c r="AG221" s="1">
        <f t="shared" si="168"/>
        <v>1</v>
      </c>
      <c r="AH221" s="1">
        <f t="shared" si="169"/>
        <v>0</v>
      </c>
      <c r="AI221" s="1">
        <f t="shared" si="170"/>
        <v>1</v>
      </c>
    </row>
    <row r="222" spans="1:35" ht="14.25" customHeight="1" x14ac:dyDescent="0.3">
      <c r="A222" s="31">
        <v>0</v>
      </c>
      <c r="B222" s="31">
        <v>1</v>
      </c>
      <c r="C222" s="31">
        <v>6</v>
      </c>
      <c r="D222" s="32" t="s">
        <v>91</v>
      </c>
      <c r="E222" s="32" t="s">
        <v>165</v>
      </c>
      <c r="F222" s="36" t="s">
        <v>1871</v>
      </c>
      <c r="G222" s="32" t="s">
        <v>240</v>
      </c>
      <c r="H222" s="32" t="s">
        <v>354</v>
      </c>
      <c r="I222" s="31" t="s">
        <v>439</v>
      </c>
      <c r="J222" s="31">
        <v>1</v>
      </c>
      <c r="K222" s="33" t="s">
        <v>964</v>
      </c>
      <c r="L222" s="33" t="s">
        <v>39</v>
      </c>
      <c r="M222" s="34" t="s">
        <v>39</v>
      </c>
      <c r="N222" s="34" t="s">
        <v>1727</v>
      </c>
      <c r="O222" s="35">
        <v>1</v>
      </c>
      <c r="P222" s="35">
        <v>1</v>
      </c>
      <c r="Q222" s="32"/>
      <c r="S222" s="1">
        <f t="shared" si="171"/>
        <v>1</v>
      </c>
      <c r="T222" s="1">
        <f t="shared" si="172"/>
        <v>0</v>
      </c>
      <c r="U222" s="1">
        <f t="shared" si="173"/>
        <v>0</v>
      </c>
      <c r="V222" s="1">
        <f t="shared" si="174"/>
        <v>0</v>
      </c>
      <c r="W222" s="1">
        <f t="shared" si="175"/>
        <v>0</v>
      </c>
      <c r="X222" s="1">
        <f t="shared" si="176"/>
        <v>0</v>
      </c>
      <c r="Y222" s="1">
        <f t="shared" si="177"/>
        <v>0</v>
      </c>
      <c r="Z222" s="1">
        <f t="shared" si="178"/>
        <v>0</v>
      </c>
      <c r="AA222" s="1">
        <f t="shared" si="179"/>
        <v>0</v>
      </c>
      <c r="AB222" s="1">
        <f t="shared" si="180"/>
        <v>0</v>
      </c>
      <c r="AD222" s="1">
        <f t="shared" si="181"/>
        <v>1</v>
      </c>
      <c r="AE222" s="1">
        <f t="shared" si="182"/>
        <v>0</v>
      </c>
      <c r="AF222" s="1">
        <f t="shared" si="167"/>
        <v>1</v>
      </c>
      <c r="AG222" s="1">
        <f t="shared" si="168"/>
        <v>0</v>
      </c>
      <c r="AH222" s="1">
        <f t="shared" si="169"/>
        <v>1</v>
      </c>
      <c r="AI222" s="1">
        <f t="shared" si="170"/>
        <v>0</v>
      </c>
    </row>
    <row r="223" spans="1:35" ht="14.25" customHeight="1" x14ac:dyDescent="0.3">
      <c r="A223" s="31">
        <v>0</v>
      </c>
      <c r="B223" s="31">
        <v>1</v>
      </c>
      <c r="C223" s="31">
        <v>6</v>
      </c>
      <c r="D223" s="32" t="s">
        <v>92</v>
      </c>
      <c r="E223" s="32" t="s">
        <v>167</v>
      </c>
      <c r="F223" s="32" t="s">
        <v>286</v>
      </c>
      <c r="G223" s="32" t="s">
        <v>200</v>
      </c>
      <c r="H223" s="32" t="s">
        <v>354</v>
      </c>
      <c r="I223" s="31" t="s">
        <v>440</v>
      </c>
      <c r="J223" s="31">
        <v>2</v>
      </c>
      <c r="K223" s="33" t="s">
        <v>962</v>
      </c>
      <c r="L223" s="33" t="s">
        <v>39</v>
      </c>
      <c r="M223" s="34" t="s">
        <v>39</v>
      </c>
      <c r="N223" s="34" t="s">
        <v>1727</v>
      </c>
      <c r="O223" s="35">
        <v>1</v>
      </c>
      <c r="P223" s="35">
        <v>1</v>
      </c>
      <c r="Q223" s="32"/>
      <c r="S223" s="1">
        <f t="shared" si="171"/>
        <v>0</v>
      </c>
      <c r="T223" s="1">
        <f t="shared" si="172"/>
        <v>1</v>
      </c>
      <c r="U223" s="1">
        <f t="shared" si="173"/>
        <v>0</v>
      </c>
      <c r="V223" s="1">
        <f t="shared" si="174"/>
        <v>0</v>
      </c>
      <c r="W223" s="1">
        <f t="shared" si="175"/>
        <v>0</v>
      </c>
      <c r="X223" s="1">
        <f t="shared" si="176"/>
        <v>0</v>
      </c>
      <c r="Y223" s="1">
        <f t="shared" si="177"/>
        <v>0</v>
      </c>
      <c r="Z223" s="1">
        <f t="shared" si="178"/>
        <v>0</v>
      </c>
      <c r="AA223" s="1">
        <f t="shared" si="179"/>
        <v>0</v>
      </c>
      <c r="AB223" s="1">
        <f t="shared" si="180"/>
        <v>0</v>
      </c>
      <c r="AD223" s="1">
        <f t="shared" si="181"/>
        <v>1</v>
      </c>
      <c r="AE223" s="1">
        <f t="shared" si="182"/>
        <v>0</v>
      </c>
      <c r="AF223" s="1">
        <f t="shared" si="167"/>
        <v>1</v>
      </c>
      <c r="AG223" s="1">
        <f t="shared" si="168"/>
        <v>0</v>
      </c>
      <c r="AH223" s="1">
        <f t="shared" si="169"/>
        <v>1</v>
      </c>
      <c r="AI223" s="1">
        <f t="shared" si="170"/>
        <v>0</v>
      </c>
    </row>
    <row r="224" spans="1:35" ht="14.25" customHeight="1" x14ac:dyDescent="0.3">
      <c r="A224" s="31">
        <v>0</v>
      </c>
      <c r="B224" s="31">
        <v>1</v>
      </c>
      <c r="C224" s="31">
        <v>6</v>
      </c>
      <c r="D224" s="32" t="s">
        <v>1276</v>
      </c>
      <c r="E224" s="32" t="s">
        <v>167</v>
      </c>
      <c r="F224" s="32" t="s">
        <v>1148</v>
      </c>
      <c r="G224" s="32" t="s">
        <v>1342</v>
      </c>
      <c r="H224" s="32" t="s">
        <v>354</v>
      </c>
      <c r="I224" s="31" t="s">
        <v>1149</v>
      </c>
      <c r="J224" s="31">
        <v>99</v>
      </c>
      <c r="K224" s="33" t="s">
        <v>702</v>
      </c>
      <c r="L224" s="33">
        <v>45</v>
      </c>
      <c r="M224" s="34" t="s">
        <v>39</v>
      </c>
      <c r="N224" s="34" t="s">
        <v>1743</v>
      </c>
      <c r="O224" s="35">
        <v>1</v>
      </c>
      <c r="P224" s="35"/>
      <c r="Q224" s="32"/>
      <c r="S224" s="1">
        <f t="shared" si="171"/>
        <v>0</v>
      </c>
      <c r="T224" s="1">
        <f t="shared" si="172"/>
        <v>0</v>
      </c>
      <c r="U224" s="1">
        <f t="shared" si="173"/>
        <v>0</v>
      </c>
      <c r="V224" s="1">
        <f t="shared" si="174"/>
        <v>0</v>
      </c>
      <c r="W224" s="1">
        <f t="shared" si="175"/>
        <v>0</v>
      </c>
      <c r="X224" s="1">
        <f t="shared" si="176"/>
        <v>0</v>
      </c>
      <c r="Y224" s="1">
        <f t="shared" si="177"/>
        <v>0</v>
      </c>
      <c r="Z224" s="1">
        <f t="shared" si="178"/>
        <v>0</v>
      </c>
      <c r="AA224" s="1">
        <f t="shared" si="179"/>
        <v>0</v>
      </c>
      <c r="AB224" s="1">
        <f t="shared" si="180"/>
        <v>0</v>
      </c>
      <c r="AD224" s="1">
        <f t="shared" si="181"/>
        <v>0</v>
      </c>
      <c r="AE224" s="1">
        <f t="shared" si="182"/>
        <v>1</v>
      </c>
      <c r="AF224" s="1">
        <f t="shared" si="167"/>
        <v>0</v>
      </c>
      <c r="AG224" s="1">
        <f t="shared" si="168"/>
        <v>1</v>
      </c>
      <c r="AH224" s="1">
        <f t="shared" si="169"/>
        <v>0</v>
      </c>
      <c r="AI224" s="1">
        <f t="shared" si="170"/>
        <v>1</v>
      </c>
    </row>
    <row r="225" spans="1:16384" ht="14.25" customHeight="1" x14ac:dyDescent="0.3">
      <c r="A225" s="31">
        <v>0</v>
      </c>
      <c r="B225" s="31">
        <v>1</v>
      </c>
      <c r="C225" s="31">
        <v>6</v>
      </c>
      <c r="D225" s="32" t="s">
        <v>1791</v>
      </c>
      <c r="E225" s="32" t="s">
        <v>167</v>
      </c>
      <c r="F225" s="32" t="s">
        <v>1766</v>
      </c>
      <c r="G225" s="32"/>
      <c r="H225" s="32" t="s">
        <v>354</v>
      </c>
      <c r="I225" s="31" t="s">
        <v>1767</v>
      </c>
      <c r="J225" s="31"/>
      <c r="K225" s="33" t="s">
        <v>703</v>
      </c>
      <c r="L225" s="33"/>
      <c r="M225" s="34"/>
      <c r="N225" s="34" t="s">
        <v>1727</v>
      </c>
      <c r="O225" s="35">
        <v>1</v>
      </c>
      <c r="P225" s="35">
        <v>1</v>
      </c>
      <c r="Q225" s="32"/>
      <c r="S225" s="1">
        <f t="shared" si="171"/>
        <v>0</v>
      </c>
      <c r="T225" s="1">
        <f t="shared" si="172"/>
        <v>0</v>
      </c>
      <c r="U225" s="1">
        <f t="shared" si="173"/>
        <v>0</v>
      </c>
      <c r="V225" s="1">
        <f t="shared" si="174"/>
        <v>0</v>
      </c>
      <c r="W225" s="1">
        <f t="shared" si="175"/>
        <v>0</v>
      </c>
      <c r="X225" s="1">
        <f t="shared" si="176"/>
        <v>0</v>
      </c>
      <c r="Y225" s="1">
        <f t="shared" si="177"/>
        <v>0</v>
      </c>
      <c r="Z225" s="1">
        <f t="shared" si="178"/>
        <v>0</v>
      </c>
      <c r="AA225" s="1">
        <f t="shared" si="179"/>
        <v>0</v>
      </c>
      <c r="AB225" s="1">
        <f t="shared" si="180"/>
        <v>0</v>
      </c>
      <c r="AD225" s="1">
        <f t="shared" si="181"/>
        <v>1</v>
      </c>
      <c r="AE225" s="1">
        <f t="shared" si="182"/>
        <v>0</v>
      </c>
      <c r="AF225" s="1">
        <f t="shared" si="167"/>
        <v>1</v>
      </c>
      <c r="AG225" s="1">
        <f t="shared" si="168"/>
        <v>0</v>
      </c>
      <c r="AH225" s="1">
        <f t="shared" si="169"/>
        <v>1</v>
      </c>
      <c r="AI225" s="1">
        <f t="shared" si="170"/>
        <v>0</v>
      </c>
    </row>
    <row r="226" spans="1:16384" ht="14.25" customHeight="1" x14ac:dyDescent="0.3">
      <c r="A226" s="31">
        <v>0</v>
      </c>
      <c r="B226" s="31">
        <v>1</v>
      </c>
      <c r="C226" s="31">
        <v>6</v>
      </c>
      <c r="D226" s="32" t="s">
        <v>1790</v>
      </c>
      <c r="E226" s="32" t="s">
        <v>167</v>
      </c>
      <c r="F226" s="32" t="s">
        <v>1768</v>
      </c>
      <c r="G226" s="32"/>
      <c r="H226" s="32" t="s">
        <v>354</v>
      </c>
      <c r="I226" s="31" t="s">
        <v>1769</v>
      </c>
      <c r="J226" s="31"/>
      <c r="K226" s="33" t="s">
        <v>703</v>
      </c>
      <c r="L226" s="33">
        <v>30</v>
      </c>
      <c r="M226" s="34" t="s">
        <v>1770</v>
      </c>
      <c r="N226" s="34" t="s">
        <v>1748</v>
      </c>
      <c r="O226" s="35">
        <v>1</v>
      </c>
      <c r="P226" s="35"/>
      <c r="Q226" s="32"/>
      <c r="S226" s="1">
        <f t="shared" si="171"/>
        <v>0</v>
      </c>
      <c r="T226" s="1">
        <f t="shared" si="172"/>
        <v>0</v>
      </c>
      <c r="U226" s="1">
        <f t="shared" si="173"/>
        <v>0</v>
      </c>
      <c r="V226" s="1">
        <f t="shared" si="174"/>
        <v>0</v>
      </c>
      <c r="W226" s="1">
        <f t="shared" si="175"/>
        <v>0</v>
      </c>
      <c r="X226" s="1">
        <f t="shared" si="176"/>
        <v>0</v>
      </c>
      <c r="Y226" s="1">
        <f t="shared" si="177"/>
        <v>0</v>
      </c>
      <c r="Z226" s="1">
        <f t="shared" si="178"/>
        <v>0</v>
      </c>
      <c r="AA226" s="1">
        <f t="shared" si="179"/>
        <v>0</v>
      </c>
      <c r="AB226" s="1">
        <f t="shared" si="180"/>
        <v>0</v>
      </c>
      <c r="AD226" s="1">
        <f t="shared" si="181"/>
        <v>0</v>
      </c>
      <c r="AE226" s="1">
        <f t="shared" si="182"/>
        <v>1</v>
      </c>
      <c r="AF226" s="1">
        <f t="shared" si="167"/>
        <v>0</v>
      </c>
      <c r="AG226" s="1">
        <f t="shared" si="168"/>
        <v>1</v>
      </c>
      <c r="AH226" s="1">
        <f t="shared" si="169"/>
        <v>0</v>
      </c>
      <c r="AI226" s="1">
        <f t="shared" si="170"/>
        <v>1</v>
      </c>
    </row>
    <row r="227" spans="1:16384" ht="14.25" customHeight="1" x14ac:dyDescent="0.3">
      <c r="A227" s="31">
        <v>0</v>
      </c>
      <c r="B227" s="31">
        <v>1</v>
      </c>
      <c r="C227" s="31">
        <v>6</v>
      </c>
      <c r="D227" s="32" t="s">
        <v>1014</v>
      </c>
      <c r="E227" s="32" t="s">
        <v>167</v>
      </c>
      <c r="F227" s="32" t="s">
        <v>1015</v>
      </c>
      <c r="G227" s="32" t="s">
        <v>1103</v>
      </c>
      <c r="H227" s="32" t="s">
        <v>354</v>
      </c>
      <c r="I227" s="31" t="s">
        <v>1016</v>
      </c>
      <c r="J227" s="31">
        <v>99</v>
      </c>
      <c r="K227" s="33" t="s">
        <v>964</v>
      </c>
      <c r="L227" s="33" t="s">
        <v>39</v>
      </c>
      <c r="M227" s="34" t="s">
        <v>39</v>
      </c>
      <c r="N227" s="34" t="s">
        <v>1727</v>
      </c>
      <c r="O227" s="35">
        <v>1</v>
      </c>
      <c r="P227" s="35">
        <v>1</v>
      </c>
      <c r="Q227" s="32"/>
      <c r="S227" s="1">
        <f t="shared" si="171"/>
        <v>0</v>
      </c>
      <c r="T227" s="1">
        <f t="shared" si="172"/>
        <v>0</v>
      </c>
      <c r="U227" s="1">
        <f t="shared" si="173"/>
        <v>0</v>
      </c>
      <c r="V227" s="1">
        <f t="shared" si="174"/>
        <v>0</v>
      </c>
      <c r="W227" s="1">
        <f t="shared" si="175"/>
        <v>0</v>
      </c>
      <c r="X227" s="1">
        <f t="shared" si="176"/>
        <v>0</v>
      </c>
      <c r="Y227" s="1">
        <f t="shared" si="177"/>
        <v>0</v>
      </c>
      <c r="Z227" s="1">
        <f t="shared" si="178"/>
        <v>0</v>
      </c>
      <c r="AA227" s="1">
        <f t="shared" si="179"/>
        <v>0</v>
      </c>
      <c r="AB227" s="1">
        <f t="shared" si="180"/>
        <v>0</v>
      </c>
      <c r="AD227" s="1">
        <f t="shared" si="181"/>
        <v>1</v>
      </c>
      <c r="AE227" s="1">
        <f t="shared" si="182"/>
        <v>0</v>
      </c>
      <c r="AF227" s="1">
        <f t="shared" si="167"/>
        <v>1</v>
      </c>
      <c r="AG227" s="1">
        <f t="shared" si="168"/>
        <v>0</v>
      </c>
      <c r="AH227" s="1">
        <f t="shared" si="169"/>
        <v>1</v>
      </c>
      <c r="AI227" s="1">
        <f t="shared" si="170"/>
        <v>0</v>
      </c>
    </row>
    <row r="228" spans="1:16384" ht="14.25" customHeight="1" x14ac:dyDescent="0.3">
      <c r="A228" s="31">
        <v>0</v>
      </c>
      <c r="B228" s="31">
        <v>1</v>
      </c>
      <c r="C228" s="31">
        <v>6</v>
      </c>
      <c r="D228" s="32" t="s">
        <v>94</v>
      </c>
      <c r="E228" s="32" t="s">
        <v>169</v>
      </c>
      <c r="F228" s="32" t="s">
        <v>289</v>
      </c>
      <c r="G228" s="32" t="s">
        <v>194</v>
      </c>
      <c r="H228" s="32" t="s">
        <v>354</v>
      </c>
      <c r="I228" s="31" t="s">
        <v>442</v>
      </c>
      <c r="J228" s="31">
        <v>9</v>
      </c>
      <c r="K228" s="33" t="s">
        <v>702</v>
      </c>
      <c r="L228" s="33" t="s">
        <v>694</v>
      </c>
      <c r="M228" s="34" t="s">
        <v>706</v>
      </c>
      <c r="N228" s="34" t="s">
        <v>1748</v>
      </c>
      <c r="O228" s="35">
        <v>1</v>
      </c>
      <c r="P228" s="35"/>
      <c r="Q228" s="32"/>
      <c r="S228" s="1">
        <f t="shared" si="171"/>
        <v>0</v>
      </c>
      <c r="T228" s="1">
        <f t="shared" si="172"/>
        <v>0</v>
      </c>
      <c r="U228" s="1">
        <f t="shared" si="173"/>
        <v>0</v>
      </c>
      <c r="V228" s="1">
        <f t="shared" si="174"/>
        <v>0</v>
      </c>
      <c r="W228" s="1">
        <f t="shared" si="175"/>
        <v>0</v>
      </c>
      <c r="X228" s="1">
        <f t="shared" si="176"/>
        <v>0</v>
      </c>
      <c r="Y228" s="1">
        <f t="shared" si="177"/>
        <v>0</v>
      </c>
      <c r="Z228" s="1">
        <f t="shared" si="178"/>
        <v>0</v>
      </c>
      <c r="AA228" s="1">
        <f t="shared" si="179"/>
        <v>1</v>
      </c>
      <c r="AB228" s="1">
        <f t="shared" si="180"/>
        <v>0</v>
      </c>
      <c r="AD228" s="1">
        <f t="shared" si="181"/>
        <v>0</v>
      </c>
      <c r="AE228" s="1">
        <f t="shared" si="182"/>
        <v>1</v>
      </c>
      <c r="AF228" s="1">
        <f t="shared" si="167"/>
        <v>0</v>
      </c>
      <c r="AG228" s="1">
        <f t="shared" si="168"/>
        <v>1</v>
      </c>
      <c r="AH228" s="1">
        <f t="shared" si="169"/>
        <v>0</v>
      </c>
      <c r="AI228" s="1">
        <f t="shared" si="170"/>
        <v>1</v>
      </c>
    </row>
    <row r="229" spans="1:16384" ht="14.25" customHeight="1" x14ac:dyDescent="0.3">
      <c r="A229" s="38">
        <v>0</v>
      </c>
      <c r="B229" s="38">
        <v>1</v>
      </c>
      <c r="C229" s="38">
        <v>6</v>
      </c>
      <c r="D229" s="54" t="s">
        <v>1609</v>
      </c>
      <c r="E229" s="39" t="s">
        <v>1610</v>
      </c>
      <c r="F229" s="39" t="s">
        <v>1611</v>
      </c>
      <c r="G229" s="39" t="s">
        <v>192</v>
      </c>
      <c r="H229" s="39" t="s">
        <v>354</v>
      </c>
      <c r="I229" s="38" t="s">
        <v>1612</v>
      </c>
      <c r="J229" s="38">
        <v>10</v>
      </c>
      <c r="K229" s="40" t="s">
        <v>956</v>
      </c>
      <c r="L229" s="40" t="s">
        <v>687</v>
      </c>
      <c r="M229" s="41" t="s">
        <v>1613</v>
      </c>
      <c r="N229" s="42"/>
      <c r="O229" s="43"/>
      <c r="P229" s="43">
        <v>1</v>
      </c>
      <c r="Q229" s="39"/>
      <c r="S229" s="1">
        <f t="shared" si="171"/>
        <v>0</v>
      </c>
      <c r="T229" s="1">
        <f t="shared" si="172"/>
        <v>0</v>
      </c>
      <c r="U229" s="1">
        <f t="shared" si="173"/>
        <v>0</v>
      </c>
      <c r="V229" s="1">
        <f t="shared" si="174"/>
        <v>0</v>
      </c>
      <c r="W229" s="1">
        <f t="shared" si="175"/>
        <v>0</v>
      </c>
      <c r="X229" s="1">
        <f t="shared" si="176"/>
        <v>0</v>
      </c>
      <c r="Y229" s="1">
        <f t="shared" si="177"/>
        <v>0</v>
      </c>
      <c r="Z229" s="1">
        <f t="shared" si="178"/>
        <v>0</v>
      </c>
      <c r="AA229" s="1">
        <f t="shared" si="179"/>
        <v>0</v>
      </c>
      <c r="AB229" s="1">
        <f t="shared" si="180"/>
        <v>1</v>
      </c>
      <c r="AD229" s="1">
        <f t="shared" si="181"/>
        <v>0</v>
      </c>
      <c r="AE229" s="1">
        <f t="shared" si="182"/>
        <v>0</v>
      </c>
      <c r="AF229" s="1">
        <f t="shared" si="167"/>
        <v>0</v>
      </c>
      <c r="AG229" s="1">
        <f t="shared" si="168"/>
        <v>0</v>
      </c>
      <c r="AH229" s="1">
        <f t="shared" si="169"/>
        <v>1</v>
      </c>
      <c r="AI229" s="1">
        <f t="shared" si="170"/>
        <v>0</v>
      </c>
    </row>
    <row r="230" spans="1:16384" ht="14.25" customHeight="1" x14ac:dyDescent="0.3">
      <c r="A230" s="31">
        <v>0</v>
      </c>
      <c r="B230" s="31">
        <v>1</v>
      </c>
      <c r="C230" s="31">
        <v>6</v>
      </c>
      <c r="D230" s="32" t="s">
        <v>95</v>
      </c>
      <c r="E230" s="32" t="s">
        <v>165</v>
      </c>
      <c r="F230" s="32" t="s">
        <v>290</v>
      </c>
      <c r="G230" s="32" t="s">
        <v>291</v>
      </c>
      <c r="H230" s="32" t="s">
        <v>354</v>
      </c>
      <c r="I230" s="31" t="s">
        <v>443</v>
      </c>
      <c r="J230" s="31">
        <v>7</v>
      </c>
      <c r="K230" s="33" t="s">
        <v>702</v>
      </c>
      <c r="L230" s="33" t="s">
        <v>694</v>
      </c>
      <c r="M230" s="34" t="s">
        <v>698</v>
      </c>
      <c r="N230" s="34" t="s">
        <v>1749</v>
      </c>
      <c r="O230" s="35">
        <v>1</v>
      </c>
      <c r="P230" s="35"/>
      <c r="Q230" s="32"/>
      <c r="R230" s="31"/>
      <c r="S230" s="31">
        <f t="shared" si="171"/>
        <v>0</v>
      </c>
      <c r="T230" s="31">
        <f t="shared" si="172"/>
        <v>0</v>
      </c>
      <c r="U230" s="32">
        <f t="shared" si="173"/>
        <v>0</v>
      </c>
      <c r="V230" s="32">
        <f t="shared" si="174"/>
        <v>0</v>
      </c>
      <c r="W230" s="32">
        <f t="shared" si="175"/>
        <v>0</v>
      </c>
      <c r="X230" s="32">
        <f t="shared" si="176"/>
        <v>0</v>
      </c>
      <c r="Y230" s="32">
        <f t="shared" si="177"/>
        <v>1</v>
      </c>
      <c r="Z230" s="31">
        <f t="shared" si="178"/>
        <v>0</v>
      </c>
      <c r="AA230" s="31">
        <f t="shared" si="179"/>
        <v>0</v>
      </c>
      <c r="AB230" s="33">
        <f t="shared" si="180"/>
        <v>0</v>
      </c>
      <c r="AC230" s="33"/>
      <c r="AD230" s="34">
        <f t="shared" si="181"/>
        <v>0</v>
      </c>
      <c r="AE230" s="34">
        <f t="shared" si="182"/>
        <v>1</v>
      </c>
      <c r="AF230" s="35">
        <f t="shared" si="167"/>
        <v>0</v>
      </c>
      <c r="AG230" s="35">
        <f t="shared" si="168"/>
        <v>1</v>
      </c>
      <c r="AH230" s="32">
        <f t="shared" si="169"/>
        <v>0</v>
      </c>
      <c r="AI230" s="31">
        <f t="shared" si="170"/>
        <v>1</v>
      </c>
      <c r="AJ230" s="31"/>
      <c r="AK230" s="31"/>
      <c r="AL230" s="32"/>
      <c r="AM230" s="32"/>
      <c r="AN230" s="32"/>
      <c r="AO230" s="32"/>
      <c r="AP230" s="32"/>
      <c r="AQ230" s="31"/>
      <c r="AR230" s="31"/>
      <c r="AS230" s="33"/>
      <c r="AT230" s="33"/>
      <c r="AU230" s="34"/>
      <c r="AV230" s="34"/>
      <c r="AW230" s="35"/>
      <c r="AX230" s="35"/>
      <c r="AY230" s="32"/>
      <c r="AZ230" s="31"/>
      <c r="BA230" s="31"/>
      <c r="BB230" s="31"/>
      <c r="BC230" s="32"/>
      <c r="BD230" s="32"/>
      <c r="BE230" s="32"/>
      <c r="BF230" s="32"/>
      <c r="BG230" s="32"/>
      <c r="BH230" s="31"/>
      <c r="BI230" s="31"/>
      <c r="BJ230" s="33"/>
      <c r="BK230" s="33"/>
      <c r="BL230" s="34"/>
      <c r="BM230" s="34"/>
      <c r="BN230" s="35"/>
      <c r="BO230" s="35"/>
      <c r="BP230" s="32"/>
      <c r="BQ230" s="31"/>
      <c r="BR230" s="31"/>
      <c r="BS230" s="31"/>
      <c r="BT230" s="32"/>
      <c r="BU230" s="32"/>
      <c r="BV230" s="32"/>
      <c r="BW230" s="32"/>
      <c r="BX230" s="32"/>
      <c r="BY230" s="31"/>
      <c r="BZ230" s="31"/>
      <c r="CA230" s="33"/>
      <c r="CB230" s="33"/>
      <c r="CC230" s="34"/>
      <c r="CD230" s="34"/>
      <c r="CE230" s="35"/>
      <c r="CF230" s="35"/>
      <c r="CG230" s="32"/>
      <c r="CH230" s="31"/>
      <c r="CI230" s="31"/>
      <c r="CJ230" s="31"/>
      <c r="CK230" s="32"/>
      <c r="CL230" s="32"/>
      <c r="CM230" s="32"/>
      <c r="CN230" s="32"/>
      <c r="CO230" s="32"/>
      <c r="CP230" s="31"/>
      <c r="CQ230" s="31"/>
      <c r="CR230" s="33"/>
      <c r="CS230" s="33"/>
      <c r="CT230" s="34"/>
      <c r="CU230" s="34"/>
      <c r="CV230" s="35"/>
      <c r="CW230" s="35"/>
      <c r="CX230" s="32"/>
      <c r="CY230" s="31"/>
      <c r="CZ230" s="31"/>
      <c r="DA230" s="31"/>
      <c r="DB230" s="32"/>
      <c r="DC230" s="32"/>
      <c r="DD230" s="32"/>
      <c r="DE230" s="32"/>
      <c r="DF230" s="32"/>
      <c r="DG230" s="31"/>
      <c r="DH230" s="31"/>
      <c r="DI230" s="33"/>
      <c r="DJ230" s="33"/>
      <c r="DK230" s="34"/>
      <c r="DL230" s="34"/>
      <c r="DM230" s="35"/>
      <c r="DN230" s="35"/>
      <c r="DO230" s="32"/>
      <c r="DP230" s="31"/>
      <c r="DQ230" s="31"/>
      <c r="DR230" s="31"/>
      <c r="DS230" s="32"/>
      <c r="DT230" s="32"/>
      <c r="DU230" s="32"/>
      <c r="DV230" s="32"/>
      <c r="DW230" s="32"/>
      <c r="DX230" s="31"/>
      <c r="DY230" s="31"/>
      <c r="DZ230" s="33"/>
      <c r="EA230" s="33"/>
      <c r="EB230" s="34"/>
      <c r="EC230" s="34"/>
      <c r="ED230" s="35"/>
      <c r="EE230" s="35"/>
      <c r="EF230" s="32"/>
      <c r="EG230" s="31"/>
      <c r="EH230" s="31"/>
      <c r="EI230" s="31"/>
      <c r="EJ230" s="32"/>
      <c r="EK230" s="32"/>
      <c r="EL230" s="32"/>
      <c r="EM230" s="32"/>
      <c r="EN230" s="32"/>
      <c r="EO230" s="31"/>
      <c r="EP230" s="31"/>
      <c r="EQ230" s="33"/>
      <c r="ER230" s="33"/>
      <c r="ES230" s="34"/>
      <c r="ET230" s="34"/>
      <c r="EU230" s="35"/>
      <c r="EV230" s="35"/>
      <c r="EW230" s="32"/>
      <c r="EX230" s="31"/>
      <c r="EY230" s="31"/>
      <c r="EZ230" s="31"/>
      <c r="FA230" s="32"/>
      <c r="FB230" s="32"/>
      <c r="FC230" s="32"/>
      <c r="FD230" s="32"/>
      <c r="FE230" s="32"/>
      <c r="FF230" s="31"/>
      <c r="FG230" s="31"/>
      <c r="FH230" s="33"/>
      <c r="FI230" s="33"/>
      <c r="FJ230" s="34"/>
      <c r="FK230" s="34"/>
      <c r="FL230" s="35"/>
      <c r="FM230" s="35"/>
      <c r="FN230" s="32"/>
      <c r="FO230" s="31"/>
      <c r="FP230" s="31"/>
      <c r="FQ230" s="31"/>
      <c r="FR230" s="32"/>
      <c r="FS230" s="32"/>
      <c r="FT230" s="32"/>
      <c r="FU230" s="32"/>
      <c r="FV230" s="32"/>
      <c r="FW230" s="31"/>
      <c r="FX230" s="31"/>
      <c r="FY230" s="33"/>
      <c r="FZ230" s="33"/>
      <c r="GA230" s="34"/>
      <c r="GB230" s="34"/>
      <c r="GC230" s="35"/>
      <c r="GD230" s="35"/>
      <c r="GE230" s="32"/>
      <c r="GF230" s="31"/>
      <c r="GG230" s="31"/>
      <c r="GH230" s="31"/>
      <c r="GI230" s="32"/>
      <c r="GJ230" s="32"/>
      <c r="GK230" s="32"/>
      <c r="GL230" s="32"/>
      <c r="GM230" s="32"/>
      <c r="GN230" s="31"/>
      <c r="GO230" s="31"/>
      <c r="GP230" s="33"/>
      <c r="GQ230" s="33"/>
      <c r="GR230" s="34"/>
      <c r="GS230" s="34"/>
      <c r="GT230" s="35"/>
      <c r="GU230" s="35"/>
      <c r="GV230" s="32"/>
      <c r="GW230" s="31"/>
      <c r="GX230" s="31"/>
      <c r="GY230" s="31"/>
      <c r="GZ230" s="32"/>
      <c r="HA230" s="32"/>
      <c r="HB230" s="32"/>
      <c r="HC230" s="32"/>
      <c r="HD230" s="32"/>
      <c r="HE230" s="31"/>
      <c r="HF230" s="31"/>
      <c r="HG230" s="33"/>
      <c r="HH230" s="33"/>
      <c r="HI230" s="34"/>
      <c r="HJ230" s="34"/>
      <c r="HK230" s="35"/>
      <c r="HL230" s="35"/>
      <c r="HM230" s="32"/>
      <c r="HN230" s="31"/>
      <c r="HO230" s="31"/>
      <c r="HP230" s="31"/>
      <c r="HQ230" s="32"/>
      <c r="HR230" s="32"/>
      <c r="HS230" s="32"/>
      <c r="HT230" s="32"/>
      <c r="HU230" s="32"/>
      <c r="HV230" s="31"/>
      <c r="HW230" s="31"/>
      <c r="HX230" s="33"/>
      <c r="HY230" s="33"/>
      <c r="HZ230" s="34"/>
      <c r="IA230" s="34"/>
      <c r="IB230" s="35"/>
      <c r="IC230" s="35"/>
      <c r="ID230" s="32"/>
      <c r="IE230" s="31"/>
      <c r="IF230" s="31"/>
      <c r="IG230" s="31"/>
      <c r="IH230" s="32"/>
      <c r="II230" s="32"/>
      <c r="IJ230" s="32"/>
      <c r="IK230" s="32"/>
      <c r="IL230" s="32"/>
      <c r="IM230" s="31"/>
      <c r="IN230" s="31"/>
      <c r="IO230" s="33"/>
      <c r="IP230" s="33"/>
      <c r="IQ230" s="34"/>
      <c r="IR230" s="34"/>
      <c r="IS230" s="35"/>
      <c r="IT230" s="35"/>
      <c r="IU230" s="32"/>
      <c r="IV230" s="31"/>
      <c r="IW230" s="31"/>
      <c r="IX230" s="31"/>
      <c r="IY230" s="32"/>
      <c r="IZ230" s="32"/>
      <c r="JA230" s="32"/>
      <c r="JB230" s="32"/>
      <c r="JC230" s="32"/>
      <c r="JD230" s="31"/>
      <c r="JE230" s="31"/>
      <c r="JF230" s="33"/>
      <c r="JG230" s="33"/>
      <c r="JH230" s="34"/>
      <c r="JI230" s="34"/>
      <c r="JJ230" s="35"/>
      <c r="JK230" s="35"/>
      <c r="JL230" s="32"/>
      <c r="JM230" s="31"/>
      <c r="JN230" s="31"/>
      <c r="JO230" s="31"/>
      <c r="JP230" s="32"/>
      <c r="JQ230" s="32"/>
      <c r="JR230" s="32"/>
      <c r="JS230" s="32"/>
      <c r="JT230" s="32"/>
      <c r="JU230" s="31"/>
      <c r="JV230" s="31"/>
      <c r="JW230" s="33"/>
      <c r="JX230" s="33"/>
      <c r="JY230" s="34"/>
      <c r="JZ230" s="34"/>
      <c r="KA230" s="35"/>
      <c r="KB230" s="35"/>
      <c r="KC230" s="32"/>
      <c r="KD230" s="31"/>
      <c r="KE230" s="31"/>
      <c r="KF230" s="31"/>
      <c r="KG230" s="32"/>
      <c r="KH230" s="32"/>
      <c r="KI230" s="32"/>
      <c r="KJ230" s="32"/>
      <c r="KK230" s="32"/>
      <c r="KL230" s="31"/>
      <c r="KM230" s="31"/>
      <c r="KN230" s="33"/>
      <c r="KO230" s="33"/>
      <c r="KP230" s="34"/>
      <c r="KQ230" s="34"/>
      <c r="KR230" s="35"/>
      <c r="KS230" s="35"/>
      <c r="KT230" s="32"/>
      <c r="KU230" s="31"/>
      <c r="KV230" s="31"/>
      <c r="KW230" s="31"/>
      <c r="KX230" s="32"/>
      <c r="KY230" s="32"/>
      <c r="KZ230" s="32"/>
      <c r="LA230" s="32"/>
      <c r="LB230" s="32"/>
      <c r="LC230" s="31"/>
      <c r="LD230" s="31"/>
      <c r="LE230" s="33"/>
      <c r="LF230" s="33"/>
      <c r="LG230" s="34"/>
      <c r="LH230" s="34"/>
      <c r="LI230" s="35"/>
      <c r="LJ230" s="35"/>
      <c r="LK230" s="32"/>
      <c r="LL230" s="31"/>
      <c r="LM230" s="31"/>
      <c r="LN230" s="31"/>
      <c r="LO230" s="32"/>
      <c r="LP230" s="32"/>
      <c r="LQ230" s="32"/>
      <c r="LR230" s="32"/>
      <c r="LS230" s="32"/>
      <c r="LT230" s="31"/>
      <c r="LU230" s="31"/>
      <c r="LV230" s="33"/>
      <c r="LW230" s="33"/>
      <c r="LX230" s="34"/>
      <c r="LY230" s="34"/>
      <c r="LZ230" s="35"/>
      <c r="MA230" s="35"/>
      <c r="MB230" s="32"/>
      <c r="MC230" s="31"/>
      <c r="MD230" s="31"/>
      <c r="ME230" s="31"/>
      <c r="MF230" s="32"/>
      <c r="MG230" s="32"/>
      <c r="MH230" s="32"/>
      <c r="MI230" s="32"/>
      <c r="MJ230" s="32"/>
      <c r="MK230" s="31"/>
      <c r="ML230" s="31"/>
      <c r="MM230" s="33"/>
      <c r="MN230" s="33"/>
      <c r="MO230" s="34"/>
      <c r="MP230" s="34"/>
      <c r="MQ230" s="35"/>
      <c r="MR230" s="35"/>
      <c r="MS230" s="32"/>
      <c r="MT230" s="31"/>
      <c r="MU230" s="31"/>
      <c r="MV230" s="31"/>
      <c r="MW230" s="32"/>
      <c r="MX230" s="32"/>
      <c r="MY230" s="32"/>
      <c r="MZ230" s="32"/>
      <c r="NA230" s="32"/>
      <c r="NB230" s="31"/>
      <c r="NC230" s="31"/>
      <c r="ND230" s="33"/>
      <c r="NE230" s="33"/>
      <c r="NF230" s="34"/>
      <c r="NG230" s="34"/>
      <c r="NH230" s="35"/>
      <c r="NI230" s="35"/>
      <c r="NJ230" s="32"/>
      <c r="NK230" s="31"/>
      <c r="NL230" s="31"/>
      <c r="NM230" s="31"/>
      <c r="NN230" s="32"/>
      <c r="NO230" s="32"/>
      <c r="NP230" s="32"/>
      <c r="NQ230" s="32"/>
      <c r="NR230" s="32"/>
      <c r="NS230" s="31"/>
      <c r="NT230" s="31"/>
      <c r="NU230" s="33"/>
      <c r="NV230" s="33"/>
      <c r="NW230" s="34"/>
      <c r="NX230" s="34"/>
      <c r="NY230" s="35"/>
      <c r="NZ230" s="35"/>
      <c r="OA230" s="32"/>
      <c r="OB230" s="31"/>
      <c r="OC230" s="31"/>
      <c r="OD230" s="31"/>
      <c r="OE230" s="32"/>
      <c r="OF230" s="32"/>
      <c r="OG230" s="32"/>
      <c r="OH230" s="32"/>
      <c r="OI230" s="32"/>
      <c r="OJ230" s="31"/>
      <c r="OK230" s="31"/>
      <c r="OL230" s="33"/>
      <c r="OM230" s="33"/>
      <c r="ON230" s="34"/>
      <c r="OO230" s="34"/>
      <c r="OP230" s="35"/>
      <c r="OQ230" s="35"/>
      <c r="OR230" s="32"/>
      <c r="OS230" s="31"/>
      <c r="OT230" s="31"/>
      <c r="OU230" s="31"/>
      <c r="OV230" s="32"/>
      <c r="OW230" s="32"/>
      <c r="OX230" s="32"/>
      <c r="OY230" s="32"/>
      <c r="OZ230" s="32"/>
      <c r="PA230" s="31"/>
      <c r="PB230" s="31"/>
      <c r="PC230" s="33"/>
      <c r="PD230" s="33"/>
      <c r="PE230" s="34"/>
      <c r="PF230" s="34"/>
      <c r="PG230" s="35"/>
      <c r="PH230" s="35"/>
      <c r="PI230" s="32"/>
      <c r="PJ230" s="31"/>
      <c r="PK230" s="31"/>
      <c r="PL230" s="31"/>
      <c r="PM230" s="32"/>
      <c r="PN230" s="32"/>
      <c r="PO230" s="32"/>
      <c r="PP230" s="32"/>
      <c r="PQ230" s="32"/>
      <c r="PR230" s="31"/>
      <c r="PS230" s="31"/>
      <c r="PT230" s="33"/>
      <c r="PU230" s="33"/>
      <c r="PV230" s="34"/>
      <c r="PW230" s="34"/>
      <c r="PX230" s="35"/>
      <c r="PY230" s="35"/>
      <c r="PZ230" s="32"/>
      <c r="QA230" s="31"/>
      <c r="QB230" s="31"/>
      <c r="QC230" s="31"/>
      <c r="QD230" s="32"/>
      <c r="QE230" s="32"/>
      <c r="QF230" s="32"/>
      <c r="QG230" s="32"/>
      <c r="QH230" s="32"/>
      <c r="QI230" s="31"/>
      <c r="QJ230" s="31"/>
      <c r="QK230" s="33"/>
      <c r="QL230" s="33"/>
      <c r="QM230" s="34"/>
      <c r="QN230" s="34"/>
      <c r="QO230" s="35"/>
      <c r="QP230" s="35"/>
      <c r="QQ230" s="32"/>
      <c r="QR230" s="31"/>
      <c r="QS230" s="31"/>
      <c r="QT230" s="31"/>
      <c r="QU230" s="32"/>
      <c r="QV230" s="32"/>
      <c r="QW230" s="32"/>
      <c r="QX230" s="32"/>
      <c r="QY230" s="32"/>
      <c r="QZ230" s="31"/>
      <c r="RA230" s="31"/>
      <c r="RB230" s="33"/>
      <c r="RC230" s="33"/>
      <c r="RD230" s="34"/>
      <c r="RE230" s="34"/>
      <c r="RF230" s="35"/>
      <c r="RG230" s="35"/>
      <c r="RH230" s="32"/>
      <c r="RI230" s="31"/>
      <c r="RJ230" s="31"/>
      <c r="RK230" s="31"/>
      <c r="RL230" s="32"/>
      <c r="RM230" s="32"/>
      <c r="RN230" s="32"/>
      <c r="RO230" s="32"/>
      <c r="RP230" s="32"/>
      <c r="RQ230" s="31"/>
      <c r="RR230" s="31"/>
      <c r="RS230" s="33"/>
      <c r="RT230" s="33"/>
      <c r="RU230" s="34"/>
      <c r="RV230" s="34"/>
      <c r="RW230" s="35"/>
      <c r="RX230" s="35"/>
      <c r="RY230" s="32"/>
      <c r="RZ230" s="31"/>
      <c r="SA230" s="31"/>
      <c r="SB230" s="31"/>
      <c r="SC230" s="32"/>
      <c r="SD230" s="32"/>
      <c r="SE230" s="32"/>
      <c r="SF230" s="32"/>
      <c r="SG230" s="32"/>
      <c r="SH230" s="31"/>
      <c r="SI230" s="31"/>
      <c r="SJ230" s="33"/>
      <c r="SK230" s="33"/>
      <c r="SL230" s="34"/>
      <c r="SM230" s="34"/>
      <c r="SN230" s="35"/>
      <c r="SO230" s="35"/>
      <c r="SP230" s="32"/>
      <c r="SQ230" s="31"/>
      <c r="SR230" s="31"/>
      <c r="SS230" s="31"/>
      <c r="ST230" s="32"/>
      <c r="SU230" s="32"/>
      <c r="SV230" s="32"/>
      <c r="SW230" s="32"/>
      <c r="SX230" s="32"/>
      <c r="SY230" s="31"/>
      <c r="SZ230" s="31"/>
      <c r="TA230" s="33"/>
      <c r="TB230" s="33"/>
      <c r="TC230" s="34"/>
      <c r="TD230" s="34"/>
      <c r="TE230" s="35"/>
      <c r="TF230" s="35"/>
      <c r="TG230" s="32"/>
      <c r="TH230" s="31"/>
      <c r="TI230" s="31"/>
      <c r="TJ230" s="31"/>
      <c r="TK230" s="32"/>
      <c r="TL230" s="32"/>
      <c r="TM230" s="32"/>
      <c r="TN230" s="32"/>
      <c r="TO230" s="32"/>
      <c r="TP230" s="31"/>
      <c r="TQ230" s="31"/>
      <c r="TR230" s="33"/>
      <c r="TS230" s="33"/>
      <c r="TT230" s="34"/>
      <c r="TU230" s="34"/>
      <c r="TV230" s="35"/>
      <c r="TW230" s="35"/>
      <c r="TX230" s="32"/>
      <c r="TY230" s="31"/>
      <c r="TZ230" s="31"/>
      <c r="UA230" s="31"/>
      <c r="UB230" s="32"/>
      <c r="UC230" s="32"/>
      <c r="UD230" s="32"/>
      <c r="UE230" s="32"/>
      <c r="UF230" s="32"/>
      <c r="UG230" s="31"/>
      <c r="UH230" s="31"/>
      <c r="UI230" s="33"/>
      <c r="UJ230" s="33"/>
      <c r="UK230" s="34"/>
      <c r="UL230" s="34"/>
      <c r="UM230" s="35"/>
      <c r="UN230" s="35"/>
      <c r="UO230" s="32"/>
      <c r="UP230" s="31"/>
      <c r="UQ230" s="31"/>
      <c r="UR230" s="31"/>
      <c r="US230" s="32"/>
      <c r="UT230" s="32"/>
      <c r="UU230" s="32"/>
      <c r="UV230" s="32"/>
      <c r="UW230" s="32"/>
      <c r="UX230" s="31"/>
      <c r="UY230" s="31"/>
      <c r="UZ230" s="33"/>
      <c r="VA230" s="33"/>
      <c r="VB230" s="34"/>
      <c r="VC230" s="34"/>
      <c r="VD230" s="35"/>
      <c r="VE230" s="35"/>
      <c r="VF230" s="32"/>
      <c r="VG230" s="31"/>
      <c r="VH230" s="31"/>
      <c r="VI230" s="31"/>
      <c r="VJ230" s="32"/>
      <c r="VK230" s="32"/>
      <c r="VL230" s="32"/>
      <c r="VM230" s="32"/>
      <c r="VN230" s="32"/>
      <c r="VO230" s="31"/>
      <c r="VP230" s="31"/>
      <c r="VQ230" s="33"/>
      <c r="VR230" s="33"/>
      <c r="VS230" s="34"/>
      <c r="VT230" s="34"/>
      <c r="VU230" s="35"/>
      <c r="VV230" s="35"/>
      <c r="VW230" s="32"/>
      <c r="VX230" s="31"/>
      <c r="VY230" s="31"/>
      <c r="VZ230" s="31"/>
      <c r="WA230" s="32"/>
      <c r="WB230" s="32"/>
      <c r="WC230" s="32"/>
      <c r="WD230" s="32"/>
      <c r="WE230" s="32"/>
      <c r="WF230" s="31"/>
      <c r="WG230" s="31"/>
      <c r="WH230" s="33"/>
      <c r="WI230" s="33"/>
      <c r="WJ230" s="34"/>
      <c r="WK230" s="34"/>
      <c r="WL230" s="35"/>
      <c r="WM230" s="35"/>
      <c r="WN230" s="32"/>
      <c r="WO230" s="31"/>
      <c r="WP230" s="31"/>
      <c r="WQ230" s="31"/>
      <c r="WR230" s="32"/>
      <c r="WS230" s="32"/>
      <c r="WT230" s="32"/>
      <c r="WU230" s="32"/>
      <c r="WV230" s="32"/>
      <c r="WW230" s="31"/>
      <c r="WX230" s="31"/>
      <c r="WY230" s="33"/>
      <c r="WZ230" s="33"/>
      <c r="XA230" s="34"/>
      <c r="XB230" s="34"/>
      <c r="XC230" s="35"/>
      <c r="XD230" s="35"/>
      <c r="XE230" s="32"/>
      <c r="XF230" s="31"/>
      <c r="XG230" s="31"/>
      <c r="XH230" s="31"/>
      <c r="XI230" s="32"/>
      <c r="XJ230" s="32"/>
      <c r="XK230" s="32"/>
      <c r="XL230" s="32"/>
      <c r="XM230" s="32"/>
      <c r="XN230" s="31"/>
      <c r="XO230" s="31"/>
      <c r="XP230" s="33"/>
      <c r="XQ230" s="33"/>
      <c r="XR230" s="34"/>
      <c r="XS230" s="34"/>
      <c r="XT230" s="35"/>
      <c r="XU230" s="35"/>
      <c r="XV230" s="32"/>
      <c r="XW230" s="31"/>
      <c r="XX230" s="31"/>
      <c r="XY230" s="31"/>
      <c r="XZ230" s="32"/>
      <c r="YA230" s="32"/>
      <c r="YB230" s="32"/>
      <c r="YC230" s="32"/>
      <c r="YD230" s="32"/>
      <c r="YE230" s="31"/>
      <c r="YF230" s="31"/>
      <c r="YG230" s="33"/>
      <c r="YH230" s="33"/>
      <c r="YI230" s="34"/>
      <c r="YJ230" s="34"/>
      <c r="YK230" s="35"/>
      <c r="YL230" s="35"/>
      <c r="YM230" s="32"/>
      <c r="YN230" s="31"/>
      <c r="YO230" s="31"/>
      <c r="YP230" s="31"/>
      <c r="YQ230" s="32"/>
      <c r="YR230" s="32"/>
      <c r="YS230" s="32"/>
      <c r="YT230" s="32"/>
      <c r="YU230" s="32"/>
      <c r="YV230" s="31"/>
      <c r="YW230" s="31"/>
      <c r="YX230" s="33"/>
      <c r="YY230" s="33"/>
      <c r="YZ230" s="34"/>
      <c r="ZA230" s="34"/>
      <c r="ZB230" s="35"/>
      <c r="ZC230" s="35"/>
      <c r="ZD230" s="32"/>
      <c r="ZE230" s="31"/>
      <c r="ZF230" s="31"/>
      <c r="ZG230" s="31"/>
      <c r="ZH230" s="32"/>
      <c r="ZI230" s="32"/>
      <c r="ZJ230" s="32"/>
      <c r="ZK230" s="32"/>
      <c r="ZL230" s="32"/>
      <c r="ZM230" s="31"/>
      <c r="ZN230" s="31"/>
      <c r="ZO230" s="33"/>
      <c r="ZP230" s="33"/>
      <c r="ZQ230" s="34"/>
      <c r="ZR230" s="34"/>
      <c r="ZS230" s="35"/>
      <c r="ZT230" s="35"/>
      <c r="ZU230" s="32"/>
      <c r="ZV230" s="31"/>
      <c r="ZW230" s="31"/>
      <c r="ZX230" s="31"/>
      <c r="ZY230" s="32"/>
      <c r="ZZ230" s="32"/>
      <c r="AAA230" s="32"/>
      <c r="AAB230" s="32"/>
      <c r="AAC230" s="32"/>
      <c r="AAD230" s="31"/>
      <c r="AAE230" s="31"/>
      <c r="AAF230" s="33"/>
      <c r="AAG230" s="33"/>
      <c r="AAH230" s="34"/>
      <c r="AAI230" s="34"/>
      <c r="AAJ230" s="35"/>
      <c r="AAK230" s="35"/>
      <c r="AAL230" s="32"/>
      <c r="AAM230" s="31"/>
      <c r="AAN230" s="31"/>
      <c r="AAO230" s="31"/>
      <c r="AAP230" s="32"/>
      <c r="AAQ230" s="32"/>
      <c r="AAR230" s="32"/>
      <c r="AAS230" s="32"/>
      <c r="AAT230" s="32"/>
      <c r="AAU230" s="31"/>
      <c r="AAV230" s="31"/>
      <c r="AAW230" s="33"/>
      <c r="AAX230" s="33"/>
      <c r="AAY230" s="34"/>
      <c r="AAZ230" s="34"/>
      <c r="ABA230" s="35"/>
      <c r="ABB230" s="35"/>
      <c r="ABC230" s="32"/>
      <c r="ABD230" s="31"/>
      <c r="ABE230" s="31"/>
      <c r="ABF230" s="31"/>
      <c r="ABG230" s="32"/>
      <c r="ABH230" s="32"/>
      <c r="ABI230" s="32"/>
      <c r="ABJ230" s="32"/>
      <c r="ABK230" s="32"/>
      <c r="ABL230" s="31"/>
      <c r="ABM230" s="31"/>
      <c r="ABN230" s="33"/>
      <c r="ABO230" s="33"/>
      <c r="ABP230" s="34"/>
      <c r="ABQ230" s="34"/>
      <c r="ABR230" s="35"/>
      <c r="ABS230" s="35"/>
      <c r="ABT230" s="32"/>
      <c r="ABU230" s="31"/>
      <c r="ABV230" s="31"/>
      <c r="ABW230" s="31"/>
      <c r="ABX230" s="32"/>
      <c r="ABY230" s="32"/>
      <c r="ABZ230" s="32"/>
      <c r="ACA230" s="32"/>
      <c r="ACB230" s="32"/>
      <c r="ACC230" s="31"/>
      <c r="ACD230" s="31"/>
      <c r="ACE230" s="33"/>
      <c r="ACF230" s="33"/>
      <c r="ACG230" s="34"/>
      <c r="ACH230" s="34"/>
      <c r="ACI230" s="35"/>
      <c r="ACJ230" s="35"/>
      <c r="ACK230" s="32"/>
      <c r="ACL230" s="31"/>
      <c r="ACM230" s="31"/>
      <c r="ACN230" s="31"/>
      <c r="ACO230" s="32"/>
      <c r="ACP230" s="32"/>
      <c r="ACQ230" s="32"/>
      <c r="ACR230" s="32"/>
      <c r="ACS230" s="32"/>
      <c r="ACT230" s="31"/>
      <c r="ACU230" s="31"/>
      <c r="ACV230" s="33"/>
      <c r="ACW230" s="33"/>
      <c r="ACX230" s="34"/>
      <c r="ACY230" s="34"/>
      <c r="ACZ230" s="35"/>
      <c r="ADA230" s="35"/>
      <c r="ADB230" s="32"/>
      <c r="ADC230" s="31"/>
      <c r="ADD230" s="31"/>
      <c r="ADE230" s="31"/>
      <c r="ADF230" s="32"/>
      <c r="ADG230" s="32"/>
      <c r="ADH230" s="32"/>
      <c r="ADI230" s="32"/>
      <c r="ADJ230" s="32"/>
      <c r="ADK230" s="31"/>
      <c r="ADL230" s="31"/>
      <c r="ADM230" s="33"/>
      <c r="ADN230" s="33"/>
      <c r="ADO230" s="34"/>
      <c r="ADP230" s="34"/>
      <c r="ADQ230" s="35"/>
      <c r="ADR230" s="35"/>
      <c r="ADS230" s="32"/>
      <c r="ADT230" s="31"/>
      <c r="ADU230" s="31"/>
      <c r="ADV230" s="31"/>
      <c r="ADW230" s="32"/>
      <c r="ADX230" s="32"/>
      <c r="ADY230" s="32"/>
      <c r="ADZ230" s="32"/>
      <c r="AEA230" s="32"/>
      <c r="AEB230" s="31"/>
      <c r="AEC230" s="31"/>
      <c r="AED230" s="33"/>
      <c r="AEE230" s="33"/>
      <c r="AEF230" s="34"/>
      <c r="AEG230" s="34"/>
      <c r="AEH230" s="35"/>
      <c r="AEI230" s="35"/>
      <c r="AEJ230" s="32"/>
      <c r="AEK230" s="31"/>
      <c r="AEL230" s="31"/>
      <c r="AEM230" s="31"/>
      <c r="AEN230" s="32"/>
      <c r="AEO230" s="32"/>
      <c r="AEP230" s="32"/>
      <c r="AEQ230" s="32"/>
      <c r="AER230" s="32"/>
      <c r="AES230" s="31"/>
      <c r="AET230" s="31"/>
      <c r="AEU230" s="33"/>
      <c r="AEV230" s="33"/>
      <c r="AEW230" s="34"/>
      <c r="AEX230" s="34"/>
      <c r="AEY230" s="35"/>
      <c r="AEZ230" s="35"/>
      <c r="AFA230" s="32"/>
      <c r="AFB230" s="31"/>
      <c r="AFC230" s="31"/>
      <c r="AFD230" s="31"/>
      <c r="AFE230" s="32"/>
      <c r="AFF230" s="32"/>
      <c r="AFG230" s="32"/>
      <c r="AFH230" s="32"/>
      <c r="AFI230" s="32"/>
      <c r="AFJ230" s="31"/>
      <c r="AFK230" s="31"/>
      <c r="AFL230" s="33"/>
      <c r="AFM230" s="33"/>
      <c r="AFN230" s="34"/>
      <c r="AFO230" s="34"/>
      <c r="AFP230" s="35"/>
      <c r="AFQ230" s="35"/>
      <c r="AFR230" s="32"/>
      <c r="AFS230" s="31"/>
      <c r="AFT230" s="31"/>
      <c r="AFU230" s="31"/>
      <c r="AFV230" s="32"/>
      <c r="AFW230" s="32"/>
      <c r="AFX230" s="32"/>
      <c r="AFY230" s="32"/>
      <c r="AFZ230" s="32"/>
      <c r="AGA230" s="31"/>
      <c r="AGB230" s="31"/>
      <c r="AGC230" s="33"/>
      <c r="AGD230" s="33"/>
      <c r="AGE230" s="34"/>
      <c r="AGF230" s="34"/>
      <c r="AGG230" s="35"/>
      <c r="AGH230" s="35"/>
      <c r="AGI230" s="32"/>
      <c r="AGJ230" s="31"/>
      <c r="AGK230" s="31"/>
      <c r="AGL230" s="31"/>
      <c r="AGM230" s="32"/>
      <c r="AGN230" s="32"/>
      <c r="AGO230" s="32"/>
      <c r="AGP230" s="32"/>
      <c r="AGQ230" s="32"/>
      <c r="AGR230" s="31"/>
      <c r="AGS230" s="31"/>
      <c r="AGT230" s="33"/>
      <c r="AGU230" s="33"/>
      <c r="AGV230" s="34"/>
      <c r="AGW230" s="34"/>
      <c r="AGX230" s="35"/>
      <c r="AGY230" s="35"/>
      <c r="AGZ230" s="32"/>
      <c r="AHA230" s="31"/>
      <c r="AHB230" s="31"/>
      <c r="AHC230" s="31"/>
      <c r="AHD230" s="32"/>
      <c r="AHE230" s="32"/>
      <c r="AHF230" s="32"/>
      <c r="AHG230" s="32"/>
      <c r="AHH230" s="32"/>
      <c r="AHI230" s="31"/>
      <c r="AHJ230" s="31"/>
      <c r="AHK230" s="33"/>
      <c r="AHL230" s="33"/>
      <c r="AHM230" s="34"/>
      <c r="AHN230" s="34"/>
      <c r="AHO230" s="35"/>
      <c r="AHP230" s="35"/>
      <c r="AHQ230" s="32"/>
      <c r="AHR230" s="31"/>
      <c r="AHS230" s="31"/>
      <c r="AHT230" s="31"/>
      <c r="AHU230" s="32"/>
      <c r="AHV230" s="32"/>
      <c r="AHW230" s="32"/>
      <c r="AHX230" s="32"/>
      <c r="AHY230" s="32"/>
      <c r="AHZ230" s="31"/>
      <c r="AIA230" s="31"/>
      <c r="AIB230" s="33"/>
      <c r="AIC230" s="33"/>
      <c r="AID230" s="34"/>
      <c r="AIE230" s="34"/>
      <c r="AIF230" s="35"/>
      <c r="AIG230" s="35"/>
      <c r="AIH230" s="32"/>
      <c r="AII230" s="31"/>
      <c r="AIJ230" s="31"/>
      <c r="AIK230" s="31"/>
      <c r="AIL230" s="32"/>
      <c r="AIM230" s="32"/>
      <c r="AIN230" s="32"/>
      <c r="AIO230" s="32"/>
      <c r="AIP230" s="32"/>
      <c r="AIQ230" s="31"/>
      <c r="AIR230" s="31"/>
      <c r="AIS230" s="33"/>
      <c r="AIT230" s="33"/>
      <c r="AIU230" s="34"/>
      <c r="AIV230" s="34"/>
      <c r="AIW230" s="35"/>
      <c r="AIX230" s="35"/>
      <c r="AIY230" s="32"/>
      <c r="AIZ230" s="31"/>
      <c r="AJA230" s="31"/>
      <c r="AJB230" s="31"/>
      <c r="AJC230" s="32"/>
      <c r="AJD230" s="32"/>
      <c r="AJE230" s="32"/>
      <c r="AJF230" s="32"/>
      <c r="AJG230" s="32"/>
      <c r="AJH230" s="31"/>
      <c r="AJI230" s="31"/>
      <c r="AJJ230" s="33"/>
      <c r="AJK230" s="33"/>
      <c r="AJL230" s="34"/>
      <c r="AJM230" s="34"/>
      <c r="AJN230" s="35"/>
      <c r="AJO230" s="35"/>
      <c r="AJP230" s="32"/>
      <c r="AJQ230" s="31"/>
      <c r="AJR230" s="31"/>
      <c r="AJS230" s="31"/>
      <c r="AJT230" s="32"/>
      <c r="AJU230" s="32"/>
      <c r="AJV230" s="32"/>
      <c r="AJW230" s="32"/>
      <c r="AJX230" s="32"/>
      <c r="AJY230" s="31"/>
      <c r="AJZ230" s="31"/>
      <c r="AKA230" s="33"/>
      <c r="AKB230" s="33"/>
      <c r="AKC230" s="34"/>
      <c r="AKD230" s="34"/>
      <c r="AKE230" s="35"/>
      <c r="AKF230" s="35"/>
      <c r="AKG230" s="32"/>
      <c r="AKH230" s="31"/>
      <c r="AKI230" s="31"/>
      <c r="AKJ230" s="31"/>
      <c r="AKK230" s="32"/>
      <c r="AKL230" s="32"/>
      <c r="AKM230" s="32"/>
      <c r="AKN230" s="32"/>
      <c r="AKO230" s="32"/>
      <c r="AKP230" s="31"/>
      <c r="AKQ230" s="31"/>
      <c r="AKR230" s="33"/>
      <c r="AKS230" s="33"/>
      <c r="AKT230" s="34"/>
      <c r="AKU230" s="34"/>
      <c r="AKV230" s="35"/>
      <c r="AKW230" s="35"/>
      <c r="AKX230" s="32"/>
      <c r="AKY230" s="31"/>
      <c r="AKZ230" s="31"/>
      <c r="ALA230" s="31"/>
      <c r="ALB230" s="32"/>
      <c r="ALC230" s="32"/>
      <c r="ALD230" s="32"/>
      <c r="ALE230" s="32"/>
      <c r="ALF230" s="32"/>
      <c r="ALG230" s="31"/>
      <c r="ALH230" s="31"/>
      <c r="ALI230" s="33"/>
      <c r="ALJ230" s="33"/>
      <c r="ALK230" s="34"/>
      <c r="ALL230" s="34"/>
      <c r="ALM230" s="35"/>
      <c r="ALN230" s="35"/>
      <c r="ALO230" s="32"/>
      <c r="ALP230" s="31"/>
      <c r="ALQ230" s="31"/>
      <c r="ALR230" s="31"/>
      <c r="ALS230" s="32"/>
      <c r="ALT230" s="32"/>
      <c r="ALU230" s="32"/>
      <c r="ALV230" s="32"/>
      <c r="ALW230" s="32"/>
      <c r="ALX230" s="31"/>
      <c r="ALY230" s="31"/>
      <c r="ALZ230" s="33"/>
      <c r="AMA230" s="33"/>
      <c r="AMB230" s="34"/>
      <c r="AMC230" s="34"/>
      <c r="AMD230" s="35"/>
      <c r="AME230" s="35"/>
      <c r="AMF230" s="32"/>
      <c r="AMG230" s="31"/>
      <c r="AMH230" s="31"/>
      <c r="AMI230" s="31"/>
      <c r="AMJ230" s="32"/>
      <c r="AMK230" s="32"/>
      <c r="AML230" s="32"/>
      <c r="AMM230" s="32"/>
      <c r="AMN230" s="32"/>
      <c r="AMO230" s="31"/>
      <c r="AMP230" s="31"/>
      <c r="AMQ230" s="33"/>
      <c r="AMR230" s="33"/>
      <c r="AMS230" s="34"/>
      <c r="AMT230" s="34"/>
      <c r="AMU230" s="35"/>
      <c r="AMV230" s="35"/>
      <c r="AMW230" s="32"/>
      <c r="AMX230" s="31"/>
      <c r="AMY230" s="31"/>
      <c r="AMZ230" s="31"/>
      <c r="ANA230" s="32"/>
      <c r="ANB230" s="32"/>
      <c r="ANC230" s="32"/>
      <c r="AND230" s="32"/>
      <c r="ANE230" s="32"/>
      <c r="ANF230" s="31"/>
      <c r="ANG230" s="31"/>
      <c r="ANH230" s="33"/>
      <c r="ANI230" s="33"/>
      <c r="ANJ230" s="34"/>
      <c r="ANK230" s="34"/>
      <c r="ANL230" s="35"/>
      <c r="ANM230" s="35"/>
      <c r="ANN230" s="32"/>
      <c r="ANO230" s="31"/>
      <c r="ANP230" s="31"/>
      <c r="ANQ230" s="31"/>
      <c r="ANR230" s="32"/>
      <c r="ANS230" s="32"/>
      <c r="ANT230" s="32"/>
      <c r="ANU230" s="32"/>
      <c r="ANV230" s="32"/>
      <c r="ANW230" s="31"/>
      <c r="ANX230" s="31"/>
      <c r="ANY230" s="33"/>
      <c r="ANZ230" s="33"/>
      <c r="AOA230" s="34"/>
      <c r="AOB230" s="34"/>
      <c r="AOC230" s="35"/>
      <c r="AOD230" s="35"/>
      <c r="AOE230" s="32"/>
      <c r="AOF230" s="31"/>
      <c r="AOG230" s="31"/>
      <c r="AOH230" s="31"/>
      <c r="AOI230" s="32"/>
      <c r="AOJ230" s="32"/>
      <c r="AOK230" s="32"/>
      <c r="AOL230" s="32"/>
      <c r="AOM230" s="32"/>
      <c r="AON230" s="31"/>
      <c r="AOO230" s="31"/>
      <c r="AOP230" s="33"/>
      <c r="AOQ230" s="33"/>
      <c r="AOR230" s="34"/>
      <c r="AOS230" s="34"/>
      <c r="AOT230" s="35"/>
      <c r="AOU230" s="35"/>
      <c r="AOV230" s="32"/>
      <c r="AOW230" s="31"/>
      <c r="AOX230" s="31"/>
      <c r="AOY230" s="31"/>
      <c r="AOZ230" s="32"/>
      <c r="APA230" s="32"/>
      <c r="APB230" s="32"/>
      <c r="APC230" s="32"/>
      <c r="APD230" s="32"/>
      <c r="APE230" s="31"/>
      <c r="APF230" s="31"/>
      <c r="APG230" s="33"/>
      <c r="APH230" s="33"/>
      <c r="API230" s="34"/>
      <c r="APJ230" s="34"/>
      <c r="APK230" s="35"/>
      <c r="APL230" s="35"/>
      <c r="APM230" s="32"/>
      <c r="APN230" s="31"/>
      <c r="APO230" s="31"/>
      <c r="APP230" s="31"/>
      <c r="APQ230" s="32"/>
      <c r="APR230" s="32"/>
      <c r="APS230" s="32"/>
      <c r="APT230" s="32"/>
      <c r="APU230" s="32"/>
      <c r="APV230" s="31"/>
      <c r="APW230" s="31"/>
      <c r="APX230" s="33"/>
      <c r="APY230" s="33"/>
      <c r="APZ230" s="34"/>
      <c r="AQA230" s="34"/>
      <c r="AQB230" s="35"/>
      <c r="AQC230" s="35"/>
      <c r="AQD230" s="32"/>
      <c r="AQE230" s="31"/>
      <c r="AQF230" s="31"/>
      <c r="AQG230" s="31"/>
      <c r="AQH230" s="32"/>
      <c r="AQI230" s="32"/>
      <c r="AQJ230" s="32"/>
      <c r="AQK230" s="32"/>
      <c r="AQL230" s="32"/>
      <c r="AQM230" s="31"/>
      <c r="AQN230" s="31"/>
      <c r="AQO230" s="33"/>
      <c r="AQP230" s="33"/>
      <c r="AQQ230" s="34"/>
      <c r="AQR230" s="34"/>
      <c r="AQS230" s="35"/>
      <c r="AQT230" s="35"/>
      <c r="AQU230" s="32"/>
      <c r="AQV230" s="31"/>
      <c r="AQW230" s="31"/>
      <c r="AQX230" s="31"/>
      <c r="AQY230" s="32"/>
      <c r="AQZ230" s="32"/>
      <c r="ARA230" s="32"/>
      <c r="ARB230" s="32"/>
      <c r="ARC230" s="32"/>
      <c r="ARD230" s="31"/>
      <c r="ARE230" s="31"/>
      <c r="ARF230" s="33"/>
      <c r="ARG230" s="33"/>
      <c r="ARH230" s="34"/>
      <c r="ARI230" s="34"/>
      <c r="ARJ230" s="35"/>
      <c r="ARK230" s="35"/>
      <c r="ARL230" s="32"/>
      <c r="ARM230" s="31"/>
      <c r="ARN230" s="31"/>
      <c r="ARO230" s="31"/>
      <c r="ARP230" s="32"/>
      <c r="ARQ230" s="32"/>
      <c r="ARR230" s="32"/>
      <c r="ARS230" s="32"/>
      <c r="ART230" s="32"/>
      <c r="ARU230" s="31"/>
      <c r="ARV230" s="31"/>
      <c r="ARW230" s="33"/>
      <c r="ARX230" s="33"/>
      <c r="ARY230" s="34"/>
      <c r="ARZ230" s="34"/>
      <c r="ASA230" s="35"/>
      <c r="ASB230" s="35"/>
      <c r="ASC230" s="32"/>
      <c r="ASD230" s="31"/>
      <c r="ASE230" s="31"/>
      <c r="ASF230" s="31"/>
      <c r="ASG230" s="32"/>
      <c r="ASH230" s="32"/>
      <c r="ASI230" s="32"/>
      <c r="ASJ230" s="32"/>
      <c r="ASK230" s="32"/>
      <c r="ASL230" s="31"/>
      <c r="ASM230" s="31"/>
      <c r="ASN230" s="33"/>
      <c r="ASO230" s="33"/>
      <c r="ASP230" s="34"/>
      <c r="ASQ230" s="34"/>
      <c r="ASR230" s="35"/>
      <c r="ASS230" s="35"/>
      <c r="AST230" s="32"/>
      <c r="ASU230" s="31"/>
      <c r="ASV230" s="31"/>
      <c r="ASW230" s="31"/>
      <c r="ASX230" s="32"/>
      <c r="ASY230" s="32"/>
      <c r="ASZ230" s="32"/>
      <c r="ATA230" s="32"/>
      <c r="ATB230" s="32"/>
      <c r="ATC230" s="31"/>
      <c r="ATD230" s="31"/>
      <c r="ATE230" s="33"/>
      <c r="ATF230" s="33"/>
      <c r="ATG230" s="34"/>
      <c r="ATH230" s="34"/>
      <c r="ATI230" s="35"/>
      <c r="ATJ230" s="35"/>
      <c r="ATK230" s="32"/>
      <c r="ATL230" s="31"/>
      <c r="ATM230" s="31"/>
      <c r="ATN230" s="31"/>
      <c r="ATO230" s="32"/>
      <c r="ATP230" s="32"/>
      <c r="ATQ230" s="32"/>
      <c r="ATR230" s="32"/>
      <c r="ATS230" s="32"/>
      <c r="ATT230" s="31"/>
      <c r="ATU230" s="31"/>
      <c r="ATV230" s="33"/>
      <c r="ATW230" s="33"/>
      <c r="ATX230" s="34"/>
      <c r="ATY230" s="34"/>
      <c r="ATZ230" s="35"/>
      <c r="AUA230" s="35"/>
      <c r="AUB230" s="32"/>
      <c r="AUC230" s="31"/>
      <c r="AUD230" s="31"/>
      <c r="AUE230" s="31"/>
      <c r="AUF230" s="32"/>
      <c r="AUG230" s="32"/>
      <c r="AUH230" s="32"/>
      <c r="AUI230" s="32"/>
      <c r="AUJ230" s="32"/>
      <c r="AUK230" s="31"/>
      <c r="AUL230" s="31"/>
      <c r="AUM230" s="33"/>
      <c r="AUN230" s="33"/>
      <c r="AUO230" s="34"/>
      <c r="AUP230" s="34"/>
      <c r="AUQ230" s="35"/>
      <c r="AUR230" s="35"/>
      <c r="AUS230" s="32"/>
      <c r="AUT230" s="31"/>
      <c r="AUU230" s="31"/>
      <c r="AUV230" s="31"/>
      <c r="AUW230" s="32"/>
      <c r="AUX230" s="32"/>
      <c r="AUY230" s="32"/>
      <c r="AUZ230" s="32"/>
      <c r="AVA230" s="32"/>
      <c r="AVB230" s="31"/>
      <c r="AVC230" s="31"/>
      <c r="AVD230" s="33"/>
      <c r="AVE230" s="33"/>
      <c r="AVF230" s="34"/>
      <c r="AVG230" s="34"/>
      <c r="AVH230" s="35"/>
      <c r="AVI230" s="35"/>
      <c r="AVJ230" s="32"/>
      <c r="AVK230" s="31"/>
      <c r="AVL230" s="31"/>
      <c r="AVM230" s="31"/>
      <c r="AVN230" s="32"/>
      <c r="AVO230" s="32"/>
      <c r="AVP230" s="32"/>
      <c r="AVQ230" s="32"/>
      <c r="AVR230" s="32"/>
      <c r="AVS230" s="31"/>
      <c r="AVT230" s="31"/>
      <c r="AVU230" s="33"/>
      <c r="AVV230" s="33"/>
      <c r="AVW230" s="34"/>
      <c r="AVX230" s="34"/>
      <c r="AVY230" s="35"/>
      <c r="AVZ230" s="35"/>
      <c r="AWA230" s="32"/>
      <c r="AWB230" s="31"/>
      <c r="AWC230" s="31"/>
      <c r="AWD230" s="31"/>
      <c r="AWE230" s="32"/>
      <c r="AWF230" s="32"/>
      <c r="AWG230" s="32"/>
      <c r="AWH230" s="32"/>
      <c r="AWI230" s="32"/>
      <c r="AWJ230" s="31"/>
      <c r="AWK230" s="31"/>
      <c r="AWL230" s="33"/>
      <c r="AWM230" s="33"/>
      <c r="AWN230" s="34"/>
      <c r="AWO230" s="34"/>
      <c r="AWP230" s="35"/>
      <c r="AWQ230" s="35"/>
      <c r="AWR230" s="32"/>
      <c r="AWS230" s="31"/>
      <c r="AWT230" s="31"/>
      <c r="AWU230" s="31"/>
      <c r="AWV230" s="32"/>
      <c r="AWW230" s="32"/>
      <c r="AWX230" s="32"/>
      <c r="AWY230" s="32"/>
      <c r="AWZ230" s="32"/>
      <c r="AXA230" s="31"/>
      <c r="AXB230" s="31"/>
      <c r="AXC230" s="33"/>
      <c r="AXD230" s="33"/>
      <c r="AXE230" s="34"/>
      <c r="AXF230" s="34"/>
      <c r="AXG230" s="35"/>
      <c r="AXH230" s="35"/>
      <c r="AXI230" s="32"/>
      <c r="AXJ230" s="31"/>
      <c r="AXK230" s="31"/>
      <c r="AXL230" s="31"/>
      <c r="AXM230" s="32"/>
      <c r="AXN230" s="32"/>
      <c r="AXO230" s="32"/>
      <c r="AXP230" s="32"/>
      <c r="AXQ230" s="32"/>
      <c r="AXR230" s="31"/>
      <c r="AXS230" s="31"/>
      <c r="AXT230" s="33"/>
      <c r="AXU230" s="33"/>
      <c r="AXV230" s="34"/>
      <c r="AXW230" s="34"/>
      <c r="AXX230" s="35"/>
      <c r="AXY230" s="35"/>
      <c r="AXZ230" s="32"/>
      <c r="AYA230" s="31"/>
      <c r="AYB230" s="31"/>
      <c r="AYC230" s="31"/>
      <c r="AYD230" s="32"/>
      <c r="AYE230" s="32"/>
      <c r="AYF230" s="32"/>
      <c r="AYG230" s="32"/>
      <c r="AYH230" s="32"/>
      <c r="AYI230" s="31"/>
      <c r="AYJ230" s="31"/>
      <c r="AYK230" s="33"/>
      <c r="AYL230" s="33"/>
      <c r="AYM230" s="34"/>
      <c r="AYN230" s="34"/>
      <c r="AYO230" s="35"/>
      <c r="AYP230" s="35"/>
      <c r="AYQ230" s="32"/>
      <c r="AYR230" s="31"/>
      <c r="AYS230" s="31"/>
      <c r="AYT230" s="31"/>
      <c r="AYU230" s="32"/>
      <c r="AYV230" s="32"/>
      <c r="AYW230" s="32"/>
      <c r="AYX230" s="32"/>
      <c r="AYY230" s="32"/>
      <c r="AYZ230" s="31"/>
      <c r="AZA230" s="31"/>
      <c r="AZB230" s="33"/>
      <c r="AZC230" s="33"/>
      <c r="AZD230" s="34"/>
      <c r="AZE230" s="34"/>
      <c r="AZF230" s="35"/>
      <c r="AZG230" s="35"/>
      <c r="AZH230" s="32"/>
      <c r="AZI230" s="31"/>
      <c r="AZJ230" s="31"/>
      <c r="AZK230" s="31"/>
      <c r="AZL230" s="32"/>
      <c r="AZM230" s="32"/>
      <c r="AZN230" s="32"/>
      <c r="AZO230" s="32"/>
      <c r="AZP230" s="32"/>
      <c r="AZQ230" s="31"/>
      <c r="AZR230" s="31"/>
      <c r="AZS230" s="33"/>
      <c r="AZT230" s="33"/>
      <c r="AZU230" s="34"/>
      <c r="AZV230" s="34"/>
      <c r="AZW230" s="35"/>
      <c r="AZX230" s="35"/>
      <c r="AZY230" s="32"/>
      <c r="AZZ230" s="31"/>
      <c r="BAA230" s="31"/>
      <c r="BAB230" s="31"/>
      <c r="BAC230" s="32"/>
      <c r="BAD230" s="32"/>
      <c r="BAE230" s="32"/>
      <c r="BAF230" s="32"/>
      <c r="BAG230" s="32"/>
      <c r="BAH230" s="31"/>
      <c r="BAI230" s="31"/>
      <c r="BAJ230" s="33"/>
      <c r="BAK230" s="33"/>
      <c r="BAL230" s="34"/>
      <c r="BAM230" s="34"/>
      <c r="BAN230" s="35"/>
      <c r="BAO230" s="35"/>
      <c r="BAP230" s="32"/>
      <c r="BAQ230" s="31"/>
      <c r="BAR230" s="31"/>
      <c r="BAS230" s="31"/>
      <c r="BAT230" s="32"/>
      <c r="BAU230" s="32"/>
      <c r="BAV230" s="32"/>
      <c r="BAW230" s="32"/>
      <c r="BAX230" s="32"/>
      <c r="BAY230" s="31"/>
      <c r="BAZ230" s="31"/>
      <c r="BBA230" s="33"/>
      <c r="BBB230" s="33"/>
      <c r="BBC230" s="34"/>
      <c r="BBD230" s="34"/>
      <c r="BBE230" s="35"/>
      <c r="BBF230" s="35"/>
      <c r="BBG230" s="32"/>
      <c r="BBH230" s="31"/>
      <c r="BBI230" s="31"/>
      <c r="BBJ230" s="31"/>
      <c r="BBK230" s="32"/>
      <c r="BBL230" s="32"/>
      <c r="BBM230" s="32"/>
      <c r="BBN230" s="32"/>
      <c r="BBO230" s="32"/>
      <c r="BBP230" s="31"/>
      <c r="BBQ230" s="31"/>
      <c r="BBR230" s="33"/>
      <c r="BBS230" s="33"/>
      <c r="BBT230" s="34"/>
      <c r="BBU230" s="34"/>
      <c r="BBV230" s="35"/>
      <c r="BBW230" s="35"/>
      <c r="BBX230" s="32"/>
      <c r="BBY230" s="31"/>
      <c r="BBZ230" s="31"/>
      <c r="BCA230" s="31"/>
      <c r="BCB230" s="32"/>
      <c r="BCC230" s="32"/>
      <c r="BCD230" s="32"/>
      <c r="BCE230" s="32"/>
      <c r="BCF230" s="32"/>
      <c r="BCG230" s="31"/>
      <c r="BCH230" s="31"/>
      <c r="BCI230" s="33"/>
      <c r="BCJ230" s="33"/>
      <c r="BCK230" s="34"/>
      <c r="BCL230" s="34"/>
      <c r="BCM230" s="35"/>
      <c r="BCN230" s="35"/>
      <c r="BCO230" s="32"/>
      <c r="BCP230" s="31"/>
      <c r="BCQ230" s="31"/>
      <c r="BCR230" s="31"/>
      <c r="BCS230" s="32"/>
      <c r="BCT230" s="32"/>
      <c r="BCU230" s="32"/>
      <c r="BCV230" s="32"/>
      <c r="BCW230" s="32"/>
      <c r="BCX230" s="31"/>
      <c r="BCY230" s="31"/>
      <c r="BCZ230" s="33"/>
      <c r="BDA230" s="33"/>
      <c r="BDB230" s="34"/>
      <c r="BDC230" s="34"/>
      <c r="BDD230" s="35"/>
      <c r="BDE230" s="35"/>
      <c r="BDF230" s="32"/>
      <c r="BDG230" s="31"/>
      <c r="BDH230" s="31"/>
      <c r="BDI230" s="31"/>
      <c r="BDJ230" s="32"/>
      <c r="BDK230" s="32"/>
      <c r="BDL230" s="32"/>
      <c r="BDM230" s="32"/>
      <c r="BDN230" s="32"/>
      <c r="BDO230" s="31"/>
      <c r="BDP230" s="31"/>
      <c r="BDQ230" s="33"/>
      <c r="BDR230" s="33"/>
      <c r="BDS230" s="34"/>
      <c r="BDT230" s="34"/>
      <c r="BDU230" s="35"/>
      <c r="BDV230" s="35"/>
      <c r="BDW230" s="32"/>
      <c r="BDX230" s="31"/>
      <c r="BDY230" s="31"/>
      <c r="BDZ230" s="31"/>
      <c r="BEA230" s="32"/>
      <c r="BEB230" s="32"/>
      <c r="BEC230" s="32"/>
      <c r="BED230" s="32"/>
      <c r="BEE230" s="32"/>
      <c r="BEF230" s="31"/>
      <c r="BEG230" s="31"/>
      <c r="BEH230" s="33"/>
      <c r="BEI230" s="33"/>
      <c r="BEJ230" s="34"/>
      <c r="BEK230" s="34"/>
      <c r="BEL230" s="35"/>
      <c r="BEM230" s="35"/>
      <c r="BEN230" s="32"/>
      <c r="BEO230" s="31"/>
      <c r="BEP230" s="31"/>
      <c r="BEQ230" s="31"/>
      <c r="BER230" s="32"/>
      <c r="BES230" s="32"/>
      <c r="BET230" s="32"/>
      <c r="BEU230" s="32"/>
      <c r="BEV230" s="32"/>
      <c r="BEW230" s="31"/>
      <c r="BEX230" s="31"/>
      <c r="BEY230" s="33"/>
      <c r="BEZ230" s="33"/>
      <c r="BFA230" s="34"/>
      <c r="BFB230" s="34"/>
      <c r="BFC230" s="35"/>
      <c r="BFD230" s="35"/>
      <c r="BFE230" s="32"/>
      <c r="BFF230" s="31"/>
      <c r="BFG230" s="31"/>
      <c r="BFH230" s="31"/>
      <c r="BFI230" s="32"/>
      <c r="BFJ230" s="32"/>
      <c r="BFK230" s="32"/>
      <c r="BFL230" s="32"/>
      <c r="BFM230" s="32"/>
      <c r="BFN230" s="31"/>
      <c r="BFO230" s="31"/>
      <c r="BFP230" s="33"/>
      <c r="BFQ230" s="33"/>
      <c r="BFR230" s="34"/>
      <c r="BFS230" s="34"/>
      <c r="BFT230" s="35"/>
      <c r="BFU230" s="35"/>
      <c r="BFV230" s="32"/>
      <c r="BFW230" s="31"/>
      <c r="BFX230" s="31"/>
      <c r="BFY230" s="31"/>
      <c r="BFZ230" s="32"/>
      <c r="BGA230" s="32"/>
      <c r="BGB230" s="32"/>
      <c r="BGC230" s="32"/>
      <c r="BGD230" s="32"/>
      <c r="BGE230" s="31"/>
      <c r="BGF230" s="31"/>
      <c r="BGG230" s="33"/>
      <c r="BGH230" s="33"/>
      <c r="BGI230" s="34"/>
      <c r="BGJ230" s="34"/>
      <c r="BGK230" s="35"/>
      <c r="BGL230" s="35"/>
      <c r="BGM230" s="32"/>
      <c r="BGN230" s="31"/>
      <c r="BGO230" s="31"/>
      <c r="BGP230" s="31"/>
      <c r="BGQ230" s="32"/>
      <c r="BGR230" s="32"/>
      <c r="BGS230" s="32"/>
      <c r="BGT230" s="32"/>
      <c r="BGU230" s="32"/>
      <c r="BGV230" s="31"/>
      <c r="BGW230" s="31"/>
      <c r="BGX230" s="33"/>
      <c r="BGY230" s="33"/>
      <c r="BGZ230" s="34"/>
      <c r="BHA230" s="34"/>
      <c r="BHB230" s="35"/>
      <c r="BHC230" s="35"/>
      <c r="BHD230" s="32"/>
      <c r="BHE230" s="31"/>
      <c r="BHF230" s="31"/>
      <c r="BHG230" s="31"/>
      <c r="BHH230" s="32"/>
      <c r="BHI230" s="32"/>
      <c r="BHJ230" s="32"/>
      <c r="BHK230" s="32"/>
      <c r="BHL230" s="32"/>
      <c r="BHM230" s="31"/>
      <c r="BHN230" s="31"/>
      <c r="BHO230" s="33"/>
      <c r="BHP230" s="33"/>
      <c r="BHQ230" s="34"/>
      <c r="BHR230" s="34"/>
      <c r="BHS230" s="35"/>
      <c r="BHT230" s="35"/>
      <c r="BHU230" s="32"/>
      <c r="BHV230" s="31"/>
      <c r="BHW230" s="31"/>
      <c r="BHX230" s="31"/>
      <c r="BHY230" s="32"/>
      <c r="BHZ230" s="32"/>
      <c r="BIA230" s="32"/>
      <c r="BIB230" s="32"/>
      <c r="BIC230" s="32"/>
      <c r="BID230" s="31"/>
      <c r="BIE230" s="31"/>
      <c r="BIF230" s="33"/>
      <c r="BIG230" s="33"/>
      <c r="BIH230" s="34"/>
      <c r="BII230" s="34"/>
      <c r="BIJ230" s="35"/>
      <c r="BIK230" s="35"/>
      <c r="BIL230" s="32"/>
      <c r="BIM230" s="31"/>
      <c r="BIN230" s="31"/>
      <c r="BIO230" s="31"/>
      <c r="BIP230" s="32"/>
      <c r="BIQ230" s="32"/>
      <c r="BIR230" s="32"/>
      <c r="BIS230" s="32"/>
      <c r="BIT230" s="32"/>
      <c r="BIU230" s="31"/>
      <c r="BIV230" s="31"/>
      <c r="BIW230" s="33"/>
      <c r="BIX230" s="33"/>
      <c r="BIY230" s="34"/>
      <c r="BIZ230" s="34"/>
      <c r="BJA230" s="35"/>
      <c r="BJB230" s="35"/>
      <c r="BJC230" s="32"/>
      <c r="BJD230" s="31"/>
      <c r="BJE230" s="31"/>
      <c r="BJF230" s="31"/>
      <c r="BJG230" s="32"/>
      <c r="BJH230" s="32"/>
      <c r="BJI230" s="32"/>
      <c r="BJJ230" s="32"/>
      <c r="BJK230" s="32"/>
      <c r="BJL230" s="31"/>
      <c r="BJM230" s="31"/>
      <c r="BJN230" s="33"/>
      <c r="BJO230" s="33"/>
      <c r="BJP230" s="34"/>
      <c r="BJQ230" s="34"/>
      <c r="BJR230" s="35"/>
      <c r="BJS230" s="35"/>
      <c r="BJT230" s="32"/>
      <c r="BJU230" s="31"/>
      <c r="BJV230" s="31"/>
      <c r="BJW230" s="31"/>
      <c r="BJX230" s="32"/>
      <c r="BJY230" s="32"/>
      <c r="BJZ230" s="32"/>
      <c r="BKA230" s="32"/>
      <c r="BKB230" s="32"/>
      <c r="BKC230" s="31"/>
      <c r="BKD230" s="31"/>
      <c r="BKE230" s="33"/>
      <c r="BKF230" s="33"/>
      <c r="BKG230" s="34"/>
      <c r="BKH230" s="34"/>
      <c r="BKI230" s="35"/>
      <c r="BKJ230" s="35"/>
      <c r="BKK230" s="32"/>
      <c r="BKL230" s="31"/>
      <c r="BKM230" s="31"/>
      <c r="BKN230" s="31"/>
      <c r="BKO230" s="32"/>
      <c r="BKP230" s="32"/>
      <c r="BKQ230" s="32"/>
      <c r="BKR230" s="32"/>
      <c r="BKS230" s="32"/>
      <c r="BKT230" s="31"/>
      <c r="BKU230" s="31"/>
      <c r="BKV230" s="33"/>
      <c r="BKW230" s="33"/>
      <c r="BKX230" s="34"/>
      <c r="BKY230" s="34"/>
      <c r="BKZ230" s="35"/>
      <c r="BLA230" s="35"/>
      <c r="BLB230" s="32"/>
      <c r="BLC230" s="31"/>
      <c r="BLD230" s="31"/>
      <c r="BLE230" s="31"/>
      <c r="BLF230" s="32"/>
      <c r="BLG230" s="32"/>
      <c r="BLH230" s="32"/>
      <c r="BLI230" s="32"/>
      <c r="BLJ230" s="32"/>
      <c r="BLK230" s="31"/>
      <c r="BLL230" s="31"/>
      <c r="BLM230" s="33"/>
      <c r="BLN230" s="33"/>
      <c r="BLO230" s="34"/>
      <c r="BLP230" s="34"/>
      <c r="BLQ230" s="35"/>
      <c r="BLR230" s="35"/>
      <c r="BLS230" s="32"/>
      <c r="BLT230" s="31"/>
      <c r="BLU230" s="31"/>
      <c r="BLV230" s="31"/>
      <c r="BLW230" s="32"/>
      <c r="BLX230" s="32"/>
      <c r="BLY230" s="32"/>
      <c r="BLZ230" s="32"/>
      <c r="BMA230" s="32"/>
      <c r="BMB230" s="31"/>
      <c r="BMC230" s="31"/>
      <c r="BMD230" s="33"/>
      <c r="BME230" s="33"/>
      <c r="BMF230" s="34"/>
      <c r="BMG230" s="34"/>
      <c r="BMH230" s="35"/>
      <c r="BMI230" s="35"/>
      <c r="BMJ230" s="32"/>
      <c r="BMK230" s="31"/>
      <c r="BML230" s="31"/>
      <c r="BMM230" s="31"/>
      <c r="BMN230" s="32"/>
      <c r="BMO230" s="32"/>
      <c r="BMP230" s="32"/>
      <c r="BMQ230" s="32"/>
      <c r="BMR230" s="32"/>
      <c r="BMS230" s="31"/>
      <c r="BMT230" s="31"/>
      <c r="BMU230" s="33"/>
      <c r="BMV230" s="33"/>
      <c r="BMW230" s="34"/>
      <c r="BMX230" s="34"/>
      <c r="BMY230" s="35"/>
      <c r="BMZ230" s="35"/>
      <c r="BNA230" s="32"/>
      <c r="BNB230" s="31"/>
      <c r="BNC230" s="31"/>
      <c r="BND230" s="31"/>
      <c r="BNE230" s="32"/>
      <c r="BNF230" s="32"/>
      <c r="BNG230" s="32"/>
      <c r="BNH230" s="32"/>
      <c r="BNI230" s="32"/>
      <c r="BNJ230" s="31"/>
      <c r="BNK230" s="31"/>
      <c r="BNL230" s="33"/>
      <c r="BNM230" s="33"/>
      <c r="BNN230" s="34"/>
      <c r="BNO230" s="34"/>
      <c r="BNP230" s="35"/>
      <c r="BNQ230" s="35"/>
      <c r="BNR230" s="32"/>
      <c r="BNS230" s="31"/>
      <c r="BNT230" s="31"/>
      <c r="BNU230" s="31"/>
      <c r="BNV230" s="32"/>
      <c r="BNW230" s="32"/>
      <c r="BNX230" s="32"/>
      <c r="BNY230" s="32"/>
      <c r="BNZ230" s="32"/>
      <c r="BOA230" s="31"/>
      <c r="BOB230" s="31"/>
      <c r="BOC230" s="33"/>
      <c r="BOD230" s="33"/>
      <c r="BOE230" s="34"/>
      <c r="BOF230" s="34"/>
      <c r="BOG230" s="35"/>
      <c r="BOH230" s="35"/>
      <c r="BOI230" s="32"/>
      <c r="BOJ230" s="31"/>
      <c r="BOK230" s="31"/>
      <c r="BOL230" s="31"/>
      <c r="BOM230" s="32"/>
      <c r="BON230" s="32"/>
      <c r="BOO230" s="32"/>
      <c r="BOP230" s="32"/>
      <c r="BOQ230" s="32"/>
      <c r="BOR230" s="31"/>
      <c r="BOS230" s="31"/>
      <c r="BOT230" s="33"/>
      <c r="BOU230" s="33"/>
      <c r="BOV230" s="34"/>
      <c r="BOW230" s="34"/>
      <c r="BOX230" s="35"/>
      <c r="BOY230" s="35"/>
      <c r="BOZ230" s="32"/>
      <c r="BPA230" s="31"/>
      <c r="BPB230" s="31"/>
      <c r="BPC230" s="31"/>
      <c r="BPD230" s="32"/>
      <c r="BPE230" s="32"/>
      <c r="BPF230" s="32"/>
      <c r="BPG230" s="32"/>
      <c r="BPH230" s="32"/>
      <c r="BPI230" s="31"/>
      <c r="BPJ230" s="31"/>
      <c r="BPK230" s="33"/>
      <c r="BPL230" s="33"/>
      <c r="BPM230" s="34"/>
      <c r="BPN230" s="34"/>
      <c r="BPO230" s="35"/>
      <c r="BPP230" s="35"/>
      <c r="BPQ230" s="32"/>
      <c r="BPR230" s="31"/>
      <c r="BPS230" s="31"/>
      <c r="BPT230" s="31"/>
      <c r="BPU230" s="32"/>
      <c r="BPV230" s="32"/>
      <c r="BPW230" s="32"/>
      <c r="BPX230" s="32"/>
      <c r="BPY230" s="32"/>
      <c r="BPZ230" s="31"/>
      <c r="BQA230" s="31"/>
      <c r="BQB230" s="33"/>
      <c r="BQC230" s="33"/>
      <c r="BQD230" s="34"/>
      <c r="BQE230" s="34"/>
      <c r="BQF230" s="35"/>
      <c r="BQG230" s="35"/>
      <c r="BQH230" s="32"/>
      <c r="BQI230" s="31"/>
      <c r="BQJ230" s="31"/>
      <c r="BQK230" s="31"/>
      <c r="BQL230" s="32"/>
      <c r="BQM230" s="32"/>
      <c r="BQN230" s="32"/>
      <c r="BQO230" s="32"/>
      <c r="BQP230" s="32"/>
      <c r="BQQ230" s="31"/>
      <c r="BQR230" s="31"/>
      <c r="BQS230" s="33"/>
      <c r="BQT230" s="33"/>
      <c r="BQU230" s="34"/>
      <c r="BQV230" s="34"/>
      <c r="BQW230" s="35"/>
      <c r="BQX230" s="35"/>
      <c r="BQY230" s="32"/>
      <c r="BQZ230" s="31"/>
      <c r="BRA230" s="31"/>
      <c r="BRB230" s="31"/>
      <c r="BRC230" s="32"/>
      <c r="BRD230" s="32"/>
      <c r="BRE230" s="32"/>
      <c r="BRF230" s="32"/>
      <c r="BRG230" s="32"/>
      <c r="BRH230" s="31"/>
      <c r="BRI230" s="31"/>
      <c r="BRJ230" s="33"/>
      <c r="BRK230" s="33"/>
      <c r="BRL230" s="34"/>
      <c r="BRM230" s="34"/>
      <c r="BRN230" s="35"/>
      <c r="BRO230" s="35"/>
      <c r="BRP230" s="32"/>
      <c r="BRQ230" s="31"/>
      <c r="BRR230" s="31"/>
      <c r="BRS230" s="31"/>
      <c r="BRT230" s="32"/>
      <c r="BRU230" s="32"/>
      <c r="BRV230" s="32"/>
      <c r="BRW230" s="32"/>
      <c r="BRX230" s="32"/>
      <c r="BRY230" s="31"/>
      <c r="BRZ230" s="31"/>
      <c r="BSA230" s="33"/>
      <c r="BSB230" s="33"/>
      <c r="BSC230" s="34"/>
      <c r="BSD230" s="34"/>
      <c r="BSE230" s="35"/>
      <c r="BSF230" s="35"/>
      <c r="BSG230" s="32"/>
      <c r="BSH230" s="31"/>
      <c r="BSI230" s="31"/>
      <c r="BSJ230" s="31"/>
      <c r="BSK230" s="32"/>
      <c r="BSL230" s="32"/>
      <c r="BSM230" s="32"/>
      <c r="BSN230" s="32"/>
      <c r="BSO230" s="32"/>
      <c r="BSP230" s="31"/>
      <c r="BSQ230" s="31"/>
      <c r="BSR230" s="33"/>
      <c r="BSS230" s="33"/>
      <c r="BST230" s="34"/>
      <c r="BSU230" s="34"/>
      <c r="BSV230" s="35"/>
      <c r="BSW230" s="35"/>
      <c r="BSX230" s="32"/>
      <c r="BSY230" s="31"/>
      <c r="BSZ230" s="31"/>
      <c r="BTA230" s="31"/>
      <c r="BTB230" s="32"/>
      <c r="BTC230" s="32"/>
      <c r="BTD230" s="32"/>
      <c r="BTE230" s="32"/>
      <c r="BTF230" s="32"/>
      <c r="BTG230" s="31"/>
      <c r="BTH230" s="31"/>
      <c r="BTI230" s="33"/>
      <c r="BTJ230" s="33"/>
      <c r="BTK230" s="34"/>
      <c r="BTL230" s="34"/>
      <c r="BTM230" s="35"/>
      <c r="BTN230" s="35"/>
      <c r="BTO230" s="32"/>
      <c r="BTP230" s="31"/>
      <c r="BTQ230" s="31"/>
      <c r="BTR230" s="31"/>
      <c r="BTS230" s="32"/>
      <c r="BTT230" s="32"/>
      <c r="BTU230" s="32"/>
      <c r="BTV230" s="32"/>
      <c r="BTW230" s="32"/>
      <c r="BTX230" s="31"/>
      <c r="BTY230" s="31"/>
      <c r="BTZ230" s="33"/>
      <c r="BUA230" s="33"/>
      <c r="BUB230" s="34"/>
      <c r="BUC230" s="34"/>
      <c r="BUD230" s="35"/>
      <c r="BUE230" s="35"/>
      <c r="BUF230" s="32"/>
      <c r="BUG230" s="31"/>
      <c r="BUH230" s="31"/>
      <c r="BUI230" s="31"/>
      <c r="BUJ230" s="32"/>
      <c r="BUK230" s="32"/>
      <c r="BUL230" s="32"/>
      <c r="BUM230" s="32"/>
      <c r="BUN230" s="32"/>
      <c r="BUO230" s="31"/>
      <c r="BUP230" s="31"/>
      <c r="BUQ230" s="33"/>
      <c r="BUR230" s="33"/>
      <c r="BUS230" s="34"/>
      <c r="BUT230" s="34"/>
      <c r="BUU230" s="35"/>
      <c r="BUV230" s="35"/>
      <c r="BUW230" s="32"/>
      <c r="BUX230" s="31"/>
      <c r="BUY230" s="31"/>
      <c r="BUZ230" s="31"/>
      <c r="BVA230" s="32"/>
      <c r="BVB230" s="32"/>
      <c r="BVC230" s="32"/>
      <c r="BVD230" s="32"/>
      <c r="BVE230" s="32"/>
      <c r="BVF230" s="31"/>
      <c r="BVG230" s="31"/>
      <c r="BVH230" s="33"/>
      <c r="BVI230" s="33"/>
      <c r="BVJ230" s="34"/>
      <c r="BVK230" s="34"/>
      <c r="BVL230" s="35"/>
      <c r="BVM230" s="35"/>
      <c r="BVN230" s="32"/>
      <c r="BVO230" s="31"/>
      <c r="BVP230" s="31"/>
      <c r="BVQ230" s="31"/>
      <c r="BVR230" s="32"/>
      <c r="BVS230" s="32"/>
      <c r="BVT230" s="32"/>
      <c r="BVU230" s="32"/>
      <c r="BVV230" s="32"/>
      <c r="BVW230" s="31"/>
      <c r="BVX230" s="31"/>
      <c r="BVY230" s="33"/>
      <c r="BVZ230" s="33"/>
      <c r="BWA230" s="34"/>
      <c r="BWB230" s="34"/>
      <c r="BWC230" s="35"/>
      <c r="BWD230" s="35"/>
      <c r="BWE230" s="32"/>
      <c r="BWF230" s="31"/>
      <c r="BWG230" s="31"/>
      <c r="BWH230" s="31"/>
      <c r="BWI230" s="32"/>
      <c r="BWJ230" s="32"/>
      <c r="BWK230" s="32"/>
      <c r="BWL230" s="32"/>
      <c r="BWM230" s="32"/>
      <c r="BWN230" s="31"/>
      <c r="BWO230" s="31"/>
      <c r="BWP230" s="33"/>
      <c r="BWQ230" s="33"/>
      <c r="BWR230" s="34"/>
      <c r="BWS230" s="34"/>
      <c r="BWT230" s="35"/>
      <c r="BWU230" s="35"/>
      <c r="BWV230" s="32"/>
      <c r="BWW230" s="31"/>
      <c r="BWX230" s="31"/>
      <c r="BWY230" s="31"/>
      <c r="BWZ230" s="32"/>
      <c r="BXA230" s="32"/>
      <c r="BXB230" s="32"/>
      <c r="BXC230" s="32"/>
      <c r="BXD230" s="32"/>
      <c r="BXE230" s="31"/>
      <c r="BXF230" s="31"/>
      <c r="BXG230" s="33"/>
      <c r="BXH230" s="33"/>
      <c r="BXI230" s="34"/>
      <c r="BXJ230" s="34"/>
      <c r="BXK230" s="35"/>
      <c r="BXL230" s="35"/>
      <c r="BXM230" s="32"/>
      <c r="BXN230" s="31"/>
      <c r="BXO230" s="31"/>
      <c r="BXP230" s="31"/>
      <c r="BXQ230" s="32"/>
      <c r="BXR230" s="32"/>
      <c r="BXS230" s="32"/>
      <c r="BXT230" s="32"/>
      <c r="BXU230" s="32"/>
      <c r="BXV230" s="31"/>
      <c r="BXW230" s="31"/>
      <c r="BXX230" s="33"/>
      <c r="BXY230" s="33"/>
      <c r="BXZ230" s="34"/>
      <c r="BYA230" s="34"/>
      <c r="BYB230" s="35"/>
      <c r="BYC230" s="35"/>
      <c r="BYD230" s="32"/>
      <c r="BYE230" s="31"/>
      <c r="BYF230" s="31"/>
      <c r="BYG230" s="31"/>
      <c r="BYH230" s="32"/>
      <c r="BYI230" s="32"/>
      <c r="BYJ230" s="32"/>
      <c r="BYK230" s="32"/>
      <c r="BYL230" s="32"/>
      <c r="BYM230" s="31"/>
      <c r="BYN230" s="31"/>
      <c r="BYO230" s="33"/>
      <c r="BYP230" s="33"/>
      <c r="BYQ230" s="34"/>
      <c r="BYR230" s="34"/>
      <c r="BYS230" s="35"/>
      <c r="BYT230" s="35"/>
      <c r="BYU230" s="32"/>
      <c r="BYV230" s="31"/>
      <c r="BYW230" s="31"/>
      <c r="BYX230" s="31"/>
      <c r="BYY230" s="32"/>
      <c r="BYZ230" s="32"/>
      <c r="BZA230" s="32"/>
      <c r="BZB230" s="32"/>
      <c r="BZC230" s="32"/>
      <c r="BZD230" s="31"/>
      <c r="BZE230" s="31"/>
      <c r="BZF230" s="33"/>
      <c r="BZG230" s="33"/>
      <c r="BZH230" s="34"/>
      <c r="BZI230" s="34"/>
      <c r="BZJ230" s="35"/>
      <c r="BZK230" s="35"/>
      <c r="BZL230" s="32"/>
      <c r="BZM230" s="31"/>
      <c r="BZN230" s="31"/>
      <c r="BZO230" s="31"/>
      <c r="BZP230" s="32"/>
      <c r="BZQ230" s="32"/>
      <c r="BZR230" s="32"/>
      <c r="BZS230" s="32"/>
      <c r="BZT230" s="32"/>
      <c r="BZU230" s="31"/>
      <c r="BZV230" s="31"/>
      <c r="BZW230" s="33"/>
      <c r="BZX230" s="33"/>
      <c r="BZY230" s="34"/>
      <c r="BZZ230" s="34"/>
      <c r="CAA230" s="35"/>
      <c r="CAB230" s="35"/>
      <c r="CAC230" s="32"/>
      <c r="CAD230" s="31"/>
      <c r="CAE230" s="31"/>
      <c r="CAF230" s="31"/>
      <c r="CAG230" s="32"/>
      <c r="CAH230" s="32"/>
      <c r="CAI230" s="32"/>
      <c r="CAJ230" s="32"/>
      <c r="CAK230" s="32"/>
      <c r="CAL230" s="31"/>
      <c r="CAM230" s="31"/>
      <c r="CAN230" s="33"/>
      <c r="CAO230" s="33"/>
      <c r="CAP230" s="34"/>
      <c r="CAQ230" s="34"/>
      <c r="CAR230" s="35"/>
      <c r="CAS230" s="35"/>
      <c r="CAT230" s="32"/>
      <c r="CAU230" s="31"/>
      <c r="CAV230" s="31"/>
      <c r="CAW230" s="31"/>
      <c r="CAX230" s="32"/>
      <c r="CAY230" s="32"/>
      <c r="CAZ230" s="32"/>
      <c r="CBA230" s="32"/>
      <c r="CBB230" s="32"/>
      <c r="CBC230" s="31"/>
      <c r="CBD230" s="31"/>
      <c r="CBE230" s="33"/>
      <c r="CBF230" s="33"/>
      <c r="CBG230" s="34"/>
      <c r="CBH230" s="34"/>
      <c r="CBI230" s="35"/>
      <c r="CBJ230" s="35"/>
      <c r="CBK230" s="32"/>
      <c r="CBL230" s="31"/>
      <c r="CBM230" s="31"/>
      <c r="CBN230" s="31"/>
      <c r="CBO230" s="32"/>
      <c r="CBP230" s="32"/>
      <c r="CBQ230" s="32"/>
      <c r="CBR230" s="32"/>
      <c r="CBS230" s="32"/>
      <c r="CBT230" s="31"/>
      <c r="CBU230" s="31"/>
      <c r="CBV230" s="33"/>
      <c r="CBW230" s="33"/>
      <c r="CBX230" s="34"/>
      <c r="CBY230" s="34"/>
      <c r="CBZ230" s="35"/>
      <c r="CCA230" s="35"/>
      <c r="CCB230" s="32"/>
      <c r="CCC230" s="31"/>
      <c r="CCD230" s="31"/>
      <c r="CCE230" s="31"/>
      <c r="CCF230" s="32"/>
      <c r="CCG230" s="32"/>
      <c r="CCH230" s="32"/>
      <c r="CCI230" s="32"/>
      <c r="CCJ230" s="32"/>
      <c r="CCK230" s="31"/>
      <c r="CCL230" s="31"/>
      <c r="CCM230" s="33"/>
      <c r="CCN230" s="33"/>
      <c r="CCO230" s="34"/>
      <c r="CCP230" s="34"/>
      <c r="CCQ230" s="35"/>
      <c r="CCR230" s="35"/>
      <c r="CCS230" s="32"/>
      <c r="CCT230" s="31"/>
      <c r="CCU230" s="31"/>
      <c r="CCV230" s="31"/>
      <c r="CCW230" s="32"/>
      <c r="CCX230" s="32"/>
      <c r="CCY230" s="32"/>
      <c r="CCZ230" s="32"/>
      <c r="CDA230" s="32"/>
      <c r="CDB230" s="31"/>
      <c r="CDC230" s="31"/>
      <c r="CDD230" s="33"/>
      <c r="CDE230" s="33"/>
      <c r="CDF230" s="34"/>
      <c r="CDG230" s="34"/>
      <c r="CDH230" s="35"/>
      <c r="CDI230" s="35"/>
      <c r="CDJ230" s="32"/>
      <c r="CDK230" s="31"/>
      <c r="CDL230" s="31"/>
      <c r="CDM230" s="31"/>
      <c r="CDN230" s="32"/>
      <c r="CDO230" s="32"/>
      <c r="CDP230" s="32"/>
      <c r="CDQ230" s="32"/>
      <c r="CDR230" s="32"/>
      <c r="CDS230" s="31"/>
      <c r="CDT230" s="31"/>
      <c r="CDU230" s="33"/>
      <c r="CDV230" s="33"/>
      <c r="CDW230" s="34"/>
      <c r="CDX230" s="34"/>
      <c r="CDY230" s="35"/>
      <c r="CDZ230" s="35"/>
      <c r="CEA230" s="32"/>
      <c r="CEB230" s="31"/>
      <c r="CEC230" s="31"/>
      <c r="CED230" s="31"/>
      <c r="CEE230" s="32"/>
      <c r="CEF230" s="32"/>
      <c r="CEG230" s="32"/>
      <c r="CEH230" s="32"/>
      <c r="CEI230" s="32"/>
      <c r="CEJ230" s="31"/>
      <c r="CEK230" s="31"/>
      <c r="CEL230" s="33"/>
      <c r="CEM230" s="33"/>
      <c r="CEN230" s="34"/>
      <c r="CEO230" s="34"/>
      <c r="CEP230" s="35"/>
      <c r="CEQ230" s="35"/>
      <c r="CER230" s="32"/>
      <c r="CES230" s="31"/>
      <c r="CET230" s="31"/>
      <c r="CEU230" s="31"/>
      <c r="CEV230" s="32"/>
      <c r="CEW230" s="32"/>
      <c r="CEX230" s="32"/>
      <c r="CEY230" s="32"/>
      <c r="CEZ230" s="32"/>
      <c r="CFA230" s="31"/>
      <c r="CFB230" s="31"/>
      <c r="CFC230" s="33"/>
      <c r="CFD230" s="33"/>
      <c r="CFE230" s="34"/>
      <c r="CFF230" s="34"/>
      <c r="CFG230" s="35"/>
      <c r="CFH230" s="35"/>
      <c r="CFI230" s="32"/>
      <c r="CFJ230" s="31"/>
      <c r="CFK230" s="31"/>
      <c r="CFL230" s="31"/>
      <c r="CFM230" s="32"/>
      <c r="CFN230" s="32"/>
      <c r="CFO230" s="32"/>
      <c r="CFP230" s="32"/>
      <c r="CFQ230" s="32"/>
      <c r="CFR230" s="31"/>
      <c r="CFS230" s="31"/>
      <c r="CFT230" s="33"/>
      <c r="CFU230" s="33"/>
      <c r="CFV230" s="34"/>
      <c r="CFW230" s="34"/>
      <c r="CFX230" s="35"/>
      <c r="CFY230" s="35"/>
      <c r="CFZ230" s="32"/>
      <c r="CGA230" s="31"/>
      <c r="CGB230" s="31"/>
      <c r="CGC230" s="31"/>
      <c r="CGD230" s="32"/>
      <c r="CGE230" s="32"/>
      <c r="CGF230" s="32"/>
      <c r="CGG230" s="32"/>
      <c r="CGH230" s="32"/>
      <c r="CGI230" s="31"/>
      <c r="CGJ230" s="31"/>
      <c r="CGK230" s="33"/>
      <c r="CGL230" s="33"/>
      <c r="CGM230" s="34"/>
      <c r="CGN230" s="34"/>
      <c r="CGO230" s="35"/>
      <c r="CGP230" s="35"/>
      <c r="CGQ230" s="32"/>
      <c r="CGR230" s="31"/>
      <c r="CGS230" s="31"/>
      <c r="CGT230" s="31"/>
      <c r="CGU230" s="32"/>
      <c r="CGV230" s="32"/>
      <c r="CGW230" s="32"/>
      <c r="CGX230" s="32"/>
      <c r="CGY230" s="32"/>
      <c r="CGZ230" s="31"/>
      <c r="CHA230" s="31"/>
      <c r="CHB230" s="33"/>
      <c r="CHC230" s="33"/>
      <c r="CHD230" s="34"/>
      <c r="CHE230" s="34"/>
      <c r="CHF230" s="35"/>
      <c r="CHG230" s="35"/>
      <c r="CHH230" s="32"/>
      <c r="CHI230" s="31"/>
      <c r="CHJ230" s="31"/>
      <c r="CHK230" s="31"/>
      <c r="CHL230" s="32"/>
      <c r="CHM230" s="32"/>
      <c r="CHN230" s="32"/>
      <c r="CHO230" s="32"/>
      <c r="CHP230" s="32"/>
      <c r="CHQ230" s="31"/>
      <c r="CHR230" s="31"/>
      <c r="CHS230" s="33"/>
      <c r="CHT230" s="33"/>
      <c r="CHU230" s="34"/>
      <c r="CHV230" s="34"/>
      <c r="CHW230" s="35"/>
      <c r="CHX230" s="35"/>
      <c r="CHY230" s="32"/>
      <c r="CHZ230" s="31"/>
      <c r="CIA230" s="31"/>
      <c r="CIB230" s="31"/>
      <c r="CIC230" s="32"/>
      <c r="CID230" s="32"/>
      <c r="CIE230" s="32"/>
      <c r="CIF230" s="32"/>
      <c r="CIG230" s="32"/>
      <c r="CIH230" s="31"/>
      <c r="CII230" s="31"/>
      <c r="CIJ230" s="33"/>
      <c r="CIK230" s="33"/>
      <c r="CIL230" s="34"/>
      <c r="CIM230" s="34"/>
      <c r="CIN230" s="35"/>
      <c r="CIO230" s="35"/>
      <c r="CIP230" s="32"/>
      <c r="CIQ230" s="31"/>
      <c r="CIR230" s="31"/>
      <c r="CIS230" s="31"/>
      <c r="CIT230" s="32"/>
      <c r="CIU230" s="32"/>
      <c r="CIV230" s="32"/>
      <c r="CIW230" s="32"/>
      <c r="CIX230" s="32"/>
      <c r="CIY230" s="31"/>
      <c r="CIZ230" s="31"/>
      <c r="CJA230" s="33"/>
      <c r="CJB230" s="33"/>
      <c r="CJC230" s="34"/>
      <c r="CJD230" s="34"/>
      <c r="CJE230" s="35"/>
      <c r="CJF230" s="35"/>
      <c r="CJG230" s="32"/>
      <c r="CJH230" s="31"/>
      <c r="CJI230" s="31"/>
      <c r="CJJ230" s="31"/>
      <c r="CJK230" s="32"/>
      <c r="CJL230" s="32"/>
      <c r="CJM230" s="32"/>
      <c r="CJN230" s="32"/>
      <c r="CJO230" s="32"/>
      <c r="CJP230" s="31"/>
      <c r="CJQ230" s="31"/>
      <c r="CJR230" s="33"/>
      <c r="CJS230" s="33"/>
      <c r="CJT230" s="34"/>
      <c r="CJU230" s="34"/>
      <c r="CJV230" s="35"/>
      <c r="CJW230" s="35"/>
      <c r="CJX230" s="32"/>
      <c r="CJY230" s="31"/>
      <c r="CJZ230" s="31"/>
      <c r="CKA230" s="31"/>
      <c r="CKB230" s="32"/>
      <c r="CKC230" s="32"/>
      <c r="CKD230" s="32"/>
      <c r="CKE230" s="32"/>
      <c r="CKF230" s="32"/>
      <c r="CKG230" s="31"/>
      <c r="CKH230" s="31"/>
      <c r="CKI230" s="33"/>
      <c r="CKJ230" s="33"/>
      <c r="CKK230" s="34"/>
      <c r="CKL230" s="34"/>
      <c r="CKM230" s="35"/>
      <c r="CKN230" s="35"/>
      <c r="CKO230" s="32"/>
      <c r="CKP230" s="31"/>
      <c r="CKQ230" s="31"/>
      <c r="CKR230" s="31"/>
      <c r="CKS230" s="32"/>
      <c r="CKT230" s="32"/>
      <c r="CKU230" s="32"/>
      <c r="CKV230" s="32"/>
      <c r="CKW230" s="32"/>
      <c r="CKX230" s="31"/>
      <c r="CKY230" s="31"/>
      <c r="CKZ230" s="33"/>
      <c r="CLA230" s="33"/>
      <c r="CLB230" s="34"/>
      <c r="CLC230" s="34"/>
      <c r="CLD230" s="35"/>
      <c r="CLE230" s="35"/>
      <c r="CLF230" s="32"/>
      <c r="CLG230" s="31"/>
      <c r="CLH230" s="31"/>
      <c r="CLI230" s="31"/>
      <c r="CLJ230" s="32"/>
      <c r="CLK230" s="32"/>
      <c r="CLL230" s="32"/>
      <c r="CLM230" s="32"/>
      <c r="CLN230" s="32"/>
      <c r="CLO230" s="31"/>
      <c r="CLP230" s="31"/>
      <c r="CLQ230" s="33"/>
      <c r="CLR230" s="33"/>
      <c r="CLS230" s="34"/>
      <c r="CLT230" s="34"/>
      <c r="CLU230" s="35"/>
      <c r="CLV230" s="35"/>
      <c r="CLW230" s="32"/>
      <c r="CLX230" s="31"/>
      <c r="CLY230" s="31"/>
      <c r="CLZ230" s="31"/>
      <c r="CMA230" s="32"/>
      <c r="CMB230" s="32"/>
      <c r="CMC230" s="32"/>
      <c r="CMD230" s="32"/>
      <c r="CME230" s="32"/>
      <c r="CMF230" s="31"/>
      <c r="CMG230" s="31"/>
      <c r="CMH230" s="33"/>
      <c r="CMI230" s="33"/>
      <c r="CMJ230" s="34"/>
      <c r="CMK230" s="34"/>
      <c r="CML230" s="35"/>
      <c r="CMM230" s="35"/>
      <c r="CMN230" s="32"/>
      <c r="CMO230" s="31"/>
      <c r="CMP230" s="31"/>
      <c r="CMQ230" s="31"/>
      <c r="CMR230" s="32"/>
      <c r="CMS230" s="32"/>
      <c r="CMT230" s="32"/>
      <c r="CMU230" s="32"/>
      <c r="CMV230" s="32"/>
      <c r="CMW230" s="31"/>
      <c r="CMX230" s="31"/>
      <c r="CMY230" s="33"/>
      <c r="CMZ230" s="33"/>
      <c r="CNA230" s="34"/>
      <c r="CNB230" s="34"/>
      <c r="CNC230" s="35"/>
      <c r="CND230" s="35"/>
      <c r="CNE230" s="32"/>
      <c r="CNF230" s="31"/>
      <c r="CNG230" s="31"/>
      <c r="CNH230" s="31"/>
      <c r="CNI230" s="32"/>
      <c r="CNJ230" s="32"/>
      <c r="CNK230" s="32"/>
      <c r="CNL230" s="32"/>
      <c r="CNM230" s="32"/>
      <c r="CNN230" s="31"/>
      <c r="CNO230" s="31"/>
      <c r="CNP230" s="33"/>
      <c r="CNQ230" s="33"/>
      <c r="CNR230" s="34"/>
      <c r="CNS230" s="34"/>
      <c r="CNT230" s="35"/>
      <c r="CNU230" s="35"/>
      <c r="CNV230" s="32"/>
      <c r="CNW230" s="31"/>
      <c r="CNX230" s="31"/>
      <c r="CNY230" s="31"/>
      <c r="CNZ230" s="32"/>
      <c r="COA230" s="32"/>
      <c r="COB230" s="32"/>
      <c r="COC230" s="32"/>
      <c r="COD230" s="32"/>
      <c r="COE230" s="31"/>
      <c r="COF230" s="31"/>
      <c r="COG230" s="33"/>
      <c r="COH230" s="33"/>
      <c r="COI230" s="34"/>
      <c r="COJ230" s="34"/>
      <c r="COK230" s="35"/>
      <c r="COL230" s="35"/>
      <c r="COM230" s="32"/>
      <c r="CON230" s="31"/>
      <c r="COO230" s="31"/>
      <c r="COP230" s="31"/>
      <c r="COQ230" s="32"/>
      <c r="COR230" s="32"/>
      <c r="COS230" s="32"/>
      <c r="COT230" s="32"/>
      <c r="COU230" s="32"/>
      <c r="COV230" s="31"/>
      <c r="COW230" s="31"/>
      <c r="COX230" s="33"/>
      <c r="COY230" s="33"/>
      <c r="COZ230" s="34"/>
      <c r="CPA230" s="34"/>
      <c r="CPB230" s="35"/>
      <c r="CPC230" s="35"/>
      <c r="CPD230" s="32"/>
      <c r="CPE230" s="31"/>
      <c r="CPF230" s="31"/>
      <c r="CPG230" s="31"/>
      <c r="CPH230" s="32"/>
      <c r="CPI230" s="32"/>
      <c r="CPJ230" s="32"/>
      <c r="CPK230" s="32"/>
      <c r="CPL230" s="32"/>
      <c r="CPM230" s="31"/>
      <c r="CPN230" s="31"/>
      <c r="CPO230" s="33"/>
      <c r="CPP230" s="33"/>
      <c r="CPQ230" s="34"/>
      <c r="CPR230" s="34"/>
      <c r="CPS230" s="35"/>
      <c r="CPT230" s="35"/>
      <c r="CPU230" s="32"/>
      <c r="CPV230" s="31"/>
      <c r="CPW230" s="31"/>
      <c r="CPX230" s="31"/>
      <c r="CPY230" s="32"/>
      <c r="CPZ230" s="32"/>
      <c r="CQA230" s="32"/>
      <c r="CQB230" s="32"/>
      <c r="CQC230" s="32"/>
      <c r="CQD230" s="31"/>
      <c r="CQE230" s="31"/>
      <c r="CQF230" s="33"/>
      <c r="CQG230" s="33"/>
      <c r="CQH230" s="34"/>
      <c r="CQI230" s="34"/>
      <c r="CQJ230" s="35"/>
      <c r="CQK230" s="35"/>
      <c r="CQL230" s="32"/>
      <c r="CQM230" s="31"/>
      <c r="CQN230" s="31"/>
      <c r="CQO230" s="31"/>
      <c r="CQP230" s="32"/>
      <c r="CQQ230" s="32"/>
      <c r="CQR230" s="32"/>
      <c r="CQS230" s="32"/>
      <c r="CQT230" s="32"/>
      <c r="CQU230" s="31"/>
      <c r="CQV230" s="31"/>
      <c r="CQW230" s="33"/>
      <c r="CQX230" s="33"/>
      <c r="CQY230" s="34"/>
      <c r="CQZ230" s="34"/>
      <c r="CRA230" s="35"/>
      <c r="CRB230" s="35"/>
      <c r="CRC230" s="32"/>
      <c r="CRD230" s="31"/>
      <c r="CRE230" s="31"/>
      <c r="CRF230" s="31"/>
      <c r="CRG230" s="32"/>
      <c r="CRH230" s="32"/>
      <c r="CRI230" s="32"/>
      <c r="CRJ230" s="32"/>
      <c r="CRK230" s="32"/>
      <c r="CRL230" s="31"/>
      <c r="CRM230" s="31"/>
      <c r="CRN230" s="33"/>
      <c r="CRO230" s="33"/>
      <c r="CRP230" s="34"/>
      <c r="CRQ230" s="34"/>
      <c r="CRR230" s="35"/>
      <c r="CRS230" s="35"/>
      <c r="CRT230" s="32"/>
      <c r="CRU230" s="31"/>
      <c r="CRV230" s="31"/>
      <c r="CRW230" s="31"/>
      <c r="CRX230" s="32"/>
      <c r="CRY230" s="32"/>
      <c r="CRZ230" s="32"/>
      <c r="CSA230" s="32"/>
      <c r="CSB230" s="32"/>
      <c r="CSC230" s="31"/>
      <c r="CSD230" s="31"/>
      <c r="CSE230" s="33"/>
      <c r="CSF230" s="33"/>
      <c r="CSG230" s="34"/>
      <c r="CSH230" s="34"/>
      <c r="CSI230" s="35"/>
      <c r="CSJ230" s="35"/>
      <c r="CSK230" s="32"/>
      <c r="CSL230" s="31"/>
      <c r="CSM230" s="31"/>
      <c r="CSN230" s="31"/>
      <c r="CSO230" s="32"/>
      <c r="CSP230" s="32"/>
      <c r="CSQ230" s="32"/>
      <c r="CSR230" s="32"/>
      <c r="CSS230" s="32"/>
      <c r="CST230" s="31"/>
      <c r="CSU230" s="31"/>
      <c r="CSV230" s="33"/>
      <c r="CSW230" s="33"/>
      <c r="CSX230" s="34"/>
      <c r="CSY230" s="34"/>
      <c r="CSZ230" s="35"/>
      <c r="CTA230" s="35"/>
      <c r="CTB230" s="32"/>
      <c r="CTC230" s="31"/>
      <c r="CTD230" s="31"/>
      <c r="CTE230" s="31"/>
      <c r="CTF230" s="32"/>
      <c r="CTG230" s="32"/>
      <c r="CTH230" s="32"/>
      <c r="CTI230" s="32"/>
      <c r="CTJ230" s="32"/>
      <c r="CTK230" s="31"/>
      <c r="CTL230" s="31"/>
      <c r="CTM230" s="33"/>
      <c r="CTN230" s="33"/>
      <c r="CTO230" s="34"/>
      <c r="CTP230" s="34"/>
      <c r="CTQ230" s="35"/>
      <c r="CTR230" s="35"/>
      <c r="CTS230" s="32"/>
      <c r="CTT230" s="31"/>
      <c r="CTU230" s="31"/>
      <c r="CTV230" s="31"/>
      <c r="CTW230" s="32"/>
      <c r="CTX230" s="32"/>
      <c r="CTY230" s="32"/>
      <c r="CTZ230" s="32"/>
      <c r="CUA230" s="32"/>
      <c r="CUB230" s="31"/>
      <c r="CUC230" s="31"/>
      <c r="CUD230" s="33"/>
      <c r="CUE230" s="33"/>
      <c r="CUF230" s="34"/>
      <c r="CUG230" s="34"/>
      <c r="CUH230" s="35"/>
      <c r="CUI230" s="35"/>
      <c r="CUJ230" s="32"/>
      <c r="CUK230" s="31"/>
      <c r="CUL230" s="31"/>
      <c r="CUM230" s="31"/>
      <c r="CUN230" s="32"/>
      <c r="CUO230" s="32"/>
      <c r="CUP230" s="32"/>
      <c r="CUQ230" s="32"/>
      <c r="CUR230" s="32"/>
      <c r="CUS230" s="31"/>
      <c r="CUT230" s="31"/>
      <c r="CUU230" s="33"/>
      <c r="CUV230" s="33"/>
      <c r="CUW230" s="34"/>
      <c r="CUX230" s="34"/>
      <c r="CUY230" s="35"/>
      <c r="CUZ230" s="35"/>
      <c r="CVA230" s="32"/>
      <c r="CVB230" s="31"/>
      <c r="CVC230" s="31"/>
      <c r="CVD230" s="31"/>
      <c r="CVE230" s="32"/>
      <c r="CVF230" s="32"/>
      <c r="CVG230" s="32"/>
      <c r="CVH230" s="32"/>
      <c r="CVI230" s="32"/>
      <c r="CVJ230" s="31"/>
      <c r="CVK230" s="31"/>
      <c r="CVL230" s="33"/>
      <c r="CVM230" s="33"/>
      <c r="CVN230" s="34"/>
      <c r="CVO230" s="34"/>
      <c r="CVP230" s="35"/>
      <c r="CVQ230" s="35"/>
      <c r="CVR230" s="32"/>
      <c r="CVS230" s="31"/>
      <c r="CVT230" s="31"/>
      <c r="CVU230" s="31"/>
      <c r="CVV230" s="32"/>
      <c r="CVW230" s="32"/>
      <c r="CVX230" s="32"/>
      <c r="CVY230" s="32"/>
      <c r="CVZ230" s="32"/>
      <c r="CWA230" s="31"/>
      <c r="CWB230" s="31"/>
      <c r="CWC230" s="33"/>
      <c r="CWD230" s="33"/>
      <c r="CWE230" s="34"/>
      <c r="CWF230" s="34"/>
      <c r="CWG230" s="35"/>
      <c r="CWH230" s="35"/>
      <c r="CWI230" s="32"/>
      <c r="CWJ230" s="31"/>
      <c r="CWK230" s="31"/>
      <c r="CWL230" s="31"/>
      <c r="CWM230" s="32"/>
      <c r="CWN230" s="32"/>
      <c r="CWO230" s="32"/>
      <c r="CWP230" s="32"/>
      <c r="CWQ230" s="32"/>
      <c r="CWR230" s="31"/>
      <c r="CWS230" s="31"/>
      <c r="CWT230" s="33"/>
      <c r="CWU230" s="33"/>
      <c r="CWV230" s="34"/>
      <c r="CWW230" s="34"/>
      <c r="CWX230" s="35"/>
      <c r="CWY230" s="35"/>
      <c r="CWZ230" s="32"/>
      <c r="CXA230" s="31"/>
      <c r="CXB230" s="31"/>
      <c r="CXC230" s="31"/>
      <c r="CXD230" s="32"/>
      <c r="CXE230" s="32"/>
      <c r="CXF230" s="32"/>
      <c r="CXG230" s="32"/>
      <c r="CXH230" s="32"/>
      <c r="CXI230" s="31"/>
      <c r="CXJ230" s="31"/>
      <c r="CXK230" s="33"/>
      <c r="CXL230" s="33"/>
      <c r="CXM230" s="34"/>
      <c r="CXN230" s="34"/>
      <c r="CXO230" s="35"/>
      <c r="CXP230" s="35"/>
      <c r="CXQ230" s="32"/>
      <c r="CXR230" s="31"/>
      <c r="CXS230" s="31"/>
      <c r="CXT230" s="31"/>
      <c r="CXU230" s="32"/>
      <c r="CXV230" s="32"/>
      <c r="CXW230" s="32"/>
      <c r="CXX230" s="32"/>
      <c r="CXY230" s="32"/>
      <c r="CXZ230" s="31"/>
      <c r="CYA230" s="31"/>
      <c r="CYB230" s="33"/>
      <c r="CYC230" s="33"/>
      <c r="CYD230" s="34"/>
      <c r="CYE230" s="34"/>
      <c r="CYF230" s="35"/>
      <c r="CYG230" s="35"/>
      <c r="CYH230" s="32"/>
      <c r="CYI230" s="31"/>
      <c r="CYJ230" s="31"/>
      <c r="CYK230" s="31"/>
      <c r="CYL230" s="32"/>
      <c r="CYM230" s="32"/>
      <c r="CYN230" s="32"/>
      <c r="CYO230" s="32"/>
      <c r="CYP230" s="32"/>
      <c r="CYQ230" s="31"/>
      <c r="CYR230" s="31"/>
      <c r="CYS230" s="33"/>
      <c r="CYT230" s="33"/>
      <c r="CYU230" s="34"/>
      <c r="CYV230" s="34"/>
      <c r="CYW230" s="35"/>
      <c r="CYX230" s="35"/>
      <c r="CYY230" s="32"/>
      <c r="CYZ230" s="31"/>
      <c r="CZA230" s="31"/>
      <c r="CZB230" s="31"/>
      <c r="CZC230" s="32"/>
      <c r="CZD230" s="32"/>
      <c r="CZE230" s="32"/>
      <c r="CZF230" s="32"/>
      <c r="CZG230" s="32"/>
      <c r="CZH230" s="31"/>
      <c r="CZI230" s="31"/>
      <c r="CZJ230" s="33"/>
      <c r="CZK230" s="33"/>
      <c r="CZL230" s="34"/>
      <c r="CZM230" s="34"/>
      <c r="CZN230" s="35"/>
      <c r="CZO230" s="35"/>
      <c r="CZP230" s="32"/>
      <c r="CZQ230" s="31"/>
      <c r="CZR230" s="31"/>
      <c r="CZS230" s="31"/>
      <c r="CZT230" s="32"/>
      <c r="CZU230" s="32"/>
      <c r="CZV230" s="32"/>
      <c r="CZW230" s="32"/>
      <c r="CZX230" s="32"/>
      <c r="CZY230" s="31"/>
      <c r="CZZ230" s="31"/>
      <c r="DAA230" s="33"/>
      <c r="DAB230" s="33"/>
      <c r="DAC230" s="34"/>
      <c r="DAD230" s="34"/>
      <c r="DAE230" s="35"/>
      <c r="DAF230" s="35"/>
      <c r="DAG230" s="32"/>
      <c r="DAH230" s="31"/>
      <c r="DAI230" s="31"/>
      <c r="DAJ230" s="31"/>
      <c r="DAK230" s="32"/>
      <c r="DAL230" s="32"/>
      <c r="DAM230" s="32"/>
      <c r="DAN230" s="32"/>
      <c r="DAO230" s="32"/>
      <c r="DAP230" s="31"/>
      <c r="DAQ230" s="31"/>
      <c r="DAR230" s="33"/>
      <c r="DAS230" s="33"/>
      <c r="DAT230" s="34"/>
      <c r="DAU230" s="34"/>
      <c r="DAV230" s="35"/>
      <c r="DAW230" s="35"/>
      <c r="DAX230" s="32"/>
      <c r="DAY230" s="31"/>
      <c r="DAZ230" s="31"/>
      <c r="DBA230" s="31"/>
      <c r="DBB230" s="32"/>
      <c r="DBC230" s="32"/>
      <c r="DBD230" s="32"/>
      <c r="DBE230" s="32"/>
      <c r="DBF230" s="32"/>
      <c r="DBG230" s="31"/>
      <c r="DBH230" s="31"/>
      <c r="DBI230" s="33"/>
      <c r="DBJ230" s="33"/>
      <c r="DBK230" s="34"/>
      <c r="DBL230" s="34"/>
      <c r="DBM230" s="35"/>
      <c r="DBN230" s="35"/>
      <c r="DBO230" s="32"/>
      <c r="DBP230" s="31"/>
      <c r="DBQ230" s="31"/>
      <c r="DBR230" s="31"/>
      <c r="DBS230" s="32"/>
      <c r="DBT230" s="32"/>
      <c r="DBU230" s="32"/>
      <c r="DBV230" s="32"/>
      <c r="DBW230" s="32"/>
      <c r="DBX230" s="31"/>
      <c r="DBY230" s="31"/>
      <c r="DBZ230" s="33"/>
      <c r="DCA230" s="33"/>
      <c r="DCB230" s="34"/>
      <c r="DCC230" s="34"/>
      <c r="DCD230" s="35"/>
      <c r="DCE230" s="35"/>
      <c r="DCF230" s="32"/>
      <c r="DCG230" s="31"/>
      <c r="DCH230" s="31"/>
      <c r="DCI230" s="31"/>
      <c r="DCJ230" s="32"/>
      <c r="DCK230" s="32"/>
      <c r="DCL230" s="32"/>
      <c r="DCM230" s="32"/>
      <c r="DCN230" s="32"/>
      <c r="DCO230" s="31"/>
      <c r="DCP230" s="31"/>
      <c r="DCQ230" s="33"/>
      <c r="DCR230" s="33"/>
      <c r="DCS230" s="34"/>
      <c r="DCT230" s="34"/>
      <c r="DCU230" s="35"/>
      <c r="DCV230" s="35"/>
      <c r="DCW230" s="32"/>
      <c r="DCX230" s="31"/>
      <c r="DCY230" s="31"/>
      <c r="DCZ230" s="31"/>
      <c r="DDA230" s="32"/>
      <c r="DDB230" s="32"/>
      <c r="DDC230" s="32"/>
      <c r="DDD230" s="32"/>
      <c r="DDE230" s="32"/>
      <c r="DDF230" s="31"/>
      <c r="DDG230" s="31"/>
      <c r="DDH230" s="33"/>
      <c r="DDI230" s="33"/>
      <c r="DDJ230" s="34"/>
      <c r="DDK230" s="34"/>
      <c r="DDL230" s="35"/>
      <c r="DDM230" s="35"/>
      <c r="DDN230" s="32"/>
      <c r="DDO230" s="31"/>
      <c r="DDP230" s="31"/>
      <c r="DDQ230" s="31"/>
      <c r="DDR230" s="32"/>
      <c r="DDS230" s="32"/>
      <c r="DDT230" s="32"/>
      <c r="DDU230" s="32"/>
      <c r="DDV230" s="32"/>
      <c r="DDW230" s="31"/>
      <c r="DDX230" s="31"/>
      <c r="DDY230" s="33"/>
      <c r="DDZ230" s="33"/>
      <c r="DEA230" s="34"/>
      <c r="DEB230" s="34"/>
      <c r="DEC230" s="35"/>
      <c r="DED230" s="35"/>
      <c r="DEE230" s="32"/>
      <c r="DEF230" s="31"/>
      <c r="DEG230" s="31"/>
      <c r="DEH230" s="31"/>
      <c r="DEI230" s="32"/>
      <c r="DEJ230" s="32"/>
      <c r="DEK230" s="32"/>
      <c r="DEL230" s="32"/>
      <c r="DEM230" s="32"/>
      <c r="DEN230" s="31"/>
      <c r="DEO230" s="31"/>
      <c r="DEP230" s="33"/>
      <c r="DEQ230" s="33"/>
      <c r="DER230" s="34"/>
      <c r="DES230" s="34"/>
      <c r="DET230" s="35"/>
      <c r="DEU230" s="35"/>
      <c r="DEV230" s="32"/>
      <c r="DEW230" s="31"/>
      <c r="DEX230" s="31"/>
      <c r="DEY230" s="31"/>
      <c r="DEZ230" s="32"/>
      <c r="DFA230" s="32"/>
      <c r="DFB230" s="32"/>
      <c r="DFC230" s="32"/>
      <c r="DFD230" s="32"/>
      <c r="DFE230" s="31"/>
      <c r="DFF230" s="31"/>
      <c r="DFG230" s="33"/>
      <c r="DFH230" s="33"/>
      <c r="DFI230" s="34"/>
      <c r="DFJ230" s="34"/>
      <c r="DFK230" s="35"/>
      <c r="DFL230" s="35"/>
      <c r="DFM230" s="32"/>
      <c r="DFN230" s="31"/>
      <c r="DFO230" s="31"/>
      <c r="DFP230" s="31"/>
      <c r="DFQ230" s="32"/>
      <c r="DFR230" s="32"/>
      <c r="DFS230" s="32"/>
      <c r="DFT230" s="32"/>
      <c r="DFU230" s="32"/>
      <c r="DFV230" s="31"/>
      <c r="DFW230" s="31"/>
      <c r="DFX230" s="33"/>
      <c r="DFY230" s="33"/>
      <c r="DFZ230" s="34"/>
      <c r="DGA230" s="34"/>
      <c r="DGB230" s="35"/>
      <c r="DGC230" s="35"/>
      <c r="DGD230" s="32"/>
      <c r="DGE230" s="31"/>
      <c r="DGF230" s="31"/>
      <c r="DGG230" s="31"/>
      <c r="DGH230" s="32"/>
      <c r="DGI230" s="32"/>
      <c r="DGJ230" s="32"/>
      <c r="DGK230" s="32"/>
      <c r="DGL230" s="32"/>
      <c r="DGM230" s="31"/>
      <c r="DGN230" s="31"/>
      <c r="DGO230" s="33"/>
      <c r="DGP230" s="33"/>
      <c r="DGQ230" s="34"/>
      <c r="DGR230" s="34"/>
      <c r="DGS230" s="35"/>
      <c r="DGT230" s="35"/>
      <c r="DGU230" s="32"/>
      <c r="DGV230" s="31"/>
      <c r="DGW230" s="31"/>
      <c r="DGX230" s="31"/>
      <c r="DGY230" s="32"/>
      <c r="DGZ230" s="32"/>
      <c r="DHA230" s="32"/>
      <c r="DHB230" s="32"/>
      <c r="DHC230" s="32"/>
      <c r="DHD230" s="31"/>
      <c r="DHE230" s="31"/>
      <c r="DHF230" s="33"/>
      <c r="DHG230" s="33"/>
      <c r="DHH230" s="34"/>
      <c r="DHI230" s="34"/>
      <c r="DHJ230" s="35"/>
      <c r="DHK230" s="35"/>
      <c r="DHL230" s="32"/>
      <c r="DHM230" s="31"/>
      <c r="DHN230" s="31"/>
      <c r="DHO230" s="31"/>
      <c r="DHP230" s="32"/>
      <c r="DHQ230" s="32"/>
      <c r="DHR230" s="32"/>
      <c r="DHS230" s="32"/>
      <c r="DHT230" s="32"/>
      <c r="DHU230" s="31"/>
      <c r="DHV230" s="31"/>
      <c r="DHW230" s="33"/>
      <c r="DHX230" s="33"/>
      <c r="DHY230" s="34"/>
      <c r="DHZ230" s="34"/>
      <c r="DIA230" s="35"/>
      <c r="DIB230" s="35"/>
      <c r="DIC230" s="32"/>
      <c r="DID230" s="31"/>
      <c r="DIE230" s="31"/>
      <c r="DIF230" s="31"/>
      <c r="DIG230" s="32"/>
      <c r="DIH230" s="32"/>
      <c r="DII230" s="32"/>
      <c r="DIJ230" s="32"/>
      <c r="DIK230" s="32"/>
      <c r="DIL230" s="31"/>
      <c r="DIM230" s="31"/>
      <c r="DIN230" s="33"/>
      <c r="DIO230" s="33"/>
      <c r="DIP230" s="34"/>
      <c r="DIQ230" s="34"/>
      <c r="DIR230" s="35"/>
      <c r="DIS230" s="35"/>
      <c r="DIT230" s="32"/>
      <c r="DIU230" s="31"/>
      <c r="DIV230" s="31"/>
      <c r="DIW230" s="31"/>
      <c r="DIX230" s="32"/>
      <c r="DIY230" s="32"/>
      <c r="DIZ230" s="32"/>
      <c r="DJA230" s="32"/>
      <c r="DJB230" s="32"/>
      <c r="DJC230" s="31"/>
      <c r="DJD230" s="31"/>
      <c r="DJE230" s="33"/>
      <c r="DJF230" s="33"/>
      <c r="DJG230" s="34"/>
      <c r="DJH230" s="34"/>
      <c r="DJI230" s="35"/>
      <c r="DJJ230" s="35"/>
      <c r="DJK230" s="32"/>
      <c r="DJL230" s="31"/>
      <c r="DJM230" s="31"/>
      <c r="DJN230" s="31"/>
      <c r="DJO230" s="32"/>
      <c r="DJP230" s="32"/>
      <c r="DJQ230" s="32"/>
      <c r="DJR230" s="32"/>
      <c r="DJS230" s="32"/>
      <c r="DJT230" s="31"/>
      <c r="DJU230" s="31"/>
      <c r="DJV230" s="33"/>
      <c r="DJW230" s="33"/>
      <c r="DJX230" s="34"/>
      <c r="DJY230" s="34"/>
      <c r="DJZ230" s="35"/>
      <c r="DKA230" s="35"/>
      <c r="DKB230" s="32"/>
      <c r="DKC230" s="31"/>
      <c r="DKD230" s="31"/>
      <c r="DKE230" s="31"/>
      <c r="DKF230" s="32"/>
      <c r="DKG230" s="32"/>
      <c r="DKH230" s="32"/>
      <c r="DKI230" s="32"/>
      <c r="DKJ230" s="32"/>
      <c r="DKK230" s="31"/>
      <c r="DKL230" s="31"/>
      <c r="DKM230" s="33"/>
      <c r="DKN230" s="33"/>
      <c r="DKO230" s="34"/>
      <c r="DKP230" s="34"/>
      <c r="DKQ230" s="35"/>
      <c r="DKR230" s="35"/>
      <c r="DKS230" s="32"/>
      <c r="DKT230" s="31"/>
      <c r="DKU230" s="31"/>
      <c r="DKV230" s="31"/>
      <c r="DKW230" s="32"/>
      <c r="DKX230" s="32"/>
      <c r="DKY230" s="32"/>
      <c r="DKZ230" s="32"/>
      <c r="DLA230" s="32"/>
      <c r="DLB230" s="31"/>
      <c r="DLC230" s="31"/>
      <c r="DLD230" s="33"/>
      <c r="DLE230" s="33"/>
      <c r="DLF230" s="34"/>
      <c r="DLG230" s="34"/>
      <c r="DLH230" s="35"/>
      <c r="DLI230" s="35"/>
      <c r="DLJ230" s="32"/>
      <c r="DLK230" s="31"/>
      <c r="DLL230" s="31"/>
      <c r="DLM230" s="31"/>
      <c r="DLN230" s="32"/>
      <c r="DLO230" s="32"/>
      <c r="DLP230" s="32"/>
      <c r="DLQ230" s="32"/>
      <c r="DLR230" s="32"/>
      <c r="DLS230" s="31"/>
      <c r="DLT230" s="31"/>
      <c r="DLU230" s="33"/>
      <c r="DLV230" s="33"/>
      <c r="DLW230" s="34"/>
      <c r="DLX230" s="34"/>
      <c r="DLY230" s="35"/>
      <c r="DLZ230" s="35"/>
      <c r="DMA230" s="32"/>
      <c r="DMB230" s="31"/>
      <c r="DMC230" s="31"/>
      <c r="DMD230" s="31"/>
      <c r="DME230" s="32"/>
      <c r="DMF230" s="32"/>
      <c r="DMG230" s="32"/>
      <c r="DMH230" s="32"/>
      <c r="DMI230" s="32"/>
      <c r="DMJ230" s="31"/>
      <c r="DMK230" s="31"/>
      <c r="DML230" s="33"/>
      <c r="DMM230" s="33"/>
      <c r="DMN230" s="34"/>
      <c r="DMO230" s="34"/>
      <c r="DMP230" s="35"/>
      <c r="DMQ230" s="35"/>
      <c r="DMR230" s="32"/>
      <c r="DMS230" s="31"/>
      <c r="DMT230" s="31"/>
      <c r="DMU230" s="31"/>
      <c r="DMV230" s="32"/>
      <c r="DMW230" s="32"/>
      <c r="DMX230" s="32"/>
      <c r="DMY230" s="32"/>
      <c r="DMZ230" s="32"/>
      <c r="DNA230" s="31"/>
      <c r="DNB230" s="31"/>
      <c r="DNC230" s="33"/>
      <c r="DND230" s="33"/>
      <c r="DNE230" s="34"/>
      <c r="DNF230" s="34"/>
      <c r="DNG230" s="35"/>
      <c r="DNH230" s="35"/>
      <c r="DNI230" s="32"/>
      <c r="DNJ230" s="31"/>
      <c r="DNK230" s="31"/>
      <c r="DNL230" s="31"/>
      <c r="DNM230" s="32"/>
      <c r="DNN230" s="32"/>
      <c r="DNO230" s="32"/>
      <c r="DNP230" s="32"/>
      <c r="DNQ230" s="32"/>
      <c r="DNR230" s="31"/>
      <c r="DNS230" s="31"/>
      <c r="DNT230" s="33"/>
      <c r="DNU230" s="33"/>
      <c r="DNV230" s="34"/>
      <c r="DNW230" s="34"/>
      <c r="DNX230" s="35"/>
      <c r="DNY230" s="35"/>
      <c r="DNZ230" s="32"/>
      <c r="DOA230" s="31"/>
      <c r="DOB230" s="31"/>
      <c r="DOC230" s="31"/>
      <c r="DOD230" s="32"/>
      <c r="DOE230" s="32"/>
      <c r="DOF230" s="32"/>
      <c r="DOG230" s="32"/>
      <c r="DOH230" s="32"/>
      <c r="DOI230" s="31"/>
      <c r="DOJ230" s="31"/>
      <c r="DOK230" s="33"/>
      <c r="DOL230" s="33"/>
      <c r="DOM230" s="34"/>
      <c r="DON230" s="34"/>
      <c r="DOO230" s="35"/>
      <c r="DOP230" s="35"/>
      <c r="DOQ230" s="32"/>
      <c r="DOR230" s="31"/>
      <c r="DOS230" s="31"/>
      <c r="DOT230" s="31"/>
      <c r="DOU230" s="32"/>
      <c r="DOV230" s="32"/>
      <c r="DOW230" s="32"/>
      <c r="DOX230" s="32"/>
      <c r="DOY230" s="32"/>
      <c r="DOZ230" s="31"/>
      <c r="DPA230" s="31"/>
      <c r="DPB230" s="33"/>
      <c r="DPC230" s="33"/>
      <c r="DPD230" s="34"/>
      <c r="DPE230" s="34"/>
      <c r="DPF230" s="35"/>
      <c r="DPG230" s="35"/>
      <c r="DPH230" s="32"/>
      <c r="DPI230" s="31"/>
      <c r="DPJ230" s="31"/>
      <c r="DPK230" s="31"/>
      <c r="DPL230" s="32"/>
      <c r="DPM230" s="32"/>
      <c r="DPN230" s="32"/>
      <c r="DPO230" s="32"/>
      <c r="DPP230" s="32"/>
      <c r="DPQ230" s="31"/>
      <c r="DPR230" s="31"/>
      <c r="DPS230" s="33"/>
      <c r="DPT230" s="33"/>
      <c r="DPU230" s="34"/>
      <c r="DPV230" s="34"/>
      <c r="DPW230" s="35"/>
      <c r="DPX230" s="35"/>
      <c r="DPY230" s="32"/>
      <c r="DPZ230" s="31"/>
      <c r="DQA230" s="31"/>
      <c r="DQB230" s="31"/>
      <c r="DQC230" s="32"/>
      <c r="DQD230" s="32"/>
      <c r="DQE230" s="32"/>
      <c r="DQF230" s="32"/>
      <c r="DQG230" s="32"/>
      <c r="DQH230" s="31"/>
      <c r="DQI230" s="31"/>
      <c r="DQJ230" s="33"/>
      <c r="DQK230" s="33"/>
      <c r="DQL230" s="34"/>
      <c r="DQM230" s="34"/>
      <c r="DQN230" s="35"/>
      <c r="DQO230" s="35"/>
      <c r="DQP230" s="32"/>
      <c r="DQQ230" s="31"/>
      <c r="DQR230" s="31"/>
      <c r="DQS230" s="31"/>
      <c r="DQT230" s="32"/>
      <c r="DQU230" s="32"/>
      <c r="DQV230" s="32"/>
      <c r="DQW230" s="32"/>
      <c r="DQX230" s="32"/>
      <c r="DQY230" s="31"/>
      <c r="DQZ230" s="31"/>
      <c r="DRA230" s="33"/>
      <c r="DRB230" s="33"/>
      <c r="DRC230" s="34"/>
      <c r="DRD230" s="34"/>
      <c r="DRE230" s="35"/>
      <c r="DRF230" s="35"/>
      <c r="DRG230" s="32"/>
      <c r="DRH230" s="31"/>
      <c r="DRI230" s="31"/>
      <c r="DRJ230" s="31"/>
      <c r="DRK230" s="32"/>
      <c r="DRL230" s="32"/>
      <c r="DRM230" s="32"/>
      <c r="DRN230" s="32"/>
      <c r="DRO230" s="32"/>
      <c r="DRP230" s="31"/>
      <c r="DRQ230" s="31"/>
      <c r="DRR230" s="33"/>
      <c r="DRS230" s="33"/>
      <c r="DRT230" s="34"/>
      <c r="DRU230" s="34"/>
      <c r="DRV230" s="35"/>
      <c r="DRW230" s="35"/>
      <c r="DRX230" s="32"/>
      <c r="DRY230" s="31"/>
      <c r="DRZ230" s="31"/>
      <c r="DSA230" s="31"/>
      <c r="DSB230" s="32"/>
      <c r="DSC230" s="32"/>
      <c r="DSD230" s="32"/>
      <c r="DSE230" s="32"/>
      <c r="DSF230" s="32"/>
      <c r="DSG230" s="31"/>
      <c r="DSH230" s="31"/>
      <c r="DSI230" s="33"/>
      <c r="DSJ230" s="33"/>
      <c r="DSK230" s="34"/>
      <c r="DSL230" s="34"/>
      <c r="DSM230" s="35"/>
      <c r="DSN230" s="35"/>
      <c r="DSO230" s="32"/>
      <c r="DSP230" s="31"/>
      <c r="DSQ230" s="31"/>
      <c r="DSR230" s="31"/>
      <c r="DSS230" s="32"/>
      <c r="DST230" s="32"/>
      <c r="DSU230" s="32"/>
      <c r="DSV230" s="32"/>
      <c r="DSW230" s="32"/>
      <c r="DSX230" s="31"/>
      <c r="DSY230" s="31"/>
      <c r="DSZ230" s="33"/>
      <c r="DTA230" s="33"/>
      <c r="DTB230" s="34"/>
      <c r="DTC230" s="34"/>
      <c r="DTD230" s="35"/>
      <c r="DTE230" s="35"/>
      <c r="DTF230" s="32"/>
      <c r="DTG230" s="31"/>
      <c r="DTH230" s="31"/>
      <c r="DTI230" s="31"/>
      <c r="DTJ230" s="32"/>
      <c r="DTK230" s="32"/>
      <c r="DTL230" s="32"/>
      <c r="DTM230" s="32"/>
      <c r="DTN230" s="32"/>
      <c r="DTO230" s="31"/>
      <c r="DTP230" s="31"/>
      <c r="DTQ230" s="33"/>
      <c r="DTR230" s="33"/>
      <c r="DTS230" s="34"/>
      <c r="DTT230" s="34"/>
      <c r="DTU230" s="35"/>
      <c r="DTV230" s="35"/>
      <c r="DTW230" s="32"/>
      <c r="DTX230" s="31"/>
      <c r="DTY230" s="31"/>
      <c r="DTZ230" s="31"/>
      <c r="DUA230" s="32"/>
      <c r="DUB230" s="32"/>
      <c r="DUC230" s="32"/>
      <c r="DUD230" s="32"/>
      <c r="DUE230" s="32"/>
      <c r="DUF230" s="31"/>
      <c r="DUG230" s="31"/>
      <c r="DUH230" s="33"/>
      <c r="DUI230" s="33"/>
      <c r="DUJ230" s="34"/>
      <c r="DUK230" s="34"/>
      <c r="DUL230" s="35"/>
      <c r="DUM230" s="35"/>
      <c r="DUN230" s="32"/>
      <c r="DUO230" s="31"/>
      <c r="DUP230" s="31"/>
      <c r="DUQ230" s="31"/>
      <c r="DUR230" s="32"/>
      <c r="DUS230" s="32"/>
      <c r="DUT230" s="32"/>
      <c r="DUU230" s="32"/>
      <c r="DUV230" s="32"/>
      <c r="DUW230" s="31"/>
      <c r="DUX230" s="31"/>
      <c r="DUY230" s="33"/>
      <c r="DUZ230" s="33"/>
      <c r="DVA230" s="34"/>
      <c r="DVB230" s="34"/>
      <c r="DVC230" s="35"/>
      <c r="DVD230" s="35"/>
      <c r="DVE230" s="32"/>
      <c r="DVF230" s="31"/>
      <c r="DVG230" s="31"/>
      <c r="DVH230" s="31"/>
      <c r="DVI230" s="32"/>
      <c r="DVJ230" s="32"/>
      <c r="DVK230" s="32"/>
      <c r="DVL230" s="32"/>
      <c r="DVM230" s="32"/>
      <c r="DVN230" s="31"/>
      <c r="DVO230" s="31"/>
      <c r="DVP230" s="33"/>
      <c r="DVQ230" s="33"/>
      <c r="DVR230" s="34"/>
      <c r="DVS230" s="34"/>
      <c r="DVT230" s="35"/>
      <c r="DVU230" s="35"/>
      <c r="DVV230" s="32"/>
      <c r="DVW230" s="31"/>
      <c r="DVX230" s="31"/>
      <c r="DVY230" s="31"/>
      <c r="DVZ230" s="32"/>
      <c r="DWA230" s="32"/>
      <c r="DWB230" s="32"/>
      <c r="DWC230" s="32"/>
      <c r="DWD230" s="32"/>
      <c r="DWE230" s="31"/>
      <c r="DWF230" s="31"/>
      <c r="DWG230" s="33"/>
      <c r="DWH230" s="33"/>
      <c r="DWI230" s="34"/>
      <c r="DWJ230" s="34"/>
      <c r="DWK230" s="35"/>
      <c r="DWL230" s="35"/>
      <c r="DWM230" s="32"/>
      <c r="DWN230" s="31"/>
      <c r="DWO230" s="31"/>
      <c r="DWP230" s="31"/>
      <c r="DWQ230" s="32"/>
      <c r="DWR230" s="32"/>
      <c r="DWS230" s="32"/>
      <c r="DWT230" s="32"/>
      <c r="DWU230" s="32"/>
      <c r="DWV230" s="31"/>
      <c r="DWW230" s="31"/>
      <c r="DWX230" s="33"/>
      <c r="DWY230" s="33"/>
      <c r="DWZ230" s="34"/>
      <c r="DXA230" s="34"/>
      <c r="DXB230" s="35"/>
      <c r="DXC230" s="35"/>
      <c r="DXD230" s="32"/>
      <c r="DXE230" s="31"/>
      <c r="DXF230" s="31"/>
      <c r="DXG230" s="31"/>
      <c r="DXH230" s="32"/>
      <c r="DXI230" s="32"/>
      <c r="DXJ230" s="32"/>
      <c r="DXK230" s="32"/>
      <c r="DXL230" s="32"/>
      <c r="DXM230" s="31"/>
      <c r="DXN230" s="31"/>
      <c r="DXO230" s="33"/>
      <c r="DXP230" s="33"/>
      <c r="DXQ230" s="34"/>
      <c r="DXR230" s="34"/>
      <c r="DXS230" s="35"/>
      <c r="DXT230" s="35"/>
      <c r="DXU230" s="32"/>
      <c r="DXV230" s="31"/>
      <c r="DXW230" s="31"/>
      <c r="DXX230" s="31"/>
      <c r="DXY230" s="32"/>
      <c r="DXZ230" s="32"/>
      <c r="DYA230" s="32"/>
      <c r="DYB230" s="32"/>
      <c r="DYC230" s="32"/>
      <c r="DYD230" s="31"/>
      <c r="DYE230" s="31"/>
      <c r="DYF230" s="33"/>
      <c r="DYG230" s="33"/>
      <c r="DYH230" s="34"/>
      <c r="DYI230" s="34"/>
      <c r="DYJ230" s="35"/>
      <c r="DYK230" s="35"/>
      <c r="DYL230" s="32"/>
      <c r="DYM230" s="31"/>
      <c r="DYN230" s="31"/>
      <c r="DYO230" s="31"/>
      <c r="DYP230" s="32"/>
      <c r="DYQ230" s="32"/>
      <c r="DYR230" s="32"/>
      <c r="DYS230" s="32"/>
      <c r="DYT230" s="32"/>
      <c r="DYU230" s="31"/>
      <c r="DYV230" s="31"/>
      <c r="DYW230" s="33"/>
      <c r="DYX230" s="33"/>
      <c r="DYY230" s="34"/>
      <c r="DYZ230" s="34"/>
      <c r="DZA230" s="35"/>
      <c r="DZB230" s="35"/>
      <c r="DZC230" s="32"/>
      <c r="DZD230" s="31"/>
      <c r="DZE230" s="31"/>
      <c r="DZF230" s="31"/>
      <c r="DZG230" s="32"/>
      <c r="DZH230" s="32"/>
      <c r="DZI230" s="32"/>
      <c r="DZJ230" s="32"/>
      <c r="DZK230" s="32"/>
      <c r="DZL230" s="31"/>
      <c r="DZM230" s="31"/>
      <c r="DZN230" s="33"/>
      <c r="DZO230" s="33"/>
      <c r="DZP230" s="34"/>
      <c r="DZQ230" s="34"/>
      <c r="DZR230" s="35"/>
      <c r="DZS230" s="35"/>
      <c r="DZT230" s="32"/>
      <c r="DZU230" s="31"/>
      <c r="DZV230" s="31"/>
      <c r="DZW230" s="31"/>
      <c r="DZX230" s="32"/>
      <c r="DZY230" s="32"/>
      <c r="DZZ230" s="32"/>
      <c r="EAA230" s="32"/>
      <c r="EAB230" s="32"/>
      <c r="EAC230" s="31"/>
      <c r="EAD230" s="31"/>
      <c r="EAE230" s="33"/>
      <c r="EAF230" s="33"/>
      <c r="EAG230" s="34"/>
      <c r="EAH230" s="34"/>
      <c r="EAI230" s="35"/>
      <c r="EAJ230" s="35"/>
      <c r="EAK230" s="32"/>
      <c r="EAL230" s="31"/>
      <c r="EAM230" s="31"/>
      <c r="EAN230" s="31"/>
      <c r="EAO230" s="32"/>
      <c r="EAP230" s="32"/>
      <c r="EAQ230" s="32"/>
      <c r="EAR230" s="32"/>
      <c r="EAS230" s="32"/>
      <c r="EAT230" s="31"/>
      <c r="EAU230" s="31"/>
      <c r="EAV230" s="33"/>
      <c r="EAW230" s="33"/>
      <c r="EAX230" s="34"/>
      <c r="EAY230" s="34"/>
      <c r="EAZ230" s="35"/>
      <c r="EBA230" s="35"/>
      <c r="EBB230" s="32"/>
      <c r="EBC230" s="31"/>
      <c r="EBD230" s="31"/>
      <c r="EBE230" s="31"/>
      <c r="EBF230" s="32"/>
      <c r="EBG230" s="32"/>
      <c r="EBH230" s="32"/>
      <c r="EBI230" s="32"/>
      <c r="EBJ230" s="32"/>
      <c r="EBK230" s="31"/>
      <c r="EBL230" s="31"/>
      <c r="EBM230" s="33"/>
      <c r="EBN230" s="33"/>
      <c r="EBO230" s="34"/>
      <c r="EBP230" s="34"/>
      <c r="EBQ230" s="35"/>
      <c r="EBR230" s="35"/>
      <c r="EBS230" s="32"/>
      <c r="EBT230" s="31"/>
      <c r="EBU230" s="31"/>
      <c r="EBV230" s="31"/>
      <c r="EBW230" s="32"/>
      <c r="EBX230" s="32"/>
      <c r="EBY230" s="32"/>
      <c r="EBZ230" s="32"/>
      <c r="ECA230" s="32"/>
      <c r="ECB230" s="31"/>
      <c r="ECC230" s="31"/>
      <c r="ECD230" s="33"/>
      <c r="ECE230" s="33"/>
      <c r="ECF230" s="34"/>
      <c r="ECG230" s="34"/>
      <c r="ECH230" s="35"/>
      <c r="ECI230" s="35"/>
      <c r="ECJ230" s="32"/>
      <c r="ECK230" s="31"/>
      <c r="ECL230" s="31"/>
      <c r="ECM230" s="31"/>
      <c r="ECN230" s="32"/>
      <c r="ECO230" s="32"/>
      <c r="ECP230" s="32"/>
      <c r="ECQ230" s="32"/>
      <c r="ECR230" s="32"/>
      <c r="ECS230" s="31"/>
      <c r="ECT230" s="31"/>
      <c r="ECU230" s="33"/>
      <c r="ECV230" s="33"/>
      <c r="ECW230" s="34"/>
      <c r="ECX230" s="34"/>
      <c r="ECY230" s="35"/>
      <c r="ECZ230" s="35"/>
      <c r="EDA230" s="32"/>
      <c r="EDB230" s="31"/>
      <c r="EDC230" s="31"/>
      <c r="EDD230" s="31"/>
      <c r="EDE230" s="32"/>
      <c r="EDF230" s="32"/>
      <c r="EDG230" s="32"/>
      <c r="EDH230" s="32"/>
      <c r="EDI230" s="32"/>
      <c r="EDJ230" s="31"/>
      <c r="EDK230" s="31"/>
      <c r="EDL230" s="33"/>
      <c r="EDM230" s="33"/>
      <c r="EDN230" s="34"/>
      <c r="EDO230" s="34"/>
      <c r="EDP230" s="35"/>
      <c r="EDQ230" s="35"/>
      <c r="EDR230" s="32"/>
      <c r="EDS230" s="31"/>
      <c r="EDT230" s="31"/>
      <c r="EDU230" s="31"/>
      <c r="EDV230" s="32"/>
      <c r="EDW230" s="32"/>
      <c r="EDX230" s="32"/>
      <c r="EDY230" s="32"/>
      <c r="EDZ230" s="32"/>
      <c r="EEA230" s="31"/>
      <c r="EEB230" s="31"/>
      <c r="EEC230" s="33"/>
      <c r="EED230" s="33"/>
      <c r="EEE230" s="34"/>
      <c r="EEF230" s="34"/>
      <c r="EEG230" s="35"/>
      <c r="EEH230" s="35"/>
      <c r="EEI230" s="32"/>
      <c r="EEJ230" s="31"/>
      <c r="EEK230" s="31"/>
      <c r="EEL230" s="31"/>
      <c r="EEM230" s="32"/>
      <c r="EEN230" s="32"/>
      <c r="EEO230" s="32"/>
      <c r="EEP230" s="32"/>
      <c r="EEQ230" s="32"/>
      <c r="EER230" s="31"/>
      <c r="EES230" s="31"/>
      <c r="EET230" s="33"/>
      <c r="EEU230" s="33"/>
      <c r="EEV230" s="34"/>
      <c r="EEW230" s="34"/>
      <c r="EEX230" s="35"/>
      <c r="EEY230" s="35"/>
      <c r="EEZ230" s="32"/>
      <c r="EFA230" s="31"/>
      <c r="EFB230" s="31"/>
      <c r="EFC230" s="31"/>
      <c r="EFD230" s="32"/>
      <c r="EFE230" s="32"/>
      <c r="EFF230" s="32"/>
      <c r="EFG230" s="32"/>
      <c r="EFH230" s="32"/>
      <c r="EFI230" s="31"/>
      <c r="EFJ230" s="31"/>
      <c r="EFK230" s="33"/>
      <c r="EFL230" s="33"/>
      <c r="EFM230" s="34"/>
      <c r="EFN230" s="34"/>
      <c r="EFO230" s="35"/>
      <c r="EFP230" s="35"/>
      <c r="EFQ230" s="32"/>
      <c r="EFR230" s="31"/>
      <c r="EFS230" s="31"/>
      <c r="EFT230" s="31"/>
      <c r="EFU230" s="32"/>
      <c r="EFV230" s="32"/>
      <c r="EFW230" s="32"/>
      <c r="EFX230" s="32"/>
      <c r="EFY230" s="32"/>
      <c r="EFZ230" s="31"/>
      <c r="EGA230" s="31"/>
      <c r="EGB230" s="33"/>
      <c r="EGC230" s="33"/>
      <c r="EGD230" s="34"/>
      <c r="EGE230" s="34"/>
      <c r="EGF230" s="35"/>
      <c r="EGG230" s="35"/>
      <c r="EGH230" s="32"/>
      <c r="EGI230" s="31"/>
      <c r="EGJ230" s="31"/>
      <c r="EGK230" s="31"/>
      <c r="EGL230" s="32"/>
      <c r="EGM230" s="32"/>
      <c r="EGN230" s="32"/>
      <c r="EGO230" s="32"/>
      <c r="EGP230" s="32"/>
      <c r="EGQ230" s="31"/>
      <c r="EGR230" s="31"/>
      <c r="EGS230" s="33"/>
      <c r="EGT230" s="33"/>
      <c r="EGU230" s="34"/>
      <c r="EGV230" s="34"/>
      <c r="EGW230" s="35"/>
      <c r="EGX230" s="35"/>
      <c r="EGY230" s="32"/>
      <c r="EGZ230" s="31"/>
      <c r="EHA230" s="31"/>
      <c r="EHB230" s="31"/>
      <c r="EHC230" s="32"/>
      <c r="EHD230" s="32"/>
      <c r="EHE230" s="32"/>
      <c r="EHF230" s="32"/>
      <c r="EHG230" s="32"/>
      <c r="EHH230" s="31"/>
      <c r="EHI230" s="31"/>
      <c r="EHJ230" s="33"/>
      <c r="EHK230" s="33"/>
      <c r="EHL230" s="34"/>
      <c r="EHM230" s="34"/>
      <c r="EHN230" s="35"/>
      <c r="EHO230" s="35"/>
      <c r="EHP230" s="32"/>
      <c r="EHQ230" s="31"/>
      <c r="EHR230" s="31"/>
      <c r="EHS230" s="31"/>
      <c r="EHT230" s="32"/>
      <c r="EHU230" s="32"/>
      <c r="EHV230" s="32"/>
      <c r="EHW230" s="32"/>
      <c r="EHX230" s="32"/>
      <c r="EHY230" s="31"/>
      <c r="EHZ230" s="31"/>
      <c r="EIA230" s="33"/>
      <c r="EIB230" s="33"/>
      <c r="EIC230" s="34"/>
      <c r="EID230" s="34"/>
      <c r="EIE230" s="35"/>
      <c r="EIF230" s="35"/>
      <c r="EIG230" s="32"/>
      <c r="EIH230" s="31"/>
      <c r="EII230" s="31"/>
      <c r="EIJ230" s="31"/>
      <c r="EIK230" s="32"/>
      <c r="EIL230" s="32"/>
      <c r="EIM230" s="32"/>
      <c r="EIN230" s="32"/>
      <c r="EIO230" s="32"/>
      <c r="EIP230" s="31"/>
      <c r="EIQ230" s="31"/>
      <c r="EIR230" s="33"/>
      <c r="EIS230" s="33"/>
      <c r="EIT230" s="34"/>
      <c r="EIU230" s="34"/>
      <c r="EIV230" s="35"/>
      <c r="EIW230" s="35"/>
      <c r="EIX230" s="32"/>
      <c r="EIY230" s="31"/>
      <c r="EIZ230" s="31"/>
      <c r="EJA230" s="31"/>
      <c r="EJB230" s="32"/>
      <c r="EJC230" s="32"/>
      <c r="EJD230" s="32"/>
      <c r="EJE230" s="32"/>
      <c r="EJF230" s="32"/>
      <c r="EJG230" s="31"/>
      <c r="EJH230" s="31"/>
      <c r="EJI230" s="33"/>
      <c r="EJJ230" s="33"/>
      <c r="EJK230" s="34"/>
      <c r="EJL230" s="34"/>
      <c r="EJM230" s="35"/>
      <c r="EJN230" s="35"/>
      <c r="EJO230" s="32"/>
      <c r="EJP230" s="31"/>
      <c r="EJQ230" s="31"/>
      <c r="EJR230" s="31"/>
      <c r="EJS230" s="32"/>
      <c r="EJT230" s="32"/>
      <c r="EJU230" s="32"/>
      <c r="EJV230" s="32"/>
      <c r="EJW230" s="32"/>
      <c r="EJX230" s="31"/>
      <c r="EJY230" s="31"/>
      <c r="EJZ230" s="33"/>
      <c r="EKA230" s="33"/>
      <c r="EKB230" s="34"/>
      <c r="EKC230" s="34"/>
      <c r="EKD230" s="35"/>
      <c r="EKE230" s="35"/>
      <c r="EKF230" s="32"/>
      <c r="EKG230" s="31"/>
      <c r="EKH230" s="31"/>
      <c r="EKI230" s="31"/>
      <c r="EKJ230" s="32"/>
      <c r="EKK230" s="32"/>
      <c r="EKL230" s="32"/>
      <c r="EKM230" s="32"/>
      <c r="EKN230" s="32"/>
      <c r="EKO230" s="31"/>
      <c r="EKP230" s="31"/>
      <c r="EKQ230" s="33"/>
      <c r="EKR230" s="33"/>
      <c r="EKS230" s="34"/>
      <c r="EKT230" s="34"/>
      <c r="EKU230" s="35"/>
      <c r="EKV230" s="35"/>
      <c r="EKW230" s="32"/>
      <c r="EKX230" s="31"/>
      <c r="EKY230" s="31"/>
      <c r="EKZ230" s="31"/>
      <c r="ELA230" s="32"/>
      <c r="ELB230" s="32"/>
      <c r="ELC230" s="32"/>
      <c r="ELD230" s="32"/>
      <c r="ELE230" s="32"/>
      <c r="ELF230" s="31"/>
      <c r="ELG230" s="31"/>
      <c r="ELH230" s="33"/>
      <c r="ELI230" s="33"/>
      <c r="ELJ230" s="34"/>
      <c r="ELK230" s="34"/>
      <c r="ELL230" s="35"/>
      <c r="ELM230" s="35"/>
      <c r="ELN230" s="32"/>
      <c r="ELO230" s="31"/>
      <c r="ELP230" s="31"/>
      <c r="ELQ230" s="31"/>
      <c r="ELR230" s="32"/>
      <c r="ELS230" s="32"/>
      <c r="ELT230" s="32"/>
      <c r="ELU230" s="32"/>
      <c r="ELV230" s="32"/>
      <c r="ELW230" s="31"/>
      <c r="ELX230" s="31"/>
      <c r="ELY230" s="33"/>
      <c r="ELZ230" s="33"/>
      <c r="EMA230" s="34"/>
      <c r="EMB230" s="34"/>
      <c r="EMC230" s="35"/>
      <c r="EMD230" s="35"/>
      <c r="EME230" s="32"/>
      <c r="EMF230" s="31"/>
      <c r="EMG230" s="31"/>
      <c r="EMH230" s="31"/>
      <c r="EMI230" s="32"/>
      <c r="EMJ230" s="32"/>
      <c r="EMK230" s="32"/>
      <c r="EML230" s="32"/>
      <c r="EMM230" s="32"/>
      <c r="EMN230" s="31"/>
      <c r="EMO230" s="31"/>
      <c r="EMP230" s="33"/>
      <c r="EMQ230" s="33"/>
      <c r="EMR230" s="34"/>
      <c r="EMS230" s="34"/>
      <c r="EMT230" s="35"/>
      <c r="EMU230" s="35"/>
      <c r="EMV230" s="32"/>
      <c r="EMW230" s="31"/>
      <c r="EMX230" s="31"/>
      <c r="EMY230" s="31"/>
      <c r="EMZ230" s="32"/>
      <c r="ENA230" s="32"/>
      <c r="ENB230" s="32"/>
      <c r="ENC230" s="32"/>
      <c r="END230" s="32"/>
      <c r="ENE230" s="31"/>
      <c r="ENF230" s="31"/>
      <c r="ENG230" s="33"/>
      <c r="ENH230" s="33"/>
      <c r="ENI230" s="34"/>
      <c r="ENJ230" s="34"/>
      <c r="ENK230" s="35"/>
      <c r="ENL230" s="35"/>
      <c r="ENM230" s="32"/>
      <c r="ENN230" s="31"/>
      <c r="ENO230" s="31"/>
      <c r="ENP230" s="31"/>
      <c r="ENQ230" s="32"/>
      <c r="ENR230" s="32"/>
      <c r="ENS230" s="32"/>
      <c r="ENT230" s="32"/>
      <c r="ENU230" s="32"/>
      <c r="ENV230" s="31"/>
      <c r="ENW230" s="31"/>
      <c r="ENX230" s="33"/>
      <c r="ENY230" s="33"/>
      <c r="ENZ230" s="34"/>
      <c r="EOA230" s="34"/>
      <c r="EOB230" s="35"/>
      <c r="EOC230" s="35"/>
      <c r="EOD230" s="32"/>
      <c r="EOE230" s="31"/>
      <c r="EOF230" s="31"/>
      <c r="EOG230" s="31"/>
      <c r="EOH230" s="32"/>
      <c r="EOI230" s="32"/>
      <c r="EOJ230" s="32"/>
      <c r="EOK230" s="32"/>
      <c r="EOL230" s="32"/>
      <c r="EOM230" s="31"/>
      <c r="EON230" s="31"/>
      <c r="EOO230" s="33"/>
      <c r="EOP230" s="33"/>
      <c r="EOQ230" s="34"/>
      <c r="EOR230" s="34"/>
      <c r="EOS230" s="35"/>
      <c r="EOT230" s="35"/>
      <c r="EOU230" s="32"/>
      <c r="EOV230" s="31"/>
      <c r="EOW230" s="31"/>
      <c r="EOX230" s="31"/>
      <c r="EOY230" s="32"/>
      <c r="EOZ230" s="32"/>
      <c r="EPA230" s="32"/>
      <c r="EPB230" s="32"/>
      <c r="EPC230" s="32"/>
      <c r="EPD230" s="31"/>
      <c r="EPE230" s="31"/>
      <c r="EPF230" s="33"/>
      <c r="EPG230" s="33"/>
      <c r="EPH230" s="34"/>
      <c r="EPI230" s="34"/>
      <c r="EPJ230" s="35"/>
      <c r="EPK230" s="35"/>
      <c r="EPL230" s="32"/>
      <c r="EPM230" s="31"/>
      <c r="EPN230" s="31"/>
      <c r="EPO230" s="31"/>
      <c r="EPP230" s="32"/>
      <c r="EPQ230" s="32"/>
      <c r="EPR230" s="32"/>
      <c r="EPS230" s="32"/>
      <c r="EPT230" s="32"/>
      <c r="EPU230" s="31"/>
      <c r="EPV230" s="31"/>
      <c r="EPW230" s="33"/>
      <c r="EPX230" s="33"/>
      <c r="EPY230" s="34"/>
      <c r="EPZ230" s="34"/>
      <c r="EQA230" s="35"/>
      <c r="EQB230" s="35"/>
      <c r="EQC230" s="32"/>
      <c r="EQD230" s="31"/>
      <c r="EQE230" s="31"/>
      <c r="EQF230" s="31"/>
      <c r="EQG230" s="32"/>
      <c r="EQH230" s="32"/>
      <c r="EQI230" s="32"/>
      <c r="EQJ230" s="32"/>
      <c r="EQK230" s="32"/>
      <c r="EQL230" s="31"/>
      <c r="EQM230" s="31"/>
      <c r="EQN230" s="33"/>
      <c r="EQO230" s="33"/>
      <c r="EQP230" s="34"/>
      <c r="EQQ230" s="34"/>
      <c r="EQR230" s="35"/>
      <c r="EQS230" s="35"/>
      <c r="EQT230" s="32"/>
      <c r="EQU230" s="31"/>
      <c r="EQV230" s="31"/>
      <c r="EQW230" s="31"/>
      <c r="EQX230" s="32"/>
      <c r="EQY230" s="32"/>
      <c r="EQZ230" s="32"/>
      <c r="ERA230" s="32"/>
      <c r="ERB230" s="32"/>
      <c r="ERC230" s="31"/>
      <c r="ERD230" s="31"/>
      <c r="ERE230" s="33"/>
      <c r="ERF230" s="33"/>
      <c r="ERG230" s="34"/>
      <c r="ERH230" s="34"/>
      <c r="ERI230" s="35"/>
      <c r="ERJ230" s="35"/>
      <c r="ERK230" s="32"/>
      <c r="ERL230" s="31"/>
      <c r="ERM230" s="31"/>
      <c r="ERN230" s="31"/>
      <c r="ERO230" s="32"/>
      <c r="ERP230" s="32"/>
      <c r="ERQ230" s="32"/>
      <c r="ERR230" s="32"/>
      <c r="ERS230" s="32"/>
      <c r="ERT230" s="31"/>
      <c r="ERU230" s="31"/>
      <c r="ERV230" s="33"/>
      <c r="ERW230" s="33"/>
      <c r="ERX230" s="34"/>
      <c r="ERY230" s="34"/>
      <c r="ERZ230" s="35"/>
      <c r="ESA230" s="35"/>
      <c r="ESB230" s="32"/>
      <c r="ESC230" s="31"/>
      <c r="ESD230" s="31"/>
      <c r="ESE230" s="31"/>
      <c r="ESF230" s="32"/>
      <c r="ESG230" s="32"/>
      <c r="ESH230" s="32"/>
      <c r="ESI230" s="32"/>
      <c r="ESJ230" s="32"/>
      <c r="ESK230" s="31"/>
      <c r="ESL230" s="31"/>
      <c r="ESM230" s="33"/>
      <c r="ESN230" s="33"/>
      <c r="ESO230" s="34"/>
      <c r="ESP230" s="34"/>
      <c r="ESQ230" s="35"/>
      <c r="ESR230" s="35"/>
      <c r="ESS230" s="32"/>
      <c r="EST230" s="31"/>
      <c r="ESU230" s="31"/>
      <c r="ESV230" s="31"/>
      <c r="ESW230" s="32"/>
      <c r="ESX230" s="32"/>
      <c r="ESY230" s="32"/>
      <c r="ESZ230" s="32"/>
      <c r="ETA230" s="32"/>
      <c r="ETB230" s="31"/>
      <c r="ETC230" s="31"/>
      <c r="ETD230" s="33"/>
      <c r="ETE230" s="33"/>
      <c r="ETF230" s="34"/>
      <c r="ETG230" s="34"/>
      <c r="ETH230" s="35"/>
      <c r="ETI230" s="35"/>
      <c r="ETJ230" s="32"/>
      <c r="ETK230" s="31"/>
      <c r="ETL230" s="31"/>
      <c r="ETM230" s="31"/>
      <c r="ETN230" s="32"/>
      <c r="ETO230" s="32"/>
      <c r="ETP230" s="32"/>
      <c r="ETQ230" s="32"/>
      <c r="ETR230" s="32"/>
      <c r="ETS230" s="31"/>
      <c r="ETT230" s="31"/>
      <c r="ETU230" s="33"/>
      <c r="ETV230" s="33"/>
      <c r="ETW230" s="34"/>
      <c r="ETX230" s="34"/>
      <c r="ETY230" s="35"/>
      <c r="ETZ230" s="35"/>
      <c r="EUA230" s="32"/>
      <c r="EUB230" s="31"/>
      <c r="EUC230" s="31"/>
      <c r="EUD230" s="31"/>
      <c r="EUE230" s="32"/>
      <c r="EUF230" s="32"/>
      <c r="EUG230" s="32"/>
      <c r="EUH230" s="32"/>
      <c r="EUI230" s="32"/>
      <c r="EUJ230" s="31"/>
      <c r="EUK230" s="31"/>
      <c r="EUL230" s="33"/>
      <c r="EUM230" s="33"/>
      <c r="EUN230" s="34"/>
      <c r="EUO230" s="34"/>
      <c r="EUP230" s="35"/>
      <c r="EUQ230" s="35"/>
      <c r="EUR230" s="32"/>
      <c r="EUS230" s="31"/>
      <c r="EUT230" s="31"/>
      <c r="EUU230" s="31"/>
      <c r="EUV230" s="32"/>
      <c r="EUW230" s="32"/>
      <c r="EUX230" s="32"/>
      <c r="EUY230" s="32"/>
      <c r="EUZ230" s="32"/>
      <c r="EVA230" s="31"/>
      <c r="EVB230" s="31"/>
      <c r="EVC230" s="33"/>
      <c r="EVD230" s="33"/>
      <c r="EVE230" s="34"/>
      <c r="EVF230" s="34"/>
      <c r="EVG230" s="35"/>
      <c r="EVH230" s="35"/>
      <c r="EVI230" s="32"/>
      <c r="EVJ230" s="31"/>
      <c r="EVK230" s="31"/>
      <c r="EVL230" s="31"/>
      <c r="EVM230" s="32"/>
      <c r="EVN230" s="32"/>
      <c r="EVO230" s="32"/>
      <c r="EVP230" s="32"/>
      <c r="EVQ230" s="32"/>
      <c r="EVR230" s="31"/>
      <c r="EVS230" s="31"/>
      <c r="EVT230" s="33"/>
      <c r="EVU230" s="33"/>
      <c r="EVV230" s="34"/>
      <c r="EVW230" s="34"/>
      <c r="EVX230" s="35"/>
      <c r="EVY230" s="35"/>
      <c r="EVZ230" s="32"/>
      <c r="EWA230" s="31"/>
      <c r="EWB230" s="31"/>
      <c r="EWC230" s="31"/>
      <c r="EWD230" s="32"/>
      <c r="EWE230" s="32"/>
      <c r="EWF230" s="32"/>
      <c r="EWG230" s="32"/>
      <c r="EWH230" s="32"/>
      <c r="EWI230" s="31"/>
      <c r="EWJ230" s="31"/>
      <c r="EWK230" s="33"/>
      <c r="EWL230" s="33"/>
      <c r="EWM230" s="34"/>
      <c r="EWN230" s="34"/>
      <c r="EWO230" s="35"/>
      <c r="EWP230" s="35"/>
      <c r="EWQ230" s="32"/>
      <c r="EWR230" s="31"/>
      <c r="EWS230" s="31"/>
      <c r="EWT230" s="31"/>
      <c r="EWU230" s="32"/>
      <c r="EWV230" s="32"/>
      <c r="EWW230" s="32"/>
      <c r="EWX230" s="32"/>
      <c r="EWY230" s="32"/>
      <c r="EWZ230" s="31"/>
      <c r="EXA230" s="31"/>
      <c r="EXB230" s="33"/>
      <c r="EXC230" s="33"/>
      <c r="EXD230" s="34"/>
      <c r="EXE230" s="34"/>
      <c r="EXF230" s="35"/>
      <c r="EXG230" s="35"/>
      <c r="EXH230" s="32"/>
      <c r="EXI230" s="31"/>
      <c r="EXJ230" s="31"/>
      <c r="EXK230" s="31"/>
      <c r="EXL230" s="32"/>
      <c r="EXM230" s="32"/>
      <c r="EXN230" s="32"/>
      <c r="EXO230" s="32"/>
      <c r="EXP230" s="32"/>
      <c r="EXQ230" s="31"/>
      <c r="EXR230" s="31"/>
      <c r="EXS230" s="33"/>
      <c r="EXT230" s="33"/>
      <c r="EXU230" s="34"/>
      <c r="EXV230" s="34"/>
      <c r="EXW230" s="35"/>
      <c r="EXX230" s="35"/>
      <c r="EXY230" s="32"/>
      <c r="EXZ230" s="31"/>
      <c r="EYA230" s="31"/>
      <c r="EYB230" s="31"/>
      <c r="EYC230" s="32"/>
      <c r="EYD230" s="32"/>
      <c r="EYE230" s="32"/>
      <c r="EYF230" s="32"/>
      <c r="EYG230" s="32"/>
      <c r="EYH230" s="31"/>
      <c r="EYI230" s="31"/>
      <c r="EYJ230" s="33"/>
      <c r="EYK230" s="33"/>
      <c r="EYL230" s="34"/>
      <c r="EYM230" s="34"/>
      <c r="EYN230" s="35"/>
      <c r="EYO230" s="35"/>
      <c r="EYP230" s="32"/>
      <c r="EYQ230" s="31"/>
      <c r="EYR230" s="31"/>
      <c r="EYS230" s="31"/>
      <c r="EYT230" s="32"/>
      <c r="EYU230" s="32"/>
      <c r="EYV230" s="32"/>
      <c r="EYW230" s="32"/>
      <c r="EYX230" s="32"/>
      <c r="EYY230" s="31"/>
      <c r="EYZ230" s="31"/>
      <c r="EZA230" s="33"/>
      <c r="EZB230" s="33"/>
      <c r="EZC230" s="34"/>
      <c r="EZD230" s="34"/>
      <c r="EZE230" s="35"/>
      <c r="EZF230" s="35"/>
      <c r="EZG230" s="32"/>
      <c r="EZH230" s="31"/>
      <c r="EZI230" s="31"/>
      <c r="EZJ230" s="31"/>
      <c r="EZK230" s="32"/>
      <c r="EZL230" s="32"/>
      <c r="EZM230" s="32"/>
      <c r="EZN230" s="32"/>
      <c r="EZO230" s="32"/>
      <c r="EZP230" s="31"/>
      <c r="EZQ230" s="31"/>
      <c r="EZR230" s="33"/>
      <c r="EZS230" s="33"/>
      <c r="EZT230" s="34"/>
      <c r="EZU230" s="34"/>
      <c r="EZV230" s="35"/>
      <c r="EZW230" s="35"/>
      <c r="EZX230" s="32"/>
      <c r="EZY230" s="31"/>
      <c r="EZZ230" s="31"/>
      <c r="FAA230" s="31"/>
      <c r="FAB230" s="32"/>
      <c r="FAC230" s="32"/>
      <c r="FAD230" s="32"/>
      <c r="FAE230" s="32"/>
      <c r="FAF230" s="32"/>
      <c r="FAG230" s="31"/>
      <c r="FAH230" s="31"/>
      <c r="FAI230" s="33"/>
      <c r="FAJ230" s="33"/>
      <c r="FAK230" s="34"/>
      <c r="FAL230" s="34"/>
      <c r="FAM230" s="35"/>
      <c r="FAN230" s="35"/>
      <c r="FAO230" s="32"/>
      <c r="FAP230" s="31"/>
      <c r="FAQ230" s="31"/>
      <c r="FAR230" s="31"/>
      <c r="FAS230" s="32"/>
      <c r="FAT230" s="32"/>
      <c r="FAU230" s="32"/>
      <c r="FAV230" s="32"/>
      <c r="FAW230" s="32"/>
      <c r="FAX230" s="31"/>
      <c r="FAY230" s="31"/>
      <c r="FAZ230" s="33"/>
      <c r="FBA230" s="33"/>
      <c r="FBB230" s="34"/>
      <c r="FBC230" s="34"/>
      <c r="FBD230" s="35"/>
      <c r="FBE230" s="35"/>
      <c r="FBF230" s="32"/>
      <c r="FBG230" s="31"/>
      <c r="FBH230" s="31"/>
      <c r="FBI230" s="31"/>
      <c r="FBJ230" s="32"/>
      <c r="FBK230" s="32"/>
      <c r="FBL230" s="32"/>
      <c r="FBM230" s="32"/>
      <c r="FBN230" s="32"/>
      <c r="FBO230" s="31"/>
      <c r="FBP230" s="31"/>
      <c r="FBQ230" s="33"/>
      <c r="FBR230" s="33"/>
      <c r="FBS230" s="34"/>
      <c r="FBT230" s="34"/>
      <c r="FBU230" s="35"/>
      <c r="FBV230" s="35"/>
      <c r="FBW230" s="32"/>
      <c r="FBX230" s="31"/>
      <c r="FBY230" s="31"/>
      <c r="FBZ230" s="31"/>
      <c r="FCA230" s="32"/>
      <c r="FCB230" s="32"/>
      <c r="FCC230" s="32"/>
      <c r="FCD230" s="32"/>
      <c r="FCE230" s="32"/>
      <c r="FCF230" s="31"/>
      <c r="FCG230" s="31"/>
      <c r="FCH230" s="33"/>
      <c r="FCI230" s="33"/>
      <c r="FCJ230" s="34"/>
      <c r="FCK230" s="34"/>
      <c r="FCL230" s="35"/>
      <c r="FCM230" s="35"/>
      <c r="FCN230" s="32"/>
      <c r="FCO230" s="31"/>
      <c r="FCP230" s="31"/>
      <c r="FCQ230" s="31"/>
      <c r="FCR230" s="32"/>
      <c r="FCS230" s="32"/>
      <c r="FCT230" s="32"/>
      <c r="FCU230" s="32"/>
      <c r="FCV230" s="32"/>
      <c r="FCW230" s="31"/>
      <c r="FCX230" s="31"/>
      <c r="FCY230" s="33"/>
      <c r="FCZ230" s="33"/>
      <c r="FDA230" s="34"/>
      <c r="FDB230" s="34"/>
      <c r="FDC230" s="35"/>
      <c r="FDD230" s="35"/>
      <c r="FDE230" s="32"/>
      <c r="FDF230" s="31"/>
      <c r="FDG230" s="31"/>
      <c r="FDH230" s="31"/>
      <c r="FDI230" s="32"/>
      <c r="FDJ230" s="32"/>
      <c r="FDK230" s="32"/>
      <c r="FDL230" s="32"/>
      <c r="FDM230" s="32"/>
      <c r="FDN230" s="31"/>
      <c r="FDO230" s="31"/>
      <c r="FDP230" s="33"/>
      <c r="FDQ230" s="33"/>
      <c r="FDR230" s="34"/>
      <c r="FDS230" s="34"/>
      <c r="FDT230" s="35"/>
      <c r="FDU230" s="35"/>
      <c r="FDV230" s="32"/>
      <c r="FDW230" s="31"/>
      <c r="FDX230" s="31"/>
      <c r="FDY230" s="31"/>
      <c r="FDZ230" s="32"/>
      <c r="FEA230" s="32"/>
      <c r="FEB230" s="32"/>
      <c r="FEC230" s="32"/>
      <c r="FED230" s="32"/>
      <c r="FEE230" s="31"/>
      <c r="FEF230" s="31"/>
      <c r="FEG230" s="33"/>
      <c r="FEH230" s="33"/>
      <c r="FEI230" s="34"/>
      <c r="FEJ230" s="34"/>
      <c r="FEK230" s="35"/>
      <c r="FEL230" s="35"/>
      <c r="FEM230" s="32"/>
      <c r="FEN230" s="31"/>
      <c r="FEO230" s="31"/>
      <c r="FEP230" s="31"/>
      <c r="FEQ230" s="32"/>
      <c r="FER230" s="32"/>
      <c r="FES230" s="32"/>
      <c r="FET230" s="32"/>
      <c r="FEU230" s="32"/>
      <c r="FEV230" s="31"/>
      <c r="FEW230" s="31"/>
      <c r="FEX230" s="33"/>
      <c r="FEY230" s="33"/>
      <c r="FEZ230" s="34"/>
      <c r="FFA230" s="34"/>
      <c r="FFB230" s="35"/>
      <c r="FFC230" s="35"/>
      <c r="FFD230" s="32"/>
      <c r="FFE230" s="31"/>
      <c r="FFF230" s="31"/>
      <c r="FFG230" s="31"/>
      <c r="FFH230" s="32"/>
      <c r="FFI230" s="32"/>
      <c r="FFJ230" s="32"/>
      <c r="FFK230" s="32"/>
      <c r="FFL230" s="32"/>
      <c r="FFM230" s="31"/>
      <c r="FFN230" s="31"/>
      <c r="FFO230" s="33"/>
      <c r="FFP230" s="33"/>
      <c r="FFQ230" s="34"/>
      <c r="FFR230" s="34"/>
      <c r="FFS230" s="35"/>
      <c r="FFT230" s="35"/>
      <c r="FFU230" s="32"/>
      <c r="FFV230" s="31"/>
      <c r="FFW230" s="31"/>
      <c r="FFX230" s="31"/>
      <c r="FFY230" s="32"/>
      <c r="FFZ230" s="32"/>
      <c r="FGA230" s="32"/>
      <c r="FGB230" s="32"/>
      <c r="FGC230" s="32"/>
      <c r="FGD230" s="31"/>
      <c r="FGE230" s="31"/>
      <c r="FGF230" s="33"/>
      <c r="FGG230" s="33"/>
      <c r="FGH230" s="34"/>
      <c r="FGI230" s="34"/>
      <c r="FGJ230" s="35"/>
      <c r="FGK230" s="35"/>
      <c r="FGL230" s="32"/>
      <c r="FGM230" s="31"/>
      <c r="FGN230" s="31"/>
      <c r="FGO230" s="31"/>
      <c r="FGP230" s="32"/>
      <c r="FGQ230" s="32"/>
      <c r="FGR230" s="32"/>
      <c r="FGS230" s="32"/>
      <c r="FGT230" s="32"/>
      <c r="FGU230" s="31"/>
      <c r="FGV230" s="31"/>
      <c r="FGW230" s="33"/>
      <c r="FGX230" s="33"/>
      <c r="FGY230" s="34"/>
      <c r="FGZ230" s="34"/>
      <c r="FHA230" s="35"/>
      <c r="FHB230" s="35"/>
      <c r="FHC230" s="32"/>
      <c r="FHD230" s="31"/>
      <c r="FHE230" s="31"/>
      <c r="FHF230" s="31"/>
      <c r="FHG230" s="32"/>
      <c r="FHH230" s="32"/>
      <c r="FHI230" s="32"/>
      <c r="FHJ230" s="32"/>
      <c r="FHK230" s="32"/>
      <c r="FHL230" s="31"/>
      <c r="FHM230" s="31"/>
      <c r="FHN230" s="33"/>
      <c r="FHO230" s="33"/>
      <c r="FHP230" s="34"/>
      <c r="FHQ230" s="34"/>
      <c r="FHR230" s="35"/>
      <c r="FHS230" s="35"/>
      <c r="FHT230" s="32"/>
      <c r="FHU230" s="31"/>
      <c r="FHV230" s="31"/>
      <c r="FHW230" s="31"/>
      <c r="FHX230" s="32"/>
      <c r="FHY230" s="32"/>
      <c r="FHZ230" s="32"/>
      <c r="FIA230" s="32"/>
      <c r="FIB230" s="32"/>
      <c r="FIC230" s="31"/>
      <c r="FID230" s="31"/>
      <c r="FIE230" s="33"/>
      <c r="FIF230" s="33"/>
      <c r="FIG230" s="34"/>
      <c r="FIH230" s="34"/>
      <c r="FII230" s="35"/>
      <c r="FIJ230" s="35"/>
      <c r="FIK230" s="32"/>
      <c r="FIL230" s="31"/>
      <c r="FIM230" s="31"/>
      <c r="FIN230" s="31"/>
      <c r="FIO230" s="32"/>
      <c r="FIP230" s="32"/>
      <c r="FIQ230" s="32"/>
      <c r="FIR230" s="32"/>
      <c r="FIS230" s="32"/>
      <c r="FIT230" s="31"/>
      <c r="FIU230" s="31"/>
      <c r="FIV230" s="33"/>
      <c r="FIW230" s="33"/>
      <c r="FIX230" s="34"/>
      <c r="FIY230" s="34"/>
      <c r="FIZ230" s="35"/>
      <c r="FJA230" s="35"/>
      <c r="FJB230" s="32"/>
      <c r="FJC230" s="31"/>
      <c r="FJD230" s="31"/>
      <c r="FJE230" s="31"/>
      <c r="FJF230" s="32"/>
      <c r="FJG230" s="32"/>
      <c r="FJH230" s="32"/>
      <c r="FJI230" s="32"/>
      <c r="FJJ230" s="32"/>
      <c r="FJK230" s="31"/>
      <c r="FJL230" s="31"/>
      <c r="FJM230" s="33"/>
      <c r="FJN230" s="33"/>
      <c r="FJO230" s="34"/>
      <c r="FJP230" s="34"/>
      <c r="FJQ230" s="35"/>
      <c r="FJR230" s="35"/>
      <c r="FJS230" s="32"/>
      <c r="FJT230" s="31"/>
      <c r="FJU230" s="31"/>
      <c r="FJV230" s="31"/>
      <c r="FJW230" s="32"/>
      <c r="FJX230" s="32"/>
      <c r="FJY230" s="32"/>
      <c r="FJZ230" s="32"/>
      <c r="FKA230" s="32"/>
      <c r="FKB230" s="31"/>
      <c r="FKC230" s="31"/>
      <c r="FKD230" s="33"/>
      <c r="FKE230" s="33"/>
      <c r="FKF230" s="34"/>
      <c r="FKG230" s="34"/>
      <c r="FKH230" s="35"/>
      <c r="FKI230" s="35"/>
      <c r="FKJ230" s="32"/>
      <c r="FKK230" s="31"/>
      <c r="FKL230" s="31"/>
      <c r="FKM230" s="31"/>
      <c r="FKN230" s="32"/>
      <c r="FKO230" s="32"/>
      <c r="FKP230" s="32"/>
      <c r="FKQ230" s="32"/>
      <c r="FKR230" s="32"/>
      <c r="FKS230" s="31"/>
      <c r="FKT230" s="31"/>
      <c r="FKU230" s="33"/>
      <c r="FKV230" s="33"/>
      <c r="FKW230" s="34"/>
      <c r="FKX230" s="34"/>
      <c r="FKY230" s="35"/>
      <c r="FKZ230" s="35"/>
      <c r="FLA230" s="32"/>
      <c r="FLB230" s="31"/>
      <c r="FLC230" s="31"/>
      <c r="FLD230" s="31"/>
      <c r="FLE230" s="32"/>
      <c r="FLF230" s="32"/>
      <c r="FLG230" s="32"/>
      <c r="FLH230" s="32"/>
      <c r="FLI230" s="32"/>
      <c r="FLJ230" s="31"/>
      <c r="FLK230" s="31"/>
      <c r="FLL230" s="33"/>
      <c r="FLM230" s="33"/>
      <c r="FLN230" s="34"/>
      <c r="FLO230" s="34"/>
      <c r="FLP230" s="35"/>
      <c r="FLQ230" s="35"/>
      <c r="FLR230" s="32"/>
      <c r="FLS230" s="31"/>
      <c r="FLT230" s="31"/>
      <c r="FLU230" s="31"/>
      <c r="FLV230" s="32"/>
      <c r="FLW230" s="32"/>
      <c r="FLX230" s="32"/>
      <c r="FLY230" s="32"/>
      <c r="FLZ230" s="32"/>
      <c r="FMA230" s="31"/>
      <c r="FMB230" s="31"/>
      <c r="FMC230" s="33"/>
      <c r="FMD230" s="33"/>
      <c r="FME230" s="34"/>
      <c r="FMF230" s="34"/>
      <c r="FMG230" s="35"/>
      <c r="FMH230" s="35"/>
      <c r="FMI230" s="32"/>
      <c r="FMJ230" s="31"/>
      <c r="FMK230" s="31"/>
      <c r="FML230" s="31"/>
      <c r="FMM230" s="32"/>
      <c r="FMN230" s="32"/>
      <c r="FMO230" s="32"/>
      <c r="FMP230" s="32"/>
      <c r="FMQ230" s="32"/>
      <c r="FMR230" s="31"/>
      <c r="FMS230" s="31"/>
      <c r="FMT230" s="33"/>
      <c r="FMU230" s="33"/>
      <c r="FMV230" s="34"/>
      <c r="FMW230" s="34"/>
      <c r="FMX230" s="35"/>
      <c r="FMY230" s="35"/>
      <c r="FMZ230" s="32"/>
      <c r="FNA230" s="31"/>
      <c r="FNB230" s="31"/>
      <c r="FNC230" s="31"/>
      <c r="FND230" s="32"/>
      <c r="FNE230" s="32"/>
      <c r="FNF230" s="32"/>
      <c r="FNG230" s="32"/>
      <c r="FNH230" s="32"/>
      <c r="FNI230" s="31"/>
      <c r="FNJ230" s="31"/>
      <c r="FNK230" s="33"/>
      <c r="FNL230" s="33"/>
      <c r="FNM230" s="34"/>
      <c r="FNN230" s="34"/>
      <c r="FNO230" s="35"/>
      <c r="FNP230" s="35"/>
      <c r="FNQ230" s="32"/>
      <c r="FNR230" s="31"/>
      <c r="FNS230" s="31"/>
      <c r="FNT230" s="31"/>
      <c r="FNU230" s="32"/>
      <c r="FNV230" s="32"/>
      <c r="FNW230" s="32"/>
      <c r="FNX230" s="32"/>
      <c r="FNY230" s="32"/>
      <c r="FNZ230" s="31"/>
      <c r="FOA230" s="31"/>
      <c r="FOB230" s="33"/>
      <c r="FOC230" s="33"/>
      <c r="FOD230" s="34"/>
      <c r="FOE230" s="34"/>
      <c r="FOF230" s="35"/>
      <c r="FOG230" s="35"/>
      <c r="FOH230" s="32"/>
      <c r="FOI230" s="31"/>
      <c r="FOJ230" s="31"/>
      <c r="FOK230" s="31"/>
      <c r="FOL230" s="32"/>
      <c r="FOM230" s="32"/>
      <c r="FON230" s="32"/>
      <c r="FOO230" s="32"/>
      <c r="FOP230" s="32"/>
      <c r="FOQ230" s="31"/>
      <c r="FOR230" s="31"/>
      <c r="FOS230" s="33"/>
      <c r="FOT230" s="33"/>
      <c r="FOU230" s="34"/>
      <c r="FOV230" s="34"/>
      <c r="FOW230" s="35"/>
      <c r="FOX230" s="35"/>
      <c r="FOY230" s="32"/>
      <c r="FOZ230" s="31"/>
      <c r="FPA230" s="31"/>
      <c r="FPB230" s="31"/>
      <c r="FPC230" s="32"/>
      <c r="FPD230" s="32"/>
      <c r="FPE230" s="32"/>
      <c r="FPF230" s="32"/>
      <c r="FPG230" s="32"/>
      <c r="FPH230" s="31"/>
      <c r="FPI230" s="31"/>
      <c r="FPJ230" s="33"/>
      <c r="FPK230" s="33"/>
      <c r="FPL230" s="34"/>
      <c r="FPM230" s="34"/>
      <c r="FPN230" s="35"/>
      <c r="FPO230" s="35"/>
      <c r="FPP230" s="32"/>
      <c r="FPQ230" s="31"/>
      <c r="FPR230" s="31"/>
      <c r="FPS230" s="31"/>
      <c r="FPT230" s="32"/>
      <c r="FPU230" s="32"/>
      <c r="FPV230" s="32"/>
      <c r="FPW230" s="32"/>
      <c r="FPX230" s="32"/>
      <c r="FPY230" s="31"/>
      <c r="FPZ230" s="31"/>
      <c r="FQA230" s="33"/>
      <c r="FQB230" s="33"/>
      <c r="FQC230" s="34"/>
      <c r="FQD230" s="34"/>
      <c r="FQE230" s="35"/>
      <c r="FQF230" s="35"/>
      <c r="FQG230" s="32"/>
      <c r="FQH230" s="31"/>
      <c r="FQI230" s="31"/>
      <c r="FQJ230" s="31"/>
      <c r="FQK230" s="32"/>
      <c r="FQL230" s="32"/>
      <c r="FQM230" s="32"/>
      <c r="FQN230" s="32"/>
      <c r="FQO230" s="32"/>
      <c r="FQP230" s="31"/>
      <c r="FQQ230" s="31"/>
      <c r="FQR230" s="33"/>
      <c r="FQS230" s="33"/>
      <c r="FQT230" s="34"/>
      <c r="FQU230" s="34"/>
      <c r="FQV230" s="35"/>
      <c r="FQW230" s="35"/>
      <c r="FQX230" s="32"/>
      <c r="FQY230" s="31"/>
      <c r="FQZ230" s="31"/>
      <c r="FRA230" s="31"/>
      <c r="FRB230" s="32"/>
      <c r="FRC230" s="32"/>
      <c r="FRD230" s="32"/>
      <c r="FRE230" s="32"/>
      <c r="FRF230" s="32"/>
      <c r="FRG230" s="31"/>
      <c r="FRH230" s="31"/>
      <c r="FRI230" s="33"/>
      <c r="FRJ230" s="33"/>
      <c r="FRK230" s="34"/>
      <c r="FRL230" s="34"/>
      <c r="FRM230" s="35"/>
      <c r="FRN230" s="35"/>
      <c r="FRO230" s="32"/>
      <c r="FRP230" s="31"/>
      <c r="FRQ230" s="31"/>
      <c r="FRR230" s="31"/>
      <c r="FRS230" s="32"/>
      <c r="FRT230" s="32"/>
      <c r="FRU230" s="32"/>
      <c r="FRV230" s="32"/>
      <c r="FRW230" s="32"/>
      <c r="FRX230" s="31"/>
      <c r="FRY230" s="31"/>
      <c r="FRZ230" s="33"/>
      <c r="FSA230" s="33"/>
      <c r="FSB230" s="34"/>
      <c r="FSC230" s="34"/>
      <c r="FSD230" s="35"/>
      <c r="FSE230" s="35"/>
      <c r="FSF230" s="32"/>
      <c r="FSG230" s="31"/>
      <c r="FSH230" s="31"/>
      <c r="FSI230" s="31"/>
      <c r="FSJ230" s="32"/>
      <c r="FSK230" s="32"/>
      <c r="FSL230" s="32"/>
      <c r="FSM230" s="32"/>
      <c r="FSN230" s="32"/>
      <c r="FSO230" s="31"/>
      <c r="FSP230" s="31"/>
      <c r="FSQ230" s="33"/>
      <c r="FSR230" s="33"/>
      <c r="FSS230" s="34"/>
      <c r="FST230" s="34"/>
      <c r="FSU230" s="35"/>
      <c r="FSV230" s="35"/>
      <c r="FSW230" s="32"/>
      <c r="FSX230" s="31"/>
      <c r="FSY230" s="31"/>
      <c r="FSZ230" s="31"/>
      <c r="FTA230" s="32"/>
      <c r="FTB230" s="32"/>
      <c r="FTC230" s="32"/>
      <c r="FTD230" s="32"/>
      <c r="FTE230" s="32"/>
      <c r="FTF230" s="31"/>
      <c r="FTG230" s="31"/>
      <c r="FTH230" s="33"/>
      <c r="FTI230" s="33"/>
      <c r="FTJ230" s="34"/>
      <c r="FTK230" s="34"/>
      <c r="FTL230" s="35"/>
      <c r="FTM230" s="35"/>
      <c r="FTN230" s="32"/>
      <c r="FTO230" s="31"/>
      <c r="FTP230" s="31"/>
      <c r="FTQ230" s="31"/>
      <c r="FTR230" s="32"/>
      <c r="FTS230" s="32"/>
      <c r="FTT230" s="32"/>
      <c r="FTU230" s="32"/>
      <c r="FTV230" s="32"/>
      <c r="FTW230" s="31"/>
      <c r="FTX230" s="31"/>
      <c r="FTY230" s="33"/>
      <c r="FTZ230" s="33"/>
      <c r="FUA230" s="34"/>
      <c r="FUB230" s="34"/>
      <c r="FUC230" s="35"/>
      <c r="FUD230" s="35"/>
      <c r="FUE230" s="32"/>
      <c r="FUF230" s="31"/>
      <c r="FUG230" s="31"/>
      <c r="FUH230" s="31"/>
      <c r="FUI230" s="32"/>
      <c r="FUJ230" s="32"/>
      <c r="FUK230" s="32"/>
      <c r="FUL230" s="32"/>
      <c r="FUM230" s="32"/>
      <c r="FUN230" s="31"/>
      <c r="FUO230" s="31"/>
      <c r="FUP230" s="33"/>
      <c r="FUQ230" s="33"/>
      <c r="FUR230" s="34"/>
      <c r="FUS230" s="34"/>
      <c r="FUT230" s="35"/>
      <c r="FUU230" s="35"/>
      <c r="FUV230" s="32"/>
      <c r="FUW230" s="31"/>
      <c r="FUX230" s="31"/>
      <c r="FUY230" s="31"/>
      <c r="FUZ230" s="32"/>
      <c r="FVA230" s="32"/>
      <c r="FVB230" s="32"/>
      <c r="FVC230" s="32"/>
      <c r="FVD230" s="32"/>
      <c r="FVE230" s="31"/>
      <c r="FVF230" s="31"/>
      <c r="FVG230" s="33"/>
      <c r="FVH230" s="33"/>
      <c r="FVI230" s="34"/>
      <c r="FVJ230" s="34"/>
      <c r="FVK230" s="35"/>
      <c r="FVL230" s="35"/>
      <c r="FVM230" s="32"/>
      <c r="FVN230" s="31"/>
      <c r="FVO230" s="31"/>
      <c r="FVP230" s="31"/>
      <c r="FVQ230" s="32"/>
      <c r="FVR230" s="32"/>
      <c r="FVS230" s="32"/>
      <c r="FVT230" s="32"/>
      <c r="FVU230" s="32"/>
      <c r="FVV230" s="31"/>
      <c r="FVW230" s="31"/>
      <c r="FVX230" s="33"/>
      <c r="FVY230" s="33"/>
      <c r="FVZ230" s="34"/>
      <c r="FWA230" s="34"/>
      <c r="FWB230" s="35"/>
      <c r="FWC230" s="35"/>
      <c r="FWD230" s="32"/>
      <c r="FWE230" s="31"/>
      <c r="FWF230" s="31"/>
      <c r="FWG230" s="31"/>
      <c r="FWH230" s="32"/>
      <c r="FWI230" s="32"/>
      <c r="FWJ230" s="32"/>
      <c r="FWK230" s="32"/>
      <c r="FWL230" s="32"/>
      <c r="FWM230" s="31"/>
      <c r="FWN230" s="31"/>
      <c r="FWO230" s="33"/>
      <c r="FWP230" s="33"/>
      <c r="FWQ230" s="34"/>
      <c r="FWR230" s="34"/>
      <c r="FWS230" s="35"/>
      <c r="FWT230" s="35"/>
      <c r="FWU230" s="32"/>
      <c r="FWV230" s="31"/>
      <c r="FWW230" s="31"/>
      <c r="FWX230" s="31"/>
      <c r="FWY230" s="32"/>
      <c r="FWZ230" s="32"/>
      <c r="FXA230" s="32"/>
      <c r="FXB230" s="32"/>
      <c r="FXC230" s="32"/>
      <c r="FXD230" s="31"/>
      <c r="FXE230" s="31"/>
      <c r="FXF230" s="33"/>
      <c r="FXG230" s="33"/>
      <c r="FXH230" s="34"/>
      <c r="FXI230" s="34"/>
      <c r="FXJ230" s="35"/>
      <c r="FXK230" s="35"/>
      <c r="FXL230" s="32"/>
      <c r="FXM230" s="31"/>
      <c r="FXN230" s="31"/>
      <c r="FXO230" s="31"/>
      <c r="FXP230" s="32"/>
      <c r="FXQ230" s="32"/>
      <c r="FXR230" s="32"/>
      <c r="FXS230" s="32"/>
      <c r="FXT230" s="32"/>
      <c r="FXU230" s="31"/>
      <c r="FXV230" s="31"/>
      <c r="FXW230" s="33"/>
      <c r="FXX230" s="33"/>
      <c r="FXY230" s="34"/>
      <c r="FXZ230" s="34"/>
      <c r="FYA230" s="35"/>
      <c r="FYB230" s="35"/>
      <c r="FYC230" s="32"/>
      <c r="FYD230" s="31"/>
      <c r="FYE230" s="31"/>
      <c r="FYF230" s="31"/>
      <c r="FYG230" s="32"/>
      <c r="FYH230" s="32"/>
      <c r="FYI230" s="32"/>
      <c r="FYJ230" s="32"/>
      <c r="FYK230" s="32"/>
      <c r="FYL230" s="31"/>
      <c r="FYM230" s="31"/>
      <c r="FYN230" s="33"/>
      <c r="FYO230" s="33"/>
      <c r="FYP230" s="34"/>
      <c r="FYQ230" s="34"/>
      <c r="FYR230" s="35"/>
      <c r="FYS230" s="35"/>
      <c r="FYT230" s="32"/>
      <c r="FYU230" s="31"/>
      <c r="FYV230" s="31"/>
      <c r="FYW230" s="31"/>
      <c r="FYX230" s="32"/>
      <c r="FYY230" s="32"/>
      <c r="FYZ230" s="32"/>
      <c r="FZA230" s="32"/>
      <c r="FZB230" s="32"/>
      <c r="FZC230" s="31"/>
      <c r="FZD230" s="31"/>
      <c r="FZE230" s="33"/>
      <c r="FZF230" s="33"/>
      <c r="FZG230" s="34"/>
      <c r="FZH230" s="34"/>
      <c r="FZI230" s="35"/>
      <c r="FZJ230" s="35"/>
      <c r="FZK230" s="32"/>
      <c r="FZL230" s="31"/>
      <c r="FZM230" s="31"/>
      <c r="FZN230" s="31"/>
      <c r="FZO230" s="32"/>
      <c r="FZP230" s="32"/>
      <c r="FZQ230" s="32"/>
      <c r="FZR230" s="32"/>
      <c r="FZS230" s="32"/>
      <c r="FZT230" s="31"/>
      <c r="FZU230" s="31"/>
      <c r="FZV230" s="33"/>
      <c r="FZW230" s="33"/>
      <c r="FZX230" s="34"/>
      <c r="FZY230" s="34"/>
      <c r="FZZ230" s="35"/>
      <c r="GAA230" s="35"/>
      <c r="GAB230" s="32"/>
      <c r="GAC230" s="31"/>
      <c r="GAD230" s="31"/>
      <c r="GAE230" s="31"/>
      <c r="GAF230" s="32"/>
      <c r="GAG230" s="32"/>
      <c r="GAH230" s="32"/>
      <c r="GAI230" s="32"/>
      <c r="GAJ230" s="32"/>
      <c r="GAK230" s="31"/>
      <c r="GAL230" s="31"/>
      <c r="GAM230" s="33"/>
      <c r="GAN230" s="33"/>
      <c r="GAO230" s="34"/>
      <c r="GAP230" s="34"/>
      <c r="GAQ230" s="35"/>
      <c r="GAR230" s="35"/>
      <c r="GAS230" s="32"/>
      <c r="GAT230" s="31"/>
      <c r="GAU230" s="31"/>
      <c r="GAV230" s="31"/>
      <c r="GAW230" s="32"/>
      <c r="GAX230" s="32"/>
      <c r="GAY230" s="32"/>
      <c r="GAZ230" s="32"/>
      <c r="GBA230" s="32"/>
      <c r="GBB230" s="31"/>
      <c r="GBC230" s="31"/>
      <c r="GBD230" s="33"/>
      <c r="GBE230" s="33"/>
      <c r="GBF230" s="34"/>
      <c r="GBG230" s="34"/>
      <c r="GBH230" s="35"/>
      <c r="GBI230" s="35"/>
      <c r="GBJ230" s="32"/>
      <c r="GBK230" s="31"/>
      <c r="GBL230" s="31"/>
      <c r="GBM230" s="31"/>
      <c r="GBN230" s="32"/>
      <c r="GBO230" s="32"/>
      <c r="GBP230" s="32"/>
      <c r="GBQ230" s="32"/>
      <c r="GBR230" s="32"/>
      <c r="GBS230" s="31"/>
      <c r="GBT230" s="31"/>
      <c r="GBU230" s="33"/>
      <c r="GBV230" s="33"/>
      <c r="GBW230" s="34"/>
      <c r="GBX230" s="34"/>
      <c r="GBY230" s="35"/>
      <c r="GBZ230" s="35"/>
      <c r="GCA230" s="32"/>
      <c r="GCB230" s="31"/>
      <c r="GCC230" s="31"/>
      <c r="GCD230" s="31"/>
      <c r="GCE230" s="32"/>
      <c r="GCF230" s="32"/>
      <c r="GCG230" s="32"/>
      <c r="GCH230" s="32"/>
      <c r="GCI230" s="32"/>
      <c r="GCJ230" s="31"/>
      <c r="GCK230" s="31"/>
      <c r="GCL230" s="33"/>
      <c r="GCM230" s="33"/>
      <c r="GCN230" s="34"/>
      <c r="GCO230" s="34"/>
      <c r="GCP230" s="35"/>
      <c r="GCQ230" s="35"/>
      <c r="GCR230" s="32"/>
      <c r="GCS230" s="31"/>
      <c r="GCT230" s="31"/>
      <c r="GCU230" s="31"/>
      <c r="GCV230" s="32"/>
      <c r="GCW230" s="32"/>
      <c r="GCX230" s="32"/>
      <c r="GCY230" s="32"/>
      <c r="GCZ230" s="32"/>
      <c r="GDA230" s="31"/>
      <c r="GDB230" s="31"/>
      <c r="GDC230" s="33"/>
      <c r="GDD230" s="33"/>
      <c r="GDE230" s="34"/>
      <c r="GDF230" s="34"/>
      <c r="GDG230" s="35"/>
      <c r="GDH230" s="35"/>
      <c r="GDI230" s="32"/>
      <c r="GDJ230" s="31"/>
      <c r="GDK230" s="31"/>
      <c r="GDL230" s="31"/>
      <c r="GDM230" s="32"/>
      <c r="GDN230" s="32"/>
      <c r="GDO230" s="32"/>
      <c r="GDP230" s="32"/>
      <c r="GDQ230" s="32"/>
      <c r="GDR230" s="31"/>
      <c r="GDS230" s="31"/>
      <c r="GDT230" s="33"/>
      <c r="GDU230" s="33"/>
      <c r="GDV230" s="34"/>
      <c r="GDW230" s="34"/>
      <c r="GDX230" s="35"/>
      <c r="GDY230" s="35"/>
      <c r="GDZ230" s="32"/>
      <c r="GEA230" s="31"/>
      <c r="GEB230" s="31"/>
      <c r="GEC230" s="31"/>
      <c r="GED230" s="32"/>
      <c r="GEE230" s="32"/>
      <c r="GEF230" s="32"/>
      <c r="GEG230" s="32"/>
      <c r="GEH230" s="32"/>
      <c r="GEI230" s="31"/>
      <c r="GEJ230" s="31"/>
      <c r="GEK230" s="33"/>
      <c r="GEL230" s="33"/>
      <c r="GEM230" s="34"/>
      <c r="GEN230" s="34"/>
      <c r="GEO230" s="35"/>
      <c r="GEP230" s="35"/>
      <c r="GEQ230" s="32"/>
      <c r="GER230" s="31"/>
      <c r="GES230" s="31"/>
      <c r="GET230" s="31"/>
      <c r="GEU230" s="32"/>
      <c r="GEV230" s="32"/>
      <c r="GEW230" s="32"/>
      <c r="GEX230" s="32"/>
      <c r="GEY230" s="32"/>
      <c r="GEZ230" s="31"/>
      <c r="GFA230" s="31"/>
      <c r="GFB230" s="33"/>
      <c r="GFC230" s="33"/>
      <c r="GFD230" s="34"/>
      <c r="GFE230" s="34"/>
      <c r="GFF230" s="35"/>
      <c r="GFG230" s="35"/>
      <c r="GFH230" s="32"/>
      <c r="GFI230" s="31"/>
      <c r="GFJ230" s="31"/>
      <c r="GFK230" s="31"/>
      <c r="GFL230" s="32"/>
      <c r="GFM230" s="32"/>
      <c r="GFN230" s="32"/>
      <c r="GFO230" s="32"/>
      <c r="GFP230" s="32"/>
      <c r="GFQ230" s="31"/>
      <c r="GFR230" s="31"/>
      <c r="GFS230" s="33"/>
      <c r="GFT230" s="33"/>
      <c r="GFU230" s="34"/>
      <c r="GFV230" s="34"/>
      <c r="GFW230" s="35"/>
      <c r="GFX230" s="35"/>
      <c r="GFY230" s="32"/>
      <c r="GFZ230" s="31"/>
      <c r="GGA230" s="31"/>
      <c r="GGB230" s="31"/>
      <c r="GGC230" s="32"/>
      <c r="GGD230" s="32"/>
      <c r="GGE230" s="32"/>
      <c r="GGF230" s="32"/>
      <c r="GGG230" s="32"/>
      <c r="GGH230" s="31"/>
      <c r="GGI230" s="31"/>
      <c r="GGJ230" s="33"/>
      <c r="GGK230" s="33"/>
      <c r="GGL230" s="34"/>
      <c r="GGM230" s="34"/>
      <c r="GGN230" s="35"/>
      <c r="GGO230" s="35"/>
      <c r="GGP230" s="32"/>
      <c r="GGQ230" s="31"/>
      <c r="GGR230" s="31"/>
      <c r="GGS230" s="31"/>
      <c r="GGT230" s="32"/>
      <c r="GGU230" s="32"/>
      <c r="GGV230" s="32"/>
      <c r="GGW230" s="32"/>
      <c r="GGX230" s="32"/>
      <c r="GGY230" s="31"/>
      <c r="GGZ230" s="31"/>
      <c r="GHA230" s="33"/>
      <c r="GHB230" s="33"/>
      <c r="GHC230" s="34"/>
      <c r="GHD230" s="34"/>
      <c r="GHE230" s="35"/>
      <c r="GHF230" s="35"/>
      <c r="GHG230" s="32"/>
      <c r="GHH230" s="31"/>
      <c r="GHI230" s="31"/>
      <c r="GHJ230" s="31"/>
      <c r="GHK230" s="32"/>
      <c r="GHL230" s="32"/>
      <c r="GHM230" s="32"/>
      <c r="GHN230" s="32"/>
      <c r="GHO230" s="32"/>
      <c r="GHP230" s="31"/>
      <c r="GHQ230" s="31"/>
      <c r="GHR230" s="33"/>
      <c r="GHS230" s="33"/>
      <c r="GHT230" s="34"/>
      <c r="GHU230" s="34"/>
      <c r="GHV230" s="35"/>
      <c r="GHW230" s="35"/>
      <c r="GHX230" s="32"/>
      <c r="GHY230" s="31"/>
      <c r="GHZ230" s="31"/>
      <c r="GIA230" s="31"/>
      <c r="GIB230" s="32"/>
      <c r="GIC230" s="32"/>
      <c r="GID230" s="32"/>
      <c r="GIE230" s="32"/>
      <c r="GIF230" s="32"/>
      <c r="GIG230" s="31"/>
      <c r="GIH230" s="31"/>
      <c r="GII230" s="33"/>
      <c r="GIJ230" s="33"/>
      <c r="GIK230" s="34"/>
      <c r="GIL230" s="34"/>
      <c r="GIM230" s="35"/>
      <c r="GIN230" s="35"/>
      <c r="GIO230" s="32"/>
      <c r="GIP230" s="31"/>
      <c r="GIQ230" s="31"/>
      <c r="GIR230" s="31"/>
      <c r="GIS230" s="32"/>
      <c r="GIT230" s="32"/>
      <c r="GIU230" s="32"/>
      <c r="GIV230" s="32"/>
      <c r="GIW230" s="32"/>
      <c r="GIX230" s="31"/>
      <c r="GIY230" s="31"/>
      <c r="GIZ230" s="33"/>
      <c r="GJA230" s="33"/>
      <c r="GJB230" s="34"/>
      <c r="GJC230" s="34"/>
      <c r="GJD230" s="35"/>
      <c r="GJE230" s="35"/>
      <c r="GJF230" s="32"/>
      <c r="GJG230" s="31"/>
      <c r="GJH230" s="31"/>
      <c r="GJI230" s="31"/>
      <c r="GJJ230" s="32"/>
      <c r="GJK230" s="32"/>
      <c r="GJL230" s="32"/>
      <c r="GJM230" s="32"/>
      <c r="GJN230" s="32"/>
      <c r="GJO230" s="31"/>
      <c r="GJP230" s="31"/>
      <c r="GJQ230" s="33"/>
      <c r="GJR230" s="33"/>
      <c r="GJS230" s="34"/>
      <c r="GJT230" s="34"/>
      <c r="GJU230" s="35"/>
      <c r="GJV230" s="35"/>
      <c r="GJW230" s="32"/>
      <c r="GJX230" s="31"/>
      <c r="GJY230" s="31"/>
      <c r="GJZ230" s="31"/>
      <c r="GKA230" s="32"/>
      <c r="GKB230" s="32"/>
      <c r="GKC230" s="32"/>
      <c r="GKD230" s="32"/>
      <c r="GKE230" s="32"/>
      <c r="GKF230" s="31"/>
      <c r="GKG230" s="31"/>
      <c r="GKH230" s="33"/>
      <c r="GKI230" s="33"/>
      <c r="GKJ230" s="34"/>
      <c r="GKK230" s="34"/>
      <c r="GKL230" s="35"/>
      <c r="GKM230" s="35"/>
      <c r="GKN230" s="32"/>
      <c r="GKO230" s="31"/>
      <c r="GKP230" s="31"/>
      <c r="GKQ230" s="31"/>
      <c r="GKR230" s="32"/>
      <c r="GKS230" s="32"/>
      <c r="GKT230" s="32"/>
      <c r="GKU230" s="32"/>
      <c r="GKV230" s="32"/>
      <c r="GKW230" s="31"/>
      <c r="GKX230" s="31"/>
      <c r="GKY230" s="33"/>
      <c r="GKZ230" s="33"/>
      <c r="GLA230" s="34"/>
      <c r="GLB230" s="34"/>
      <c r="GLC230" s="35"/>
      <c r="GLD230" s="35"/>
      <c r="GLE230" s="32"/>
      <c r="GLF230" s="31"/>
      <c r="GLG230" s="31"/>
      <c r="GLH230" s="31"/>
      <c r="GLI230" s="32"/>
      <c r="GLJ230" s="32"/>
      <c r="GLK230" s="32"/>
      <c r="GLL230" s="32"/>
      <c r="GLM230" s="32"/>
      <c r="GLN230" s="31"/>
      <c r="GLO230" s="31"/>
      <c r="GLP230" s="33"/>
      <c r="GLQ230" s="33"/>
      <c r="GLR230" s="34"/>
      <c r="GLS230" s="34"/>
      <c r="GLT230" s="35"/>
      <c r="GLU230" s="35"/>
      <c r="GLV230" s="32"/>
      <c r="GLW230" s="31"/>
      <c r="GLX230" s="31"/>
      <c r="GLY230" s="31"/>
      <c r="GLZ230" s="32"/>
      <c r="GMA230" s="32"/>
      <c r="GMB230" s="32"/>
      <c r="GMC230" s="32"/>
      <c r="GMD230" s="32"/>
      <c r="GME230" s="31"/>
      <c r="GMF230" s="31"/>
      <c r="GMG230" s="33"/>
      <c r="GMH230" s="33"/>
      <c r="GMI230" s="34"/>
      <c r="GMJ230" s="34"/>
      <c r="GMK230" s="35"/>
      <c r="GML230" s="35"/>
      <c r="GMM230" s="32"/>
      <c r="GMN230" s="31"/>
      <c r="GMO230" s="31"/>
      <c r="GMP230" s="31"/>
      <c r="GMQ230" s="32"/>
      <c r="GMR230" s="32"/>
      <c r="GMS230" s="32"/>
      <c r="GMT230" s="32"/>
      <c r="GMU230" s="32"/>
      <c r="GMV230" s="31"/>
      <c r="GMW230" s="31"/>
      <c r="GMX230" s="33"/>
      <c r="GMY230" s="33"/>
      <c r="GMZ230" s="34"/>
      <c r="GNA230" s="34"/>
      <c r="GNB230" s="35"/>
      <c r="GNC230" s="35"/>
      <c r="GND230" s="32"/>
      <c r="GNE230" s="31"/>
      <c r="GNF230" s="31"/>
      <c r="GNG230" s="31"/>
      <c r="GNH230" s="32"/>
      <c r="GNI230" s="32"/>
      <c r="GNJ230" s="32"/>
      <c r="GNK230" s="32"/>
      <c r="GNL230" s="32"/>
      <c r="GNM230" s="31"/>
      <c r="GNN230" s="31"/>
      <c r="GNO230" s="33"/>
      <c r="GNP230" s="33"/>
      <c r="GNQ230" s="34"/>
      <c r="GNR230" s="34"/>
      <c r="GNS230" s="35"/>
      <c r="GNT230" s="35"/>
      <c r="GNU230" s="32"/>
      <c r="GNV230" s="31"/>
      <c r="GNW230" s="31"/>
      <c r="GNX230" s="31"/>
      <c r="GNY230" s="32"/>
      <c r="GNZ230" s="32"/>
      <c r="GOA230" s="32"/>
      <c r="GOB230" s="32"/>
      <c r="GOC230" s="32"/>
      <c r="GOD230" s="31"/>
      <c r="GOE230" s="31"/>
      <c r="GOF230" s="33"/>
      <c r="GOG230" s="33"/>
      <c r="GOH230" s="34"/>
      <c r="GOI230" s="34"/>
      <c r="GOJ230" s="35"/>
      <c r="GOK230" s="35"/>
      <c r="GOL230" s="32"/>
      <c r="GOM230" s="31"/>
      <c r="GON230" s="31"/>
      <c r="GOO230" s="31"/>
      <c r="GOP230" s="32"/>
      <c r="GOQ230" s="32"/>
      <c r="GOR230" s="32"/>
      <c r="GOS230" s="32"/>
      <c r="GOT230" s="32"/>
      <c r="GOU230" s="31"/>
      <c r="GOV230" s="31"/>
      <c r="GOW230" s="33"/>
      <c r="GOX230" s="33"/>
      <c r="GOY230" s="34"/>
      <c r="GOZ230" s="34"/>
      <c r="GPA230" s="35"/>
      <c r="GPB230" s="35"/>
      <c r="GPC230" s="32"/>
      <c r="GPD230" s="31"/>
      <c r="GPE230" s="31"/>
      <c r="GPF230" s="31"/>
      <c r="GPG230" s="32"/>
      <c r="GPH230" s="32"/>
      <c r="GPI230" s="32"/>
      <c r="GPJ230" s="32"/>
      <c r="GPK230" s="32"/>
      <c r="GPL230" s="31"/>
      <c r="GPM230" s="31"/>
      <c r="GPN230" s="33"/>
      <c r="GPO230" s="33"/>
      <c r="GPP230" s="34"/>
      <c r="GPQ230" s="34"/>
      <c r="GPR230" s="35"/>
      <c r="GPS230" s="35"/>
      <c r="GPT230" s="32"/>
      <c r="GPU230" s="31"/>
      <c r="GPV230" s="31"/>
      <c r="GPW230" s="31"/>
      <c r="GPX230" s="32"/>
      <c r="GPY230" s="32"/>
      <c r="GPZ230" s="32"/>
      <c r="GQA230" s="32"/>
      <c r="GQB230" s="32"/>
      <c r="GQC230" s="31"/>
      <c r="GQD230" s="31"/>
      <c r="GQE230" s="33"/>
      <c r="GQF230" s="33"/>
      <c r="GQG230" s="34"/>
      <c r="GQH230" s="34"/>
      <c r="GQI230" s="35"/>
      <c r="GQJ230" s="35"/>
      <c r="GQK230" s="32"/>
      <c r="GQL230" s="31"/>
      <c r="GQM230" s="31"/>
      <c r="GQN230" s="31"/>
      <c r="GQO230" s="32"/>
      <c r="GQP230" s="32"/>
      <c r="GQQ230" s="32"/>
      <c r="GQR230" s="32"/>
      <c r="GQS230" s="32"/>
      <c r="GQT230" s="31"/>
      <c r="GQU230" s="31"/>
      <c r="GQV230" s="33"/>
      <c r="GQW230" s="33"/>
      <c r="GQX230" s="34"/>
      <c r="GQY230" s="34"/>
      <c r="GQZ230" s="35"/>
      <c r="GRA230" s="35"/>
      <c r="GRB230" s="32"/>
      <c r="GRC230" s="31"/>
      <c r="GRD230" s="31"/>
      <c r="GRE230" s="31"/>
      <c r="GRF230" s="32"/>
      <c r="GRG230" s="32"/>
      <c r="GRH230" s="32"/>
      <c r="GRI230" s="32"/>
      <c r="GRJ230" s="32"/>
      <c r="GRK230" s="31"/>
      <c r="GRL230" s="31"/>
      <c r="GRM230" s="33"/>
      <c r="GRN230" s="33"/>
      <c r="GRO230" s="34"/>
      <c r="GRP230" s="34"/>
      <c r="GRQ230" s="35"/>
      <c r="GRR230" s="35"/>
      <c r="GRS230" s="32"/>
      <c r="GRT230" s="31"/>
      <c r="GRU230" s="31"/>
      <c r="GRV230" s="31"/>
      <c r="GRW230" s="32"/>
      <c r="GRX230" s="32"/>
      <c r="GRY230" s="32"/>
      <c r="GRZ230" s="32"/>
      <c r="GSA230" s="32"/>
      <c r="GSB230" s="31"/>
      <c r="GSC230" s="31"/>
      <c r="GSD230" s="33"/>
      <c r="GSE230" s="33"/>
      <c r="GSF230" s="34"/>
      <c r="GSG230" s="34"/>
      <c r="GSH230" s="35"/>
      <c r="GSI230" s="35"/>
      <c r="GSJ230" s="32"/>
      <c r="GSK230" s="31"/>
      <c r="GSL230" s="31"/>
      <c r="GSM230" s="31"/>
      <c r="GSN230" s="32"/>
      <c r="GSO230" s="32"/>
      <c r="GSP230" s="32"/>
      <c r="GSQ230" s="32"/>
      <c r="GSR230" s="32"/>
      <c r="GSS230" s="31"/>
      <c r="GST230" s="31"/>
      <c r="GSU230" s="33"/>
      <c r="GSV230" s="33"/>
      <c r="GSW230" s="34"/>
      <c r="GSX230" s="34"/>
      <c r="GSY230" s="35"/>
      <c r="GSZ230" s="35"/>
      <c r="GTA230" s="32"/>
      <c r="GTB230" s="31"/>
      <c r="GTC230" s="31"/>
      <c r="GTD230" s="31"/>
      <c r="GTE230" s="32"/>
      <c r="GTF230" s="32"/>
      <c r="GTG230" s="32"/>
      <c r="GTH230" s="32"/>
      <c r="GTI230" s="32"/>
      <c r="GTJ230" s="31"/>
      <c r="GTK230" s="31"/>
      <c r="GTL230" s="33"/>
      <c r="GTM230" s="33"/>
      <c r="GTN230" s="34"/>
      <c r="GTO230" s="34"/>
      <c r="GTP230" s="35"/>
      <c r="GTQ230" s="35"/>
      <c r="GTR230" s="32"/>
      <c r="GTS230" s="31"/>
      <c r="GTT230" s="31"/>
      <c r="GTU230" s="31"/>
      <c r="GTV230" s="32"/>
      <c r="GTW230" s="32"/>
      <c r="GTX230" s="32"/>
      <c r="GTY230" s="32"/>
      <c r="GTZ230" s="32"/>
      <c r="GUA230" s="31"/>
      <c r="GUB230" s="31"/>
      <c r="GUC230" s="33"/>
      <c r="GUD230" s="33"/>
      <c r="GUE230" s="34"/>
      <c r="GUF230" s="34"/>
      <c r="GUG230" s="35"/>
      <c r="GUH230" s="35"/>
      <c r="GUI230" s="32"/>
      <c r="GUJ230" s="31"/>
      <c r="GUK230" s="31"/>
      <c r="GUL230" s="31"/>
      <c r="GUM230" s="32"/>
      <c r="GUN230" s="32"/>
      <c r="GUO230" s="32"/>
      <c r="GUP230" s="32"/>
      <c r="GUQ230" s="32"/>
      <c r="GUR230" s="31"/>
      <c r="GUS230" s="31"/>
      <c r="GUT230" s="33"/>
      <c r="GUU230" s="33"/>
      <c r="GUV230" s="34"/>
      <c r="GUW230" s="34"/>
      <c r="GUX230" s="35"/>
      <c r="GUY230" s="35"/>
      <c r="GUZ230" s="32"/>
      <c r="GVA230" s="31"/>
      <c r="GVB230" s="31"/>
      <c r="GVC230" s="31"/>
      <c r="GVD230" s="32"/>
      <c r="GVE230" s="32"/>
      <c r="GVF230" s="32"/>
      <c r="GVG230" s="32"/>
      <c r="GVH230" s="32"/>
      <c r="GVI230" s="31"/>
      <c r="GVJ230" s="31"/>
      <c r="GVK230" s="33"/>
      <c r="GVL230" s="33"/>
      <c r="GVM230" s="34"/>
      <c r="GVN230" s="34"/>
      <c r="GVO230" s="35"/>
      <c r="GVP230" s="35"/>
      <c r="GVQ230" s="32"/>
      <c r="GVR230" s="31"/>
      <c r="GVS230" s="31"/>
      <c r="GVT230" s="31"/>
      <c r="GVU230" s="32"/>
      <c r="GVV230" s="32"/>
      <c r="GVW230" s="32"/>
      <c r="GVX230" s="32"/>
      <c r="GVY230" s="32"/>
      <c r="GVZ230" s="31"/>
      <c r="GWA230" s="31"/>
      <c r="GWB230" s="33"/>
      <c r="GWC230" s="33"/>
      <c r="GWD230" s="34"/>
      <c r="GWE230" s="34"/>
      <c r="GWF230" s="35"/>
      <c r="GWG230" s="35"/>
      <c r="GWH230" s="32"/>
      <c r="GWI230" s="31"/>
      <c r="GWJ230" s="31"/>
      <c r="GWK230" s="31"/>
      <c r="GWL230" s="32"/>
      <c r="GWM230" s="32"/>
      <c r="GWN230" s="32"/>
      <c r="GWO230" s="32"/>
      <c r="GWP230" s="32"/>
      <c r="GWQ230" s="31"/>
      <c r="GWR230" s="31"/>
      <c r="GWS230" s="33"/>
      <c r="GWT230" s="33"/>
      <c r="GWU230" s="34"/>
      <c r="GWV230" s="34"/>
      <c r="GWW230" s="35"/>
      <c r="GWX230" s="35"/>
      <c r="GWY230" s="32"/>
      <c r="GWZ230" s="31"/>
      <c r="GXA230" s="31"/>
      <c r="GXB230" s="31"/>
      <c r="GXC230" s="32"/>
      <c r="GXD230" s="32"/>
      <c r="GXE230" s="32"/>
      <c r="GXF230" s="32"/>
      <c r="GXG230" s="32"/>
      <c r="GXH230" s="31"/>
      <c r="GXI230" s="31"/>
      <c r="GXJ230" s="33"/>
      <c r="GXK230" s="33"/>
      <c r="GXL230" s="34"/>
      <c r="GXM230" s="34"/>
      <c r="GXN230" s="35"/>
      <c r="GXO230" s="35"/>
      <c r="GXP230" s="32"/>
      <c r="GXQ230" s="31"/>
      <c r="GXR230" s="31"/>
      <c r="GXS230" s="31"/>
      <c r="GXT230" s="32"/>
      <c r="GXU230" s="32"/>
      <c r="GXV230" s="32"/>
      <c r="GXW230" s="32"/>
      <c r="GXX230" s="32"/>
      <c r="GXY230" s="31"/>
      <c r="GXZ230" s="31"/>
      <c r="GYA230" s="33"/>
      <c r="GYB230" s="33"/>
      <c r="GYC230" s="34"/>
      <c r="GYD230" s="34"/>
      <c r="GYE230" s="35"/>
      <c r="GYF230" s="35"/>
      <c r="GYG230" s="32"/>
      <c r="GYH230" s="31"/>
      <c r="GYI230" s="31"/>
      <c r="GYJ230" s="31"/>
      <c r="GYK230" s="32"/>
      <c r="GYL230" s="32"/>
      <c r="GYM230" s="32"/>
      <c r="GYN230" s="32"/>
      <c r="GYO230" s="32"/>
      <c r="GYP230" s="31"/>
      <c r="GYQ230" s="31"/>
      <c r="GYR230" s="33"/>
      <c r="GYS230" s="33"/>
      <c r="GYT230" s="34"/>
      <c r="GYU230" s="34"/>
      <c r="GYV230" s="35"/>
      <c r="GYW230" s="35"/>
      <c r="GYX230" s="32"/>
      <c r="GYY230" s="31"/>
      <c r="GYZ230" s="31"/>
      <c r="GZA230" s="31"/>
      <c r="GZB230" s="32"/>
      <c r="GZC230" s="32"/>
      <c r="GZD230" s="32"/>
      <c r="GZE230" s="32"/>
      <c r="GZF230" s="32"/>
      <c r="GZG230" s="31"/>
      <c r="GZH230" s="31"/>
      <c r="GZI230" s="33"/>
      <c r="GZJ230" s="33"/>
      <c r="GZK230" s="34"/>
      <c r="GZL230" s="34"/>
      <c r="GZM230" s="35"/>
      <c r="GZN230" s="35"/>
      <c r="GZO230" s="32"/>
      <c r="GZP230" s="31"/>
      <c r="GZQ230" s="31"/>
      <c r="GZR230" s="31"/>
      <c r="GZS230" s="32"/>
      <c r="GZT230" s="32"/>
      <c r="GZU230" s="32"/>
      <c r="GZV230" s="32"/>
      <c r="GZW230" s="32"/>
      <c r="GZX230" s="31"/>
      <c r="GZY230" s="31"/>
      <c r="GZZ230" s="33"/>
      <c r="HAA230" s="33"/>
      <c r="HAB230" s="34"/>
      <c r="HAC230" s="34"/>
      <c r="HAD230" s="35"/>
      <c r="HAE230" s="35"/>
      <c r="HAF230" s="32"/>
      <c r="HAG230" s="31"/>
      <c r="HAH230" s="31"/>
      <c r="HAI230" s="31"/>
      <c r="HAJ230" s="32"/>
      <c r="HAK230" s="32"/>
      <c r="HAL230" s="32"/>
      <c r="HAM230" s="32"/>
      <c r="HAN230" s="32"/>
      <c r="HAO230" s="31"/>
      <c r="HAP230" s="31"/>
      <c r="HAQ230" s="33"/>
      <c r="HAR230" s="33"/>
      <c r="HAS230" s="34"/>
      <c r="HAT230" s="34"/>
      <c r="HAU230" s="35"/>
      <c r="HAV230" s="35"/>
      <c r="HAW230" s="32"/>
      <c r="HAX230" s="31"/>
      <c r="HAY230" s="31"/>
      <c r="HAZ230" s="31"/>
      <c r="HBA230" s="32"/>
      <c r="HBB230" s="32"/>
      <c r="HBC230" s="32"/>
      <c r="HBD230" s="32"/>
      <c r="HBE230" s="32"/>
      <c r="HBF230" s="31"/>
      <c r="HBG230" s="31"/>
      <c r="HBH230" s="33"/>
      <c r="HBI230" s="33"/>
      <c r="HBJ230" s="34"/>
      <c r="HBK230" s="34"/>
      <c r="HBL230" s="35"/>
      <c r="HBM230" s="35"/>
      <c r="HBN230" s="32"/>
      <c r="HBO230" s="31"/>
      <c r="HBP230" s="31"/>
      <c r="HBQ230" s="31"/>
      <c r="HBR230" s="32"/>
      <c r="HBS230" s="32"/>
      <c r="HBT230" s="32"/>
      <c r="HBU230" s="32"/>
      <c r="HBV230" s="32"/>
      <c r="HBW230" s="31"/>
      <c r="HBX230" s="31"/>
      <c r="HBY230" s="33"/>
      <c r="HBZ230" s="33"/>
      <c r="HCA230" s="34"/>
      <c r="HCB230" s="34"/>
      <c r="HCC230" s="35"/>
      <c r="HCD230" s="35"/>
      <c r="HCE230" s="32"/>
      <c r="HCF230" s="31"/>
      <c r="HCG230" s="31"/>
      <c r="HCH230" s="31"/>
      <c r="HCI230" s="32"/>
      <c r="HCJ230" s="32"/>
      <c r="HCK230" s="32"/>
      <c r="HCL230" s="32"/>
      <c r="HCM230" s="32"/>
      <c r="HCN230" s="31"/>
      <c r="HCO230" s="31"/>
      <c r="HCP230" s="33"/>
      <c r="HCQ230" s="33"/>
      <c r="HCR230" s="34"/>
      <c r="HCS230" s="34"/>
      <c r="HCT230" s="35"/>
      <c r="HCU230" s="35"/>
      <c r="HCV230" s="32"/>
      <c r="HCW230" s="31"/>
      <c r="HCX230" s="31"/>
      <c r="HCY230" s="31"/>
      <c r="HCZ230" s="32"/>
      <c r="HDA230" s="32"/>
      <c r="HDB230" s="32"/>
      <c r="HDC230" s="32"/>
      <c r="HDD230" s="32"/>
      <c r="HDE230" s="31"/>
      <c r="HDF230" s="31"/>
      <c r="HDG230" s="33"/>
      <c r="HDH230" s="33"/>
      <c r="HDI230" s="34"/>
      <c r="HDJ230" s="34"/>
      <c r="HDK230" s="35"/>
      <c r="HDL230" s="35"/>
      <c r="HDM230" s="32"/>
      <c r="HDN230" s="31"/>
      <c r="HDO230" s="31"/>
      <c r="HDP230" s="31"/>
      <c r="HDQ230" s="32"/>
      <c r="HDR230" s="32"/>
      <c r="HDS230" s="32"/>
      <c r="HDT230" s="32"/>
      <c r="HDU230" s="32"/>
      <c r="HDV230" s="31"/>
      <c r="HDW230" s="31"/>
      <c r="HDX230" s="33"/>
      <c r="HDY230" s="33"/>
      <c r="HDZ230" s="34"/>
      <c r="HEA230" s="34"/>
      <c r="HEB230" s="35"/>
      <c r="HEC230" s="35"/>
      <c r="HED230" s="32"/>
      <c r="HEE230" s="31"/>
      <c r="HEF230" s="31"/>
      <c r="HEG230" s="31"/>
      <c r="HEH230" s="32"/>
      <c r="HEI230" s="32"/>
      <c r="HEJ230" s="32"/>
      <c r="HEK230" s="32"/>
      <c r="HEL230" s="32"/>
      <c r="HEM230" s="31"/>
      <c r="HEN230" s="31"/>
      <c r="HEO230" s="33"/>
      <c r="HEP230" s="33"/>
      <c r="HEQ230" s="34"/>
      <c r="HER230" s="34"/>
      <c r="HES230" s="35"/>
      <c r="HET230" s="35"/>
      <c r="HEU230" s="32"/>
      <c r="HEV230" s="31"/>
      <c r="HEW230" s="31"/>
      <c r="HEX230" s="31"/>
      <c r="HEY230" s="32"/>
      <c r="HEZ230" s="32"/>
      <c r="HFA230" s="32"/>
      <c r="HFB230" s="32"/>
      <c r="HFC230" s="32"/>
      <c r="HFD230" s="31"/>
      <c r="HFE230" s="31"/>
      <c r="HFF230" s="33"/>
      <c r="HFG230" s="33"/>
      <c r="HFH230" s="34"/>
      <c r="HFI230" s="34"/>
      <c r="HFJ230" s="35"/>
      <c r="HFK230" s="35"/>
      <c r="HFL230" s="32"/>
      <c r="HFM230" s="31"/>
      <c r="HFN230" s="31"/>
      <c r="HFO230" s="31"/>
      <c r="HFP230" s="32"/>
      <c r="HFQ230" s="32"/>
      <c r="HFR230" s="32"/>
      <c r="HFS230" s="32"/>
      <c r="HFT230" s="32"/>
      <c r="HFU230" s="31"/>
      <c r="HFV230" s="31"/>
      <c r="HFW230" s="33"/>
      <c r="HFX230" s="33"/>
      <c r="HFY230" s="34"/>
      <c r="HFZ230" s="34"/>
      <c r="HGA230" s="35"/>
      <c r="HGB230" s="35"/>
      <c r="HGC230" s="32"/>
      <c r="HGD230" s="31"/>
      <c r="HGE230" s="31"/>
      <c r="HGF230" s="31"/>
      <c r="HGG230" s="32"/>
      <c r="HGH230" s="32"/>
      <c r="HGI230" s="32"/>
      <c r="HGJ230" s="32"/>
      <c r="HGK230" s="32"/>
      <c r="HGL230" s="31"/>
      <c r="HGM230" s="31"/>
      <c r="HGN230" s="33"/>
      <c r="HGO230" s="33"/>
      <c r="HGP230" s="34"/>
      <c r="HGQ230" s="34"/>
      <c r="HGR230" s="35"/>
      <c r="HGS230" s="35"/>
      <c r="HGT230" s="32"/>
      <c r="HGU230" s="31"/>
      <c r="HGV230" s="31"/>
      <c r="HGW230" s="31"/>
      <c r="HGX230" s="32"/>
      <c r="HGY230" s="32"/>
      <c r="HGZ230" s="32"/>
      <c r="HHA230" s="32"/>
      <c r="HHB230" s="32"/>
      <c r="HHC230" s="31"/>
      <c r="HHD230" s="31"/>
      <c r="HHE230" s="33"/>
      <c r="HHF230" s="33"/>
      <c r="HHG230" s="34"/>
      <c r="HHH230" s="34"/>
      <c r="HHI230" s="35"/>
      <c r="HHJ230" s="35"/>
      <c r="HHK230" s="32"/>
      <c r="HHL230" s="31"/>
      <c r="HHM230" s="31"/>
      <c r="HHN230" s="31"/>
      <c r="HHO230" s="32"/>
      <c r="HHP230" s="32"/>
      <c r="HHQ230" s="32"/>
      <c r="HHR230" s="32"/>
      <c r="HHS230" s="32"/>
      <c r="HHT230" s="31"/>
      <c r="HHU230" s="31"/>
      <c r="HHV230" s="33"/>
      <c r="HHW230" s="33"/>
      <c r="HHX230" s="34"/>
      <c r="HHY230" s="34"/>
      <c r="HHZ230" s="35"/>
      <c r="HIA230" s="35"/>
      <c r="HIB230" s="32"/>
      <c r="HIC230" s="31"/>
      <c r="HID230" s="31"/>
      <c r="HIE230" s="31"/>
      <c r="HIF230" s="32"/>
      <c r="HIG230" s="32"/>
      <c r="HIH230" s="32"/>
      <c r="HII230" s="32"/>
      <c r="HIJ230" s="32"/>
      <c r="HIK230" s="31"/>
      <c r="HIL230" s="31"/>
      <c r="HIM230" s="33"/>
      <c r="HIN230" s="33"/>
      <c r="HIO230" s="34"/>
      <c r="HIP230" s="34"/>
      <c r="HIQ230" s="35"/>
      <c r="HIR230" s="35"/>
      <c r="HIS230" s="32"/>
      <c r="HIT230" s="31"/>
      <c r="HIU230" s="31"/>
      <c r="HIV230" s="31"/>
      <c r="HIW230" s="32"/>
      <c r="HIX230" s="32"/>
      <c r="HIY230" s="32"/>
      <c r="HIZ230" s="32"/>
      <c r="HJA230" s="32"/>
      <c r="HJB230" s="31"/>
      <c r="HJC230" s="31"/>
      <c r="HJD230" s="33"/>
      <c r="HJE230" s="33"/>
      <c r="HJF230" s="34"/>
      <c r="HJG230" s="34"/>
      <c r="HJH230" s="35"/>
      <c r="HJI230" s="35"/>
      <c r="HJJ230" s="32"/>
      <c r="HJK230" s="31"/>
      <c r="HJL230" s="31"/>
      <c r="HJM230" s="31"/>
      <c r="HJN230" s="32"/>
      <c r="HJO230" s="32"/>
      <c r="HJP230" s="32"/>
      <c r="HJQ230" s="32"/>
      <c r="HJR230" s="32"/>
      <c r="HJS230" s="31"/>
      <c r="HJT230" s="31"/>
      <c r="HJU230" s="33"/>
      <c r="HJV230" s="33"/>
      <c r="HJW230" s="34"/>
      <c r="HJX230" s="34"/>
      <c r="HJY230" s="35"/>
      <c r="HJZ230" s="35"/>
      <c r="HKA230" s="32"/>
      <c r="HKB230" s="31"/>
      <c r="HKC230" s="31"/>
      <c r="HKD230" s="31"/>
      <c r="HKE230" s="32"/>
      <c r="HKF230" s="32"/>
      <c r="HKG230" s="32"/>
      <c r="HKH230" s="32"/>
      <c r="HKI230" s="32"/>
      <c r="HKJ230" s="31"/>
      <c r="HKK230" s="31"/>
      <c r="HKL230" s="33"/>
      <c r="HKM230" s="33"/>
      <c r="HKN230" s="34"/>
      <c r="HKO230" s="34"/>
      <c r="HKP230" s="35"/>
      <c r="HKQ230" s="35"/>
      <c r="HKR230" s="32"/>
      <c r="HKS230" s="31"/>
      <c r="HKT230" s="31"/>
      <c r="HKU230" s="31"/>
      <c r="HKV230" s="32"/>
      <c r="HKW230" s="32"/>
      <c r="HKX230" s="32"/>
      <c r="HKY230" s="32"/>
      <c r="HKZ230" s="32"/>
      <c r="HLA230" s="31"/>
      <c r="HLB230" s="31"/>
      <c r="HLC230" s="33"/>
      <c r="HLD230" s="33"/>
      <c r="HLE230" s="34"/>
      <c r="HLF230" s="34"/>
      <c r="HLG230" s="35"/>
      <c r="HLH230" s="35"/>
      <c r="HLI230" s="32"/>
      <c r="HLJ230" s="31"/>
      <c r="HLK230" s="31"/>
      <c r="HLL230" s="31"/>
      <c r="HLM230" s="32"/>
      <c r="HLN230" s="32"/>
      <c r="HLO230" s="32"/>
      <c r="HLP230" s="32"/>
      <c r="HLQ230" s="32"/>
      <c r="HLR230" s="31"/>
      <c r="HLS230" s="31"/>
      <c r="HLT230" s="33"/>
      <c r="HLU230" s="33"/>
      <c r="HLV230" s="34"/>
      <c r="HLW230" s="34"/>
      <c r="HLX230" s="35"/>
      <c r="HLY230" s="35"/>
      <c r="HLZ230" s="32"/>
      <c r="HMA230" s="31"/>
      <c r="HMB230" s="31"/>
      <c r="HMC230" s="31"/>
      <c r="HMD230" s="32"/>
      <c r="HME230" s="32"/>
      <c r="HMF230" s="32"/>
      <c r="HMG230" s="32"/>
      <c r="HMH230" s="32"/>
      <c r="HMI230" s="31"/>
      <c r="HMJ230" s="31"/>
      <c r="HMK230" s="33"/>
      <c r="HML230" s="33"/>
      <c r="HMM230" s="34"/>
      <c r="HMN230" s="34"/>
      <c r="HMO230" s="35"/>
      <c r="HMP230" s="35"/>
      <c r="HMQ230" s="32"/>
      <c r="HMR230" s="31"/>
      <c r="HMS230" s="31"/>
      <c r="HMT230" s="31"/>
      <c r="HMU230" s="32"/>
      <c r="HMV230" s="32"/>
      <c r="HMW230" s="32"/>
      <c r="HMX230" s="32"/>
      <c r="HMY230" s="32"/>
      <c r="HMZ230" s="31"/>
      <c r="HNA230" s="31"/>
      <c r="HNB230" s="33"/>
      <c r="HNC230" s="33"/>
      <c r="HND230" s="34"/>
      <c r="HNE230" s="34"/>
      <c r="HNF230" s="35"/>
      <c r="HNG230" s="35"/>
      <c r="HNH230" s="32"/>
      <c r="HNI230" s="31"/>
      <c r="HNJ230" s="31"/>
      <c r="HNK230" s="31"/>
      <c r="HNL230" s="32"/>
      <c r="HNM230" s="32"/>
      <c r="HNN230" s="32"/>
      <c r="HNO230" s="32"/>
      <c r="HNP230" s="32"/>
      <c r="HNQ230" s="31"/>
      <c r="HNR230" s="31"/>
      <c r="HNS230" s="33"/>
      <c r="HNT230" s="33"/>
      <c r="HNU230" s="34"/>
      <c r="HNV230" s="34"/>
      <c r="HNW230" s="35"/>
      <c r="HNX230" s="35"/>
      <c r="HNY230" s="32"/>
      <c r="HNZ230" s="31"/>
      <c r="HOA230" s="31"/>
      <c r="HOB230" s="31"/>
      <c r="HOC230" s="32"/>
      <c r="HOD230" s="32"/>
      <c r="HOE230" s="32"/>
      <c r="HOF230" s="32"/>
      <c r="HOG230" s="32"/>
      <c r="HOH230" s="31"/>
      <c r="HOI230" s="31"/>
      <c r="HOJ230" s="33"/>
      <c r="HOK230" s="33"/>
      <c r="HOL230" s="34"/>
      <c r="HOM230" s="34"/>
      <c r="HON230" s="35"/>
      <c r="HOO230" s="35"/>
      <c r="HOP230" s="32"/>
      <c r="HOQ230" s="31"/>
      <c r="HOR230" s="31"/>
      <c r="HOS230" s="31"/>
      <c r="HOT230" s="32"/>
      <c r="HOU230" s="32"/>
      <c r="HOV230" s="32"/>
      <c r="HOW230" s="32"/>
      <c r="HOX230" s="32"/>
      <c r="HOY230" s="31"/>
      <c r="HOZ230" s="31"/>
      <c r="HPA230" s="33"/>
      <c r="HPB230" s="33"/>
      <c r="HPC230" s="34"/>
      <c r="HPD230" s="34"/>
      <c r="HPE230" s="35"/>
      <c r="HPF230" s="35"/>
      <c r="HPG230" s="32"/>
      <c r="HPH230" s="31"/>
      <c r="HPI230" s="31"/>
      <c r="HPJ230" s="31"/>
      <c r="HPK230" s="32"/>
      <c r="HPL230" s="32"/>
      <c r="HPM230" s="32"/>
      <c r="HPN230" s="32"/>
      <c r="HPO230" s="32"/>
      <c r="HPP230" s="31"/>
      <c r="HPQ230" s="31"/>
      <c r="HPR230" s="33"/>
      <c r="HPS230" s="33"/>
      <c r="HPT230" s="34"/>
      <c r="HPU230" s="34"/>
      <c r="HPV230" s="35"/>
      <c r="HPW230" s="35"/>
      <c r="HPX230" s="32"/>
      <c r="HPY230" s="31"/>
      <c r="HPZ230" s="31"/>
      <c r="HQA230" s="31"/>
      <c r="HQB230" s="32"/>
      <c r="HQC230" s="32"/>
      <c r="HQD230" s="32"/>
      <c r="HQE230" s="32"/>
      <c r="HQF230" s="32"/>
      <c r="HQG230" s="31"/>
      <c r="HQH230" s="31"/>
      <c r="HQI230" s="33"/>
      <c r="HQJ230" s="33"/>
      <c r="HQK230" s="34"/>
      <c r="HQL230" s="34"/>
      <c r="HQM230" s="35"/>
      <c r="HQN230" s="35"/>
      <c r="HQO230" s="32"/>
      <c r="HQP230" s="31"/>
      <c r="HQQ230" s="31"/>
      <c r="HQR230" s="31"/>
      <c r="HQS230" s="32"/>
      <c r="HQT230" s="32"/>
      <c r="HQU230" s="32"/>
      <c r="HQV230" s="32"/>
      <c r="HQW230" s="32"/>
      <c r="HQX230" s="31"/>
      <c r="HQY230" s="31"/>
      <c r="HQZ230" s="33"/>
      <c r="HRA230" s="33"/>
      <c r="HRB230" s="34"/>
      <c r="HRC230" s="34"/>
      <c r="HRD230" s="35"/>
      <c r="HRE230" s="35"/>
      <c r="HRF230" s="32"/>
      <c r="HRG230" s="31"/>
      <c r="HRH230" s="31"/>
      <c r="HRI230" s="31"/>
      <c r="HRJ230" s="32"/>
      <c r="HRK230" s="32"/>
      <c r="HRL230" s="32"/>
      <c r="HRM230" s="32"/>
      <c r="HRN230" s="32"/>
      <c r="HRO230" s="31"/>
      <c r="HRP230" s="31"/>
      <c r="HRQ230" s="33"/>
      <c r="HRR230" s="33"/>
      <c r="HRS230" s="34"/>
      <c r="HRT230" s="34"/>
      <c r="HRU230" s="35"/>
      <c r="HRV230" s="35"/>
      <c r="HRW230" s="32"/>
      <c r="HRX230" s="31"/>
      <c r="HRY230" s="31"/>
      <c r="HRZ230" s="31"/>
      <c r="HSA230" s="32"/>
      <c r="HSB230" s="32"/>
      <c r="HSC230" s="32"/>
      <c r="HSD230" s="32"/>
      <c r="HSE230" s="32"/>
      <c r="HSF230" s="31"/>
      <c r="HSG230" s="31"/>
      <c r="HSH230" s="33"/>
      <c r="HSI230" s="33"/>
      <c r="HSJ230" s="34"/>
      <c r="HSK230" s="34"/>
      <c r="HSL230" s="35"/>
      <c r="HSM230" s="35"/>
      <c r="HSN230" s="32"/>
      <c r="HSO230" s="31"/>
      <c r="HSP230" s="31"/>
      <c r="HSQ230" s="31"/>
      <c r="HSR230" s="32"/>
      <c r="HSS230" s="32"/>
      <c r="HST230" s="32"/>
      <c r="HSU230" s="32"/>
      <c r="HSV230" s="32"/>
      <c r="HSW230" s="31"/>
      <c r="HSX230" s="31"/>
      <c r="HSY230" s="33"/>
      <c r="HSZ230" s="33"/>
      <c r="HTA230" s="34"/>
      <c r="HTB230" s="34"/>
      <c r="HTC230" s="35"/>
      <c r="HTD230" s="35"/>
      <c r="HTE230" s="32"/>
      <c r="HTF230" s="31"/>
      <c r="HTG230" s="31"/>
      <c r="HTH230" s="31"/>
      <c r="HTI230" s="32"/>
      <c r="HTJ230" s="32"/>
      <c r="HTK230" s="32"/>
      <c r="HTL230" s="32"/>
      <c r="HTM230" s="32"/>
      <c r="HTN230" s="31"/>
      <c r="HTO230" s="31"/>
      <c r="HTP230" s="33"/>
      <c r="HTQ230" s="33"/>
      <c r="HTR230" s="34"/>
      <c r="HTS230" s="34"/>
      <c r="HTT230" s="35"/>
      <c r="HTU230" s="35"/>
      <c r="HTV230" s="32"/>
      <c r="HTW230" s="31"/>
      <c r="HTX230" s="31"/>
      <c r="HTY230" s="31"/>
      <c r="HTZ230" s="32"/>
      <c r="HUA230" s="32"/>
      <c r="HUB230" s="32"/>
      <c r="HUC230" s="32"/>
      <c r="HUD230" s="32"/>
      <c r="HUE230" s="31"/>
      <c r="HUF230" s="31"/>
      <c r="HUG230" s="33"/>
      <c r="HUH230" s="33"/>
      <c r="HUI230" s="34"/>
      <c r="HUJ230" s="34"/>
      <c r="HUK230" s="35"/>
      <c r="HUL230" s="35"/>
      <c r="HUM230" s="32"/>
      <c r="HUN230" s="31"/>
      <c r="HUO230" s="31"/>
      <c r="HUP230" s="31"/>
      <c r="HUQ230" s="32"/>
      <c r="HUR230" s="32"/>
      <c r="HUS230" s="32"/>
      <c r="HUT230" s="32"/>
      <c r="HUU230" s="32"/>
      <c r="HUV230" s="31"/>
      <c r="HUW230" s="31"/>
      <c r="HUX230" s="33"/>
      <c r="HUY230" s="33"/>
      <c r="HUZ230" s="34"/>
      <c r="HVA230" s="34"/>
      <c r="HVB230" s="35"/>
      <c r="HVC230" s="35"/>
      <c r="HVD230" s="32"/>
      <c r="HVE230" s="31"/>
      <c r="HVF230" s="31"/>
      <c r="HVG230" s="31"/>
      <c r="HVH230" s="32"/>
      <c r="HVI230" s="32"/>
      <c r="HVJ230" s="32"/>
      <c r="HVK230" s="32"/>
      <c r="HVL230" s="32"/>
      <c r="HVM230" s="31"/>
      <c r="HVN230" s="31"/>
      <c r="HVO230" s="33"/>
      <c r="HVP230" s="33"/>
      <c r="HVQ230" s="34"/>
      <c r="HVR230" s="34"/>
      <c r="HVS230" s="35"/>
      <c r="HVT230" s="35"/>
      <c r="HVU230" s="32"/>
      <c r="HVV230" s="31"/>
      <c r="HVW230" s="31"/>
      <c r="HVX230" s="31"/>
      <c r="HVY230" s="32"/>
      <c r="HVZ230" s="32"/>
      <c r="HWA230" s="32"/>
      <c r="HWB230" s="32"/>
      <c r="HWC230" s="32"/>
      <c r="HWD230" s="31"/>
      <c r="HWE230" s="31"/>
      <c r="HWF230" s="33"/>
      <c r="HWG230" s="33"/>
      <c r="HWH230" s="34"/>
      <c r="HWI230" s="34"/>
      <c r="HWJ230" s="35"/>
      <c r="HWK230" s="35"/>
      <c r="HWL230" s="32"/>
      <c r="HWM230" s="31"/>
      <c r="HWN230" s="31"/>
      <c r="HWO230" s="31"/>
      <c r="HWP230" s="32"/>
      <c r="HWQ230" s="32"/>
      <c r="HWR230" s="32"/>
      <c r="HWS230" s="32"/>
      <c r="HWT230" s="32"/>
      <c r="HWU230" s="31"/>
      <c r="HWV230" s="31"/>
      <c r="HWW230" s="33"/>
      <c r="HWX230" s="33"/>
      <c r="HWY230" s="34"/>
      <c r="HWZ230" s="34"/>
      <c r="HXA230" s="35"/>
      <c r="HXB230" s="35"/>
      <c r="HXC230" s="32"/>
      <c r="HXD230" s="31"/>
      <c r="HXE230" s="31"/>
      <c r="HXF230" s="31"/>
      <c r="HXG230" s="32"/>
      <c r="HXH230" s="32"/>
      <c r="HXI230" s="32"/>
      <c r="HXJ230" s="32"/>
      <c r="HXK230" s="32"/>
      <c r="HXL230" s="31"/>
      <c r="HXM230" s="31"/>
      <c r="HXN230" s="33"/>
      <c r="HXO230" s="33"/>
      <c r="HXP230" s="34"/>
      <c r="HXQ230" s="34"/>
      <c r="HXR230" s="35"/>
      <c r="HXS230" s="35"/>
      <c r="HXT230" s="32"/>
      <c r="HXU230" s="31"/>
      <c r="HXV230" s="31"/>
      <c r="HXW230" s="31"/>
      <c r="HXX230" s="32"/>
      <c r="HXY230" s="32"/>
      <c r="HXZ230" s="32"/>
      <c r="HYA230" s="32"/>
      <c r="HYB230" s="32"/>
      <c r="HYC230" s="31"/>
      <c r="HYD230" s="31"/>
      <c r="HYE230" s="33"/>
      <c r="HYF230" s="33"/>
      <c r="HYG230" s="34"/>
      <c r="HYH230" s="34"/>
      <c r="HYI230" s="35"/>
      <c r="HYJ230" s="35"/>
      <c r="HYK230" s="32"/>
      <c r="HYL230" s="31"/>
      <c r="HYM230" s="31"/>
      <c r="HYN230" s="31"/>
      <c r="HYO230" s="32"/>
      <c r="HYP230" s="32"/>
      <c r="HYQ230" s="32"/>
      <c r="HYR230" s="32"/>
      <c r="HYS230" s="32"/>
      <c r="HYT230" s="31"/>
      <c r="HYU230" s="31"/>
      <c r="HYV230" s="33"/>
      <c r="HYW230" s="33"/>
      <c r="HYX230" s="34"/>
      <c r="HYY230" s="34"/>
      <c r="HYZ230" s="35"/>
      <c r="HZA230" s="35"/>
      <c r="HZB230" s="32"/>
      <c r="HZC230" s="31"/>
      <c r="HZD230" s="31"/>
      <c r="HZE230" s="31"/>
      <c r="HZF230" s="32"/>
      <c r="HZG230" s="32"/>
      <c r="HZH230" s="32"/>
      <c r="HZI230" s="32"/>
      <c r="HZJ230" s="32"/>
      <c r="HZK230" s="31"/>
      <c r="HZL230" s="31"/>
      <c r="HZM230" s="33"/>
      <c r="HZN230" s="33"/>
      <c r="HZO230" s="34"/>
      <c r="HZP230" s="34"/>
      <c r="HZQ230" s="35"/>
      <c r="HZR230" s="35"/>
      <c r="HZS230" s="32"/>
      <c r="HZT230" s="31"/>
      <c r="HZU230" s="31"/>
      <c r="HZV230" s="31"/>
      <c r="HZW230" s="32"/>
      <c r="HZX230" s="32"/>
      <c r="HZY230" s="32"/>
      <c r="HZZ230" s="32"/>
      <c r="IAA230" s="32"/>
      <c r="IAB230" s="31"/>
      <c r="IAC230" s="31"/>
      <c r="IAD230" s="33"/>
      <c r="IAE230" s="33"/>
      <c r="IAF230" s="34"/>
      <c r="IAG230" s="34"/>
      <c r="IAH230" s="35"/>
      <c r="IAI230" s="35"/>
      <c r="IAJ230" s="32"/>
      <c r="IAK230" s="31"/>
      <c r="IAL230" s="31"/>
      <c r="IAM230" s="31"/>
      <c r="IAN230" s="32"/>
      <c r="IAO230" s="32"/>
      <c r="IAP230" s="32"/>
      <c r="IAQ230" s="32"/>
      <c r="IAR230" s="32"/>
      <c r="IAS230" s="31"/>
      <c r="IAT230" s="31"/>
      <c r="IAU230" s="33"/>
      <c r="IAV230" s="33"/>
      <c r="IAW230" s="34"/>
      <c r="IAX230" s="34"/>
      <c r="IAY230" s="35"/>
      <c r="IAZ230" s="35"/>
      <c r="IBA230" s="32"/>
      <c r="IBB230" s="31"/>
      <c r="IBC230" s="31"/>
      <c r="IBD230" s="31"/>
      <c r="IBE230" s="32"/>
      <c r="IBF230" s="32"/>
      <c r="IBG230" s="32"/>
      <c r="IBH230" s="32"/>
      <c r="IBI230" s="32"/>
      <c r="IBJ230" s="31"/>
      <c r="IBK230" s="31"/>
      <c r="IBL230" s="33"/>
      <c r="IBM230" s="33"/>
      <c r="IBN230" s="34"/>
      <c r="IBO230" s="34"/>
      <c r="IBP230" s="35"/>
      <c r="IBQ230" s="35"/>
      <c r="IBR230" s="32"/>
      <c r="IBS230" s="31"/>
      <c r="IBT230" s="31"/>
      <c r="IBU230" s="31"/>
      <c r="IBV230" s="32"/>
      <c r="IBW230" s="32"/>
      <c r="IBX230" s="32"/>
      <c r="IBY230" s="32"/>
      <c r="IBZ230" s="32"/>
      <c r="ICA230" s="31"/>
      <c r="ICB230" s="31"/>
      <c r="ICC230" s="33"/>
      <c r="ICD230" s="33"/>
      <c r="ICE230" s="34"/>
      <c r="ICF230" s="34"/>
      <c r="ICG230" s="35"/>
      <c r="ICH230" s="35"/>
      <c r="ICI230" s="32"/>
      <c r="ICJ230" s="31"/>
      <c r="ICK230" s="31"/>
      <c r="ICL230" s="31"/>
      <c r="ICM230" s="32"/>
      <c r="ICN230" s="32"/>
      <c r="ICO230" s="32"/>
      <c r="ICP230" s="32"/>
      <c r="ICQ230" s="32"/>
      <c r="ICR230" s="31"/>
      <c r="ICS230" s="31"/>
      <c r="ICT230" s="33"/>
      <c r="ICU230" s="33"/>
      <c r="ICV230" s="34"/>
      <c r="ICW230" s="34"/>
      <c r="ICX230" s="35"/>
      <c r="ICY230" s="35"/>
      <c r="ICZ230" s="32"/>
      <c r="IDA230" s="31"/>
      <c r="IDB230" s="31"/>
      <c r="IDC230" s="31"/>
      <c r="IDD230" s="32"/>
      <c r="IDE230" s="32"/>
      <c r="IDF230" s="32"/>
      <c r="IDG230" s="32"/>
      <c r="IDH230" s="32"/>
      <c r="IDI230" s="31"/>
      <c r="IDJ230" s="31"/>
      <c r="IDK230" s="33"/>
      <c r="IDL230" s="33"/>
      <c r="IDM230" s="34"/>
      <c r="IDN230" s="34"/>
      <c r="IDO230" s="35"/>
      <c r="IDP230" s="35"/>
      <c r="IDQ230" s="32"/>
      <c r="IDR230" s="31"/>
      <c r="IDS230" s="31"/>
      <c r="IDT230" s="31"/>
      <c r="IDU230" s="32"/>
      <c r="IDV230" s="32"/>
      <c r="IDW230" s="32"/>
      <c r="IDX230" s="32"/>
      <c r="IDY230" s="32"/>
      <c r="IDZ230" s="31"/>
      <c r="IEA230" s="31"/>
      <c r="IEB230" s="33"/>
      <c r="IEC230" s="33"/>
      <c r="IED230" s="34"/>
      <c r="IEE230" s="34"/>
      <c r="IEF230" s="35"/>
      <c r="IEG230" s="35"/>
      <c r="IEH230" s="32"/>
      <c r="IEI230" s="31"/>
      <c r="IEJ230" s="31"/>
      <c r="IEK230" s="31"/>
      <c r="IEL230" s="32"/>
      <c r="IEM230" s="32"/>
      <c r="IEN230" s="32"/>
      <c r="IEO230" s="32"/>
      <c r="IEP230" s="32"/>
      <c r="IEQ230" s="31"/>
      <c r="IER230" s="31"/>
      <c r="IES230" s="33"/>
      <c r="IET230" s="33"/>
      <c r="IEU230" s="34"/>
      <c r="IEV230" s="34"/>
      <c r="IEW230" s="35"/>
      <c r="IEX230" s="35"/>
      <c r="IEY230" s="32"/>
      <c r="IEZ230" s="31"/>
      <c r="IFA230" s="31"/>
      <c r="IFB230" s="31"/>
      <c r="IFC230" s="32"/>
      <c r="IFD230" s="32"/>
      <c r="IFE230" s="32"/>
      <c r="IFF230" s="32"/>
      <c r="IFG230" s="32"/>
      <c r="IFH230" s="31"/>
      <c r="IFI230" s="31"/>
      <c r="IFJ230" s="33"/>
      <c r="IFK230" s="33"/>
      <c r="IFL230" s="34"/>
      <c r="IFM230" s="34"/>
      <c r="IFN230" s="35"/>
      <c r="IFO230" s="35"/>
      <c r="IFP230" s="32"/>
      <c r="IFQ230" s="31"/>
      <c r="IFR230" s="31"/>
      <c r="IFS230" s="31"/>
      <c r="IFT230" s="32"/>
      <c r="IFU230" s="32"/>
      <c r="IFV230" s="32"/>
      <c r="IFW230" s="32"/>
      <c r="IFX230" s="32"/>
      <c r="IFY230" s="31"/>
      <c r="IFZ230" s="31"/>
      <c r="IGA230" s="33"/>
      <c r="IGB230" s="33"/>
      <c r="IGC230" s="34"/>
      <c r="IGD230" s="34"/>
      <c r="IGE230" s="35"/>
      <c r="IGF230" s="35"/>
      <c r="IGG230" s="32"/>
      <c r="IGH230" s="31"/>
      <c r="IGI230" s="31"/>
      <c r="IGJ230" s="31"/>
      <c r="IGK230" s="32"/>
      <c r="IGL230" s="32"/>
      <c r="IGM230" s="32"/>
      <c r="IGN230" s="32"/>
      <c r="IGO230" s="32"/>
      <c r="IGP230" s="31"/>
      <c r="IGQ230" s="31"/>
      <c r="IGR230" s="33"/>
      <c r="IGS230" s="33"/>
      <c r="IGT230" s="34"/>
      <c r="IGU230" s="34"/>
      <c r="IGV230" s="35"/>
      <c r="IGW230" s="35"/>
      <c r="IGX230" s="32"/>
      <c r="IGY230" s="31"/>
      <c r="IGZ230" s="31"/>
      <c r="IHA230" s="31"/>
      <c r="IHB230" s="32"/>
      <c r="IHC230" s="32"/>
      <c r="IHD230" s="32"/>
      <c r="IHE230" s="32"/>
      <c r="IHF230" s="32"/>
      <c r="IHG230" s="31"/>
      <c r="IHH230" s="31"/>
      <c r="IHI230" s="33"/>
      <c r="IHJ230" s="33"/>
      <c r="IHK230" s="34"/>
      <c r="IHL230" s="34"/>
      <c r="IHM230" s="35"/>
      <c r="IHN230" s="35"/>
      <c r="IHO230" s="32"/>
      <c r="IHP230" s="31"/>
      <c r="IHQ230" s="31"/>
      <c r="IHR230" s="31"/>
      <c r="IHS230" s="32"/>
      <c r="IHT230" s="32"/>
      <c r="IHU230" s="32"/>
      <c r="IHV230" s="32"/>
      <c r="IHW230" s="32"/>
      <c r="IHX230" s="31"/>
      <c r="IHY230" s="31"/>
      <c r="IHZ230" s="33"/>
      <c r="IIA230" s="33"/>
      <c r="IIB230" s="34"/>
      <c r="IIC230" s="34"/>
      <c r="IID230" s="35"/>
      <c r="IIE230" s="35"/>
      <c r="IIF230" s="32"/>
      <c r="IIG230" s="31"/>
      <c r="IIH230" s="31"/>
      <c r="III230" s="31"/>
      <c r="IIJ230" s="32"/>
      <c r="IIK230" s="32"/>
      <c r="IIL230" s="32"/>
      <c r="IIM230" s="32"/>
      <c r="IIN230" s="32"/>
      <c r="IIO230" s="31"/>
      <c r="IIP230" s="31"/>
      <c r="IIQ230" s="33"/>
      <c r="IIR230" s="33"/>
      <c r="IIS230" s="34"/>
      <c r="IIT230" s="34"/>
      <c r="IIU230" s="35"/>
      <c r="IIV230" s="35"/>
      <c r="IIW230" s="32"/>
      <c r="IIX230" s="31"/>
      <c r="IIY230" s="31"/>
      <c r="IIZ230" s="31"/>
      <c r="IJA230" s="32"/>
      <c r="IJB230" s="32"/>
      <c r="IJC230" s="32"/>
      <c r="IJD230" s="32"/>
      <c r="IJE230" s="32"/>
      <c r="IJF230" s="31"/>
      <c r="IJG230" s="31"/>
      <c r="IJH230" s="33"/>
      <c r="IJI230" s="33"/>
      <c r="IJJ230" s="34"/>
      <c r="IJK230" s="34"/>
      <c r="IJL230" s="35"/>
      <c r="IJM230" s="35"/>
      <c r="IJN230" s="32"/>
      <c r="IJO230" s="31"/>
      <c r="IJP230" s="31"/>
      <c r="IJQ230" s="31"/>
      <c r="IJR230" s="32"/>
      <c r="IJS230" s="32"/>
      <c r="IJT230" s="32"/>
      <c r="IJU230" s="32"/>
      <c r="IJV230" s="32"/>
      <c r="IJW230" s="31"/>
      <c r="IJX230" s="31"/>
      <c r="IJY230" s="33"/>
      <c r="IJZ230" s="33"/>
      <c r="IKA230" s="34"/>
      <c r="IKB230" s="34"/>
      <c r="IKC230" s="35"/>
      <c r="IKD230" s="35"/>
      <c r="IKE230" s="32"/>
      <c r="IKF230" s="31"/>
      <c r="IKG230" s="31"/>
      <c r="IKH230" s="31"/>
      <c r="IKI230" s="32"/>
      <c r="IKJ230" s="32"/>
      <c r="IKK230" s="32"/>
      <c r="IKL230" s="32"/>
      <c r="IKM230" s="32"/>
      <c r="IKN230" s="31"/>
      <c r="IKO230" s="31"/>
      <c r="IKP230" s="33"/>
      <c r="IKQ230" s="33"/>
      <c r="IKR230" s="34"/>
      <c r="IKS230" s="34"/>
      <c r="IKT230" s="35"/>
      <c r="IKU230" s="35"/>
      <c r="IKV230" s="32"/>
      <c r="IKW230" s="31"/>
      <c r="IKX230" s="31"/>
      <c r="IKY230" s="31"/>
      <c r="IKZ230" s="32"/>
      <c r="ILA230" s="32"/>
      <c r="ILB230" s="32"/>
      <c r="ILC230" s="32"/>
      <c r="ILD230" s="32"/>
      <c r="ILE230" s="31"/>
      <c r="ILF230" s="31"/>
      <c r="ILG230" s="33"/>
      <c r="ILH230" s="33"/>
      <c r="ILI230" s="34"/>
      <c r="ILJ230" s="34"/>
      <c r="ILK230" s="35"/>
      <c r="ILL230" s="35"/>
      <c r="ILM230" s="32"/>
      <c r="ILN230" s="31"/>
      <c r="ILO230" s="31"/>
      <c r="ILP230" s="31"/>
      <c r="ILQ230" s="32"/>
      <c r="ILR230" s="32"/>
      <c r="ILS230" s="32"/>
      <c r="ILT230" s="32"/>
      <c r="ILU230" s="32"/>
      <c r="ILV230" s="31"/>
      <c r="ILW230" s="31"/>
      <c r="ILX230" s="33"/>
      <c r="ILY230" s="33"/>
      <c r="ILZ230" s="34"/>
      <c r="IMA230" s="34"/>
      <c r="IMB230" s="35"/>
      <c r="IMC230" s="35"/>
      <c r="IMD230" s="32"/>
      <c r="IME230" s="31"/>
      <c r="IMF230" s="31"/>
      <c r="IMG230" s="31"/>
      <c r="IMH230" s="32"/>
      <c r="IMI230" s="32"/>
      <c r="IMJ230" s="32"/>
      <c r="IMK230" s="32"/>
      <c r="IML230" s="32"/>
      <c r="IMM230" s="31"/>
      <c r="IMN230" s="31"/>
      <c r="IMO230" s="33"/>
      <c r="IMP230" s="33"/>
      <c r="IMQ230" s="34"/>
      <c r="IMR230" s="34"/>
      <c r="IMS230" s="35"/>
      <c r="IMT230" s="35"/>
      <c r="IMU230" s="32"/>
      <c r="IMV230" s="31"/>
      <c r="IMW230" s="31"/>
      <c r="IMX230" s="31"/>
      <c r="IMY230" s="32"/>
      <c r="IMZ230" s="32"/>
      <c r="INA230" s="32"/>
      <c r="INB230" s="32"/>
      <c r="INC230" s="32"/>
      <c r="IND230" s="31"/>
      <c r="INE230" s="31"/>
      <c r="INF230" s="33"/>
      <c r="ING230" s="33"/>
      <c r="INH230" s="34"/>
      <c r="INI230" s="34"/>
      <c r="INJ230" s="35"/>
      <c r="INK230" s="35"/>
      <c r="INL230" s="32"/>
      <c r="INM230" s="31"/>
      <c r="INN230" s="31"/>
      <c r="INO230" s="31"/>
      <c r="INP230" s="32"/>
      <c r="INQ230" s="32"/>
      <c r="INR230" s="32"/>
      <c r="INS230" s="32"/>
      <c r="INT230" s="32"/>
      <c r="INU230" s="31"/>
      <c r="INV230" s="31"/>
      <c r="INW230" s="33"/>
      <c r="INX230" s="33"/>
      <c r="INY230" s="34"/>
      <c r="INZ230" s="34"/>
      <c r="IOA230" s="35"/>
      <c r="IOB230" s="35"/>
      <c r="IOC230" s="32"/>
      <c r="IOD230" s="31"/>
      <c r="IOE230" s="31"/>
      <c r="IOF230" s="31"/>
      <c r="IOG230" s="32"/>
      <c r="IOH230" s="32"/>
      <c r="IOI230" s="32"/>
      <c r="IOJ230" s="32"/>
      <c r="IOK230" s="32"/>
      <c r="IOL230" s="31"/>
      <c r="IOM230" s="31"/>
      <c r="ION230" s="33"/>
      <c r="IOO230" s="33"/>
      <c r="IOP230" s="34"/>
      <c r="IOQ230" s="34"/>
      <c r="IOR230" s="35"/>
      <c r="IOS230" s="35"/>
      <c r="IOT230" s="32"/>
      <c r="IOU230" s="31"/>
      <c r="IOV230" s="31"/>
      <c r="IOW230" s="31"/>
      <c r="IOX230" s="32"/>
      <c r="IOY230" s="32"/>
      <c r="IOZ230" s="32"/>
      <c r="IPA230" s="32"/>
      <c r="IPB230" s="32"/>
      <c r="IPC230" s="31"/>
      <c r="IPD230" s="31"/>
      <c r="IPE230" s="33"/>
      <c r="IPF230" s="33"/>
      <c r="IPG230" s="34"/>
      <c r="IPH230" s="34"/>
      <c r="IPI230" s="35"/>
      <c r="IPJ230" s="35"/>
      <c r="IPK230" s="32"/>
      <c r="IPL230" s="31"/>
      <c r="IPM230" s="31"/>
      <c r="IPN230" s="31"/>
      <c r="IPO230" s="32"/>
      <c r="IPP230" s="32"/>
      <c r="IPQ230" s="32"/>
      <c r="IPR230" s="32"/>
      <c r="IPS230" s="32"/>
      <c r="IPT230" s="31"/>
      <c r="IPU230" s="31"/>
      <c r="IPV230" s="33"/>
      <c r="IPW230" s="33"/>
      <c r="IPX230" s="34"/>
      <c r="IPY230" s="34"/>
      <c r="IPZ230" s="35"/>
      <c r="IQA230" s="35"/>
      <c r="IQB230" s="32"/>
      <c r="IQC230" s="31"/>
      <c r="IQD230" s="31"/>
      <c r="IQE230" s="31"/>
      <c r="IQF230" s="32"/>
      <c r="IQG230" s="32"/>
      <c r="IQH230" s="32"/>
      <c r="IQI230" s="32"/>
      <c r="IQJ230" s="32"/>
      <c r="IQK230" s="31"/>
      <c r="IQL230" s="31"/>
      <c r="IQM230" s="33"/>
      <c r="IQN230" s="33"/>
      <c r="IQO230" s="34"/>
      <c r="IQP230" s="34"/>
      <c r="IQQ230" s="35"/>
      <c r="IQR230" s="35"/>
      <c r="IQS230" s="32"/>
      <c r="IQT230" s="31"/>
      <c r="IQU230" s="31"/>
      <c r="IQV230" s="31"/>
      <c r="IQW230" s="32"/>
      <c r="IQX230" s="32"/>
      <c r="IQY230" s="32"/>
      <c r="IQZ230" s="32"/>
      <c r="IRA230" s="32"/>
      <c r="IRB230" s="31"/>
      <c r="IRC230" s="31"/>
      <c r="IRD230" s="33"/>
      <c r="IRE230" s="33"/>
      <c r="IRF230" s="34"/>
      <c r="IRG230" s="34"/>
      <c r="IRH230" s="35"/>
      <c r="IRI230" s="35"/>
      <c r="IRJ230" s="32"/>
      <c r="IRK230" s="31"/>
      <c r="IRL230" s="31"/>
      <c r="IRM230" s="31"/>
      <c r="IRN230" s="32"/>
      <c r="IRO230" s="32"/>
      <c r="IRP230" s="32"/>
      <c r="IRQ230" s="32"/>
      <c r="IRR230" s="32"/>
      <c r="IRS230" s="31"/>
      <c r="IRT230" s="31"/>
      <c r="IRU230" s="33"/>
      <c r="IRV230" s="33"/>
      <c r="IRW230" s="34"/>
      <c r="IRX230" s="34"/>
      <c r="IRY230" s="35"/>
      <c r="IRZ230" s="35"/>
      <c r="ISA230" s="32"/>
      <c r="ISB230" s="31"/>
      <c r="ISC230" s="31"/>
      <c r="ISD230" s="31"/>
      <c r="ISE230" s="32"/>
      <c r="ISF230" s="32"/>
      <c r="ISG230" s="32"/>
      <c r="ISH230" s="32"/>
      <c r="ISI230" s="32"/>
      <c r="ISJ230" s="31"/>
      <c r="ISK230" s="31"/>
      <c r="ISL230" s="33"/>
      <c r="ISM230" s="33"/>
      <c r="ISN230" s="34"/>
      <c r="ISO230" s="34"/>
      <c r="ISP230" s="35"/>
      <c r="ISQ230" s="35"/>
      <c r="ISR230" s="32"/>
      <c r="ISS230" s="31"/>
      <c r="IST230" s="31"/>
      <c r="ISU230" s="31"/>
      <c r="ISV230" s="32"/>
      <c r="ISW230" s="32"/>
      <c r="ISX230" s="32"/>
      <c r="ISY230" s="32"/>
      <c r="ISZ230" s="32"/>
      <c r="ITA230" s="31"/>
      <c r="ITB230" s="31"/>
      <c r="ITC230" s="33"/>
      <c r="ITD230" s="33"/>
      <c r="ITE230" s="34"/>
      <c r="ITF230" s="34"/>
      <c r="ITG230" s="35"/>
      <c r="ITH230" s="35"/>
      <c r="ITI230" s="32"/>
      <c r="ITJ230" s="31"/>
      <c r="ITK230" s="31"/>
      <c r="ITL230" s="31"/>
      <c r="ITM230" s="32"/>
      <c r="ITN230" s="32"/>
      <c r="ITO230" s="32"/>
      <c r="ITP230" s="32"/>
      <c r="ITQ230" s="32"/>
      <c r="ITR230" s="31"/>
      <c r="ITS230" s="31"/>
      <c r="ITT230" s="33"/>
      <c r="ITU230" s="33"/>
      <c r="ITV230" s="34"/>
      <c r="ITW230" s="34"/>
      <c r="ITX230" s="35"/>
      <c r="ITY230" s="35"/>
      <c r="ITZ230" s="32"/>
      <c r="IUA230" s="31"/>
      <c r="IUB230" s="31"/>
      <c r="IUC230" s="31"/>
      <c r="IUD230" s="32"/>
      <c r="IUE230" s="32"/>
      <c r="IUF230" s="32"/>
      <c r="IUG230" s="32"/>
      <c r="IUH230" s="32"/>
      <c r="IUI230" s="31"/>
      <c r="IUJ230" s="31"/>
      <c r="IUK230" s="33"/>
      <c r="IUL230" s="33"/>
      <c r="IUM230" s="34"/>
      <c r="IUN230" s="34"/>
      <c r="IUO230" s="35"/>
      <c r="IUP230" s="35"/>
      <c r="IUQ230" s="32"/>
      <c r="IUR230" s="31"/>
      <c r="IUS230" s="31"/>
      <c r="IUT230" s="31"/>
      <c r="IUU230" s="32"/>
      <c r="IUV230" s="32"/>
      <c r="IUW230" s="32"/>
      <c r="IUX230" s="32"/>
      <c r="IUY230" s="32"/>
      <c r="IUZ230" s="31"/>
      <c r="IVA230" s="31"/>
      <c r="IVB230" s="33"/>
      <c r="IVC230" s="33"/>
      <c r="IVD230" s="34"/>
      <c r="IVE230" s="34"/>
      <c r="IVF230" s="35"/>
      <c r="IVG230" s="35"/>
      <c r="IVH230" s="32"/>
      <c r="IVI230" s="31"/>
      <c r="IVJ230" s="31"/>
      <c r="IVK230" s="31"/>
      <c r="IVL230" s="32"/>
      <c r="IVM230" s="32"/>
      <c r="IVN230" s="32"/>
      <c r="IVO230" s="32"/>
      <c r="IVP230" s="32"/>
      <c r="IVQ230" s="31"/>
      <c r="IVR230" s="31"/>
      <c r="IVS230" s="33"/>
      <c r="IVT230" s="33"/>
      <c r="IVU230" s="34"/>
      <c r="IVV230" s="34"/>
      <c r="IVW230" s="35"/>
      <c r="IVX230" s="35"/>
      <c r="IVY230" s="32"/>
      <c r="IVZ230" s="31"/>
      <c r="IWA230" s="31"/>
      <c r="IWB230" s="31"/>
      <c r="IWC230" s="32"/>
      <c r="IWD230" s="32"/>
      <c r="IWE230" s="32"/>
      <c r="IWF230" s="32"/>
      <c r="IWG230" s="32"/>
      <c r="IWH230" s="31"/>
      <c r="IWI230" s="31"/>
      <c r="IWJ230" s="33"/>
      <c r="IWK230" s="33"/>
      <c r="IWL230" s="34"/>
      <c r="IWM230" s="34"/>
      <c r="IWN230" s="35"/>
      <c r="IWO230" s="35"/>
      <c r="IWP230" s="32"/>
      <c r="IWQ230" s="31"/>
      <c r="IWR230" s="31"/>
      <c r="IWS230" s="31"/>
      <c r="IWT230" s="32"/>
      <c r="IWU230" s="32"/>
      <c r="IWV230" s="32"/>
      <c r="IWW230" s="32"/>
      <c r="IWX230" s="32"/>
      <c r="IWY230" s="31"/>
      <c r="IWZ230" s="31"/>
      <c r="IXA230" s="33"/>
      <c r="IXB230" s="33"/>
      <c r="IXC230" s="34"/>
      <c r="IXD230" s="34"/>
      <c r="IXE230" s="35"/>
      <c r="IXF230" s="35"/>
      <c r="IXG230" s="32"/>
      <c r="IXH230" s="31"/>
      <c r="IXI230" s="31"/>
      <c r="IXJ230" s="31"/>
      <c r="IXK230" s="32"/>
      <c r="IXL230" s="32"/>
      <c r="IXM230" s="32"/>
      <c r="IXN230" s="32"/>
      <c r="IXO230" s="32"/>
      <c r="IXP230" s="31"/>
      <c r="IXQ230" s="31"/>
      <c r="IXR230" s="33"/>
      <c r="IXS230" s="33"/>
      <c r="IXT230" s="34"/>
      <c r="IXU230" s="34"/>
      <c r="IXV230" s="35"/>
      <c r="IXW230" s="35"/>
      <c r="IXX230" s="32"/>
      <c r="IXY230" s="31"/>
      <c r="IXZ230" s="31"/>
      <c r="IYA230" s="31"/>
      <c r="IYB230" s="32"/>
      <c r="IYC230" s="32"/>
      <c r="IYD230" s="32"/>
      <c r="IYE230" s="32"/>
      <c r="IYF230" s="32"/>
      <c r="IYG230" s="31"/>
      <c r="IYH230" s="31"/>
      <c r="IYI230" s="33"/>
      <c r="IYJ230" s="33"/>
      <c r="IYK230" s="34"/>
      <c r="IYL230" s="34"/>
      <c r="IYM230" s="35"/>
      <c r="IYN230" s="35"/>
      <c r="IYO230" s="32"/>
      <c r="IYP230" s="31"/>
      <c r="IYQ230" s="31"/>
      <c r="IYR230" s="31"/>
      <c r="IYS230" s="32"/>
      <c r="IYT230" s="32"/>
      <c r="IYU230" s="32"/>
      <c r="IYV230" s="32"/>
      <c r="IYW230" s="32"/>
      <c r="IYX230" s="31"/>
      <c r="IYY230" s="31"/>
      <c r="IYZ230" s="33"/>
      <c r="IZA230" s="33"/>
      <c r="IZB230" s="34"/>
      <c r="IZC230" s="34"/>
      <c r="IZD230" s="35"/>
      <c r="IZE230" s="35"/>
      <c r="IZF230" s="32"/>
      <c r="IZG230" s="31"/>
      <c r="IZH230" s="31"/>
      <c r="IZI230" s="31"/>
      <c r="IZJ230" s="32"/>
      <c r="IZK230" s="32"/>
      <c r="IZL230" s="32"/>
      <c r="IZM230" s="32"/>
      <c r="IZN230" s="32"/>
      <c r="IZO230" s="31"/>
      <c r="IZP230" s="31"/>
      <c r="IZQ230" s="33"/>
      <c r="IZR230" s="33"/>
      <c r="IZS230" s="34"/>
      <c r="IZT230" s="34"/>
      <c r="IZU230" s="35"/>
      <c r="IZV230" s="35"/>
      <c r="IZW230" s="32"/>
      <c r="IZX230" s="31"/>
      <c r="IZY230" s="31"/>
      <c r="IZZ230" s="31"/>
      <c r="JAA230" s="32"/>
      <c r="JAB230" s="32"/>
      <c r="JAC230" s="32"/>
      <c r="JAD230" s="32"/>
      <c r="JAE230" s="32"/>
      <c r="JAF230" s="31"/>
      <c r="JAG230" s="31"/>
      <c r="JAH230" s="33"/>
      <c r="JAI230" s="33"/>
      <c r="JAJ230" s="34"/>
      <c r="JAK230" s="34"/>
      <c r="JAL230" s="35"/>
      <c r="JAM230" s="35"/>
      <c r="JAN230" s="32"/>
      <c r="JAO230" s="31"/>
      <c r="JAP230" s="31"/>
      <c r="JAQ230" s="31"/>
      <c r="JAR230" s="32"/>
      <c r="JAS230" s="32"/>
      <c r="JAT230" s="32"/>
      <c r="JAU230" s="32"/>
      <c r="JAV230" s="32"/>
      <c r="JAW230" s="31"/>
      <c r="JAX230" s="31"/>
      <c r="JAY230" s="33"/>
      <c r="JAZ230" s="33"/>
      <c r="JBA230" s="34"/>
      <c r="JBB230" s="34"/>
      <c r="JBC230" s="35"/>
      <c r="JBD230" s="35"/>
      <c r="JBE230" s="32"/>
      <c r="JBF230" s="31"/>
      <c r="JBG230" s="31"/>
      <c r="JBH230" s="31"/>
      <c r="JBI230" s="32"/>
      <c r="JBJ230" s="32"/>
      <c r="JBK230" s="32"/>
      <c r="JBL230" s="32"/>
      <c r="JBM230" s="32"/>
      <c r="JBN230" s="31"/>
      <c r="JBO230" s="31"/>
      <c r="JBP230" s="33"/>
      <c r="JBQ230" s="33"/>
      <c r="JBR230" s="34"/>
      <c r="JBS230" s="34"/>
      <c r="JBT230" s="35"/>
      <c r="JBU230" s="35"/>
      <c r="JBV230" s="32"/>
      <c r="JBW230" s="31"/>
      <c r="JBX230" s="31"/>
      <c r="JBY230" s="31"/>
      <c r="JBZ230" s="32"/>
      <c r="JCA230" s="32"/>
      <c r="JCB230" s="32"/>
      <c r="JCC230" s="32"/>
      <c r="JCD230" s="32"/>
      <c r="JCE230" s="31"/>
      <c r="JCF230" s="31"/>
      <c r="JCG230" s="33"/>
      <c r="JCH230" s="33"/>
      <c r="JCI230" s="34"/>
      <c r="JCJ230" s="34"/>
      <c r="JCK230" s="35"/>
      <c r="JCL230" s="35"/>
      <c r="JCM230" s="32"/>
      <c r="JCN230" s="31"/>
      <c r="JCO230" s="31"/>
      <c r="JCP230" s="31"/>
      <c r="JCQ230" s="32"/>
      <c r="JCR230" s="32"/>
      <c r="JCS230" s="32"/>
      <c r="JCT230" s="32"/>
      <c r="JCU230" s="32"/>
      <c r="JCV230" s="31"/>
      <c r="JCW230" s="31"/>
      <c r="JCX230" s="33"/>
      <c r="JCY230" s="33"/>
      <c r="JCZ230" s="34"/>
      <c r="JDA230" s="34"/>
      <c r="JDB230" s="35"/>
      <c r="JDC230" s="35"/>
      <c r="JDD230" s="32"/>
      <c r="JDE230" s="31"/>
      <c r="JDF230" s="31"/>
      <c r="JDG230" s="31"/>
      <c r="JDH230" s="32"/>
      <c r="JDI230" s="32"/>
      <c r="JDJ230" s="32"/>
      <c r="JDK230" s="32"/>
      <c r="JDL230" s="32"/>
      <c r="JDM230" s="31"/>
      <c r="JDN230" s="31"/>
      <c r="JDO230" s="33"/>
      <c r="JDP230" s="33"/>
      <c r="JDQ230" s="34"/>
      <c r="JDR230" s="34"/>
      <c r="JDS230" s="35"/>
      <c r="JDT230" s="35"/>
      <c r="JDU230" s="32"/>
      <c r="JDV230" s="31"/>
      <c r="JDW230" s="31"/>
      <c r="JDX230" s="31"/>
      <c r="JDY230" s="32"/>
      <c r="JDZ230" s="32"/>
      <c r="JEA230" s="32"/>
      <c r="JEB230" s="32"/>
      <c r="JEC230" s="32"/>
      <c r="JED230" s="31"/>
      <c r="JEE230" s="31"/>
      <c r="JEF230" s="33"/>
      <c r="JEG230" s="33"/>
      <c r="JEH230" s="34"/>
      <c r="JEI230" s="34"/>
      <c r="JEJ230" s="35"/>
      <c r="JEK230" s="35"/>
      <c r="JEL230" s="32"/>
      <c r="JEM230" s="31"/>
      <c r="JEN230" s="31"/>
      <c r="JEO230" s="31"/>
      <c r="JEP230" s="32"/>
      <c r="JEQ230" s="32"/>
      <c r="JER230" s="32"/>
      <c r="JES230" s="32"/>
      <c r="JET230" s="32"/>
      <c r="JEU230" s="31"/>
      <c r="JEV230" s="31"/>
      <c r="JEW230" s="33"/>
      <c r="JEX230" s="33"/>
      <c r="JEY230" s="34"/>
      <c r="JEZ230" s="34"/>
      <c r="JFA230" s="35"/>
      <c r="JFB230" s="35"/>
      <c r="JFC230" s="32"/>
      <c r="JFD230" s="31"/>
      <c r="JFE230" s="31"/>
      <c r="JFF230" s="31"/>
      <c r="JFG230" s="32"/>
      <c r="JFH230" s="32"/>
      <c r="JFI230" s="32"/>
      <c r="JFJ230" s="32"/>
      <c r="JFK230" s="32"/>
      <c r="JFL230" s="31"/>
      <c r="JFM230" s="31"/>
      <c r="JFN230" s="33"/>
      <c r="JFO230" s="33"/>
      <c r="JFP230" s="34"/>
      <c r="JFQ230" s="34"/>
      <c r="JFR230" s="35"/>
      <c r="JFS230" s="35"/>
      <c r="JFT230" s="32"/>
      <c r="JFU230" s="31"/>
      <c r="JFV230" s="31"/>
      <c r="JFW230" s="31"/>
      <c r="JFX230" s="32"/>
      <c r="JFY230" s="32"/>
      <c r="JFZ230" s="32"/>
      <c r="JGA230" s="32"/>
      <c r="JGB230" s="32"/>
      <c r="JGC230" s="31"/>
      <c r="JGD230" s="31"/>
      <c r="JGE230" s="33"/>
      <c r="JGF230" s="33"/>
      <c r="JGG230" s="34"/>
      <c r="JGH230" s="34"/>
      <c r="JGI230" s="35"/>
      <c r="JGJ230" s="35"/>
      <c r="JGK230" s="32"/>
      <c r="JGL230" s="31"/>
      <c r="JGM230" s="31"/>
      <c r="JGN230" s="31"/>
      <c r="JGO230" s="32"/>
      <c r="JGP230" s="32"/>
      <c r="JGQ230" s="32"/>
      <c r="JGR230" s="32"/>
      <c r="JGS230" s="32"/>
      <c r="JGT230" s="31"/>
      <c r="JGU230" s="31"/>
      <c r="JGV230" s="33"/>
      <c r="JGW230" s="33"/>
      <c r="JGX230" s="34"/>
      <c r="JGY230" s="34"/>
      <c r="JGZ230" s="35"/>
      <c r="JHA230" s="35"/>
      <c r="JHB230" s="32"/>
      <c r="JHC230" s="31"/>
      <c r="JHD230" s="31"/>
      <c r="JHE230" s="31"/>
      <c r="JHF230" s="32"/>
      <c r="JHG230" s="32"/>
      <c r="JHH230" s="32"/>
      <c r="JHI230" s="32"/>
      <c r="JHJ230" s="32"/>
      <c r="JHK230" s="31"/>
      <c r="JHL230" s="31"/>
      <c r="JHM230" s="33"/>
      <c r="JHN230" s="33"/>
      <c r="JHO230" s="34"/>
      <c r="JHP230" s="34"/>
      <c r="JHQ230" s="35"/>
      <c r="JHR230" s="35"/>
      <c r="JHS230" s="32"/>
      <c r="JHT230" s="31"/>
      <c r="JHU230" s="31"/>
      <c r="JHV230" s="31"/>
      <c r="JHW230" s="32"/>
      <c r="JHX230" s="32"/>
      <c r="JHY230" s="32"/>
      <c r="JHZ230" s="32"/>
      <c r="JIA230" s="32"/>
      <c r="JIB230" s="31"/>
      <c r="JIC230" s="31"/>
      <c r="JID230" s="33"/>
      <c r="JIE230" s="33"/>
      <c r="JIF230" s="34"/>
      <c r="JIG230" s="34"/>
      <c r="JIH230" s="35"/>
      <c r="JII230" s="35"/>
      <c r="JIJ230" s="32"/>
      <c r="JIK230" s="31"/>
      <c r="JIL230" s="31"/>
      <c r="JIM230" s="31"/>
      <c r="JIN230" s="32"/>
      <c r="JIO230" s="32"/>
      <c r="JIP230" s="32"/>
      <c r="JIQ230" s="32"/>
      <c r="JIR230" s="32"/>
      <c r="JIS230" s="31"/>
      <c r="JIT230" s="31"/>
      <c r="JIU230" s="33"/>
      <c r="JIV230" s="33"/>
      <c r="JIW230" s="34"/>
      <c r="JIX230" s="34"/>
      <c r="JIY230" s="35"/>
      <c r="JIZ230" s="35"/>
      <c r="JJA230" s="32"/>
      <c r="JJB230" s="31"/>
      <c r="JJC230" s="31"/>
      <c r="JJD230" s="31"/>
      <c r="JJE230" s="32"/>
      <c r="JJF230" s="32"/>
      <c r="JJG230" s="32"/>
      <c r="JJH230" s="32"/>
      <c r="JJI230" s="32"/>
      <c r="JJJ230" s="31"/>
      <c r="JJK230" s="31"/>
      <c r="JJL230" s="33"/>
      <c r="JJM230" s="33"/>
      <c r="JJN230" s="34"/>
      <c r="JJO230" s="34"/>
      <c r="JJP230" s="35"/>
      <c r="JJQ230" s="35"/>
      <c r="JJR230" s="32"/>
      <c r="JJS230" s="31"/>
      <c r="JJT230" s="31"/>
      <c r="JJU230" s="31"/>
      <c r="JJV230" s="32"/>
      <c r="JJW230" s="32"/>
      <c r="JJX230" s="32"/>
      <c r="JJY230" s="32"/>
      <c r="JJZ230" s="32"/>
      <c r="JKA230" s="31"/>
      <c r="JKB230" s="31"/>
      <c r="JKC230" s="33"/>
      <c r="JKD230" s="33"/>
      <c r="JKE230" s="34"/>
      <c r="JKF230" s="34"/>
      <c r="JKG230" s="35"/>
      <c r="JKH230" s="35"/>
      <c r="JKI230" s="32"/>
      <c r="JKJ230" s="31"/>
      <c r="JKK230" s="31"/>
      <c r="JKL230" s="31"/>
      <c r="JKM230" s="32"/>
      <c r="JKN230" s="32"/>
      <c r="JKO230" s="32"/>
      <c r="JKP230" s="32"/>
      <c r="JKQ230" s="32"/>
      <c r="JKR230" s="31"/>
      <c r="JKS230" s="31"/>
      <c r="JKT230" s="33"/>
      <c r="JKU230" s="33"/>
      <c r="JKV230" s="34"/>
      <c r="JKW230" s="34"/>
      <c r="JKX230" s="35"/>
      <c r="JKY230" s="35"/>
      <c r="JKZ230" s="32"/>
      <c r="JLA230" s="31"/>
      <c r="JLB230" s="31"/>
      <c r="JLC230" s="31"/>
      <c r="JLD230" s="32"/>
      <c r="JLE230" s="32"/>
      <c r="JLF230" s="32"/>
      <c r="JLG230" s="32"/>
      <c r="JLH230" s="32"/>
      <c r="JLI230" s="31"/>
      <c r="JLJ230" s="31"/>
      <c r="JLK230" s="33"/>
      <c r="JLL230" s="33"/>
      <c r="JLM230" s="34"/>
      <c r="JLN230" s="34"/>
      <c r="JLO230" s="35"/>
      <c r="JLP230" s="35"/>
      <c r="JLQ230" s="32"/>
      <c r="JLR230" s="31"/>
      <c r="JLS230" s="31"/>
      <c r="JLT230" s="31"/>
      <c r="JLU230" s="32"/>
      <c r="JLV230" s="32"/>
      <c r="JLW230" s="32"/>
      <c r="JLX230" s="32"/>
      <c r="JLY230" s="32"/>
      <c r="JLZ230" s="31"/>
      <c r="JMA230" s="31"/>
      <c r="JMB230" s="33"/>
      <c r="JMC230" s="33"/>
      <c r="JMD230" s="34"/>
      <c r="JME230" s="34"/>
      <c r="JMF230" s="35"/>
      <c r="JMG230" s="35"/>
      <c r="JMH230" s="32"/>
      <c r="JMI230" s="31"/>
      <c r="JMJ230" s="31"/>
      <c r="JMK230" s="31"/>
      <c r="JML230" s="32"/>
      <c r="JMM230" s="32"/>
      <c r="JMN230" s="32"/>
      <c r="JMO230" s="32"/>
      <c r="JMP230" s="32"/>
      <c r="JMQ230" s="31"/>
      <c r="JMR230" s="31"/>
      <c r="JMS230" s="33"/>
      <c r="JMT230" s="33"/>
      <c r="JMU230" s="34"/>
      <c r="JMV230" s="34"/>
      <c r="JMW230" s="35"/>
      <c r="JMX230" s="35"/>
      <c r="JMY230" s="32"/>
      <c r="JMZ230" s="31"/>
      <c r="JNA230" s="31"/>
      <c r="JNB230" s="31"/>
      <c r="JNC230" s="32"/>
      <c r="JND230" s="32"/>
      <c r="JNE230" s="32"/>
      <c r="JNF230" s="32"/>
      <c r="JNG230" s="32"/>
      <c r="JNH230" s="31"/>
      <c r="JNI230" s="31"/>
      <c r="JNJ230" s="33"/>
      <c r="JNK230" s="33"/>
      <c r="JNL230" s="34"/>
      <c r="JNM230" s="34"/>
      <c r="JNN230" s="35"/>
      <c r="JNO230" s="35"/>
      <c r="JNP230" s="32"/>
      <c r="JNQ230" s="31"/>
      <c r="JNR230" s="31"/>
      <c r="JNS230" s="31"/>
      <c r="JNT230" s="32"/>
      <c r="JNU230" s="32"/>
      <c r="JNV230" s="32"/>
      <c r="JNW230" s="32"/>
      <c r="JNX230" s="32"/>
      <c r="JNY230" s="31"/>
      <c r="JNZ230" s="31"/>
      <c r="JOA230" s="33"/>
      <c r="JOB230" s="33"/>
      <c r="JOC230" s="34"/>
      <c r="JOD230" s="34"/>
      <c r="JOE230" s="35"/>
      <c r="JOF230" s="35"/>
      <c r="JOG230" s="32"/>
      <c r="JOH230" s="31"/>
      <c r="JOI230" s="31"/>
      <c r="JOJ230" s="31"/>
      <c r="JOK230" s="32"/>
      <c r="JOL230" s="32"/>
      <c r="JOM230" s="32"/>
      <c r="JON230" s="32"/>
      <c r="JOO230" s="32"/>
      <c r="JOP230" s="31"/>
      <c r="JOQ230" s="31"/>
      <c r="JOR230" s="33"/>
      <c r="JOS230" s="33"/>
      <c r="JOT230" s="34"/>
      <c r="JOU230" s="34"/>
      <c r="JOV230" s="35"/>
      <c r="JOW230" s="35"/>
      <c r="JOX230" s="32"/>
      <c r="JOY230" s="31"/>
      <c r="JOZ230" s="31"/>
      <c r="JPA230" s="31"/>
      <c r="JPB230" s="32"/>
      <c r="JPC230" s="32"/>
      <c r="JPD230" s="32"/>
      <c r="JPE230" s="32"/>
      <c r="JPF230" s="32"/>
      <c r="JPG230" s="31"/>
      <c r="JPH230" s="31"/>
      <c r="JPI230" s="33"/>
      <c r="JPJ230" s="33"/>
      <c r="JPK230" s="34"/>
      <c r="JPL230" s="34"/>
      <c r="JPM230" s="35"/>
      <c r="JPN230" s="35"/>
      <c r="JPO230" s="32"/>
      <c r="JPP230" s="31"/>
      <c r="JPQ230" s="31"/>
      <c r="JPR230" s="31"/>
      <c r="JPS230" s="32"/>
      <c r="JPT230" s="32"/>
      <c r="JPU230" s="32"/>
      <c r="JPV230" s="32"/>
      <c r="JPW230" s="32"/>
      <c r="JPX230" s="31"/>
      <c r="JPY230" s="31"/>
      <c r="JPZ230" s="33"/>
      <c r="JQA230" s="33"/>
      <c r="JQB230" s="34"/>
      <c r="JQC230" s="34"/>
      <c r="JQD230" s="35"/>
      <c r="JQE230" s="35"/>
      <c r="JQF230" s="32"/>
      <c r="JQG230" s="31"/>
      <c r="JQH230" s="31"/>
      <c r="JQI230" s="31"/>
      <c r="JQJ230" s="32"/>
      <c r="JQK230" s="32"/>
      <c r="JQL230" s="32"/>
      <c r="JQM230" s="32"/>
      <c r="JQN230" s="32"/>
      <c r="JQO230" s="31"/>
      <c r="JQP230" s="31"/>
      <c r="JQQ230" s="33"/>
      <c r="JQR230" s="33"/>
      <c r="JQS230" s="34"/>
      <c r="JQT230" s="34"/>
      <c r="JQU230" s="35"/>
      <c r="JQV230" s="35"/>
      <c r="JQW230" s="32"/>
      <c r="JQX230" s="31"/>
      <c r="JQY230" s="31"/>
      <c r="JQZ230" s="31"/>
      <c r="JRA230" s="32"/>
      <c r="JRB230" s="32"/>
      <c r="JRC230" s="32"/>
      <c r="JRD230" s="32"/>
      <c r="JRE230" s="32"/>
      <c r="JRF230" s="31"/>
      <c r="JRG230" s="31"/>
      <c r="JRH230" s="33"/>
      <c r="JRI230" s="33"/>
      <c r="JRJ230" s="34"/>
      <c r="JRK230" s="34"/>
      <c r="JRL230" s="35"/>
      <c r="JRM230" s="35"/>
      <c r="JRN230" s="32"/>
      <c r="JRO230" s="31"/>
      <c r="JRP230" s="31"/>
      <c r="JRQ230" s="31"/>
      <c r="JRR230" s="32"/>
      <c r="JRS230" s="32"/>
      <c r="JRT230" s="32"/>
      <c r="JRU230" s="32"/>
      <c r="JRV230" s="32"/>
      <c r="JRW230" s="31"/>
      <c r="JRX230" s="31"/>
      <c r="JRY230" s="33"/>
      <c r="JRZ230" s="33"/>
      <c r="JSA230" s="34"/>
      <c r="JSB230" s="34"/>
      <c r="JSC230" s="35"/>
      <c r="JSD230" s="35"/>
      <c r="JSE230" s="32"/>
      <c r="JSF230" s="31"/>
      <c r="JSG230" s="31"/>
      <c r="JSH230" s="31"/>
      <c r="JSI230" s="32"/>
      <c r="JSJ230" s="32"/>
      <c r="JSK230" s="32"/>
      <c r="JSL230" s="32"/>
      <c r="JSM230" s="32"/>
      <c r="JSN230" s="31"/>
      <c r="JSO230" s="31"/>
      <c r="JSP230" s="33"/>
      <c r="JSQ230" s="33"/>
      <c r="JSR230" s="34"/>
      <c r="JSS230" s="34"/>
      <c r="JST230" s="35"/>
      <c r="JSU230" s="35"/>
      <c r="JSV230" s="32"/>
      <c r="JSW230" s="31"/>
      <c r="JSX230" s="31"/>
      <c r="JSY230" s="31"/>
      <c r="JSZ230" s="32"/>
      <c r="JTA230" s="32"/>
      <c r="JTB230" s="32"/>
      <c r="JTC230" s="32"/>
      <c r="JTD230" s="32"/>
      <c r="JTE230" s="31"/>
      <c r="JTF230" s="31"/>
      <c r="JTG230" s="33"/>
      <c r="JTH230" s="33"/>
      <c r="JTI230" s="34"/>
      <c r="JTJ230" s="34"/>
      <c r="JTK230" s="35"/>
      <c r="JTL230" s="35"/>
      <c r="JTM230" s="32"/>
      <c r="JTN230" s="31"/>
      <c r="JTO230" s="31"/>
      <c r="JTP230" s="31"/>
      <c r="JTQ230" s="32"/>
      <c r="JTR230" s="32"/>
      <c r="JTS230" s="32"/>
      <c r="JTT230" s="32"/>
      <c r="JTU230" s="32"/>
      <c r="JTV230" s="31"/>
      <c r="JTW230" s="31"/>
      <c r="JTX230" s="33"/>
      <c r="JTY230" s="33"/>
      <c r="JTZ230" s="34"/>
      <c r="JUA230" s="34"/>
      <c r="JUB230" s="35"/>
      <c r="JUC230" s="35"/>
      <c r="JUD230" s="32"/>
      <c r="JUE230" s="31"/>
      <c r="JUF230" s="31"/>
      <c r="JUG230" s="31"/>
      <c r="JUH230" s="32"/>
      <c r="JUI230" s="32"/>
      <c r="JUJ230" s="32"/>
      <c r="JUK230" s="32"/>
      <c r="JUL230" s="32"/>
      <c r="JUM230" s="31"/>
      <c r="JUN230" s="31"/>
      <c r="JUO230" s="33"/>
      <c r="JUP230" s="33"/>
      <c r="JUQ230" s="34"/>
      <c r="JUR230" s="34"/>
      <c r="JUS230" s="35"/>
      <c r="JUT230" s="35"/>
      <c r="JUU230" s="32"/>
      <c r="JUV230" s="31"/>
      <c r="JUW230" s="31"/>
      <c r="JUX230" s="31"/>
      <c r="JUY230" s="32"/>
      <c r="JUZ230" s="32"/>
      <c r="JVA230" s="32"/>
      <c r="JVB230" s="32"/>
      <c r="JVC230" s="32"/>
      <c r="JVD230" s="31"/>
      <c r="JVE230" s="31"/>
      <c r="JVF230" s="33"/>
      <c r="JVG230" s="33"/>
      <c r="JVH230" s="34"/>
      <c r="JVI230" s="34"/>
      <c r="JVJ230" s="35"/>
      <c r="JVK230" s="35"/>
      <c r="JVL230" s="32"/>
      <c r="JVM230" s="31"/>
      <c r="JVN230" s="31"/>
      <c r="JVO230" s="31"/>
      <c r="JVP230" s="32"/>
      <c r="JVQ230" s="32"/>
      <c r="JVR230" s="32"/>
      <c r="JVS230" s="32"/>
      <c r="JVT230" s="32"/>
      <c r="JVU230" s="31"/>
      <c r="JVV230" s="31"/>
      <c r="JVW230" s="33"/>
      <c r="JVX230" s="33"/>
      <c r="JVY230" s="34"/>
      <c r="JVZ230" s="34"/>
      <c r="JWA230" s="35"/>
      <c r="JWB230" s="35"/>
      <c r="JWC230" s="32"/>
      <c r="JWD230" s="31"/>
      <c r="JWE230" s="31"/>
      <c r="JWF230" s="31"/>
      <c r="JWG230" s="32"/>
      <c r="JWH230" s="32"/>
      <c r="JWI230" s="32"/>
      <c r="JWJ230" s="32"/>
      <c r="JWK230" s="32"/>
      <c r="JWL230" s="31"/>
      <c r="JWM230" s="31"/>
      <c r="JWN230" s="33"/>
      <c r="JWO230" s="33"/>
      <c r="JWP230" s="34"/>
      <c r="JWQ230" s="34"/>
      <c r="JWR230" s="35"/>
      <c r="JWS230" s="35"/>
      <c r="JWT230" s="32"/>
      <c r="JWU230" s="31"/>
      <c r="JWV230" s="31"/>
      <c r="JWW230" s="31"/>
      <c r="JWX230" s="32"/>
      <c r="JWY230" s="32"/>
      <c r="JWZ230" s="32"/>
      <c r="JXA230" s="32"/>
      <c r="JXB230" s="32"/>
      <c r="JXC230" s="31"/>
      <c r="JXD230" s="31"/>
      <c r="JXE230" s="33"/>
      <c r="JXF230" s="33"/>
      <c r="JXG230" s="34"/>
      <c r="JXH230" s="34"/>
      <c r="JXI230" s="35"/>
      <c r="JXJ230" s="35"/>
      <c r="JXK230" s="32"/>
      <c r="JXL230" s="31"/>
      <c r="JXM230" s="31"/>
      <c r="JXN230" s="31"/>
      <c r="JXO230" s="32"/>
      <c r="JXP230" s="32"/>
      <c r="JXQ230" s="32"/>
      <c r="JXR230" s="32"/>
      <c r="JXS230" s="32"/>
      <c r="JXT230" s="31"/>
      <c r="JXU230" s="31"/>
      <c r="JXV230" s="33"/>
      <c r="JXW230" s="33"/>
      <c r="JXX230" s="34"/>
      <c r="JXY230" s="34"/>
      <c r="JXZ230" s="35"/>
      <c r="JYA230" s="35"/>
      <c r="JYB230" s="32"/>
      <c r="JYC230" s="31"/>
      <c r="JYD230" s="31"/>
      <c r="JYE230" s="31"/>
      <c r="JYF230" s="32"/>
      <c r="JYG230" s="32"/>
      <c r="JYH230" s="32"/>
      <c r="JYI230" s="32"/>
      <c r="JYJ230" s="32"/>
      <c r="JYK230" s="31"/>
      <c r="JYL230" s="31"/>
      <c r="JYM230" s="33"/>
      <c r="JYN230" s="33"/>
      <c r="JYO230" s="34"/>
      <c r="JYP230" s="34"/>
      <c r="JYQ230" s="35"/>
      <c r="JYR230" s="35"/>
      <c r="JYS230" s="32"/>
      <c r="JYT230" s="31"/>
      <c r="JYU230" s="31"/>
      <c r="JYV230" s="31"/>
      <c r="JYW230" s="32"/>
      <c r="JYX230" s="32"/>
      <c r="JYY230" s="32"/>
      <c r="JYZ230" s="32"/>
      <c r="JZA230" s="32"/>
      <c r="JZB230" s="31"/>
      <c r="JZC230" s="31"/>
      <c r="JZD230" s="33"/>
      <c r="JZE230" s="33"/>
      <c r="JZF230" s="34"/>
      <c r="JZG230" s="34"/>
      <c r="JZH230" s="35"/>
      <c r="JZI230" s="35"/>
      <c r="JZJ230" s="32"/>
      <c r="JZK230" s="31"/>
      <c r="JZL230" s="31"/>
      <c r="JZM230" s="31"/>
      <c r="JZN230" s="32"/>
      <c r="JZO230" s="32"/>
      <c r="JZP230" s="32"/>
      <c r="JZQ230" s="32"/>
      <c r="JZR230" s="32"/>
      <c r="JZS230" s="31"/>
      <c r="JZT230" s="31"/>
      <c r="JZU230" s="33"/>
      <c r="JZV230" s="33"/>
      <c r="JZW230" s="34"/>
      <c r="JZX230" s="34"/>
      <c r="JZY230" s="35"/>
      <c r="JZZ230" s="35"/>
      <c r="KAA230" s="32"/>
      <c r="KAB230" s="31"/>
      <c r="KAC230" s="31"/>
      <c r="KAD230" s="31"/>
      <c r="KAE230" s="32"/>
      <c r="KAF230" s="32"/>
      <c r="KAG230" s="32"/>
      <c r="KAH230" s="32"/>
      <c r="KAI230" s="32"/>
      <c r="KAJ230" s="31"/>
      <c r="KAK230" s="31"/>
      <c r="KAL230" s="33"/>
      <c r="KAM230" s="33"/>
      <c r="KAN230" s="34"/>
      <c r="KAO230" s="34"/>
      <c r="KAP230" s="35"/>
      <c r="KAQ230" s="35"/>
      <c r="KAR230" s="32"/>
      <c r="KAS230" s="31"/>
      <c r="KAT230" s="31"/>
      <c r="KAU230" s="31"/>
      <c r="KAV230" s="32"/>
      <c r="KAW230" s="32"/>
      <c r="KAX230" s="32"/>
      <c r="KAY230" s="32"/>
      <c r="KAZ230" s="32"/>
      <c r="KBA230" s="31"/>
      <c r="KBB230" s="31"/>
      <c r="KBC230" s="33"/>
      <c r="KBD230" s="33"/>
      <c r="KBE230" s="34"/>
      <c r="KBF230" s="34"/>
      <c r="KBG230" s="35"/>
      <c r="KBH230" s="35"/>
      <c r="KBI230" s="32"/>
      <c r="KBJ230" s="31"/>
      <c r="KBK230" s="31"/>
      <c r="KBL230" s="31"/>
      <c r="KBM230" s="32"/>
      <c r="KBN230" s="32"/>
      <c r="KBO230" s="32"/>
      <c r="KBP230" s="32"/>
      <c r="KBQ230" s="32"/>
      <c r="KBR230" s="31"/>
      <c r="KBS230" s="31"/>
      <c r="KBT230" s="33"/>
      <c r="KBU230" s="33"/>
      <c r="KBV230" s="34"/>
      <c r="KBW230" s="34"/>
      <c r="KBX230" s="35"/>
      <c r="KBY230" s="35"/>
      <c r="KBZ230" s="32"/>
      <c r="KCA230" s="31"/>
      <c r="KCB230" s="31"/>
      <c r="KCC230" s="31"/>
      <c r="KCD230" s="32"/>
      <c r="KCE230" s="32"/>
      <c r="KCF230" s="32"/>
      <c r="KCG230" s="32"/>
      <c r="KCH230" s="32"/>
      <c r="KCI230" s="31"/>
      <c r="KCJ230" s="31"/>
      <c r="KCK230" s="33"/>
      <c r="KCL230" s="33"/>
      <c r="KCM230" s="34"/>
      <c r="KCN230" s="34"/>
      <c r="KCO230" s="35"/>
      <c r="KCP230" s="35"/>
      <c r="KCQ230" s="32"/>
      <c r="KCR230" s="31"/>
      <c r="KCS230" s="31"/>
      <c r="KCT230" s="31"/>
      <c r="KCU230" s="32"/>
      <c r="KCV230" s="32"/>
      <c r="KCW230" s="32"/>
      <c r="KCX230" s="32"/>
      <c r="KCY230" s="32"/>
      <c r="KCZ230" s="31"/>
      <c r="KDA230" s="31"/>
      <c r="KDB230" s="33"/>
      <c r="KDC230" s="33"/>
      <c r="KDD230" s="34"/>
      <c r="KDE230" s="34"/>
      <c r="KDF230" s="35"/>
      <c r="KDG230" s="35"/>
      <c r="KDH230" s="32"/>
      <c r="KDI230" s="31"/>
      <c r="KDJ230" s="31"/>
      <c r="KDK230" s="31"/>
      <c r="KDL230" s="32"/>
      <c r="KDM230" s="32"/>
      <c r="KDN230" s="32"/>
      <c r="KDO230" s="32"/>
      <c r="KDP230" s="32"/>
      <c r="KDQ230" s="31"/>
      <c r="KDR230" s="31"/>
      <c r="KDS230" s="33"/>
      <c r="KDT230" s="33"/>
      <c r="KDU230" s="34"/>
      <c r="KDV230" s="34"/>
      <c r="KDW230" s="35"/>
      <c r="KDX230" s="35"/>
      <c r="KDY230" s="32"/>
      <c r="KDZ230" s="31"/>
      <c r="KEA230" s="31"/>
      <c r="KEB230" s="31"/>
      <c r="KEC230" s="32"/>
      <c r="KED230" s="32"/>
      <c r="KEE230" s="32"/>
      <c r="KEF230" s="32"/>
      <c r="KEG230" s="32"/>
      <c r="KEH230" s="31"/>
      <c r="KEI230" s="31"/>
      <c r="KEJ230" s="33"/>
      <c r="KEK230" s="33"/>
      <c r="KEL230" s="34"/>
      <c r="KEM230" s="34"/>
      <c r="KEN230" s="35"/>
      <c r="KEO230" s="35"/>
      <c r="KEP230" s="32"/>
      <c r="KEQ230" s="31"/>
      <c r="KER230" s="31"/>
      <c r="KES230" s="31"/>
      <c r="KET230" s="32"/>
      <c r="KEU230" s="32"/>
      <c r="KEV230" s="32"/>
      <c r="KEW230" s="32"/>
      <c r="KEX230" s="32"/>
      <c r="KEY230" s="31"/>
      <c r="KEZ230" s="31"/>
      <c r="KFA230" s="33"/>
      <c r="KFB230" s="33"/>
      <c r="KFC230" s="34"/>
      <c r="KFD230" s="34"/>
      <c r="KFE230" s="35"/>
      <c r="KFF230" s="35"/>
      <c r="KFG230" s="32"/>
      <c r="KFH230" s="31"/>
      <c r="KFI230" s="31"/>
      <c r="KFJ230" s="31"/>
      <c r="KFK230" s="32"/>
      <c r="KFL230" s="32"/>
      <c r="KFM230" s="32"/>
      <c r="KFN230" s="32"/>
      <c r="KFO230" s="32"/>
      <c r="KFP230" s="31"/>
      <c r="KFQ230" s="31"/>
      <c r="KFR230" s="33"/>
      <c r="KFS230" s="33"/>
      <c r="KFT230" s="34"/>
      <c r="KFU230" s="34"/>
      <c r="KFV230" s="35"/>
      <c r="KFW230" s="35"/>
      <c r="KFX230" s="32"/>
      <c r="KFY230" s="31"/>
      <c r="KFZ230" s="31"/>
      <c r="KGA230" s="31"/>
      <c r="KGB230" s="32"/>
      <c r="KGC230" s="32"/>
      <c r="KGD230" s="32"/>
      <c r="KGE230" s="32"/>
      <c r="KGF230" s="32"/>
      <c r="KGG230" s="31"/>
      <c r="KGH230" s="31"/>
      <c r="KGI230" s="33"/>
      <c r="KGJ230" s="33"/>
      <c r="KGK230" s="34"/>
      <c r="KGL230" s="34"/>
      <c r="KGM230" s="35"/>
      <c r="KGN230" s="35"/>
      <c r="KGO230" s="32"/>
      <c r="KGP230" s="31"/>
      <c r="KGQ230" s="31"/>
      <c r="KGR230" s="31"/>
      <c r="KGS230" s="32"/>
      <c r="KGT230" s="32"/>
      <c r="KGU230" s="32"/>
      <c r="KGV230" s="32"/>
      <c r="KGW230" s="32"/>
      <c r="KGX230" s="31"/>
      <c r="KGY230" s="31"/>
      <c r="KGZ230" s="33"/>
      <c r="KHA230" s="33"/>
      <c r="KHB230" s="34"/>
      <c r="KHC230" s="34"/>
      <c r="KHD230" s="35"/>
      <c r="KHE230" s="35"/>
      <c r="KHF230" s="32"/>
      <c r="KHG230" s="31"/>
      <c r="KHH230" s="31"/>
      <c r="KHI230" s="31"/>
      <c r="KHJ230" s="32"/>
      <c r="KHK230" s="32"/>
      <c r="KHL230" s="32"/>
      <c r="KHM230" s="32"/>
      <c r="KHN230" s="32"/>
      <c r="KHO230" s="31"/>
      <c r="KHP230" s="31"/>
      <c r="KHQ230" s="33"/>
      <c r="KHR230" s="33"/>
      <c r="KHS230" s="34"/>
      <c r="KHT230" s="34"/>
      <c r="KHU230" s="35"/>
      <c r="KHV230" s="35"/>
      <c r="KHW230" s="32"/>
      <c r="KHX230" s="31"/>
      <c r="KHY230" s="31"/>
      <c r="KHZ230" s="31"/>
      <c r="KIA230" s="32"/>
      <c r="KIB230" s="32"/>
      <c r="KIC230" s="32"/>
      <c r="KID230" s="32"/>
      <c r="KIE230" s="32"/>
      <c r="KIF230" s="31"/>
      <c r="KIG230" s="31"/>
      <c r="KIH230" s="33"/>
      <c r="KII230" s="33"/>
      <c r="KIJ230" s="34"/>
      <c r="KIK230" s="34"/>
      <c r="KIL230" s="35"/>
      <c r="KIM230" s="35"/>
      <c r="KIN230" s="32"/>
      <c r="KIO230" s="31"/>
      <c r="KIP230" s="31"/>
      <c r="KIQ230" s="31"/>
      <c r="KIR230" s="32"/>
      <c r="KIS230" s="32"/>
      <c r="KIT230" s="32"/>
      <c r="KIU230" s="32"/>
      <c r="KIV230" s="32"/>
      <c r="KIW230" s="31"/>
      <c r="KIX230" s="31"/>
      <c r="KIY230" s="33"/>
      <c r="KIZ230" s="33"/>
      <c r="KJA230" s="34"/>
      <c r="KJB230" s="34"/>
      <c r="KJC230" s="35"/>
      <c r="KJD230" s="35"/>
      <c r="KJE230" s="32"/>
      <c r="KJF230" s="31"/>
      <c r="KJG230" s="31"/>
      <c r="KJH230" s="31"/>
      <c r="KJI230" s="32"/>
      <c r="KJJ230" s="32"/>
      <c r="KJK230" s="32"/>
      <c r="KJL230" s="32"/>
      <c r="KJM230" s="32"/>
      <c r="KJN230" s="31"/>
      <c r="KJO230" s="31"/>
      <c r="KJP230" s="33"/>
      <c r="KJQ230" s="33"/>
      <c r="KJR230" s="34"/>
      <c r="KJS230" s="34"/>
      <c r="KJT230" s="35"/>
      <c r="KJU230" s="35"/>
      <c r="KJV230" s="32"/>
      <c r="KJW230" s="31"/>
      <c r="KJX230" s="31"/>
      <c r="KJY230" s="31"/>
      <c r="KJZ230" s="32"/>
      <c r="KKA230" s="32"/>
      <c r="KKB230" s="32"/>
      <c r="KKC230" s="32"/>
      <c r="KKD230" s="32"/>
      <c r="KKE230" s="31"/>
      <c r="KKF230" s="31"/>
      <c r="KKG230" s="33"/>
      <c r="KKH230" s="33"/>
      <c r="KKI230" s="34"/>
      <c r="KKJ230" s="34"/>
      <c r="KKK230" s="35"/>
      <c r="KKL230" s="35"/>
      <c r="KKM230" s="32"/>
      <c r="KKN230" s="31"/>
      <c r="KKO230" s="31"/>
      <c r="KKP230" s="31"/>
      <c r="KKQ230" s="32"/>
      <c r="KKR230" s="32"/>
      <c r="KKS230" s="32"/>
      <c r="KKT230" s="32"/>
      <c r="KKU230" s="32"/>
      <c r="KKV230" s="31"/>
      <c r="KKW230" s="31"/>
      <c r="KKX230" s="33"/>
      <c r="KKY230" s="33"/>
      <c r="KKZ230" s="34"/>
      <c r="KLA230" s="34"/>
      <c r="KLB230" s="35"/>
      <c r="KLC230" s="35"/>
      <c r="KLD230" s="32"/>
      <c r="KLE230" s="31"/>
      <c r="KLF230" s="31"/>
      <c r="KLG230" s="31"/>
      <c r="KLH230" s="32"/>
      <c r="KLI230" s="32"/>
      <c r="KLJ230" s="32"/>
      <c r="KLK230" s="32"/>
      <c r="KLL230" s="32"/>
      <c r="KLM230" s="31"/>
      <c r="KLN230" s="31"/>
      <c r="KLO230" s="33"/>
      <c r="KLP230" s="33"/>
      <c r="KLQ230" s="34"/>
      <c r="KLR230" s="34"/>
      <c r="KLS230" s="35"/>
      <c r="KLT230" s="35"/>
      <c r="KLU230" s="32"/>
      <c r="KLV230" s="31"/>
      <c r="KLW230" s="31"/>
      <c r="KLX230" s="31"/>
      <c r="KLY230" s="32"/>
      <c r="KLZ230" s="32"/>
      <c r="KMA230" s="32"/>
      <c r="KMB230" s="32"/>
      <c r="KMC230" s="32"/>
      <c r="KMD230" s="31"/>
      <c r="KME230" s="31"/>
      <c r="KMF230" s="33"/>
      <c r="KMG230" s="33"/>
      <c r="KMH230" s="34"/>
      <c r="KMI230" s="34"/>
      <c r="KMJ230" s="35"/>
      <c r="KMK230" s="35"/>
      <c r="KML230" s="32"/>
      <c r="KMM230" s="31"/>
      <c r="KMN230" s="31"/>
      <c r="KMO230" s="31"/>
      <c r="KMP230" s="32"/>
      <c r="KMQ230" s="32"/>
      <c r="KMR230" s="32"/>
      <c r="KMS230" s="32"/>
      <c r="KMT230" s="32"/>
      <c r="KMU230" s="31"/>
      <c r="KMV230" s="31"/>
      <c r="KMW230" s="33"/>
      <c r="KMX230" s="33"/>
      <c r="KMY230" s="34"/>
      <c r="KMZ230" s="34"/>
      <c r="KNA230" s="35"/>
      <c r="KNB230" s="35"/>
      <c r="KNC230" s="32"/>
      <c r="KND230" s="31"/>
      <c r="KNE230" s="31"/>
      <c r="KNF230" s="31"/>
      <c r="KNG230" s="32"/>
      <c r="KNH230" s="32"/>
      <c r="KNI230" s="32"/>
      <c r="KNJ230" s="32"/>
      <c r="KNK230" s="32"/>
      <c r="KNL230" s="31"/>
      <c r="KNM230" s="31"/>
      <c r="KNN230" s="33"/>
      <c r="KNO230" s="33"/>
      <c r="KNP230" s="34"/>
      <c r="KNQ230" s="34"/>
      <c r="KNR230" s="35"/>
      <c r="KNS230" s="35"/>
      <c r="KNT230" s="32"/>
      <c r="KNU230" s="31"/>
      <c r="KNV230" s="31"/>
      <c r="KNW230" s="31"/>
      <c r="KNX230" s="32"/>
      <c r="KNY230" s="32"/>
      <c r="KNZ230" s="32"/>
      <c r="KOA230" s="32"/>
      <c r="KOB230" s="32"/>
      <c r="KOC230" s="31"/>
      <c r="KOD230" s="31"/>
      <c r="KOE230" s="33"/>
      <c r="KOF230" s="33"/>
      <c r="KOG230" s="34"/>
      <c r="KOH230" s="34"/>
      <c r="KOI230" s="35"/>
      <c r="KOJ230" s="35"/>
      <c r="KOK230" s="32"/>
      <c r="KOL230" s="31"/>
      <c r="KOM230" s="31"/>
      <c r="KON230" s="31"/>
      <c r="KOO230" s="32"/>
      <c r="KOP230" s="32"/>
      <c r="KOQ230" s="32"/>
      <c r="KOR230" s="32"/>
      <c r="KOS230" s="32"/>
      <c r="KOT230" s="31"/>
      <c r="KOU230" s="31"/>
      <c r="KOV230" s="33"/>
      <c r="KOW230" s="33"/>
      <c r="KOX230" s="34"/>
      <c r="KOY230" s="34"/>
      <c r="KOZ230" s="35"/>
      <c r="KPA230" s="35"/>
      <c r="KPB230" s="32"/>
      <c r="KPC230" s="31"/>
      <c r="KPD230" s="31"/>
      <c r="KPE230" s="31"/>
      <c r="KPF230" s="32"/>
      <c r="KPG230" s="32"/>
      <c r="KPH230" s="32"/>
      <c r="KPI230" s="32"/>
      <c r="KPJ230" s="32"/>
      <c r="KPK230" s="31"/>
      <c r="KPL230" s="31"/>
      <c r="KPM230" s="33"/>
      <c r="KPN230" s="33"/>
      <c r="KPO230" s="34"/>
      <c r="KPP230" s="34"/>
      <c r="KPQ230" s="35"/>
      <c r="KPR230" s="35"/>
      <c r="KPS230" s="32"/>
      <c r="KPT230" s="31"/>
      <c r="KPU230" s="31"/>
      <c r="KPV230" s="31"/>
      <c r="KPW230" s="32"/>
      <c r="KPX230" s="32"/>
      <c r="KPY230" s="32"/>
      <c r="KPZ230" s="32"/>
      <c r="KQA230" s="32"/>
      <c r="KQB230" s="31"/>
      <c r="KQC230" s="31"/>
      <c r="KQD230" s="33"/>
      <c r="KQE230" s="33"/>
      <c r="KQF230" s="34"/>
      <c r="KQG230" s="34"/>
      <c r="KQH230" s="35"/>
      <c r="KQI230" s="35"/>
      <c r="KQJ230" s="32"/>
      <c r="KQK230" s="31"/>
      <c r="KQL230" s="31"/>
      <c r="KQM230" s="31"/>
      <c r="KQN230" s="32"/>
      <c r="KQO230" s="32"/>
      <c r="KQP230" s="32"/>
      <c r="KQQ230" s="32"/>
      <c r="KQR230" s="32"/>
      <c r="KQS230" s="31"/>
      <c r="KQT230" s="31"/>
      <c r="KQU230" s="33"/>
      <c r="KQV230" s="33"/>
      <c r="KQW230" s="34"/>
      <c r="KQX230" s="34"/>
      <c r="KQY230" s="35"/>
      <c r="KQZ230" s="35"/>
      <c r="KRA230" s="32"/>
      <c r="KRB230" s="31"/>
      <c r="KRC230" s="31"/>
      <c r="KRD230" s="31"/>
      <c r="KRE230" s="32"/>
      <c r="KRF230" s="32"/>
      <c r="KRG230" s="32"/>
      <c r="KRH230" s="32"/>
      <c r="KRI230" s="32"/>
      <c r="KRJ230" s="31"/>
      <c r="KRK230" s="31"/>
      <c r="KRL230" s="33"/>
      <c r="KRM230" s="33"/>
      <c r="KRN230" s="34"/>
      <c r="KRO230" s="34"/>
      <c r="KRP230" s="35"/>
      <c r="KRQ230" s="35"/>
      <c r="KRR230" s="32"/>
      <c r="KRS230" s="31"/>
      <c r="KRT230" s="31"/>
      <c r="KRU230" s="31"/>
      <c r="KRV230" s="32"/>
      <c r="KRW230" s="32"/>
      <c r="KRX230" s="32"/>
      <c r="KRY230" s="32"/>
      <c r="KRZ230" s="32"/>
      <c r="KSA230" s="31"/>
      <c r="KSB230" s="31"/>
      <c r="KSC230" s="33"/>
      <c r="KSD230" s="33"/>
      <c r="KSE230" s="34"/>
      <c r="KSF230" s="34"/>
      <c r="KSG230" s="35"/>
      <c r="KSH230" s="35"/>
      <c r="KSI230" s="32"/>
      <c r="KSJ230" s="31"/>
      <c r="KSK230" s="31"/>
      <c r="KSL230" s="31"/>
      <c r="KSM230" s="32"/>
      <c r="KSN230" s="32"/>
      <c r="KSO230" s="32"/>
      <c r="KSP230" s="32"/>
      <c r="KSQ230" s="32"/>
      <c r="KSR230" s="31"/>
      <c r="KSS230" s="31"/>
      <c r="KST230" s="33"/>
      <c r="KSU230" s="33"/>
      <c r="KSV230" s="34"/>
      <c r="KSW230" s="34"/>
      <c r="KSX230" s="35"/>
      <c r="KSY230" s="35"/>
      <c r="KSZ230" s="32"/>
      <c r="KTA230" s="31"/>
      <c r="KTB230" s="31"/>
      <c r="KTC230" s="31"/>
      <c r="KTD230" s="32"/>
      <c r="KTE230" s="32"/>
      <c r="KTF230" s="32"/>
      <c r="KTG230" s="32"/>
      <c r="KTH230" s="32"/>
      <c r="KTI230" s="31"/>
      <c r="KTJ230" s="31"/>
      <c r="KTK230" s="33"/>
      <c r="KTL230" s="33"/>
      <c r="KTM230" s="34"/>
      <c r="KTN230" s="34"/>
      <c r="KTO230" s="35"/>
      <c r="KTP230" s="35"/>
      <c r="KTQ230" s="32"/>
      <c r="KTR230" s="31"/>
      <c r="KTS230" s="31"/>
      <c r="KTT230" s="31"/>
      <c r="KTU230" s="32"/>
      <c r="KTV230" s="32"/>
      <c r="KTW230" s="32"/>
      <c r="KTX230" s="32"/>
      <c r="KTY230" s="32"/>
      <c r="KTZ230" s="31"/>
      <c r="KUA230" s="31"/>
      <c r="KUB230" s="33"/>
      <c r="KUC230" s="33"/>
      <c r="KUD230" s="34"/>
      <c r="KUE230" s="34"/>
      <c r="KUF230" s="35"/>
      <c r="KUG230" s="35"/>
      <c r="KUH230" s="32"/>
      <c r="KUI230" s="31"/>
      <c r="KUJ230" s="31"/>
      <c r="KUK230" s="31"/>
      <c r="KUL230" s="32"/>
      <c r="KUM230" s="32"/>
      <c r="KUN230" s="32"/>
      <c r="KUO230" s="32"/>
      <c r="KUP230" s="32"/>
      <c r="KUQ230" s="31"/>
      <c r="KUR230" s="31"/>
      <c r="KUS230" s="33"/>
      <c r="KUT230" s="33"/>
      <c r="KUU230" s="34"/>
      <c r="KUV230" s="34"/>
      <c r="KUW230" s="35"/>
      <c r="KUX230" s="35"/>
      <c r="KUY230" s="32"/>
      <c r="KUZ230" s="31"/>
      <c r="KVA230" s="31"/>
      <c r="KVB230" s="31"/>
      <c r="KVC230" s="32"/>
      <c r="KVD230" s="32"/>
      <c r="KVE230" s="32"/>
      <c r="KVF230" s="32"/>
      <c r="KVG230" s="32"/>
      <c r="KVH230" s="31"/>
      <c r="KVI230" s="31"/>
      <c r="KVJ230" s="33"/>
      <c r="KVK230" s="33"/>
      <c r="KVL230" s="34"/>
      <c r="KVM230" s="34"/>
      <c r="KVN230" s="35"/>
      <c r="KVO230" s="35"/>
      <c r="KVP230" s="32"/>
      <c r="KVQ230" s="31"/>
      <c r="KVR230" s="31"/>
      <c r="KVS230" s="31"/>
      <c r="KVT230" s="32"/>
      <c r="KVU230" s="32"/>
      <c r="KVV230" s="32"/>
      <c r="KVW230" s="32"/>
      <c r="KVX230" s="32"/>
      <c r="KVY230" s="31"/>
      <c r="KVZ230" s="31"/>
      <c r="KWA230" s="33"/>
      <c r="KWB230" s="33"/>
      <c r="KWC230" s="34"/>
      <c r="KWD230" s="34"/>
      <c r="KWE230" s="35"/>
      <c r="KWF230" s="35"/>
      <c r="KWG230" s="32"/>
      <c r="KWH230" s="31"/>
      <c r="KWI230" s="31"/>
      <c r="KWJ230" s="31"/>
      <c r="KWK230" s="32"/>
      <c r="KWL230" s="32"/>
      <c r="KWM230" s="32"/>
      <c r="KWN230" s="32"/>
      <c r="KWO230" s="32"/>
      <c r="KWP230" s="31"/>
      <c r="KWQ230" s="31"/>
      <c r="KWR230" s="33"/>
      <c r="KWS230" s="33"/>
      <c r="KWT230" s="34"/>
      <c r="KWU230" s="34"/>
      <c r="KWV230" s="35"/>
      <c r="KWW230" s="35"/>
      <c r="KWX230" s="32"/>
      <c r="KWY230" s="31"/>
      <c r="KWZ230" s="31"/>
      <c r="KXA230" s="31"/>
      <c r="KXB230" s="32"/>
      <c r="KXC230" s="32"/>
      <c r="KXD230" s="32"/>
      <c r="KXE230" s="32"/>
      <c r="KXF230" s="32"/>
      <c r="KXG230" s="31"/>
      <c r="KXH230" s="31"/>
      <c r="KXI230" s="33"/>
      <c r="KXJ230" s="33"/>
      <c r="KXK230" s="34"/>
      <c r="KXL230" s="34"/>
      <c r="KXM230" s="35"/>
      <c r="KXN230" s="35"/>
      <c r="KXO230" s="32"/>
      <c r="KXP230" s="31"/>
      <c r="KXQ230" s="31"/>
      <c r="KXR230" s="31"/>
      <c r="KXS230" s="32"/>
      <c r="KXT230" s="32"/>
      <c r="KXU230" s="32"/>
      <c r="KXV230" s="32"/>
      <c r="KXW230" s="32"/>
      <c r="KXX230" s="31"/>
      <c r="KXY230" s="31"/>
      <c r="KXZ230" s="33"/>
      <c r="KYA230" s="33"/>
      <c r="KYB230" s="34"/>
      <c r="KYC230" s="34"/>
      <c r="KYD230" s="35"/>
      <c r="KYE230" s="35"/>
      <c r="KYF230" s="32"/>
      <c r="KYG230" s="31"/>
      <c r="KYH230" s="31"/>
      <c r="KYI230" s="31"/>
      <c r="KYJ230" s="32"/>
      <c r="KYK230" s="32"/>
      <c r="KYL230" s="32"/>
      <c r="KYM230" s="32"/>
      <c r="KYN230" s="32"/>
      <c r="KYO230" s="31"/>
      <c r="KYP230" s="31"/>
      <c r="KYQ230" s="33"/>
      <c r="KYR230" s="33"/>
      <c r="KYS230" s="34"/>
      <c r="KYT230" s="34"/>
      <c r="KYU230" s="35"/>
      <c r="KYV230" s="35"/>
      <c r="KYW230" s="32"/>
      <c r="KYX230" s="31"/>
      <c r="KYY230" s="31"/>
      <c r="KYZ230" s="31"/>
      <c r="KZA230" s="32"/>
      <c r="KZB230" s="32"/>
      <c r="KZC230" s="32"/>
      <c r="KZD230" s="32"/>
      <c r="KZE230" s="32"/>
      <c r="KZF230" s="31"/>
      <c r="KZG230" s="31"/>
      <c r="KZH230" s="33"/>
      <c r="KZI230" s="33"/>
      <c r="KZJ230" s="34"/>
      <c r="KZK230" s="34"/>
      <c r="KZL230" s="35"/>
      <c r="KZM230" s="35"/>
      <c r="KZN230" s="32"/>
      <c r="KZO230" s="31"/>
      <c r="KZP230" s="31"/>
      <c r="KZQ230" s="31"/>
      <c r="KZR230" s="32"/>
      <c r="KZS230" s="32"/>
      <c r="KZT230" s="32"/>
      <c r="KZU230" s="32"/>
      <c r="KZV230" s="32"/>
      <c r="KZW230" s="31"/>
      <c r="KZX230" s="31"/>
      <c r="KZY230" s="33"/>
      <c r="KZZ230" s="33"/>
      <c r="LAA230" s="34"/>
      <c r="LAB230" s="34"/>
      <c r="LAC230" s="35"/>
      <c r="LAD230" s="35"/>
      <c r="LAE230" s="32"/>
      <c r="LAF230" s="31"/>
      <c r="LAG230" s="31"/>
      <c r="LAH230" s="31"/>
      <c r="LAI230" s="32"/>
      <c r="LAJ230" s="32"/>
      <c r="LAK230" s="32"/>
      <c r="LAL230" s="32"/>
      <c r="LAM230" s="32"/>
      <c r="LAN230" s="31"/>
      <c r="LAO230" s="31"/>
      <c r="LAP230" s="33"/>
      <c r="LAQ230" s="33"/>
      <c r="LAR230" s="34"/>
      <c r="LAS230" s="34"/>
      <c r="LAT230" s="35"/>
      <c r="LAU230" s="35"/>
      <c r="LAV230" s="32"/>
      <c r="LAW230" s="31"/>
      <c r="LAX230" s="31"/>
      <c r="LAY230" s="31"/>
      <c r="LAZ230" s="32"/>
      <c r="LBA230" s="32"/>
      <c r="LBB230" s="32"/>
      <c r="LBC230" s="32"/>
      <c r="LBD230" s="32"/>
      <c r="LBE230" s="31"/>
      <c r="LBF230" s="31"/>
      <c r="LBG230" s="33"/>
      <c r="LBH230" s="33"/>
      <c r="LBI230" s="34"/>
      <c r="LBJ230" s="34"/>
      <c r="LBK230" s="35"/>
      <c r="LBL230" s="35"/>
      <c r="LBM230" s="32"/>
      <c r="LBN230" s="31"/>
      <c r="LBO230" s="31"/>
      <c r="LBP230" s="31"/>
      <c r="LBQ230" s="32"/>
      <c r="LBR230" s="32"/>
      <c r="LBS230" s="32"/>
      <c r="LBT230" s="32"/>
      <c r="LBU230" s="32"/>
      <c r="LBV230" s="31"/>
      <c r="LBW230" s="31"/>
      <c r="LBX230" s="33"/>
      <c r="LBY230" s="33"/>
      <c r="LBZ230" s="34"/>
      <c r="LCA230" s="34"/>
      <c r="LCB230" s="35"/>
      <c r="LCC230" s="35"/>
      <c r="LCD230" s="32"/>
      <c r="LCE230" s="31"/>
      <c r="LCF230" s="31"/>
      <c r="LCG230" s="31"/>
      <c r="LCH230" s="32"/>
      <c r="LCI230" s="32"/>
      <c r="LCJ230" s="32"/>
      <c r="LCK230" s="32"/>
      <c r="LCL230" s="32"/>
      <c r="LCM230" s="31"/>
      <c r="LCN230" s="31"/>
      <c r="LCO230" s="33"/>
      <c r="LCP230" s="33"/>
      <c r="LCQ230" s="34"/>
      <c r="LCR230" s="34"/>
      <c r="LCS230" s="35"/>
      <c r="LCT230" s="35"/>
      <c r="LCU230" s="32"/>
      <c r="LCV230" s="31"/>
      <c r="LCW230" s="31"/>
      <c r="LCX230" s="31"/>
      <c r="LCY230" s="32"/>
      <c r="LCZ230" s="32"/>
      <c r="LDA230" s="32"/>
      <c r="LDB230" s="32"/>
      <c r="LDC230" s="32"/>
      <c r="LDD230" s="31"/>
      <c r="LDE230" s="31"/>
      <c r="LDF230" s="33"/>
      <c r="LDG230" s="33"/>
      <c r="LDH230" s="34"/>
      <c r="LDI230" s="34"/>
      <c r="LDJ230" s="35"/>
      <c r="LDK230" s="35"/>
      <c r="LDL230" s="32"/>
      <c r="LDM230" s="31"/>
      <c r="LDN230" s="31"/>
      <c r="LDO230" s="31"/>
      <c r="LDP230" s="32"/>
      <c r="LDQ230" s="32"/>
      <c r="LDR230" s="32"/>
      <c r="LDS230" s="32"/>
      <c r="LDT230" s="32"/>
      <c r="LDU230" s="31"/>
      <c r="LDV230" s="31"/>
      <c r="LDW230" s="33"/>
      <c r="LDX230" s="33"/>
      <c r="LDY230" s="34"/>
      <c r="LDZ230" s="34"/>
      <c r="LEA230" s="35"/>
      <c r="LEB230" s="35"/>
      <c r="LEC230" s="32"/>
      <c r="LED230" s="31"/>
      <c r="LEE230" s="31"/>
      <c r="LEF230" s="31"/>
      <c r="LEG230" s="32"/>
      <c r="LEH230" s="32"/>
      <c r="LEI230" s="32"/>
      <c r="LEJ230" s="32"/>
      <c r="LEK230" s="32"/>
      <c r="LEL230" s="31"/>
      <c r="LEM230" s="31"/>
      <c r="LEN230" s="33"/>
      <c r="LEO230" s="33"/>
      <c r="LEP230" s="34"/>
      <c r="LEQ230" s="34"/>
      <c r="LER230" s="35"/>
      <c r="LES230" s="35"/>
      <c r="LET230" s="32"/>
      <c r="LEU230" s="31"/>
      <c r="LEV230" s="31"/>
      <c r="LEW230" s="31"/>
      <c r="LEX230" s="32"/>
      <c r="LEY230" s="32"/>
      <c r="LEZ230" s="32"/>
      <c r="LFA230" s="32"/>
      <c r="LFB230" s="32"/>
      <c r="LFC230" s="31"/>
      <c r="LFD230" s="31"/>
      <c r="LFE230" s="33"/>
      <c r="LFF230" s="33"/>
      <c r="LFG230" s="34"/>
      <c r="LFH230" s="34"/>
      <c r="LFI230" s="35"/>
      <c r="LFJ230" s="35"/>
      <c r="LFK230" s="32"/>
      <c r="LFL230" s="31"/>
      <c r="LFM230" s="31"/>
      <c r="LFN230" s="31"/>
      <c r="LFO230" s="32"/>
      <c r="LFP230" s="32"/>
      <c r="LFQ230" s="32"/>
      <c r="LFR230" s="32"/>
      <c r="LFS230" s="32"/>
      <c r="LFT230" s="31"/>
      <c r="LFU230" s="31"/>
      <c r="LFV230" s="33"/>
      <c r="LFW230" s="33"/>
      <c r="LFX230" s="34"/>
      <c r="LFY230" s="34"/>
      <c r="LFZ230" s="35"/>
      <c r="LGA230" s="35"/>
      <c r="LGB230" s="32"/>
      <c r="LGC230" s="31"/>
      <c r="LGD230" s="31"/>
      <c r="LGE230" s="31"/>
      <c r="LGF230" s="32"/>
      <c r="LGG230" s="32"/>
      <c r="LGH230" s="32"/>
      <c r="LGI230" s="32"/>
      <c r="LGJ230" s="32"/>
      <c r="LGK230" s="31"/>
      <c r="LGL230" s="31"/>
      <c r="LGM230" s="33"/>
      <c r="LGN230" s="33"/>
      <c r="LGO230" s="34"/>
      <c r="LGP230" s="34"/>
      <c r="LGQ230" s="35"/>
      <c r="LGR230" s="35"/>
      <c r="LGS230" s="32"/>
      <c r="LGT230" s="31"/>
      <c r="LGU230" s="31"/>
      <c r="LGV230" s="31"/>
      <c r="LGW230" s="32"/>
      <c r="LGX230" s="32"/>
      <c r="LGY230" s="32"/>
      <c r="LGZ230" s="32"/>
      <c r="LHA230" s="32"/>
      <c r="LHB230" s="31"/>
      <c r="LHC230" s="31"/>
      <c r="LHD230" s="33"/>
      <c r="LHE230" s="33"/>
      <c r="LHF230" s="34"/>
      <c r="LHG230" s="34"/>
      <c r="LHH230" s="35"/>
      <c r="LHI230" s="35"/>
      <c r="LHJ230" s="32"/>
      <c r="LHK230" s="31"/>
      <c r="LHL230" s="31"/>
      <c r="LHM230" s="31"/>
      <c r="LHN230" s="32"/>
      <c r="LHO230" s="32"/>
      <c r="LHP230" s="32"/>
      <c r="LHQ230" s="32"/>
      <c r="LHR230" s="32"/>
      <c r="LHS230" s="31"/>
      <c r="LHT230" s="31"/>
      <c r="LHU230" s="33"/>
      <c r="LHV230" s="33"/>
      <c r="LHW230" s="34"/>
      <c r="LHX230" s="34"/>
      <c r="LHY230" s="35"/>
      <c r="LHZ230" s="35"/>
      <c r="LIA230" s="32"/>
      <c r="LIB230" s="31"/>
      <c r="LIC230" s="31"/>
      <c r="LID230" s="31"/>
      <c r="LIE230" s="32"/>
      <c r="LIF230" s="32"/>
      <c r="LIG230" s="32"/>
      <c r="LIH230" s="32"/>
      <c r="LII230" s="32"/>
      <c r="LIJ230" s="31"/>
      <c r="LIK230" s="31"/>
      <c r="LIL230" s="33"/>
      <c r="LIM230" s="33"/>
      <c r="LIN230" s="34"/>
      <c r="LIO230" s="34"/>
      <c r="LIP230" s="35"/>
      <c r="LIQ230" s="35"/>
      <c r="LIR230" s="32"/>
      <c r="LIS230" s="31"/>
      <c r="LIT230" s="31"/>
      <c r="LIU230" s="31"/>
      <c r="LIV230" s="32"/>
      <c r="LIW230" s="32"/>
      <c r="LIX230" s="32"/>
      <c r="LIY230" s="32"/>
      <c r="LIZ230" s="32"/>
      <c r="LJA230" s="31"/>
      <c r="LJB230" s="31"/>
      <c r="LJC230" s="33"/>
      <c r="LJD230" s="33"/>
      <c r="LJE230" s="34"/>
      <c r="LJF230" s="34"/>
      <c r="LJG230" s="35"/>
      <c r="LJH230" s="35"/>
      <c r="LJI230" s="32"/>
      <c r="LJJ230" s="31"/>
      <c r="LJK230" s="31"/>
      <c r="LJL230" s="31"/>
      <c r="LJM230" s="32"/>
      <c r="LJN230" s="32"/>
      <c r="LJO230" s="32"/>
      <c r="LJP230" s="32"/>
      <c r="LJQ230" s="32"/>
      <c r="LJR230" s="31"/>
      <c r="LJS230" s="31"/>
      <c r="LJT230" s="33"/>
      <c r="LJU230" s="33"/>
      <c r="LJV230" s="34"/>
      <c r="LJW230" s="34"/>
      <c r="LJX230" s="35"/>
      <c r="LJY230" s="35"/>
      <c r="LJZ230" s="32"/>
      <c r="LKA230" s="31"/>
      <c r="LKB230" s="31"/>
      <c r="LKC230" s="31"/>
      <c r="LKD230" s="32"/>
      <c r="LKE230" s="32"/>
      <c r="LKF230" s="32"/>
      <c r="LKG230" s="32"/>
      <c r="LKH230" s="32"/>
      <c r="LKI230" s="31"/>
      <c r="LKJ230" s="31"/>
      <c r="LKK230" s="33"/>
      <c r="LKL230" s="33"/>
      <c r="LKM230" s="34"/>
      <c r="LKN230" s="34"/>
      <c r="LKO230" s="35"/>
      <c r="LKP230" s="35"/>
      <c r="LKQ230" s="32"/>
      <c r="LKR230" s="31"/>
      <c r="LKS230" s="31"/>
      <c r="LKT230" s="31"/>
      <c r="LKU230" s="32"/>
      <c r="LKV230" s="32"/>
      <c r="LKW230" s="32"/>
      <c r="LKX230" s="32"/>
      <c r="LKY230" s="32"/>
      <c r="LKZ230" s="31"/>
      <c r="LLA230" s="31"/>
      <c r="LLB230" s="33"/>
      <c r="LLC230" s="33"/>
      <c r="LLD230" s="34"/>
      <c r="LLE230" s="34"/>
      <c r="LLF230" s="35"/>
      <c r="LLG230" s="35"/>
      <c r="LLH230" s="32"/>
      <c r="LLI230" s="31"/>
      <c r="LLJ230" s="31"/>
      <c r="LLK230" s="31"/>
      <c r="LLL230" s="32"/>
      <c r="LLM230" s="32"/>
      <c r="LLN230" s="32"/>
      <c r="LLO230" s="32"/>
      <c r="LLP230" s="32"/>
      <c r="LLQ230" s="31"/>
      <c r="LLR230" s="31"/>
      <c r="LLS230" s="33"/>
      <c r="LLT230" s="33"/>
      <c r="LLU230" s="34"/>
      <c r="LLV230" s="34"/>
      <c r="LLW230" s="35"/>
      <c r="LLX230" s="35"/>
      <c r="LLY230" s="32"/>
      <c r="LLZ230" s="31"/>
      <c r="LMA230" s="31"/>
      <c r="LMB230" s="31"/>
      <c r="LMC230" s="32"/>
      <c r="LMD230" s="32"/>
      <c r="LME230" s="32"/>
      <c r="LMF230" s="32"/>
      <c r="LMG230" s="32"/>
      <c r="LMH230" s="31"/>
      <c r="LMI230" s="31"/>
      <c r="LMJ230" s="33"/>
      <c r="LMK230" s="33"/>
      <c r="LML230" s="34"/>
      <c r="LMM230" s="34"/>
      <c r="LMN230" s="35"/>
      <c r="LMO230" s="35"/>
      <c r="LMP230" s="32"/>
      <c r="LMQ230" s="31"/>
      <c r="LMR230" s="31"/>
      <c r="LMS230" s="31"/>
      <c r="LMT230" s="32"/>
      <c r="LMU230" s="32"/>
      <c r="LMV230" s="32"/>
      <c r="LMW230" s="32"/>
      <c r="LMX230" s="32"/>
      <c r="LMY230" s="31"/>
      <c r="LMZ230" s="31"/>
      <c r="LNA230" s="33"/>
      <c r="LNB230" s="33"/>
      <c r="LNC230" s="34"/>
      <c r="LND230" s="34"/>
      <c r="LNE230" s="35"/>
      <c r="LNF230" s="35"/>
      <c r="LNG230" s="32"/>
      <c r="LNH230" s="31"/>
      <c r="LNI230" s="31"/>
      <c r="LNJ230" s="31"/>
      <c r="LNK230" s="32"/>
      <c r="LNL230" s="32"/>
      <c r="LNM230" s="32"/>
      <c r="LNN230" s="32"/>
      <c r="LNO230" s="32"/>
      <c r="LNP230" s="31"/>
      <c r="LNQ230" s="31"/>
      <c r="LNR230" s="33"/>
      <c r="LNS230" s="33"/>
      <c r="LNT230" s="34"/>
      <c r="LNU230" s="34"/>
      <c r="LNV230" s="35"/>
      <c r="LNW230" s="35"/>
      <c r="LNX230" s="32"/>
      <c r="LNY230" s="31"/>
      <c r="LNZ230" s="31"/>
      <c r="LOA230" s="31"/>
      <c r="LOB230" s="32"/>
      <c r="LOC230" s="32"/>
      <c r="LOD230" s="32"/>
      <c r="LOE230" s="32"/>
      <c r="LOF230" s="32"/>
      <c r="LOG230" s="31"/>
      <c r="LOH230" s="31"/>
      <c r="LOI230" s="33"/>
      <c r="LOJ230" s="33"/>
      <c r="LOK230" s="34"/>
      <c r="LOL230" s="34"/>
      <c r="LOM230" s="35"/>
      <c r="LON230" s="35"/>
      <c r="LOO230" s="32"/>
      <c r="LOP230" s="31"/>
      <c r="LOQ230" s="31"/>
      <c r="LOR230" s="31"/>
      <c r="LOS230" s="32"/>
      <c r="LOT230" s="32"/>
      <c r="LOU230" s="32"/>
      <c r="LOV230" s="32"/>
      <c r="LOW230" s="32"/>
      <c r="LOX230" s="31"/>
      <c r="LOY230" s="31"/>
      <c r="LOZ230" s="33"/>
      <c r="LPA230" s="33"/>
      <c r="LPB230" s="34"/>
      <c r="LPC230" s="34"/>
      <c r="LPD230" s="35"/>
      <c r="LPE230" s="35"/>
      <c r="LPF230" s="32"/>
      <c r="LPG230" s="31"/>
      <c r="LPH230" s="31"/>
      <c r="LPI230" s="31"/>
      <c r="LPJ230" s="32"/>
      <c r="LPK230" s="32"/>
      <c r="LPL230" s="32"/>
      <c r="LPM230" s="32"/>
      <c r="LPN230" s="32"/>
      <c r="LPO230" s="31"/>
      <c r="LPP230" s="31"/>
      <c r="LPQ230" s="33"/>
      <c r="LPR230" s="33"/>
      <c r="LPS230" s="34"/>
      <c r="LPT230" s="34"/>
      <c r="LPU230" s="35"/>
      <c r="LPV230" s="35"/>
      <c r="LPW230" s="32"/>
      <c r="LPX230" s="31"/>
      <c r="LPY230" s="31"/>
      <c r="LPZ230" s="31"/>
      <c r="LQA230" s="32"/>
      <c r="LQB230" s="32"/>
      <c r="LQC230" s="32"/>
      <c r="LQD230" s="32"/>
      <c r="LQE230" s="32"/>
      <c r="LQF230" s="31"/>
      <c r="LQG230" s="31"/>
      <c r="LQH230" s="33"/>
      <c r="LQI230" s="33"/>
      <c r="LQJ230" s="34"/>
      <c r="LQK230" s="34"/>
      <c r="LQL230" s="35"/>
      <c r="LQM230" s="35"/>
      <c r="LQN230" s="32"/>
      <c r="LQO230" s="31"/>
      <c r="LQP230" s="31"/>
      <c r="LQQ230" s="31"/>
      <c r="LQR230" s="32"/>
      <c r="LQS230" s="32"/>
      <c r="LQT230" s="32"/>
      <c r="LQU230" s="32"/>
      <c r="LQV230" s="32"/>
      <c r="LQW230" s="31"/>
      <c r="LQX230" s="31"/>
      <c r="LQY230" s="33"/>
      <c r="LQZ230" s="33"/>
      <c r="LRA230" s="34"/>
      <c r="LRB230" s="34"/>
      <c r="LRC230" s="35"/>
      <c r="LRD230" s="35"/>
      <c r="LRE230" s="32"/>
      <c r="LRF230" s="31"/>
      <c r="LRG230" s="31"/>
      <c r="LRH230" s="31"/>
      <c r="LRI230" s="32"/>
      <c r="LRJ230" s="32"/>
      <c r="LRK230" s="32"/>
      <c r="LRL230" s="32"/>
      <c r="LRM230" s="32"/>
      <c r="LRN230" s="31"/>
      <c r="LRO230" s="31"/>
      <c r="LRP230" s="33"/>
      <c r="LRQ230" s="33"/>
      <c r="LRR230" s="34"/>
      <c r="LRS230" s="34"/>
      <c r="LRT230" s="35"/>
      <c r="LRU230" s="35"/>
      <c r="LRV230" s="32"/>
      <c r="LRW230" s="31"/>
      <c r="LRX230" s="31"/>
      <c r="LRY230" s="31"/>
      <c r="LRZ230" s="32"/>
      <c r="LSA230" s="32"/>
      <c r="LSB230" s="32"/>
      <c r="LSC230" s="32"/>
      <c r="LSD230" s="32"/>
      <c r="LSE230" s="31"/>
      <c r="LSF230" s="31"/>
      <c r="LSG230" s="33"/>
      <c r="LSH230" s="33"/>
      <c r="LSI230" s="34"/>
      <c r="LSJ230" s="34"/>
      <c r="LSK230" s="35"/>
      <c r="LSL230" s="35"/>
      <c r="LSM230" s="32"/>
      <c r="LSN230" s="31"/>
      <c r="LSO230" s="31"/>
      <c r="LSP230" s="31"/>
      <c r="LSQ230" s="32"/>
      <c r="LSR230" s="32"/>
      <c r="LSS230" s="32"/>
      <c r="LST230" s="32"/>
      <c r="LSU230" s="32"/>
      <c r="LSV230" s="31"/>
      <c r="LSW230" s="31"/>
      <c r="LSX230" s="33"/>
      <c r="LSY230" s="33"/>
      <c r="LSZ230" s="34"/>
      <c r="LTA230" s="34"/>
      <c r="LTB230" s="35"/>
      <c r="LTC230" s="35"/>
      <c r="LTD230" s="32"/>
      <c r="LTE230" s="31"/>
      <c r="LTF230" s="31"/>
      <c r="LTG230" s="31"/>
      <c r="LTH230" s="32"/>
      <c r="LTI230" s="32"/>
      <c r="LTJ230" s="32"/>
      <c r="LTK230" s="32"/>
      <c r="LTL230" s="32"/>
      <c r="LTM230" s="31"/>
      <c r="LTN230" s="31"/>
      <c r="LTO230" s="33"/>
      <c r="LTP230" s="33"/>
      <c r="LTQ230" s="34"/>
      <c r="LTR230" s="34"/>
      <c r="LTS230" s="35"/>
      <c r="LTT230" s="35"/>
      <c r="LTU230" s="32"/>
      <c r="LTV230" s="31"/>
      <c r="LTW230" s="31"/>
      <c r="LTX230" s="31"/>
      <c r="LTY230" s="32"/>
      <c r="LTZ230" s="32"/>
      <c r="LUA230" s="32"/>
      <c r="LUB230" s="32"/>
      <c r="LUC230" s="32"/>
      <c r="LUD230" s="31"/>
      <c r="LUE230" s="31"/>
      <c r="LUF230" s="33"/>
      <c r="LUG230" s="33"/>
      <c r="LUH230" s="34"/>
      <c r="LUI230" s="34"/>
      <c r="LUJ230" s="35"/>
      <c r="LUK230" s="35"/>
      <c r="LUL230" s="32"/>
      <c r="LUM230" s="31"/>
      <c r="LUN230" s="31"/>
      <c r="LUO230" s="31"/>
      <c r="LUP230" s="32"/>
      <c r="LUQ230" s="32"/>
      <c r="LUR230" s="32"/>
      <c r="LUS230" s="32"/>
      <c r="LUT230" s="32"/>
      <c r="LUU230" s="31"/>
      <c r="LUV230" s="31"/>
      <c r="LUW230" s="33"/>
      <c r="LUX230" s="33"/>
      <c r="LUY230" s="34"/>
      <c r="LUZ230" s="34"/>
      <c r="LVA230" s="35"/>
      <c r="LVB230" s="35"/>
      <c r="LVC230" s="32"/>
      <c r="LVD230" s="31"/>
      <c r="LVE230" s="31"/>
      <c r="LVF230" s="31"/>
      <c r="LVG230" s="32"/>
      <c r="LVH230" s="32"/>
      <c r="LVI230" s="32"/>
      <c r="LVJ230" s="32"/>
      <c r="LVK230" s="32"/>
      <c r="LVL230" s="31"/>
      <c r="LVM230" s="31"/>
      <c r="LVN230" s="33"/>
      <c r="LVO230" s="33"/>
      <c r="LVP230" s="34"/>
      <c r="LVQ230" s="34"/>
      <c r="LVR230" s="35"/>
      <c r="LVS230" s="35"/>
      <c r="LVT230" s="32"/>
      <c r="LVU230" s="31"/>
      <c r="LVV230" s="31"/>
      <c r="LVW230" s="31"/>
      <c r="LVX230" s="32"/>
      <c r="LVY230" s="32"/>
      <c r="LVZ230" s="32"/>
      <c r="LWA230" s="32"/>
      <c r="LWB230" s="32"/>
      <c r="LWC230" s="31"/>
      <c r="LWD230" s="31"/>
      <c r="LWE230" s="33"/>
      <c r="LWF230" s="33"/>
      <c r="LWG230" s="34"/>
      <c r="LWH230" s="34"/>
      <c r="LWI230" s="35"/>
      <c r="LWJ230" s="35"/>
      <c r="LWK230" s="32"/>
      <c r="LWL230" s="31"/>
      <c r="LWM230" s="31"/>
      <c r="LWN230" s="31"/>
      <c r="LWO230" s="32"/>
      <c r="LWP230" s="32"/>
      <c r="LWQ230" s="32"/>
      <c r="LWR230" s="32"/>
      <c r="LWS230" s="32"/>
      <c r="LWT230" s="31"/>
      <c r="LWU230" s="31"/>
      <c r="LWV230" s="33"/>
      <c r="LWW230" s="33"/>
      <c r="LWX230" s="34"/>
      <c r="LWY230" s="34"/>
      <c r="LWZ230" s="35"/>
      <c r="LXA230" s="35"/>
      <c r="LXB230" s="32"/>
      <c r="LXC230" s="31"/>
      <c r="LXD230" s="31"/>
      <c r="LXE230" s="31"/>
      <c r="LXF230" s="32"/>
      <c r="LXG230" s="32"/>
      <c r="LXH230" s="32"/>
      <c r="LXI230" s="32"/>
      <c r="LXJ230" s="32"/>
      <c r="LXK230" s="31"/>
      <c r="LXL230" s="31"/>
      <c r="LXM230" s="33"/>
      <c r="LXN230" s="33"/>
      <c r="LXO230" s="34"/>
      <c r="LXP230" s="34"/>
      <c r="LXQ230" s="35"/>
      <c r="LXR230" s="35"/>
      <c r="LXS230" s="32"/>
      <c r="LXT230" s="31"/>
      <c r="LXU230" s="31"/>
      <c r="LXV230" s="31"/>
      <c r="LXW230" s="32"/>
      <c r="LXX230" s="32"/>
      <c r="LXY230" s="32"/>
      <c r="LXZ230" s="32"/>
      <c r="LYA230" s="32"/>
      <c r="LYB230" s="31"/>
      <c r="LYC230" s="31"/>
      <c r="LYD230" s="33"/>
      <c r="LYE230" s="33"/>
      <c r="LYF230" s="34"/>
      <c r="LYG230" s="34"/>
      <c r="LYH230" s="35"/>
      <c r="LYI230" s="35"/>
      <c r="LYJ230" s="32"/>
      <c r="LYK230" s="31"/>
      <c r="LYL230" s="31"/>
      <c r="LYM230" s="31"/>
      <c r="LYN230" s="32"/>
      <c r="LYO230" s="32"/>
      <c r="LYP230" s="32"/>
      <c r="LYQ230" s="32"/>
      <c r="LYR230" s="32"/>
      <c r="LYS230" s="31"/>
      <c r="LYT230" s="31"/>
      <c r="LYU230" s="33"/>
      <c r="LYV230" s="33"/>
      <c r="LYW230" s="34"/>
      <c r="LYX230" s="34"/>
      <c r="LYY230" s="35"/>
      <c r="LYZ230" s="35"/>
      <c r="LZA230" s="32"/>
      <c r="LZB230" s="31"/>
      <c r="LZC230" s="31"/>
      <c r="LZD230" s="31"/>
      <c r="LZE230" s="32"/>
      <c r="LZF230" s="32"/>
      <c r="LZG230" s="32"/>
      <c r="LZH230" s="32"/>
      <c r="LZI230" s="32"/>
      <c r="LZJ230" s="31"/>
      <c r="LZK230" s="31"/>
      <c r="LZL230" s="33"/>
      <c r="LZM230" s="33"/>
      <c r="LZN230" s="34"/>
      <c r="LZO230" s="34"/>
      <c r="LZP230" s="35"/>
      <c r="LZQ230" s="35"/>
      <c r="LZR230" s="32"/>
      <c r="LZS230" s="31"/>
      <c r="LZT230" s="31"/>
      <c r="LZU230" s="31"/>
      <c r="LZV230" s="32"/>
      <c r="LZW230" s="32"/>
      <c r="LZX230" s="32"/>
      <c r="LZY230" s="32"/>
      <c r="LZZ230" s="32"/>
      <c r="MAA230" s="31"/>
      <c r="MAB230" s="31"/>
      <c r="MAC230" s="33"/>
      <c r="MAD230" s="33"/>
      <c r="MAE230" s="34"/>
      <c r="MAF230" s="34"/>
      <c r="MAG230" s="35"/>
      <c r="MAH230" s="35"/>
      <c r="MAI230" s="32"/>
      <c r="MAJ230" s="31"/>
      <c r="MAK230" s="31"/>
      <c r="MAL230" s="31"/>
      <c r="MAM230" s="32"/>
      <c r="MAN230" s="32"/>
      <c r="MAO230" s="32"/>
      <c r="MAP230" s="32"/>
      <c r="MAQ230" s="32"/>
      <c r="MAR230" s="31"/>
      <c r="MAS230" s="31"/>
      <c r="MAT230" s="33"/>
      <c r="MAU230" s="33"/>
      <c r="MAV230" s="34"/>
      <c r="MAW230" s="34"/>
      <c r="MAX230" s="35"/>
      <c r="MAY230" s="35"/>
      <c r="MAZ230" s="32"/>
      <c r="MBA230" s="31"/>
      <c r="MBB230" s="31"/>
      <c r="MBC230" s="31"/>
      <c r="MBD230" s="32"/>
      <c r="MBE230" s="32"/>
      <c r="MBF230" s="32"/>
      <c r="MBG230" s="32"/>
      <c r="MBH230" s="32"/>
      <c r="MBI230" s="31"/>
      <c r="MBJ230" s="31"/>
      <c r="MBK230" s="33"/>
      <c r="MBL230" s="33"/>
      <c r="MBM230" s="34"/>
      <c r="MBN230" s="34"/>
      <c r="MBO230" s="35"/>
      <c r="MBP230" s="35"/>
      <c r="MBQ230" s="32"/>
      <c r="MBR230" s="31"/>
      <c r="MBS230" s="31"/>
      <c r="MBT230" s="31"/>
      <c r="MBU230" s="32"/>
      <c r="MBV230" s="32"/>
      <c r="MBW230" s="32"/>
      <c r="MBX230" s="32"/>
      <c r="MBY230" s="32"/>
      <c r="MBZ230" s="31"/>
      <c r="MCA230" s="31"/>
      <c r="MCB230" s="33"/>
      <c r="MCC230" s="33"/>
      <c r="MCD230" s="34"/>
      <c r="MCE230" s="34"/>
      <c r="MCF230" s="35"/>
      <c r="MCG230" s="35"/>
      <c r="MCH230" s="32"/>
      <c r="MCI230" s="31"/>
      <c r="MCJ230" s="31"/>
      <c r="MCK230" s="31"/>
      <c r="MCL230" s="32"/>
      <c r="MCM230" s="32"/>
      <c r="MCN230" s="32"/>
      <c r="MCO230" s="32"/>
      <c r="MCP230" s="32"/>
      <c r="MCQ230" s="31"/>
      <c r="MCR230" s="31"/>
      <c r="MCS230" s="33"/>
      <c r="MCT230" s="33"/>
      <c r="MCU230" s="34"/>
      <c r="MCV230" s="34"/>
      <c r="MCW230" s="35"/>
      <c r="MCX230" s="35"/>
      <c r="MCY230" s="32"/>
      <c r="MCZ230" s="31"/>
      <c r="MDA230" s="31"/>
      <c r="MDB230" s="31"/>
      <c r="MDC230" s="32"/>
      <c r="MDD230" s="32"/>
      <c r="MDE230" s="32"/>
      <c r="MDF230" s="32"/>
      <c r="MDG230" s="32"/>
      <c r="MDH230" s="31"/>
      <c r="MDI230" s="31"/>
      <c r="MDJ230" s="33"/>
      <c r="MDK230" s="33"/>
      <c r="MDL230" s="34"/>
      <c r="MDM230" s="34"/>
      <c r="MDN230" s="35"/>
      <c r="MDO230" s="35"/>
      <c r="MDP230" s="32"/>
      <c r="MDQ230" s="31"/>
      <c r="MDR230" s="31"/>
      <c r="MDS230" s="31"/>
      <c r="MDT230" s="32"/>
      <c r="MDU230" s="32"/>
      <c r="MDV230" s="32"/>
      <c r="MDW230" s="32"/>
      <c r="MDX230" s="32"/>
      <c r="MDY230" s="31"/>
      <c r="MDZ230" s="31"/>
      <c r="MEA230" s="33"/>
      <c r="MEB230" s="33"/>
      <c r="MEC230" s="34"/>
      <c r="MED230" s="34"/>
      <c r="MEE230" s="35"/>
      <c r="MEF230" s="35"/>
      <c r="MEG230" s="32"/>
      <c r="MEH230" s="31"/>
      <c r="MEI230" s="31"/>
      <c r="MEJ230" s="31"/>
      <c r="MEK230" s="32"/>
      <c r="MEL230" s="32"/>
      <c r="MEM230" s="32"/>
      <c r="MEN230" s="32"/>
      <c r="MEO230" s="32"/>
      <c r="MEP230" s="31"/>
      <c r="MEQ230" s="31"/>
      <c r="MER230" s="33"/>
      <c r="MES230" s="33"/>
      <c r="MET230" s="34"/>
      <c r="MEU230" s="34"/>
      <c r="MEV230" s="35"/>
      <c r="MEW230" s="35"/>
      <c r="MEX230" s="32"/>
      <c r="MEY230" s="31"/>
      <c r="MEZ230" s="31"/>
      <c r="MFA230" s="31"/>
      <c r="MFB230" s="32"/>
      <c r="MFC230" s="32"/>
      <c r="MFD230" s="32"/>
      <c r="MFE230" s="32"/>
      <c r="MFF230" s="32"/>
      <c r="MFG230" s="31"/>
      <c r="MFH230" s="31"/>
      <c r="MFI230" s="33"/>
      <c r="MFJ230" s="33"/>
      <c r="MFK230" s="34"/>
      <c r="MFL230" s="34"/>
      <c r="MFM230" s="35"/>
      <c r="MFN230" s="35"/>
      <c r="MFO230" s="32"/>
      <c r="MFP230" s="31"/>
      <c r="MFQ230" s="31"/>
      <c r="MFR230" s="31"/>
      <c r="MFS230" s="32"/>
      <c r="MFT230" s="32"/>
      <c r="MFU230" s="32"/>
      <c r="MFV230" s="32"/>
      <c r="MFW230" s="32"/>
      <c r="MFX230" s="31"/>
      <c r="MFY230" s="31"/>
      <c r="MFZ230" s="33"/>
      <c r="MGA230" s="33"/>
      <c r="MGB230" s="34"/>
      <c r="MGC230" s="34"/>
      <c r="MGD230" s="35"/>
      <c r="MGE230" s="35"/>
      <c r="MGF230" s="32"/>
      <c r="MGG230" s="31"/>
      <c r="MGH230" s="31"/>
      <c r="MGI230" s="31"/>
      <c r="MGJ230" s="32"/>
      <c r="MGK230" s="32"/>
      <c r="MGL230" s="32"/>
      <c r="MGM230" s="32"/>
      <c r="MGN230" s="32"/>
      <c r="MGO230" s="31"/>
      <c r="MGP230" s="31"/>
      <c r="MGQ230" s="33"/>
      <c r="MGR230" s="33"/>
      <c r="MGS230" s="34"/>
      <c r="MGT230" s="34"/>
      <c r="MGU230" s="35"/>
      <c r="MGV230" s="35"/>
      <c r="MGW230" s="32"/>
      <c r="MGX230" s="31"/>
      <c r="MGY230" s="31"/>
      <c r="MGZ230" s="31"/>
      <c r="MHA230" s="32"/>
      <c r="MHB230" s="32"/>
      <c r="MHC230" s="32"/>
      <c r="MHD230" s="32"/>
      <c r="MHE230" s="32"/>
      <c r="MHF230" s="31"/>
      <c r="MHG230" s="31"/>
      <c r="MHH230" s="33"/>
      <c r="MHI230" s="33"/>
      <c r="MHJ230" s="34"/>
      <c r="MHK230" s="34"/>
      <c r="MHL230" s="35"/>
      <c r="MHM230" s="35"/>
      <c r="MHN230" s="32"/>
      <c r="MHO230" s="31"/>
      <c r="MHP230" s="31"/>
      <c r="MHQ230" s="31"/>
      <c r="MHR230" s="32"/>
      <c r="MHS230" s="32"/>
      <c r="MHT230" s="32"/>
      <c r="MHU230" s="32"/>
      <c r="MHV230" s="32"/>
      <c r="MHW230" s="31"/>
      <c r="MHX230" s="31"/>
      <c r="MHY230" s="33"/>
      <c r="MHZ230" s="33"/>
      <c r="MIA230" s="34"/>
      <c r="MIB230" s="34"/>
      <c r="MIC230" s="35"/>
      <c r="MID230" s="35"/>
      <c r="MIE230" s="32"/>
      <c r="MIF230" s="31"/>
      <c r="MIG230" s="31"/>
      <c r="MIH230" s="31"/>
      <c r="MII230" s="32"/>
      <c r="MIJ230" s="32"/>
      <c r="MIK230" s="32"/>
      <c r="MIL230" s="32"/>
      <c r="MIM230" s="32"/>
      <c r="MIN230" s="31"/>
      <c r="MIO230" s="31"/>
      <c r="MIP230" s="33"/>
      <c r="MIQ230" s="33"/>
      <c r="MIR230" s="34"/>
      <c r="MIS230" s="34"/>
      <c r="MIT230" s="35"/>
      <c r="MIU230" s="35"/>
      <c r="MIV230" s="32"/>
      <c r="MIW230" s="31"/>
      <c r="MIX230" s="31"/>
      <c r="MIY230" s="31"/>
      <c r="MIZ230" s="32"/>
      <c r="MJA230" s="32"/>
      <c r="MJB230" s="32"/>
      <c r="MJC230" s="32"/>
      <c r="MJD230" s="32"/>
      <c r="MJE230" s="31"/>
      <c r="MJF230" s="31"/>
      <c r="MJG230" s="33"/>
      <c r="MJH230" s="33"/>
      <c r="MJI230" s="34"/>
      <c r="MJJ230" s="34"/>
      <c r="MJK230" s="35"/>
      <c r="MJL230" s="35"/>
      <c r="MJM230" s="32"/>
      <c r="MJN230" s="31"/>
      <c r="MJO230" s="31"/>
      <c r="MJP230" s="31"/>
      <c r="MJQ230" s="32"/>
      <c r="MJR230" s="32"/>
      <c r="MJS230" s="32"/>
      <c r="MJT230" s="32"/>
      <c r="MJU230" s="32"/>
      <c r="MJV230" s="31"/>
      <c r="MJW230" s="31"/>
      <c r="MJX230" s="33"/>
      <c r="MJY230" s="33"/>
      <c r="MJZ230" s="34"/>
      <c r="MKA230" s="34"/>
      <c r="MKB230" s="35"/>
      <c r="MKC230" s="35"/>
      <c r="MKD230" s="32"/>
      <c r="MKE230" s="31"/>
      <c r="MKF230" s="31"/>
      <c r="MKG230" s="31"/>
      <c r="MKH230" s="32"/>
      <c r="MKI230" s="32"/>
      <c r="MKJ230" s="32"/>
      <c r="MKK230" s="32"/>
      <c r="MKL230" s="32"/>
      <c r="MKM230" s="31"/>
      <c r="MKN230" s="31"/>
      <c r="MKO230" s="33"/>
      <c r="MKP230" s="33"/>
      <c r="MKQ230" s="34"/>
      <c r="MKR230" s="34"/>
      <c r="MKS230" s="35"/>
      <c r="MKT230" s="35"/>
      <c r="MKU230" s="32"/>
      <c r="MKV230" s="31"/>
      <c r="MKW230" s="31"/>
      <c r="MKX230" s="31"/>
      <c r="MKY230" s="32"/>
      <c r="MKZ230" s="32"/>
      <c r="MLA230" s="32"/>
      <c r="MLB230" s="32"/>
      <c r="MLC230" s="32"/>
      <c r="MLD230" s="31"/>
      <c r="MLE230" s="31"/>
      <c r="MLF230" s="33"/>
      <c r="MLG230" s="33"/>
      <c r="MLH230" s="34"/>
      <c r="MLI230" s="34"/>
      <c r="MLJ230" s="35"/>
      <c r="MLK230" s="35"/>
      <c r="MLL230" s="32"/>
      <c r="MLM230" s="31"/>
      <c r="MLN230" s="31"/>
      <c r="MLO230" s="31"/>
      <c r="MLP230" s="32"/>
      <c r="MLQ230" s="32"/>
      <c r="MLR230" s="32"/>
      <c r="MLS230" s="32"/>
      <c r="MLT230" s="32"/>
      <c r="MLU230" s="31"/>
      <c r="MLV230" s="31"/>
      <c r="MLW230" s="33"/>
      <c r="MLX230" s="33"/>
      <c r="MLY230" s="34"/>
      <c r="MLZ230" s="34"/>
      <c r="MMA230" s="35"/>
      <c r="MMB230" s="35"/>
      <c r="MMC230" s="32"/>
      <c r="MMD230" s="31"/>
      <c r="MME230" s="31"/>
      <c r="MMF230" s="31"/>
      <c r="MMG230" s="32"/>
      <c r="MMH230" s="32"/>
      <c r="MMI230" s="32"/>
      <c r="MMJ230" s="32"/>
      <c r="MMK230" s="32"/>
      <c r="MML230" s="31"/>
      <c r="MMM230" s="31"/>
      <c r="MMN230" s="33"/>
      <c r="MMO230" s="33"/>
      <c r="MMP230" s="34"/>
      <c r="MMQ230" s="34"/>
      <c r="MMR230" s="35"/>
      <c r="MMS230" s="35"/>
      <c r="MMT230" s="32"/>
      <c r="MMU230" s="31"/>
      <c r="MMV230" s="31"/>
      <c r="MMW230" s="31"/>
      <c r="MMX230" s="32"/>
      <c r="MMY230" s="32"/>
      <c r="MMZ230" s="32"/>
      <c r="MNA230" s="32"/>
      <c r="MNB230" s="32"/>
      <c r="MNC230" s="31"/>
      <c r="MND230" s="31"/>
      <c r="MNE230" s="33"/>
      <c r="MNF230" s="33"/>
      <c r="MNG230" s="34"/>
      <c r="MNH230" s="34"/>
      <c r="MNI230" s="35"/>
      <c r="MNJ230" s="35"/>
      <c r="MNK230" s="32"/>
      <c r="MNL230" s="31"/>
      <c r="MNM230" s="31"/>
      <c r="MNN230" s="31"/>
      <c r="MNO230" s="32"/>
      <c r="MNP230" s="32"/>
      <c r="MNQ230" s="32"/>
      <c r="MNR230" s="32"/>
      <c r="MNS230" s="32"/>
      <c r="MNT230" s="31"/>
      <c r="MNU230" s="31"/>
      <c r="MNV230" s="33"/>
      <c r="MNW230" s="33"/>
      <c r="MNX230" s="34"/>
      <c r="MNY230" s="34"/>
      <c r="MNZ230" s="35"/>
      <c r="MOA230" s="35"/>
      <c r="MOB230" s="32"/>
      <c r="MOC230" s="31"/>
      <c r="MOD230" s="31"/>
      <c r="MOE230" s="31"/>
      <c r="MOF230" s="32"/>
      <c r="MOG230" s="32"/>
      <c r="MOH230" s="32"/>
      <c r="MOI230" s="32"/>
      <c r="MOJ230" s="32"/>
      <c r="MOK230" s="31"/>
      <c r="MOL230" s="31"/>
      <c r="MOM230" s="33"/>
      <c r="MON230" s="33"/>
      <c r="MOO230" s="34"/>
      <c r="MOP230" s="34"/>
      <c r="MOQ230" s="35"/>
      <c r="MOR230" s="35"/>
      <c r="MOS230" s="32"/>
      <c r="MOT230" s="31"/>
      <c r="MOU230" s="31"/>
      <c r="MOV230" s="31"/>
      <c r="MOW230" s="32"/>
      <c r="MOX230" s="32"/>
      <c r="MOY230" s="32"/>
      <c r="MOZ230" s="32"/>
      <c r="MPA230" s="32"/>
      <c r="MPB230" s="31"/>
      <c r="MPC230" s="31"/>
      <c r="MPD230" s="33"/>
      <c r="MPE230" s="33"/>
      <c r="MPF230" s="34"/>
      <c r="MPG230" s="34"/>
      <c r="MPH230" s="35"/>
      <c r="MPI230" s="35"/>
      <c r="MPJ230" s="32"/>
      <c r="MPK230" s="31"/>
      <c r="MPL230" s="31"/>
      <c r="MPM230" s="31"/>
      <c r="MPN230" s="32"/>
      <c r="MPO230" s="32"/>
      <c r="MPP230" s="32"/>
      <c r="MPQ230" s="32"/>
      <c r="MPR230" s="32"/>
      <c r="MPS230" s="31"/>
      <c r="MPT230" s="31"/>
      <c r="MPU230" s="33"/>
      <c r="MPV230" s="33"/>
      <c r="MPW230" s="34"/>
      <c r="MPX230" s="34"/>
      <c r="MPY230" s="35"/>
      <c r="MPZ230" s="35"/>
      <c r="MQA230" s="32"/>
      <c r="MQB230" s="31"/>
      <c r="MQC230" s="31"/>
      <c r="MQD230" s="31"/>
      <c r="MQE230" s="32"/>
      <c r="MQF230" s="32"/>
      <c r="MQG230" s="32"/>
      <c r="MQH230" s="32"/>
      <c r="MQI230" s="32"/>
      <c r="MQJ230" s="31"/>
      <c r="MQK230" s="31"/>
      <c r="MQL230" s="33"/>
      <c r="MQM230" s="33"/>
      <c r="MQN230" s="34"/>
      <c r="MQO230" s="34"/>
      <c r="MQP230" s="35"/>
      <c r="MQQ230" s="35"/>
      <c r="MQR230" s="32"/>
      <c r="MQS230" s="31"/>
      <c r="MQT230" s="31"/>
      <c r="MQU230" s="31"/>
      <c r="MQV230" s="32"/>
      <c r="MQW230" s="32"/>
      <c r="MQX230" s="32"/>
      <c r="MQY230" s="32"/>
      <c r="MQZ230" s="32"/>
      <c r="MRA230" s="31"/>
      <c r="MRB230" s="31"/>
      <c r="MRC230" s="33"/>
      <c r="MRD230" s="33"/>
      <c r="MRE230" s="34"/>
      <c r="MRF230" s="34"/>
      <c r="MRG230" s="35"/>
      <c r="MRH230" s="35"/>
      <c r="MRI230" s="32"/>
      <c r="MRJ230" s="31"/>
      <c r="MRK230" s="31"/>
      <c r="MRL230" s="31"/>
      <c r="MRM230" s="32"/>
      <c r="MRN230" s="32"/>
      <c r="MRO230" s="32"/>
      <c r="MRP230" s="32"/>
      <c r="MRQ230" s="32"/>
      <c r="MRR230" s="31"/>
      <c r="MRS230" s="31"/>
      <c r="MRT230" s="33"/>
      <c r="MRU230" s="33"/>
      <c r="MRV230" s="34"/>
      <c r="MRW230" s="34"/>
      <c r="MRX230" s="35"/>
      <c r="MRY230" s="35"/>
      <c r="MRZ230" s="32"/>
      <c r="MSA230" s="31"/>
      <c r="MSB230" s="31"/>
      <c r="MSC230" s="31"/>
      <c r="MSD230" s="32"/>
      <c r="MSE230" s="32"/>
      <c r="MSF230" s="32"/>
      <c r="MSG230" s="32"/>
      <c r="MSH230" s="32"/>
      <c r="MSI230" s="31"/>
      <c r="MSJ230" s="31"/>
      <c r="MSK230" s="33"/>
      <c r="MSL230" s="33"/>
      <c r="MSM230" s="34"/>
      <c r="MSN230" s="34"/>
      <c r="MSO230" s="35"/>
      <c r="MSP230" s="35"/>
      <c r="MSQ230" s="32"/>
      <c r="MSR230" s="31"/>
      <c r="MSS230" s="31"/>
      <c r="MST230" s="31"/>
      <c r="MSU230" s="32"/>
      <c r="MSV230" s="32"/>
      <c r="MSW230" s="32"/>
      <c r="MSX230" s="32"/>
      <c r="MSY230" s="32"/>
      <c r="MSZ230" s="31"/>
      <c r="MTA230" s="31"/>
      <c r="MTB230" s="33"/>
      <c r="MTC230" s="33"/>
      <c r="MTD230" s="34"/>
      <c r="MTE230" s="34"/>
      <c r="MTF230" s="35"/>
      <c r="MTG230" s="35"/>
      <c r="MTH230" s="32"/>
      <c r="MTI230" s="31"/>
      <c r="MTJ230" s="31"/>
      <c r="MTK230" s="31"/>
      <c r="MTL230" s="32"/>
      <c r="MTM230" s="32"/>
      <c r="MTN230" s="32"/>
      <c r="MTO230" s="32"/>
      <c r="MTP230" s="32"/>
      <c r="MTQ230" s="31"/>
      <c r="MTR230" s="31"/>
      <c r="MTS230" s="33"/>
      <c r="MTT230" s="33"/>
      <c r="MTU230" s="34"/>
      <c r="MTV230" s="34"/>
      <c r="MTW230" s="35"/>
      <c r="MTX230" s="35"/>
      <c r="MTY230" s="32"/>
      <c r="MTZ230" s="31"/>
      <c r="MUA230" s="31"/>
      <c r="MUB230" s="31"/>
      <c r="MUC230" s="32"/>
      <c r="MUD230" s="32"/>
      <c r="MUE230" s="32"/>
      <c r="MUF230" s="32"/>
      <c r="MUG230" s="32"/>
      <c r="MUH230" s="31"/>
      <c r="MUI230" s="31"/>
      <c r="MUJ230" s="33"/>
      <c r="MUK230" s="33"/>
      <c r="MUL230" s="34"/>
      <c r="MUM230" s="34"/>
      <c r="MUN230" s="35"/>
      <c r="MUO230" s="35"/>
      <c r="MUP230" s="32"/>
      <c r="MUQ230" s="31"/>
      <c r="MUR230" s="31"/>
      <c r="MUS230" s="31"/>
      <c r="MUT230" s="32"/>
      <c r="MUU230" s="32"/>
      <c r="MUV230" s="32"/>
      <c r="MUW230" s="32"/>
      <c r="MUX230" s="32"/>
      <c r="MUY230" s="31"/>
      <c r="MUZ230" s="31"/>
      <c r="MVA230" s="33"/>
      <c r="MVB230" s="33"/>
      <c r="MVC230" s="34"/>
      <c r="MVD230" s="34"/>
      <c r="MVE230" s="35"/>
      <c r="MVF230" s="35"/>
      <c r="MVG230" s="32"/>
      <c r="MVH230" s="31"/>
      <c r="MVI230" s="31"/>
      <c r="MVJ230" s="31"/>
      <c r="MVK230" s="32"/>
      <c r="MVL230" s="32"/>
      <c r="MVM230" s="32"/>
      <c r="MVN230" s="32"/>
      <c r="MVO230" s="32"/>
      <c r="MVP230" s="31"/>
      <c r="MVQ230" s="31"/>
      <c r="MVR230" s="33"/>
      <c r="MVS230" s="33"/>
      <c r="MVT230" s="34"/>
      <c r="MVU230" s="34"/>
      <c r="MVV230" s="35"/>
      <c r="MVW230" s="35"/>
      <c r="MVX230" s="32"/>
      <c r="MVY230" s="31"/>
      <c r="MVZ230" s="31"/>
      <c r="MWA230" s="31"/>
      <c r="MWB230" s="32"/>
      <c r="MWC230" s="32"/>
      <c r="MWD230" s="32"/>
      <c r="MWE230" s="32"/>
      <c r="MWF230" s="32"/>
      <c r="MWG230" s="31"/>
      <c r="MWH230" s="31"/>
      <c r="MWI230" s="33"/>
      <c r="MWJ230" s="33"/>
      <c r="MWK230" s="34"/>
      <c r="MWL230" s="34"/>
      <c r="MWM230" s="35"/>
      <c r="MWN230" s="35"/>
      <c r="MWO230" s="32"/>
      <c r="MWP230" s="31"/>
      <c r="MWQ230" s="31"/>
      <c r="MWR230" s="31"/>
      <c r="MWS230" s="32"/>
      <c r="MWT230" s="32"/>
      <c r="MWU230" s="32"/>
      <c r="MWV230" s="32"/>
      <c r="MWW230" s="32"/>
      <c r="MWX230" s="31"/>
      <c r="MWY230" s="31"/>
      <c r="MWZ230" s="33"/>
      <c r="MXA230" s="33"/>
      <c r="MXB230" s="34"/>
      <c r="MXC230" s="34"/>
      <c r="MXD230" s="35"/>
      <c r="MXE230" s="35"/>
      <c r="MXF230" s="32"/>
      <c r="MXG230" s="31"/>
      <c r="MXH230" s="31"/>
      <c r="MXI230" s="31"/>
      <c r="MXJ230" s="32"/>
      <c r="MXK230" s="32"/>
      <c r="MXL230" s="32"/>
      <c r="MXM230" s="32"/>
      <c r="MXN230" s="32"/>
      <c r="MXO230" s="31"/>
      <c r="MXP230" s="31"/>
      <c r="MXQ230" s="33"/>
      <c r="MXR230" s="33"/>
      <c r="MXS230" s="34"/>
      <c r="MXT230" s="34"/>
      <c r="MXU230" s="35"/>
      <c r="MXV230" s="35"/>
      <c r="MXW230" s="32"/>
      <c r="MXX230" s="31"/>
      <c r="MXY230" s="31"/>
      <c r="MXZ230" s="31"/>
      <c r="MYA230" s="32"/>
      <c r="MYB230" s="32"/>
      <c r="MYC230" s="32"/>
      <c r="MYD230" s="32"/>
      <c r="MYE230" s="32"/>
      <c r="MYF230" s="31"/>
      <c r="MYG230" s="31"/>
      <c r="MYH230" s="33"/>
      <c r="MYI230" s="33"/>
      <c r="MYJ230" s="34"/>
      <c r="MYK230" s="34"/>
      <c r="MYL230" s="35"/>
      <c r="MYM230" s="35"/>
      <c r="MYN230" s="32"/>
      <c r="MYO230" s="31"/>
      <c r="MYP230" s="31"/>
      <c r="MYQ230" s="31"/>
      <c r="MYR230" s="32"/>
      <c r="MYS230" s="32"/>
      <c r="MYT230" s="32"/>
      <c r="MYU230" s="32"/>
      <c r="MYV230" s="32"/>
      <c r="MYW230" s="31"/>
      <c r="MYX230" s="31"/>
      <c r="MYY230" s="33"/>
      <c r="MYZ230" s="33"/>
      <c r="MZA230" s="34"/>
      <c r="MZB230" s="34"/>
      <c r="MZC230" s="35"/>
      <c r="MZD230" s="35"/>
      <c r="MZE230" s="32"/>
      <c r="MZF230" s="31"/>
      <c r="MZG230" s="31"/>
      <c r="MZH230" s="31"/>
      <c r="MZI230" s="32"/>
      <c r="MZJ230" s="32"/>
      <c r="MZK230" s="32"/>
      <c r="MZL230" s="32"/>
      <c r="MZM230" s="32"/>
      <c r="MZN230" s="31"/>
      <c r="MZO230" s="31"/>
      <c r="MZP230" s="33"/>
      <c r="MZQ230" s="33"/>
      <c r="MZR230" s="34"/>
      <c r="MZS230" s="34"/>
      <c r="MZT230" s="35"/>
      <c r="MZU230" s="35"/>
      <c r="MZV230" s="32"/>
      <c r="MZW230" s="31"/>
      <c r="MZX230" s="31"/>
      <c r="MZY230" s="31"/>
      <c r="MZZ230" s="32"/>
      <c r="NAA230" s="32"/>
      <c r="NAB230" s="32"/>
      <c r="NAC230" s="32"/>
      <c r="NAD230" s="32"/>
      <c r="NAE230" s="31"/>
      <c r="NAF230" s="31"/>
      <c r="NAG230" s="33"/>
      <c r="NAH230" s="33"/>
      <c r="NAI230" s="34"/>
      <c r="NAJ230" s="34"/>
      <c r="NAK230" s="35"/>
      <c r="NAL230" s="35"/>
      <c r="NAM230" s="32"/>
      <c r="NAN230" s="31"/>
      <c r="NAO230" s="31"/>
      <c r="NAP230" s="31"/>
      <c r="NAQ230" s="32"/>
      <c r="NAR230" s="32"/>
      <c r="NAS230" s="32"/>
      <c r="NAT230" s="32"/>
      <c r="NAU230" s="32"/>
      <c r="NAV230" s="31"/>
      <c r="NAW230" s="31"/>
      <c r="NAX230" s="33"/>
      <c r="NAY230" s="33"/>
      <c r="NAZ230" s="34"/>
      <c r="NBA230" s="34"/>
      <c r="NBB230" s="35"/>
      <c r="NBC230" s="35"/>
      <c r="NBD230" s="32"/>
      <c r="NBE230" s="31"/>
      <c r="NBF230" s="31"/>
      <c r="NBG230" s="31"/>
      <c r="NBH230" s="32"/>
      <c r="NBI230" s="32"/>
      <c r="NBJ230" s="32"/>
      <c r="NBK230" s="32"/>
      <c r="NBL230" s="32"/>
      <c r="NBM230" s="31"/>
      <c r="NBN230" s="31"/>
      <c r="NBO230" s="33"/>
      <c r="NBP230" s="33"/>
      <c r="NBQ230" s="34"/>
      <c r="NBR230" s="34"/>
      <c r="NBS230" s="35"/>
      <c r="NBT230" s="35"/>
      <c r="NBU230" s="32"/>
      <c r="NBV230" s="31"/>
      <c r="NBW230" s="31"/>
      <c r="NBX230" s="31"/>
      <c r="NBY230" s="32"/>
      <c r="NBZ230" s="32"/>
      <c r="NCA230" s="32"/>
      <c r="NCB230" s="32"/>
      <c r="NCC230" s="32"/>
      <c r="NCD230" s="31"/>
      <c r="NCE230" s="31"/>
      <c r="NCF230" s="33"/>
      <c r="NCG230" s="33"/>
      <c r="NCH230" s="34"/>
      <c r="NCI230" s="34"/>
      <c r="NCJ230" s="35"/>
      <c r="NCK230" s="35"/>
      <c r="NCL230" s="32"/>
      <c r="NCM230" s="31"/>
      <c r="NCN230" s="31"/>
      <c r="NCO230" s="31"/>
      <c r="NCP230" s="32"/>
      <c r="NCQ230" s="32"/>
      <c r="NCR230" s="32"/>
      <c r="NCS230" s="32"/>
      <c r="NCT230" s="32"/>
      <c r="NCU230" s="31"/>
      <c r="NCV230" s="31"/>
      <c r="NCW230" s="33"/>
      <c r="NCX230" s="33"/>
      <c r="NCY230" s="34"/>
      <c r="NCZ230" s="34"/>
      <c r="NDA230" s="35"/>
      <c r="NDB230" s="35"/>
      <c r="NDC230" s="32"/>
      <c r="NDD230" s="31"/>
      <c r="NDE230" s="31"/>
      <c r="NDF230" s="31"/>
      <c r="NDG230" s="32"/>
      <c r="NDH230" s="32"/>
      <c r="NDI230" s="32"/>
      <c r="NDJ230" s="32"/>
      <c r="NDK230" s="32"/>
      <c r="NDL230" s="31"/>
      <c r="NDM230" s="31"/>
      <c r="NDN230" s="33"/>
      <c r="NDO230" s="33"/>
      <c r="NDP230" s="34"/>
      <c r="NDQ230" s="34"/>
      <c r="NDR230" s="35"/>
      <c r="NDS230" s="35"/>
      <c r="NDT230" s="32"/>
      <c r="NDU230" s="31"/>
      <c r="NDV230" s="31"/>
      <c r="NDW230" s="31"/>
      <c r="NDX230" s="32"/>
      <c r="NDY230" s="32"/>
      <c r="NDZ230" s="32"/>
      <c r="NEA230" s="32"/>
      <c r="NEB230" s="32"/>
      <c r="NEC230" s="31"/>
      <c r="NED230" s="31"/>
      <c r="NEE230" s="33"/>
      <c r="NEF230" s="33"/>
      <c r="NEG230" s="34"/>
      <c r="NEH230" s="34"/>
      <c r="NEI230" s="35"/>
      <c r="NEJ230" s="35"/>
      <c r="NEK230" s="32"/>
      <c r="NEL230" s="31"/>
      <c r="NEM230" s="31"/>
      <c r="NEN230" s="31"/>
      <c r="NEO230" s="32"/>
      <c r="NEP230" s="32"/>
      <c r="NEQ230" s="32"/>
      <c r="NER230" s="32"/>
      <c r="NES230" s="32"/>
      <c r="NET230" s="31"/>
      <c r="NEU230" s="31"/>
      <c r="NEV230" s="33"/>
      <c r="NEW230" s="33"/>
      <c r="NEX230" s="34"/>
      <c r="NEY230" s="34"/>
      <c r="NEZ230" s="35"/>
      <c r="NFA230" s="35"/>
      <c r="NFB230" s="32"/>
      <c r="NFC230" s="31"/>
      <c r="NFD230" s="31"/>
      <c r="NFE230" s="31"/>
      <c r="NFF230" s="32"/>
      <c r="NFG230" s="32"/>
      <c r="NFH230" s="32"/>
      <c r="NFI230" s="32"/>
      <c r="NFJ230" s="32"/>
      <c r="NFK230" s="31"/>
      <c r="NFL230" s="31"/>
      <c r="NFM230" s="33"/>
      <c r="NFN230" s="33"/>
      <c r="NFO230" s="34"/>
      <c r="NFP230" s="34"/>
      <c r="NFQ230" s="35"/>
      <c r="NFR230" s="35"/>
      <c r="NFS230" s="32"/>
      <c r="NFT230" s="31"/>
      <c r="NFU230" s="31"/>
      <c r="NFV230" s="31"/>
      <c r="NFW230" s="32"/>
      <c r="NFX230" s="32"/>
      <c r="NFY230" s="32"/>
      <c r="NFZ230" s="32"/>
      <c r="NGA230" s="32"/>
      <c r="NGB230" s="31"/>
      <c r="NGC230" s="31"/>
      <c r="NGD230" s="33"/>
      <c r="NGE230" s="33"/>
      <c r="NGF230" s="34"/>
      <c r="NGG230" s="34"/>
      <c r="NGH230" s="35"/>
      <c r="NGI230" s="35"/>
      <c r="NGJ230" s="32"/>
      <c r="NGK230" s="31"/>
      <c r="NGL230" s="31"/>
      <c r="NGM230" s="31"/>
      <c r="NGN230" s="32"/>
      <c r="NGO230" s="32"/>
      <c r="NGP230" s="32"/>
      <c r="NGQ230" s="32"/>
      <c r="NGR230" s="32"/>
      <c r="NGS230" s="31"/>
      <c r="NGT230" s="31"/>
      <c r="NGU230" s="33"/>
      <c r="NGV230" s="33"/>
      <c r="NGW230" s="34"/>
      <c r="NGX230" s="34"/>
      <c r="NGY230" s="35"/>
      <c r="NGZ230" s="35"/>
      <c r="NHA230" s="32"/>
      <c r="NHB230" s="31"/>
      <c r="NHC230" s="31"/>
      <c r="NHD230" s="31"/>
      <c r="NHE230" s="32"/>
      <c r="NHF230" s="32"/>
      <c r="NHG230" s="32"/>
      <c r="NHH230" s="32"/>
      <c r="NHI230" s="32"/>
      <c r="NHJ230" s="31"/>
      <c r="NHK230" s="31"/>
      <c r="NHL230" s="33"/>
      <c r="NHM230" s="33"/>
      <c r="NHN230" s="34"/>
      <c r="NHO230" s="34"/>
      <c r="NHP230" s="35"/>
      <c r="NHQ230" s="35"/>
      <c r="NHR230" s="32"/>
      <c r="NHS230" s="31"/>
      <c r="NHT230" s="31"/>
      <c r="NHU230" s="31"/>
      <c r="NHV230" s="32"/>
      <c r="NHW230" s="32"/>
      <c r="NHX230" s="32"/>
      <c r="NHY230" s="32"/>
      <c r="NHZ230" s="32"/>
      <c r="NIA230" s="31"/>
      <c r="NIB230" s="31"/>
      <c r="NIC230" s="33"/>
      <c r="NID230" s="33"/>
      <c r="NIE230" s="34"/>
      <c r="NIF230" s="34"/>
      <c r="NIG230" s="35"/>
      <c r="NIH230" s="35"/>
      <c r="NII230" s="32"/>
      <c r="NIJ230" s="31"/>
      <c r="NIK230" s="31"/>
      <c r="NIL230" s="31"/>
      <c r="NIM230" s="32"/>
      <c r="NIN230" s="32"/>
      <c r="NIO230" s="32"/>
      <c r="NIP230" s="32"/>
      <c r="NIQ230" s="32"/>
      <c r="NIR230" s="31"/>
      <c r="NIS230" s="31"/>
      <c r="NIT230" s="33"/>
      <c r="NIU230" s="33"/>
      <c r="NIV230" s="34"/>
      <c r="NIW230" s="34"/>
      <c r="NIX230" s="35"/>
      <c r="NIY230" s="35"/>
      <c r="NIZ230" s="32"/>
      <c r="NJA230" s="31"/>
      <c r="NJB230" s="31"/>
      <c r="NJC230" s="31"/>
      <c r="NJD230" s="32"/>
      <c r="NJE230" s="32"/>
      <c r="NJF230" s="32"/>
      <c r="NJG230" s="32"/>
      <c r="NJH230" s="32"/>
      <c r="NJI230" s="31"/>
      <c r="NJJ230" s="31"/>
      <c r="NJK230" s="33"/>
      <c r="NJL230" s="33"/>
      <c r="NJM230" s="34"/>
      <c r="NJN230" s="34"/>
      <c r="NJO230" s="35"/>
      <c r="NJP230" s="35"/>
      <c r="NJQ230" s="32"/>
      <c r="NJR230" s="31"/>
      <c r="NJS230" s="31"/>
      <c r="NJT230" s="31"/>
      <c r="NJU230" s="32"/>
      <c r="NJV230" s="32"/>
      <c r="NJW230" s="32"/>
      <c r="NJX230" s="32"/>
      <c r="NJY230" s="32"/>
      <c r="NJZ230" s="31"/>
      <c r="NKA230" s="31"/>
      <c r="NKB230" s="33"/>
      <c r="NKC230" s="33"/>
      <c r="NKD230" s="34"/>
      <c r="NKE230" s="34"/>
      <c r="NKF230" s="35"/>
      <c r="NKG230" s="35"/>
      <c r="NKH230" s="32"/>
      <c r="NKI230" s="31"/>
      <c r="NKJ230" s="31"/>
      <c r="NKK230" s="31"/>
      <c r="NKL230" s="32"/>
      <c r="NKM230" s="32"/>
      <c r="NKN230" s="32"/>
      <c r="NKO230" s="32"/>
      <c r="NKP230" s="32"/>
      <c r="NKQ230" s="31"/>
      <c r="NKR230" s="31"/>
      <c r="NKS230" s="33"/>
      <c r="NKT230" s="33"/>
      <c r="NKU230" s="34"/>
      <c r="NKV230" s="34"/>
      <c r="NKW230" s="35"/>
      <c r="NKX230" s="35"/>
      <c r="NKY230" s="32"/>
      <c r="NKZ230" s="31"/>
      <c r="NLA230" s="31"/>
      <c r="NLB230" s="31"/>
      <c r="NLC230" s="32"/>
      <c r="NLD230" s="32"/>
      <c r="NLE230" s="32"/>
      <c r="NLF230" s="32"/>
      <c r="NLG230" s="32"/>
      <c r="NLH230" s="31"/>
      <c r="NLI230" s="31"/>
      <c r="NLJ230" s="33"/>
      <c r="NLK230" s="33"/>
      <c r="NLL230" s="34"/>
      <c r="NLM230" s="34"/>
      <c r="NLN230" s="35"/>
      <c r="NLO230" s="35"/>
      <c r="NLP230" s="32"/>
      <c r="NLQ230" s="31"/>
      <c r="NLR230" s="31"/>
      <c r="NLS230" s="31"/>
      <c r="NLT230" s="32"/>
      <c r="NLU230" s="32"/>
      <c r="NLV230" s="32"/>
      <c r="NLW230" s="32"/>
      <c r="NLX230" s="32"/>
      <c r="NLY230" s="31"/>
      <c r="NLZ230" s="31"/>
      <c r="NMA230" s="33"/>
      <c r="NMB230" s="33"/>
      <c r="NMC230" s="34"/>
      <c r="NMD230" s="34"/>
      <c r="NME230" s="35"/>
      <c r="NMF230" s="35"/>
      <c r="NMG230" s="32"/>
      <c r="NMH230" s="31"/>
      <c r="NMI230" s="31"/>
      <c r="NMJ230" s="31"/>
      <c r="NMK230" s="32"/>
      <c r="NML230" s="32"/>
      <c r="NMM230" s="32"/>
      <c r="NMN230" s="32"/>
      <c r="NMO230" s="32"/>
      <c r="NMP230" s="31"/>
      <c r="NMQ230" s="31"/>
      <c r="NMR230" s="33"/>
      <c r="NMS230" s="33"/>
      <c r="NMT230" s="34"/>
      <c r="NMU230" s="34"/>
      <c r="NMV230" s="35"/>
      <c r="NMW230" s="35"/>
      <c r="NMX230" s="32"/>
      <c r="NMY230" s="31"/>
      <c r="NMZ230" s="31"/>
      <c r="NNA230" s="31"/>
      <c r="NNB230" s="32"/>
      <c r="NNC230" s="32"/>
      <c r="NND230" s="32"/>
      <c r="NNE230" s="32"/>
      <c r="NNF230" s="32"/>
      <c r="NNG230" s="31"/>
      <c r="NNH230" s="31"/>
      <c r="NNI230" s="33"/>
      <c r="NNJ230" s="33"/>
      <c r="NNK230" s="34"/>
      <c r="NNL230" s="34"/>
      <c r="NNM230" s="35"/>
      <c r="NNN230" s="35"/>
      <c r="NNO230" s="32"/>
      <c r="NNP230" s="31"/>
      <c r="NNQ230" s="31"/>
      <c r="NNR230" s="31"/>
      <c r="NNS230" s="32"/>
      <c r="NNT230" s="32"/>
      <c r="NNU230" s="32"/>
      <c r="NNV230" s="32"/>
      <c r="NNW230" s="32"/>
      <c r="NNX230" s="31"/>
      <c r="NNY230" s="31"/>
      <c r="NNZ230" s="33"/>
      <c r="NOA230" s="33"/>
      <c r="NOB230" s="34"/>
      <c r="NOC230" s="34"/>
      <c r="NOD230" s="35"/>
      <c r="NOE230" s="35"/>
      <c r="NOF230" s="32"/>
      <c r="NOG230" s="31"/>
      <c r="NOH230" s="31"/>
      <c r="NOI230" s="31"/>
      <c r="NOJ230" s="32"/>
      <c r="NOK230" s="32"/>
      <c r="NOL230" s="32"/>
      <c r="NOM230" s="32"/>
      <c r="NON230" s="32"/>
      <c r="NOO230" s="31"/>
      <c r="NOP230" s="31"/>
      <c r="NOQ230" s="33"/>
      <c r="NOR230" s="33"/>
      <c r="NOS230" s="34"/>
      <c r="NOT230" s="34"/>
      <c r="NOU230" s="35"/>
      <c r="NOV230" s="35"/>
      <c r="NOW230" s="32"/>
      <c r="NOX230" s="31"/>
      <c r="NOY230" s="31"/>
      <c r="NOZ230" s="31"/>
      <c r="NPA230" s="32"/>
      <c r="NPB230" s="32"/>
      <c r="NPC230" s="32"/>
      <c r="NPD230" s="32"/>
      <c r="NPE230" s="32"/>
      <c r="NPF230" s="31"/>
      <c r="NPG230" s="31"/>
      <c r="NPH230" s="33"/>
      <c r="NPI230" s="33"/>
      <c r="NPJ230" s="34"/>
      <c r="NPK230" s="34"/>
      <c r="NPL230" s="35"/>
      <c r="NPM230" s="35"/>
      <c r="NPN230" s="32"/>
      <c r="NPO230" s="31"/>
      <c r="NPP230" s="31"/>
      <c r="NPQ230" s="31"/>
      <c r="NPR230" s="32"/>
      <c r="NPS230" s="32"/>
      <c r="NPT230" s="32"/>
      <c r="NPU230" s="32"/>
      <c r="NPV230" s="32"/>
      <c r="NPW230" s="31"/>
      <c r="NPX230" s="31"/>
      <c r="NPY230" s="33"/>
      <c r="NPZ230" s="33"/>
      <c r="NQA230" s="34"/>
      <c r="NQB230" s="34"/>
      <c r="NQC230" s="35"/>
      <c r="NQD230" s="35"/>
      <c r="NQE230" s="32"/>
      <c r="NQF230" s="31"/>
      <c r="NQG230" s="31"/>
      <c r="NQH230" s="31"/>
      <c r="NQI230" s="32"/>
      <c r="NQJ230" s="32"/>
      <c r="NQK230" s="32"/>
      <c r="NQL230" s="32"/>
      <c r="NQM230" s="32"/>
      <c r="NQN230" s="31"/>
      <c r="NQO230" s="31"/>
      <c r="NQP230" s="33"/>
      <c r="NQQ230" s="33"/>
      <c r="NQR230" s="34"/>
      <c r="NQS230" s="34"/>
      <c r="NQT230" s="35"/>
      <c r="NQU230" s="35"/>
      <c r="NQV230" s="32"/>
      <c r="NQW230" s="31"/>
      <c r="NQX230" s="31"/>
      <c r="NQY230" s="31"/>
      <c r="NQZ230" s="32"/>
      <c r="NRA230" s="32"/>
      <c r="NRB230" s="32"/>
      <c r="NRC230" s="32"/>
      <c r="NRD230" s="32"/>
      <c r="NRE230" s="31"/>
      <c r="NRF230" s="31"/>
      <c r="NRG230" s="33"/>
      <c r="NRH230" s="33"/>
      <c r="NRI230" s="34"/>
      <c r="NRJ230" s="34"/>
      <c r="NRK230" s="35"/>
      <c r="NRL230" s="35"/>
      <c r="NRM230" s="32"/>
      <c r="NRN230" s="31"/>
      <c r="NRO230" s="31"/>
      <c r="NRP230" s="31"/>
      <c r="NRQ230" s="32"/>
      <c r="NRR230" s="32"/>
      <c r="NRS230" s="32"/>
      <c r="NRT230" s="32"/>
      <c r="NRU230" s="32"/>
      <c r="NRV230" s="31"/>
      <c r="NRW230" s="31"/>
      <c r="NRX230" s="33"/>
      <c r="NRY230" s="33"/>
      <c r="NRZ230" s="34"/>
      <c r="NSA230" s="34"/>
      <c r="NSB230" s="35"/>
      <c r="NSC230" s="35"/>
      <c r="NSD230" s="32"/>
      <c r="NSE230" s="31"/>
      <c r="NSF230" s="31"/>
      <c r="NSG230" s="31"/>
      <c r="NSH230" s="32"/>
      <c r="NSI230" s="32"/>
      <c r="NSJ230" s="32"/>
      <c r="NSK230" s="32"/>
      <c r="NSL230" s="32"/>
      <c r="NSM230" s="31"/>
      <c r="NSN230" s="31"/>
      <c r="NSO230" s="33"/>
      <c r="NSP230" s="33"/>
      <c r="NSQ230" s="34"/>
      <c r="NSR230" s="34"/>
      <c r="NSS230" s="35"/>
      <c r="NST230" s="35"/>
      <c r="NSU230" s="32"/>
      <c r="NSV230" s="31"/>
      <c r="NSW230" s="31"/>
      <c r="NSX230" s="31"/>
      <c r="NSY230" s="32"/>
      <c r="NSZ230" s="32"/>
      <c r="NTA230" s="32"/>
      <c r="NTB230" s="32"/>
      <c r="NTC230" s="32"/>
      <c r="NTD230" s="31"/>
      <c r="NTE230" s="31"/>
      <c r="NTF230" s="33"/>
      <c r="NTG230" s="33"/>
      <c r="NTH230" s="34"/>
      <c r="NTI230" s="34"/>
      <c r="NTJ230" s="35"/>
      <c r="NTK230" s="35"/>
      <c r="NTL230" s="32"/>
      <c r="NTM230" s="31"/>
      <c r="NTN230" s="31"/>
      <c r="NTO230" s="31"/>
      <c r="NTP230" s="32"/>
      <c r="NTQ230" s="32"/>
      <c r="NTR230" s="32"/>
      <c r="NTS230" s="32"/>
      <c r="NTT230" s="32"/>
      <c r="NTU230" s="31"/>
      <c r="NTV230" s="31"/>
      <c r="NTW230" s="33"/>
      <c r="NTX230" s="33"/>
      <c r="NTY230" s="34"/>
      <c r="NTZ230" s="34"/>
      <c r="NUA230" s="35"/>
      <c r="NUB230" s="35"/>
      <c r="NUC230" s="32"/>
      <c r="NUD230" s="31"/>
      <c r="NUE230" s="31"/>
      <c r="NUF230" s="31"/>
      <c r="NUG230" s="32"/>
      <c r="NUH230" s="32"/>
      <c r="NUI230" s="32"/>
      <c r="NUJ230" s="32"/>
      <c r="NUK230" s="32"/>
      <c r="NUL230" s="31"/>
      <c r="NUM230" s="31"/>
      <c r="NUN230" s="33"/>
      <c r="NUO230" s="33"/>
      <c r="NUP230" s="34"/>
      <c r="NUQ230" s="34"/>
      <c r="NUR230" s="35"/>
      <c r="NUS230" s="35"/>
      <c r="NUT230" s="32"/>
      <c r="NUU230" s="31"/>
      <c r="NUV230" s="31"/>
      <c r="NUW230" s="31"/>
      <c r="NUX230" s="32"/>
      <c r="NUY230" s="32"/>
      <c r="NUZ230" s="32"/>
      <c r="NVA230" s="32"/>
      <c r="NVB230" s="32"/>
      <c r="NVC230" s="31"/>
      <c r="NVD230" s="31"/>
      <c r="NVE230" s="33"/>
      <c r="NVF230" s="33"/>
      <c r="NVG230" s="34"/>
      <c r="NVH230" s="34"/>
      <c r="NVI230" s="35"/>
      <c r="NVJ230" s="35"/>
      <c r="NVK230" s="32"/>
      <c r="NVL230" s="31"/>
      <c r="NVM230" s="31"/>
      <c r="NVN230" s="31"/>
      <c r="NVO230" s="32"/>
      <c r="NVP230" s="32"/>
      <c r="NVQ230" s="32"/>
      <c r="NVR230" s="32"/>
      <c r="NVS230" s="32"/>
      <c r="NVT230" s="31"/>
      <c r="NVU230" s="31"/>
      <c r="NVV230" s="33"/>
      <c r="NVW230" s="33"/>
      <c r="NVX230" s="34"/>
      <c r="NVY230" s="34"/>
      <c r="NVZ230" s="35"/>
      <c r="NWA230" s="35"/>
      <c r="NWB230" s="32"/>
      <c r="NWC230" s="31"/>
      <c r="NWD230" s="31"/>
      <c r="NWE230" s="31"/>
      <c r="NWF230" s="32"/>
      <c r="NWG230" s="32"/>
      <c r="NWH230" s="32"/>
      <c r="NWI230" s="32"/>
      <c r="NWJ230" s="32"/>
      <c r="NWK230" s="31"/>
      <c r="NWL230" s="31"/>
      <c r="NWM230" s="33"/>
      <c r="NWN230" s="33"/>
      <c r="NWO230" s="34"/>
      <c r="NWP230" s="34"/>
      <c r="NWQ230" s="35"/>
      <c r="NWR230" s="35"/>
      <c r="NWS230" s="32"/>
      <c r="NWT230" s="31"/>
      <c r="NWU230" s="31"/>
      <c r="NWV230" s="31"/>
      <c r="NWW230" s="32"/>
      <c r="NWX230" s="32"/>
      <c r="NWY230" s="32"/>
      <c r="NWZ230" s="32"/>
      <c r="NXA230" s="32"/>
      <c r="NXB230" s="31"/>
      <c r="NXC230" s="31"/>
      <c r="NXD230" s="33"/>
      <c r="NXE230" s="33"/>
      <c r="NXF230" s="34"/>
      <c r="NXG230" s="34"/>
      <c r="NXH230" s="35"/>
      <c r="NXI230" s="35"/>
      <c r="NXJ230" s="32"/>
      <c r="NXK230" s="31"/>
      <c r="NXL230" s="31"/>
      <c r="NXM230" s="31"/>
      <c r="NXN230" s="32"/>
      <c r="NXO230" s="32"/>
      <c r="NXP230" s="32"/>
      <c r="NXQ230" s="32"/>
      <c r="NXR230" s="32"/>
      <c r="NXS230" s="31"/>
      <c r="NXT230" s="31"/>
      <c r="NXU230" s="33"/>
      <c r="NXV230" s="33"/>
      <c r="NXW230" s="34"/>
      <c r="NXX230" s="34"/>
      <c r="NXY230" s="35"/>
      <c r="NXZ230" s="35"/>
      <c r="NYA230" s="32"/>
      <c r="NYB230" s="31"/>
      <c r="NYC230" s="31"/>
      <c r="NYD230" s="31"/>
      <c r="NYE230" s="32"/>
      <c r="NYF230" s="32"/>
      <c r="NYG230" s="32"/>
      <c r="NYH230" s="32"/>
      <c r="NYI230" s="32"/>
      <c r="NYJ230" s="31"/>
      <c r="NYK230" s="31"/>
      <c r="NYL230" s="33"/>
      <c r="NYM230" s="33"/>
      <c r="NYN230" s="34"/>
      <c r="NYO230" s="34"/>
      <c r="NYP230" s="35"/>
      <c r="NYQ230" s="35"/>
      <c r="NYR230" s="32"/>
      <c r="NYS230" s="31"/>
      <c r="NYT230" s="31"/>
      <c r="NYU230" s="31"/>
      <c r="NYV230" s="32"/>
      <c r="NYW230" s="32"/>
      <c r="NYX230" s="32"/>
      <c r="NYY230" s="32"/>
      <c r="NYZ230" s="32"/>
      <c r="NZA230" s="31"/>
      <c r="NZB230" s="31"/>
      <c r="NZC230" s="33"/>
      <c r="NZD230" s="33"/>
      <c r="NZE230" s="34"/>
      <c r="NZF230" s="34"/>
      <c r="NZG230" s="35"/>
      <c r="NZH230" s="35"/>
      <c r="NZI230" s="32"/>
      <c r="NZJ230" s="31"/>
      <c r="NZK230" s="31"/>
      <c r="NZL230" s="31"/>
      <c r="NZM230" s="32"/>
      <c r="NZN230" s="32"/>
      <c r="NZO230" s="32"/>
      <c r="NZP230" s="32"/>
      <c r="NZQ230" s="32"/>
      <c r="NZR230" s="31"/>
      <c r="NZS230" s="31"/>
      <c r="NZT230" s="33"/>
      <c r="NZU230" s="33"/>
      <c r="NZV230" s="34"/>
      <c r="NZW230" s="34"/>
      <c r="NZX230" s="35"/>
      <c r="NZY230" s="35"/>
      <c r="NZZ230" s="32"/>
      <c r="OAA230" s="31"/>
      <c r="OAB230" s="31"/>
      <c r="OAC230" s="31"/>
      <c r="OAD230" s="32"/>
      <c r="OAE230" s="32"/>
      <c r="OAF230" s="32"/>
      <c r="OAG230" s="32"/>
      <c r="OAH230" s="32"/>
      <c r="OAI230" s="31"/>
      <c r="OAJ230" s="31"/>
      <c r="OAK230" s="33"/>
      <c r="OAL230" s="33"/>
      <c r="OAM230" s="34"/>
      <c r="OAN230" s="34"/>
      <c r="OAO230" s="35"/>
      <c r="OAP230" s="35"/>
      <c r="OAQ230" s="32"/>
      <c r="OAR230" s="31"/>
      <c r="OAS230" s="31"/>
      <c r="OAT230" s="31"/>
      <c r="OAU230" s="32"/>
      <c r="OAV230" s="32"/>
      <c r="OAW230" s="32"/>
      <c r="OAX230" s="32"/>
      <c r="OAY230" s="32"/>
      <c r="OAZ230" s="31"/>
      <c r="OBA230" s="31"/>
      <c r="OBB230" s="33"/>
      <c r="OBC230" s="33"/>
      <c r="OBD230" s="34"/>
      <c r="OBE230" s="34"/>
      <c r="OBF230" s="35"/>
      <c r="OBG230" s="35"/>
      <c r="OBH230" s="32"/>
      <c r="OBI230" s="31"/>
      <c r="OBJ230" s="31"/>
      <c r="OBK230" s="31"/>
      <c r="OBL230" s="32"/>
      <c r="OBM230" s="32"/>
      <c r="OBN230" s="32"/>
      <c r="OBO230" s="32"/>
      <c r="OBP230" s="32"/>
      <c r="OBQ230" s="31"/>
      <c r="OBR230" s="31"/>
      <c r="OBS230" s="33"/>
      <c r="OBT230" s="33"/>
      <c r="OBU230" s="34"/>
      <c r="OBV230" s="34"/>
      <c r="OBW230" s="35"/>
      <c r="OBX230" s="35"/>
      <c r="OBY230" s="32"/>
      <c r="OBZ230" s="31"/>
      <c r="OCA230" s="31"/>
      <c r="OCB230" s="31"/>
      <c r="OCC230" s="32"/>
      <c r="OCD230" s="32"/>
      <c r="OCE230" s="32"/>
      <c r="OCF230" s="32"/>
      <c r="OCG230" s="32"/>
      <c r="OCH230" s="31"/>
      <c r="OCI230" s="31"/>
      <c r="OCJ230" s="33"/>
      <c r="OCK230" s="33"/>
      <c r="OCL230" s="34"/>
      <c r="OCM230" s="34"/>
      <c r="OCN230" s="35"/>
      <c r="OCO230" s="35"/>
      <c r="OCP230" s="32"/>
      <c r="OCQ230" s="31"/>
      <c r="OCR230" s="31"/>
      <c r="OCS230" s="31"/>
      <c r="OCT230" s="32"/>
      <c r="OCU230" s="32"/>
      <c r="OCV230" s="32"/>
      <c r="OCW230" s="32"/>
      <c r="OCX230" s="32"/>
      <c r="OCY230" s="31"/>
      <c r="OCZ230" s="31"/>
      <c r="ODA230" s="33"/>
      <c r="ODB230" s="33"/>
      <c r="ODC230" s="34"/>
      <c r="ODD230" s="34"/>
      <c r="ODE230" s="35"/>
      <c r="ODF230" s="35"/>
      <c r="ODG230" s="32"/>
      <c r="ODH230" s="31"/>
      <c r="ODI230" s="31"/>
      <c r="ODJ230" s="31"/>
      <c r="ODK230" s="32"/>
      <c r="ODL230" s="32"/>
      <c r="ODM230" s="32"/>
      <c r="ODN230" s="32"/>
      <c r="ODO230" s="32"/>
      <c r="ODP230" s="31"/>
      <c r="ODQ230" s="31"/>
      <c r="ODR230" s="33"/>
      <c r="ODS230" s="33"/>
      <c r="ODT230" s="34"/>
      <c r="ODU230" s="34"/>
      <c r="ODV230" s="35"/>
      <c r="ODW230" s="35"/>
      <c r="ODX230" s="32"/>
      <c r="ODY230" s="31"/>
      <c r="ODZ230" s="31"/>
      <c r="OEA230" s="31"/>
      <c r="OEB230" s="32"/>
      <c r="OEC230" s="32"/>
      <c r="OED230" s="32"/>
      <c r="OEE230" s="32"/>
      <c r="OEF230" s="32"/>
      <c r="OEG230" s="31"/>
      <c r="OEH230" s="31"/>
      <c r="OEI230" s="33"/>
      <c r="OEJ230" s="33"/>
      <c r="OEK230" s="34"/>
      <c r="OEL230" s="34"/>
      <c r="OEM230" s="35"/>
      <c r="OEN230" s="35"/>
      <c r="OEO230" s="32"/>
      <c r="OEP230" s="31"/>
      <c r="OEQ230" s="31"/>
      <c r="OER230" s="31"/>
      <c r="OES230" s="32"/>
      <c r="OET230" s="32"/>
      <c r="OEU230" s="32"/>
      <c r="OEV230" s="32"/>
      <c r="OEW230" s="32"/>
      <c r="OEX230" s="31"/>
      <c r="OEY230" s="31"/>
      <c r="OEZ230" s="33"/>
      <c r="OFA230" s="33"/>
      <c r="OFB230" s="34"/>
      <c r="OFC230" s="34"/>
      <c r="OFD230" s="35"/>
      <c r="OFE230" s="35"/>
      <c r="OFF230" s="32"/>
      <c r="OFG230" s="31"/>
      <c r="OFH230" s="31"/>
      <c r="OFI230" s="31"/>
      <c r="OFJ230" s="32"/>
      <c r="OFK230" s="32"/>
      <c r="OFL230" s="32"/>
      <c r="OFM230" s="32"/>
      <c r="OFN230" s="32"/>
      <c r="OFO230" s="31"/>
      <c r="OFP230" s="31"/>
      <c r="OFQ230" s="33"/>
      <c r="OFR230" s="33"/>
      <c r="OFS230" s="34"/>
      <c r="OFT230" s="34"/>
      <c r="OFU230" s="35"/>
      <c r="OFV230" s="35"/>
      <c r="OFW230" s="32"/>
      <c r="OFX230" s="31"/>
      <c r="OFY230" s="31"/>
      <c r="OFZ230" s="31"/>
      <c r="OGA230" s="32"/>
      <c r="OGB230" s="32"/>
      <c r="OGC230" s="32"/>
      <c r="OGD230" s="32"/>
      <c r="OGE230" s="32"/>
      <c r="OGF230" s="31"/>
      <c r="OGG230" s="31"/>
      <c r="OGH230" s="33"/>
      <c r="OGI230" s="33"/>
      <c r="OGJ230" s="34"/>
      <c r="OGK230" s="34"/>
      <c r="OGL230" s="35"/>
      <c r="OGM230" s="35"/>
      <c r="OGN230" s="32"/>
      <c r="OGO230" s="31"/>
      <c r="OGP230" s="31"/>
      <c r="OGQ230" s="31"/>
      <c r="OGR230" s="32"/>
      <c r="OGS230" s="32"/>
      <c r="OGT230" s="32"/>
      <c r="OGU230" s="32"/>
      <c r="OGV230" s="32"/>
      <c r="OGW230" s="31"/>
      <c r="OGX230" s="31"/>
      <c r="OGY230" s="33"/>
      <c r="OGZ230" s="33"/>
      <c r="OHA230" s="34"/>
      <c r="OHB230" s="34"/>
      <c r="OHC230" s="35"/>
      <c r="OHD230" s="35"/>
      <c r="OHE230" s="32"/>
      <c r="OHF230" s="31"/>
      <c r="OHG230" s="31"/>
      <c r="OHH230" s="31"/>
      <c r="OHI230" s="32"/>
      <c r="OHJ230" s="32"/>
      <c r="OHK230" s="32"/>
      <c r="OHL230" s="32"/>
      <c r="OHM230" s="32"/>
      <c r="OHN230" s="31"/>
      <c r="OHO230" s="31"/>
      <c r="OHP230" s="33"/>
      <c r="OHQ230" s="33"/>
      <c r="OHR230" s="34"/>
      <c r="OHS230" s="34"/>
      <c r="OHT230" s="35"/>
      <c r="OHU230" s="35"/>
      <c r="OHV230" s="32"/>
      <c r="OHW230" s="31"/>
      <c r="OHX230" s="31"/>
      <c r="OHY230" s="31"/>
      <c r="OHZ230" s="32"/>
      <c r="OIA230" s="32"/>
      <c r="OIB230" s="32"/>
      <c r="OIC230" s="32"/>
      <c r="OID230" s="32"/>
      <c r="OIE230" s="31"/>
      <c r="OIF230" s="31"/>
      <c r="OIG230" s="33"/>
      <c r="OIH230" s="33"/>
      <c r="OII230" s="34"/>
      <c r="OIJ230" s="34"/>
      <c r="OIK230" s="35"/>
      <c r="OIL230" s="35"/>
      <c r="OIM230" s="32"/>
      <c r="OIN230" s="31"/>
      <c r="OIO230" s="31"/>
      <c r="OIP230" s="31"/>
      <c r="OIQ230" s="32"/>
      <c r="OIR230" s="32"/>
      <c r="OIS230" s="32"/>
      <c r="OIT230" s="32"/>
      <c r="OIU230" s="32"/>
      <c r="OIV230" s="31"/>
      <c r="OIW230" s="31"/>
      <c r="OIX230" s="33"/>
      <c r="OIY230" s="33"/>
      <c r="OIZ230" s="34"/>
      <c r="OJA230" s="34"/>
      <c r="OJB230" s="35"/>
      <c r="OJC230" s="35"/>
      <c r="OJD230" s="32"/>
      <c r="OJE230" s="31"/>
      <c r="OJF230" s="31"/>
      <c r="OJG230" s="31"/>
      <c r="OJH230" s="32"/>
      <c r="OJI230" s="32"/>
      <c r="OJJ230" s="32"/>
      <c r="OJK230" s="32"/>
      <c r="OJL230" s="32"/>
      <c r="OJM230" s="31"/>
      <c r="OJN230" s="31"/>
      <c r="OJO230" s="33"/>
      <c r="OJP230" s="33"/>
      <c r="OJQ230" s="34"/>
      <c r="OJR230" s="34"/>
      <c r="OJS230" s="35"/>
      <c r="OJT230" s="35"/>
      <c r="OJU230" s="32"/>
      <c r="OJV230" s="31"/>
      <c r="OJW230" s="31"/>
      <c r="OJX230" s="31"/>
      <c r="OJY230" s="32"/>
      <c r="OJZ230" s="32"/>
      <c r="OKA230" s="32"/>
      <c r="OKB230" s="32"/>
      <c r="OKC230" s="32"/>
      <c r="OKD230" s="31"/>
      <c r="OKE230" s="31"/>
      <c r="OKF230" s="33"/>
      <c r="OKG230" s="33"/>
      <c r="OKH230" s="34"/>
      <c r="OKI230" s="34"/>
      <c r="OKJ230" s="35"/>
      <c r="OKK230" s="35"/>
      <c r="OKL230" s="32"/>
      <c r="OKM230" s="31"/>
      <c r="OKN230" s="31"/>
      <c r="OKO230" s="31"/>
      <c r="OKP230" s="32"/>
      <c r="OKQ230" s="32"/>
      <c r="OKR230" s="32"/>
      <c r="OKS230" s="32"/>
      <c r="OKT230" s="32"/>
      <c r="OKU230" s="31"/>
      <c r="OKV230" s="31"/>
      <c r="OKW230" s="33"/>
      <c r="OKX230" s="33"/>
      <c r="OKY230" s="34"/>
      <c r="OKZ230" s="34"/>
      <c r="OLA230" s="35"/>
      <c r="OLB230" s="35"/>
      <c r="OLC230" s="32"/>
      <c r="OLD230" s="31"/>
      <c r="OLE230" s="31"/>
      <c r="OLF230" s="31"/>
      <c r="OLG230" s="32"/>
      <c r="OLH230" s="32"/>
      <c r="OLI230" s="32"/>
      <c r="OLJ230" s="32"/>
      <c r="OLK230" s="32"/>
      <c r="OLL230" s="31"/>
      <c r="OLM230" s="31"/>
      <c r="OLN230" s="33"/>
      <c r="OLO230" s="33"/>
      <c r="OLP230" s="34"/>
      <c r="OLQ230" s="34"/>
      <c r="OLR230" s="35"/>
      <c r="OLS230" s="35"/>
      <c r="OLT230" s="32"/>
      <c r="OLU230" s="31"/>
      <c r="OLV230" s="31"/>
      <c r="OLW230" s="31"/>
      <c r="OLX230" s="32"/>
      <c r="OLY230" s="32"/>
      <c r="OLZ230" s="32"/>
      <c r="OMA230" s="32"/>
      <c r="OMB230" s="32"/>
      <c r="OMC230" s="31"/>
      <c r="OMD230" s="31"/>
      <c r="OME230" s="33"/>
      <c r="OMF230" s="33"/>
      <c r="OMG230" s="34"/>
      <c r="OMH230" s="34"/>
      <c r="OMI230" s="35"/>
      <c r="OMJ230" s="35"/>
      <c r="OMK230" s="32"/>
      <c r="OML230" s="31"/>
      <c r="OMM230" s="31"/>
      <c r="OMN230" s="31"/>
      <c r="OMO230" s="32"/>
      <c r="OMP230" s="32"/>
      <c r="OMQ230" s="32"/>
      <c r="OMR230" s="32"/>
      <c r="OMS230" s="32"/>
      <c r="OMT230" s="31"/>
      <c r="OMU230" s="31"/>
      <c r="OMV230" s="33"/>
      <c r="OMW230" s="33"/>
      <c r="OMX230" s="34"/>
      <c r="OMY230" s="34"/>
      <c r="OMZ230" s="35"/>
      <c r="ONA230" s="35"/>
      <c r="ONB230" s="32"/>
      <c r="ONC230" s="31"/>
      <c r="OND230" s="31"/>
      <c r="ONE230" s="31"/>
      <c r="ONF230" s="32"/>
      <c r="ONG230" s="32"/>
      <c r="ONH230" s="32"/>
      <c r="ONI230" s="32"/>
      <c r="ONJ230" s="32"/>
      <c r="ONK230" s="31"/>
      <c r="ONL230" s="31"/>
      <c r="ONM230" s="33"/>
      <c r="ONN230" s="33"/>
      <c r="ONO230" s="34"/>
      <c r="ONP230" s="34"/>
      <c r="ONQ230" s="35"/>
      <c r="ONR230" s="35"/>
      <c r="ONS230" s="32"/>
      <c r="ONT230" s="31"/>
      <c r="ONU230" s="31"/>
      <c r="ONV230" s="31"/>
      <c r="ONW230" s="32"/>
      <c r="ONX230" s="32"/>
      <c r="ONY230" s="32"/>
      <c r="ONZ230" s="32"/>
      <c r="OOA230" s="32"/>
      <c r="OOB230" s="31"/>
      <c r="OOC230" s="31"/>
      <c r="OOD230" s="33"/>
      <c r="OOE230" s="33"/>
      <c r="OOF230" s="34"/>
      <c r="OOG230" s="34"/>
      <c r="OOH230" s="35"/>
      <c r="OOI230" s="35"/>
      <c r="OOJ230" s="32"/>
      <c r="OOK230" s="31"/>
      <c r="OOL230" s="31"/>
      <c r="OOM230" s="31"/>
      <c r="OON230" s="32"/>
      <c r="OOO230" s="32"/>
      <c r="OOP230" s="32"/>
      <c r="OOQ230" s="32"/>
      <c r="OOR230" s="32"/>
      <c r="OOS230" s="31"/>
      <c r="OOT230" s="31"/>
      <c r="OOU230" s="33"/>
      <c r="OOV230" s="33"/>
      <c r="OOW230" s="34"/>
      <c r="OOX230" s="34"/>
      <c r="OOY230" s="35"/>
      <c r="OOZ230" s="35"/>
      <c r="OPA230" s="32"/>
      <c r="OPB230" s="31"/>
      <c r="OPC230" s="31"/>
      <c r="OPD230" s="31"/>
      <c r="OPE230" s="32"/>
      <c r="OPF230" s="32"/>
      <c r="OPG230" s="32"/>
      <c r="OPH230" s="32"/>
      <c r="OPI230" s="32"/>
      <c r="OPJ230" s="31"/>
      <c r="OPK230" s="31"/>
      <c r="OPL230" s="33"/>
      <c r="OPM230" s="33"/>
      <c r="OPN230" s="34"/>
      <c r="OPO230" s="34"/>
      <c r="OPP230" s="35"/>
      <c r="OPQ230" s="35"/>
      <c r="OPR230" s="32"/>
      <c r="OPS230" s="31"/>
      <c r="OPT230" s="31"/>
      <c r="OPU230" s="31"/>
      <c r="OPV230" s="32"/>
      <c r="OPW230" s="32"/>
      <c r="OPX230" s="32"/>
      <c r="OPY230" s="32"/>
      <c r="OPZ230" s="32"/>
      <c r="OQA230" s="31"/>
      <c r="OQB230" s="31"/>
      <c r="OQC230" s="33"/>
      <c r="OQD230" s="33"/>
      <c r="OQE230" s="34"/>
      <c r="OQF230" s="34"/>
      <c r="OQG230" s="35"/>
      <c r="OQH230" s="35"/>
      <c r="OQI230" s="32"/>
      <c r="OQJ230" s="31"/>
      <c r="OQK230" s="31"/>
      <c r="OQL230" s="31"/>
      <c r="OQM230" s="32"/>
      <c r="OQN230" s="32"/>
      <c r="OQO230" s="32"/>
      <c r="OQP230" s="32"/>
      <c r="OQQ230" s="32"/>
      <c r="OQR230" s="31"/>
      <c r="OQS230" s="31"/>
      <c r="OQT230" s="33"/>
      <c r="OQU230" s="33"/>
      <c r="OQV230" s="34"/>
      <c r="OQW230" s="34"/>
      <c r="OQX230" s="35"/>
      <c r="OQY230" s="35"/>
      <c r="OQZ230" s="32"/>
      <c r="ORA230" s="31"/>
      <c r="ORB230" s="31"/>
      <c r="ORC230" s="31"/>
      <c r="ORD230" s="32"/>
      <c r="ORE230" s="32"/>
      <c r="ORF230" s="32"/>
      <c r="ORG230" s="32"/>
      <c r="ORH230" s="32"/>
      <c r="ORI230" s="31"/>
      <c r="ORJ230" s="31"/>
      <c r="ORK230" s="33"/>
      <c r="ORL230" s="33"/>
      <c r="ORM230" s="34"/>
      <c r="ORN230" s="34"/>
      <c r="ORO230" s="35"/>
      <c r="ORP230" s="35"/>
      <c r="ORQ230" s="32"/>
      <c r="ORR230" s="31"/>
      <c r="ORS230" s="31"/>
      <c r="ORT230" s="31"/>
      <c r="ORU230" s="32"/>
      <c r="ORV230" s="32"/>
      <c r="ORW230" s="32"/>
      <c r="ORX230" s="32"/>
      <c r="ORY230" s="32"/>
      <c r="ORZ230" s="31"/>
      <c r="OSA230" s="31"/>
      <c r="OSB230" s="33"/>
      <c r="OSC230" s="33"/>
      <c r="OSD230" s="34"/>
      <c r="OSE230" s="34"/>
      <c r="OSF230" s="35"/>
      <c r="OSG230" s="35"/>
      <c r="OSH230" s="32"/>
      <c r="OSI230" s="31"/>
      <c r="OSJ230" s="31"/>
      <c r="OSK230" s="31"/>
      <c r="OSL230" s="32"/>
      <c r="OSM230" s="32"/>
      <c r="OSN230" s="32"/>
      <c r="OSO230" s="32"/>
      <c r="OSP230" s="32"/>
      <c r="OSQ230" s="31"/>
      <c r="OSR230" s="31"/>
      <c r="OSS230" s="33"/>
      <c r="OST230" s="33"/>
      <c r="OSU230" s="34"/>
      <c r="OSV230" s="34"/>
      <c r="OSW230" s="35"/>
      <c r="OSX230" s="35"/>
      <c r="OSY230" s="32"/>
      <c r="OSZ230" s="31"/>
      <c r="OTA230" s="31"/>
      <c r="OTB230" s="31"/>
      <c r="OTC230" s="32"/>
      <c r="OTD230" s="32"/>
      <c r="OTE230" s="32"/>
      <c r="OTF230" s="32"/>
      <c r="OTG230" s="32"/>
      <c r="OTH230" s="31"/>
      <c r="OTI230" s="31"/>
      <c r="OTJ230" s="33"/>
      <c r="OTK230" s="33"/>
      <c r="OTL230" s="34"/>
      <c r="OTM230" s="34"/>
      <c r="OTN230" s="35"/>
      <c r="OTO230" s="35"/>
      <c r="OTP230" s="32"/>
      <c r="OTQ230" s="31"/>
      <c r="OTR230" s="31"/>
      <c r="OTS230" s="31"/>
      <c r="OTT230" s="32"/>
      <c r="OTU230" s="32"/>
      <c r="OTV230" s="32"/>
      <c r="OTW230" s="32"/>
      <c r="OTX230" s="32"/>
      <c r="OTY230" s="31"/>
      <c r="OTZ230" s="31"/>
      <c r="OUA230" s="33"/>
      <c r="OUB230" s="33"/>
      <c r="OUC230" s="34"/>
      <c r="OUD230" s="34"/>
      <c r="OUE230" s="35"/>
      <c r="OUF230" s="35"/>
      <c r="OUG230" s="32"/>
      <c r="OUH230" s="31"/>
      <c r="OUI230" s="31"/>
      <c r="OUJ230" s="31"/>
      <c r="OUK230" s="32"/>
      <c r="OUL230" s="32"/>
      <c r="OUM230" s="32"/>
      <c r="OUN230" s="32"/>
      <c r="OUO230" s="32"/>
      <c r="OUP230" s="31"/>
      <c r="OUQ230" s="31"/>
      <c r="OUR230" s="33"/>
      <c r="OUS230" s="33"/>
      <c r="OUT230" s="34"/>
      <c r="OUU230" s="34"/>
      <c r="OUV230" s="35"/>
      <c r="OUW230" s="35"/>
      <c r="OUX230" s="32"/>
      <c r="OUY230" s="31"/>
      <c r="OUZ230" s="31"/>
      <c r="OVA230" s="31"/>
      <c r="OVB230" s="32"/>
      <c r="OVC230" s="32"/>
      <c r="OVD230" s="32"/>
      <c r="OVE230" s="32"/>
      <c r="OVF230" s="32"/>
      <c r="OVG230" s="31"/>
      <c r="OVH230" s="31"/>
      <c r="OVI230" s="33"/>
      <c r="OVJ230" s="33"/>
      <c r="OVK230" s="34"/>
      <c r="OVL230" s="34"/>
      <c r="OVM230" s="35"/>
      <c r="OVN230" s="35"/>
      <c r="OVO230" s="32"/>
      <c r="OVP230" s="31"/>
      <c r="OVQ230" s="31"/>
      <c r="OVR230" s="31"/>
      <c r="OVS230" s="32"/>
      <c r="OVT230" s="32"/>
      <c r="OVU230" s="32"/>
      <c r="OVV230" s="32"/>
      <c r="OVW230" s="32"/>
      <c r="OVX230" s="31"/>
      <c r="OVY230" s="31"/>
      <c r="OVZ230" s="33"/>
      <c r="OWA230" s="33"/>
      <c r="OWB230" s="34"/>
      <c r="OWC230" s="34"/>
      <c r="OWD230" s="35"/>
      <c r="OWE230" s="35"/>
      <c r="OWF230" s="32"/>
      <c r="OWG230" s="31"/>
      <c r="OWH230" s="31"/>
      <c r="OWI230" s="31"/>
      <c r="OWJ230" s="32"/>
      <c r="OWK230" s="32"/>
      <c r="OWL230" s="32"/>
      <c r="OWM230" s="32"/>
      <c r="OWN230" s="32"/>
      <c r="OWO230" s="31"/>
      <c r="OWP230" s="31"/>
      <c r="OWQ230" s="33"/>
      <c r="OWR230" s="33"/>
      <c r="OWS230" s="34"/>
      <c r="OWT230" s="34"/>
      <c r="OWU230" s="35"/>
      <c r="OWV230" s="35"/>
      <c r="OWW230" s="32"/>
      <c r="OWX230" s="31"/>
      <c r="OWY230" s="31"/>
      <c r="OWZ230" s="31"/>
      <c r="OXA230" s="32"/>
      <c r="OXB230" s="32"/>
      <c r="OXC230" s="32"/>
      <c r="OXD230" s="32"/>
      <c r="OXE230" s="32"/>
      <c r="OXF230" s="31"/>
      <c r="OXG230" s="31"/>
      <c r="OXH230" s="33"/>
      <c r="OXI230" s="33"/>
      <c r="OXJ230" s="34"/>
      <c r="OXK230" s="34"/>
      <c r="OXL230" s="35"/>
      <c r="OXM230" s="35"/>
      <c r="OXN230" s="32"/>
      <c r="OXO230" s="31"/>
      <c r="OXP230" s="31"/>
      <c r="OXQ230" s="31"/>
      <c r="OXR230" s="32"/>
      <c r="OXS230" s="32"/>
      <c r="OXT230" s="32"/>
      <c r="OXU230" s="32"/>
      <c r="OXV230" s="32"/>
      <c r="OXW230" s="31"/>
      <c r="OXX230" s="31"/>
      <c r="OXY230" s="33"/>
      <c r="OXZ230" s="33"/>
      <c r="OYA230" s="34"/>
      <c r="OYB230" s="34"/>
      <c r="OYC230" s="35"/>
      <c r="OYD230" s="35"/>
      <c r="OYE230" s="32"/>
      <c r="OYF230" s="31"/>
      <c r="OYG230" s="31"/>
      <c r="OYH230" s="31"/>
      <c r="OYI230" s="32"/>
      <c r="OYJ230" s="32"/>
      <c r="OYK230" s="32"/>
      <c r="OYL230" s="32"/>
      <c r="OYM230" s="32"/>
      <c r="OYN230" s="31"/>
      <c r="OYO230" s="31"/>
      <c r="OYP230" s="33"/>
      <c r="OYQ230" s="33"/>
      <c r="OYR230" s="34"/>
      <c r="OYS230" s="34"/>
      <c r="OYT230" s="35"/>
      <c r="OYU230" s="35"/>
      <c r="OYV230" s="32"/>
      <c r="OYW230" s="31"/>
      <c r="OYX230" s="31"/>
      <c r="OYY230" s="31"/>
      <c r="OYZ230" s="32"/>
      <c r="OZA230" s="32"/>
      <c r="OZB230" s="32"/>
      <c r="OZC230" s="32"/>
      <c r="OZD230" s="32"/>
      <c r="OZE230" s="31"/>
      <c r="OZF230" s="31"/>
      <c r="OZG230" s="33"/>
      <c r="OZH230" s="33"/>
      <c r="OZI230" s="34"/>
      <c r="OZJ230" s="34"/>
      <c r="OZK230" s="35"/>
      <c r="OZL230" s="35"/>
      <c r="OZM230" s="32"/>
      <c r="OZN230" s="31"/>
      <c r="OZO230" s="31"/>
      <c r="OZP230" s="31"/>
      <c r="OZQ230" s="32"/>
      <c r="OZR230" s="32"/>
      <c r="OZS230" s="32"/>
      <c r="OZT230" s="32"/>
      <c r="OZU230" s="32"/>
      <c r="OZV230" s="31"/>
      <c r="OZW230" s="31"/>
      <c r="OZX230" s="33"/>
      <c r="OZY230" s="33"/>
      <c r="OZZ230" s="34"/>
      <c r="PAA230" s="34"/>
      <c r="PAB230" s="35"/>
      <c r="PAC230" s="35"/>
      <c r="PAD230" s="32"/>
      <c r="PAE230" s="31"/>
      <c r="PAF230" s="31"/>
      <c r="PAG230" s="31"/>
      <c r="PAH230" s="32"/>
      <c r="PAI230" s="32"/>
      <c r="PAJ230" s="32"/>
      <c r="PAK230" s="32"/>
      <c r="PAL230" s="32"/>
      <c r="PAM230" s="31"/>
      <c r="PAN230" s="31"/>
      <c r="PAO230" s="33"/>
      <c r="PAP230" s="33"/>
      <c r="PAQ230" s="34"/>
      <c r="PAR230" s="34"/>
      <c r="PAS230" s="35"/>
      <c r="PAT230" s="35"/>
      <c r="PAU230" s="32"/>
      <c r="PAV230" s="31"/>
      <c r="PAW230" s="31"/>
      <c r="PAX230" s="31"/>
      <c r="PAY230" s="32"/>
      <c r="PAZ230" s="32"/>
      <c r="PBA230" s="32"/>
      <c r="PBB230" s="32"/>
      <c r="PBC230" s="32"/>
      <c r="PBD230" s="31"/>
      <c r="PBE230" s="31"/>
      <c r="PBF230" s="33"/>
      <c r="PBG230" s="33"/>
      <c r="PBH230" s="34"/>
      <c r="PBI230" s="34"/>
      <c r="PBJ230" s="35"/>
      <c r="PBK230" s="35"/>
      <c r="PBL230" s="32"/>
      <c r="PBM230" s="31"/>
      <c r="PBN230" s="31"/>
      <c r="PBO230" s="31"/>
      <c r="PBP230" s="32"/>
      <c r="PBQ230" s="32"/>
      <c r="PBR230" s="32"/>
      <c r="PBS230" s="32"/>
      <c r="PBT230" s="32"/>
      <c r="PBU230" s="31"/>
      <c r="PBV230" s="31"/>
      <c r="PBW230" s="33"/>
      <c r="PBX230" s="33"/>
      <c r="PBY230" s="34"/>
      <c r="PBZ230" s="34"/>
      <c r="PCA230" s="35"/>
      <c r="PCB230" s="35"/>
      <c r="PCC230" s="32"/>
      <c r="PCD230" s="31"/>
      <c r="PCE230" s="31"/>
      <c r="PCF230" s="31"/>
      <c r="PCG230" s="32"/>
      <c r="PCH230" s="32"/>
      <c r="PCI230" s="32"/>
      <c r="PCJ230" s="32"/>
      <c r="PCK230" s="32"/>
      <c r="PCL230" s="31"/>
      <c r="PCM230" s="31"/>
      <c r="PCN230" s="33"/>
      <c r="PCO230" s="33"/>
      <c r="PCP230" s="34"/>
      <c r="PCQ230" s="34"/>
      <c r="PCR230" s="35"/>
      <c r="PCS230" s="35"/>
      <c r="PCT230" s="32"/>
      <c r="PCU230" s="31"/>
      <c r="PCV230" s="31"/>
      <c r="PCW230" s="31"/>
      <c r="PCX230" s="32"/>
      <c r="PCY230" s="32"/>
      <c r="PCZ230" s="32"/>
      <c r="PDA230" s="32"/>
      <c r="PDB230" s="32"/>
      <c r="PDC230" s="31"/>
      <c r="PDD230" s="31"/>
      <c r="PDE230" s="33"/>
      <c r="PDF230" s="33"/>
      <c r="PDG230" s="34"/>
      <c r="PDH230" s="34"/>
      <c r="PDI230" s="35"/>
      <c r="PDJ230" s="35"/>
      <c r="PDK230" s="32"/>
      <c r="PDL230" s="31"/>
      <c r="PDM230" s="31"/>
      <c r="PDN230" s="31"/>
      <c r="PDO230" s="32"/>
      <c r="PDP230" s="32"/>
      <c r="PDQ230" s="32"/>
      <c r="PDR230" s="32"/>
      <c r="PDS230" s="32"/>
      <c r="PDT230" s="31"/>
      <c r="PDU230" s="31"/>
      <c r="PDV230" s="33"/>
      <c r="PDW230" s="33"/>
      <c r="PDX230" s="34"/>
      <c r="PDY230" s="34"/>
      <c r="PDZ230" s="35"/>
      <c r="PEA230" s="35"/>
      <c r="PEB230" s="32"/>
      <c r="PEC230" s="31"/>
      <c r="PED230" s="31"/>
      <c r="PEE230" s="31"/>
      <c r="PEF230" s="32"/>
      <c r="PEG230" s="32"/>
      <c r="PEH230" s="32"/>
      <c r="PEI230" s="32"/>
      <c r="PEJ230" s="32"/>
      <c r="PEK230" s="31"/>
      <c r="PEL230" s="31"/>
      <c r="PEM230" s="33"/>
      <c r="PEN230" s="33"/>
      <c r="PEO230" s="34"/>
      <c r="PEP230" s="34"/>
      <c r="PEQ230" s="35"/>
      <c r="PER230" s="35"/>
      <c r="PES230" s="32"/>
      <c r="PET230" s="31"/>
      <c r="PEU230" s="31"/>
      <c r="PEV230" s="31"/>
      <c r="PEW230" s="32"/>
      <c r="PEX230" s="32"/>
      <c r="PEY230" s="32"/>
      <c r="PEZ230" s="32"/>
      <c r="PFA230" s="32"/>
      <c r="PFB230" s="31"/>
      <c r="PFC230" s="31"/>
      <c r="PFD230" s="33"/>
      <c r="PFE230" s="33"/>
      <c r="PFF230" s="34"/>
      <c r="PFG230" s="34"/>
      <c r="PFH230" s="35"/>
      <c r="PFI230" s="35"/>
      <c r="PFJ230" s="32"/>
      <c r="PFK230" s="31"/>
      <c r="PFL230" s="31"/>
      <c r="PFM230" s="31"/>
      <c r="PFN230" s="32"/>
      <c r="PFO230" s="32"/>
      <c r="PFP230" s="32"/>
      <c r="PFQ230" s="32"/>
      <c r="PFR230" s="32"/>
      <c r="PFS230" s="31"/>
      <c r="PFT230" s="31"/>
      <c r="PFU230" s="33"/>
      <c r="PFV230" s="33"/>
      <c r="PFW230" s="34"/>
      <c r="PFX230" s="34"/>
      <c r="PFY230" s="35"/>
      <c r="PFZ230" s="35"/>
      <c r="PGA230" s="32"/>
      <c r="PGB230" s="31"/>
      <c r="PGC230" s="31"/>
      <c r="PGD230" s="31"/>
      <c r="PGE230" s="32"/>
      <c r="PGF230" s="32"/>
      <c r="PGG230" s="32"/>
      <c r="PGH230" s="32"/>
      <c r="PGI230" s="32"/>
      <c r="PGJ230" s="31"/>
      <c r="PGK230" s="31"/>
      <c r="PGL230" s="33"/>
      <c r="PGM230" s="33"/>
      <c r="PGN230" s="34"/>
      <c r="PGO230" s="34"/>
      <c r="PGP230" s="35"/>
      <c r="PGQ230" s="35"/>
      <c r="PGR230" s="32"/>
      <c r="PGS230" s="31"/>
      <c r="PGT230" s="31"/>
      <c r="PGU230" s="31"/>
      <c r="PGV230" s="32"/>
      <c r="PGW230" s="32"/>
      <c r="PGX230" s="32"/>
      <c r="PGY230" s="32"/>
      <c r="PGZ230" s="32"/>
      <c r="PHA230" s="31"/>
      <c r="PHB230" s="31"/>
      <c r="PHC230" s="33"/>
      <c r="PHD230" s="33"/>
      <c r="PHE230" s="34"/>
      <c r="PHF230" s="34"/>
      <c r="PHG230" s="35"/>
      <c r="PHH230" s="35"/>
      <c r="PHI230" s="32"/>
      <c r="PHJ230" s="31"/>
      <c r="PHK230" s="31"/>
      <c r="PHL230" s="31"/>
      <c r="PHM230" s="32"/>
      <c r="PHN230" s="32"/>
      <c r="PHO230" s="32"/>
      <c r="PHP230" s="32"/>
      <c r="PHQ230" s="32"/>
      <c r="PHR230" s="31"/>
      <c r="PHS230" s="31"/>
      <c r="PHT230" s="33"/>
      <c r="PHU230" s="33"/>
      <c r="PHV230" s="34"/>
      <c r="PHW230" s="34"/>
      <c r="PHX230" s="35"/>
      <c r="PHY230" s="35"/>
      <c r="PHZ230" s="32"/>
      <c r="PIA230" s="31"/>
      <c r="PIB230" s="31"/>
      <c r="PIC230" s="31"/>
      <c r="PID230" s="32"/>
      <c r="PIE230" s="32"/>
      <c r="PIF230" s="32"/>
      <c r="PIG230" s="32"/>
      <c r="PIH230" s="32"/>
      <c r="PII230" s="31"/>
      <c r="PIJ230" s="31"/>
      <c r="PIK230" s="33"/>
      <c r="PIL230" s="33"/>
      <c r="PIM230" s="34"/>
      <c r="PIN230" s="34"/>
      <c r="PIO230" s="35"/>
      <c r="PIP230" s="35"/>
      <c r="PIQ230" s="32"/>
      <c r="PIR230" s="31"/>
      <c r="PIS230" s="31"/>
      <c r="PIT230" s="31"/>
      <c r="PIU230" s="32"/>
      <c r="PIV230" s="32"/>
      <c r="PIW230" s="32"/>
      <c r="PIX230" s="32"/>
      <c r="PIY230" s="32"/>
      <c r="PIZ230" s="31"/>
      <c r="PJA230" s="31"/>
      <c r="PJB230" s="33"/>
      <c r="PJC230" s="33"/>
      <c r="PJD230" s="34"/>
      <c r="PJE230" s="34"/>
      <c r="PJF230" s="35"/>
      <c r="PJG230" s="35"/>
      <c r="PJH230" s="32"/>
      <c r="PJI230" s="31"/>
      <c r="PJJ230" s="31"/>
      <c r="PJK230" s="31"/>
      <c r="PJL230" s="32"/>
      <c r="PJM230" s="32"/>
      <c r="PJN230" s="32"/>
      <c r="PJO230" s="32"/>
      <c r="PJP230" s="32"/>
      <c r="PJQ230" s="31"/>
      <c r="PJR230" s="31"/>
      <c r="PJS230" s="33"/>
      <c r="PJT230" s="33"/>
      <c r="PJU230" s="34"/>
      <c r="PJV230" s="34"/>
      <c r="PJW230" s="35"/>
      <c r="PJX230" s="35"/>
      <c r="PJY230" s="32"/>
      <c r="PJZ230" s="31"/>
      <c r="PKA230" s="31"/>
      <c r="PKB230" s="31"/>
      <c r="PKC230" s="32"/>
      <c r="PKD230" s="32"/>
      <c r="PKE230" s="32"/>
      <c r="PKF230" s="32"/>
      <c r="PKG230" s="32"/>
      <c r="PKH230" s="31"/>
      <c r="PKI230" s="31"/>
      <c r="PKJ230" s="33"/>
      <c r="PKK230" s="33"/>
      <c r="PKL230" s="34"/>
      <c r="PKM230" s="34"/>
      <c r="PKN230" s="35"/>
      <c r="PKO230" s="35"/>
      <c r="PKP230" s="32"/>
      <c r="PKQ230" s="31"/>
      <c r="PKR230" s="31"/>
      <c r="PKS230" s="31"/>
      <c r="PKT230" s="32"/>
      <c r="PKU230" s="32"/>
      <c r="PKV230" s="32"/>
      <c r="PKW230" s="32"/>
      <c r="PKX230" s="32"/>
      <c r="PKY230" s="31"/>
      <c r="PKZ230" s="31"/>
      <c r="PLA230" s="33"/>
      <c r="PLB230" s="33"/>
      <c r="PLC230" s="34"/>
      <c r="PLD230" s="34"/>
      <c r="PLE230" s="35"/>
      <c r="PLF230" s="35"/>
      <c r="PLG230" s="32"/>
      <c r="PLH230" s="31"/>
      <c r="PLI230" s="31"/>
      <c r="PLJ230" s="31"/>
      <c r="PLK230" s="32"/>
      <c r="PLL230" s="32"/>
      <c r="PLM230" s="32"/>
      <c r="PLN230" s="32"/>
      <c r="PLO230" s="32"/>
      <c r="PLP230" s="31"/>
      <c r="PLQ230" s="31"/>
      <c r="PLR230" s="33"/>
      <c r="PLS230" s="33"/>
      <c r="PLT230" s="34"/>
      <c r="PLU230" s="34"/>
      <c r="PLV230" s="35"/>
      <c r="PLW230" s="35"/>
      <c r="PLX230" s="32"/>
      <c r="PLY230" s="31"/>
      <c r="PLZ230" s="31"/>
      <c r="PMA230" s="31"/>
      <c r="PMB230" s="32"/>
      <c r="PMC230" s="32"/>
      <c r="PMD230" s="32"/>
      <c r="PME230" s="32"/>
      <c r="PMF230" s="32"/>
      <c r="PMG230" s="31"/>
      <c r="PMH230" s="31"/>
      <c r="PMI230" s="33"/>
      <c r="PMJ230" s="33"/>
      <c r="PMK230" s="34"/>
      <c r="PML230" s="34"/>
      <c r="PMM230" s="35"/>
      <c r="PMN230" s="35"/>
      <c r="PMO230" s="32"/>
      <c r="PMP230" s="31"/>
      <c r="PMQ230" s="31"/>
      <c r="PMR230" s="31"/>
      <c r="PMS230" s="32"/>
      <c r="PMT230" s="32"/>
      <c r="PMU230" s="32"/>
      <c r="PMV230" s="32"/>
      <c r="PMW230" s="32"/>
      <c r="PMX230" s="31"/>
      <c r="PMY230" s="31"/>
      <c r="PMZ230" s="33"/>
      <c r="PNA230" s="33"/>
      <c r="PNB230" s="34"/>
      <c r="PNC230" s="34"/>
      <c r="PND230" s="35"/>
      <c r="PNE230" s="35"/>
      <c r="PNF230" s="32"/>
      <c r="PNG230" s="31"/>
      <c r="PNH230" s="31"/>
      <c r="PNI230" s="31"/>
      <c r="PNJ230" s="32"/>
      <c r="PNK230" s="32"/>
      <c r="PNL230" s="32"/>
      <c r="PNM230" s="32"/>
      <c r="PNN230" s="32"/>
      <c r="PNO230" s="31"/>
      <c r="PNP230" s="31"/>
      <c r="PNQ230" s="33"/>
      <c r="PNR230" s="33"/>
      <c r="PNS230" s="34"/>
      <c r="PNT230" s="34"/>
      <c r="PNU230" s="35"/>
      <c r="PNV230" s="35"/>
      <c r="PNW230" s="32"/>
      <c r="PNX230" s="31"/>
      <c r="PNY230" s="31"/>
      <c r="PNZ230" s="31"/>
      <c r="POA230" s="32"/>
      <c r="POB230" s="32"/>
      <c r="POC230" s="32"/>
      <c r="POD230" s="32"/>
      <c r="POE230" s="32"/>
      <c r="POF230" s="31"/>
      <c r="POG230" s="31"/>
      <c r="POH230" s="33"/>
      <c r="POI230" s="33"/>
      <c r="POJ230" s="34"/>
      <c r="POK230" s="34"/>
      <c r="POL230" s="35"/>
      <c r="POM230" s="35"/>
      <c r="PON230" s="32"/>
      <c r="POO230" s="31"/>
      <c r="POP230" s="31"/>
      <c r="POQ230" s="31"/>
      <c r="POR230" s="32"/>
      <c r="POS230" s="32"/>
      <c r="POT230" s="32"/>
      <c r="POU230" s="32"/>
      <c r="POV230" s="32"/>
      <c r="POW230" s="31"/>
      <c r="POX230" s="31"/>
      <c r="POY230" s="33"/>
      <c r="POZ230" s="33"/>
      <c r="PPA230" s="34"/>
      <c r="PPB230" s="34"/>
      <c r="PPC230" s="35"/>
      <c r="PPD230" s="35"/>
      <c r="PPE230" s="32"/>
      <c r="PPF230" s="31"/>
      <c r="PPG230" s="31"/>
      <c r="PPH230" s="31"/>
      <c r="PPI230" s="32"/>
      <c r="PPJ230" s="32"/>
      <c r="PPK230" s="32"/>
      <c r="PPL230" s="32"/>
      <c r="PPM230" s="32"/>
      <c r="PPN230" s="31"/>
      <c r="PPO230" s="31"/>
      <c r="PPP230" s="33"/>
      <c r="PPQ230" s="33"/>
      <c r="PPR230" s="34"/>
      <c r="PPS230" s="34"/>
      <c r="PPT230" s="35"/>
      <c r="PPU230" s="35"/>
      <c r="PPV230" s="32"/>
      <c r="PPW230" s="31"/>
      <c r="PPX230" s="31"/>
      <c r="PPY230" s="31"/>
      <c r="PPZ230" s="32"/>
      <c r="PQA230" s="32"/>
      <c r="PQB230" s="32"/>
      <c r="PQC230" s="32"/>
      <c r="PQD230" s="32"/>
      <c r="PQE230" s="31"/>
      <c r="PQF230" s="31"/>
      <c r="PQG230" s="33"/>
      <c r="PQH230" s="33"/>
      <c r="PQI230" s="34"/>
      <c r="PQJ230" s="34"/>
      <c r="PQK230" s="35"/>
      <c r="PQL230" s="35"/>
      <c r="PQM230" s="32"/>
      <c r="PQN230" s="31"/>
      <c r="PQO230" s="31"/>
      <c r="PQP230" s="31"/>
      <c r="PQQ230" s="32"/>
      <c r="PQR230" s="32"/>
      <c r="PQS230" s="32"/>
      <c r="PQT230" s="32"/>
      <c r="PQU230" s="32"/>
      <c r="PQV230" s="31"/>
      <c r="PQW230" s="31"/>
      <c r="PQX230" s="33"/>
      <c r="PQY230" s="33"/>
      <c r="PQZ230" s="34"/>
      <c r="PRA230" s="34"/>
      <c r="PRB230" s="35"/>
      <c r="PRC230" s="35"/>
      <c r="PRD230" s="32"/>
      <c r="PRE230" s="31"/>
      <c r="PRF230" s="31"/>
      <c r="PRG230" s="31"/>
      <c r="PRH230" s="32"/>
      <c r="PRI230" s="32"/>
      <c r="PRJ230" s="32"/>
      <c r="PRK230" s="32"/>
      <c r="PRL230" s="32"/>
      <c r="PRM230" s="31"/>
      <c r="PRN230" s="31"/>
      <c r="PRO230" s="33"/>
      <c r="PRP230" s="33"/>
      <c r="PRQ230" s="34"/>
      <c r="PRR230" s="34"/>
      <c r="PRS230" s="35"/>
      <c r="PRT230" s="35"/>
      <c r="PRU230" s="32"/>
      <c r="PRV230" s="31"/>
      <c r="PRW230" s="31"/>
      <c r="PRX230" s="31"/>
      <c r="PRY230" s="32"/>
      <c r="PRZ230" s="32"/>
      <c r="PSA230" s="32"/>
      <c r="PSB230" s="32"/>
      <c r="PSC230" s="32"/>
      <c r="PSD230" s="31"/>
      <c r="PSE230" s="31"/>
      <c r="PSF230" s="33"/>
      <c r="PSG230" s="33"/>
      <c r="PSH230" s="34"/>
      <c r="PSI230" s="34"/>
      <c r="PSJ230" s="35"/>
      <c r="PSK230" s="35"/>
      <c r="PSL230" s="32"/>
      <c r="PSM230" s="31"/>
      <c r="PSN230" s="31"/>
      <c r="PSO230" s="31"/>
      <c r="PSP230" s="32"/>
      <c r="PSQ230" s="32"/>
      <c r="PSR230" s="32"/>
      <c r="PSS230" s="32"/>
      <c r="PST230" s="32"/>
      <c r="PSU230" s="31"/>
      <c r="PSV230" s="31"/>
      <c r="PSW230" s="33"/>
      <c r="PSX230" s="33"/>
      <c r="PSY230" s="34"/>
      <c r="PSZ230" s="34"/>
      <c r="PTA230" s="35"/>
      <c r="PTB230" s="35"/>
      <c r="PTC230" s="32"/>
      <c r="PTD230" s="31"/>
      <c r="PTE230" s="31"/>
      <c r="PTF230" s="31"/>
      <c r="PTG230" s="32"/>
      <c r="PTH230" s="32"/>
      <c r="PTI230" s="32"/>
      <c r="PTJ230" s="32"/>
      <c r="PTK230" s="32"/>
      <c r="PTL230" s="31"/>
      <c r="PTM230" s="31"/>
      <c r="PTN230" s="33"/>
      <c r="PTO230" s="33"/>
      <c r="PTP230" s="34"/>
      <c r="PTQ230" s="34"/>
      <c r="PTR230" s="35"/>
      <c r="PTS230" s="35"/>
      <c r="PTT230" s="32"/>
      <c r="PTU230" s="31"/>
      <c r="PTV230" s="31"/>
      <c r="PTW230" s="31"/>
      <c r="PTX230" s="32"/>
      <c r="PTY230" s="32"/>
      <c r="PTZ230" s="32"/>
      <c r="PUA230" s="32"/>
      <c r="PUB230" s="32"/>
      <c r="PUC230" s="31"/>
      <c r="PUD230" s="31"/>
      <c r="PUE230" s="33"/>
      <c r="PUF230" s="33"/>
      <c r="PUG230" s="34"/>
      <c r="PUH230" s="34"/>
      <c r="PUI230" s="35"/>
      <c r="PUJ230" s="35"/>
      <c r="PUK230" s="32"/>
      <c r="PUL230" s="31"/>
      <c r="PUM230" s="31"/>
      <c r="PUN230" s="31"/>
      <c r="PUO230" s="32"/>
      <c r="PUP230" s="32"/>
      <c r="PUQ230" s="32"/>
      <c r="PUR230" s="32"/>
      <c r="PUS230" s="32"/>
      <c r="PUT230" s="31"/>
      <c r="PUU230" s="31"/>
      <c r="PUV230" s="33"/>
      <c r="PUW230" s="33"/>
      <c r="PUX230" s="34"/>
      <c r="PUY230" s="34"/>
      <c r="PUZ230" s="35"/>
      <c r="PVA230" s="35"/>
      <c r="PVB230" s="32"/>
      <c r="PVC230" s="31"/>
      <c r="PVD230" s="31"/>
      <c r="PVE230" s="31"/>
      <c r="PVF230" s="32"/>
      <c r="PVG230" s="32"/>
      <c r="PVH230" s="32"/>
      <c r="PVI230" s="32"/>
      <c r="PVJ230" s="32"/>
      <c r="PVK230" s="31"/>
      <c r="PVL230" s="31"/>
      <c r="PVM230" s="33"/>
      <c r="PVN230" s="33"/>
      <c r="PVO230" s="34"/>
      <c r="PVP230" s="34"/>
      <c r="PVQ230" s="35"/>
      <c r="PVR230" s="35"/>
      <c r="PVS230" s="32"/>
      <c r="PVT230" s="31"/>
      <c r="PVU230" s="31"/>
      <c r="PVV230" s="31"/>
      <c r="PVW230" s="32"/>
      <c r="PVX230" s="32"/>
      <c r="PVY230" s="32"/>
      <c r="PVZ230" s="32"/>
      <c r="PWA230" s="32"/>
      <c r="PWB230" s="31"/>
      <c r="PWC230" s="31"/>
      <c r="PWD230" s="33"/>
      <c r="PWE230" s="33"/>
      <c r="PWF230" s="34"/>
      <c r="PWG230" s="34"/>
      <c r="PWH230" s="35"/>
      <c r="PWI230" s="35"/>
      <c r="PWJ230" s="32"/>
      <c r="PWK230" s="31"/>
      <c r="PWL230" s="31"/>
      <c r="PWM230" s="31"/>
      <c r="PWN230" s="32"/>
      <c r="PWO230" s="32"/>
      <c r="PWP230" s="32"/>
      <c r="PWQ230" s="32"/>
      <c r="PWR230" s="32"/>
      <c r="PWS230" s="31"/>
      <c r="PWT230" s="31"/>
      <c r="PWU230" s="33"/>
      <c r="PWV230" s="33"/>
      <c r="PWW230" s="34"/>
      <c r="PWX230" s="34"/>
      <c r="PWY230" s="35"/>
      <c r="PWZ230" s="35"/>
      <c r="PXA230" s="32"/>
      <c r="PXB230" s="31"/>
      <c r="PXC230" s="31"/>
      <c r="PXD230" s="31"/>
      <c r="PXE230" s="32"/>
      <c r="PXF230" s="32"/>
      <c r="PXG230" s="32"/>
      <c r="PXH230" s="32"/>
      <c r="PXI230" s="32"/>
      <c r="PXJ230" s="31"/>
      <c r="PXK230" s="31"/>
      <c r="PXL230" s="33"/>
      <c r="PXM230" s="33"/>
      <c r="PXN230" s="34"/>
      <c r="PXO230" s="34"/>
      <c r="PXP230" s="35"/>
      <c r="PXQ230" s="35"/>
      <c r="PXR230" s="32"/>
      <c r="PXS230" s="31"/>
      <c r="PXT230" s="31"/>
      <c r="PXU230" s="31"/>
      <c r="PXV230" s="32"/>
      <c r="PXW230" s="32"/>
      <c r="PXX230" s="32"/>
      <c r="PXY230" s="32"/>
      <c r="PXZ230" s="32"/>
      <c r="PYA230" s="31"/>
      <c r="PYB230" s="31"/>
      <c r="PYC230" s="33"/>
      <c r="PYD230" s="33"/>
      <c r="PYE230" s="34"/>
      <c r="PYF230" s="34"/>
      <c r="PYG230" s="35"/>
      <c r="PYH230" s="35"/>
      <c r="PYI230" s="32"/>
      <c r="PYJ230" s="31"/>
      <c r="PYK230" s="31"/>
      <c r="PYL230" s="31"/>
      <c r="PYM230" s="32"/>
      <c r="PYN230" s="32"/>
      <c r="PYO230" s="32"/>
      <c r="PYP230" s="32"/>
      <c r="PYQ230" s="32"/>
      <c r="PYR230" s="31"/>
      <c r="PYS230" s="31"/>
      <c r="PYT230" s="33"/>
      <c r="PYU230" s="33"/>
      <c r="PYV230" s="34"/>
      <c r="PYW230" s="34"/>
      <c r="PYX230" s="35"/>
      <c r="PYY230" s="35"/>
      <c r="PYZ230" s="32"/>
      <c r="PZA230" s="31"/>
      <c r="PZB230" s="31"/>
      <c r="PZC230" s="31"/>
      <c r="PZD230" s="32"/>
      <c r="PZE230" s="32"/>
      <c r="PZF230" s="32"/>
      <c r="PZG230" s="32"/>
      <c r="PZH230" s="32"/>
      <c r="PZI230" s="31"/>
      <c r="PZJ230" s="31"/>
      <c r="PZK230" s="33"/>
      <c r="PZL230" s="33"/>
      <c r="PZM230" s="34"/>
      <c r="PZN230" s="34"/>
      <c r="PZO230" s="35"/>
      <c r="PZP230" s="35"/>
      <c r="PZQ230" s="32"/>
      <c r="PZR230" s="31"/>
      <c r="PZS230" s="31"/>
      <c r="PZT230" s="31"/>
      <c r="PZU230" s="32"/>
      <c r="PZV230" s="32"/>
      <c r="PZW230" s="32"/>
      <c r="PZX230" s="32"/>
      <c r="PZY230" s="32"/>
      <c r="PZZ230" s="31"/>
      <c r="QAA230" s="31"/>
      <c r="QAB230" s="33"/>
      <c r="QAC230" s="33"/>
      <c r="QAD230" s="34"/>
      <c r="QAE230" s="34"/>
      <c r="QAF230" s="35"/>
      <c r="QAG230" s="35"/>
      <c r="QAH230" s="32"/>
      <c r="QAI230" s="31"/>
      <c r="QAJ230" s="31"/>
      <c r="QAK230" s="31"/>
      <c r="QAL230" s="32"/>
      <c r="QAM230" s="32"/>
      <c r="QAN230" s="32"/>
      <c r="QAO230" s="32"/>
      <c r="QAP230" s="32"/>
      <c r="QAQ230" s="31"/>
      <c r="QAR230" s="31"/>
      <c r="QAS230" s="33"/>
      <c r="QAT230" s="33"/>
      <c r="QAU230" s="34"/>
      <c r="QAV230" s="34"/>
      <c r="QAW230" s="35"/>
      <c r="QAX230" s="35"/>
      <c r="QAY230" s="32"/>
      <c r="QAZ230" s="31"/>
      <c r="QBA230" s="31"/>
      <c r="QBB230" s="31"/>
      <c r="QBC230" s="32"/>
      <c r="QBD230" s="32"/>
      <c r="QBE230" s="32"/>
      <c r="QBF230" s="32"/>
      <c r="QBG230" s="32"/>
      <c r="QBH230" s="31"/>
      <c r="QBI230" s="31"/>
      <c r="QBJ230" s="33"/>
      <c r="QBK230" s="33"/>
      <c r="QBL230" s="34"/>
      <c r="QBM230" s="34"/>
      <c r="QBN230" s="35"/>
      <c r="QBO230" s="35"/>
      <c r="QBP230" s="32"/>
      <c r="QBQ230" s="31"/>
      <c r="QBR230" s="31"/>
      <c r="QBS230" s="31"/>
      <c r="QBT230" s="32"/>
      <c r="QBU230" s="32"/>
      <c r="QBV230" s="32"/>
      <c r="QBW230" s="32"/>
      <c r="QBX230" s="32"/>
      <c r="QBY230" s="31"/>
      <c r="QBZ230" s="31"/>
      <c r="QCA230" s="33"/>
      <c r="QCB230" s="33"/>
      <c r="QCC230" s="34"/>
      <c r="QCD230" s="34"/>
      <c r="QCE230" s="35"/>
      <c r="QCF230" s="35"/>
      <c r="QCG230" s="32"/>
      <c r="QCH230" s="31"/>
      <c r="QCI230" s="31"/>
      <c r="QCJ230" s="31"/>
      <c r="QCK230" s="32"/>
      <c r="QCL230" s="32"/>
      <c r="QCM230" s="32"/>
      <c r="QCN230" s="32"/>
      <c r="QCO230" s="32"/>
      <c r="QCP230" s="31"/>
      <c r="QCQ230" s="31"/>
      <c r="QCR230" s="33"/>
      <c r="QCS230" s="33"/>
      <c r="QCT230" s="34"/>
      <c r="QCU230" s="34"/>
      <c r="QCV230" s="35"/>
      <c r="QCW230" s="35"/>
      <c r="QCX230" s="32"/>
      <c r="QCY230" s="31"/>
      <c r="QCZ230" s="31"/>
      <c r="QDA230" s="31"/>
      <c r="QDB230" s="32"/>
      <c r="QDC230" s="32"/>
      <c r="QDD230" s="32"/>
      <c r="QDE230" s="32"/>
      <c r="QDF230" s="32"/>
      <c r="QDG230" s="31"/>
      <c r="QDH230" s="31"/>
      <c r="QDI230" s="33"/>
      <c r="QDJ230" s="33"/>
      <c r="QDK230" s="34"/>
      <c r="QDL230" s="34"/>
      <c r="QDM230" s="35"/>
      <c r="QDN230" s="35"/>
      <c r="QDO230" s="32"/>
      <c r="QDP230" s="31"/>
      <c r="QDQ230" s="31"/>
      <c r="QDR230" s="31"/>
      <c r="QDS230" s="32"/>
      <c r="QDT230" s="32"/>
      <c r="QDU230" s="32"/>
      <c r="QDV230" s="32"/>
      <c r="QDW230" s="32"/>
      <c r="QDX230" s="31"/>
      <c r="QDY230" s="31"/>
      <c r="QDZ230" s="33"/>
      <c r="QEA230" s="33"/>
      <c r="QEB230" s="34"/>
      <c r="QEC230" s="34"/>
      <c r="QED230" s="35"/>
      <c r="QEE230" s="35"/>
      <c r="QEF230" s="32"/>
      <c r="QEG230" s="31"/>
      <c r="QEH230" s="31"/>
      <c r="QEI230" s="31"/>
      <c r="QEJ230" s="32"/>
      <c r="QEK230" s="32"/>
      <c r="QEL230" s="32"/>
      <c r="QEM230" s="32"/>
      <c r="QEN230" s="32"/>
      <c r="QEO230" s="31"/>
      <c r="QEP230" s="31"/>
      <c r="QEQ230" s="33"/>
      <c r="QER230" s="33"/>
      <c r="QES230" s="34"/>
      <c r="QET230" s="34"/>
      <c r="QEU230" s="35"/>
      <c r="QEV230" s="35"/>
      <c r="QEW230" s="32"/>
      <c r="QEX230" s="31"/>
      <c r="QEY230" s="31"/>
      <c r="QEZ230" s="31"/>
      <c r="QFA230" s="32"/>
      <c r="QFB230" s="32"/>
      <c r="QFC230" s="32"/>
      <c r="QFD230" s="32"/>
      <c r="QFE230" s="32"/>
      <c r="QFF230" s="31"/>
      <c r="QFG230" s="31"/>
      <c r="QFH230" s="33"/>
      <c r="QFI230" s="33"/>
      <c r="QFJ230" s="34"/>
      <c r="QFK230" s="34"/>
      <c r="QFL230" s="35"/>
      <c r="QFM230" s="35"/>
      <c r="QFN230" s="32"/>
      <c r="QFO230" s="31"/>
      <c r="QFP230" s="31"/>
      <c r="QFQ230" s="31"/>
      <c r="QFR230" s="32"/>
      <c r="QFS230" s="32"/>
      <c r="QFT230" s="32"/>
      <c r="QFU230" s="32"/>
      <c r="QFV230" s="32"/>
      <c r="QFW230" s="31"/>
      <c r="QFX230" s="31"/>
      <c r="QFY230" s="33"/>
      <c r="QFZ230" s="33"/>
      <c r="QGA230" s="34"/>
      <c r="QGB230" s="34"/>
      <c r="QGC230" s="35"/>
      <c r="QGD230" s="35"/>
      <c r="QGE230" s="32"/>
      <c r="QGF230" s="31"/>
      <c r="QGG230" s="31"/>
      <c r="QGH230" s="31"/>
      <c r="QGI230" s="32"/>
      <c r="QGJ230" s="32"/>
      <c r="QGK230" s="32"/>
      <c r="QGL230" s="32"/>
      <c r="QGM230" s="32"/>
      <c r="QGN230" s="31"/>
      <c r="QGO230" s="31"/>
      <c r="QGP230" s="33"/>
      <c r="QGQ230" s="33"/>
      <c r="QGR230" s="34"/>
      <c r="QGS230" s="34"/>
      <c r="QGT230" s="35"/>
      <c r="QGU230" s="35"/>
      <c r="QGV230" s="32"/>
      <c r="QGW230" s="31"/>
      <c r="QGX230" s="31"/>
      <c r="QGY230" s="31"/>
      <c r="QGZ230" s="32"/>
      <c r="QHA230" s="32"/>
      <c r="QHB230" s="32"/>
      <c r="QHC230" s="32"/>
      <c r="QHD230" s="32"/>
      <c r="QHE230" s="31"/>
      <c r="QHF230" s="31"/>
      <c r="QHG230" s="33"/>
      <c r="QHH230" s="33"/>
      <c r="QHI230" s="34"/>
      <c r="QHJ230" s="34"/>
      <c r="QHK230" s="35"/>
      <c r="QHL230" s="35"/>
      <c r="QHM230" s="32"/>
      <c r="QHN230" s="31"/>
      <c r="QHO230" s="31"/>
      <c r="QHP230" s="31"/>
      <c r="QHQ230" s="32"/>
      <c r="QHR230" s="32"/>
      <c r="QHS230" s="32"/>
      <c r="QHT230" s="32"/>
      <c r="QHU230" s="32"/>
      <c r="QHV230" s="31"/>
      <c r="QHW230" s="31"/>
      <c r="QHX230" s="33"/>
      <c r="QHY230" s="33"/>
      <c r="QHZ230" s="34"/>
      <c r="QIA230" s="34"/>
      <c r="QIB230" s="35"/>
      <c r="QIC230" s="35"/>
      <c r="QID230" s="32"/>
      <c r="QIE230" s="31"/>
      <c r="QIF230" s="31"/>
      <c r="QIG230" s="31"/>
      <c r="QIH230" s="32"/>
      <c r="QII230" s="32"/>
      <c r="QIJ230" s="32"/>
      <c r="QIK230" s="32"/>
      <c r="QIL230" s="32"/>
      <c r="QIM230" s="31"/>
      <c r="QIN230" s="31"/>
      <c r="QIO230" s="33"/>
      <c r="QIP230" s="33"/>
      <c r="QIQ230" s="34"/>
      <c r="QIR230" s="34"/>
      <c r="QIS230" s="35"/>
      <c r="QIT230" s="35"/>
      <c r="QIU230" s="32"/>
      <c r="QIV230" s="31"/>
      <c r="QIW230" s="31"/>
      <c r="QIX230" s="31"/>
      <c r="QIY230" s="32"/>
      <c r="QIZ230" s="32"/>
      <c r="QJA230" s="32"/>
      <c r="QJB230" s="32"/>
      <c r="QJC230" s="32"/>
      <c r="QJD230" s="31"/>
      <c r="QJE230" s="31"/>
      <c r="QJF230" s="33"/>
      <c r="QJG230" s="33"/>
      <c r="QJH230" s="34"/>
      <c r="QJI230" s="34"/>
      <c r="QJJ230" s="35"/>
      <c r="QJK230" s="35"/>
      <c r="QJL230" s="32"/>
      <c r="QJM230" s="31"/>
      <c r="QJN230" s="31"/>
      <c r="QJO230" s="31"/>
      <c r="QJP230" s="32"/>
      <c r="QJQ230" s="32"/>
      <c r="QJR230" s="32"/>
      <c r="QJS230" s="32"/>
      <c r="QJT230" s="32"/>
      <c r="QJU230" s="31"/>
      <c r="QJV230" s="31"/>
      <c r="QJW230" s="33"/>
      <c r="QJX230" s="33"/>
      <c r="QJY230" s="34"/>
      <c r="QJZ230" s="34"/>
      <c r="QKA230" s="35"/>
      <c r="QKB230" s="35"/>
      <c r="QKC230" s="32"/>
      <c r="QKD230" s="31"/>
      <c r="QKE230" s="31"/>
      <c r="QKF230" s="31"/>
      <c r="QKG230" s="32"/>
      <c r="QKH230" s="32"/>
      <c r="QKI230" s="32"/>
      <c r="QKJ230" s="32"/>
      <c r="QKK230" s="32"/>
      <c r="QKL230" s="31"/>
      <c r="QKM230" s="31"/>
      <c r="QKN230" s="33"/>
      <c r="QKO230" s="33"/>
      <c r="QKP230" s="34"/>
      <c r="QKQ230" s="34"/>
      <c r="QKR230" s="35"/>
      <c r="QKS230" s="35"/>
      <c r="QKT230" s="32"/>
      <c r="QKU230" s="31"/>
      <c r="QKV230" s="31"/>
      <c r="QKW230" s="31"/>
      <c r="QKX230" s="32"/>
      <c r="QKY230" s="32"/>
      <c r="QKZ230" s="32"/>
      <c r="QLA230" s="32"/>
      <c r="QLB230" s="32"/>
      <c r="QLC230" s="31"/>
      <c r="QLD230" s="31"/>
      <c r="QLE230" s="33"/>
      <c r="QLF230" s="33"/>
      <c r="QLG230" s="34"/>
      <c r="QLH230" s="34"/>
      <c r="QLI230" s="35"/>
      <c r="QLJ230" s="35"/>
      <c r="QLK230" s="32"/>
      <c r="QLL230" s="31"/>
      <c r="QLM230" s="31"/>
      <c r="QLN230" s="31"/>
      <c r="QLO230" s="32"/>
      <c r="QLP230" s="32"/>
      <c r="QLQ230" s="32"/>
      <c r="QLR230" s="32"/>
      <c r="QLS230" s="32"/>
      <c r="QLT230" s="31"/>
      <c r="QLU230" s="31"/>
      <c r="QLV230" s="33"/>
      <c r="QLW230" s="33"/>
      <c r="QLX230" s="34"/>
      <c r="QLY230" s="34"/>
      <c r="QLZ230" s="35"/>
      <c r="QMA230" s="35"/>
      <c r="QMB230" s="32"/>
      <c r="QMC230" s="31"/>
      <c r="QMD230" s="31"/>
      <c r="QME230" s="31"/>
      <c r="QMF230" s="32"/>
      <c r="QMG230" s="32"/>
      <c r="QMH230" s="32"/>
      <c r="QMI230" s="32"/>
      <c r="QMJ230" s="32"/>
      <c r="QMK230" s="31"/>
      <c r="QML230" s="31"/>
      <c r="QMM230" s="33"/>
      <c r="QMN230" s="33"/>
      <c r="QMO230" s="34"/>
      <c r="QMP230" s="34"/>
      <c r="QMQ230" s="35"/>
      <c r="QMR230" s="35"/>
      <c r="QMS230" s="32"/>
      <c r="QMT230" s="31"/>
      <c r="QMU230" s="31"/>
      <c r="QMV230" s="31"/>
      <c r="QMW230" s="32"/>
      <c r="QMX230" s="32"/>
      <c r="QMY230" s="32"/>
      <c r="QMZ230" s="32"/>
      <c r="QNA230" s="32"/>
      <c r="QNB230" s="31"/>
      <c r="QNC230" s="31"/>
      <c r="QND230" s="33"/>
      <c r="QNE230" s="33"/>
      <c r="QNF230" s="34"/>
      <c r="QNG230" s="34"/>
      <c r="QNH230" s="35"/>
      <c r="QNI230" s="35"/>
      <c r="QNJ230" s="32"/>
      <c r="QNK230" s="31"/>
      <c r="QNL230" s="31"/>
      <c r="QNM230" s="31"/>
      <c r="QNN230" s="32"/>
      <c r="QNO230" s="32"/>
      <c r="QNP230" s="32"/>
      <c r="QNQ230" s="32"/>
      <c r="QNR230" s="32"/>
      <c r="QNS230" s="31"/>
      <c r="QNT230" s="31"/>
      <c r="QNU230" s="33"/>
      <c r="QNV230" s="33"/>
      <c r="QNW230" s="34"/>
      <c r="QNX230" s="34"/>
      <c r="QNY230" s="35"/>
      <c r="QNZ230" s="35"/>
      <c r="QOA230" s="32"/>
      <c r="QOB230" s="31"/>
      <c r="QOC230" s="31"/>
      <c r="QOD230" s="31"/>
      <c r="QOE230" s="32"/>
      <c r="QOF230" s="32"/>
      <c r="QOG230" s="32"/>
      <c r="QOH230" s="32"/>
      <c r="QOI230" s="32"/>
      <c r="QOJ230" s="31"/>
      <c r="QOK230" s="31"/>
      <c r="QOL230" s="33"/>
      <c r="QOM230" s="33"/>
      <c r="QON230" s="34"/>
      <c r="QOO230" s="34"/>
      <c r="QOP230" s="35"/>
      <c r="QOQ230" s="35"/>
      <c r="QOR230" s="32"/>
      <c r="QOS230" s="31"/>
      <c r="QOT230" s="31"/>
      <c r="QOU230" s="31"/>
      <c r="QOV230" s="32"/>
      <c r="QOW230" s="32"/>
      <c r="QOX230" s="32"/>
      <c r="QOY230" s="32"/>
      <c r="QOZ230" s="32"/>
      <c r="QPA230" s="31"/>
      <c r="QPB230" s="31"/>
      <c r="QPC230" s="33"/>
      <c r="QPD230" s="33"/>
      <c r="QPE230" s="34"/>
      <c r="QPF230" s="34"/>
      <c r="QPG230" s="35"/>
      <c r="QPH230" s="35"/>
      <c r="QPI230" s="32"/>
      <c r="QPJ230" s="31"/>
      <c r="QPK230" s="31"/>
      <c r="QPL230" s="31"/>
      <c r="QPM230" s="32"/>
      <c r="QPN230" s="32"/>
      <c r="QPO230" s="32"/>
      <c r="QPP230" s="32"/>
      <c r="QPQ230" s="32"/>
      <c r="QPR230" s="31"/>
      <c r="QPS230" s="31"/>
      <c r="QPT230" s="33"/>
      <c r="QPU230" s="33"/>
      <c r="QPV230" s="34"/>
      <c r="QPW230" s="34"/>
      <c r="QPX230" s="35"/>
      <c r="QPY230" s="35"/>
      <c r="QPZ230" s="32"/>
      <c r="QQA230" s="31"/>
      <c r="QQB230" s="31"/>
      <c r="QQC230" s="31"/>
      <c r="QQD230" s="32"/>
      <c r="QQE230" s="32"/>
      <c r="QQF230" s="32"/>
      <c r="QQG230" s="32"/>
      <c r="QQH230" s="32"/>
      <c r="QQI230" s="31"/>
      <c r="QQJ230" s="31"/>
      <c r="QQK230" s="33"/>
      <c r="QQL230" s="33"/>
      <c r="QQM230" s="34"/>
      <c r="QQN230" s="34"/>
      <c r="QQO230" s="35"/>
      <c r="QQP230" s="35"/>
      <c r="QQQ230" s="32"/>
      <c r="QQR230" s="31"/>
      <c r="QQS230" s="31"/>
      <c r="QQT230" s="31"/>
      <c r="QQU230" s="32"/>
      <c r="QQV230" s="32"/>
      <c r="QQW230" s="32"/>
      <c r="QQX230" s="32"/>
      <c r="QQY230" s="32"/>
      <c r="QQZ230" s="31"/>
      <c r="QRA230" s="31"/>
      <c r="QRB230" s="33"/>
      <c r="QRC230" s="33"/>
      <c r="QRD230" s="34"/>
      <c r="QRE230" s="34"/>
      <c r="QRF230" s="35"/>
      <c r="QRG230" s="35"/>
      <c r="QRH230" s="32"/>
      <c r="QRI230" s="31"/>
      <c r="QRJ230" s="31"/>
      <c r="QRK230" s="31"/>
      <c r="QRL230" s="32"/>
      <c r="QRM230" s="32"/>
      <c r="QRN230" s="32"/>
      <c r="QRO230" s="32"/>
      <c r="QRP230" s="32"/>
      <c r="QRQ230" s="31"/>
      <c r="QRR230" s="31"/>
      <c r="QRS230" s="33"/>
      <c r="QRT230" s="33"/>
      <c r="QRU230" s="34"/>
      <c r="QRV230" s="34"/>
      <c r="QRW230" s="35"/>
      <c r="QRX230" s="35"/>
      <c r="QRY230" s="32"/>
      <c r="QRZ230" s="31"/>
      <c r="QSA230" s="31"/>
      <c r="QSB230" s="31"/>
      <c r="QSC230" s="32"/>
      <c r="QSD230" s="32"/>
      <c r="QSE230" s="32"/>
      <c r="QSF230" s="32"/>
      <c r="QSG230" s="32"/>
      <c r="QSH230" s="31"/>
      <c r="QSI230" s="31"/>
      <c r="QSJ230" s="33"/>
      <c r="QSK230" s="33"/>
      <c r="QSL230" s="34"/>
      <c r="QSM230" s="34"/>
      <c r="QSN230" s="35"/>
      <c r="QSO230" s="35"/>
      <c r="QSP230" s="32"/>
      <c r="QSQ230" s="31"/>
      <c r="QSR230" s="31"/>
      <c r="QSS230" s="31"/>
      <c r="QST230" s="32"/>
      <c r="QSU230" s="32"/>
      <c r="QSV230" s="32"/>
      <c r="QSW230" s="32"/>
      <c r="QSX230" s="32"/>
      <c r="QSY230" s="31"/>
      <c r="QSZ230" s="31"/>
      <c r="QTA230" s="33"/>
      <c r="QTB230" s="33"/>
      <c r="QTC230" s="34"/>
      <c r="QTD230" s="34"/>
      <c r="QTE230" s="35"/>
      <c r="QTF230" s="35"/>
      <c r="QTG230" s="32"/>
      <c r="QTH230" s="31"/>
      <c r="QTI230" s="31"/>
      <c r="QTJ230" s="31"/>
      <c r="QTK230" s="32"/>
      <c r="QTL230" s="32"/>
      <c r="QTM230" s="32"/>
      <c r="QTN230" s="32"/>
      <c r="QTO230" s="32"/>
      <c r="QTP230" s="31"/>
      <c r="QTQ230" s="31"/>
      <c r="QTR230" s="33"/>
      <c r="QTS230" s="33"/>
      <c r="QTT230" s="34"/>
      <c r="QTU230" s="34"/>
      <c r="QTV230" s="35"/>
      <c r="QTW230" s="35"/>
      <c r="QTX230" s="32"/>
      <c r="QTY230" s="31"/>
      <c r="QTZ230" s="31"/>
      <c r="QUA230" s="31"/>
      <c r="QUB230" s="32"/>
      <c r="QUC230" s="32"/>
      <c r="QUD230" s="32"/>
      <c r="QUE230" s="32"/>
      <c r="QUF230" s="32"/>
      <c r="QUG230" s="31"/>
      <c r="QUH230" s="31"/>
      <c r="QUI230" s="33"/>
      <c r="QUJ230" s="33"/>
      <c r="QUK230" s="34"/>
      <c r="QUL230" s="34"/>
      <c r="QUM230" s="35"/>
      <c r="QUN230" s="35"/>
      <c r="QUO230" s="32"/>
      <c r="QUP230" s="31"/>
      <c r="QUQ230" s="31"/>
      <c r="QUR230" s="31"/>
      <c r="QUS230" s="32"/>
      <c r="QUT230" s="32"/>
      <c r="QUU230" s="32"/>
      <c r="QUV230" s="32"/>
      <c r="QUW230" s="32"/>
      <c r="QUX230" s="31"/>
      <c r="QUY230" s="31"/>
      <c r="QUZ230" s="33"/>
      <c r="QVA230" s="33"/>
      <c r="QVB230" s="34"/>
      <c r="QVC230" s="34"/>
      <c r="QVD230" s="35"/>
      <c r="QVE230" s="35"/>
      <c r="QVF230" s="32"/>
      <c r="QVG230" s="31"/>
      <c r="QVH230" s="31"/>
      <c r="QVI230" s="31"/>
      <c r="QVJ230" s="32"/>
      <c r="QVK230" s="32"/>
      <c r="QVL230" s="32"/>
      <c r="QVM230" s="32"/>
      <c r="QVN230" s="32"/>
      <c r="QVO230" s="31"/>
      <c r="QVP230" s="31"/>
      <c r="QVQ230" s="33"/>
      <c r="QVR230" s="33"/>
      <c r="QVS230" s="34"/>
      <c r="QVT230" s="34"/>
      <c r="QVU230" s="35"/>
      <c r="QVV230" s="35"/>
      <c r="QVW230" s="32"/>
      <c r="QVX230" s="31"/>
      <c r="QVY230" s="31"/>
      <c r="QVZ230" s="31"/>
      <c r="QWA230" s="32"/>
      <c r="QWB230" s="32"/>
      <c r="QWC230" s="32"/>
      <c r="QWD230" s="32"/>
      <c r="QWE230" s="32"/>
      <c r="QWF230" s="31"/>
      <c r="QWG230" s="31"/>
      <c r="QWH230" s="33"/>
      <c r="QWI230" s="33"/>
      <c r="QWJ230" s="34"/>
      <c r="QWK230" s="34"/>
      <c r="QWL230" s="35"/>
      <c r="QWM230" s="35"/>
      <c r="QWN230" s="32"/>
      <c r="QWO230" s="31"/>
      <c r="QWP230" s="31"/>
      <c r="QWQ230" s="31"/>
      <c r="QWR230" s="32"/>
      <c r="QWS230" s="32"/>
      <c r="QWT230" s="32"/>
      <c r="QWU230" s="32"/>
      <c r="QWV230" s="32"/>
      <c r="QWW230" s="31"/>
      <c r="QWX230" s="31"/>
      <c r="QWY230" s="33"/>
      <c r="QWZ230" s="33"/>
      <c r="QXA230" s="34"/>
      <c r="QXB230" s="34"/>
      <c r="QXC230" s="35"/>
      <c r="QXD230" s="35"/>
      <c r="QXE230" s="32"/>
      <c r="QXF230" s="31"/>
      <c r="QXG230" s="31"/>
      <c r="QXH230" s="31"/>
      <c r="QXI230" s="32"/>
      <c r="QXJ230" s="32"/>
      <c r="QXK230" s="32"/>
      <c r="QXL230" s="32"/>
      <c r="QXM230" s="32"/>
      <c r="QXN230" s="31"/>
      <c r="QXO230" s="31"/>
      <c r="QXP230" s="33"/>
      <c r="QXQ230" s="33"/>
      <c r="QXR230" s="34"/>
      <c r="QXS230" s="34"/>
      <c r="QXT230" s="35"/>
      <c r="QXU230" s="35"/>
      <c r="QXV230" s="32"/>
      <c r="QXW230" s="31"/>
      <c r="QXX230" s="31"/>
      <c r="QXY230" s="31"/>
      <c r="QXZ230" s="32"/>
      <c r="QYA230" s="32"/>
      <c r="QYB230" s="32"/>
      <c r="QYC230" s="32"/>
      <c r="QYD230" s="32"/>
      <c r="QYE230" s="31"/>
      <c r="QYF230" s="31"/>
      <c r="QYG230" s="33"/>
      <c r="QYH230" s="33"/>
      <c r="QYI230" s="34"/>
      <c r="QYJ230" s="34"/>
      <c r="QYK230" s="35"/>
      <c r="QYL230" s="35"/>
      <c r="QYM230" s="32"/>
      <c r="QYN230" s="31"/>
      <c r="QYO230" s="31"/>
      <c r="QYP230" s="31"/>
      <c r="QYQ230" s="32"/>
      <c r="QYR230" s="32"/>
      <c r="QYS230" s="32"/>
      <c r="QYT230" s="32"/>
      <c r="QYU230" s="32"/>
      <c r="QYV230" s="31"/>
      <c r="QYW230" s="31"/>
      <c r="QYX230" s="33"/>
      <c r="QYY230" s="33"/>
      <c r="QYZ230" s="34"/>
      <c r="QZA230" s="34"/>
      <c r="QZB230" s="35"/>
      <c r="QZC230" s="35"/>
      <c r="QZD230" s="32"/>
      <c r="QZE230" s="31"/>
      <c r="QZF230" s="31"/>
      <c r="QZG230" s="31"/>
      <c r="QZH230" s="32"/>
      <c r="QZI230" s="32"/>
      <c r="QZJ230" s="32"/>
      <c r="QZK230" s="32"/>
      <c r="QZL230" s="32"/>
      <c r="QZM230" s="31"/>
      <c r="QZN230" s="31"/>
      <c r="QZO230" s="33"/>
      <c r="QZP230" s="33"/>
      <c r="QZQ230" s="34"/>
      <c r="QZR230" s="34"/>
      <c r="QZS230" s="35"/>
      <c r="QZT230" s="35"/>
      <c r="QZU230" s="32"/>
      <c r="QZV230" s="31"/>
      <c r="QZW230" s="31"/>
      <c r="QZX230" s="31"/>
      <c r="QZY230" s="32"/>
      <c r="QZZ230" s="32"/>
      <c r="RAA230" s="32"/>
      <c r="RAB230" s="32"/>
      <c r="RAC230" s="32"/>
      <c r="RAD230" s="31"/>
      <c r="RAE230" s="31"/>
      <c r="RAF230" s="33"/>
      <c r="RAG230" s="33"/>
      <c r="RAH230" s="34"/>
      <c r="RAI230" s="34"/>
      <c r="RAJ230" s="35"/>
      <c r="RAK230" s="35"/>
      <c r="RAL230" s="32"/>
      <c r="RAM230" s="31"/>
      <c r="RAN230" s="31"/>
      <c r="RAO230" s="31"/>
      <c r="RAP230" s="32"/>
      <c r="RAQ230" s="32"/>
      <c r="RAR230" s="32"/>
      <c r="RAS230" s="32"/>
      <c r="RAT230" s="32"/>
      <c r="RAU230" s="31"/>
      <c r="RAV230" s="31"/>
      <c r="RAW230" s="33"/>
      <c r="RAX230" s="33"/>
      <c r="RAY230" s="34"/>
      <c r="RAZ230" s="34"/>
      <c r="RBA230" s="35"/>
      <c r="RBB230" s="35"/>
      <c r="RBC230" s="32"/>
      <c r="RBD230" s="31"/>
      <c r="RBE230" s="31"/>
      <c r="RBF230" s="31"/>
      <c r="RBG230" s="32"/>
      <c r="RBH230" s="32"/>
      <c r="RBI230" s="32"/>
      <c r="RBJ230" s="32"/>
      <c r="RBK230" s="32"/>
      <c r="RBL230" s="31"/>
      <c r="RBM230" s="31"/>
      <c r="RBN230" s="33"/>
      <c r="RBO230" s="33"/>
      <c r="RBP230" s="34"/>
      <c r="RBQ230" s="34"/>
      <c r="RBR230" s="35"/>
      <c r="RBS230" s="35"/>
      <c r="RBT230" s="32"/>
      <c r="RBU230" s="31"/>
      <c r="RBV230" s="31"/>
      <c r="RBW230" s="31"/>
      <c r="RBX230" s="32"/>
      <c r="RBY230" s="32"/>
      <c r="RBZ230" s="32"/>
      <c r="RCA230" s="32"/>
      <c r="RCB230" s="32"/>
      <c r="RCC230" s="31"/>
      <c r="RCD230" s="31"/>
      <c r="RCE230" s="33"/>
      <c r="RCF230" s="33"/>
      <c r="RCG230" s="34"/>
      <c r="RCH230" s="34"/>
      <c r="RCI230" s="35"/>
      <c r="RCJ230" s="35"/>
      <c r="RCK230" s="32"/>
      <c r="RCL230" s="31"/>
      <c r="RCM230" s="31"/>
      <c r="RCN230" s="31"/>
      <c r="RCO230" s="32"/>
      <c r="RCP230" s="32"/>
      <c r="RCQ230" s="32"/>
      <c r="RCR230" s="32"/>
      <c r="RCS230" s="32"/>
      <c r="RCT230" s="31"/>
      <c r="RCU230" s="31"/>
      <c r="RCV230" s="33"/>
      <c r="RCW230" s="33"/>
      <c r="RCX230" s="34"/>
      <c r="RCY230" s="34"/>
      <c r="RCZ230" s="35"/>
      <c r="RDA230" s="35"/>
      <c r="RDB230" s="32"/>
      <c r="RDC230" s="31"/>
      <c r="RDD230" s="31"/>
      <c r="RDE230" s="31"/>
      <c r="RDF230" s="32"/>
      <c r="RDG230" s="32"/>
      <c r="RDH230" s="32"/>
      <c r="RDI230" s="32"/>
      <c r="RDJ230" s="32"/>
      <c r="RDK230" s="31"/>
      <c r="RDL230" s="31"/>
      <c r="RDM230" s="33"/>
      <c r="RDN230" s="33"/>
      <c r="RDO230" s="34"/>
      <c r="RDP230" s="34"/>
      <c r="RDQ230" s="35"/>
      <c r="RDR230" s="35"/>
      <c r="RDS230" s="32"/>
      <c r="RDT230" s="31"/>
      <c r="RDU230" s="31"/>
      <c r="RDV230" s="31"/>
      <c r="RDW230" s="32"/>
      <c r="RDX230" s="32"/>
      <c r="RDY230" s="32"/>
      <c r="RDZ230" s="32"/>
      <c r="REA230" s="32"/>
      <c r="REB230" s="31"/>
      <c r="REC230" s="31"/>
      <c r="RED230" s="33"/>
      <c r="REE230" s="33"/>
      <c r="REF230" s="34"/>
      <c r="REG230" s="34"/>
      <c r="REH230" s="35"/>
      <c r="REI230" s="35"/>
      <c r="REJ230" s="32"/>
      <c r="REK230" s="31"/>
      <c r="REL230" s="31"/>
      <c r="REM230" s="31"/>
      <c r="REN230" s="32"/>
      <c r="REO230" s="32"/>
      <c r="REP230" s="32"/>
      <c r="REQ230" s="32"/>
      <c r="RER230" s="32"/>
      <c r="RES230" s="31"/>
      <c r="RET230" s="31"/>
      <c r="REU230" s="33"/>
      <c r="REV230" s="33"/>
      <c r="REW230" s="34"/>
      <c r="REX230" s="34"/>
      <c r="REY230" s="35"/>
      <c r="REZ230" s="35"/>
      <c r="RFA230" s="32"/>
      <c r="RFB230" s="31"/>
      <c r="RFC230" s="31"/>
      <c r="RFD230" s="31"/>
      <c r="RFE230" s="32"/>
      <c r="RFF230" s="32"/>
      <c r="RFG230" s="32"/>
      <c r="RFH230" s="32"/>
      <c r="RFI230" s="32"/>
      <c r="RFJ230" s="31"/>
      <c r="RFK230" s="31"/>
      <c r="RFL230" s="33"/>
      <c r="RFM230" s="33"/>
      <c r="RFN230" s="34"/>
      <c r="RFO230" s="34"/>
      <c r="RFP230" s="35"/>
      <c r="RFQ230" s="35"/>
      <c r="RFR230" s="32"/>
      <c r="RFS230" s="31"/>
      <c r="RFT230" s="31"/>
      <c r="RFU230" s="31"/>
      <c r="RFV230" s="32"/>
      <c r="RFW230" s="32"/>
      <c r="RFX230" s="32"/>
      <c r="RFY230" s="32"/>
      <c r="RFZ230" s="32"/>
      <c r="RGA230" s="31"/>
      <c r="RGB230" s="31"/>
      <c r="RGC230" s="33"/>
      <c r="RGD230" s="33"/>
      <c r="RGE230" s="34"/>
      <c r="RGF230" s="34"/>
      <c r="RGG230" s="35"/>
      <c r="RGH230" s="35"/>
      <c r="RGI230" s="32"/>
      <c r="RGJ230" s="31"/>
      <c r="RGK230" s="31"/>
      <c r="RGL230" s="31"/>
      <c r="RGM230" s="32"/>
      <c r="RGN230" s="32"/>
      <c r="RGO230" s="32"/>
      <c r="RGP230" s="32"/>
      <c r="RGQ230" s="32"/>
      <c r="RGR230" s="31"/>
      <c r="RGS230" s="31"/>
      <c r="RGT230" s="33"/>
      <c r="RGU230" s="33"/>
      <c r="RGV230" s="34"/>
      <c r="RGW230" s="34"/>
      <c r="RGX230" s="35"/>
      <c r="RGY230" s="35"/>
      <c r="RGZ230" s="32"/>
      <c r="RHA230" s="31"/>
      <c r="RHB230" s="31"/>
      <c r="RHC230" s="31"/>
      <c r="RHD230" s="32"/>
      <c r="RHE230" s="32"/>
      <c r="RHF230" s="32"/>
      <c r="RHG230" s="32"/>
      <c r="RHH230" s="32"/>
      <c r="RHI230" s="31"/>
      <c r="RHJ230" s="31"/>
      <c r="RHK230" s="33"/>
      <c r="RHL230" s="33"/>
      <c r="RHM230" s="34"/>
      <c r="RHN230" s="34"/>
      <c r="RHO230" s="35"/>
      <c r="RHP230" s="35"/>
      <c r="RHQ230" s="32"/>
      <c r="RHR230" s="31"/>
      <c r="RHS230" s="31"/>
      <c r="RHT230" s="31"/>
      <c r="RHU230" s="32"/>
      <c r="RHV230" s="32"/>
      <c r="RHW230" s="32"/>
      <c r="RHX230" s="32"/>
      <c r="RHY230" s="32"/>
      <c r="RHZ230" s="31"/>
      <c r="RIA230" s="31"/>
      <c r="RIB230" s="33"/>
      <c r="RIC230" s="33"/>
      <c r="RID230" s="34"/>
      <c r="RIE230" s="34"/>
      <c r="RIF230" s="35"/>
      <c r="RIG230" s="35"/>
      <c r="RIH230" s="32"/>
      <c r="RII230" s="31"/>
      <c r="RIJ230" s="31"/>
      <c r="RIK230" s="31"/>
      <c r="RIL230" s="32"/>
      <c r="RIM230" s="32"/>
      <c r="RIN230" s="32"/>
      <c r="RIO230" s="32"/>
      <c r="RIP230" s="32"/>
      <c r="RIQ230" s="31"/>
      <c r="RIR230" s="31"/>
      <c r="RIS230" s="33"/>
      <c r="RIT230" s="33"/>
      <c r="RIU230" s="34"/>
      <c r="RIV230" s="34"/>
      <c r="RIW230" s="35"/>
      <c r="RIX230" s="35"/>
      <c r="RIY230" s="32"/>
      <c r="RIZ230" s="31"/>
      <c r="RJA230" s="31"/>
      <c r="RJB230" s="31"/>
      <c r="RJC230" s="32"/>
      <c r="RJD230" s="32"/>
      <c r="RJE230" s="32"/>
      <c r="RJF230" s="32"/>
      <c r="RJG230" s="32"/>
      <c r="RJH230" s="31"/>
      <c r="RJI230" s="31"/>
      <c r="RJJ230" s="33"/>
      <c r="RJK230" s="33"/>
      <c r="RJL230" s="34"/>
      <c r="RJM230" s="34"/>
      <c r="RJN230" s="35"/>
      <c r="RJO230" s="35"/>
      <c r="RJP230" s="32"/>
      <c r="RJQ230" s="31"/>
      <c r="RJR230" s="31"/>
      <c r="RJS230" s="31"/>
      <c r="RJT230" s="32"/>
      <c r="RJU230" s="32"/>
      <c r="RJV230" s="32"/>
      <c r="RJW230" s="32"/>
      <c r="RJX230" s="32"/>
      <c r="RJY230" s="31"/>
      <c r="RJZ230" s="31"/>
      <c r="RKA230" s="33"/>
      <c r="RKB230" s="33"/>
      <c r="RKC230" s="34"/>
      <c r="RKD230" s="34"/>
      <c r="RKE230" s="35"/>
      <c r="RKF230" s="35"/>
      <c r="RKG230" s="32"/>
      <c r="RKH230" s="31"/>
      <c r="RKI230" s="31"/>
      <c r="RKJ230" s="31"/>
      <c r="RKK230" s="32"/>
      <c r="RKL230" s="32"/>
      <c r="RKM230" s="32"/>
      <c r="RKN230" s="32"/>
      <c r="RKO230" s="32"/>
      <c r="RKP230" s="31"/>
      <c r="RKQ230" s="31"/>
      <c r="RKR230" s="33"/>
      <c r="RKS230" s="33"/>
      <c r="RKT230" s="34"/>
      <c r="RKU230" s="34"/>
      <c r="RKV230" s="35"/>
      <c r="RKW230" s="35"/>
      <c r="RKX230" s="32"/>
      <c r="RKY230" s="31"/>
      <c r="RKZ230" s="31"/>
      <c r="RLA230" s="31"/>
      <c r="RLB230" s="32"/>
      <c r="RLC230" s="32"/>
      <c r="RLD230" s="32"/>
      <c r="RLE230" s="32"/>
      <c r="RLF230" s="32"/>
      <c r="RLG230" s="31"/>
      <c r="RLH230" s="31"/>
      <c r="RLI230" s="33"/>
      <c r="RLJ230" s="33"/>
      <c r="RLK230" s="34"/>
      <c r="RLL230" s="34"/>
      <c r="RLM230" s="35"/>
      <c r="RLN230" s="35"/>
      <c r="RLO230" s="32"/>
      <c r="RLP230" s="31"/>
      <c r="RLQ230" s="31"/>
      <c r="RLR230" s="31"/>
      <c r="RLS230" s="32"/>
      <c r="RLT230" s="32"/>
      <c r="RLU230" s="32"/>
      <c r="RLV230" s="32"/>
      <c r="RLW230" s="32"/>
      <c r="RLX230" s="31"/>
      <c r="RLY230" s="31"/>
      <c r="RLZ230" s="33"/>
      <c r="RMA230" s="33"/>
      <c r="RMB230" s="34"/>
      <c r="RMC230" s="34"/>
      <c r="RMD230" s="35"/>
      <c r="RME230" s="35"/>
      <c r="RMF230" s="32"/>
      <c r="RMG230" s="31"/>
      <c r="RMH230" s="31"/>
      <c r="RMI230" s="31"/>
      <c r="RMJ230" s="32"/>
      <c r="RMK230" s="32"/>
      <c r="RML230" s="32"/>
      <c r="RMM230" s="32"/>
      <c r="RMN230" s="32"/>
      <c r="RMO230" s="31"/>
      <c r="RMP230" s="31"/>
      <c r="RMQ230" s="33"/>
      <c r="RMR230" s="33"/>
      <c r="RMS230" s="34"/>
      <c r="RMT230" s="34"/>
      <c r="RMU230" s="35"/>
      <c r="RMV230" s="35"/>
      <c r="RMW230" s="32"/>
      <c r="RMX230" s="31"/>
      <c r="RMY230" s="31"/>
      <c r="RMZ230" s="31"/>
      <c r="RNA230" s="32"/>
      <c r="RNB230" s="32"/>
      <c r="RNC230" s="32"/>
      <c r="RND230" s="32"/>
      <c r="RNE230" s="32"/>
      <c r="RNF230" s="31"/>
      <c r="RNG230" s="31"/>
      <c r="RNH230" s="33"/>
      <c r="RNI230" s="33"/>
      <c r="RNJ230" s="34"/>
      <c r="RNK230" s="34"/>
      <c r="RNL230" s="35"/>
      <c r="RNM230" s="35"/>
      <c r="RNN230" s="32"/>
      <c r="RNO230" s="31"/>
      <c r="RNP230" s="31"/>
      <c r="RNQ230" s="31"/>
      <c r="RNR230" s="32"/>
      <c r="RNS230" s="32"/>
      <c r="RNT230" s="32"/>
      <c r="RNU230" s="32"/>
      <c r="RNV230" s="32"/>
      <c r="RNW230" s="31"/>
      <c r="RNX230" s="31"/>
      <c r="RNY230" s="33"/>
      <c r="RNZ230" s="33"/>
      <c r="ROA230" s="34"/>
      <c r="ROB230" s="34"/>
      <c r="ROC230" s="35"/>
      <c r="ROD230" s="35"/>
      <c r="ROE230" s="32"/>
      <c r="ROF230" s="31"/>
      <c r="ROG230" s="31"/>
      <c r="ROH230" s="31"/>
      <c r="ROI230" s="32"/>
      <c r="ROJ230" s="32"/>
      <c r="ROK230" s="32"/>
      <c r="ROL230" s="32"/>
      <c r="ROM230" s="32"/>
      <c r="RON230" s="31"/>
      <c r="ROO230" s="31"/>
      <c r="ROP230" s="33"/>
      <c r="ROQ230" s="33"/>
      <c r="ROR230" s="34"/>
      <c r="ROS230" s="34"/>
      <c r="ROT230" s="35"/>
      <c r="ROU230" s="35"/>
      <c r="ROV230" s="32"/>
      <c r="ROW230" s="31"/>
      <c r="ROX230" s="31"/>
      <c r="ROY230" s="31"/>
      <c r="ROZ230" s="32"/>
      <c r="RPA230" s="32"/>
      <c r="RPB230" s="32"/>
      <c r="RPC230" s="32"/>
      <c r="RPD230" s="32"/>
      <c r="RPE230" s="31"/>
      <c r="RPF230" s="31"/>
      <c r="RPG230" s="33"/>
      <c r="RPH230" s="33"/>
      <c r="RPI230" s="34"/>
      <c r="RPJ230" s="34"/>
      <c r="RPK230" s="35"/>
      <c r="RPL230" s="35"/>
      <c r="RPM230" s="32"/>
      <c r="RPN230" s="31"/>
      <c r="RPO230" s="31"/>
      <c r="RPP230" s="31"/>
      <c r="RPQ230" s="32"/>
      <c r="RPR230" s="32"/>
      <c r="RPS230" s="32"/>
      <c r="RPT230" s="32"/>
      <c r="RPU230" s="32"/>
      <c r="RPV230" s="31"/>
      <c r="RPW230" s="31"/>
      <c r="RPX230" s="33"/>
      <c r="RPY230" s="33"/>
      <c r="RPZ230" s="34"/>
      <c r="RQA230" s="34"/>
      <c r="RQB230" s="35"/>
      <c r="RQC230" s="35"/>
      <c r="RQD230" s="32"/>
      <c r="RQE230" s="31"/>
      <c r="RQF230" s="31"/>
      <c r="RQG230" s="31"/>
      <c r="RQH230" s="32"/>
      <c r="RQI230" s="32"/>
      <c r="RQJ230" s="32"/>
      <c r="RQK230" s="32"/>
      <c r="RQL230" s="32"/>
      <c r="RQM230" s="31"/>
      <c r="RQN230" s="31"/>
      <c r="RQO230" s="33"/>
      <c r="RQP230" s="33"/>
      <c r="RQQ230" s="34"/>
      <c r="RQR230" s="34"/>
      <c r="RQS230" s="35"/>
      <c r="RQT230" s="35"/>
      <c r="RQU230" s="32"/>
      <c r="RQV230" s="31"/>
      <c r="RQW230" s="31"/>
      <c r="RQX230" s="31"/>
      <c r="RQY230" s="32"/>
      <c r="RQZ230" s="32"/>
      <c r="RRA230" s="32"/>
      <c r="RRB230" s="32"/>
      <c r="RRC230" s="32"/>
      <c r="RRD230" s="31"/>
      <c r="RRE230" s="31"/>
      <c r="RRF230" s="33"/>
      <c r="RRG230" s="33"/>
      <c r="RRH230" s="34"/>
      <c r="RRI230" s="34"/>
      <c r="RRJ230" s="35"/>
      <c r="RRK230" s="35"/>
      <c r="RRL230" s="32"/>
      <c r="RRM230" s="31"/>
      <c r="RRN230" s="31"/>
      <c r="RRO230" s="31"/>
      <c r="RRP230" s="32"/>
      <c r="RRQ230" s="32"/>
      <c r="RRR230" s="32"/>
      <c r="RRS230" s="32"/>
      <c r="RRT230" s="32"/>
      <c r="RRU230" s="31"/>
      <c r="RRV230" s="31"/>
      <c r="RRW230" s="33"/>
      <c r="RRX230" s="33"/>
      <c r="RRY230" s="34"/>
      <c r="RRZ230" s="34"/>
      <c r="RSA230" s="35"/>
      <c r="RSB230" s="35"/>
      <c r="RSC230" s="32"/>
      <c r="RSD230" s="31"/>
      <c r="RSE230" s="31"/>
      <c r="RSF230" s="31"/>
      <c r="RSG230" s="32"/>
      <c r="RSH230" s="32"/>
      <c r="RSI230" s="32"/>
      <c r="RSJ230" s="32"/>
      <c r="RSK230" s="32"/>
      <c r="RSL230" s="31"/>
      <c r="RSM230" s="31"/>
      <c r="RSN230" s="33"/>
      <c r="RSO230" s="33"/>
      <c r="RSP230" s="34"/>
      <c r="RSQ230" s="34"/>
      <c r="RSR230" s="35"/>
      <c r="RSS230" s="35"/>
      <c r="RST230" s="32"/>
      <c r="RSU230" s="31"/>
      <c r="RSV230" s="31"/>
      <c r="RSW230" s="31"/>
      <c r="RSX230" s="32"/>
      <c r="RSY230" s="32"/>
      <c r="RSZ230" s="32"/>
      <c r="RTA230" s="32"/>
      <c r="RTB230" s="32"/>
      <c r="RTC230" s="31"/>
      <c r="RTD230" s="31"/>
      <c r="RTE230" s="33"/>
      <c r="RTF230" s="33"/>
      <c r="RTG230" s="34"/>
      <c r="RTH230" s="34"/>
      <c r="RTI230" s="35"/>
      <c r="RTJ230" s="35"/>
      <c r="RTK230" s="32"/>
      <c r="RTL230" s="31"/>
      <c r="RTM230" s="31"/>
      <c r="RTN230" s="31"/>
      <c r="RTO230" s="32"/>
      <c r="RTP230" s="32"/>
      <c r="RTQ230" s="32"/>
      <c r="RTR230" s="32"/>
      <c r="RTS230" s="32"/>
      <c r="RTT230" s="31"/>
      <c r="RTU230" s="31"/>
      <c r="RTV230" s="33"/>
      <c r="RTW230" s="33"/>
      <c r="RTX230" s="34"/>
      <c r="RTY230" s="34"/>
      <c r="RTZ230" s="35"/>
      <c r="RUA230" s="35"/>
      <c r="RUB230" s="32"/>
      <c r="RUC230" s="31"/>
      <c r="RUD230" s="31"/>
      <c r="RUE230" s="31"/>
      <c r="RUF230" s="32"/>
      <c r="RUG230" s="32"/>
      <c r="RUH230" s="32"/>
      <c r="RUI230" s="32"/>
      <c r="RUJ230" s="32"/>
      <c r="RUK230" s="31"/>
      <c r="RUL230" s="31"/>
      <c r="RUM230" s="33"/>
      <c r="RUN230" s="33"/>
      <c r="RUO230" s="34"/>
      <c r="RUP230" s="34"/>
      <c r="RUQ230" s="35"/>
      <c r="RUR230" s="35"/>
      <c r="RUS230" s="32"/>
      <c r="RUT230" s="31"/>
      <c r="RUU230" s="31"/>
      <c r="RUV230" s="31"/>
      <c r="RUW230" s="32"/>
      <c r="RUX230" s="32"/>
      <c r="RUY230" s="32"/>
      <c r="RUZ230" s="32"/>
      <c r="RVA230" s="32"/>
      <c r="RVB230" s="31"/>
      <c r="RVC230" s="31"/>
      <c r="RVD230" s="33"/>
      <c r="RVE230" s="33"/>
      <c r="RVF230" s="34"/>
      <c r="RVG230" s="34"/>
      <c r="RVH230" s="35"/>
      <c r="RVI230" s="35"/>
      <c r="RVJ230" s="32"/>
      <c r="RVK230" s="31"/>
      <c r="RVL230" s="31"/>
      <c r="RVM230" s="31"/>
      <c r="RVN230" s="32"/>
      <c r="RVO230" s="32"/>
      <c r="RVP230" s="32"/>
      <c r="RVQ230" s="32"/>
      <c r="RVR230" s="32"/>
      <c r="RVS230" s="31"/>
      <c r="RVT230" s="31"/>
      <c r="RVU230" s="33"/>
      <c r="RVV230" s="33"/>
      <c r="RVW230" s="34"/>
      <c r="RVX230" s="34"/>
      <c r="RVY230" s="35"/>
      <c r="RVZ230" s="35"/>
      <c r="RWA230" s="32"/>
      <c r="RWB230" s="31"/>
      <c r="RWC230" s="31"/>
      <c r="RWD230" s="31"/>
      <c r="RWE230" s="32"/>
      <c r="RWF230" s="32"/>
      <c r="RWG230" s="32"/>
      <c r="RWH230" s="32"/>
      <c r="RWI230" s="32"/>
      <c r="RWJ230" s="31"/>
      <c r="RWK230" s="31"/>
      <c r="RWL230" s="33"/>
      <c r="RWM230" s="33"/>
      <c r="RWN230" s="34"/>
      <c r="RWO230" s="34"/>
      <c r="RWP230" s="35"/>
      <c r="RWQ230" s="35"/>
      <c r="RWR230" s="32"/>
      <c r="RWS230" s="31"/>
      <c r="RWT230" s="31"/>
      <c r="RWU230" s="31"/>
      <c r="RWV230" s="32"/>
      <c r="RWW230" s="32"/>
      <c r="RWX230" s="32"/>
      <c r="RWY230" s="32"/>
      <c r="RWZ230" s="32"/>
      <c r="RXA230" s="31"/>
      <c r="RXB230" s="31"/>
      <c r="RXC230" s="33"/>
      <c r="RXD230" s="33"/>
      <c r="RXE230" s="34"/>
      <c r="RXF230" s="34"/>
      <c r="RXG230" s="35"/>
      <c r="RXH230" s="35"/>
      <c r="RXI230" s="32"/>
      <c r="RXJ230" s="31"/>
      <c r="RXK230" s="31"/>
      <c r="RXL230" s="31"/>
      <c r="RXM230" s="32"/>
      <c r="RXN230" s="32"/>
      <c r="RXO230" s="32"/>
      <c r="RXP230" s="32"/>
      <c r="RXQ230" s="32"/>
      <c r="RXR230" s="31"/>
      <c r="RXS230" s="31"/>
      <c r="RXT230" s="33"/>
      <c r="RXU230" s="33"/>
      <c r="RXV230" s="34"/>
      <c r="RXW230" s="34"/>
      <c r="RXX230" s="35"/>
      <c r="RXY230" s="35"/>
      <c r="RXZ230" s="32"/>
      <c r="RYA230" s="31"/>
      <c r="RYB230" s="31"/>
      <c r="RYC230" s="31"/>
      <c r="RYD230" s="32"/>
      <c r="RYE230" s="32"/>
      <c r="RYF230" s="32"/>
      <c r="RYG230" s="32"/>
      <c r="RYH230" s="32"/>
      <c r="RYI230" s="31"/>
      <c r="RYJ230" s="31"/>
      <c r="RYK230" s="33"/>
      <c r="RYL230" s="33"/>
      <c r="RYM230" s="34"/>
      <c r="RYN230" s="34"/>
      <c r="RYO230" s="35"/>
      <c r="RYP230" s="35"/>
      <c r="RYQ230" s="32"/>
      <c r="RYR230" s="31"/>
      <c r="RYS230" s="31"/>
      <c r="RYT230" s="31"/>
      <c r="RYU230" s="32"/>
      <c r="RYV230" s="32"/>
      <c r="RYW230" s="32"/>
      <c r="RYX230" s="32"/>
      <c r="RYY230" s="32"/>
      <c r="RYZ230" s="31"/>
      <c r="RZA230" s="31"/>
      <c r="RZB230" s="33"/>
      <c r="RZC230" s="33"/>
      <c r="RZD230" s="34"/>
      <c r="RZE230" s="34"/>
      <c r="RZF230" s="35"/>
      <c r="RZG230" s="35"/>
      <c r="RZH230" s="32"/>
      <c r="RZI230" s="31"/>
      <c r="RZJ230" s="31"/>
      <c r="RZK230" s="31"/>
      <c r="RZL230" s="32"/>
      <c r="RZM230" s="32"/>
      <c r="RZN230" s="32"/>
      <c r="RZO230" s="32"/>
      <c r="RZP230" s="32"/>
      <c r="RZQ230" s="31"/>
      <c r="RZR230" s="31"/>
      <c r="RZS230" s="33"/>
      <c r="RZT230" s="33"/>
      <c r="RZU230" s="34"/>
      <c r="RZV230" s="34"/>
      <c r="RZW230" s="35"/>
      <c r="RZX230" s="35"/>
      <c r="RZY230" s="32"/>
      <c r="RZZ230" s="31"/>
      <c r="SAA230" s="31"/>
      <c r="SAB230" s="31"/>
      <c r="SAC230" s="32"/>
      <c r="SAD230" s="32"/>
      <c r="SAE230" s="32"/>
      <c r="SAF230" s="32"/>
      <c r="SAG230" s="32"/>
      <c r="SAH230" s="31"/>
      <c r="SAI230" s="31"/>
      <c r="SAJ230" s="33"/>
      <c r="SAK230" s="33"/>
      <c r="SAL230" s="34"/>
      <c r="SAM230" s="34"/>
      <c r="SAN230" s="35"/>
      <c r="SAO230" s="35"/>
      <c r="SAP230" s="32"/>
      <c r="SAQ230" s="31"/>
      <c r="SAR230" s="31"/>
      <c r="SAS230" s="31"/>
      <c r="SAT230" s="32"/>
      <c r="SAU230" s="32"/>
      <c r="SAV230" s="32"/>
      <c r="SAW230" s="32"/>
      <c r="SAX230" s="32"/>
      <c r="SAY230" s="31"/>
      <c r="SAZ230" s="31"/>
      <c r="SBA230" s="33"/>
      <c r="SBB230" s="33"/>
      <c r="SBC230" s="34"/>
      <c r="SBD230" s="34"/>
      <c r="SBE230" s="35"/>
      <c r="SBF230" s="35"/>
      <c r="SBG230" s="32"/>
      <c r="SBH230" s="31"/>
      <c r="SBI230" s="31"/>
      <c r="SBJ230" s="31"/>
      <c r="SBK230" s="32"/>
      <c r="SBL230" s="32"/>
      <c r="SBM230" s="32"/>
      <c r="SBN230" s="32"/>
      <c r="SBO230" s="32"/>
      <c r="SBP230" s="31"/>
      <c r="SBQ230" s="31"/>
      <c r="SBR230" s="33"/>
      <c r="SBS230" s="33"/>
      <c r="SBT230" s="34"/>
      <c r="SBU230" s="34"/>
      <c r="SBV230" s="35"/>
      <c r="SBW230" s="35"/>
      <c r="SBX230" s="32"/>
      <c r="SBY230" s="31"/>
      <c r="SBZ230" s="31"/>
      <c r="SCA230" s="31"/>
      <c r="SCB230" s="32"/>
      <c r="SCC230" s="32"/>
      <c r="SCD230" s="32"/>
      <c r="SCE230" s="32"/>
      <c r="SCF230" s="32"/>
      <c r="SCG230" s="31"/>
      <c r="SCH230" s="31"/>
      <c r="SCI230" s="33"/>
      <c r="SCJ230" s="33"/>
      <c r="SCK230" s="34"/>
      <c r="SCL230" s="34"/>
      <c r="SCM230" s="35"/>
      <c r="SCN230" s="35"/>
      <c r="SCO230" s="32"/>
      <c r="SCP230" s="31"/>
      <c r="SCQ230" s="31"/>
      <c r="SCR230" s="31"/>
      <c r="SCS230" s="32"/>
      <c r="SCT230" s="32"/>
      <c r="SCU230" s="32"/>
      <c r="SCV230" s="32"/>
      <c r="SCW230" s="32"/>
      <c r="SCX230" s="31"/>
      <c r="SCY230" s="31"/>
      <c r="SCZ230" s="33"/>
      <c r="SDA230" s="33"/>
      <c r="SDB230" s="34"/>
      <c r="SDC230" s="34"/>
      <c r="SDD230" s="35"/>
      <c r="SDE230" s="35"/>
      <c r="SDF230" s="32"/>
      <c r="SDG230" s="31"/>
      <c r="SDH230" s="31"/>
      <c r="SDI230" s="31"/>
      <c r="SDJ230" s="32"/>
      <c r="SDK230" s="32"/>
      <c r="SDL230" s="32"/>
      <c r="SDM230" s="32"/>
      <c r="SDN230" s="32"/>
      <c r="SDO230" s="31"/>
      <c r="SDP230" s="31"/>
      <c r="SDQ230" s="33"/>
      <c r="SDR230" s="33"/>
      <c r="SDS230" s="34"/>
      <c r="SDT230" s="34"/>
      <c r="SDU230" s="35"/>
      <c r="SDV230" s="35"/>
      <c r="SDW230" s="32"/>
      <c r="SDX230" s="31"/>
      <c r="SDY230" s="31"/>
      <c r="SDZ230" s="31"/>
      <c r="SEA230" s="32"/>
      <c r="SEB230" s="32"/>
      <c r="SEC230" s="32"/>
      <c r="SED230" s="32"/>
      <c r="SEE230" s="32"/>
      <c r="SEF230" s="31"/>
      <c r="SEG230" s="31"/>
      <c r="SEH230" s="33"/>
      <c r="SEI230" s="33"/>
      <c r="SEJ230" s="34"/>
      <c r="SEK230" s="34"/>
      <c r="SEL230" s="35"/>
      <c r="SEM230" s="35"/>
      <c r="SEN230" s="32"/>
      <c r="SEO230" s="31"/>
      <c r="SEP230" s="31"/>
      <c r="SEQ230" s="31"/>
      <c r="SER230" s="32"/>
      <c r="SES230" s="32"/>
      <c r="SET230" s="32"/>
      <c r="SEU230" s="32"/>
      <c r="SEV230" s="32"/>
      <c r="SEW230" s="31"/>
      <c r="SEX230" s="31"/>
      <c r="SEY230" s="33"/>
      <c r="SEZ230" s="33"/>
      <c r="SFA230" s="34"/>
      <c r="SFB230" s="34"/>
      <c r="SFC230" s="35"/>
      <c r="SFD230" s="35"/>
      <c r="SFE230" s="32"/>
      <c r="SFF230" s="31"/>
      <c r="SFG230" s="31"/>
      <c r="SFH230" s="31"/>
      <c r="SFI230" s="32"/>
      <c r="SFJ230" s="32"/>
      <c r="SFK230" s="32"/>
      <c r="SFL230" s="32"/>
      <c r="SFM230" s="32"/>
      <c r="SFN230" s="31"/>
      <c r="SFO230" s="31"/>
      <c r="SFP230" s="33"/>
      <c r="SFQ230" s="33"/>
      <c r="SFR230" s="34"/>
      <c r="SFS230" s="34"/>
      <c r="SFT230" s="35"/>
      <c r="SFU230" s="35"/>
      <c r="SFV230" s="32"/>
      <c r="SFW230" s="31"/>
      <c r="SFX230" s="31"/>
      <c r="SFY230" s="31"/>
      <c r="SFZ230" s="32"/>
      <c r="SGA230" s="32"/>
      <c r="SGB230" s="32"/>
      <c r="SGC230" s="32"/>
      <c r="SGD230" s="32"/>
      <c r="SGE230" s="31"/>
      <c r="SGF230" s="31"/>
      <c r="SGG230" s="33"/>
      <c r="SGH230" s="33"/>
      <c r="SGI230" s="34"/>
      <c r="SGJ230" s="34"/>
      <c r="SGK230" s="35"/>
      <c r="SGL230" s="35"/>
      <c r="SGM230" s="32"/>
      <c r="SGN230" s="31"/>
      <c r="SGO230" s="31"/>
      <c r="SGP230" s="31"/>
      <c r="SGQ230" s="32"/>
      <c r="SGR230" s="32"/>
      <c r="SGS230" s="32"/>
      <c r="SGT230" s="32"/>
      <c r="SGU230" s="32"/>
      <c r="SGV230" s="31"/>
      <c r="SGW230" s="31"/>
      <c r="SGX230" s="33"/>
      <c r="SGY230" s="33"/>
      <c r="SGZ230" s="34"/>
      <c r="SHA230" s="34"/>
      <c r="SHB230" s="35"/>
      <c r="SHC230" s="35"/>
      <c r="SHD230" s="32"/>
      <c r="SHE230" s="31"/>
      <c r="SHF230" s="31"/>
      <c r="SHG230" s="31"/>
      <c r="SHH230" s="32"/>
      <c r="SHI230" s="32"/>
      <c r="SHJ230" s="32"/>
      <c r="SHK230" s="32"/>
      <c r="SHL230" s="32"/>
      <c r="SHM230" s="31"/>
      <c r="SHN230" s="31"/>
      <c r="SHO230" s="33"/>
      <c r="SHP230" s="33"/>
      <c r="SHQ230" s="34"/>
      <c r="SHR230" s="34"/>
      <c r="SHS230" s="35"/>
      <c r="SHT230" s="35"/>
      <c r="SHU230" s="32"/>
      <c r="SHV230" s="31"/>
      <c r="SHW230" s="31"/>
      <c r="SHX230" s="31"/>
      <c r="SHY230" s="32"/>
      <c r="SHZ230" s="32"/>
      <c r="SIA230" s="32"/>
      <c r="SIB230" s="32"/>
      <c r="SIC230" s="32"/>
      <c r="SID230" s="31"/>
      <c r="SIE230" s="31"/>
      <c r="SIF230" s="33"/>
      <c r="SIG230" s="33"/>
      <c r="SIH230" s="34"/>
      <c r="SII230" s="34"/>
      <c r="SIJ230" s="35"/>
      <c r="SIK230" s="35"/>
      <c r="SIL230" s="32"/>
      <c r="SIM230" s="31"/>
      <c r="SIN230" s="31"/>
      <c r="SIO230" s="31"/>
      <c r="SIP230" s="32"/>
      <c r="SIQ230" s="32"/>
      <c r="SIR230" s="32"/>
      <c r="SIS230" s="32"/>
      <c r="SIT230" s="32"/>
      <c r="SIU230" s="31"/>
      <c r="SIV230" s="31"/>
      <c r="SIW230" s="33"/>
      <c r="SIX230" s="33"/>
      <c r="SIY230" s="34"/>
      <c r="SIZ230" s="34"/>
      <c r="SJA230" s="35"/>
      <c r="SJB230" s="35"/>
      <c r="SJC230" s="32"/>
      <c r="SJD230" s="31"/>
      <c r="SJE230" s="31"/>
      <c r="SJF230" s="31"/>
      <c r="SJG230" s="32"/>
      <c r="SJH230" s="32"/>
      <c r="SJI230" s="32"/>
      <c r="SJJ230" s="32"/>
      <c r="SJK230" s="32"/>
      <c r="SJL230" s="31"/>
      <c r="SJM230" s="31"/>
      <c r="SJN230" s="33"/>
      <c r="SJO230" s="33"/>
      <c r="SJP230" s="34"/>
      <c r="SJQ230" s="34"/>
      <c r="SJR230" s="35"/>
      <c r="SJS230" s="35"/>
      <c r="SJT230" s="32"/>
      <c r="SJU230" s="31"/>
      <c r="SJV230" s="31"/>
      <c r="SJW230" s="31"/>
      <c r="SJX230" s="32"/>
      <c r="SJY230" s="32"/>
      <c r="SJZ230" s="32"/>
      <c r="SKA230" s="32"/>
      <c r="SKB230" s="32"/>
      <c r="SKC230" s="31"/>
      <c r="SKD230" s="31"/>
      <c r="SKE230" s="33"/>
      <c r="SKF230" s="33"/>
      <c r="SKG230" s="34"/>
      <c r="SKH230" s="34"/>
      <c r="SKI230" s="35"/>
      <c r="SKJ230" s="35"/>
      <c r="SKK230" s="32"/>
      <c r="SKL230" s="31"/>
      <c r="SKM230" s="31"/>
      <c r="SKN230" s="31"/>
      <c r="SKO230" s="32"/>
      <c r="SKP230" s="32"/>
      <c r="SKQ230" s="32"/>
      <c r="SKR230" s="32"/>
      <c r="SKS230" s="32"/>
      <c r="SKT230" s="31"/>
      <c r="SKU230" s="31"/>
      <c r="SKV230" s="33"/>
      <c r="SKW230" s="33"/>
      <c r="SKX230" s="34"/>
      <c r="SKY230" s="34"/>
      <c r="SKZ230" s="35"/>
      <c r="SLA230" s="35"/>
      <c r="SLB230" s="32"/>
      <c r="SLC230" s="31"/>
      <c r="SLD230" s="31"/>
      <c r="SLE230" s="31"/>
      <c r="SLF230" s="32"/>
      <c r="SLG230" s="32"/>
      <c r="SLH230" s="32"/>
      <c r="SLI230" s="32"/>
      <c r="SLJ230" s="32"/>
      <c r="SLK230" s="31"/>
      <c r="SLL230" s="31"/>
      <c r="SLM230" s="33"/>
      <c r="SLN230" s="33"/>
      <c r="SLO230" s="34"/>
      <c r="SLP230" s="34"/>
      <c r="SLQ230" s="35"/>
      <c r="SLR230" s="35"/>
      <c r="SLS230" s="32"/>
      <c r="SLT230" s="31"/>
      <c r="SLU230" s="31"/>
      <c r="SLV230" s="31"/>
      <c r="SLW230" s="32"/>
      <c r="SLX230" s="32"/>
      <c r="SLY230" s="32"/>
      <c r="SLZ230" s="32"/>
      <c r="SMA230" s="32"/>
      <c r="SMB230" s="31"/>
      <c r="SMC230" s="31"/>
      <c r="SMD230" s="33"/>
      <c r="SME230" s="33"/>
      <c r="SMF230" s="34"/>
      <c r="SMG230" s="34"/>
      <c r="SMH230" s="35"/>
      <c r="SMI230" s="35"/>
      <c r="SMJ230" s="32"/>
      <c r="SMK230" s="31"/>
      <c r="SML230" s="31"/>
      <c r="SMM230" s="31"/>
      <c r="SMN230" s="32"/>
      <c r="SMO230" s="32"/>
      <c r="SMP230" s="32"/>
      <c r="SMQ230" s="32"/>
      <c r="SMR230" s="32"/>
      <c r="SMS230" s="31"/>
      <c r="SMT230" s="31"/>
      <c r="SMU230" s="33"/>
      <c r="SMV230" s="33"/>
      <c r="SMW230" s="34"/>
      <c r="SMX230" s="34"/>
      <c r="SMY230" s="35"/>
      <c r="SMZ230" s="35"/>
      <c r="SNA230" s="32"/>
      <c r="SNB230" s="31"/>
      <c r="SNC230" s="31"/>
      <c r="SND230" s="31"/>
      <c r="SNE230" s="32"/>
      <c r="SNF230" s="32"/>
      <c r="SNG230" s="32"/>
      <c r="SNH230" s="32"/>
      <c r="SNI230" s="32"/>
      <c r="SNJ230" s="31"/>
      <c r="SNK230" s="31"/>
      <c r="SNL230" s="33"/>
      <c r="SNM230" s="33"/>
      <c r="SNN230" s="34"/>
      <c r="SNO230" s="34"/>
      <c r="SNP230" s="35"/>
      <c r="SNQ230" s="35"/>
      <c r="SNR230" s="32"/>
      <c r="SNS230" s="31"/>
      <c r="SNT230" s="31"/>
      <c r="SNU230" s="31"/>
      <c r="SNV230" s="32"/>
      <c r="SNW230" s="32"/>
      <c r="SNX230" s="32"/>
      <c r="SNY230" s="32"/>
      <c r="SNZ230" s="32"/>
      <c r="SOA230" s="31"/>
      <c r="SOB230" s="31"/>
      <c r="SOC230" s="33"/>
      <c r="SOD230" s="33"/>
      <c r="SOE230" s="34"/>
      <c r="SOF230" s="34"/>
      <c r="SOG230" s="35"/>
      <c r="SOH230" s="35"/>
      <c r="SOI230" s="32"/>
      <c r="SOJ230" s="31"/>
      <c r="SOK230" s="31"/>
      <c r="SOL230" s="31"/>
      <c r="SOM230" s="32"/>
      <c r="SON230" s="32"/>
      <c r="SOO230" s="32"/>
      <c r="SOP230" s="32"/>
      <c r="SOQ230" s="32"/>
      <c r="SOR230" s="31"/>
      <c r="SOS230" s="31"/>
      <c r="SOT230" s="33"/>
      <c r="SOU230" s="33"/>
      <c r="SOV230" s="34"/>
      <c r="SOW230" s="34"/>
      <c r="SOX230" s="35"/>
      <c r="SOY230" s="35"/>
      <c r="SOZ230" s="32"/>
      <c r="SPA230" s="31"/>
      <c r="SPB230" s="31"/>
      <c r="SPC230" s="31"/>
      <c r="SPD230" s="32"/>
      <c r="SPE230" s="32"/>
      <c r="SPF230" s="32"/>
      <c r="SPG230" s="32"/>
      <c r="SPH230" s="32"/>
      <c r="SPI230" s="31"/>
      <c r="SPJ230" s="31"/>
      <c r="SPK230" s="33"/>
      <c r="SPL230" s="33"/>
      <c r="SPM230" s="34"/>
      <c r="SPN230" s="34"/>
      <c r="SPO230" s="35"/>
      <c r="SPP230" s="35"/>
      <c r="SPQ230" s="32"/>
      <c r="SPR230" s="31"/>
      <c r="SPS230" s="31"/>
      <c r="SPT230" s="31"/>
      <c r="SPU230" s="32"/>
      <c r="SPV230" s="32"/>
      <c r="SPW230" s="32"/>
      <c r="SPX230" s="32"/>
      <c r="SPY230" s="32"/>
      <c r="SPZ230" s="31"/>
      <c r="SQA230" s="31"/>
      <c r="SQB230" s="33"/>
      <c r="SQC230" s="33"/>
      <c r="SQD230" s="34"/>
      <c r="SQE230" s="34"/>
      <c r="SQF230" s="35"/>
      <c r="SQG230" s="35"/>
      <c r="SQH230" s="32"/>
      <c r="SQI230" s="31"/>
      <c r="SQJ230" s="31"/>
      <c r="SQK230" s="31"/>
      <c r="SQL230" s="32"/>
      <c r="SQM230" s="32"/>
      <c r="SQN230" s="32"/>
      <c r="SQO230" s="32"/>
      <c r="SQP230" s="32"/>
      <c r="SQQ230" s="31"/>
      <c r="SQR230" s="31"/>
      <c r="SQS230" s="33"/>
      <c r="SQT230" s="33"/>
      <c r="SQU230" s="34"/>
      <c r="SQV230" s="34"/>
      <c r="SQW230" s="35"/>
      <c r="SQX230" s="35"/>
      <c r="SQY230" s="32"/>
      <c r="SQZ230" s="31"/>
      <c r="SRA230" s="31"/>
      <c r="SRB230" s="31"/>
      <c r="SRC230" s="32"/>
      <c r="SRD230" s="32"/>
      <c r="SRE230" s="32"/>
      <c r="SRF230" s="32"/>
      <c r="SRG230" s="32"/>
      <c r="SRH230" s="31"/>
      <c r="SRI230" s="31"/>
      <c r="SRJ230" s="33"/>
      <c r="SRK230" s="33"/>
      <c r="SRL230" s="34"/>
      <c r="SRM230" s="34"/>
      <c r="SRN230" s="35"/>
      <c r="SRO230" s="35"/>
      <c r="SRP230" s="32"/>
      <c r="SRQ230" s="31"/>
      <c r="SRR230" s="31"/>
      <c r="SRS230" s="31"/>
      <c r="SRT230" s="32"/>
      <c r="SRU230" s="32"/>
      <c r="SRV230" s="32"/>
      <c r="SRW230" s="32"/>
      <c r="SRX230" s="32"/>
      <c r="SRY230" s="31"/>
      <c r="SRZ230" s="31"/>
      <c r="SSA230" s="33"/>
      <c r="SSB230" s="33"/>
      <c r="SSC230" s="34"/>
      <c r="SSD230" s="34"/>
      <c r="SSE230" s="35"/>
      <c r="SSF230" s="35"/>
      <c r="SSG230" s="32"/>
      <c r="SSH230" s="31"/>
      <c r="SSI230" s="31"/>
      <c r="SSJ230" s="31"/>
      <c r="SSK230" s="32"/>
      <c r="SSL230" s="32"/>
      <c r="SSM230" s="32"/>
      <c r="SSN230" s="32"/>
      <c r="SSO230" s="32"/>
      <c r="SSP230" s="31"/>
      <c r="SSQ230" s="31"/>
      <c r="SSR230" s="33"/>
      <c r="SSS230" s="33"/>
      <c r="SST230" s="34"/>
      <c r="SSU230" s="34"/>
      <c r="SSV230" s="35"/>
      <c r="SSW230" s="35"/>
      <c r="SSX230" s="32"/>
      <c r="SSY230" s="31"/>
      <c r="SSZ230" s="31"/>
      <c r="STA230" s="31"/>
      <c r="STB230" s="32"/>
      <c r="STC230" s="32"/>
      <c r="STD230" s="32"/>
      <c r="STE230" s="32"/>
      <c r="STF230" s="32"/>
      <c r="STG230" s="31"/>
      <c r="STH230" s="31"/>
      <c r="STI230" s="33"/>
      <c r="STJ230" s="33"/>
      <c r="STK230" s="34"/>
      <c r="STL230" s="34"/>
      <c r="STM230" s="35"/>
      <c r="STN230" s="35"/>
      <c r="STO230" s="32"/>
      <c r="STP230" s="31"/>
      <c r="STQ230" s="31"/>
      <c r="STR230" s="31"/>
      <c r="STS230" s="32"/>
      <c r="STT230" s="32"/>
      <c r="STU230" s="32"/>
      <c r="STV230" s="32"/>
      <c r="STW230" s="32"/>
      <c r="STX230" s="31"/>
      <c r="STY230" s="31"/>
      <c r="STZ230" s="33"/>
      <c r="SUA230" s="33"/>
      <c r="SUB230" s="34"/>
      <c r="SUC230" s="34"/>
      <c r="SUD230" s="35"/>
      <c r="SUE230" s="35"/>
      <c r="SUF230" s="32"/>
      <c r="SUG230" s="31"/>
      <c r="SUH230" s="31"/>
      <c r="SUI230" s="31"/>
      <c r="SUJ230" s="32"/>
      <c r="SUK230" s="32"/>
      <c r="SUL230" s="32"/>
      <c r="SUM230" s="32"/>
      <c r="SUN230" s="32"/>
      <c r="SUO230" s="31"/>
      <c r="SUP230" s="31"/>
      <c r="SUQ230" s="33"/>
      <c r="SUR230" s="33"/>
      <c r="SUS230" s="34"/>
      <c r="SUT230" s="34"/>
      <c r="SUU230" s="35"/>
      <c r="SUV230" s="35"/>
      <c r="SUW230" s="32"/>
      <c r="SUX230" s="31"/>
      <c r="SUY230" s="31"/>
      <c r="SUZ230" s="31"/>
      <c r="SVA230" s="32"/>
      <c r="SVB230" s="32"/>
      <c r="SVC230" s="32"/>
      <c r="SVD230" s="32"/>
      <c r="SVE230" s="32"/>
      <c r="SVF230" s="31"/>
      <c r="SVG230" s="31"/>
      <c r="SVH230" s="33"/>
      <c r="SVI230" s="33"/>
      <c r="SVJ230" s="34"/>
      <c r="SVK230" s="34"/>
      <c r="SVL230" s="35"/>
      <c r="SVM230" s="35"/>
      <c r="SVN230" s="32"/>
      <c r="SVO230" s="31"/>
      <c r="SVP230" s="31"/>
      <c r="SVQ230" s="31"/>
      <c r="SVR230" s="32"/>
      <c r="SVS230" s="32"/>
      <c r="SVT230" s="32"/>
      <c r="SVU230" s="32"/>
      <c r="SVV230" s="32"/>
      <c r="SVW230" s="31"/>
      <c r="SVX230" s="31"/>
      <c r="SVY230" s="33"/>
      <c r="SVZ230" s="33"/>
      <c r="SWA230" s="34"/>
      <c r="SWB230" s="34"/>
      <c r="SWC230" s="35"/>
      <c r="SWD230" s="35"/>
      <c r="SWE230" s="32"/>
      <c r="SWF230" s="31"/>
      <c r="SWG230" s="31"/>
      <c r="SWH230" s="31"/>
      <c r="SWI230" s="32"/>
      <c r="SWJ230" s="32"/>
      <c r="SWK230" s="32"/>
      <c r="SWL230" s="32"/>
      <c r="SWM230" s="32"/>
      <c r="SWN230" s="31"/>
      <c r="SWO230" s="31"/>
      <c r="SWP230" s="33"/>
      <c r="SWQ230" s="33"/>
      <c r="SWR230" s="34"/>
      <c r="SWS230" s="34"/>
      <c r="SWT230" s="35"/>
      <c r="SWU230" s="35"/>
      <c r="SWV230" s="32"/>
      <c r="SWW230" s="31"/>
      <c r="SWX230" s="31"/>
      <c r="SWY230" s="31"/>
      <c r="SWZ230" s="32"/>
      <c r="SXA230" s="32"/>
      <c r="SXB230" s="32"/>
      <c r="SXC230" s="32"/>
      <c r="SXD230" s="32"/>
      <c r="SXE230" s="31"/>
      <c r="SXF230" s="31"/>
      <c r="SXG230" s="33"/>
      <c r="SXH230" s="33"/>
      <c r="SXI230" s="34"/>
      <c r="SXJ230" s="34"/>
      <c r="SXK230" s="35"/>
      <c r="SXL230" s="35"/>
      <c r="SXM230" s="32"/>
      <c r="SXN230" s="31"/>
      <c r="SXO230" s="31"/>
      <c r="SXP230" s="31"/>
      <c r="SXQ230" s="32"/>
      <c r="SXR230" s="32"/>
      <c r="SXS230" s="32"/>
      <c r="SXT230" s="32"/>
      <c r="SXU230" s="32"/>
      <c r="SXV230" s="31"/>
      <c r="SXW230" s="31"/>
      <c r="SXX230" s="33"/>
      <c r="SXY230" s="33"/>
      <c r="SXZ230" s="34"/>
      <c r="SYA230" s="34"/>
      <c r="SYB230" s="35"/>
      <c r="SYC230" s="35"/>
      <c r="SYD230" s="32"/>
      <c r="SYE230" s="31"/>
      <c r="SYF230" s="31"/>
      <c r="SYG230" s="31"/>
      <c r="SYH230" s="32"/>
      <c r="SYI230" s="32"/>
      <c r="SYJ230" s="32"/>
      <c r="SYK230" s="32"/>
      <c r="SYL230" s="32"/>
      <c r="SYM230" s="31"/>
      <c r="SYN230" s="31"/>
      <c r="SYO230" s="33"/>
      <c r="SYP230" s="33"/>
      <c r="SYQ230" s="34"/>
      <c r="SYR230" s="34"/>
      <c r="SYS230" s="35"/>
      <c r="SYT230" s="35"/>
      <c r="SYU230" s="32"/>
      <c r="SYV230" s="31"/>
      <c r="SYW230" s="31"/>
      <c r="SYX230" s="31"/>
      <c r="SYY230" s="32"/>
      <c r="SYZ230" s="32"/>
      <c r="SZA230" s="32"/>
      <c r="SZB230" s="32"/>
      <c r="SZC230" s="32"/>
      <c r="SZD230" s="31"/>
      <c r="SZE230" s="31"/>
      <c r="SZF230" s="33"/>
      <c r="SZG230" s="33"/>
      <c r="SZH230" s="34"/>
      <c r="SZI230" s="34"/>
      <c r="SZJ230" s="35"/>
      <c r="SZK230" s="35"/>
      <c r="SZL230" s="32"/>
      <c r="SZM230" s="31"/>
      <c r="SZN230" s="31"/>
      <c r="SZO230" s="31"/>
      <c r="SZP230" s="32"/>
      <c r="SZQ230" s="32"/>
      <c r="SZR230" s="32"/>
      <c r="SZS230" s="32"/>
      <c r="SZT230" s="32"/>
      <c r="SZU230" s="31"/>
      <c r="SZV230" s="31"/>
      <c r="SZW230" s="33"/>
      <c r="SZX230" s="33"/>
      <c r="SZY230" s="34"/>
      <c r="SZZ230" s="34"/>
      <c r="TAA230" s="35"/>
      <c r="TAB230" s="35"/>
      <c r="TAC230" s="32"/>
      <c r="TAD230" s="31"/>
      <c r="TAE230" s="31"/>
      <c r="TAF230" s="31"/>
      <c r="TAG230" s="32"/>
      <c r="TAH230" s="32"/>
      <c r="TAI230" s="32"/>
      <c r="TAJ230" s="32"/>
      <c r="TAK230" s="32"/>
      <c r="TAL230" s="31"/>
      <c r="TAM230" s="31"/>
      <c r="TAN230" s="33"/>
      <c r="TAO230" s="33"/>
      <c r="TAP230" s="34"/>
      <c r="TAQ230" s="34"/>
      <c r="TAR230" s="35"/>
      <c r="TAS230" s="35"/>
      <c r="TAT230" s="32"/>
      <c r="TAU230" s="31"/>
      <c r="TAV230" s="31"/>
      <c r="TAW230" s="31"/>
      <c r="TAX230" s="32"/>
      <c r="TAY230" s="32"/>
      <c r="TAZ230" s="32"/>
      <c r="TBA230" s="32"/>
      <c r="TBB230" s="32"/>
      <c r="TBC230" s="31"/>
      <c r="TBD230" s="31"/>
      <c r="TBE230" s="33"/>
      <c r="TBF230" s="33"/>
      <c r="TBG230" s="34"/>
      <c r="TBH230" s="34"/>
      <c r="TBI230" s="35"/>
      <c r="TBJ230" s="35"/>
      <c r="TBK230" s="32"/>
      <c r="TBL230" s="31"/>
      <c r="TBM230" s="31"/>
      <c r="TBN230" s="31"/>
      <c r="TBO230" s="32"/>
      <c r="TBP230" s="32"/>
      <c r="TBQ230" s="32"/>
      <c r="TBR230" s="32"/>
      <c r="TBS230" s="32"/>
      <c r="TBT230" s="31"/>
      <c r="TBU230" s="31"/>
      <c r="TBV230" s="33"/>
      <c r="TBW230" s="33"/>
      <c r="TBX230" s="34"/>
      <c r="TBY230" s="34"/>
      <c r="TBZ230" s="35"/>
      <c r="TCA230" s="35"/>
      <c r="TCB230" s="32"/>
      <c r="TCC230" s="31"/>
      <c r="TCD230" s="31"/>
      <c r="TCE230" s="31"/>
      <c r="TCF230" s="32"/>
      <c r="TCG230" s="32"/>
      <c r="TCH230" s="32"/>
      <c r="TCI230" s="32"/>
      <c r="TCJ230" s="32"/>
      <c r="TCK230" s="31"/>
      <c r="TCL230" s="31"/>
      <c r="TCM230" s="33"/>
      <c r="TCN230" s="33"/>
      <c r="TCO230" s="34"/>
      <c r="TCP230" s="34"/>
      <c r="TCQ230" s="35"/>
      <c r="TCR230" s="35"/>
      <c r="TCS230" s="32"/>
      <c r="TCT230" s="31"/>
      <c r="TCU230" s="31"/>
      <c r="TCV230" s="31"/>
      <c r="TCW230" s="32"/>
      <c r="TCX230" s="32"/>
      <c r="TCY230" s="32"/>
      <c r="TCZ230" s="32"/>
      <c r="TDA230" s="32"/>
      <c r="TDB230" s="31"/>
      <c r="TDC230" s="31"/>
      <c r="TDD230" s="33"/>
      <c r="TDE230" s="33"/>
      <c r="TDF230" s="34"/>
      <c r="TDG230" s="34"/>
      <c r="TDH230" s="35"/>
      <c r="TDI230" s="35"/>
      <c r="TDJ230" s="32"/>
      <c r="TDK230" s="31"/>
      <c r="TDL230" s="31"/>
      <c r="TDM230" s="31"/>
      <c r="TDN230" s="32"/>
      <c r="TDO230" s="32"/>
      <c r="TDP230" s="32"/>
      <c r="TDQ230" s="32"/>
      <c r="TDR230" s="32"/>
      <c r="TDS230" s="31"/>
      <c r="TDT230" s="31"/>
      <c r="TDU230" s="33"/>
      <c r="TDV230" s="33"/>
      <c r="TDW230" s="34"/>
      <c r="TDX230" s="34"/>
      <c r="TDY230" s="35"/>
      <c r="TDZ230" s="35"/>
      <c r="TEA230" s="32"/>
      <c r="TEB230" s="31"/>
      <c r="TEC230" s="31"/>
      <c r="TED230" s="31"/>
      <c r="TEE230" s="32"/>
      <c r="TEF230" s="32"/>
      <c r="TEG230" s="32"/>
      <c r="TEH230" s="32"/>
      <c r="TEI230" s="32"/>
      <c r="TEJ230" s="31"/>
      <c r="TEK230" s="31"/>
      <c r="TEL230" s="33"/>
      <c r="TEM230" s="33"/>
      <c r="TEN230" s="34"/>
      <c r="TEO230" s="34"/>
      <c r="TEP230" s="35"/>
      <c r="TEQ230" s="35"/>
      <c r="TER230" s="32"/>
      <c r="TES230" s="31"/>
      <c r="TET230" s="31"/>
      <c r="TEU230" s="31"/>
      <c r="TEV230" s="32"/>
      <c r="TEW230" s="32"/>
      <c r="TEX230" s="32"/>
      <c r="TEY230" s="32"/>
      <c r="TEZ230" s="32"/>
      <c r="TFA230" s="31"/>
      <c r="TFB230" s="31"/>
      <c r="TFC230" s="33"/>
      <c r="TFD230" s="33"/>
      <c r="TFE230" s="34"/>
      <c r="TFF230" s="34"/>
      <c r="TFG230" s="35"/>
      <c r="TFH230" s="35"/>
      <c r="TFI230" s="32"/>
      <c r="TFJ230" s="31"/>
      <c r="TFK230" s="31"/>
      <c r="TFL230" s="31"/>
      <c r="TFM230" s="32"/>
      <c r="TFN230" s="32"/>
      <c r="TFO230" s="32"/>
      <c r="TFP230" s="32"/>
      <c r="TFQ230" s="32"/>
      <c r="TFR230" s="31"/>
      <c r="TFS230" s="31"/>
      <c r="TFT230" s="33"/>
      <c r="TFU230" s="33"/>
      <c r="TFV230" s="34"/>
      <c r="TFW230" s="34"/>
      <c r="TFX230" s="35"/>
      <c r="TFY230" s="35"/>
      <c r="TFZ230" s="32"/>
      <c r="TGA230" s="31"/>
      <c r="TGB230" s="31"/>
      <c r="TGC230" s="31"/>
      <c r="TGD230" s="32"/>
      <c r="TGE230" s="32"/>
      <c r="TGF230" s="32"/>
      <c r="TGG230" s="32"/>
      <c r="TGH230" s="32"/>
      <c r="TGI230" s="31"/>
      <c r="TGJ230" s="31"/>
      <c r="TGK230" s="33"/>
      <c r="TGL230" s="33"/>
      <c r="TGM230" s="34"/>
      <c r="TGN230" s="34"/>
      <c r="TGO230" s="35"/>
      <c r="TGP230" s="35"/>
      <c r="TGQ230" s="32"/>
      <c r="TGR230" s="31"/>
      <c r="TGS230" s="31"/>
      <c r="TGT230" s="31"/>
      <c r="TGU230" s="32"/>
      <c r="TGV230" s="32"/>
      <c r="TGW230" s="32"/>
      <c r="TGX230" s="32"/>
      <c r="TGY230" s="32"/>
      <c r="TGZ230" s="31"/>
      <c r="THA230" s="31"/>
      <c r="THB230" s="33"/>
      <c r="THC230" s="33"/>
      <c r="THD230" s="34"/>
      <c r="THE230" s="34"/>
      <c r="THF230" s="35"/>
      <c r="THG230" s="35"/>
      <c r="THH230" s="32"/>
      <c r="THI230" s="31"/>
      <c r="THJ230" s="31"/>
      <c r="THK230" s="31"/>
      <c r="THL230" s="32"/>
      <c r="THM230" s="32"/>
      <c r="THN230" s="32"/>
      <c r="THO230" s="32"/>
      <c r="THP230" s="32"/>
      <c r="THQ230" s="31"/>
      <c r="THR230" s="31"/>
      <c r="THS230" s="33"/>
      <c r="THT230" s="33"/>
      <c r="THU230" s="34"/>
      <c r="THV230" s="34"/>
      <c r="THW230" s="35"/>
      <c r="THX230" s="35"/>
      <c r="THY230" s="32"/>
      <c r="THZ230" s="31"/>
      <c r="TIA230" s="31"/>
      <c r="TIB230" s="31"/>
      <c r="TIC230" s="32"/>
      <c r="TID230" s="32"/>
      <c r="TIE230" s="32"/>
      <c r="TIF230" s="32"/>
      <c r="TIG230" s="32"/>
      <c r="TIH230" s="31"/>
      <c r="TII230" s="31"/>
      <c r="TIJ230" s="33"/>
      <c r="TIK230" s="33"/>
      <c r="TIL230" s="34"/>
      <c r="TIM230" s="34"/>
      <c r="TIN230" s="35"/>
      <c r="TIO230" s="35"/>
      <c r="TIP230" s="32"/>
      <c r="TIQ230" s="31"/>
      <c r="TIR230" s="31"/>
      <c r="TIS230" s="31"/>
      <c r="TIT230" s="32"/>
      <c r="TIU230" s="32"/>
      <c r="TIV230" s="32"/>
      <c r="TIW230" s="32"/>
      <c r="TIX230" s="32"/>
      <c r="TIY230" s="31"/>
      <c r="TIZ230" s="31"/>
      <c r="TJA230" s="33"/>
      <c r="TJB230" s="33"/>
      <c r="TJC230" s="34"/>
      <c r="TJD230" s="34"/>
      <c r="TJE230" s="35"/>
      <c r="TJF230" s="35"/>
      <c r="TJG230" s="32"/>
      <c r="TJH230" s="31"/>
      <c r="TJI230" s="31"/>
      <c r="TJJ230" s="31"/>
      <c r="TJK230" s="32"/>
      <c r="TJL230" s="32"/>
      <c r="TJM230" s="32"/>
      <c r="TJN230" s="32"/>
      <c r="TJO230" s="32"/>
      <c r="TJP230" s="31"/>
      <c r="TJQ230" s="31"/>
      <c r="TJR230" s="33"/>
      <c r="TJS230" s="33"/>
      <c r="TJT230" s="34"/>
      <c r="TJU230" s="34"/>
      <c r="TJV230" s="35"/>
      <c r="TJW230" s="35"/>
      <c r="TJX230" s="32"/>
      <c r="TJY230" s="31"/>
      <c r="TJZ230" s="31"/>
      <c r="TKA230" s="31"/>
      <c r="TKB230" s="32"/>
      <c r="TKC230" s="32"/>
      <c r="TKD230" s="32"/>
      <c r="TKE230" s="32"/>
      <c r="TKF230" s="32"/>
      <c r="TKG230" s="31"/>
      <c r="TKH230" s="31"/>
      <c r="TKI230" s="33"/>
      <c r="TKJ230" s="33"/>
      <c r="TKK230" s="34"/>
      <c r="TKL230" s="34"/>
      <c r="TKM230" s="35"/>
      <c r="TKN230" s="35"/>
      <c r="TKO230" s="32"/>
      <c r="TKP230" s="31"/>
      <c r="TKQ230" s="31"/>
      <c r="TKR230" s="31"/>
      <c r="TKS230" s="32"/>
      <c r="TKT230" s="32"/>
      <c r="TKU230" s="32"/>
      <c r="TKV230" s="32"/>
      <c r="TKW230" s="32"/>
      <c r="TKX230" s="31"/>
      <c r="TKY230" s="31"/>
      <c r="TKZ230" s="33"/>
      <c r="TLA230" s="33"/>
      <c r="TLB230" s="34"/>
      <c r="TLC230" s="34"/>
      <c r="TLD230" s="35"/>
      <c r="TLE230" s="35"/>
      <c r="TLF230" s="32"/>
      <c r="TLG230" s="31"/>
      <c r="TLH230" s="31"/>
      <c r="TLI230" s="31"/>
      <c r="TLJ230" s="32"/>
      <c r="TLK230" s="32"/>
      <c r="TLL230" s="32"/>
      <c r="TLM230" s="32"/>
      <c r="TLN230" s="32"/>
      <c r="TLO230" s="31"/>
      <c r="TLP230" s="31"/>
      <c r="TLQ230" s="33"/>
      <c r="TLR230" s="33"/>
      <c r="TLS230" s="34"/>
      <c r="TLT230" s="34"/>
      <c r="TLU230" s="35"/>
      <c r="TLV230" s="35"/>
      <c r="TLW230" s="32"/>
      <c r="TLX230" s="31"/>
      <c r="TLY230" s="31"/>
      <c r="TLZ230" s="31"/>
      <c r="TMA230" s="32"/>
      <c r="TMB230" s="32"/>
      <c r="TMC230" s="32"/>
      <c r="TMD230" s="32"/>
      <c r="TME230" s="32"/>
      <c r="TMF230" s="31"/>
      <c r="TMG230" s="31"/>
      <c r="TMH230" s="33"/>
      <c r="TMI230" s="33"/>
      <c r="TMJ230" s="34"/>
      <c r="TMK230" s="34"/>
      <c r="TML230" s="35"/>
      <c r="TMM230" s="35"/>
      <c r="TMN230" s="32"/>
      <c r="TMO230" s="31"/>
      <c r="TMP230" s="31"/>
      <c r="TMQ230" s="31"/>
      <c r="TMR230" s="32"/>
      <c r="TMS230" s="32"/>
      <c r="TMT230" s="32"/>
      <c r="TMU230" s="32"/>
      <c r="TMV230" s="32"/>
      <c r="TMW230" s="31"/>
      <c r="TMX230" s="31"/>
      <c r="TMY230" s="33"/>
      <c r="TMZ230" s="33"/>
      <c r="TNA230" s="34"/>
      <c r="TNB230" s="34"/>
      <c r="TNC230" s="35"/>
      <c r="TND230" s="35"/>
      <c r="TNE230" s="32"/>
      <c r="TNF230" s="31"/>
      <c r="TNG230" s="31"/>
      <c r="TNH230" s="31"/>
      <c r="TNI230" s="32"/>
      <c r="TNJ230" s="32"/>
      <c r="TNK230" s="32"/>
      <c r="TNL230" s="32"/>
      <c r="TNM230" s="32"/>
      <c r="TNN230" s="31"/>
      <c r="TNO230" s="31"/>
      <c r="TNP230" s="33"/>
      <c r="TNQ230" s="33"/>
      <c r="TNR230" s="34"/>
      <c r="TNS230" s="34"/>
      <c r="TNT230" s="35"/>
      <c r="TNU230" s="35"/>
      <c r="TNV230" s="32"/>
      <c r="TNW230" s="31"/>
      <c r="TNX230" s="31"/>
      <c r="TNY230" s="31"/>
      <c r="TNZ230" s="32"/>
      <c r="TOA230" s="32"/>
      <c r="TOB230" s="32"/>
      <c r="TOC230" s="32"/>
      <c r="TOD230" s="32"/>
      <c r="TOE230" s="31"/>
      <c r="TOF230" s="31"/>
      <c r="TOG230" s="33"/>
      <c r="TOH230" s="33"/>
      <c r="TOI230" s="34"/>
      <c r="TOJ230" s="34"/>
      <c r="TOK230" s="35"/>
      <c r="TOL230" s="35"/>
      <c r="TOM230" s="32"/>
      <c r="TON230" s="31"/>
      <c r="TOO230" s="31"/>
      <c r="TOP230" s="31"/>
      <c r="TOQ230" s="32"/>
      <c r="TOR230" s="32"/>
      <c r="TOS230" s="32"/>
      <c r="TOT230" s="32"/>
      <c r="TOU230" s="32"/>
      <c r="TOV230" s="31"/>
      <c r="TOW230" s="31"/>
      <c r="TOX230" s="33"/>
      <c r="TOY230" s="33"/>
      <c r="TOZ230" s="34"/>
      <c r="TPA230" s="34"/>
      <c r="TPB230" s="35"/>
      <c r="TPC230" s="35"/>
      <c r="TPD230" s="32"/>
      <c r="TPE230" s="31"/>
      <c r="TPF230" s="31"/>
      <c r="TPG230" s="31"/>
      <c r="TPH230" s="32"/>
      <c r="TPI230" s="32"/>
      <c r="TPJ230" s="32"/>
      <c r="TPK230" s="32"/>
      <c r="TPL230" s="32"/>
      <c r="TPM230" s="31"/>
      <c r="TPN230" s="31"/>
      <c r="TPO230" s="33"/>
      <c r="TPP230" s="33"/>
      <c r="TPQ230" s="34"/>
      <c r="TPR230" s="34"/>
      <c r="TPS230" s="35"/>
      <c r="TPT230" s="35"/>
      <c r="TPU230" s="32"/>
      <c r="TPV230" s="31"/>
      <c r="TPW230" s="31"/>
      <c r="TPX230" s="31"/>
      <c r="TPY230" s="32"/>
      <c r="TPZ230" s="32"/>
      <c r="TQA230" s="32"/>
      <c r="TQB230" s="32"/>
      <c r="TQC230" s="32"/>
      <c r="TQD230" s="31"/>
      <c r="TQE230" s="31"/>
      <c r="TQF230" s="33"/>
      <c r="TQG230" s="33"/>
      <c r="TQH230" s="34"/>
      <c r="TQI230" s="34"/>
      <c r="TQJ230" s="35"/>
      <c r="TQK230" s="35"/>
      <c r="TQL230" s="32"/>
      <c r="TQM230" s="31"/>
      <c r="TQN230" s="31"/>
      <c r="TQO230" s="31"/>
      <c r="TQP230" s="32"/>
      <c r="TQQ230" s="32"/>
      <c r="TQR230" s="32"/>
      <c r="TQS230" s="32"/>
      <c r="TQT230" s="32"/>
      <c r="TQU230" s="31"/>
      <c r="TQV230" s="31"/>
      <c r="TQW230" s="33"/>
      <c r="TQX230" s="33"/>
      <c r="TQY230" s="34"/>
      <c r="TQZ230" s="34"/>
      <c r="TRA230" s="35"/>
      <c r="TRB230" s="35"/>
      <c r="TRC230" s="32"/>
      <c r="TRD230" s="31"/>
      <c r="TRE230" s="31"/>
      <c r="TRF230" s="31"/>
      <c r="TRG230" s="32"/>
      <c r="TRH230" s="32"/>
      <c r="TRI230" s="32"/>
      <c r="TRJ230" s="32"/>
      <c r="TRK230" s="32"/>
      <c r="TRL230" s="31"/>
      <c r="TRM230" s="31"/>
      <c r="TRN230" s="33"/>
      <c r="TRO230" s="33"/>
      <c r="TRP230" s="34"/>
      <c r="TRQ230" s="34"/>
      <c r="TRR230" s="35"/>
      <c r="TRS230" s="35"/>
      <c r="TRT230" s="32"/>
      <c r="TRU230" s="31"/>
      <c r="TRV230" s="31"/>
      <c r="TRW230" s="31"/>
      <c r="TRX230" s="32"/>
      <c r="TRY230" s="32"/>
      <c r="TRZ230" s="32"/>
      <c r="TSA230" s="32"/>
      <c r="TSB230" s="32"/>
      <c r="TSC230" s="31"/>
      <c r="TSD230" s="31"/>
      <c r="TSE230" s="33"/>
      <c r="TSF230" s="33"/>
      <c r="TSG230" s="34"/>
      <c r="TSH230" s="34"/>
      <c r="TSI230" s="35"/>
      <c r="TSJ230" s="35"/>
      <c r="TSK230" s="32"/>
      <c r="TSL230" s="31"/>
      <c r="TSM230" s="31"/>
      <c r="TSN230" s="31"/>
      <c r="TSO230" s="32"/>
      <c r="TSP230" s="32"/>
      <c r="TSQ230" s="32"/>
      <c r="TSR230" s="32"/>
      <c r="TSS230" s="32"/>
      <c r="TST230" s="31"/>
      <c r="TSU230" s="31"/>
      <c r="TSV230" s="33"/>
      <c r="TSW230" s="33"/>
      <c r="TSX230" s="34"/>
      <c r="TSY230" s="34"/>
      <c r="TSZ230" s="35"/>
      <c r="TTA230" s="35"/>
      <c r="TTB230" s="32"/>
      <c r="TTC230" s="31"/>
      <c r="TTD230" s="31"/>
      <c r="TTE230" s="31"/>
      <c r="TTF230" s="32"/>
      <c r="TTG230" s="32"/>
      <c r="TTH230" s="32"/>
      <c r="TTI230" s="32"/>
      <c r="TTJ230" s="32"/>
      <c r="TTK230" s="31"/>
      <c r="TTL230" s="31"/>
      <c r="TTM230" s="33"/>
      <c r="TTN230" s="33"/>
      <c r="TTO230" s="34"/>
      <c r="TTP230" s="34"/>
      <c r="TTQ230" s="35"/>
      <c r="TTR230" s="35"/>
      <c r="TTS230" s="32"/>
      <c r="TTT230" s="31"/>
      <c r="TTU230" s="31"/>
      <c r="TTV230" s="31"/>
      <c r="TTW230" s="32"/>
      <c r="TTX230" s="32"/>
      <c r="TTY230" s="32"/>
      <c r="TTZ230" s="32"/>
      <c r="TUA230" s="32"/>
      <c r="TUB230" s="31"/>
      <c r="TUC230" s="31"/>
      <c r="TUD230" s="33"/>
      <c r="TUE230" s="33"/>
      <c r="TUF230" s="34"/>
      <c r="TUG230" s="34"/>
      <c r="TUH230" s="35"/>
      <c r="TUI230" s="35"/>
      <c r="TUJ230" s="32"/>
      <c r="TUK230" s="31"/>
      <c r="TUL230" s="31"/>
      <c r="TUM230" s="31"/>
      <c r="TUN230" s="32"/>
      <c r="TUO230" s="32"/>
      <c r="TUP230" s="32"/>
      <c r="TUQ230" s="32"/>
      <c r="TUR230" s="32"/>
      <c r="TUS230" s="31"/>
      <c r="TUT230" s="31"/>
      <c r="TUU230" s="33"/>
      <c r="TUV230" s="33"/>
      <c r="TUW230" s="34"/>
      <c r="TUX230" s="34"/>
      <c r="TUY230" s="35"/>
      <c r="TUZ230" s="35"/>
      <c r="TVA230" s="32"/>
      <c r="TVB230" s="31"/>
      <c r="TVC230" s="31"/>
      <c r="TVD230" s="31"/>
      <c r="TVE230" s="32"/>
      <c r="TVF230" s="32"/>
      <c r="TVG230" s="32"/>
      <c r="TVH230" s="32"/>
      <c r="TVI230" s="32"/>
      <c r="TVJ230" s="31"/>
      <c r="TVK230" s="31"/>
      <c r="TVL230" s="33"/>
      <c r="TVM230" s="33"/>
      <c r="TVN230" s="34"/>
      <c r="TVO230" s="34"/>
      <c r="TVP230" s="35"/>
      <c r="TVQ230" s="35"/>
      <c r="TVR230" s="32"/>
      <c r="TVS230" s="31"/>
      <c r="TVT230" s="31"/>
      <c r="TVU230" s="31"/>
      <c r="TVV230" s="32"/>
      <c r="TVW230" s="32"/>
      <c r="TVX230" s="32"/>
      <c r="TVY230" s="32"/>
      <c r="TVZ230" s="32"/>
      <c r="TWA230" s="31"/>
      <c r="TWB230" s="31"/>
      <c r="TWC230" s="33"/>
      <c r="TWD230" s="33"/>
      <c r="TWE230" s="34"/>
      <c r="TWF230" s="34"/>
      <c r="TWG230" s="35"/>
      <c r="TWH230" s="35"/>
      <c r="TWI230" s="32"/>
      <c r="TWJ230" s="31"/>
      <c r="TWK230" s="31"/>
      <c r="TWL230" s="31"/>
      <c r="TWM230" s="32"/>
      <c r="TWN230" s="32"/>
      <c r="TWO230" s="32"/>
      <c r="TWP230" s="32"/>
      <c r="TWQ230" s="32"/>
      <c r="TWR230" s="31"/>
      <c r="TWS230" s="31"/>
      <c r="TWT230" s="33"/>
      <c r="TWU230" s="33"/>
      <c r="TWV230" s="34"/>
      <c r="TWW230" s="34"/>
      <c r="TWX230" s="35"/>
      <c r="TWY230" s="35"/>
      <c r="TWZ230" s="32"/>
      <c r="TXA230" s="31"/>
      <c r="TXB230" s="31"/>
      <c r="TXC230" s="31"/>
      <c r="TXD230" s="32"/>
      <c r="TXE230" s="32"/>
      <c r="TXF230" s="32"/>
      <c r="TXG230" s="32"/>
      <c r="TXH230" s="32"/>
      <c r="TXI230" s="31"/>
      <c r="TXJ230" s="31"/>
      <c r="TXK230" s="33"/>
      <c r="TXL230" s="33"/>
      <c r="TXM230" s="34"/>
      <c r="TXN230" s="34"/>
      <c r="TXO230" s="35"/>
      <c r="TXP230" s="35"/>
      <c r="TXQ230" s="32"/>
      <c r="TXR230" s="31"/>
      <c r="TXS230" s="31"/>
      <c r="TXT230" s="31"/>
      <c r="TXU230" s="32"/>
      <c r="TXV230" s="32"/>
      <c r="TXW230" s="32"/>
      <c r="TXX230" s="32"/>
      <c r="TXY230" s="32"/>
      <c r="TXZ230" s="31"/>
      <c r="TYA230" s="31"/>
      <c r="TYB230" s="33"/>
      <c r="TYC230" s="33"/>
      <c r="TYD230" s="34"/>
      <c r="TYE230" s="34"/>
      <c r="TYF230" s="35"/>
      <c r="TYG230" s="35"/>
      <c r="TYH230" s="32"/>
      <c r="TYI230" s="31"/>
      <c r="TYJ230" s="31"/>
      <c r="TYK230" s="31"/>
      <c r="TYL230" s="32"/>
      <c r="TYM230" s="32"/>
      <c r="TYN230" s="32"/>
      <c r="TYO230" s="32"/>
      <c r="TYP230" s="32"/>
      <c r="TYQ230" s="31"/>
      <c r="TYR230" s="31"/>
      <c r="TYS230" s="33"/>
      <c r="TYT230" s="33"/>
      <c r="TYU230" s="34"/>
      <c r="TYV230" s="34"/>
      <c r="TYW230" s="35"/>
      <c r="TYX230" s="35"/>
      <c r="TYY230" s="32"/>
      <c r="TYZ230" s="31"/>
      <c r="TZA230" s="31"/>
      <c r="TZB230" s="31"/>
      <c r="TZC230" s="32"/>
      <c r="TZD230" s="32"/>
      <c r="TZE230" s="32"/>
      <c r="TZF230" s="32"/>
      <c r="TZG230" s="32"/>
      <c r="TZH230" s="31"/>
      <c r="TZI230" s="31"/>
      <c r="TZJ230" s="33"/>
      <c r="TZK230" s="33"/>
      <c r="TZL230" s="34"/>
      <c r="TZM230" s="34"/>
      <c r="TZN230" s="35"/>
      <c r="TZO230" s="35"/>
      <c r="TZP230" s="32"/>
      <c r="TZQ230" s="31"/>
      <c r="TZR230" s="31"/>
      <c r="TZS230" s="31"/>
      <c r="TZT230" s="32"/>
      <c r="TZU230" s="32"/>
      <c r="TZV230" s="32"/>
      <c r="TZW230" s="32"/>
      <c r="TZX230" s="32"/>
      <c r="TZY230" s="31"/>
      <c r="TZZ230" s="31"/>
      <c r="UAA230" s="33"/>
      <c r="UAB230" s="33"/>
      <c r="UAC230" s="34"/>
      <c r="UAD230" s="34"/>
      <c r="UAE230" s="35"/>
      <c r="UAF230" s="35"/>
      <c r="UAG230" s="32"/>
      <c r="UAH230" s="31"/>
      <c r="UAI230" s="31"/>
      <c r="UAJ230" s="31"/>
      <c r="UAK230" s="32"/>
      <c r="UAL230" s="32"/>
      <c r="UAM230" s="32"/>
      <c r="UAN230" s="32"/>
      <c r="UAO230" s="32"/>
      <c r="UAP230" s="31"/>
      <c r="UAQ230" s="31"/>
      <c r="UAR230" s="33"/>
      <c r="UAS230" s="33"/>
      <c r="UAT230" s="34"/>
      <c r="UAU230" s="34"/>
      <c r="UAV230" s="35"/>
      <c r="UAW230" s="35"/>
      <c r="UAX230" s="32"/>
      <c r="UAY230" s="31"/>
      <c r="UAZ230" s="31"/>
      <c r="UBA230" s="31"/>
      <c r="UBB230" s="32"/>
      <c r="UBC230" s="32"/>
      <c r="UBD230" s="32"/>
      <c r="UBE230" s="32"/>
      <c r="UBF230" s="32"/>
      <c r="UBG230" s="31"/>
      <c r="UBH230" s="31"/>
      <c r="UBI230" s="33"/>
      <c r="UBJ230" s="33"/>
      <c r="UBK230" s="34"/>
      <c r="UBL230" s="34"/>
      <c r="UBM230" s="35"/>
      <c r="UBN230" s="35"/>
      <c r="UBO230" s="32"/>
      <c r="UBP230" s="31"/>
      <c r="UBQ230" s="31"/>
      <c r="UBR230" s="31"/>
      <c r="UBS230" s="32"/>
      <c r="UBT230" s="32"/>
      <c r="UBU230" s="32"/>
      <c r="UBV230" s="32"/>
      <c r="UBW230" s="32"/>
      <c r="UBX230" s="31"/>
      <c r="UBY230" s="31"/>
      <c r="UBZ230" s="33"/>
      <c r="UCA230" s="33"/>
      <c r="UCB230" s="34"/>
      <c r="UCC230" s="34"/>
      <c r="UCD230" s="35"/>
      <c r="UCE230" s="35"/>
      <c r="UCF230" s="32"/>
      <c r="UCG230" s="31"/>
      <c r="UCH230" s="31"/>
      <c r="UCI230" s="31"/>
      <c r="UCJ230" s="32"/>
      <c r="UCK230" s="32"/>
      <c r="UCL230" s="32"/>
      <c r="UCM230" s="32"/>
      <c r="UCN230" s="32"/>
      <c r="UCO230" s="31"/>
      <c r="UCP230" s="31"/>
      <c r="UCQ230" s="33"/>
      <c r="UCR230" s="33"/>
      <c r="UCS230" s="34"/>
      <c r="UCT230" s="34"/>
      <c r="UCU230" s="35"/>
      <c r="UCV230" s="35"/>
      <c r="UCW230" s="32"/>
      <c r="UCX230" s="31"/>
      <c r="UCY230" s="31"/>
      <c r="UCZ230" s="31"/>
      <c r="UDA230" s="32"/>
      <c r="UDB230" s="32"/>
      <c r="UDC230" s="32"/>
      <c r="UDD230" s="32"/>
      <c r="UDE230" s="32"/>
      <c r="UDF230" s="31"/>
      <c r="UDG230" s="31"/>
      <c r="UDH230" s="33"/>
      <c r="UDI230" s="33"/>
      <c r="UDJ230" s="34"/>
      <c r="UDK230" s="34"/>
      <c r="UDL230" s="35"/>
      <c r="UDM230" s="35"/>
      <c r="UDN230" s="32"/>
      <c r="UDO230" s="31"/>
      <c r="UDP230" s="31"/>
      <c r="UDQ230" s="31"/>
      <c r="UDR230" s="32"/>
      <c r="UDS230" s="32"/>
      <c r="UDT230" s="32"/>
      <c r="UDU230" s="32"/>
      <c r="UDV230" s="32"/>
      <c r="UDW230" s="31"/>
      <c r="UDX230" s="31"/>
      <c r="UDY230" s="33"/>
      <c r="UDZ230" s="33"/>
      <c r="UEA230" s="34"/>
      <c r="UEB230" s="34"/>
      <c r="UEC230" s="35"/>
      <c r="UED230" s="35"/>
      <c r="UEE230" s="32"/>
      <c r="UEF230" s="31"/>
      <c r="UEG230" s="31"/>
      <c r="UEH230" s="31"/>
      <c r="UEI230" s="32"/>
      <c r="UEJ230" s="32"/>
      <c r="UEK230" s="32"/>
      <c r="UEL230" s="32"/>
      <c r="UEM230" s="32"/>
      <c r="UEN230" s="31"/>
      <c r="UEO230" s="31"/>
      <c r="UEP230" s="33"/>
      <c r="UEQ230" s="33"/>
      <c r="UER230" s="34"/>
      <c r="UES230" s="34"/>
      <c r="UET230" s="35"/>
      <c r="UEU230" s="35"/>
      <c r="UEV230" s="32"/>
      <c r="UEW230" s="31"/>
      <c r="UEX230" s="31"/>
      <c r="UEY230" s="31"/>
      <c r="UEZ230" s="32"/>
      <c r="UFA230" s="32"/>
      <c r="UFB230" s="32"/>
      <c r="UFC230" s="32"/>
      <c r="UFD230" s="32"/>
      <c r="UFE230" s="31"/>
      <c r="UFF230" s="31"/>
      <c r="UFG230" s="33"/>
      <c r="UFH230" s="33"/>
      <c r="UFI230" s="34"/>
      <c r="UFJ230" s="34"/>
      <c r="UFK230" s="35"/>
      <c r="UFL230" s="35"/>
      <c r="UFM230" s="32"/>
      <c r="UFN230" s="31"/>
      <c r="UFO230" s="31"/>
      <c r="UFP230" s="31"/>
      <c r="UFQ230" s="32"/>
      <c r="UFR230" s="32"/>
      <c r="UFS230" s="32"/>
      <c r="UFT230" s="32"/>
      <c r="UFU230" s="32"/>
      <c r="UFV230" s="31"/>
      <c r="UFW230" s="31"/>
      <c r="UFX230" s="33"/>
      <c r="UFY230" s="33"/>
      <c r="UFZ230" s="34"/>
      <c r="UGA230" s="34"/>
      <c r="UGB230" s="35"/>
      <c r="UGC230" s="35"/>
      <c r="UGD230" s="32"/>
      <c r="UGE230" s="31"/>
      <c r="UGF230" s="31"/>
      <c r="UGG230" s="31"/>
      <c r="UGH230" s="32"/>
      <c r="UGI230" s="32"/>
      <c r="UGJ230" s="32"/>
      <c r="UGK230" s="32"/>
      <c r="UGL230" s="32"/>
      <c r="UGM230" s="31"/>
      <c r="UGN230" s="31"/>
      <c r="UGO230" s="33"/>
      <c r="UGP230" s="33"/>
      <c r="UGQ230" s="34"/>
      <c r="UGR230" s="34"/>
      <c r="UGS230" s="35"/>
      <c r="UGT230" s="35"/>
      <c r="UGU230" s="32"/>
      <c r="UGV230" s="31"/>
      <c r="UGW230" s="31"/>
      <c r="UGX230" s="31"/>
      <c r="UGY230" s="32"/>
      <c r="UGZ230" s="32"/>
      <c r="UHA230" s="32"/>
      <c r="UHB230" s="32"/>
      <c r="UHC230" s="32"/>
      <c r="UHD230" s="31"/>
      <c r="UHE230" s="31"/>
      <c r="UHF230" s="33"/>
      <c r="UHG230" s="33"/>
      <c r="UHH230" s="34"/>
      <c r="UHI230" s="34"/>
      <c r="UHJ230" s="35"/>
      <c r="UHK230" s="35"/>
      <c r="UHL230" s="32"/>
      <c r="UHM230" s="31"/>
      <c r="UHN230" s="31"/>
      <c r="UHO230" s="31"/>
      <c r="UHP230" s="32"/>
      <c r="UHQ230" s="32"/>
      <c r="UHR230" s="32"/>
      <c r="UHS230" s="32"/>
      <c r="UHT230" s="32"/>
      <c r="UHU230" s="31"/>
      <c r="UHV230" s="31"/>
      <c r="UHW230" s="33"/>
      <c r="UHX230" s="33"/>
      <c r="UHY230" s="34"/>
      <c r="UHZ230" s="34"/>
      <c r="UIA230" s="35"/>
      <c r="UIB230" s="35"/>
      <c r="UIC230" s="32"/>
      <c r="UID230" s="31"/>
      <c r="UIE230" s="31"/>
      <c r="UIF230" s="31"/>
      <c r="UIG230" s="32"/>
      <c r="UIH230" s="32"/>
      <c r="UII230" s="32"/>
      <c r="UIJ230" s="32"/>
      <c r="UIK230" s="32"/>
      <c r="UIL230" s="31"/>
      <c r="UIM230" s="31"/>
      <c r="UIN230" s="33"/>
      <c r="UIO230" s="33"/>
      <c r="UIP230" s="34"/>
      <c r="UIQ230" s="34"/>
      <c r="UIR230" s="35"/>
      <c r="UIS230" s="35"/>
      <c r="UIT230" s="32"/>
      <c r="UIU230" s="31"/>
      <c r="UIV230" s="31"/>
      <c r="UIW230" s="31"/>
      <c r="UIX230" s="32"/>
      <c r="UIY230" s="32"/>
      <c r="UIZ230" s="32"/>
      <c r="UJA230" s="32"/>
      <c r="UJB230" s="32"/>
      <c r="UJC230" s="31"/>
      <c r="UJD230" s="31"/>
      <c r="UJE230" s="33"/>
      <c r="UJF230" s="33"/>
      <c r="UJG230" s="34"/>
      <c r="UJH230" s="34"/>
      <c r="UJI230" s="35"/>
      <c r="UJJ230" s="35"/>
      <c r="UJK230" s="32"/>
      <c r="UJL230" s="31"/>
      <c r="UJM230" s="31"/>
      <c r="UJN230" s="31"/>
      <c r="UJO230" s="32"/>
      <c r="UJP230" s="32"/>
      <c r="UJQ230" s="32"/>
      <c r="UJR230" s="32"/>
      <c r="UJS230" s="32"/>
      <c r="UJT230" s="31"/>
      <c r="UJU230" s="31"/>
      <c r="UJV230" s="33"/>
      <c r="UJW230" s="33"/>
      <c r="UJX230" s="34"/>
      <c r="UJY230" s="34"/>
      <c r="UJZ230" s="35"/>
      <c r="UKA230" s="35"/>
      <c r="UKB230" s="32"/>
      <c r="UKC230" s="31"/>
      <c r="UKD230" s="31"/>
      <c r="UKE230" s="31"/>
      <c r="UKF230" s="32"/>
      <c r="UKG230" s="32"/>
      <c r="UKH230" s="32"/>
      <c r="UKI230" s="32"/>
      <c r="UKJ230" s="32"/>
      <c r="UKK230" s="31"/>
      <c r="UKL230" s="31"/>
      <c r="UKM230" s="33"/>
      <c r="UKN230" s="33"/>
      <c r="UKO230" s="34"/>
      <c r="UKP230" s="34"/>
      <c r="UKQ230" s="35"/>
      <c r="UKR230" s="35"/>
      <c r="UKS230" s="32"/>
      <c r="UKT230" s="31"/>
      <c r="UKU230" s="31"/>
      <c r="UKV230" s="31"/>
      <c r="UKW230" s="32"/>
      <c r="UKX230" s="32"/>
      <c r="UKY230" s="32"/>
      <c r="UKZ230" s="32"/>
      <c r="ULA230" s="32"/>
      <c r="ULB230" s="31"/>
      <c r="ULC230" s="31"/>
      <c r="ULD230" s="33"/>
      <c r="ULE230" s="33"/>
      <c r="ULF230" s="34"/>
      <c r="ULG230" s="34"/>
      <c r="ULH230" s="35"/>
      <c r="ULI230" s="35"/>
      <c r="ULJ230" s="32"/>
      <c r="ULK230" s="31"/>
      <c r="ULL230" s="31"/>
      <c r="ULM230" s="31"/>
      <c r="ULN230" s="32"/>
      <c r="ULO230" s="32"/>
      <c r="ULP230" s="32"/>
      <c r="ULQ230" s="32"/>
      <c r="ULR230" s="32"/>
      <c r="ULS230" s="31"/>
      <c r="ULT230" s="31"/>
      <c r="ULU230" s="33"/>
      <c r="ULV230" s="33"/>
      <c r="ULW230" s="34"/>
      <c r="ULX230" s="34"/>
      <c r="ULY230" s="35"/>
      <c r="ULZ230" s="35"/>
      <c r="UMA230" s="32"/>
      <c r="UMB230" s="31"/>
      <c r="UMC230" s="31"/>
      <c r="UMD230" s="31"/>
      <c r="UME230" s="32"/>
      <c r="UMF230" s="32"/>
      <c r="UMG230" s="32"/>
      <c r="UMH230" s="32"/>
      <c r="UMI230" s="32"/>
      <c r="UMJ230" s="31"/>
      <c r="UMK230" s="31"/>
      <c r="UML230" s="33"/>
      <c r="UMM230" s="33"/>
      <c r="UMN230" s="34"/>
      <c r="UMO230" s="34"/>
      <c r="UMP230" s="35"/>
      <c r="UMQ230" s="35"/>
      <c r="UMR230" s="32"/>
      <c r="UMS230" s="31"/>
      <c r="UMT230" s="31"/>
      <c r="UMU230" s="31"/>
      <c r="UMV230" s="32"/>
      <c r="UMW230" s="32"/>
      <c r="UMX230" s="32"/>
      <c r="UMY230" s="32"/>
      <c r="UMZ230" s="32"/>
      <c r="UNA230" s="31"/>
      <c r="UNB230" s="31"/>
      <c r="UNC230" s="33"/>
      <c r="UND230" s="33"/>
      <c r="UNE230" s="34"/>
      <c r="UNF230" s="34"/>
      <c r="UNG230" s="35"/>
      <c r="UNH230" s="35"/>
      <c r="UNI230" s="32"/>
      <c r="UNJ230" s="31"/>
      <c r="UNK230" s="31"/>
      <c r="UNL230" s="31"/>
      <c r="UNM230" s="32"/>
      <c r="UNN230" s="32"/>
      <c r="UNO230" s="32"/>
      <c r="UNP230" s="32"/>
      <c r="UNQ230" s="32"/>
      <c r="UNR230" s="31"/>
      <c r="UNS230" s="31"/>
      <c r="UNT230" s="33"/>
      <c r="UNU230" s="33"/>
      <c r="UNV230" s="34"/>
      <c r="UNW230" s="34"/>
      <c r="UNX230" s="35"/>
      <c r="UNY230" s="35"/>
      <c r="UNZ230" s="32"/>
      <c r="UOA230" s="31"/>
      <c r="UOB230" s="31"/>
      <c r="UOC230" s="31"/>
      <c r="UOD230" s="32"/>
      <c r="UOE230" s="32"/>
      <c r="UOF230" s="32"/>
      <c r="UOG230" s="32"/>
      <c r="UOH230" s="32"/>
      <c r="UOI230" s="31"/>
      <c r="UOJ230" s="31"/>
      <c r="UOK230" s="33"/>
      <c r="UOL230" s="33"/>
      <c r="UOM230" s="34"/>
      <c r="UON230" s="34"/>
      <c r="UOO230" s="35"/>
      <c r="UOP230" s="35"/>
      <c r="UOQ230" s="32"/>
      <c r="UOR230" s="31"/>
      <c r="UOS230" s="31"/>
      <c r="UOT230" s="31"/>
      <c r="UOU230" s="32"/>
      <c r="UOV230" s="32"/>
      <c r="UOW230" s="32"/>
      <c r="UOX230" s="32"/>
      <c r="UOY230" s="32"/>
      <c r="UOZ230" s="31"/>
      <c r="UPA230" s="31"/>
      <c r="UPB230" s="33"/>
      <c r="UPC230" s="33"/>
      <c r="UPD230" s="34"/>
      <c r="UPE230" s="34"/>
      <c r="UPF230" s="35"/>
      <c r="UPG230" s="35"/>
      <c r="UPH230" s="32"/>
      <c r="UPI230" s="31"/>
      <c r="UPJ230" s="31"/>
      <c r="UPK230" s="31"/>
      <c r="UPL230" s="32"/>
      <c r="UPM230" s="32"/>
      <c r="UPN230" s="32"/>
      <c r="UPO230" s="32"/>
      <c r="UPP230" s="32"/>
      <c r="UPQ230" s="31"/>
      <c r="UPR230" s="31"/>
      <c r="UPS230" s="33"/>
      <c r="UPT230" s="33"/>
      <c r="UPU230" s="34"/>
      <c r="UPV230" s="34"/>
      <c r="UPW230" s="35"/>
      <c r="UPX230" s="35"/>
      <c r="UPY230" s="32"/>
      <c r="UPZ230" s="31"/>
      <c r="UQA230" s="31"/>
      <c r="UQB230" s="31"/>
      <c r="UQC230" s="32"/>
      <c r="UQD230" s="32"/>
      <c r="UQE230" s="32"/>
      <c r="UQF230" s="32"/>
      <c r="UQG230" s="32"/>
      <c r="UQH230" s="31"/>
      <c r="UQI230" s="31"/>
      <c r="UQJ230" s="33"/>
      <c r="UQK230" s="33"/>
      <c r="UQL230" s="34"/>
      <c r="UQM230" s="34"/>
      <c r="UQN230" s="35"/>
      <c r="UQO230" s="35"/>
      <c r="UQP230" s="32"/>
      <c r="UQQ230" s="31"/>
      <c r="UQR230" s="31"/>
      <c r="UQS230" s="31"/>
      <c r="UQT230" s="32"/>
      <c r="UQU230" s="32"/>
      <c r="UQV230" s="32"/>
      <c r="UQW230" s="32"/>
      <c r="UQX230" s="32"/>
      <c r="UQY230" s="31"/>
      <c r="UQZ230" s="31"/>
      <c r="URA230" s="33"/>
      <c r="URB230" s="33"/>
      <c r="URC230" s="34"/>
      <c r="URD230" s="34"/>
      <c r="URE230" s="35"/>
      <c r="URF230" s="35"/>
      <c r="URG230" s="32"/>
      <c r="URH230" s="31"/>
      <c r="URI230" s="31"/>
      <c r="URJ230" s="31"/>
      <c r="URK230" s="32"/>
      <c r="URL230" s="32"/>
      <c r="URM230" s="32"/>
      <c r="URN230" s="32"/>
      <c r="URO230" s="32"/>
      <c r="URP230" s="31"/>
      <c r="URQ230" s="31"/>
      <c r="URR230" s="33"/>
      <c r="URS230" s="33"/>
      <c r="URT230" s="34"/>
      <c r="URU230" s="34"/>
      <c r="URV230" s="35"/>
      <c r="URW230" s="35"/>
      <c r="URX230" s="32"/>
      <c r="URY230" s="31"/>
      <c r="URZ230" s="31"/>
      <c r="USA230" s="31"/>
      <c r="USB230" s="32"/>
      <c r="USC230" s="32"/>
      <c r="USD230" s="32"/>
      <c r="USE230" s="32"/>
      <c r="USF230" s="32"/>
      <c r="USG230" s="31"/>
      <c r="USH230" s="31"/>
      <c r="USI230" s="33"/>
      <c r="USJ230" s="33"/>
      <c r="USK230" s="34"/>
      <c r="USL230" s="34"/>
      <c r="USM230" s="35"/>
      <c r="USN230" s="35"/>
      <c r="USO230" s="32"/>
      <c r="USP230" s="31"/>
      <c r="USQ230" s="31"/>
      <c r="USR230" s="31"/>
      <c r="USS230" s="32"/>
      <c r="UST230" s="32"/>
      <c r="USU230" s="32"/>
      <c r="USV230" s="32"/>
      <c r="USW230" s="32"/>
      <c r="USX230" s="31"/>
      <c r="USY230" s="31"/>
      <c r="USZ230" s="33"/>
      <c r="UTA230" s="33"/>
      <c r="UTB230" s="34"/>
      <c r="UTC230" s="34"/>
      <c r="UTD230" s="35"/>
      <c r="UTE230" s="35"/>
      <c r="UTF230" s="32"/>
      <c r="UTG230" s="31"/>
      <c r="UTH230" s="31"/>
      <c r="UTI230" s="31"/>
      <c r="UTJ230" s="32"/>
      <c r="UTK230" s="32"/>
      <c r="UTL230" s="32"/>
      <c r="UTM230" s="32"/>
      <c r="UTN230" s="32"/>
      <c r="UTO230" s="31"/>
      <c r="UTP230" s="31"/>
      <c r="UTQ230" s="33"/>
      <c r="UTR230" s="33"/>
      <c r="UTS230" s="34"/>
      <c r="UTT230" s="34"/>
      <c r="UTU230" s="35"/>
      <c r="UTV230" s="35"/>
      <c r="UTW230" s="32"/>
      <c r="UTX230" s="31"/>
      <c r="UTY230" s="31"/>
      <c r="UTZ230" s="31"/>
      <c r="UUA230" s="32"/>
      <c r="UUB230" s="32"/>
      <c r="UUC230" s="32"/>
      <c r="UUD230" s="32"/>
      <c r="UUE230" s="32"/>
      <c r="UUF230" s="31"/>
      <c r="UUG230" s="31"/>
      <c r="UUH230" s="33"/>
      <c r="UUI230" s="33"/>
      <c r="UUJ230" s="34"/>
      <c r="UUK230" s="34"/>
      <c r="UUL230" s="35"/>
      <c r="UUM230" s="35"/>
      <c r="UUN230" s="32"/>
      <c r="UUO230" s="31"/>
      <c r="UUP230" s="31"/>
      <c r="UUQ230" s="31"/>
      <c r="UUR230" s="32"/>
      <c r="UUS230" s="32"/>
      <c r="UUT230" s="32"/>
      <c r="UUU230" s="32"/>
      <c r="UUV230" s="32"/>
      <c r="UUW230" s="31"/>
      <c r="UUX230" s="31"/>
      <c r="UUY230" s="33"/>
      <c r="UUZ230" s="33"/>
      <c r="UVA230" s="34"/>
      <c r="UVB230" s="34"/>
      <c r="UVC230" s="35"/>
      <c r="UVD230" s="35"/>
      <c r="UVE230" s="32"/>
      <c r="UVF230" s="31"/>
      <c r="UVG230" s="31"/>
      <c r="UVH230" s="31"/>
      <c r="UVI230" s="32"/>
      <c r="UVJ230" s="32"/>
      <c r="UVK230" s="32"/>
      <c r="UVL230" s="32"/>
      <c r="UVM230" s="32"/>
      <c r="UVN230" s="31"/>
      <c r="UVO230" s="31"/>
      <c r="UVP230" s="33"/>
      <c r="UVQ230" s="33"/>
      <c r="UVR230" s="34"/>
      <c r="UVS230" s="34"/>
      <c r="UVT230" s="35"/>
      <c r="UVU230" s="35"/>
      <c r="UVV230" s="32"/>
      <c r="UVW230" s="31"/>
      <c r="UVX230" s="31"/>
      <c r="UVY230" s="31"/>
      <c r="UVZ230" s="32"/>
      <c r="UWA230" s="32"/>
      <c r="UWB230" s="32"/>
      <c r="UWC230" s="32"/>
      <c r="UWD230" s="32"/>
      <c r="UWE230" s="31"/>
      <c r="UWF230" s="31"/>
      <c r="UWG230" s="33"/>
      <c r="UWH230" s="33"/>
      <c r="UWI230" s="34"/>
      <c r="UWJ230" s="34"/>
      <c r="UWK230" s="35"/>
      <c r="UWL230" s="35"/>
      <c r="UWM230" s="32"/>
      <c r="UWN230" s="31"/>
      <c r="UWO230" s="31"/>
      <c r="UWP230" s="31"/>
      <c r="UWQ230" s="32"/>
      <c r="UWR230" s="32"/>
      <c r="UWS230" s="32"/>
      <c r="UWT230" s="32"/>
      <c r="UWU230" s="32"/>
      <c r="UWV230" s="31"/>
      <c r="UWW230" s="31"/>
      <c r="UWX230" s="33"/>
      <c r="UWY230" s="33"/>
      <c r="UWZ230" s="34"/>
      <c r="UXA230" s="34"/>
      <c r="UXB230" s="35"/>
      <c r="UXC230" s="35"/>
      <c r="UXD230" s="32"/>
      <c r="UXE230" s="31"/>
      <c r="UXF230" s="31"/>
      <c r="UXG230" s="31"/>
      <c r="UXH230" s="32"/>
      <c r="UXI230" s="32"/>
      <c r="UXJ230" s="32"/>
      <c r="UXK230" s="32"/>
      <c r="UXL230" s="32"/>
      <c r="UXM230" s="31"/>
      <c r="UXN230" s="31"/>
      <c r="UXO230" s="33"/>
      <c r="UXP230" s="33"/>
      <c r="UXQ230" s="34"/>
      <c r="UXR230" s="34"/>
      <c r="UXS230" s="35"/>
      <c r="UXT230" s="35"/>
      <c r="UXU230" s="32"/>
      <c r="UXV230" s="31"/>
      <c r="UXW230" s="31"/>
      <c r="UXX230" s="31"/>
      <c r="UXY230" s="32"/>
      <c r="UXZ230" s="32"/>
      <c r="UYA230" s="32"/>
      <c r="UYB230" s="32"/>
      <c r="UYC230" s="32"/>
      <c r="UYD230" s="31"/>
      <c r="UYE230" s="31"/>
      <c r="UYF230" s="33"/>
      <c r="UYG230" s="33"/>
      <c r="UYH230" s="34"/>
      <c r="UYI230" s="34"/>
      <c r="UYJ230" s="35"/>
      <c r="UYK230" s="35"/>
      <c r="UYL230" s="32"/>
      <c r="UYM230" s="31"/>
      <c r="UYN230" s="31"/>
      <c r="UYO230" s="31"/>
      <c r="UYP230" s="32"/>
      <c r="UYQ230" s="32"/>
      <c r="UYR230" s="32"/>
      <c r="UYS230" s="32"/>
      <c r="UYT230" s="32"/>
      <c r="UYU230" s="31"/>
      <c r="UYV230" s="31"/>
      <c r="UYW230" s="33"/>
      <c r="UYX230" s="33"/>
      <c r="UYY230" s="34"/>
      <c r="UYZ230" s="34"/>
      <c r="UZA230" s="35"/>
      <c r="UZB230" s="35"/>
      <c r="UZC230" s="32"/>
      <c r="UZD230" s="31"/>
      <c r="UZE230" s="31"/>
      <c r="UZF230" s="31"/>
      <c r="UZG230" s="32"/>
      <c r="UZH230" s="32"/>
      <c r="UZI230" s="32"/>
      <c r="UZJ230" s="32"/>
      <c r="UZK230" s="32"/>
      <c r="UZL230" s="31"/>
      <c r="UZM230" s="31"/>
      <c r="UZN230" s="33"/>
      <c r="UZO230" s="33"/>
      <c r="UZP230" s="34"/>
      <c r="UZQ230" s="34"/>
      <c r="UZR230" s="35"/>
      <c r="UZS230" s="35"/>
      <c r="UZT230" s="32"/>
      <c r="UZU230" s="31"/>
      <c r="UZV230" s="31"/>
      <c r="UZW230" s="31"/>
      <c r="UZX230" s="32"/>
      <c r="UZY230" s="32"/>
      <c r="UZZ230" s="32"/>
      <c r="VAA230" s="32"/>
      <c r="VAB230" s="32"/>
      <c r="VAC230" s="31"/>
      <c r="VAD230" s="31"/>
      <c r="VAE230" s="33"/>
      <c r="VAF230" s="33"/>
      <c r="VAG230" s="34"/>
      <c r="VAH230" s="34"/>
      <c r="VAI230" s="35"/>
      <c r="VAJ230" s="35"/>
      <c r="VAK230" s="32"/>
      <c r="VAL230" s="31"/>
      <c r="VAM230" s="31"/>
      <c r="VAN230" s="31"/>
      <c r="VAO230" s="32"/>
      <c r="VAP230" s="32"/>
      <c r="VAQ230" s="32"/>
      <c r="VAR230" s="32"/>
      <c r="VAS230" s="32"/>
      <c r="VAT230" s="31"/>
      <c r="VAU230" s="31"/>
      <c r="VAV230" s="33"/>
      <c r="VAW230" s="33"/>
      <c r="VAX230" s="34"/>
      <c r="VAY230" s="34"/>
      <c r="VAZ230" s="35"/>
      <c r="VBA230" s="35"/>
      <c r="VBB230" s="32"/>
      <c r="VBC230" s="31"/>
      <c r="VBD230" s="31"/>
      <c r="VBE230" s="31"/>
      <c r="VBF230" s="32"/>
      <c r="VBG230" s="32"/>
      <c r="VBH230" s="32"/>
      <c r="VBI230" s="32"/>
      <c r="VBJ230" s="32"/>
      <c r="VBK230" s="31"/>
      <c r="VBL230" s="31"/>
      <c r="VBM230" s="33"/>
      <c r="VBN230" s="33"/>
      <c r="VBO230" s="34"/>
      <c r="VBP230" s="34"/>
      <c r="VBQ230" s="35"/>
      <c r="VBR230" s="35"/>
      <c r="VBS230" s="32"/>
      <c r="VBT230" s="31"/>
      <c r="VBU230" s="31"/>
      <c r="VBV230" s="31"/>
      <c r="VBW230" s="32"/>
      <c r="VBX230" s="32"/>
      <c r="VBY230" s="32"/>
      <c r="VBZ230" s="32"/>
      <c r="VCA230" s="32"/>
      <c r="VCB230" s="31"/>
      <c r="VCC230" s="31"/>
      <c r="VCD230" s="33"/>
      <c r="VCE230" s="33"/>
      <c r="VCF230" s="34"/>
      <c r="VCG230" s="34"/>
      <c r="VCH230" s="35"/>
      <c r="VCI230" s="35"/>
      <c r="VCJ230" s="32"/>
      <c r="VCK230" s="31"/>
      <c r="VCL230" s="31"/>
      <c r="VCM230" s="31"/>
      <c r="VCN230" s="32"/>
      <c r="VCO230" s="32"/>
      <c r="VCP230" s="32"/>
      <c r="VCQ230" s="32"/>
      <c r="VCR230" s="32"/>
      <c r="VCS230" s="31"/>
      <c r="VCT230" s="31"/>
      <c r="VCU230" s="33"/>
      <c r="VCV230" s="33"/>
      <c r="VCW230" s="34"/>
      <c r="VCX230" s="34"/>
      <c r="VCY230" s="35"/>
      <c r="VCZ230" s="35"/>
      <c r="VDA230" s="32"/>
      <c r="VDB230" s="31"/>
      <c r="VDC230" s="31"/>
      <c r="VDD230" s="31"/>
      <c r="VDE230" s="32"/>
      <c r="VDF230" s="32"/>
      <c r="VDG230" s="32"/>
      <c r="VDH230" s="32"/>
      <c r="VDI230" s="32"/>
      <c r="VDJ230" s="31"/>
      <c r="VDK230" s="31"/>
      <c r="VDL230" s="33"/>
      <c r="VDM230" s="33"/>
      <c r="VDN230" s="34"/>
      <c r="VDO230" s="34"/>
      <c r="VDP230" s="35"/>
      <c r="VDQ230" s="35"/>
      <c r="VDR230" s="32"/>
      <c r="VDS230" s="31"/>
      <c r="VDT230" s="31"/>
      <c r="VDU230" s="31"/>
      <c r="VDV230" s="32"/>
      <c r="VDW230" s="32"/>
      <c r="VDX230" s="32"/>
      <c r="VDY230" s="32"/>
      <c r="VDZ230" s="32"/>
      <c r="VEA230" s="31"/>
      <c r="VEB230" s="31"/>
      <c r="VEC230" s="33"/>
      <c r="VED230" s="33"/>
      <c r="VEE230" s="34"/>
      <c r="VEF230" s="34"/>
      <c r="VEG230" s="35"/>
      <c r="VEH230" s="35"/>
      <c r="VEI230" s="32"/>
      <c r="VEJ230" s="31"/>
      <c r="VEK230" s="31"/>
      <c r="VEL230" s="31"/>
      <c r="VEM230" s="32"/>
      <c r="VEN230" s="32"/>
      <c r="VEO230" s="32"/>
      <c r="VEP230" s="32"/>
      <c r="VEQ230" s="32"/>
      <c r="VER230" s="31"/>
      <c r="VES230" s="31"/>
      <c r="VET230" s="33"/>
      <c r="VEU230" s="33"/>
      <c r="VEV230" s="34"/>
      <c r="VEW230" s="34"/>
      <c r="VEX230" s="35"/>
      <c r="VEY230" s="35"/>
      <c r="VEZ230" s="32"/>
      <c r="VFA230" s="31"/>
      <c r="VFB230" s="31"/>
      <c r="VFC230" s="31"/>
      <c r="VFD230" s="32"/>
      <c r="VFE230" s="32"/>
      <c r="VFF230" s="32"/>
      <c r="VFG230" s="32"/>
      <c r="VFH230" s="32"/>
      <c r="VFI230" s="31"/>
      <c r="VFJ230" s="31"/>
      <c r="VFK230" s="33"/>
      <c r="VFL230" s="33"/>
      <c r="VFM230" s="34"/>
      <c r="VFN230" s="34"/>
      <c r="VFO230" s="35"/>
      <c r="VFP230" s="35"/>
      <c r="VFQ230" s="32"/>
      <c r="VFR230" s="31"/>
      <c r="VFS230" s="31"/>
      <c r="VFT230" s="31"/>
      <c r="VFU230" s="32"/>
      <c r="VFV230" s="32"/>
      <c r="VFW230" s="32"/>
      <c r="VFX230" s="32"/>
      <c r="VFY230" s="32"/>
      <c r="VFZ230" s="31"/>
      <c r="VGA230" s="31"/>
      <c r="VGB230" s="33"/>
      <c r="VGC230" s="33"/>
      <c r="VGD230" s="34"/>
      <c r="VGE230" s="34"/>
      <c r="VGF230" s="35"/>
      <c r="VGG230" s="35"/>
      <c r="VGH230" s="32"/>
      <c r="VGI230" s="31"/>
      <c r="VGJ230" s="31"/>
      <c r="VGK230" s="31"/>
      <c r="VGL230" s="32"/>
      <c r="VGM230" s="32"/>
      <c r="VGN230" s="32"/>
      <c r="VGO230" s="32"/>
      <c r="VGP230" s="32"/>
      <c r="VGQ230" s="31"/>
      <c r="VGR230" s="31"/>
      <c r="VGS230" s="33"/>
      <c r="VGT230" s="33"/>
      <c r="VGU230" s="34"/>
      <c r="VGV230" s="34"/>
      <c r="VGW230" s="35"/>
      <c r="VGX230" s="35"/>
      <c r="VGY230" s="32"/>
      <c r="VGZ230" s="31"/>
      <c r="VHA230" s="31"/>
      <c r="VHB230" s="31"/>
      <c r="VHC230" s="32"/>
      <c r="VHD230" s="32"/>
      <c r="VHE230" s="32"/>
      <c r="VHF230" s="32"/>
      <c r="VHG230" s="32"/>
      <c r="VHH230" s="31"/>
      <c r="VHI230" s="31"/>
      <c r="VHJ230" s="33"/>
      <c r="VHK230" s="33"/>
      <c r="VHL230" s="34"/>
      <c r="VHM230" s="34"/>
      <c r="VHN230" s="35"/>
      <c r="VHO230" s="35"/>
      <c r="VHP230" s="32"/>
      <c r="VHQ230" s="31"/>
      <c r="VHR230" s="31"/>
      <c r="VHS230" s="31"/>
      <c r="VHT230" s="32"/>
      <c r="VHU230" s="32"/>
      <c r="VHV230" s="32"/>
      <c r="VHW230" s="32"/>
      <c r="VHX230" s="32"/>
      <c r="VHY230" s="31"/>
      <c r="VHZ230" s="31"/>
      <c r="VIA230" s="33"/>
      <c r="VIB230" s="33"/>
      <c r="VIC230" s="34"/>
      <c r="VID230" s="34"/>
      <c r="VIE230" s="35"/>
      <c r="VIF230" s="35"/>
      <c r="VIG230" s="32"/>
      <c r="VIH230" s="31"/>
      <c r="VII230" s="31"/>
      <c r="VIJ230" s="31"/>
      <c r="VIK230" s="32"/>
      <c r="VIL230" s="32"/>
      <c r="VIM230" s="32"/>
      <c r="VIN230" s="32"/>
      <c r="VIO230" s="32"/>
      <c r="VIP230" s="31"/>
      <c r="VIQ230" s="31"/>
      <c r="VIR230" s="33"/>
      <c r="VIS230" s="33"/>
      <c r="VIT230" s="34"/>
      <c r="VIU230" s="34"/>
      <c r="VIV230" s="35"/>
      <c r="VIW230" s="35"/>
      <c r="VIX230" s="32"/>
      <c r="VIY230" s="31"/>
      <c r="VIZ230" s="31"/>
      <c r="VJA230" s="31"/>
      <c r="VJB230" s="32"/>
      <c r="VJC230" s="32"/>
      <c r="VJD230" s="32"/>
      <c r="VJE230" s="32"/>
      <c r="VJF230" s="32"/>
      <c r="VJG230" s="31"/>
      <c r="VJH230" s="31"/>
      <c r="VJI230" s="33"/>
      <c r="VJJ230" s="33"/>
      <c r="VJK230" s="34"/>
      <c r="VJL230" s="34"/>
      <c r="VJM230" s="35"/>
      <c r="VJN230" s="35"/>
      <c r="VJO230" s="32"/>
      <c r="VJP230" s="31"/>
      <c r="VJQ230" s="31"/>
      <c r="VJR230" s="31"/>
      <c r="VJS230" s="32"/>
      <c r="VJT230" s="32"/>
      <c r="VJU230" s="32"/>
      <c r="VJV230" s="32"/>
      <c r="VJW230" s="32"/>
      <c r="VJX230" s="31"/>
      <c r="VJY230" s="31"/>
      <c r="VJZ230" s="33"/>
      <c r="VKA230" s="33"/>
      <c r="VKB230" s="34"/>
      <c r="VKC230" s="34"/>
      <c r="VKD230" s="35"/>
      <c r="VKE230" s="35"/>
      <c r="VKF230" s="32"/>
      <c r="VKG230" s="31"/>
      <c r="VKH230" s="31"/>
      <c r="VKI230" s="31"/>
      <c r="VKJ230" s="32"/>
      <c r="VKK230" s="32"/>
      <c r="VKL230" s="32"/>
      <c r="VKM230" s="32"/>
      <c r="VKN230" s="32"/>
      <c r="VKO230" s="31"/>
      <c r="VKP230" s="31"/>
      <c r="VKQ230" s="33"/>
      <c r="VKR230" s="33"/>
      <c r="VKS230" s="34"/>
      <c r="VKT230" s="34"/>
      <c r="VKU230" s="35"/>
      <c r="VKV230" s="35"/>
      <c r="VKW230" s="32"/>
      <c r="VKX230" s="31"/>
      <c r="VKY230" s="31"/>
      <c r="VKZ230" s="31"/>
      <c r="VLA230" s="32"/>
      <c r="VLB230" s="32"/>
      <c r="VLC230" s="32"/>
      <c r="VLD230" s="32"/>
      <c r="VLE230" s="32"/>
      <c r="VLF230" s="31"/>
      <c r="VLG230" s="31"/>
      <c r="VLH230" s="33"/>
      <c r="VLI230" s="33"/>
      <c r="VLJ230" s="34"/>
      <c r="VLK230" s="34"/>
      <c r="VLL230" s="35"/>
      <c r="VLM230" s="35"/>
      <c r="VLN230" s="32"/>
      <c r="VLO230" s="31"/>
      <c r="VLP230" s="31"/>
      <c r="VLQ230" s="31"/>
      <c r="VLR230" s="32"/>
      <c r="VLS230" s="32"/>
      <c r="VLT230" s="32"/>
      <c r="VLU230" s="32"/>
      <c r="VLV230" s="32"/>
      <c r="VLW230" s="31"/>
      <c r="VLX230" s="31"/>
      <c r="VLY230" s="33"/>
      <c r="VLZ230" s="33"/>
      <c r="VMA230" s="34"/>
      <c r="VMB230" s="34"/>
      <c r="VMC230" s="35"/>
      <c r="VMD230" s="35"/>
      <c r="VME230" s="32"/>
      <c r="VMF230" s="31"/>
      <c r="VMG230" s="31"/>
      <c r="VMH230" s="31"/>
      <c r="VMI230" s="32"/>
      <c r="VMJ230" s="32"/>
      <c r="VMK230" s="32"/>
      <c r="VML230" s="32"/>
      <c r="VMM230" s="32"/>
      <c r="VMN230" s="31"/>
      <c r="VMO230" s="31"/>
      <c r="VMP230" s="33"/>
      <c r="VMQ230" s="33"/>
      <c r="VMR230" s="34"/>
      <c r="VMS230" s="34"/>
      <c r="VMT230" s="35"/>
      <c r="VMU230" s="35"/>
      <c r="VMV230" s="32"/>
      <c r="VMW230" s="31"/>
      <c r="VMX230" s="31"/>
      <c r="VMY230" s="31"/>
      <c r="VMZ230" s="32"/>
      <c r="VNA230" s="32"/>
      <c r="VNB230" s="32"/>
      <c r="VNC230" s="32"/>
      <c r="VND230" s="32"/>
      <c r="VNE230" s="31"/>
      <c r="VNF230" s="31"/>
      <c r="VNG230" s="33"/>
      <c r="VNH230" s="33"/>
      <c r="VNI230" s="34"/>
      <c r="VNJ230" s="34"/>
      <c r="VNK230" s="35"/>
      <c r="VNL230" s="35"/>
      <c r="VNM230" s="32"/>
      <c r="VNN230" s="31"/>
      <c r="VNO230" s="31"/>
      <c r="VNP230" s="31"/>
      <c r="VNQ230" s="32"/>
      <c r="VNR230" s="32"/>
      <c r="VNS230" s="32"/>
      <c r="VNT230" s="32"/>
      <c r="VNU230" s="32"/>
      <c r="VNV230" s="31"/>
      <c r="VNW230" s="31"/>
      <c r="VNX230" s="33"/>
      <c r="VNY230" s="33"/>
      <c r="VNZ230" s="34"/>
      <c r="VOA230" s="34"/>
      <c r="VOB230" s="35"/>
      <c r="VOC230" s="35"/>
      <c r="VOD230" s="32"/>
      <c r="VOE230" s="31"/>
      <c r="VOF230" s="31"/>
      <c r="VOG230" s="31"/>
      <c r="VOH230" s="32"/>
      <c r="VOI230" s="32"/>
      <c r="VOJ230" s="32"/>
      <c r="VOK230" s="32"/>
      <c r="VOL230" s="32"/>
      <c r="VOM230" s="31"/>
      <c r="VON230" s="31"/>
      <c r="VOO230" s="33"/>
      <c r="VOP230" s="33"/>
      <c r="VOQ230" s="34"/>
      <c r="VOR230" s="34"/>
      <c r="VOS230" s="35"/>
      <c r="VOT230" s="35"/>
      <c r="VOU230" s="32"/>
      <c r="VOV230" s="31"/>
      <c r="VOW230" s="31"/>
      <c r="VOX230" s="31"/>
      <c r="VOY230" s="32"/>
      <c r="VOZ230" s="32"/>
      <c r="VPA230" s="32"/>
      <c r="VPB230" s="32"/>
      <c r="VPC230" s="32"/>
      <c r="VPD230" s="31"/>
      <c r="VPE230" s="31"/>
      <c r="VPF230" s="33"/>
      <c r="VPG230" s="33"/>
      <c r="VPH230" s="34"/>
      <c r="VPI230" s="34"/>
      <c r="VPJ230" s="35"/>
      <c r="VPK230" s="35"/>
      <c r="VPL230" s="32"/>
      <c r="VPM230" s="31"/>
      <c r="VPN230" s="31"/>
      <c r="VPO230" s="31"/>
      <c r="VPP230" s="32"/>
      <c r="VPQ230" s="32"/>
      <c r="VPR230" s="32"/>
      <c r="VPS230" s="32"/>
      <c r="VPT230" s="32"/>
      <c r="VPU230" s="31"/>
      <c r="VPV230" s="31"/>
      <c r="VPW230" s="33"/>
      <c r="VPX230" s="33"/>
      <c r="VPY230" s="34"/>
      <c r="VPZ230" s="34"/>
      <c r="VQA230" s="35"/>
      <c r="VQB230" s="35"/>
      <c r="VQC230" s="32"/>
      <c r="VQD230" s="31"/>
      <c r="VQE230" s="31"/>
      <c r="VQF230" s="31"/>
      <c r="VQG230" s="32"/>
      <c r="VQH230" s="32"/>
      <c r="VQI230" s="32"/>
      <c r="VQJ230" s="32"/>
      <c r="VQK230" s="32"/>
      <c r="VQL230" s="31"/>
      <c r="VQM230" s="31"/>
      <c r="VQN230" s="33"/>
      <c r="VQO230" s="33"/>
      <c r="VQP230" s="34"/>
      <c r="VQQ230" s="34"/>
      <c r="VQR230" s="35"/>
      <c r="VQS230" s="35"/>
      <c r="VQT230" s="32"/>
      <c r="VQU230" s="31"/>
      <c r="VQV230" s="31"/>
      <c r="VQW230" s="31"/>
      <c r="VQX230" s="32"/>
      <c r="VQY230" s="32"/>
      <c r="VQZ230" s="32"/>
      <c r="VRA230" s="32"/>
      <c r="VRB230" s="32"/>
      <c r="VRC230" s="31"/>
      <c r="VRD230" s="31"/>
      <c r="VRE230" s="33"/>
      <c r="VRF230" s="33"/>
      <c r="VRG230" s="34"/>
      <c r="VRH230" s="34"/>
      <c r="VRI230" s="35"/>
      <c r="VRJ230" s="35"/>
      <c r="VRK230" s="32"/>
      <c r="VRL230" s="31"/>
      <c r="VRM230" s="31"/>
      <c r="VRN230" s="31"/>
      <c r="VRO230" s="32"/>
      <c r="VRP230" s="32"/>
      <c r="VRQ230" s="32"/>
      <c r="VRR230" s="32"/>
      <c r="VRS230" s="32"/>
      <c r="VRT230" s="31"/>
      <c r="VRU230" s="31"/>
      <c r="VRV230" s="33"/>
      <c r="VRW230" s="33"/>
      <c r="VRX230" s="34"/>
      <c r="VRY230" s="34"/>
      <c r="VRZ230" s="35"/>
      <c r="VSA230" s="35"/>
      <c r="VSB230" s="32"/>
      <c r="VSC230" s="31"/>
      <c r="VSD230" s="31"/>
      <c r="VSE230" s="31"/>
      <c r="VSF230" s="32"/>
      <c r="VSG230" s="32"/>
      <c r="VSH230" s="32"/>
      <c r="VSI230" s="32"/>
      <c r="VSJ230" s="32"/>
      <c r="VSK230" s="31"/>
      <c r="VSL230" s="31"/>
      <c r="VSM230" s="33"/>
      <c r="VSN230" s="33"/>
      <c r="VSO230" s="34"/>
      <c r="VSP230" s="34"/>
      <c r="VSQ230" s="35"/>
      <c r="VSR230" s="35"/>
      <c r="VSS230" s="32"/>
      <c r="VST230" s="31"/>
      <c r="VSU230" s="31"/>
      <c r="VSV230" s="31"/>
      <c r="VSW230" s="32"/>
      <c r="VSX230" s="32"/>
      <c r="VSY230" s="32"/>
      <c r="VSZ230" s="32"/>
      <c r="VTA230" s="32"/>
      <c r="VTB230" s="31"/>
      <c r="VTC230" s="31"/>
      <c r="VTD230" s="33"/>
      <c r="VTE230" s="33"/>
      <c r="VTF230" s="34"/>
      <c r="VTG230" s="34"/>
      <c r="VTH230" s="35"/>
      <c r="VTI230" s="35"/>
      <c r="VTJ230" s="32"/>
      <c r="VTK230" s="31"/>
      <c r="VTL230" s="31"/>
      <c r="VTM230" s="31"/>
      <c r="VTN230" s="32"/>
      <c r="VTO230" s="32"/>
      <c r="VTP230" s="32"/>
      <c r="VTQ230" s="32"/>
      <c r="VTR230" s="32"/>
      <c r="VTS230" s="31"/>
      <c r="VTT230" s="31"/>
      <c r="VTU230" s="33"/>
      <c r="VTV230" s="33"/>
      <c r="VTW230" s="34"/>
      <c r="VTX230" s="34"/>
      <c r="VTY230" s="35"/>
      <c r="VTZ230" s="35"/>
      <c r="VUA230" s="32"/>
      <c r="VUB230" s="31"/>
      <c r="VUC230" s="31"/>
      <c r="VUD230" s="31"/>
      <c r="VUE230" s="32"/>
      <c r="VUF230" s="32"/>
      <c r="VUG230" s="32"/>
      <c r="VUH230" s="32"/>
      <c r="VUI230" s="32"/>
      <c r="VUJ230" s="31"/>
      <c r="VUK230" s="31"/>
      <c r="VUL230" s="33"/>
      <c r="VUM230" s="33"/>
      <c r="VUN230" s="34"/>
      <c r="VUO230" s="34"/>
      <c r="VUP230" s="35"/>
      <c r="VUQ230" s="35"/>
      <c r="VUR230" s="32"/>
      <c r="VUS230" s="31"/>
      <c r="VUT230" s="31"/>
      <c r="VUU230" s="31"/>
      <c r="VUV230" s="32"/>
      <c r="VUW230" s="32"/>
      <c r="VUX230" s="32"/>
      <c r="VUY230" s="32"/>
      <c r="VUZ230" s="32"/>
      <c r="VVA230" s="31"/>
      <c r="VVB230" s="31"/>
      <c r="VVC230" s="33"/>
      <c r="VVD230" s="33"/>
      <c r="VVE230" s="34"/>
      <c r="VVF230" s="34"/>
      <c r="VVG230" s="35"/>
      <c r="VVH230" s="35"/>
      <c r="VVI230" s="32"/>
      <c r="VVJ230" s="31"/>
      <c r="VVK230" s="31"/>
      <c r="VVL230" s="31"/>
      <c r="VVM230" s="32"/>
      <c r="VVN230" s="32"/>
      <c r="VVO230" s="32"/>
      <c r="VVP230" s="32"/>
      <c r="VVQ230" s="32"/>
      <c r="VVR230" s="31"/>
      <c r="VVS230" s="31"/>
      <c r="VVT230" s="33"/>
      <c r="VVU230" s="33"/>
      <c r="VVV230" s="34"/>
      <c r="VVW230" s="34"/>
      <c r="VVX230" s="35"/>
      <c r="VVY230" s="35"/>
      <c r="VVZ230" s="32"/>
      <c r="VWA230" s="31"/>
      <c r="VWB230" s="31"/>
      <c r="VWC230" s="31"/>
      <c r="VWD230" s="32"/>
      <c r="VWE230" s="32"/>
      <c r="VWF230" s="32"/>
      <c r="VWG230" s="32"/>
      <c r="VWH230" s="32"/>
      <c r="VWI230" s="31"/>
      <c r="VWJ230" s="31"/>
      <c r="VWK230" s="33"/>
      <c r="VWL230" s="33"/>
      <c r="VWM230" s="34"/>
      <c r="VWN230" s="34"/>
      <c r="VWO230" s="35"/>
      <c r="VWP230" s="35"/>
      <c r="VWQ230" s="32"/>
      <c r="VWR230" s="31"/>
      <c r="VWS230" s="31"/>
      <c r="VWT230" s="31"/>
      <c r="VWU230" s="32"/>
      <c r="VWV230" s="32"/>
      <c r="VWW230" s="32"/>
      <c r="VWX230" s="32"/>
      <c r="VWY230" s="32"/>
      <c r="VWZ230" s="31"/>
      <c r="VXA230" s="31"/>
      <c r="VXB230" s="33"/>
      <c r="VXC230" s="33"/>
      <c r="VXD230" s="34"/>
      <c r="VXE230" s="34"/>
      <c r="VXF230" s="35"/>
      <c r="VXG230" s="35"/>
      <c r="VXH230" s="32"/>
      <c r="VXI230" s="31"/>
      <c r="VXJ230" s="31"/>
      <c r="VXK230" s="31"/>
      <c r="VXL230" s="32"/>
      <c r="VXM230" s="32"/>
      <c r="VXN230" s="32"/>
      <c r="VXO230" s="32"/>
      <c r="VXP230" s="32"/>
      <c r="VXQ230" s="31"/>
      <c r="VXR230" s="31"/>
      <c r="VXS230" s="33"/>
      <c r="VXT230" s="33"/>
      <c r="VXU230" s="34"/>
      <c r="VXV230" s="34"/>
      <c r="VXW230" s="35"/>
      <c r="VXX230" s="35"/>
      <c r="VXY230" s="32"/>
      <c r="VXZ230" s="31"/>
      <c r="VYA230" s="31"/>
      <c r="VYB230" s="31"/>
      <c r="VYC230" s="32"/>
      <c r="VYD230" s="32"/>
      <c r="VYE230" s="32"/>
      <c r="VYF230" s="32"/>
      <c r="VYG230" s="32"/>
      <c r="VYH230" s="31"/>
      <c r="VYI230" s="31"/>
      <c r="VYJ230" s="33"/>
      <c r="VYK230" s="33"/>
      <c r="VYL230" s="34"/>
      <c r="VYM230" s="34"/>
      <c r="VYN230" s="35"/>
      <c r="VYO230" s="35"/>
      <c r="VYP230" s="32"/>
      <c r="VYQ230" s="31"/>
      <c r="VYR230" s="31"/>
      <c r="VYS230" s="31"/>
      <c r="VYT230" s="32"/>
      <c r="VYU230" s="32"/>
      <c r="VYV230" s="32"/>
      <c r="VYW230" s="32"/>
      <c r="VYX230" s="32"/>
      <c r="VYY230" s="31"/>
      <c r="VYZ230" s="31"/>
      <c r="VZA230" s="33"/>
      <c r="VZB230" s="33"/>
      <c r="VZC230" s="34"/>
      <c r="VZD230" s="34"/>
      <c r="VZE230" s="35"/>
      <c r="VZF230" s="35"/>
      <c r="VZG230" s="32"/>
      <c r="VZH230" s="31"/>
      <c r="VZI230" s="31"/>
      <c r="VZJ230" s="31"/>
      <c r="VZK230" s="32"/>
      <c r="VZL230" s="32"/>
      <c r="VZM230" s="32"/>
      <c r="VZN230" s="32"/>
      <c r="VZO230" s="32"/>
      <c r="VZP230" s="31"/>
      <c r="VZQ230" s="31"/>
      <c r="VZR230" s="33"/>
      <c r="VZS230" s="33"/>
      <c r="VZT230" s="34"/>
      <c r="VZU230" s="34"/>
      <c r="VZV230" s="35"/>
      <c r="VZW230" s="35"/>
      <c r="VZX230" s="32"/>
      <c r="VZY230" s="31"/>
      <c r="VZZ230" s="31"/>
      <c r="WAA230" s="31"/>
      <c r="WAB230" s="32"/>
      <c r="WAC230" s="32"/>
      <c r="WAD230" s="32"/>
      <c r="WAE230" s="32"/>
      <c r="WAF230" s="32"/>
      <c r="WAG230" s="31"/>
      <c r="WAH230" s="31"/>
      <c r="WAI230" s="33"/>
      <c r="WAJ230" s="33"/>
      <c r="WAK230" s="34"/>
      <c r="WAL230" s="34"/>
      <c r="WAM230" s="35"/>
      <c r="WAN230" s="35"/>
      <c r="WAO230" s="32"/>
      <c r="WAP230" s="31"/>
      <c r="WAQ230" s="31"/>
      <c r="WAR230" s="31"/>
      <c r="WAS230" s="32"/>
      <c r="WAT230" s="32"/>
      <c r="WAU230" s="32"/>
      <c r="WAV230" s="32"/>
      <c r="WAW230" s="32"/>
      <c r="WAX230" s="31"/>
      <c r="WAY230" s="31"/>
      <c r="WAZ230" s="33"/>
      <c r="WBA230" s="33"/>
      <c r="WBB230" s="34"/>
      <c r="WBC230" s="34"/>
      <c r="WBD230" s="35"/>
      <c r="WBE230" s="35"/>
      <c r="WBF230" s="32"/>
      <c r="WBG230" s="31"/>
      <c r="WBH230" s="31"/>
      <c r="WBI230" s="31"/>
      <c r="WBJ230" s="32"/>
      <c r="WBK230" s="32"/>
      <c r="WBL230" s="32"/>
      <c r="WBM230" s="32"/>
      <c r="WBN230" s="32"/>
      <c r="WBO230" s="31"/>
      <c r="WBP230" s="31"/>
      <c r="WBQ230" s="33"/>
      <c r="WBR230" s="33"/>
      <c r="WBS230" s="34"/>
      <c r="WBT230" s="34"/>
      <c r="WBU230" s="35"/>
      <c r="WBV230" s="35"/>
      <c r="WBW230" s="32"/>
      <c r="WBX230" s="31"/>
      <c r="WBY230" s="31"/>
      <c r="WBZ230" s="31"/>
      <c r="WCA230" s="32"/>
      <c r="WCB230" s="32"/>
      <c r="WCC230" s="32"/>
      <c r="WCD230" s="32"/>
      <c r="WCE230" s="32"/>
      <c r="WCF230" s="31"/>
      <c r="WCG230" s="31"/>
      <c r="WCH230" s="33"/>
      <c r="WCI230" s="33"/>
      <c r="WCJ230" s="34"/>
      <c r="WCK230" s="34"/>
      <c r="WCL230" s="35"/>
      <c r="WCM230" s="35"/>
      <c r="WCN230" s="32"/>
      <c r="WCO230" s="31"/>
      <c r="WCP230" s="31"/>
      <c r="WCQ230" s="31"/>
      <c r="WCR230" s="32"/>
      <c r="WCS230" s="32"/>
      <c r="WCT230" s="32"/>
      <c r="WCU230" s="32"/>
      <c r="WCV230" s="32"/>
      <c r="WCW230" s="31"/>
      <c r="WCX230" s="31"/>
      <c r="WCY230" s="33"/>
      <c r="WCZ230" s="33"/>
      <c r="WDA230" s="34"/>
      <c r="WDB230" s="34"/>
      <c r="WDC230" s="35"/>
      <c r="WDD230" s="35"/>
      <c r="WDE230" s="32"/>
      <c r="WDF230" s="31"/>
      <c r="WDG230" s="31"/>
      <c r="WDH230" s="31"/>
      <c r="WDI230" s="32"/>
      <c r="WDJ230" s="32"/>
      <c r="WDK230" s="32"/>
      <c r="WDL230" s="32"/>
      <c r="WDM230" s="32"/>
      <c r="WDN230" s="31"/>
      <c r="WDO230" s="31"/>
      <c r="WDP230" s="33"/>
      <c r="WDQ230" s="33"/>
      <c r="WDR230" s="34"/>
      <c r="WDS230" s="34"/>
      <c r="WDT230" s="35"/>
      <c r="WDU230" s="35"/>
      <c r="WDV230" s="32"/>
      <c r="WDW230" s="31"/>
      <c r="WDX230" s="31"/>
      <c r="WDY230" s="31"/>
      <c r="WDZ230" s="32"/>
      <c r="WEA230" s="32"/>
      <c r="WEB230" s="32"/>
      <c r="WEC230" s="32"/>
      <c r="WED230" s="32"/>
      <c r="WEE230" s="31"/>
      <c r="WEF230" s="31"/>
      <c r="WEG230" s="33"/>
      <c r="WEH230" s="33"/>
      <c r="WEI230" s="34"/>
      <c r="WEJ230" s="34"/>
      <c r="WEK230" s="35"/>
      <c r="WEL230" s="35"/>
      <c r="WEM230" s="32"/>
      <c r="WEN230" s="31"/>
      <c r="WEO230" s="31"/>
      <c r="WEP230" s="31"/>
      <c r="WEQ230" s="32"/>
      <c r="WER230" s="32"/>
      <c r="WES230" s="32"/>
      <c r="WET230" s="32"/>
      <c r="WEU230" s="32"/>
      <c r="WEV230" s="31"/>
      <c r="WEW230" s="31"/>
      <c r="WEX230" s="33"/>
      <c r="WEY230" s="33"/>
      <c r="WEZ230" s="34"/>
      <c r="WFA230" s="34"/>
      <c r="WFB230" s="35"/>
      <c r="WFC230" s="35"/>
      <c r="WFD230" s="32"/>
      <c r="WFE230" s="31"/>
      <c r="WFF230" s="31"/>
      <c r="WFG230" s="31"/>
      <c r="WFH230" s="32"/>
      <c r="WFI230" s="32"/>
      <c r="WFJ230" s="32"/>
      <c r="WFK230" s="32"/>
      <c r="WFL230" s="32"/>
      <c r="WFM230" s="31"/>
      <c r="WFN230" s="31"/>
      <c r="WFO230" s="33"/>
      <c r="WFP230" s="33"/>
      <c r="WFQ230" s="34"/>
      <c r="WFR230" s="34"/>
      <c r="WFS230" s="35"/>
      <c r="WFT230" s="35"/>
      <c r="WFU230" s="32"/>
      <c r="WFV230" s="31"/>
      <c r="WFW230" s="31"/>
      <c r="WFX230" s="31"/>
      <c r="WFY230" s="32"/>
      <c r="WFZ230" s="32"/>
      <c r="WGA230" s="32"/>
      <c r="WGB230" s="32"/>
      <c r="WGC230" s="32"/>
      <c r="WGD230" s="31"/>
      <c r="WGE230" s="31"/>
      <c r="WGF230" s="33"/>
      <c r="WGG230" s="33"/>
      <c r="WGH230" s="34"/>
      <c r="WGI230" s="34"/>
      <c r="WGJ230" s="35"/>
      <c r="WGK230" s="35"/>
      <c r="WGL230" s="32"/>
      <c r="WGM230" s="31"/>
      <c r="WGN230" s="31"/>
      <c r="WGO230" s="31"/>
      <c r="WGP230" s="32"/>
      <c r="WGQ230" s="32"/>
      <c r="WGR230" s="32"/>
      <c r="WGS230" s="32"/>
      <c r="WGT230" s="32"/>
      <c r="WGU230" s="31"/>
      <c r="WGV230" s="31"/>
      <c r="WGW230" s="33"/>
      <c r="WGX230" s="33"/>
      <c r="WGY230" s="34"/>
      <c r="WGZ230" s="34"/>
      <c r="WHA230" s="35"/>
      <c r="WHB230" s="35"/>
      <c r="WHC230" s="32"/>
      <c r="WHD230" s="31"/>
      <c r="WHE230" s="31"/>
      <c r="WHF230" s="31"/>
      <c r="WHG230" s="32"/>
      <c r="WHH230" s="32"/>
      <c r="WHI230" s="32"/>
      <c r="WHJ230" s="32"/>
      <c r="WHK230" s="32"/>
      <c r="WHL230" s="31"/>
      <c r="WHM230" s="31"/>
      <c r="WHN230" s="33"/>
      <c r="WHO230" s="33"/>
      <c r="WHP230" s="34"/>
      <c r="WHQ230" s="34"/>
      <c r="WHR230" s="35"/>
      <c r="WHS230" s="35"/>
      <c r="WHT230" s="32"/>
      <c r="WHU230" s="31"/>
      <c r="WHV230" s="31"/>
      <c r="WHW230" s="31"/>
      <c r="WHX230" s="32"/>
      <c r="WHY230" s="32"/>
      <c r="WHZ230" s="32"/>
      <c r="WIA230" s="32"/>
      <c r="WIB230" s="32"/>
      <c r="WIC230" s="31"/>
      <c r="WID230" s="31"/>
      <c r="WIE230" s="33"/>
      <c r="WIF230" s="33"/>
      <c r="WIG230" s="34"/>
      <c r="WIH230" s="34"/>
      <c r="WII230" s="35"/>
      <c r="WIJ230" s="35"/>
      <c r="WIK230" s="32"/>
      <c r="WIL230" s="31"/>
      <c r="WIM230" s="31"/>
      <c r="WIN230" s="31"/>
      <c r="WIO230" s="32"/>
      <c r="WIP230" s="32"/>
      <c r="WIQ230" s="32"/>
      <c r="WIR230" s="32"/>
      <c r="WIS230" s="32"/>
      <c r="WIT230" s="31"/>
      <c r="WIU230" s="31"/>
      <c r="WIV230" s="33"/>
      <c r="WIW230" s="33"/>
      <c r="WIX230" s="34"/>
      <c r="WIY230" s="34"/>
      <c r="WIZ230" s="35"/>
      <c r="WJA230" s="35"/>
      <c r="WJB230" s="32"/>
      <c r="WJC230" s="31"/>
      <c r="WJD230" s="31"/>
      <c r="WJE230" s="31"/>
      <c r="WJF230" s="32"/>
      <c r="WJG230" s="32"/>
      <c r="WJH230" s="32"/>
      <c r="WJI230" s="32"/>
      <c r="WJJ230" s="32"/>
      <c r="WJK230" s="31"/>
      <c r="WJL230" s="31"/>
      <c r="WJM230" s="33"/>
      <c r="WJN230" s="33"/>
      <c r="WJO230" s="34"/>
      <c r="WJP230" s="34"/>
      <c r="WJQ230" s="35"/>
      <c r="WJR230" s="35"/>
      <c r="WJS230" s="32"/>
      <c r="WJT230" s="31"/>
      <c r="WJU230" s="31"/>
      <c r="WJV230" s="31"/>
      <c r="WJW230" s="32"/>
      <c r="WJX230" s="32"/>
      <c r="WJY230" s="32"/>
      <c r="WJZ230" s="32"/>
      <c r="WKA230" s="32"/>
      <c r="WKB230" s="31"/>
      <c r="WKC230" s="31"/>
      <c r="WKD230" s="33"/>
      <c r="WKE230" s="33"/>
      <c r="WKF230" s="34"/>
      <c r="WKG230" s="34"/>
      <c r="WKH230" s="35"/>
      <c r="WKI230" s="35"/>
      <c r="WKJ230" s="32"/>
      <c r="WKK230" s="31"/>
      <c r="WKL230" s="31"/>
      <c r="WKM230" s="31"/>
      <c r="WKN230" s="32"/>
      <c r="WKO230" s="32"/>
      <c r="WKP230" s="32"/>
      <c r="WKQ230" s="32"/>
      <c r="WKR230" s="32"/>
      <c r="WKS230" s="31"/>
      <c r="WKT230" s="31"/>
      <c r="WKU230" s="33"/>
      <c r="WKV230" s="33"/>
      <c r="WKW230" s="34"/>
      <c r="WKX230" s="34"/>
      <c r="WKY230" s="35"/>
      <c r="WKZ230" s="35"/>
      <c r="WLA230" s="32"/>
      <c r="WLB230" s="31"/>
      <c r="WLC230" s="31"/>
      <c r="WLD230" s="31"/>
      <c r="WLE230" s="32"/>
      <c r="WLF230" s="32"/>
      <c r="WLG230" s="32"/>
      <c r="WLH230" s="32"/>
      <c r="WLI230" s="32"/>
      <c r="WLJ230" s="31"/>
      <c r="WLK230" s="31"/>
      <c r="WLL230" s="33"/>
      <c r="WLM230" s="33"/>
      <c r="WLN230" s="34"/>
      <c r="WLO230" s="34"/>
      <c r="WLP230" s="35"/>
      <c r="WLQ230" s="35"/>
      <c r="WLR230" s="32"/>
      <c r="WLS230" s="31"/>
      <c r="WLT230" s="31"/>
      <c r="WLU230" s="31"/>
      <c r="WLV230" s="32"/>
      <c r="WLW230" s="32"/>
      <c r="WLX230" s="32"/>
      <c r="WLY230" s="32"/>
      <c r="WLZ230" s="32"/>
      <c r="WMA230" s="31"/>
      <c r="WMB230" s="31"/>
      <c r="WMC230" s="33"/>
      <c r="WMD230" s="33"/>
      <c r="WME230" s="34"/>
      <c r="WMF230" s="34"/>
      <c r="WMG230" s="35"/>
      <c r="WMH230" s="35"/>
      <c r="WMI230" s="32"/>
      <c r="WMJ230" s="31"/>
      <c r="WMK230" s="31"/>
      <c r="WML230" s="31"/>
      <c r="WMM230" s="32"/>
      <c r="WMN230" s="32"/>
      <c r="WMO230" s="32"/>
      <c r="WMP230" s="32"/>
      <c r="WMQ230" s="32"/>
      <c r="WMR230" s="31"/>
      <c r="WMS230" s="31"/>
      <c r="WMT230" s="33"/>
      <c r="WMU230" s="33"/>
      <c r="WMV230" s="34"/>
      <c r="WMW230" s="34"/>
      <c r="WMX230" s="35"/>
      <c r="WMY230" s="35"/>
      <c r="WMZ230" s="32"/>
      <c r="WNA230" s="31"/>
      <c r="WNB230" s="31"/>
      <c r="WNC230" s="31"/>
      <c r="WND230" s="32"/>
      <c r="WNE230" s="32"/>
      <c r="WNF230" s="32"/>
      <c r="WNG230" s="32"/>
      <c r="WNH230" s="32"/>
      <c r="WNI230" s="31"/>
      <c r="WNJ230" s="31"/>
      <c r="WNK230" s="33"/>
      <c r="WNL230" s="33"/>
      <c r="WNM230" s="34"/>
      <c r="WNN230" s="34"/>
      <c r="WNO230" s="35"/>
      <c r="WNP230" s="35"/>
      <c r="WNQ230" s="32"/>
      <c r="WNR230" s="31"/>
      <c r="WNS230" s="31"/>
      <c r="WNT230" s="31"/>
      <c r="WNU230" s="32"/>
      <c r="WNV230" s="32"/>
      <c r="WNW230" s="32"/>
      <c r="WNX230" s="32"/>
      <c r="WNY230" s="32"/>
      <c r="WNZ230" s="31"/>
      <c r="WOA230" s="31"/>
      <c r="WOB230" s="33"/>
      <c r="WOC230" s="33"/>
      <c r="WOD230" s="34"/>
      <c r="WOE230" s="34"/>
      <c r="WOF230" s="35"/>
      <c r="WOG230" s="35"/>
      <c r="WOH230" s="32"/>
      <c r="WOI230" s="31"/>
      <c r="WOJ230" s="31"/>
      <c r="WOK230" s="31"/>
      <c r="WOL230" s="32"/>
      <c r="WOM230" s="32"/>
      <c r="WON230" s="32"/>
      <c r="WOO230" s="32"/>
      <c r="WOP230" s="32"/>
      <c r="WOQ230" s="31"/>
      <c r="WOR230" s="31"/>
      <c r="WOS230" s="33"/>
      <c r="WOT230" s="33"/>
      <c r="WOU230" s="34"/>
      <c r="WOV230" s="34"/>
      <c r="WOW230" s="35"/>
      <c r="WOX230" s="35"/>
      <c r="WOY230" s="32"/>
      <c r="WOZ230" s="31"/>
      <c r="WPA230" s="31"/>
      <c r="WPB230" s="31"/>
      <c r="WPC230" s="32"/>
      <c r="WPD230" s="32"/>
      <c r="WPE230" s="32"/>
      <c r="WPF230" s="32"/>
      <c r="WPG230" s="32"/>
      <c r="WPH230" s="31"/>
      <c r="WPI230" s="31"/>
      <c r="WPJ230" s="33"/>
      <c r="WPK230" s="33"/>
      <c r="WPL230" s="34"/>
      <c r="WPM230" s="34"/>
      <c r="WPN230" s="35"/>
      <c r="WPO230" s="35"/>
      <c r="WPP230" s="32"/>
      <c r="WPQ230" s="31"/>
      <c r="WPR230" s="31"/>
      <c r="WPS230" s="31"/>
      <c r="WPT230" s="32"/>
      <c r="WPU230" s="32"/>
      <c r="WPV230" s="32"/>
      <c r="WPW230" s="32"/>
      <c r="WPX230" s="32"/>
      <c r="WPY230" s="31"/>
      <c r="WPZ230" s="31"/>
      <c r="WQA230" s="33"/>
      <c r="WQB230" s="33"/>
      <c r="WQC230" s="34"/>
      <c r="WQD230" s="34"/>
      <c r="WQE230" s="35"/>
      <c r="WQF230" s="35"/>
      <c r="WQG230" s="32"/>
      <c r="WQH230" s="31"/>
      <c r="WQI230" s="31"/>
      <c r="WQJ230" s="31"/>
      <c r="WQK230" s="32"/>
      <c r="WQL230" s="32"/>
      <c r="WQM230" s="32"/>
      <c r="WQN230" s="32"/>
      <c r="WQO230" s="32"/>
      <c r="WQP230" s="31"/>
      <c r="WQQ230" s="31"/>
      <c r="WQR230" s="33"/>
      <c r="WQS230" s="33"/>
      <c r="WQT230" s="34"/>
      <c r="WQU230" s="34"/>
      <c r="WQV230" s="35"/>
      <c r="WQW230" s="35"/>
      <c r="WQX230" s="32"/>
      <c r="WQY230" s="31"/>
      <c r="WQZ230" s="31"/>
      <c r="WRA230" s="31"/>
      <c r="WRB230" s="32"/>
      <c r="WRC230" s="32"/>
      <c r="WRD230" s="32"/>
      <c r="WRE230" s="32"/>
      <c r="WRF230" s="32"/>
      <c r="WRG230" s="31"/>
      <c r="WRH230" s="31"/>
      <c r="WRI230" s="33"/>
      <c r="WRJ230" s="33"/>
      <c r="WRK230" s="34"/>
      <c r="WRL230" s="34"/>
      <c r="WRM230" s="35"/>
      <c r="WRN230" s="35"/>
      <c r="WRO230" s="32"/>
      <c r="WRP230" s="31"/>
      <c r="WRQ230" s="31"/>
      <c r="WRR230" s="31"/>
      <c r="WRS230" s="32"/>
      <c r="WRT230" s="32"/>
      <c r="WRU230" s="32"/>
      <c r="WRV230" s="32"/>
      <c r="WRW230" s="32"/>
      <c r="WRX230" s="31"/>
      <c r="WRY230" s="31"/>
      <c r="WRZ230" s="33"/>
      <c r="WSA230" s="33"/>
      <c r="WSB230" s="34"/>
      <c r="WSC230" s="34"/>
      <c r="WSD230" s="35"/>
      <c r="WSE230" s="35"/>
      <c r="WSF230" s="32"/>
      <c r="WSG230" s="31"/>
      <c r="WSH230" s="31"/>
      <c r="WSI230" s="31"/>
      <c r="WSJ230" s="32"/>
      <c r="WSK230" s="32"/>
      <c r="WSL230" s="32"/>
      <c r="WSM230" s="32"/>
      <c r="WSN230" s="32"/>
      <c r="WSO230" s="31"/>
      <c r="WSP230" s="31"/>
      <c r="WSQ230" s="33"/>
      <c r="WSR230" s="33"/>
      <c r="WSS230" s="34"/>
      <c r="WST230" s="34"/>
      <c r="WSU230" s="35"/>
      <c r="WSV230" s="35"/>
      <c r="WSW230" s="32"/>
      <c r="WSX230" s="31"/>
      <c r="WSY230" s="31"/>
      <c r="WSZ230" s="31"/>
      <c r="WTA230" s="32"/>
      <c r="WTB230" s="32"/>
      <c r="WTC230" s="32"/>
      <c r="WTD230" s="32"/>
      <c r="WTE230" s="32"/>
      <c r="WTF230" s="31"/>
      <c r="WTG230" s="31"/>
      <c r="WTH230" s="33"/>
      <c r="WTI230" s="33"/>
      <c r="WTJ230" s="34"/>
      <c r="WTK230" s="34"/>
      <c r="WTL230" s="35"/>
      <c r="WTM230" s="35"/>
      <c r="WTN230" s="32"/>
      <c r="WTO230" s="31"/>
      <c r="WTP230" s="31"/>
      <c r="WTQ230" s="31"/>
      <c r="WTR230" s="32"/>
      <c r="WTS230" s="32"/>
      <c r="WTT230" s="32"/>
      <c r="WTU230" s="32"/>
      <c r="WTV230" s="32"/>
      <c r="WTW230" s="31"/>
      <c r="WTX230" s="31"/>
      <c r="WTY230" s="33"/>
      <c r="WTZ230" s="33"/>
      <c r="WUA230" s="34"/>
      <c r="WUB230" s="34"/>
      <c r="WUC230" s="35"/>
      <c r="WUD230" s="35"/>
      <c r="WUE230" s="32"/>
      <c r="WUF230" s="31"/>
      <c r="WUG230" s="31"/>
      <c r="WUH230" s="31"/>
      <c r="WUI230" s="32"/>
      <c r="WUJ230" s="32"/>
      <c r="WUK230" s="32"/>
      <c r="WUL230" s="32"/>
      <c r="WUM230" s="32"/>
      <c r="WUN230" s="31"/>
      <c r="WUO230" s="31"/>
      <c r="WUP230" s="33"/>
      <c r="WUQ230" s="33"/>
      <c r="WUR230" s="34"/>
      <c r="WUS230" s="34"/>
      <c r="WUT230" s="35"/>
      <c r="WUU230" s="35"/>
      <c r="WUV230" s="32"/>
      <c r="WUW230" s="31"/>
      <c r="WUX230" s="31"/>
      <c r="WUY230" s="31"/>
      <c r="WUZ230" s="32"/>
      <c r="WVA230" s="32"/>
      <c r="WVB230" s="32"/>
      <c r="WVC230" s="32"/>
      <c r="WVD230" s="32"/>
      <c r="WVE230" s="31"/>
      <c r="WVF230" s="31"/>
      <c r="WVG230" s="33"/>
      <c r="WVH230" s="33"/>
      <c r="WVI230" s="34"/>
      <c r="WVJ230" s="34"/>
      <c r="WVK230" s="35"/>
      <c r="WVL230" s="35"/>
      <c r="WVM230" s="32"/>
      <c r="WVN230" s="31"/>
      <c r="WVO230" s="31"/>
      <c r="WVP230" s="31"/>
      <c r="WVQ230" s="32"/>
      <c r="WVR230" s="32"/>
      <c r="WVS230" s="32"/>
      <c r="WVT230" s="32"/>
      <c r="WVU230" s="32"/>
      <c r="WVV230" s="31"/>
      <c r="WVW230" s="31"/>
      <c r="WVX230" s="33"/>
      <c r="WVY230" s="33"/>
      <c r="WVZ230" s="34"/>
      <c r="WWA230" s="34"/>
      <c r="WWB230" s="35"/>
      <c r="WWC230" s="35"/>
      <c r="WWD230" s="32"/>
      <c r="WWE230" s="31"/>
      <c r="WWF230" s="31"/>
      <c r="WWG230" s="31"/>
      <c r="WWH230" s="32"/>
      <c r="WWI230" s="32"/>
      <c r="WWJ230" s="32"/>
      <c r="WWK230" s="32"/>
      <c r="WWL230" s="32"/>
      <c r="WWM230" s="31"/>
      <c r="WWN230" s="31"/>
      <c r="WWO230" s="33"/>
      <c r="WWP230" s="33"/>
      <c r="WWQ230" s="34"/>
      <c r="WWR230" s="34"/>
      <c r="WWS230" s="35"/>
      <c r="WWT230" s="35"/>
      <c r="WWU230" s="32"/>
      <c r="WWV230" s="31"/>
      <c r="WWW230" s="31"/>
      <c r="WWX230" s="31"/>
      <c r="WWY230" s="32"/>
      <c r="WWZ230" s="32"/>
      <c r="WXA230" s="32"/>
      <c r="WXB230" s="32"/>
      <c r="WXC230" s="32"/>
      <c r="WXD230" s="31"/>
      <c r="WXE230" s="31"/>
      <c r="WXF230" s="33"/>
      <c r="WXG230" s="33"/>
      <c r="WXH230" s="34"/>
      <c r="WXI230" s="34"/>
      <c r="WXJ230" s="35"/>
      <c r="WXK230" s="35"/>
      <c r="WXL230" s="32"/>
      <c r="WXM230" s="31"/>
      <c r="WXN230" s="31"/>
      <c r="WXO230" s="31"/>
      <c r="WXP230" s="32"/>
      <c r="WXQ230" s="32"/>
      <c r="WXR230" s="32"/>
      <c r="WXS230" s="32"/>
      <c r="WXT230" s="32"/>
      <c r="WXU230" s="31"/>
      <c r="WXV230" s="31"/>
      <c r="WXW230" s="33"/>
      <c r="WXX230" s="33"/>
      <c r="WXY230" s="34"/>
      <c r="WXZ230" s="34"/>
      <c r="WYA230" s="35"/>
      <c r="WYB230" s="35"/>
      <c r="WYC230" s="32"/>
      <c r="WYD230" s="31"/>
      <c r="WYE230" s="31"/>
      <c r="WYF230" s="31"/>
      <c r="WYG230" s="32"/>
      <c r="WYH230" s="32"/>
      <c r="WYI230" s="32"/>
      <c r="WYJ230" s="32"/>
      <c r="WYK230" s="32"/>
      <c r="WYL230" s="31"/>
      <c r="WYM230" s="31"/>
      <c r="WYN230" s="33"/>
      <c r="WYO230" s="33"/>
      <c r="WYP230" s="34"/>
      <c r="WYQ230" s="34"/>
      <c r="WYR230" s="35"/>
      <c r="WYS230" s="35"/>
      <c r="WYT230" s="32"/>
      <c r="WYU230" s="31"/>
      <c r="WYV230" s="31"/>
      <c r="WYW230" s="31"/>
      <c r="WYX230" s="32"/>
      <c r="WYY230" s="32"/>
      <c r="WYZ230" s="32"/>
      <c r="WZA230" s="32"/>
      <c r="WZB230" s="32"/>
      <c r="WZC230" s="31"/>
      <c r="WZD230" s="31"/>
      <c r="WZE230" s="33"/>
      <c r="WZF230" s="33"/>
      <c r="WZG230" s="34"/>
      <c r="WZH230" s="34"/>
      <c r="WZI230" s="35"/>
      <c r="WZJ230" s="35"/>
      <c r="WZK230" s="32"/>
      <c r="WZL230" s="31"/>
      <c r="WZM230" s="31"/>
      <c r="WZN230" s="31"/>
      <c r="WZO230" s="32"/>
      <c r="WZP230" s="32"/>
      <c r="WZQ230" s="32"/>
      <c r="WZR230" s="32"/>
      <c r="WZS230" s="32"/>
      <c r="WZT230" s="31"/>
      <c r="WZU230" s="31"/>
      <c r="WZV230" s="33"/>
      <c r="WZW230" s="33"/>
      <c r="WZX230" s="34"/>
      <c r="WZY230" s="34"/>
      <c r="WZZ230" s="35"/>
      <c r="XAA230" s="35"/>
      <c r="XAB230" s="32"/>
      <c r="XAC230" s="31"/>
      <c r="XAD230" s="31"/>
      <c r="XAE230" s="31"/>
      <c r="XAF230" s="32"/>
      <c r="XAG230" s="32"/>
      <c r="XAH230" s="32"/>
      <c r="XAI230" s="32"/>
      <c r="XAJ230" s="32"/>
      <c r="XAK230" s="31"/>
      <c r="XAL230" s="31"/>
      <c r="XAM230" s="33"/>
      <c r="XAN230" s="33"/>
      <c r="XAO230" s="34"/>
      <c r="XAP230" s="34"/>
      <c r="XAQ230" s="35"/>
      <c r="XAR230" s="35"/>
      <c r="XAS230" s="32"/>
      <c r="XAT230" s="31"/>
      <c r="XAU230" s="31"/>
      <c r="XAV230" s="31"/>
      <c r="XAW230" s="32"/>
      <c r="XAX230" s="32"/>
      <c r="XAY230" s="32"/>
      <c r="XAZ230" s="32"/>
      <c r="XBA230" s="32"/>
      <c r="XBB230" s="31"/>
      <c r="XBC230" s="31"/>
      <c r="XBD230" s="33"/>
      <c r="XBE230" s="33"/>
      <c r="XBF230" s="34"/>
      <c r="XBG230" s="34"/>
      <c r="XBH230" s="35"/>
      <c r="XBI230" s="35"/>
      <c r="XBJ230" s="32"/>
      <c r="XBK230" s="31"/>
      <c r="XBL230" s="31"/>
      <c r="XBM230" s="31"/>
      <c r="XBN230" s="32"/>
      <c r="XBO230" s="32"/>
      <c r="XBP230" s="32"/>
      <c r="XBQ230" s="32"/>
      <c r="XBR230" s="32"/>
      <c r="XBS230" s="31"/>
      <c r="XBT230" s="31"/>
      <c r="XBU230" s="33"/>
      <c r="XBV230" s="33"/>
      <c r="XBW230" s="34"/>
      <c r="XBX230" s="34"/>
      <c r="XBY230" s="35"/>
      <c r="XBZ230" s="35"/>
      <c r="XCA230" s="32"/>
      <c r="XCB230" s="31"/>
      <c r="XCC230" s="31"/>
      <c r="XCD230" s="31"/>
      <c r="XCE230" s="32"/>
      <c r="XCF230" s="32"/>
      <c r="XCG230" s="32"/>
      <c r="XCH230" s="32"/>
      <c r="XCI230" s="32"/>
      <c r="XCJ230" s="31"/>
      <c r="XCK230" s="31"/>
      <c r="XCL230" s="33"/>
      <c r="XCM230" s="33"/>
      <c r="XCN230" s="34"/>
      <c r="XCO230" s="34"/>
      <c r="XCP230" s="35"/>
      <c r="XCQ230" s="35"/>
      <c r="XCR230" s="32"/>
      <c r="XCS230" s="31"/>
      <c r="XCT230" s="31"/>
      <c r="XCU230" s="31"/>
      <c r="XCV230" s="32"/>
      <c r="XCW230" s="32"/>
      <c r="XCX230" s="32"/>
      <c r="XCY230" s="32"/>
      <c r="XCZ230" s="32"/>
      <c r="XDA230" s="31"/>
      <c r="XDB230" s="31"/>
      <c r="XDC230" s="33"/>
      <c r="XDD230" s="33"/>
      <c r="XDE230" s="34"/>
      <c r="XDF230" s="34"/>
      <c r="XDG230" s="35"/>
      <c r="XDH230" s="35"/>
      <c r="XDI230" s="32"/>
      <c r="XDJ230" s="31"/>
      <c r="XDK230" s="31"/>
      <c r="XDL230" s="31"/>
      <c r="XDM230" s="32"/>
      <c r="XDN230" s="32"/>
      <c r="XDO230" s="32"/>
      <c r="XDP230" s="32"/>
      <c r="XDQ230" s="32"/>
      <c r="XDR230" s="31"/>
      <c r="XDS230" s="31"/>
      <c r="XDT230" s="33"/>
      <c r="XDU230" s="33"/>
      <c r="XDV230" s="34"/>
      <c r="XDW230" s="34"/>
      <c r="XDX230" s="35"/>
      <c r="XDY230" s="35"/>
      <c r="XDZ230" s="32"/>
      <c r="XEA230" s="31"/>
      <c r="XEB230" s="31"/>
      <c r="XEC230" s="31"/>
      <c r="XED230" s="32"/>
      <c r="XEE230" s="32"/>
      <c r="XEF230" s="32"/>
      <c r="XEG230" s="32"/>
      <c r="XEH230" s="32"/>
      <c r="XEI230" s="31"/>
      <c r="XEJ230" s="31"/>
      <c r="XEK230" s="33"/>
      <c r="XEL230" s="33"/>
      <c r="XEM230" s="34"/>
      <c r="XEN230" s="34"/>
      <c r="XEO230" s="35"/>
      <c r="XEP230" s="35"/>
      <c r="XEQ230" s="32"/>
      <c r="XER230" s="31"/>
      <c r="XES230" s="31"/>
      <c r="XET230" s="31"/>
      <c r="XEU230" s="32"/>
      <c r="XEV230" s="32"/>
      <c r="XEW230" s="32"/>
      <c r="XEX230" s="32"/>
      <c r="XEY230" s="32"/>
      <c r="XEZ230" s="31"/>
      <c r="XFA230" s="31"/>
      <c r="XFB230" s="33"/>
      <c r="XFC230" s="33"/>
      <c r="XFD230" s="34"/>
    </row>
    <row r="231" spans="1:16384" ht="14.25" customHeight="1" x14ac:dyDescent="0.3">
      <c r="A231" s="31">
        <v>0</v>
      </c>
      <c r="B231" s="31">
        <v>1</v>
      </c>
      <c r="C231" s="31">
        <v>6</v>
      </c>
      <c r="D231" s="32" t="s">
        <v>1085</v>
      </c>
      <c r="E231" s="32" t="s">
        <v>167</v>
      </c>
      <c r="F231" s="32" t="s">
        <v>660</v>
      </c>
      <c r="G231" s="32" t="s">
        <v>179</v>
      </c>
      <c r="H231" s="32" t="s">
        <v>354</v>
      </c>
      <c r="I231" s="31" t="s">
        <v>381</v>
      </c>
      <c r="J231" s="31">
        <v>10</v>
      </c>
      <c r="K231" s="33" t="s">
        <v>722</v>
      </c>
      <c r="L231" s="33" t="s">
        <v>704</v>
      </c>
      <c r="M231" s="34" t="s">
        <v>707</v>
      </c>
      <c r="N231" s="34" t="s">
        <v>1750</v>
      </c>
      <c r="O231" s="35">
        <v>1</v>
      </c>
      <c r="P231" s="35"/>
      <c r="Q231" s="32"/>
      <c r="S231" s="1">
        <f t="shared" si="171"/>
        <v>0</v>
      </c>
      <c r="T231" s="1">
        <f t="shared" si="172"/>
        <v>0</v>
      </c>
      <c r="U231" s="1">
        <f t="shared" si="173"/>
        <v>0</v>
      </c>
      <c r="V231" s="1">
        <f t="shared" si="174"/>
        <v>0</v>
      </c>
      <c r="W231" s="1">
        <f t="shared" si="175"/>
        <v>0</v>
      </c>
      <c r="X231" s="1">
        <f t="shared" si="176"/>
        <v>0</v>
      </c>
      <c r="Y231" s="1">
        <f t="shared" si="177"/>
        <v>0</v>
      </c>
      <c r="Z231" s="1">
        <f t="shared" si="178"/>
        <v>0</v>
      </c>
      <c r="AA231" s="1">
        <f t="shared" si="179"/>
        <v>0</v>
      </c>
      <c r="AB231" s="1">
        <f t="shared" si="180"/>
        <v>1</v>
      </c>
      <c r="AD231" s="1">
        <f t="shared" si="181"/>
        <v>0</v>
      </c>
      <c r="AE231" s="1">
        <f t="shared" si="182"/>
        <v>1</v>
      </c>
      <c r="AF231" s="1">
        <f t="shared" si="167"/>
        <v>0</v>
      </c>
      <c r="AG231" s="1">
        <f t="shared" si="168"/>
        <v>1</v>
      </c>
      <c r="AH231" s="1">
        <f t="shared" si="169"/>
        <v>0</v>
      </c>
      <c r="AI231" s="1">
        <f t="shared" si="170"/>
        <v>1</v>
      </c>
    </row>
    <row r="232" spans="1:16384" ht="14.25" customHeight="1" x14ac:dyDescent="0.3">
      <c r="A232" s="31">
        <v>0</v>
      </c>
      <c r="B232" s="31">
        <v>1</v>
      </c>
      <c r="C232" s="31">
        <v>6</v>
      </c>
      <c r="D232" s="32" t="s">
        <v>1229</v>
      </c>
      <c r="E232" s="32" t="s">
        <v>165</v>
      </c>
      <c r="F232" s="32" t="s">
        <v>1230</v>
      </c>
      <c r="G232" s="32" t="s">
        <v>1232</v>
      </c>
      <c r="H232" s="32" t="s">
        <v>354</v>
      </c>
      <c r="I232" s="31" t="s">
        <v>1231</v>
      </c>
      <c r="J232" s="31">
        <v>99</v>
      </c>
      <c r="K232" s="33" t="s">
        <v>722</v>
      </c>
      <c r="L232" s="33" t="s">
        <v>693</v>
      </c>
      <c r="M232" s="34" t="s">
        <v>1401</v>
      </c>
      <c r="N232" s="34" t="s">
        <v>1743</v>
      </c>
      <c r="O232" s="35">
        <v>1</v>
      </c>
      <c r="P232" s="35"/>
      <c r="Q232" s="32"/>
      <c r="R232" s="15"/>
      <c r="S232" s="15">
        <f t="shared" si="171"/>
        <v>0</v>
      </c>
      <c r="T232" s="15">
        <f t="shared" si="172"/>
        <v>0</v>
      </c>
      <c r="U232" s="15">
        <f t="shared" si="173"/>
        <v>0</v>
      </c>
      <c r="V232" s="15">
        <f t="shared" si="174"/>
        <v>0</v>
      </c>
      <c r="W232" s="15">
        <f t="shared" si="175"/>
        <v>0</v>
      </c>
      <c r="X232" s="15">
        <f t="shared" si="176"/>
        <v>0</v>
      </c>
      <c r="Y232" s="15">
        <f t="shared" si="177"/>
        <v>0</v>
      </c>
      <c r="Z232" s="15">
        <f t="shared" si="178"/>
        <v>0</v>
      </c>
      <c r="AA232" s="15">
        <f t="shared" si="179"/>
        <v>0</v>
      </c>
      <c r="AB232" s="10">
        <f t="shared" si="180"/>
        <v>0</v>
      </c>
      <c r="AC232" s="10"/>
      <c r="AD232" s="21">
        <f t="shared" si="181"/>
        <v>0</v>
      </c>
      <c r="AE232" s="21">
        <f t="shared" si="182"/>
        <v>1</v>
      </c>
      <c r="AF232" s="1">
        <f t="shared" si="167"/>
        <v>0</v>
      </c>
      <c r="AG232" s="1">
        <f t="shared" si="168"/>
        <v>1</v>
      </c>
      <c r="AH232" s="21">
        <f t="shared" si="169"/>
        <v>0</v>
      </c>
      <c r="AI232" s="15">
        <f t="shared" si="170"/>
        <v>1</v>
      </c>
      <c r="AJ232" s="15"/>
      <c r="AK232" s="15"/>
      <c r="AL232" s="15"/>
      <c r="AM232" s="15"/>
      <c r="AN232" s="15"/>
      <c r="AO232" s="15"/>
      <c r="AP232" s="15"/>
      <c r="AQ232" s="15"/>
      <c r="AR232" s="15"/>
      <c r="AS232" s="10"/>
      <c r="AT232" s="10"/>
      <c r="AU232" s="21"/>
      <c r="AV232" s="21"/>
      <c r="AY232" s="21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0"/>
      <c r="BK232" s="10"/>
      <c r="BL232" s="21"/>
      <c r="BM232" s="21"/>
      <c r="BP232" s="21"/>
      <c r="BQ232" s="15"/>
      <c r="BR232" s="15"/>
      <c r="BS232" s="15"/>
      <c r="BT232" s="15"/>
      <c r="BU232" s="15"/>
      <c r="BV232" s="15"/>
      <c r="BW232" s="15"/>
      <c r="BX232" s="15"/>
      <c r="BY232" s="15"/>
      <c r="BZ232" s="15"/>
      <c r="CA232" s="10"/>
      <c r="CB232" s="10"/>
      <c r="CC232" s="21"/>
      <c r="CD232" s="21"/>
      <c r="CG232" s="21"/>
      <c r="CH232" s="15"/>
      <c r="CI232" s="15"/>
      <c r="CJ232" s="15"/>
      <c r="CK232" s="15"/>
      <c r="CL232" s="15"/>
      <c r="CM232" s="15"/>
      <c r="CN232" s="15"/>
      <c r="CO232" s="15"/>
      <c r="CP232" s="15"/>
      <c r="CQ232" s="15"/>
      <c r="CR232" s="10"/>
      <c r="CS232" s="10"/>
      <c r="CT232" s="21"/>
      <c r="CU232" s="21"/>
      <c r="CX232" s="21"/>
      <c r="CY232" s="15"/>
      <c r="CZ232" s="15"/>
      <c r="DA232" s="15"/>
      <c r="DB232" s="15"/>
      <c r="DC232" s="15"/>
      <c r="DD232" s="15"/>
      <c r="DE232" s="15"/>
      <c r="DF232" s="15"/>
      <c r="DG232" s="15"/>
      <c r="DH232" s="15"/>
      <c r="DI232" s="10"/>
      <c r="DJ232" s="10"/>
      <c r="DK232" s="21"/>
      <c r="DL232" s="21"/>
      <c r="DO232" s="21"/>
      <c r="DP232" s="15"/>
      <c r="DQ232" s="15"/>
      <c r="DR232" s="15"/>
      <c r="DS232" s="15"/>
      <c r="DT232" s="15"/>
      <c r="DU232" s="15"/>
      <c r="DV232" s="15"/>
      <c r="DW232" s="15"/>
      <c r="DX232" s="15"/>
      <c r="DY232" s="15"/>
      <c r="DZ232" s="10"/>
      <c r="EA232" s="10"/>
      <c r="EB232" s="21"/>
      <c r="EC232" s="21"/>
      <c r="EF232" s="21"/>
      <c r="EG232" s="15"/>
      <c r="EH232" s="15"/>
      <c r="EI232" s="15"/>
      <c r="EJ232" s="15"/>
      <c r="EK232" s="15"/>
      <c r="EL232" s="15"/>
      <c r="EM232" s="15"/>
      <c r="EN232" s="15"/>
      <c r="EO232" s="15"/>
      <c r="EP232" s="15"/>
      <c r="EQ232" s="10"/>
      <c r="ER232" s="10"/>
      <c r="ES232" s="21"/>
      <c r="ET232" s="21"/>
      <c r="EW232" s="21"/>
      <c r="EX232" s="15"/>
      <c r="EY232" s="15"/>
      <c r="EZ232" s="15"/>
      <c r="FA232" s="15"/>
      <c r="FB232" s="15"/>
      <c r="FC232" s="15"/>
      <c r="FD232" s="15"/>
      <c r="FE232" s="15"/>
      <c r="FF232" s="15"/>
      <c r="FG232" s="15"/>
      <c r="FH232" s="10"/>
      <c r="FI232" s="10"/>
      <c r="FJ232" s="21"/>
      <c r="FK232" s="21"/>
      <c r="FN232" s="21"/>
      <c r="FO232" s="15"/>
      <c r="FP232" s="15"/>
      <c r="FQ232" s="15"/>
      <c r="FR232" s="15"/>
      <c r="FS232" s="15"/>
      <c r="FT232" s="15"/>
      <c r="FU232" s="15"/>
      <c r="FV232" s="15"/>
      <c r="FW232" s="15"/>
      <c r="FX232" s="15"/>
      <c r="FY232" s="10"/>
      <c r="FZ232" s="10"/>
      <c r="GA232" s="21"/>
      <c r="GB232" s="21"/>
      <c r="GE232" s="21"/>
      <c r="GF232" s="15"/>
      <c r="GG232" s="15"/>
      <c r="GH232" s="15"/>
      <c r="GI232" s="15"/>
      <c r="GJ232" s="15"/>
      <c r="GK232" s="15"/>
      <c r="GL232" s="15"/>
      <c r="GM232" s="15"/>
      <c r="GN232" s="15"/>
      <c r="GO232" s="15"/>
      <c r="GP232" s="10"/>
      <c r="GQ232" s="10"/>
      <c r="GR232" s="21"/>
      <c r="GS232" s="21"/>
      <c r="GV232" s="21"/>
      <c r="GW232" s="15"/>
      <c r="GX232" s="15"/>
      <c r="GY232" s="15"/>
      <c r="GZ232" s="15"/>
      <c r="HA232" s="15"/>
      <c r="HB232" s="15"/>
      <c r="HC232" s="15"/>
      <c r="HD232" s="15"/>
      <c r="HE232" s="15"/>
      <c r="HF232" s="15"/>
      <c r="HG232" s="10"/>
      <c r="HH232" s="10"/>
      <c r="HI232" s="21"/>
      <c r="HJ232" s="21"/>
      <c r="HM232" s="21"/>
      <c r="HN232" s="15"/>
      <c r="HO232" s="15"/>
      <c r="HP232" s="15"/>
      <c r="HQ232" s="15"/>
      <c r="HR232" s="15"/>
      <c r="HS232" s="15"/>
      <c r="HT232" s="15"/>
      <c r="HU232" s="15"/>
      <c r="HV232" s="15"/>
      <c r="HW232" s="15"/>
      <c r="HX232" s="10"/>
      <c r="HY232" s="10"/>
      <c r="HZ232" s="21"/>
      <c r="IA232" s="21"/>
      <c r="ID232" s="21"/>
      <c r="IE232" s="15"/>
      <c r="IF232" s="15"/>
      <c r="IG232" s="15"/>
      <c r="IH232" s="15"/>
      <c r="II232" s="15"/>
      <c r="IJ232" s="15"/>
      <c r="IK232" s="15"/>
      <c r="IL232" s="15"/>
      <c r="IM232" s="15"/>
      <c r="IN232" s="15"/>
      <c r="IO232" s="10"/>
      <c r="IP232" s="10"/>
      <c r="IQ232" s="21"/>
      <c r="IR232" s="21"/>
      <c r="IU232" s="21"/>
      <c r="IV232" s="15"/>
      <c r="IW232" s="15"/>
      <c r="IX232" s="15"/>
      <c r="IY232" s="15"/>
      <c r="IZ232" s="15"/>
      <c r="JA232" s="15"/>
      <c r="JB232" s="15"/>
      <c r="JC232" s="15"/>
      <c r="JD232" s="15"/>
      <c r="JE232" s="15"/>
      <c r="JF232" s="10"/>
      <c r="JG232" s="10"/>
      <c r="JH232" s="21"/>
      <c r="JI232" s="21"/>
      <c r="JL232" s="21"/>
      <c r="JM232" s="15"/>
      <c r="JN232" s="15"/>
      <c r="JO232" s="15"/>
      <c r="JP232" s="15"/>
      <c r="JQ232" s="15"/>
      <c r="JR232" s="15"/>
      <c r="JS232" s="15"/>
      <c r="JT232" s="15"/>
      <c r="JU232" s="15"/>
      <c r="JV232" s="15"/>
      <c r="JW232" s="10"/>
      <c r="JX232" s="10"/>
      <c r="JY232" s="21"/>
      <c r="JZ232" s="21"/>
      <c r="KC232" s="21"/>
      <c r="KD232" s="15"/>
      <c r="KE232" s="15"/>
      <c r="KF232" s="15"/>
      <c r="KG232" s="15"/>
      <c r="KH232" s="15"/>
      <c r="KI232" s="15"/>
      <c r="KJ232" s="15"/>
      <c r="KK232" s="15"/>
      <c r="KL232" s="15"/>
      <c r="KM232" s="15"/>
      <c r="KN232" s="10"/>
      <c r="KO232" s="10"/>
      <c r="KP232" s="21"/>
      <c r="KQ232" s="21"/>
      <c r="KT232" s="21"/>
      <c r="KU232" s="15"/>
      <c r="KV232" s="15"/>
      <c r="KW232" s="15"/>
      <c r="KX232" s="15"/>
      <c r="KY232" s="15"/>
      <c r="KZ232" s="15"/>
      <c r="LA232" s="15"/>
      <c r="LB232" s="15"/>
      <c r="LC232" s="15"/>
      <c r="LD232" s="15"/>
      <c r="LE232" s="10"/>
      <c r="LF232" s="10"/>
      <c r="LG232" s="21"/>
      <c r="LH232" s="21"/>
      <c r="LK232" s="21"/>
      <c r="LL232" s="15"/>
      <c r="LM232" s="15"/>
      <c r="LN232" s="15"/>
      <c r="LO232" s="15"/>
      <c r="LP232" s="15"/>
      <c r="LQ232" s="15"/>
      <c r="LR232" s="15"/>
      <c r="LS232" s="15"/>
      <c r="LT232" s="15"/>
      <c r="LU232" s="15"/>
      <c r="LV232" s="10"/>
      <c r="LW232" s="10"/>
      <c r="LX232" s="21"/>
      <c r="LY232" s="21"/>
      <c r="MB232" s="21"/>
      <c r="MC232" s="15"/>
      <c r="MD232" s="15"/>
      <c r="ME232" s="15"/>
      <c r="MF232" s="15"/>
      <c r="MG232" s="15"/>
      <c r="MH232" s="15"/>
      <c r="MI232" s="15"/>
      <c r="MJ232" s="15"/>
      <c r="MK232" s="15"/>
      <c r="ML232" s="15"/>
      <c r="MM232" s="10"/>
      <c r="MN232" s="10"/>
      <c r="MO232" s="21"/>
      <c r="MP232" s="21"/>
      <c r="MS232" s="21"/>
      <c r="MT232" s="15"/>
      <c r="MU232" s="15"/>
      <c r="MV232" s="15"/>
      <c r="MW232" s="15"/>
      <c r="MX232" s="15"/>
      <c r="MY232" s="15"/>
      <c r="MZ232" s="15"/>
      <c r="NA232" s="15"/>
      <c r="NB232" s="15"/>
      <c r="NC232" s="15"/>
      <c r="ND232" s="10"/>
      <c r="NE232" s="10"/>
      <c r="NF232" s="21"/>
      <c r="NG232" s="21"/>
      <c r="NJ232" s="21"/>
      <c r="NK232" s="15"/>
      <c r="NL232" s="15"/>
      <c r="NM232" s="15"/>
      <c r="NN232" s="15"/>
      <c r="NO232" s="15"/>
      <c r="NP232" s="15"/>
      <c r="NQ232" s="15"/>
      <c r="NR232" s="15"/>
      <c r="NS232" s="15"/>
      <c r="NT232" s="15"/>
      <c r="NU232" s="10"/>
      <c r="NV232" s="10"/>
      <c r="NW232" s="21"/>
      <c r="NX232" s="21"/>
      <c r="OA232" s="21"/>
      <c r="OB232" s="15"/>
      <c r="OC232" s="15"/>
      <c r="OD232" s="15"/>
      <c r="OE232" s="15"/>
      <c r="OF232" s="15"/>
      <c r="OG232" s="15"/>
      <c r="OH232" s="15"/>
      <c r="OI232" s="15"/>
      <c r="OJ232" s="15"/>
      <c r="OK232" s="15"/>
      <c r="OL232" s="10"/>
      <c r="OM232" s="10"/>
      <c r="ON232" s="21"/>
      <c r="OO232" s="21"/>
      <c r="OR232" s="21"/>
      <c r="OS232" s="15"/>
      <c r="OT232" s="15"/>
      <c r="OU232" s="15"/>
      <c r="OV232" s="15"/>
      <c r="OW232" s="15"/>
      <c r="OX232" s="15"/>
      <c r="OY232" s="15"/>
      <c r="OZ232" s="15"/>
      <c r="PA232" s="15"/>
      <c r="PB232" s="15"/>
      <c r="PC232" s="10"/>
      <c r="PD232" s="10"/>
      <c r="PE232" s="21"/>
      <c r="PF232" s="21"/>
      <c r="PI232" s="21"/>
      <c r="PJ232" s="15"/>
      <c r="PK232" s="15"/>
      <c r="PL232" s="15"/>
      <c r="PM232" s="15"/>
      <c r="PN232" s="15"/>
      <c r="PO232" s="15"/>
      <c r="PP232" s="15"/>
      <c r="PQ232" s="15"/>
      <c r="PR232" s="15"/>
      <c r="PS232" s="15"/>
      <c r="PT232" s="10"/>
      <c r="PU232" s="10"/>
      <c r="PV232" s="21"/>
      <c r="PW232" s="21"/>
      <c r="PZ232" s="21"/>
      <c r="QA232" s="15"/>
      <c r="QB232" s="15"/>
      <c r="QC232" s="15"/>
      <c r="QD232" s="15"/>
      <c r="QE232" s="15"/>
      <c r="QF232" s="15"/>
      <c r="QG232" s="15"/>
      <c r="QH232" s="15"/>
      <c r="QI232" s="15"/>
      <c r="QJ232" s="15"/>
      <c r="QK232" s="10"/>
      <c r="QL232" s="10"/>
      <c r="QM232" s="21"/>
      <c r="QN232" s="21"/>
      <c r="QQ232" s="21"/>
      <c r="QR232" s="15"/>
      <c r="QS232" s="15"/>
      <c r="QT232" s="15"/>
      <c r="QU232" s="15"/>
      <c r="QV232" s="15"/>
      <c r="QW232" s="15"/>
      <c r="QX232" s="15"/>
      <c r="QY232" s="15"/>
      <c r="QZ232" s="15"/>
      <c r="RA232" s="15"/>
      <c r="RB232" s="10"/>
      <c r="RC232" s="10"/>
      <c r="RD232" s="21"/>
      <c r="RE232" s="21"/>
      <c r="RH232" s="21"/>
      <c r="RI232" s="15"/>
      <c r="RJ232" s="15"/>
      <c r="RK232" s="15"/>
      <c r="RL232" s="15"/>
      <c r="RM232" s="15"/>
      <c r="RN232" s="15"/>
      <c r="RO232" s="15"/>
      <c r="RP232" s="15"/>
      <c r="RQ232" s="15"/>
      <c r="RR232" s="15"/>
      <c r="RS232" s="10"/>
      <c r="RT232" s="10"/>
      <c r="RU232" s="21"/>
      <c r="RV232" s="21"/>
      <c r="RY232" s="21"/>
      <c r="RZ232" s="15"/>
      <c r="SA232" s="15"/>
      <c r="SB232" s="15"/>
      <c r="SC232" s="15"/>
      <c r="SD232" s="15"/>
      <c r="SE232" s="15"/>
      <c r="SF232" s="15"/>
      <c r="SG232" s="15"/>
      <c r="SH232" s="15"/>
      <c r="SI232" s="15"/>
      <c r="SJ232" s="10"/>
      <c r="SK232" s="10"/>
      <c r="SL232" s="21"/>
      <c r="SM232" s="21"/>
      <c r="SP232" s="21"/>
      <c r="SQ232" s="15"/>
      <c r="SR232" s="15"/>
      <c r="SS232" s="15"/>
      <c r="ST232" s="15"/>
      <c r="SU232" s="15"/>
      <c r="SV232" s="15"/>
      <c r="SW232" s="15"/>
      <c r="SX232" s="15"/>
      <c r="SY232" s="15"/>
      <c r="SZ232" s="15"/>
      <c r="TA232" s="10"/>
      <c r="TB232" s="10"/>
      <c r="TC232" s="21"/>
      <c r="TD232" s="21"/>
      <c r="TG232" s="21"/>
      <c r="TH232" s="15"/>
      <c r="TI232" s="15"/>
      <c r="TJ232" s="15"/>
      <c r="TK232" s="15"/>
      <c r="TL232" s="15"/>
      <c r="TM232" s="15"/>
      <c r="TN232" s="15"/>
      <c r="TO232" s="15"/>
      <c r="TP232" s="15"/>
      <c r="TQ232" s="15"/>
      <c r="TR232" s="10"/>
      <c r="TS232" s="10"/>
      <c r="TT232" s="21"/>
      <c r="TU232" s="21"/>
      <c r="TX232" s="21"/>
      <c r="TY232" s="15"/>
      <c r="TZ232" s="15"/>
      <c r="UA232" s="15"/>
      <c r="UB232" s="15"/>
      <c r="UC232" s="15"/>
      <c r="UD232" s="15"/>
      <c r="UE232" s="15"/>
      <c r="UF232" s="15"/>
      <c r="UG232" s="15"/>
      <c r="UH232" s="15"/>
      <c r="UI232" s="10"/>
      <c r="UJ232" s="10"/>
      <c r="UK232" s="21"/>
      <c r="UL232" s="21"/>
      <c r="UO232" s="21"/>
      <c r="UP232" s="15"/>
      <c r="UQ232" s="15"/>
      <c r="UR232" s="15"/>
      <c r="US232" s="15"/>
      <c r="UT232" s="15"/>
      <c r="UU232" s="15"/>
      <c r="UV232" s="15"/>
      <c r="UW232" s="15"/>
      <c r="UX232" s="15"/>
      <c r="UY232" s="15"/>
      <c r="UZ232" s="10"/>
      <c r="VA232" s="10"/>
      <c r="VB232" s="21"/>
      <c r="VC232" s="21"/>
      <c r="VF232" s="21"/>
      <c r="VG232" s="15"/>
      <c r="VH232" s="15"/>
      <c r="VI232" s="15"/>
      <c r="VJ232" s="15"/>
      <c r="VK232" s="15"/>
      <c r="VL232" s="15"/>
      <c r="VM232" s="15"/>
      <c r="VN232" s="15"/>
      <c r="VO232" s="15"/>
      <c r="VP232" s="15"/>
      <c r="VQ232" s="10"/>
      <c r="VR232" s="10"/>
      <c r="VS232" s="21"/>
      <c r="VT232" s="21"/>
      <c r="VW232" s="21"/>
      <c r="VX232" s="15"/>
      <c r="VY232" s="15"/>
      <c r="VZ232" s="15"/>
      <c r="WA232" s="15"/>
      <c r="WB232" s="15"/>
      <c r="WC232" s="15"/>
      <c r="WD232" s="15"/>
      <c r="WE232" s="15"/>
      <c r="WF232" s="15"/>
      <c r="WG232" s="15"/>
      <c r="WH232" s="10"/>
      <c r="WI232" s="10"/>
      <c r="WJ232" s="21"/>
      <c r="WK232" s="21"/>
      <c r="WN232" s="21"/>
      <c r="WO232" s="15"/>
      <c r="WP232" s="15"/>
      <c r="WQ232" s="15"/>
      <c r="WR232" s="15"/>
      <c r="WS232" s="15"/>
      <c r="WT232" s="15"/>
      <c r="WU232" s="15"/>
      <c r="WV232" s="15"/>
      <c r="WW232" s="15"/>
      <c r="WX232" s="15"/>
      <c r="WY232" s="10"/>
      <c r="WZ232" s="10"/>
      <c r="XA232" s="21"/>
      <c r="XB232" s="21"/>
      <c r="XE232" s="21"/>
      <c r="XF232" s="15"/>
      <c r="XG232" s="15"/>
      <c r="XH232" s="15"/>
      <c r="XI232" s="15"/>
      <c r="XJ232" s="15"/>
      <c r="XK232" s="15"/>
      <c r="XL232" s="15"/>
      <c r="XM232" s="15"/>
      <c r="XN232" s="15"/>
      <c r="XO232" s="15"/>
      <c r="XP232" s="10"/>
      <c r="XQ232" s="10"/>
      <c r="XR232" s="21"/>
      <c r="XS232" s="21"/>
      <c r="XV232" s="21"/>
      <c r="XW232" s="15"/>
      <c r="XX232" s="15"/>
      <c r="XY232" s="15"/>
      <c r="XZ232" s="15"/>
      <c r="YA232" s="15"/>
      <c r="YB232" s="15"/>
      <c r="YC232" s="15"/>
      <c r="YD232" s="15"/>
      <c r="YE232" s="15"/>
      <c r="YF232" s="15"/>
      <c r="YG232" s="10"/>
      <c r="YH232" s="10"/>
      <c r="YI232" s="21"/>
      <c r="YJ232" s="21"/>
      <c r="YM232" s="21"/>
      <c r="YN232" s="15"/>
      <c r="YO232" s="15"/>
      <c r="YP232" s="15"/>
      <c r="YQ232" s="15"/>
      <c r="YR232" s="15"/>
      <c r="YS232" s="15"/>
      <c r="YT232" s="15"/>
      <c r="YU232" s="15"/>
      <c r="YV232" s="15"/>
      <c r="YW232" s="15"/>
      <c r="YX232" s="10"/>
      <c r="YY232" s="10"/>
      <c r="YZ232" s="21"/>
      <c r="ZA232" s="21"/>
      <c r="ZD232" s="21"/>
      <c r="ZE232" s="15"/>
      <c r="ZF232" s="15"/>
      <c r="ZG232" s="15"/>
      <c r="ZH232" s="15"/>
      <c r="ZI232" s="15"/>
      <c r="ZJ232" s="15"/>
      <c r="ZK232" s="15"/>
      <c r="ZL232" s="15"/>
      <c r="ZM232" s="15"/>
      <c r="ZN232" s="15"/>
      <c r="ZO232" s="10"/>
      <c r="ZP232" s="10"/>
      <c r="ZQ232" s="21"/>
      <c r="ZR232" s="21"/>
      <c r="ZU232" s="21"/>
      <c r="ZV232" s="15"/>
      <c r="ZW232" s="15"/>
      <c r="ZX232" s="15"/>
      <c r="ZY232" s="15"/>
      <c r="ZZ232" s="15"/>
      <c r="AAA232" s="15"/>
      <c r="AAB232" s="15"/>
      <c r="AAC232" s="15"/>
      <c r="AAD232" s="15"/>
      <c r="AAE232" s="15"/>
      <c r="AAF232" s="10"/>
      <c r="AAG232" s="10"/>
      <c r="AAH232" s="21"/>
      <c r="AAI232" s="21"/>
      <c r="AAL232" s="21"/>
      <c r="AAM232" s="15"/>
      <c r="AAN232" s="15"/>
      <c r="AAO232" s="15"/>
      <c r="AAP232" s="15"/>
      <c r="AAQ232" s="15"/>
      <c r="AAR232" s="15"/>
      <c r="AAS232" s="15"/>
      <c r="AAT232" s="15"/>
      <c r="AAU232" s="15"/>
      <c r="AAV232" s="15"/>
      <c r="AAW232" s="10"/>
      <c r="AAX232" s="10"/>
      <c r="AAY232" s="21"/>
      <c r="AAZ232" s="21"/>
      <c r="ABC232" s="21"/>
      <c r="ABD232" s="15"/>
      <c r="ABE232" s="15"/>
      <c r="ABF232" s="15"/>
      <c r="ABG232" s="15"/>
      <c r="ABH232" s="15"/>
      <c r="ABI232" s="15"/>
      <c r="ABJ232" s="15"/>
      <c r="ABK232" s="15"/>
      <c r="ABL232" s="15"/>
      <c r="ABM232" s="15"/>
      <c r="ABN232" s="10"/>
      <c r="ABO232" s="10"/>
      <c r="ABP232" s="21"/>
      <c r="ABQ232" s="21"/>
      <c r="ABT232" s="21"/>
      <c r="ABU232" s="15"/>
      <c r="ABV232" s="15"/>
      <c r="ABW232" s="15"/>
      <c r="ABX232" s="15"/>
      <c r="ABY232" s="15"/>
      <c r="ABZ232" s="15"/>
      <c r="ACA232" s="15"/>
      <c r="ACB232" s="15"/>
      <c r="ACC232" s="15"/>
      <c r="ACD232" s="15"/>
      <c r="ACE232" s="10"/>
      <c r="ACF232" s="10"/>
      <c r="ACG232" s="21"/>
      <c r="ACH232" s="21"/>
      <c r="ACK232" s="21"/>
      <c r="ACL232" s="15"/>
      <c r="ACM232" s="15"/>
      <c r="ACN232" s="15"/>
      <c r="ACO232" s="15"/>
      <c r="ACP232" s="15"/>
      <c r="ACQ232" s="15"/>
      <c r="ACR232" s="15"/>
      <c r="ACS232" s="15"/>
      <c r="ACT232" s="15"/>
      <c r="ACU232" s="15"/>
      <c r="ACV232" s="10"/>
      <c r="ACW232" s="10"/>
      <c r="ACX232" s="21"/>
      <c r="ACY232" s="21"/>
      <c r="ADB232" s="21"/>
      <c r="ADC232" s="15"/>
      <c r="ADD232" s="15"/>
      <c r="ADE232" s="15"/>
      <c r="ADF232" s="15"/>
      <c r="ADG232" s="15"/>
      <c r="ADH232" s="15"/>
      <c r="ADI232" s="15"/>
      <c r="ADJ232" s="15"/>
      <c r="ADK232" s="15"/>
      <c r="ADL232" s="15"/>
      <c r="ADM232" s="10"/>
      <c r="ADN232" s="10"/>
      <c r="ADO232" s="21"/>
      <c r="ADP232" s="21"/>
      <c r="ADS232" s="21"/>
      <c r="ADT232" s="15"/>
      <c r="ADU232" s="15"/>
      <c r="ADV232" s="15"/>
      <c r="ADW232" s="15"/>
      <c r="ADX232" s="15"/>
      <c r="ADY232" s="15"/>
      <c r="ADZ232" s="15"/>
      <c r="AEA232" s="15"/>
      <c r="AEB232" s="15"/>
      <c r="AEC232" s="15"/>
      <c r="AED232" s="10"/>
      <c r="AEE232" s="10"/>
      <c r="AEF232" s="21"/>
      <c r="AEG232" s="21"/>
      <c r="AEJ232" s="21"/>
      <c r="AEK232" s="15"/>
      <c r="AEL232" s="15"/>
      <c r="AEM232" s="15"/>
      <c r="AEN232" s="15"/>
      <c r="AEO232" s="15"/>
      <c r="AEP232" s="15"/>
      <c r="AEQ232" s="15"/>
      <c r="AER232" s="15"/>
      <c r="AES232" s="15"/>
      <c r="AET232" s="15"/>
      <c r="AEU232" s="10"/>
      <c r="AEV232" s="10"/>
      <c r="AEW232" s="21"/>
      <c r="AEX232" s="21"/>
      <c r="AFA232" s="21"/>
      <c r="AFB232" s="15"/>
      <c r="AFC232" s="15"/>
      <c r="AFD232" s="15"/>
      <c r="AFE232" s="15"/>
      <c r="AFF232" s="15"/>
      <c r="AFG232" s="15"/>
      <c r="AFH232" s="15"/>
      <c r="AFI232" s="15"/>
      <c r="AFJ232" s="15"/>
      <c r="AFK232" s="15"/>
      <c r="AFL232" s="10"/>
      <c r="AFM232" s="10"/>
      <c r="AFN232" s="21"/>
      <c r="AFO232" s="21"/>
      <c r="AFR232" s="21"/>
      <c r="AFS232" s="15"/>
      <c r="AFT232" s="15"/>
      <c r="AFU232" s="15"/>
      <c r="AFV232" s="15"/>
      <c r="AFW232" s="15"/>
      <c r="AFX232" s="15"/>
      <c r="AFY232" s="15"/>
      <c r="AFZ232" s="15"/>
      <c r="AGA232" s="15"/>
      <c r="AGB232" s="15"/>
      <c r="AGC232" s="10"/>
      <c r="AGD232" s="10"/>
      <c r="AGE232" s="21"/>
      <c r="AGF232" s="21"/>
      <c r="AGI232" s="21"/>
      <c r="AGJ232" s="15"/>
      <c r="AGK232" s="15"/>
      <c r="AGL232" s="15"/>
      <c r="AGM232" s="15"/>
      <c r="AGN232" s="15"/>
      <c r="AGO232" s="15"/>
      <c r="AGP232" s="15"/>
      <c r="AGQ232" s="15"/>
      <c r="AGR232" s="15"/>
      <c r="AGS232" s="15"/>
      <c r="AGT232" s="10"/>
      <c r="AGU232" s="10"/>
      <c r="AGV232" s="21"/>
      <c r="AGW232" s="21"/>
      <c r="AGZ232" s="21"/>
      <c r="AHA232" s="15"/>
      <c r="AHB232" s="15"/>
      <c r="AHC232" s="15"/>
      <c r="AHD232" s="15"/>
      <c r="AHE232" s="15"/>
      <c r="AHF232" s="15"/>
      <c r="AHG232" s="15"/>
      <c r="AHH232" s="15"/>
      <c r="AHI232" s="15"/>
      <c r="AHJ232" s="15"/>
      <c r="AHK232" s="10"/>
      <c r="AHL232" s="10"/>
      <c r="AHM232" s="21"/>
      <c r="AHN232" s="21"/>
      <c r="AHQ232" s="21"/>
      <c r="AHR232" s="15"/>
      <c r="AHS232" s="15"/>
      <c r="AHT232" s="15"/>
      <c r="AHU232" s="15"/>
      <c r="AHV232" s="15"/>
      <c r="AHW232" s="15"/>
      <c r="AHX232" s="15"/>
      <c r="AHY232" s="15"/>
      <c r="AHZ232" s="15"/>
      <c r="AIA232" s="15"/>
      <c r="AIB232" s="10"/>
      <c r="AIC232" s="10"/>
      <c r="AID232" s="21"/>
      <c r="AIE232" s="21"/>
      <c r="AIH232" s="21"/>
      <c r="AII232" s="15"/>
      <c r="AIJ232" s="15"/>
      <c r="AIK232" s="15"/>
      <c r="AIL232" s="15"/>
      <c r="AIM232" s="15"/>
      <c r="AIN232" s="15"/>
      <c r="AIO232" s="15"/>
      <c r="AIP232" s="15"/>
      <c r="AIQ232" s="15"/>
      <c r="AIR232" s="15"/>
      <c r="AIS232" s="10"/>
      <c r="AIT232" s="10"/>
      <c r="AIU232" s="21"/>
      <c r="AIV232" s="21"/>
      <c r="AIY232" s="21"/>
      <c r="AIZ232" s="15"/>
      <c r="AJA232" s="15"/>
      <c r="AJB232" s="15"/>
      <c r="AJC232" s="15"/>
      <c r="AJD232" s="15"/>
      <c r="AJE232" s="15"/>
      <c r="AJF232" s="15"/>
      <c r="AJG232" s="15"/>
      <c r="AJH232" s="15"/>
      <c r="AJI232" s="15"/>
      <c r="AJJ232" s="10"/>
      <c r="AJK232" s="10"/>
      <c r="AJL232" s="21"/>
      <c r="AJM232" s="21"/>
      <c r="AJP232" s="21"/>
      <c r="AJQ232" s="15"/>
      <c r="AJR232" s="15"/>
      <c r="AJS232" s="15"/>
      <c r="AJT232" s="15"/>
      <c r="AJU232" s="15"/>
      <c r="AJV232" s="15"/>
      <c r="AJW232" s="15"/>
      <c r="AJX232" s="15"/>
      <c r="AJY232" s="15"/>
      <c r="AJZ232" s="15"/>
      <c r="AKA232" s="10"/>
      <c r="AKB232" s="10"/>
      <c r="AKC232" s="21"/>
      <c r="AKD232" s="21"/>
      <c r="AKG232" s="21"/>
      <c r="AKH232" s="15"/>
      <c r="AKI232" s="15"/>
      <c r="AKJ232" s="15"/>
      <c r="AKK232" s="15"/>
      <c r="AKL232" s="15"/>
      <c r="AKM232" s="15"/>
      <c r="AKN232" s="15"/>
      <c r="AKO232" s="15"/>
      <c r="AKP232" s="15"/>
      <c r="AKQ232" s="15"/>
      <c r="AKR232" s="10"/>
      <c r="AKS232" s="10"/>
      <c r="AKT232" s="21"/>
      <c r="AKU232" s="21"/>
      <c r="AKX232" s="21"/>
      <c r="AKY232" s="15"/>
      <c r="AKZ232" s="15"/>
      <c r="ALA232" s="15"/>
      <c r="ALB232" s="15"/>
      <c r="ALC232" s="15"/>
      <c r="ALD232" s="15"/>
      <c r="ALE232" s="15"/>
      <c r="ALF232" s="15"/>
      <c r="ALG232" s="15"/>
      <c r="ALH232" s="15"/>
      <c r="ALI232" s="10"/>
      <c r="ALJ232" s="10"/>
      <c r="ALK232" s="21"/>
      <c r="ALL232" s="21"/>
      <c r="ALO232" s="21"/>
      <c r="ALP232" s="15"/>
      <c r="ALQ232" s="15"/>
      <c r="ALR232" s="15"/>
      <c r="ALS232" s="15"/>
      <c r="ALT232" s="15"/>
      <c r="ALU232" s="15"/>
      <c r="ALV232" s="15"/>
      <c r="ALW232" s="15"/>
      <c r="ALX232" s="15"/>
      <c r="ALY232" s="15"/>
      <c r="ALZ232" s="10"/>
      <c r="AMA232" s="10"/>
      <c r="AMB232" s="21"/>
      <c r="AMC232" s="21"/>
      <c r="AMF232" s="21"/>
      <c r="AMG232" s="15"/>
      <c r="AMH232" s="15"/>
      <c r="AMI232" s="15"/>
      <c r="AMJ232" s="15"/>
      <c r="AMK232" s="15"/>
      <c r="AML232" s="15"/>
      <c r="AMM232" s="15"/>
      <c r="AMN232" s="15"/>
      <c r="AMO232" s="15"/>
      <c r="AMP232" s="15"/>
      <c r="AMQ232" s="10"/>
      <c r="AMR232" s="10"/>
      <c r="AMS232" s="21"/>
      <c r="AMT232" s="21"/>
      <c r="AMW232" s="21"/>
      <c r="AMX232" s="15"/>
      <c r="AMY232" s="15"/>
      <c r="AMZ232" s="15"/>
      <c r="ANA232" s="15"/>
      <c r="ANB232" s="15"/>
      <c r="ANC232" s="15"/>
      <c r="AND232" s="15"/>
      <c r="ANE232" s="15"/>
      <c r="ANF232" s="15"/>
      <c r="ANG232" s="15"/>
      <c r="ANH232" s="10"/>
      <c r="ANI232" s="10"/>
      <c r="ANJ232" s="21"/>
      <c r="ANK232" s="21"/>
      <c r="ANN232" s="21"/>
      <c r="ANO232" s="15"/>
      <c r="ANP232" s="15"/>
      <c r="ANQ232" s="15"/>
      <c r="ANR232" s="15"/>
      <c r="ANS232" s="15"/>
      <c r="ANT232" s="15"/>
      <c r="ANU232" s="15"/>
      <c r="ANV232" s="15"/>
      <c r="ANW232" s="15"/>
      <c r="ANX232" s="15"/>
      <c r="ANY232" s="10"/>
      <c r="ANZ232" s="10"/>
      <c r="AOA232" s="21"/>
      <c r="AOB232" s="21"/>
      <c r="AOE232" s="21"/>
      <c r="AOF232" s="15"/>
      <c r="AOG232" s="15"/>
      <c r="AOH232" s="15"/>
      <c r="AOI232" s="15"/>
      <c r="AOJ232" s="15"/>
      <c r="AOK232" s="15"/>
      <c r="AOL232" s="15"/>
      <c r="AOM232" s="15"/>
      <c r="AON232" s="15"/>
      <c r="AOO232" s="15"/>
      <c r="AOP232" s="10"/>
      <c r="AOQ232" s="10"/>
      <c r="AOR232" s="21"/>
      <c r="AOS232" s="21"/>
      <c r="AOV232" s="21"/>
      <c r="AOW232" s="15"/>
      <c r="AOX232" s="15"/>
      <c r="AOY232" s="15"/>
      <c r="AOZ232" s="15"/>
      <c r="APA232" s="15"/>
      <c r="APB232" s="15"/>
      <c r="APC232" s="15"/>
      <c r="APD232" s="15"/>
      <c r="APE232" s="15"/>
      <c r="APF232" s="15"/>
      <c r="APG232" s="10"/>
      <c r="APH232" s="10"/>
      <c r="API232" s="21"/>
      <c r="APJ232" s="21"/>
      <c r="APM232" s="21"/>
      <c r="APN232" s="15"/>
      <c r="APO232" s="15"/>
      <c r="APP232" s="15"/>
      <c r="APQ232" s="15"/>
      <c r="APR232" s="15"/>
      <c r="APS232" s="15"/>
      <c r="APT232" s="15"/>
      <c r="APU232" s="15"/>
      <c r="APV232" s="15"/>
      <c r="APW232" s="15"/>
      <c r="APX232" s="10"/>
      <c r="APY232" s="10"/>
      <c r="APZ232" s="21"/>
      <c r="AQA232" s="21"/>
      <c r="AQD232" s="21"/>
      <c r="AQE232" s="15"/>
      <c r="AQF232" s="15"/>
      <c r="AQG232" s="15"/>
      <c r="AQH232" s="15"/>
      <c r="AQI232" s="15"/>
      <c r="AQJ232" s="15"/>
      <c r="AQK232" s="15"/>
      <c r="AQL232" s="15"/>
      <c r="AQM232" s="15"/>
      <c r="AQN232" s="15"/>
      <c r="AQO232" s="10"/>
      <c r="AQP232" s="10"/>
      <c r="AQQ232" s="21"/>
      <c r="AQR232" s="21"/>
      <c r="AQU232" s="21"/>
      <c r="AQV232" s="15"/>
      <c r="AQW232" s="15"/>
      <c r="AQX232" s="15"/>
      <c r="AQY232" s="15"/>
      <c r="AQZ232" s="15"/>
      <c r="ARA232" s="15"/>
      <c r="ARB232" s="15"/>
      <c r="ARC232" s="15"/>
      <c r="ARD232" s="15"/>
      <c r="ARE232" s="15"/>
      <c r="ARF232" s="10"/>
      <c r="ARG232" s="10"/>
      <c r="ARH232" s="21"/>
      <c r="ARI232" s="21"/>
      <c r="ARL232" s="21"/>
      <c r="ARM232" s="15"/>
      <c r="ARN232" s="15"/>
      <c r="ARO232" s="15"/>
      <c r="ARP232" s="15"/>
      <c r="ARQ232" s="15"/>
      <c r="ARR232" s="15"/>
      <c r="ARS232" s="15"/>
      <c r="ART232" s="15"/>
      <c r="ARU232" s="15"/>
      <c r="ARV232" s="15"/>
      <c r="ARW232" s="10"/>
      <c r="ARX232" s="10"/>
      <c r="ARY232" s="21"/>
      <c r="ARZ232" s="21"/>
      <c r="ASC232" s="21"/>
      <c r="ASD232" s="15"/>
      <c r="ASE232" s="15"/>
      <c r="ASF232" s="15"/>
      <c r="ASG232" s="15"/>
      <c r="ASH232" s="15"/>
      <c r="ASI232" s="15"/>
      <c r="ASJ232" s="15"/>
      <c r="ASK232" s="15"/>
      <c r="ASL232" s="15"/>
      <c r="ASM232" s="15"/>
      <c r="ASN232" s="10"/>
      <c r="ASO232" s="10"/>
      <c r="ASP232" s="21"/>
      <c r="ASQ232" s="21"/>
      <c r="AST232" s="21"/>
      <c r="ASU232" s="15"/>
      <c r="ASV232" s="15"/>
      <c r="ASW232" s="15"/>
      <c r="ASX232" s="15"/>
      <c r="ASY232" s="15"/>
      <c r="ASZ232" s="15"/>
      <c r="ATA232" s="15"/>
      <c r="ATB232" s="15"/>
      <c r="ATC232" s="15"/>
      <c r="ATD232" s="15"/>
      <c r="ATE232" s="10"/>
      <c r="ATF232" s="10"/>
      <c r="ATG232" s="21"/>
      <c r="ATH232" s="21"/>
      <c r="ATK232" s="21"/>
      <c r="ATL232" s="15"/>
      <c r="ATM232" s="15"/>
      <c r="ATN232" s="15"/>
      <c r="ATO232" s="15"/>
      <c r="ATP232" s="15"/>
      <c r="ATQ232" s="15"/>
      <c r="ATR232" s="15"/>
      <c r="ATS232" s="15"/>
      <c r="ATT232" s="15"/>
      <c r="ATU232" s="15"/>
      <c r="ATV232" s="10"/>
      <c r="ATW232" s="10"/>
      <c r="ATX232" s="21"/>
      <c r="ATY232" s="21"/>
      <c r="AUB232" s="21"/>
      <c r="AUC232" s="15"/>
      <c r="AUD232" s="15"/>
      <c r="AUE232" s="15"/>
      <c r="AUF232" s="15"/>
      <c r="AUG232" s="15"/>
      <c r="AUH232" s="15"/>
      <c r="AUI232" s="15"/>
      <c r="AUJ232" s="15"/>
      <c r="AUK232" s="15"/>
      <c r="AUL232" s="15"/>
      <c r="AUM232" s="10"/>
      <c r="AUN232" s="10"/>
      <c r="AUO232" s="21"/>
      <c r="AUP232" s="21"/>
      <c r="AUS232" s="21"/>
      <c r="AUT232" s="15"/>
      <c r="AUU232" s="15"/>
      <c r="AUV232" s="15"/>
      <c r="AUW232" s="15"/>
      <c r="AUX232" s="15"/>
      <c r="AUY232" s="15"/>
      <c r="AUZ232" s="15"/>
      <c r="AVA232" s="15"/>
      <c r="AVB232" s="15"/>
      <c r="AVC232" s="15"/>
      <c r="AVD232" s="10"/>
      <c r="AVE232" s="10"/>
      <c r="AVF232" s="21"/>
      <c r="AVG232" s="21"/>
      <c r="AVJ232" s="21"/>
      <c r="AVK232" s="15"/>
      <c r="AVL232" s="15"/>
      <c r="AVM232" s="15"/>
      <c r="AVN232" s="15"/>
      <c r="AVO232" s="15"/>
      <c r="AVP232" s="15"/>
      <c r="AVQ232" s="15"/>
      <c r="AVR232" s="15"/>
      <c r="AVS232" s="15"/>
      <c r="AVT232" s="15"/>
      <c r="AVU232" s="10"/>
      <c r="AVV232" s="10"/>
      <c r="AVW232" s="21"/>
      <c r="AVX232" s="21"/>
      <c r="AWA232" s="21"/>
      <c r="AWB232" s="15"/>
      <c r="AWC232" s="15"/>
      <c r="AWD232" s="15"/>
      <c r="AWE232" s="15"/>
      <c r="AWF232" s="15"/>
      <c r="AWG232" s="15"/>
      <c r="AWH232" s="15"/>
      <c r="AWI232" s="15"/>
      <c r="AWJ232" s="15"/>
      <c r="AWK232" s="15"/>
      <c r="AWL232" s="10"/>
      <c r="AWM232" s="10"/>
      <c r="AWN232" s="21"/>
      <c r="AWO232" s="21"/>
      <c r="AWR232" s="21"/>
      <c r="AWS232" s="15"/>
      <c r="AWT232" s="15"/>
      <c r="AWU232" s="15"/>
      <c r="AWV232" s="15"/>
      <c r="AWW232" s="15"/>
      <c r="AWX232" s="15"/>
      <c r="AWY232" s="15"/>
      <c r="AWZ232" s="15"/>
      <c r="AXA232" s="15"/>
      <c r="AXB232" s="15"/>
      <c r="AXC232" s="10"/>
      <c r="AXD232" s="10"/>
      <c r="AXE232" s="21"/>
      <c r="AXF232" s="21"/>
      <c r="AXI232" s="21"/>
      <c r="AXJ232" s="15"/>
      <c r="AXK232" s="15"/>
      <c r="AXL232" s="15"/>
      <c r="AXM232" s="15"/>
      <c r="AXN232" s="15"/>
      <c r="AXO232" s="15"/>
      <c r="AXP232" s="15"/>
      <c r="AXQ232" s="15"/>
      <c r="AXR232" s="15"/>
      <c r="AXS232" s="15"/>
      <c r="AXT232" s="10"/>
      <c r="AXU232" s="10"/>
      <c r="AXV232" s="21"/>
      <c r="AXW232" s="21"/>
      <c r="AXZ232" s="21"/>
      <c r="AYA232" s="15"/>
      <c r="AYB232" s="15"/>
      <c r="AYC232" s="15"/>
      <c r="AYD232" s="15"/>
      <c r="AYE232" s="15"/>
      <c r="AYF232" s="15"/>
      <c r="AYG232" s="15"/>
      <c r="AYH232" s="15"/>
      <c r="AYI232" s="15"/>
      <c r="AYJ232" s="15"/>
      <c r="AYK232" s="10"/>
      <c r="AYL232" s="10"/>
      <c r="AYM232" s="21"/>
      <c r="AYN232" s="21"/>
      <c r="AYQ232" s="21"/>
      <c r="AYR232" s="15"/>
      <c r="AYS232" s="15"/>
      <c r="AYT232" s="15"/>
      <c r="AYU232" s="15"/>
      <c r="AYV232" s="15"/>
      <c r="AYW232" s="15"/>
      <c r="AYX232" s="15"/>
      <c r="AYY232" s="15"/>
      <c r="AYZ232" s="15"/>
      <c r="AZA232" s="15"/>
      <c r="AZB232" s="10"/>
      <c r="AZC232" s="10"/>
      <c r="AZD232" s="21"/>
      <c r="AZE232" s="21"/>
      <c r="AZH232" s="21"/>
      <c r="AZI232" s="15"/>
      <c r="AZJ232" s="15"/>
      <c r="AZK232" s="15"/>
      <c r="AZL232" s="15"/>
      <c r="AZM232" s="15"/>
      <c r="AZN232" s="15"/>
      <c r="AZO232" s="15"/>
      <c r="AZP232" s="15"/>
      <c r="AZQ232" s="15"/>
      <c r="AZR232" s="15"/>
      <c r="AZS232" s="10"/>
      <c r="AZT232" s="10"/>
      <c r="AZU232" s="21"/>
      <c r="AZV232" s="21"/>
      <c r="AZY232" s="21"/>
      <c r="AZZ232" s="15"/>
      <c r="BAA232" s="15"/>
      <c r="BAB232" s="15"/>
      <c r="BAC232" s="15"/>
      <c r="BAD232" s="15"/>
      <c r="BAE232" s="15"/>
      <c r="BAF232" s="15"/>
      <c r="BAG232" s="15"/>
      <c r="BAH232" s="15"/>
      <c r="BAI232" s="15"/>
      <c r="BAJ232" s="10"/>
      <c r="BAK232" s="10"/>
      <c r="BAL232" s="21"/>
      <c r="BAM232" s="21"/>
      <c r="BAP232" s="21"/>
      <c r="BAQ232" s="15"/>
      <c r="BAR232" s="15"/>
      <c r="BAS232" s="15"/>
      <c r="BAT232" s="15"/>
      <c r="BAU232" s="15"/>
      <c r="BAV232" s="15"/>
      <c r="BAW232" s="15"/>
      <c r="BAX232" s="15"/>
      <c r="BAY232" s="15"/>
      <c r="BAZ232" s="15"/>
      <c r="BBA232" s="10"/>
      <c r="BBB232" s="10"/>
      <c r="BBC232" s="21"/>
      <c r="BBD232" s="21"/>
      <c r="BBG232" s="21"/>
      <c r="BBH232" s="15"/>
      <c r="BBI232" s="15"/>
      <c r="BBJ232" s="15"/>
      <c r="BBK232" s="15"/>
      <c r="BBL232" s="15"/>
      <c r="BBM232" s="15"/>
      <c r="BBN232" s="15"/>
      <c r="BBO232" s="15"/>
      <c r="BBP232" s="15"/>
      <c r="BBQ232" s="15"/>
      <c r="BBR232" s="10"/>
      <c r="BBS232" s="10"/>
      <c r="BBT232" s="21"/>
      <c r="BBU232" s="21"/>
      <c r="BBX232" s="21"/>
      <c r="BBY232" s="15"/>
      <c r="BBZ232" s="15"/>
      <c r="BCA232" s="15"/>
      <c r="BCB232" s="15"/>
      <c r="BCC232" s="15"/>
      <c r="BCD232" s="15"/>
      <c r="BCE232" s="15"/>
      <c r="BCF232" s="15"/>
      <c r="BCG232" s="15"/>
      <c r="BCH232" s="15"/>
      <c r="BCI232" s="10"/>
      <c r="BCJ232" s="10"/>
      <c r="BCK232" s="21"/>
      <c r="BCL232" s="21"/>
      <c r="BCO232" s="21"/>
      <c r="BCP232" s="15"/>
      <c r="BCQ232" s="15"/>
      <c r="BCR232" s="15"/>
      <c r="BCS232" s="15"/>
      <c r="BCT232" s="15"/>
      <c r="BCU232" s="15"/>
      <c r="BCV232" s="15"/>
      <c r="BCW232" s="15"/>
      <c r="BCX232" s="15"/>
      <c r="BCY232" s="15"/>
      <c r="BCZ232" s="10"/>
      <c r="BDA232" s="10"/>
      <c r="BDB232" s="21"/>
      <c r="BDC232" s="21"/>
      <c r="BDF232" s="21"/>
      <c r="BDG232" s="15"/>
      <c r="BDH232" s="15"/>
      <c r="BDI232" s="15"/>
      <c r="BDJ232" s="15"/>
      <c r="BDK232" s="15"/>
      <c r="BDL232" s="15"/>
      <c r="BDM232" s="15"/>
      <c r="BDN232" s="15"/>
      <c r="BDO232" s="15"/>
      <c r="BDP232" s="15"/>
      <c r="BDQ232" s="10"/>
      <c r="BDR232" s="10"/>
      <c r="BDS232" s="21"/>
      <c r="BDT232" s="21"/>
      <c r="BDW232" s="21"/>
      <c r="BDX232" s="15"/>
      <c r="BDY232" s="15"/>
      <c r="BDZ232" s="15"/>
      <c r="BEA232" s="15"/>
      <c r="BEB232" s="15"/>
      <c r="BEC232" s="15"/>
      <c r="BED232" s="15"/>
      <c r="BEE232" s="15"/>
      <c r="BEF232" s="15"/>
      <c r="BEG232" s="15"/>
      <c r="BEH232" s="10"/>
      <c r="BEI232" s="10"/>
      <c r="BEJ232" s="21"/>
      <c r="BEK232" s="21"/>
      <c r="BEN232" s="21"/>
      <c r="BEO232" s="15"/>
      <c r="BEP232" s="15"/>
      <c r="BEQ232" s="15"/>
      <c r="BER232" s="15"/>
      <c r="BES232" s="15"/>
      <c r="BET232" s="15"/>
      <c r="BEU232" s="15"/>
      <c r="BEV232" s="15"/>
      <c r="BEW232" s="15"/>
      <c r="BEX232" s="15"/>
      <c r="BEY232" s="10"/>
      <c r="BEZ232" s="10"/>
      <c r="BFA232" s="21"/>
      <c r="BFB232" s="21"/>
      <c r="BFE232" s="21"/>
      <c r="BFF232" s="15"/>
      <c r="BFG232" s="15"/>
      <c r="BFH232" s="15"/>
      <c r="BFI232" s="15"/>
      <c r="BFJ232" s="15"/>
      <c r="BFK232" s="15"/>
      <c r="BFL232" s="15"/>
      <c r="BFM232" s="15"/>
      <c r="BFN232" s="15"/>
      <c r="BFO232" s="15"/>
      <c r="BFP232" s="10"/>
      <c r="BFQ232" s="10"/>
      <c r="BFR232" s="21"/>
      <c r="BFS232" s="21"/>
      <c r="BFV232" s="21"/>
      <c r="BFW232" s="15"/>
      <c r="BFX232" s="15"/>
      <c r="BFY232" s="15"/>
      <c r="BFZ232" s="15"/>
      <c r="BGA232" s="15"/>
      <c r="BGB232" s="15"/>
      <c r="BGC232" s="15"/>
      <c r="BGD232" s="15"/>
      <c r="BGE232" s="15"/>
      <c r="BGF232" s="15"/>
      <c r="BGG232" s="10"/>
      <c r="BGH232" s="10"/>
      <c r="BGI232" s="21"/>
      <c r="BGJ232" s="21"/>
      <c r="BGM232" s="21"/>
      <c r="BGN232" s="15"/>
      <c r="BGO232" s="15"/>
      <c r="BGP232" s="15"/>
      <c r="BGQ232" s="15"/>
      <c r="BGR232" s="15"/>
      <c r="BGS232" s="15"/>
      <c r="BGT232" s="15"/>
      <c r="BGU232" s="15"/>
      <c r="BGV232" s="15"/>
      <c r="BGW232" s="15"/>
      <c r="BGX232" s="10"/>
      <c r="BGY232" s="10"/>
      <c r="BGZ232" s="21"/>
      <c r="BHA232" s="21"/>
      <c r="BHD232" s="21"/>
      <c r="BHE232" s="15"/>
      <c r="BHF232" s="15"/>
      <c r="BHG232" s="15"/>
      <c r="BHH232" s="15"/>
      <c r="BHI232" s="15"/>
      <c r="BHJ232" s="15"/>
      <c r="BHK232" s="15"/>
      <c r="BHL232" s="15"/>
      <c r="BHM232" s="15"/>
      <c r="BHN232" s="15"/>
      <c r="BHO232" s="10"/>
      <c r="BHP232" s="10"/>
      <c r="BHQ232" s="21"/>
      <c r="BHR232" s="21"/>
      <c r="BHU232" s="21"/>
      <c r="BHV232" s="15"/>
      <c r="BHW232" s="15"/>
      <c r="BHX232" s="15"/>
      <c r="BHY232" s="15"/>
      <c r="BHZ232" s="15"/>
      <c r="BIA232" s="15"/>
      <c r="BIB232" s="15"/>
      <c r="BIC232" s="15"/>
      <c r="BID232" s="15"/>
      <c r="BIE232" s="15"/>
      <c r="BIF232" s="10"/>
      <c r="BIG232" s="10"/>
      <c r="BIH232" s="21"/>
      <c r="BII232" s="21"/>
      <c r="BIL232" s="21"/>
      <c r="BIM232" s="15"/>
      <c r="BIN232" s="15"/>
      <c r="BIO232" s="15"/>
      <c r="BIP232" s="15"/>
      <c r="BIQ232" s="15"/>
      <c r="BIR232" s="15"/>
      <c r="BIS232" s="15"/>
      <c r="BIT232" s="15"/>
      <c r="BIU232" s="15"/>
      <c r="BIV232" s="15"/>
      <c r="BIW232" s="10"/>
      <c r="BIX232" s="10"/>
      <c r="BIY232" s="21"/>
      <c r="BIZ232" s="21"/>
      <c r="BJC232" s="21"/>
      <c r="BJD232" s="15"/>
      <c r="BJE232" s="15"/>
      <c r="BJF232" s="15"/>
      <c r="BJG232" s="15"/>
      <c r="BJH232" s="15"/>
      <c r="BJI232" s="15"/>
      <c r="BJJ232" s="15"/>
      <c r="BJK232" s="15"/>
      <c r="BJL232" s="15"/>
      <c r="BJM232" s="15"/>
      <c r="BJN232" s="10"/>
      <c r="BJO232" s="10"/>
      <c r="BJP232" s="21"/>
      <c r="BJQ232" s="21"/>
      <c r="BJT232" s="21"/>
      <c r="BJU232" s="15"/>
      <c r="BJV232" s="15"/>
      <c r="BJW232" s="15"/>
      <c r="BJX232" s="15"/>
      <c r="BJY232" s="15"/>
      <c r="BJZ232" s="15"/>
      <c r="BKA232" s="15"/>
      <c r="BKB232" s="15"/>
      <c r="BKC232" s="15"/>
      <c r="BKD232" s="15"/>
      <c r="BKE232" s="10"/>
      <c r="BKF232" s="10"/>
      <c r="BKG232" s="21"/>
      <c r="BKH232" s="21"/>
      <c r="BKK232" s="21"/>
      <c r="BKL232" s="15"/>
      <c r="BKM232" s="15"/>
      <c r="BKN232" s="15"/>
      <c r="BKO232" s="15"/>
      <c r="BKP232" s="15"/>
      <c r="BKQ232" s="15"/>
      <c r="BKR232" s="15"/>
      <c r="BKS232" s="15"/>
      <c r="BKT232" s="15"/>
      <c r="BKU232" s="15"/>
      <c r="BKV232" s="10"/>
      <c r="BKW232" s="10"/>
      <c r="BKX232" s="21"/>
      <c r="BKY232" s="21"/>
      <c r="BLB232" s="21"/>
      <c r="BLC232" s="15"/>
      <c r="BLD232" s="15"/>
      <c r="BLE232" s="15"/>
      <c r="BLF232" s="15"/>
      <c r="BLG232" s="15"/>
      <c r="BLH232" s="15"/>
      <c r="BLI232" s="15"/>
      <c r="BLJ232" s="15"/>
      <c r="BLK232" s="15"/>
      <c r="BLL232" s="15"/>
      <c r="BLM232" s="10"/>
      <c r="BLN232" s="10"/>
      <c r="BLO232" s="21"/>
      <c r="BLP232" s="21"/>
      <c r="BLS232" s="21"/>
      <c r="BLT232" s="15"/>
      <c r="BLU232" s="15"/>
      <c r="BLV232" s="15"/>
      <c r="BLW232" s="15"/>
      <c r="BLX232" s="15"/>
      <c r="BLY232" s="15"/>
      <c r="BLZ232" s="15"/>
      <c r="BMA232" s="15"/>
      <c r="BMB232" s="15"/>
      <c r="BMC232" s="15"/>
      <c r="BMD232" s="10"/>
      <c r="BME232" s="10"/>
      <c r="BMF232" s="21"/>
      <c r="BMG232" s="21"/>
      <c r="BMJ232" s="21"/>
      <c r="BMK232" s="15"/>
      <c r="BML232" s="15"/>
      <c r="BMM232" s="15"/>
      <c r="BMN232" s="15"/>
      <c r="BMO232" s="15"/>
      <c r="BMP232" s="15"/>
      <c r="BMQ232" s="15"/>
      <c r="BMR232" s="15"/>
      <c r="BMS232" s="15"/>
      <c r="BMT232" s="15"/>
      <c r="BMU232" s="10"/>
      <c r="BMV232" s="10"/>
      <c r="BMW232" s="21"/>
      <c r="BMX232" s="21"/>
      <c r="BNA232" s="21"/>
      <c r="BNB232" s="15"/>
      <c r="BNC232" s="15"/>
      <c r="BND232" s="15"/>
      <c r="BNE232" s="15"/>
      <c r="BNF232" s="15"/>
      <c r="BNG232" s="15"/>
      <c r="BNH232" s="15"/>
      <c r="BNI232" s="15"/>
      <c r="BNJ232" s="15"/>
      <c r="BNK232" s="15"/>
      <c r="BNL232" s="10"/>
      <c r="BNM232" s="10"/>
      <c r="BNN232" s="21"/>
      <c r="BNO232" s="21"/>
      <c r="BNR232" s="21"/>
      <c r="BNS232" s="15"/>
      <c r="BNT232" s="15"/>
      <c r="BNU232" s="15"/>
      <c r="BNV232" s="15"/>
      <c r="BNW232" s="15"/>
      <c r="BNX232" s="15"/>
      <c r="BNY232" s="15"/>
      <c r="BNZ232" s="15"/>
      <c r="BOA232" s="15"/>
      <c r="BOB232" s="15"/>
      <c r="BOC232" s="10"/>
      <c r="BOD232" s="10"/>
      <c r="BOE232" s="21"/>
      <c r="BOF232" s="21"/>
      <c r="BOI232" s="21"/>
      <c r="BOJ232" s="15"/>
      <c r="BOK232" s="15"/>
      <c r="BOL232" s="15"/>
      <c r="BOM232" s="15"/>
      <c r="BON232" s="15"/>
      <c r="BOO232" s="15"/>
      <c r="BOP232" s="15"/>
      <c r="BOQ232" s="15"/>
      <c r="BOR232" s="15"/>
      <c r="BOS232" s="15"/>
      <c r="BOT232" s="10"/>
      <c r="BOU232" s="10"/>
      <c r="BOV232" s="21"/>
      <c r="BOW232" s="21"/>
      <c r="BOZ232" s="21"/>
      <c r="BPA232" s="15"/>
      <c r="BPB232" s="15"/>
      <c r="BPC232" s="15"/>
      <c r="BPD232" s="15"/>
      <c r="BPE232" s="15"/>
      <c r="BPF232" s="15"/>
      <c r="BPG232" s="15"/>
      <c r="BPH232" s="15"/>
      <c r="BPI232" s="15"/>
      <c r="BPJ232" s="15"/>
      <c r="BPK232" s="10"/>
      <c r="BPL232" s="10"/>
      <c r="BPM232" s="21"/>
      <c r="BPN232" s="21"/>
      <c r="BPQ232" s="21"/>
      <c r="BPR232" s="15"/>
      <c r="BPS232" s="15"/>
      <c r="BPT232" s="15"/>
      <c r="BPU232" s="15"/>
      <c r="BPV232" s="15"/>
      <c r="BPW232" s="15"/>
      <c r="BPX232" s="15"/>
      <c r="BPY232" s="15"/>
      <c r="BPZ232" s="15"/>
      <c r="BQA232" s="15"/>
      <c r="BQB232" s="10"/>
      <c r="BQC232" s="10"/>
      <c r="BQD232" s="21"/>
      <c r="BQE232" s="21"/>
      <c r="BQH232" s="21"/>
      <c r="BQI232" s="15"/>
      <c r="BQJ232" s="15"/>
      <c r="BQK232" s="15"/>
      <c r="BQL232" s="15"/>
      <c r="BQM232" s="15"/>
      <c r="BQN232" s="15"/>
      <c r="BQO232" s="15"/>
      <c r="BQP232" s="15"/>
      <c r="BQQ232" s="15"/>
      <c r="BQR232" s="15"/>
      <c r="BQS232" s="10"/>
      <c r="BQT232" s="10"/>
      <c r="BQU232" s="21"/>
      <c r="BQV232" s="21"/>
      <c r="BQY232" s="21"/>
      <c r="BQZ232" s="15"/>
      <c r="BRA232" s="15"/>
      <c r="BRB232" s="15"/>
      <c r="BRC232" s="15"/>
      <c r="BRD232" s="15"/>
      <c r="BRE232" s="15"/>
      <c r="BRF232" s="15"/>
      <c r="BRG232" s="15"/>
      <c r="BRH232" s="15"/>
      <c r="BRI232" s="15"/>
      <c r="BRJ232" s="10"/>
      <c r="BRK232" s="10"/>
      <c r="BRL232" s="21"/>
      <c r="BRM232" s="21"/>
      <c r="BRP232" s="21"/>
      <c r="BRQ232" s="15"/>
      <c r="BRR232" s="15"/>
      <c r="BRS232" s="15"/>
      <c r="BRT232" s="15"/>
      <c r="BRU232" s="15"/>
      <c r="BRV232" s="15"/>
      <c r="BRW232" s="15"/>
      <c r="BRX232" s="15"/>
      <c r="BRY232" s="15"/>
      <c r="BRZ232" s="15"/>
      <c r="BSA232" s="10"/>
      <c r="BSB232" s="10"/>
      <c r="BSC232" s="21"/>
      <c r="BSD232" s="21"/>
      <c r="BSG232" s="21"/>
      <c r="BSH232" s="15"/>
      <c r="BSI232" s="15"/>
      <c r="BSJ232" s="15"/>
      <c r="BSK232" s="15"/>
      <c r="BSL232" s="15"/>
      <c r="BSM232" s="15"/>
      <c r="BSN232" s="15"/>
      <c r="BSO232" s="15"/>
      <c r="BSP232" s="15"/>
      <c r="BSQ232" s="15"/>
      <c r="BSR232" s="10"/>
      <c r="BSS232" s="10"/>
      <c r="BST232" s="21"/>
      <c r="BSU232" s="21"/>
      <c r="BSX232" s="21"/>
      <c r="BSY232" s="15"/>
      <c r="BSZ232" s="15"/>
      <c r="BTA232" s="15"/>
      <c r="BTB232" s="15"/>
      <c r="BTC232" s="15"/>
      <c r="BTD232" s="15"/>
      <c r="BTE232" s="15"/>
      <c r="BTF232" s="15"/>
      <c r="BTG232" s="15"/>
      <c r="BTH232" s="15"/>
      <c r="BTI232" s="10"/>
      <c r="BTJ232" s="10"/>
      <c r="BTK232" s="21"/>
      <c r="BTL232" s="21"/>
      <c r="BTO232" s="21"/>
      <c r="BTP232" s="15"/>
      <c r="BTQ232" s="15"/>
      <c r="BTR232" s="15"/>
      <c r="BTS232" s="15"/>
      <c r="BTT232" s="15"/>
      <c r="BTU232" s="15"/>
      <c r="BTV232" s="15"/>
      <c r="BTW232" s="15"/>
      <c r="BTX232" s="15"/>
      <c r="BTY232" s="15"/>
      <c r="BTZ232" s="10"/>
      <c r="BUA232" s="10"/>
      <c r="BUB232" s="21"/>
      <c r="BUC232" s="21"/>
      <c r="BUF232" s="21"/>
      <c r="BUG232" s="15"/>
      <c r="BUH232" s="15"/>
      <c r="BUI232" s="15"/>
      <c r="BUJ232" s="15"/>
      <c r="BUK232" s="15"/>
      <c r="BUL232" s="15"/>
      <c r="BUM232" s="15"/>
      <c r="BUN232" s="15"/>
      <c r="BUO232" s="15"/>
      <c r="BUP232" s="15"/>
      <c r="BUQ232" s="10"/>
      <c r="BUR232" s="10"/>
      <c r="BUS232" s="21"/>
      <c r="BUT232" s="21"/>
      <c r="BUW232" s="21"/>
      <c r="BUX232" s="15"/>
      <c r="BUY232" s="15"/>
      <c r="BUZ232" s="15"/>
      <c r="BVA232" s="15"/>
      <c r="BVB232" s="15"/>
      <c r="BVC232" s="15"/>
      <c r="BVD232" s="15"/>
      <c r="BVE232" s="15"/>
      <c r="BVF232" s="15"/>
      <c r="BVG232" s="15"/>
      <c r="BVH232" s="10"/>
      <c r="BVI232" s="10"/>
      <c r="BVJ232" s="21"/>
      <c r="BVK232" s="21"/>
      <c r="BVN232" s="21"/>
      <c r="BVO232" s="15"/>
      <c r="BVP232" s="15"/>
      <c r="BVQ232" s="15"/>
      <c r="BVR232" s="15"/>
      <c r="BVS232" s="15"/>
      <c r="BVT232" s="15"/>
      <c r="BVU232" s="15"/>
      <c r="BVV232" s="15"/>
      <c r="BVW232" s="15"/>
      <c r="BVX232" s="15"/>
      <c r="BVY232" s="10"/>
      <c r="BVZ232" s="10"/>
      <c r="BWA232" s="21"/>
      <c r="BWB232" s="21"/>
      <c r="BWE232" s="21"/>
      <c r="BWF232" s="15"/>
      <c r="BWG232" s="15"/>
      <c r="BWH232" s="15"/>
      <c r="BWI232" s="15"/>
      <c r="BWJ232" s="15"/>
      <c r="BWK232" s="15"/>
      <c r="BWL232" s="15"/>
      <c r="BWM232" s="15"/>
      <c r="BWN232" s="15"/>
      <c r="BWO232" s="15"/>
      <c r="BWP232" s="10"/>
      <c r="BWQ232" s="10"/>
      <c r="BWR232" s="21"/>
      <c r="BWS232" s="21"/>
      <c r="BWV232" s="21"/>
      <c r="BWW232" s="15"/>
      <c r="BWX232" s="15"/>
      <c r="BWY232" s="15"/>
      <c r="BWZ232" s="15"/>
      <c r="BXA232" s="15"/>
      <c r="BXB232" s="15"/>
      <c r="BXC232" s="15"/>
      <c r="BXD232" s="15"/>
      <c r="BXE232" s="15"/>
      <c r="BXF232" s="15"/>
      <c r="BXG232" s="10"/>
      <c r="BXH232" s="10"/>
      <c r="BXI232" s="21"/>
      <c r="BXJ232" s="21"/>
      <c r="BXM232" s="21"/>
      <c r="BXN232" s="15"/>
      <c r="BXO232" s="15"/>
      <c r="BXP232" s="15"/>
      <c r="BXQ232" s="15"/>
      <c r="BXR232" s="15"/>
      <c r="BXS232" s="15"/>
      <c r="BXT232" s="15"/>
      <c r="BXU232" s="15"/>
      <c r="BXV232" s="15"/>
      <c r="BXW232" s="15"/>
      <c r="BXX232" s="10"/>
      <c r="BXY232" s="10"/>
      <c r="BXZ232" s="21"/>
      <c r="BYA232" s="21"/>
      <c r="BYD232" s="21"/>
      <c r="BYE232" s="15"/>
      <c r="BYF232" s="15"/>
      <c r="BYG232" s="15"/>
      <c r="BYH232" s="15"/>
      <c r="BYI232" s="15"/>
      <c r="BYJ232" s="15"/>
      <c r="BYK232" s="15"/>
      <c r="BYL232" s="15"/>
      <c r="BYM232" s="15"/>
      <c r="BYN232" s="15"/>
      <c r="BYO232" s="10"/>
      <c r="BYP232" s="10"/>
      <c r="BYQ232" s="21"/>
      <c r="BYR232" s="21"/>
      <c r="BYU232" s="21"/>
      <c r="BYV232" s="15"/>
      <c r="BYW232" s="15"/>
      <c r="BYX232" s="15"/>
      <c r="BYY232" s="15"/>
      <c r="BYZ232" s="15"/>
      <c r="BZA232" s="15"/>
      <c r="BZB232" s="15"/>
      <c r="BZC232" s="15"/>
      <c r="BZD232" s="15"/>
      <c r="BZE232" s="15"/>
      <c r="BZF232" s="10"/>
      <c r="BZG232" s="10"/>
      <c r="BZH232" s="21"/>
      <c r="BZI232" s="21"/>
      <c r="BZL232" s="21"/>
      <c r="BZM232" s="15"/>
      <c r="BZN232" s="15"/>
      <c r="BZO232" s="15"/>
      <c r="BZP232" s="15"/>
      <c r="BZQ232" s="15"/>
      <c r="BZR232" s="15"/>
      <c r="BZS232" s="15"/>
      <c r="BZT232" s="15"/>
      <c r="BZU232" s="15"/>
      <c r="BZV232" s="15"/>
      <c r="BZW232" s="10"/>
      <c r="BZX232" s="10"/>
      <c r="BZY232" s="21"/>
      <c r="BZZ232" s="21"/>
      <c r="CAC232" s="21"/>
      <c r="CAD232" s="15"/>
      <c r="CAE232" s="15"/>
      <c r="CAF232" s="15"/>
      <c r="CAG232" s="15"/>
      <c r="CAH232" s="15"/>
      <c r="CAI232" s="15"/>
      <c r="CAJ232" s="15"/>
      <c r="CAK232" s="15"/>
      <c r="CAL232" s="15"/>
      <c r="CAM232" s="15"/>
      <c r="CAN232" s="10"/>
      <c r="CAO232" s="10"/>
      <c r="CAP232" s="21"/>
      <c r="CAQ232" s="21"/>
      <c r="CAT232" s="21"/>
      <c r="CAU232" s="15"/>
      <c r="CAV232" s="15"/>
      <c r="CAW232" s="15"/>
      <c r="CAX232" s="15"/>
      <c r="CAY232" s="15"/>
      <c r="CAZ232" s="15"/>
      <c r="CBA232" s="15"/>
      <c r="CBB232" s="15"/>
      <c r="CBC232" s="15"/>
      <c r="CBD232" s="15"/>
      <c r="CBE232" s="10"/>
      <c r="CBF232" s="10"/>
      <c r="CBG232" s="21"/>
      <c r="CBH232" s="21"/>
      <c r="CBK232" s="21"/>
      <c r="CBL232" s="15"/>
      <c r="CBM232" s="15"/>
      <c r="CBN232" s="15"/>
      <c r="CBO232" s="15"/>
      <c r="CBP232" s="15"/>
      <c r="CBQ232" s="15"/>
      <c r="CBR232" s="15"/>
      <c r="CBS232" s="15"/>
      <c r="CBT232" s="15"/>
      <c r="CBU232" s="15"/>
      <c r="CBV232" s="10"/>
      <c r="CBW232" s="10"/>
      <c r="CBX232" s="21"/>
      <c r="CBY232" s="21"/>
      <c r="CCB232" s="21"/>
      <c r="CCC232" s="15"/>
      <c r="CCD232" s="15"/>
      <c r="CCE232" s="15"/>
      <c r="CCF232" s="15"/>
      <c r="CCG232" s="15"/>
      <c r="CCH232" s="15"/>
      <c r="CCI232" s="15"/>
      <c r="CCJ232" s="15"/>
      <c r="CCK232" s="15"/>
      <c r="CCL232" s="15"/>
      <c r="CCM232" s="10"/>
      <c r="CCN232" s="10"/>
      <c r="CCO232" s="21"/>
      <c r="CCP232" s="21"/>
      <c r="CCS232" s="21"/>
      <c r="CCT232" s="15"/>
      <c r="CCU232" s="15"/>
      <c r="CCV232" s="15"/>
      <c r="CCW232" s="15"/>
      <c r="CCX232" s="15"/>
      <c r="CCY232" s="15"/>
      <c r="CCZ232" s="15"/>
      <c r="CDA232" s="15"/>
      <c r="CDB232" s="15"/>
      <c r="CDC232" s="15"/>
      <c r="CDD232" s="10"/>
      <c r="CDE232" s="10"/>
      <c r="CDF232" s="21"/>
      <c r="CDG232" s="21"/>
      <c r="CDJ232" s="21"/>
      <c r="CDK232" s="15"/>
      <c r="CDL232" s="15"/>
      <c r="CDM232" s="15"/>
      <c r="CDN232" s="15"/>
      <c r="CDO232" s="15"/>
      <c r="CDP232" s="15"/>
      <c r="CDQ232" s="15"/>
      <c r="CDR232" s="15"/>
      <c r="CDS232" s="15"/>
      <c r="CDT232" s="15"/>
      <c r="CDU232" s="10"/>
      <c r="CDV232" s="10"/>
      <c r="CDW232" s="21"/>
      <c r="CDX232" s="21"/>
      <c r="CEA232" s="21"/>
      <c r="CEB232" s="15"/>
      <c r="CEC232" s="15"/>
      <c r="CED232" s="15"/>
      <c r="CEE232" s="15"/>
      <c r="CEF232" s="15"/>
      <c r="CEG232" s="15"/>
      <c r="CEH232" s="15"/>
      <c r="CEI232" s="15"/>
      <c r="CEJ232" s="15"/>
      <c r="CEK232" s="15"/>
      <c r="CEL232" s="10"/>
      <c r="CEM232" s="10"/>
      <c r="CEN232" s="21"/>
      <c r="CEO232" s="21"/>
      <c r="CER232" s="21"/>
      <c r="CES232" s="15"/>
      <c r="CET232" s="15"/>
      <c r="CEU232" s="15"/>
      <c r="CEV232" s="15"/>
      <c r="CEW232" s="15"/>
      <c r="CEX232" s="15"/>
      <c r="CEY232" s="15"/>
      <c r="CEZ232" s="15"/>
      <c r="CFA232" s="15"/>
      <c r="CFB232" s="15"/>
      <c r="CFC232" s="10"/>
      <c r="CFD232" s="10"/>
      <c r="CFE232" s="21"/>
      <c r="CFF232" s="21"/>
      <c r="CFI232" s="21"/>
      <c r="CFJ232" s="15"/>
      <c r="CFK232" s="15"/>
      <c r="CFL232" s="15"/>
      <c r="CFM232" s="15"/>
      <c r="CFN232" s="15"/>
      <c r="CFO232" s="15"/>
      <c r="CFP232" s="15"/>
      <c r="CFQ232" s="15"/>
      <c r="CFR232" s="15"/>
      <c r="CFS232" s="15"/>
      <c r="CFT232" s="10"/>
      <c r="CFU232" s="10"/>
      <c r="CFV232" s="21"/>
      <c r="CFW232" s="21"/>
      <c r="CFZ232" s="21"/>
      <c r="CGA232" s="15"/>
      <c r="CGB232" s="15"/>
      <c r="CGC232" s="15"/>
      <c r="CGD232" s="15"/>
      <c r="CGE232" s="15"/>
      <c r="CGF232" s="15"/>
      <c r="CGG232" s="15"/>
      <c r="CGH232" s="15"/>
      <c r="CGI232" s="15"/>
      <c r="CGJ232" s="15"/>
      <c r="CGK232" s="10"/>
      <c r="CGL232" s="10"/>
      <c r="CGM232" s="21"/>
      <c r="CGN232" s="21"/>
      <c r="CGQ232" s="21"/>
      <c r="CGR232" s="15"/>
      <c r="CGS232" s="15"/>
      <c r="CGT232" s="15"/>
      <c r="CGU232" s="15"/>
      <c r="CGV232" s="15"/>
      <c r="CGW232" s="15"/>
      <c r="CGX232" s="15"/>
      <c r="CGY232" s="15"/>
      <c r="CGZ232" s="15"/>
      <c r="CHA232" s="15"/>
      <c r="CHB232" s="10"/>
      <c r="CHC232" s="10"/>
      <c r="CHD232" s="21"/>
      <c r="CHE232" s="21"/>
      <c r="CHH232" s="21"/>
      <c r="CHI232" s="15"/>
      <c r="CHJ232" s="15"/>
      <c r="CHK232" s="15"/>
      <c r="CHL232" s="15"/>
      <c r="CHM232" s="15"/>
      <c r="CHN232" s="15"/>
      <c r="CHO232" s="15"/>
      <c r="CHP232" s="15"/>
      <c r="CHQ232" s="15"/>
      <c r="CHR232" s="15"/>
      <c r="CHS232" s="10"/>
      <c r="CHT232" s="10"/>
      <c r="CHU232" s="21"/>
      <c r="CHV232" s="21"/>
      <c r="CHY232" s="21"/>
      <c r="CHZ232" s="15"/>
      <c r="CIA232" s="15"/>
      <c r="CIB232" s="15"/>
      <c r="CIC232" s="15"/>
      <c r="CID232" s="15"/>
      <c r="CIE232" s="15"/>
      <c r="CIF232" s="15"/>
      <c r="CIG232" s="15"/>
      <c r="CIH232" s="15"/>
      <c r="CII232" s="15"/>
      <c r="CIJ232" s="10"/>
      <c r="CIK232" s="10"/>
      <c r="CIL232" s="21"/>
      <c r="CIM232" s="21"/>
      <c r="CIP232" s="21"/>
      <c r="CIQ232" s="15"/>
      <c r="CIR232" s="15"/>
      <c r="CIS232" s="15"/>
      <c r="CIT232" s="15"/>
      <c r="CIU232" s="15"/>
      <c r="CIV232" s="15"/>
      <c r="CIW232" s="15"/>
      <c r="CIX232" s="15"/>
      <c r="CIY232" s="15"/>
      <c r="CIZ232" s="15"/>
      <c r="CJA232" s="10"/>
      <c r="CJB232" s="10"/>
      <c r="CJC232" s="21"/>
      <c r="CJD232" s="21"/>
      <c r="CJG232" s="21"/>
      <c r="CJH232" s="15"/>
      <c r="CJI232" s="15"/>
      <c r="CJJ232" s="15"/>
      <c r="CJK232" s="15"/>
      <c r="CJL232" s="15"/>
      <c r="CJM232" s="15"/>
      <c r="CJN232" s="15"/>
      <c r="CJO232" s="15"/>
      <c r="CJP232" s="15"/>
      <c r="CJQ232" s="15"/>
      <c r="CJR232" s="10"/>
      <c r="CJS232" s="10"/>
      <c r="CJT232" s="21"/>
      <c r="CJU232" s="21"/>
      <c r="CJX232" s="21"/>
      <c r="CJY232" s="15"/>
      <c r="CJZ232" s="15"/>
      <c r="CKA232" s="15"/>
      <c r="CKB232" s="15"/>
      <c r="CKC232" s="15"/>
      <c r="CKD232" s="15"/>
      <c r="CKE232" s="15"/>
      <c r="CKF232" s="15"/>
      <c r="CKG232" s="15"/>
      <c r="CKH232" s="15"/>
      <c r="CKI232" s="10"/>
      <c r="CKJ232" s="10"/>
      <c r="CKK232" s="21"/>
      <c r="CKL232" s="21"/>
      <c r="CKO232" s="21"/>
      <c r="CKP232" s="15"/>
      <c r="CKQ232" s="15"/>
      <c r="CKR232" s="15"/>
      <c r="CKS232" s="15"/>
      <c r="CKT232" s="15"/>
      <c r="CKU232" s="15"/>
      <c r="CKV232" s="15"/>
      <c r="CKW232" s="15"/>
      <c r="CKX232" s="15"/>
      <c r="CKY232" s="15"/>
      <c r="CKZ232" s="10"/>
      <c r="CLA232" s="10"/>
      <c r="CLB232" s="21"/>
      <c r="CLC232" s="21"/>
      <c r="CLF232" s="21"/>
      <c r="CLG232" s="15"/>
      <c r="CLH232" s="15"/>
      <c r="CLI232" s="15"/>
      <c r="CLJ232" s="15"/>
      <c r="CLK232" s="15"/>
      <c r="CLL232" s="15"/>
      <c r="CLM232" s="15"/>
      <c r="CLN232" s="15"/>
      <c r="CLO232" s="15"/>
      <c r="CLP232" s="15"/>
      <c r="CLQ232" s="10"/>
      <c r="CLR232" s="10"/>
      <c r="CLS232" s="21"/>
      <c r="CLT232" s="21"/>
      <c r="CLW232" s="21"/>
      <c r="CLX232" s="15"/>
      <c r="CLY232" s="15"/>
      <c r="CLZ232" s="15"/>
      <c r="CMA232" s="15"/>
      <c r="CMB232" s="15"/>
      <c r="CMC232" s="15"/>
      <c r="CMD232" s="15"/>
      <c r="CME232" s="15"/>
      <c r="CMF232" s="15"/>
      <c r="CMG232" s="15"/>
      <c r="CMH232" s="10"/>
      <c r="CMI232" s="10"/>
      <c r="CMJ232" s="21"/>
      <c r="CMK232" s="21"/>
      <c r="CMN232" s="21"/>
      <c r="CMO232" s="15"/>
      <c r="CMP232" s="15"/>
      <c r="CMQ232" s="15"/>
      <c r="CMR232" s="15"/>
      <c r="CMS232" s="15"/>
      <c r="CMT232" s="15"/>
      <c r="CMU232" s="15"/>
      <c r="CMV232" s="15"/>
      <c r="CMW232" s="15"/>
      <c r="CMX232" s="15"/>
      <c r="CMY232" s="10"/>
      <c r="CMZ232" s="10"/>
      <c r="CNA232" s="21"/>
      <c r="CNB232" s="21"/>
      <c r="CNE232" s="21"/>
      <c r="CNF232" s="15"/>
      <c r="CNG232" s="15"/>
      <c r="CNH232" s="15"/>
      <c r="CNI232" s="15"/>
      <c r="CNJ232" s="15"/>
      <c r="CNK232" s="15"/>
      <c r="CNL232" s="15"/>
      <c r="CNM232" s="15"/>
      <c r="CNN232" s="15"/>
      <c r="CNO232" s="15"/>
      <c r="CNP232" s="10"/>
      <c r="CNQ232" s="10"/>
      <c r="CNR232" s="21"/>
      <c r="CNS232" s="21"/>
      <c r="CNV232" s="21"/>
      <c r="CNW232" s="15"/>
      <c r="CNX232" s="15"/>
      <c r="CNY232" s="15"/>
      <c r="CNZ232" s="15"/>
      <c r="COA232" s="15"/>
      <c r="COB232" s="15"/>
      <c r="COC232" s="15"/>
      <c r="COD232" s="15"/>
      <c r="COE232" s="15"/>
      <c r="COF232" s="15"/>
      <c r="COG232" s="10"/>
      <c r="COH232" s="10"/>
      <c r="COI232" s="21"/>
      <c r="COJ232" s="21"/>
      <c r="COM232" s="21"/>
      <c r="CON232" s="15"/>
      <c r="COO232" s="15"/>
      <c r="COP232" s="15"/>
      <c r="COQ232" s="15"/>
      <c r="COR232" s="15"/>
      <c r="COS232" s="15"/>
      <c r="COT232" s="15"/>
      <c r="COU232" s="15"/>
      <c r="COV232" s="15"/>
      <c r="COW232" s="15"/>
      <c r="COX232" s="10"/>
      <c r="COY232" s="10"/>
      <c r="COZ232" s="21"/>
      <c r="CPA232" s="21"/>
      <c r="CPD232" s="21"/>
      <c r="CPE232" s="15"/>
      <c r="CPF232" s="15"/>
      <c r="CPG232" s="15"/>
      <c r="CPH232" s="15"/>
      <c r="CPI232" s="15"/>
      <c r="CPJ232" s="15"/>
      <c r="CPK232" s="15"/>
      <c r="CPL232" s="15"/>
      <c r="CPM232" s="15"/>
      <c r="CPN232" s="15"/>
      <c r="CPO232" s="10"/>
      <c r="CPP232" s="10"/>
      <c r="CPQ232" s="21"/>
      <c r="CPR232" s="21"/>
      <c r="CPU232" s="21"/>
      <c r="CPV232" s="15"/>
      <c r="CPW232" s="15"/>
      <c r="CPX232" s="15"/>
      <c r="CPY232" s="15"/>
      <c r="CPZ232" s="15"/>
      <c r="CQA232" s="15"/>
      <c r="CQB232" s="15"/>
      <c r="CQC232" s="15"/>
      <c r="CQD232" s="15"/>
      <c r="CQE232" s="15"/>
      <c r="CQF232" s="10"/>
      <c r="CQG232" s="10"/>
      <c r="CQH232" s="21"/>
      <c r="CQI232" s="21"/>
      <c r="CQL232" s="21"/>
      <c r="CQM232" s="15"/>
      <c r="CQN232" s="15"/>
      <c r="CQO232" s="15"/>
      <c r="CQP232" s="15"/>
      <c r="CQQ232" s="15"/>
      <c r="CQR232" s="15"/>
      <c r="CQS232" s="15"/>
      <c r="CQT232" s="15"/>
      <c r="CQU232" s="15"/>
      <c r="CQV232" s="15"/>
      <c r="CQW232" s="10"/>
      <c r="CQX232" s="10"/>
      <c r="CQY232" s="21"/>
      <c r="CQZ232" s="21"/>
      <c r="CRC232" s="21"/>
      <c r="CRD232" s="15"/>
      <c r="CRE232" s="15"/>
      <c r="CRF232" s="15"/>
      <c r="CRG232" s="15"/>
      <c r="CRH232" s="15"/>
      <c r="CRI232" s="15"/>
      <c r="CRJ232" s="15"/>
      <c r="CRK232" s="15"/>
      <c r="CRL232" s="15"/>
      <c r="CRM232" s="15"/>
      <c r="CRN232" s="10"/>
      <c r="CRO232" s="10"/>
      <c r="CRP232" s="21"/>
      <c r="CRQ232" s="21"/>
      <c r="CRT232" s="21"/>
      <c r="CRU232" s="15"/>
      <c r="CRV232" s="15"/>
      <c r="CRW232" s="15"/>
      <c r="CRX232" s="15"/>
      <c r="CRY232" s="15"/>
      <c r="CRZ232" s="15"/>
      <c r="CSA232" s="15"/>
      <c r="CSB232" s="15"/>
      <c r="CSC232" s="15"/>
      <c r="CSD232" s="15"/>
      <c r="CSE232" s="10"/>
      <c r="CSF232" s="10"/>
      <c r="CSG232" s="21"/>
      <c r="CSH232" s="21"/>
      <c r="CSK232" s="21"/>
      <c r="CSL232" s="15"/>
      <c r="CSM232" s="15"/>
      <c r="CSN232" s="15"/>
      <c r="CSO232" s="15"/>
      <c r="CSP232" s="15"/>
      <c r="CSQ232" s="15"/>
      <c r="CSR232" s="15"/>
      <c r="CSS232" s="15"/>
      <c r="CST232" s="15"/>
      <c r="CSU232" s="15"/>
      <c r="CSV232" s="10"/>
      <c r="CSW232" s="10"/>
      <c r="CSX232" s="21"/>
      <c r="CSY232" s="21"/>
      <c r="CTB232" s="21"/>
      <c r="CTC232" s="15"/>
      <c r="CTD232" s="15"/>
      <c r="CTE232" s="15"/>
      <c r="CTF232" s="15"/>
      <c r="CTG232" s="15"/>
      <c r="CTH232" s="15"/>
      <c r="CTI232" s="15"/>
      <c r="CTJ232" s="15"/>
      <c r="CTK232" s="15"/>
      <c r="CTL232" s="15"/>
      <c r="CTM232" s="10"/>
      <c r="CTN232" s="10"/>
      <c r="CTO232" s="21"/>
      <c r="CTP232" s="21"/>
      <c r="CTS232" s="21"/>
      <c r="CTT232" s="15"/>
      <c r="CTU232" s="15"/>
      <c r="CTV232" s="15"/>
      <c r="CTW232" s="15"/>
      <c r="CTX232" s="15"/>
      <c r="CTY232" s="15"/>
      <c r="CTZ232" s="15"/>
      <c r="CUA232" s="15"/>
      <c r="CUB232" s="15"/>
      <c r="CUC232" s="15"/>
      <c r="CUD232" s="10"/>
      <c r="CUE232" s="10"/>
      <c r="CUF232" s="21"/>
      <c r="CUG232" s="21"/>
      <c r="CUJ232" s="21"/>
      <c r="CUK232" s="15"/>
      <c r="CUL232" s="15"/>
      <c r="CUM232" s="15"/>
      <c r="CUN232" s="15"/>
      <c r="CUO232" s="15"/>
      <c r="CUP232" s="15"/>
      <c r="CUQ232" s="15"/>
      <c r="CUR232" s="15"/>
      <c r="CUS232" s="15"/>
      <c r="CUT232" s="15"/>
      <c r="CUU232" s="10"/>
      <c r="CUV232" s="10"/>
      <c r="CUW232" s="21"/>
      <c r="CUX232" s="21"/>
      <c r="CVA232" s="21"/>
      <c r="CVB232" s="15"/>
      <c r="CVC232" s="15"/>
      <c r="CVD232" s="15"/>
      <c r="CVE232" s="15"/>
      <c r="CVF232" s="15"/>
      <c r="CVG232" s="15"/>
      <c r="CVH232" s="15"/>
      <c r="CVI232" s="15"/>
      <c r="CVJ232" s="15"/>
      <c r="CVK232" s="15"/>
      <c r="CVL232" s="10"/>
      <c r="CVM232" s="10"/>
      <c r="CVN232" s="21"/>
      <c r="CVO232" s="21"/>
      <c r="CVR232" s="21"/>
      <c r="CVS232" s="15"/>
      <c r="CVT232" s="15"/>
      <c r="CVU232" s="15"/>
      <c r="CVV232" s="15"/>
      <c r="CVW232" s="15"/>
      <c r="CVX232" s="15"/>
      <c r="CVY232" s="15"/>
      <c r="CVZ232" s="15"/>
      <c r="CWA232" s="15"/>
      <c r="CWB232" s="15"/>
      <c r="CWC232" s="10"/>
      <c r="CWD232" s="10"/>
      <c r="CWE232" s="21"/>
      <c r="CWF232" s="21"/>
      <c r="CWI232" s="21"/>
      <c r="CWJ232" s="15"/>
      <c r="CWK232" s="15"/>
      <c r="CWL232" s="15"/>
      <c r="CWM232" s="15"/>
      <c r="CWN232" s="15"/>
      <c r="CWO232" s="15"/>
      <c r="CWP232" s="15"/>
      <c r="CWQ232" s="15"/>
      <c r="CWR232" s="15"/>
      <c r="CWS232" s="15"/>
      <c r="CWT232" s="10"/>
      <c r="CWU232" s="10"/>
      <c r="CWV232" s="21"/>
      <c r="CWW232" s="21"/>
      <c r="CWZ232" s="21"/>
      <c r="CXA232" s="15"/>
      <c r="CXB232" s="15"/>
      <c r="CXC232" s="15"/>
      <c r="CXD232" s="15"/>
      <c r="CXE232" s="15"/>
      <c r="CXF232" s="15"/>
      <c r="CXG232" s="15"/>
      <c r="CXH232" s="15"/>
      <c r="CXI232" s="15"/>
      <c r="CXJ232" s="15"/>
      <c r="CXK232" s="10"/>
      <c r="CXL232" s="10"/>
      <c r="CXM232" s="21"/>
      <c r="CXN232" s="21"/>
      <c r="CXQ232" s="21"/>
      <c r="CXR232" s="15"/>
      <c r="CXS232" s="15"/>
      <c r="CXT232" s="15"/>
      <c r="CXU232" s="15"/>
      <c r="CXV232" s="15"/>
      <c r="CXW232" s="15"/>
      <c r="CXX232" s="15"/>
      <c r="CXY232" s="15"/>
      <c r="CXZ232" s="15"/>
      <c r="CYA232" s="15"/>
      <c r="CYB232" s="10"/>
      <c r="CYC232" s="10"/>
      <c r="CYD232" s="21"/>
      <c r="CYE232" s="21"/>
      <c r="CYH232" s="21"/>
      <c r="CYI232" s="15"/>
      <c r="CYJ232" s="15"/>
      <c r="CYK232" s="15"/>
      <c r="CYL232" s="15"/>
      <c r="CYM232" s="15"/>
      <c r="CYN232" s="15"/>
      <c r="CYO232" s="15"/>
      <c r="CYP232" s="15"/>
      <c r="CYQ232" s="15"/>
      <c r="CYR232" s="15"/>
      <c r="CYS232" s="10"/>
      <c r="CYT232" s="10"/>
      <c r="CYU232" s="21"/>
      <c r="CYV232" s="21"/>
      <c r="CYY232" s="21"/>
      <c r="CYZ232" s="15"/>
      <c r="CZA232" s="15"/>
      <c r="CZB232" s="15"/>
      <c r="CZC232" s="15"/>
      <c r="CZD232" s="15"/>
      <c r="CZE232" s="15"/>
      <c r="CZF232" s="15"/>
      <c r="CZG232" s="15"/>
      <c r="CZH232" s="15"/>
      <c r="CZI232" s="15"/>
      <c r="CZJ232" s="10"/>
      <c r="CZK232" s="10"/>
      <c r="CZL232" s="21"/>
      <c r="CZM232" s="21"/>
      <c r="CZP232" s="21"/>
      <c r="CZQ232" s="15"/>
      <c r="CZR232" s="15"/>
      <c r="CZS232" s="15"/>
      <c r="CZT232" s="15"/>
      <c r="CZU232" s="15"/>
      <c r="CZV232" s="15"/>
      <c r="CZW232" s="15"/>
      <c r="CZX232" s="15"/>
      <c r="CZY232" s="15"/>
      <c r="CZZ232" s="15"/>
      <c r="DAA232" s="10"/>
      <c r="DAB232" s="10"/>
      <c r="DAC232" s="21"/>
      <c r="DAD232" s="21"/>
      <c r="DAG232" s="21"/>
      <c r="DAH232" s="15"/>
      <c r="DAI232" s="15"/>
      <c r="DAJ232" s="15"/>
      <c r="DAK232" s="15"/>
      <c r="DAL232" s="15"/>
      <c r="DAM232" s="15"/>
      <c r="DAN232" s="15"/>
      <c r="DAO232" s="15"/>
      <c r="DAP232" s="15"/>
      <c r="DAQ232" s="15"/>
      <c r="DAR232" s="10"/>
      <c r="DAS232" s="10"/>
      <c r="DAT232" s="21"/>
      <c r="DAU232" s="21"/>
      <c r="DAX232" s="21"/>
      <c r="DAY232" s="15"/>
      <c r="DAZ232" s="15"/>
      <c r="DBA232" s="15"/>
      <c r="DBB232" s="15"/>
      <c r="DBC232" s="15"/>
      <c r="DBD232" s="15"/>
      <c r="DBE232" s="15"/>
      <c r="DBF232" s="15"/>
      <c r="DBG232" s="15"/>
      <c r="DBH232" s="15"/>
      <c r="DBI232" s="10"/>
      <c r="DBJ232" s="10"/>
      <c r="DBK232" s="21"/>
      <c r="DBL232" s="21"/>
      <c r="DBO232" s="21"/>
      <c r="DBP232" s="15"/>
      <c r="DBQ232" s="15"/>
      <c r="DBR232" s="15"/>
      <c r="DBS232" s="15"/>
      <c r="DBT232" s="15"/>
      <c r="DBU232" s="15"/>
      <c r="DBV232" s="15"/>
      <c r="DBW232" s="15"/>
      <c r="DBX232" s="15"/>
      <c r="DBY232" s="15"/>
      <c r="DBZ232" s="10"/>
      <c r="DCA232" s="10"/>
      <c r="DCB232" s="21"/>
      <c r="DCC232" s="21"/>
      <c r="DCF232" s="21"/>
      <c r="DCG232" s="15"/>
      <c r="DCH232" s="15"/>
      <c r="DCI232" s="15"/>
      <c r="DCJ232" s="15"/>
      <c r="DCK232" s="15"/>
      <c r="DCL232" s="15"/>
      <c r="DCM232" s="15"/>
      <c r="DCN232" s="15"/>
      <c r="DCO232" s="15"/>
      <c r="DCP232" s="15"/>
      <c r="DCQ232" s="10"/>
      <c r="DCR232" s="10"/>
      <c r="DCS232" s="21"/>
      <c r="DCT232" s="21"/>
      <c r="DCW232" s="21"/>
      <c r="DCX232" s="15"/>
      <c r="DCY232" s="15"/>
      <c r="DCZ232" s="15"/>
      <c r="DDA232" s="15"/>
      <c r="DDB232" s="15"/>
      <c r="DDC232" s="15"/>
      <c r="DDD232" s="15"/>
      <c r="DDE232" s="15"/>
      <c r="DDF232" s="15"/>
      <c r="DDG232" s="15"/>
      <c r="DDH232" s="10"/>
      <c r="DDI232" s="10"/>
      <c r="DDJ232" s="21"/>
      <c r="DDK232" s="21"/>
      <c r="DDN232" s="21"/>
      <c r="DDO232" s="15"/>
      <c r="DDP232" s="15"/>
      <c r="DDQ232" s="15"/>
      <c r="DDR232" s="15"/>
      <c r="DDS232" s="15"/>
      <c r="DDT232" s="15"/>
      <c r="DDU232" s="15"/>
      <c r="DDV232" s="15"/>
      <c r="DDW232" s="15"/>
      <c r="DDX232" s="15"/>
      <c r="DDY232" s="10"/>
      <c r="DDZ232" s="10"/>
      <c r="DEA232" s="21"/>
      <c r="DEB232" s="21"/>
      <c r="DEE232" s="21"/>
      <c r="DEF232" s="15"/>
      <c r="DEG232" s="15"/>
      <c r="DEH232" s="15"/>
      <c r="DEI232" s="15"/>
      <c r="DEJ232" s="15"/>
      <c r="DEK232" s="15"/>
      <c r="DEL232" s="15"/>
      <c r="DEM232" s="15"/>
      <c r="DEN232" s="15"/>
      <c r="DEO232" s="15"/>
      <c r="DEP232" s="10"/>
      <c r="DEQ232" s="10"/>
      <c r="DER232" s="21"/>
      <c r="DES232" s="21"/>
      <c r="DEV232" s="21"/>
      <c r="DEW232" s="15"/>
      <c r="DEX232" s="15"/>
      <c r="DEY232" s="15"/>
      <c r="DEZ232" s="15"/>
      <c r="DFA232" s="15"/>
      <c r="DFB232" s="15"/>
      <c r="DFC232" s="15"/>
      <c r="DFD232" s="15"/>
      <c r="DFE232" s="15"/>
      <c r="DFF232" s="15"/>
      <c r="DFG232" s="10"/>
      <c r="DFH232" s="10"/>
      <c r="DFI232" s="21"/>
      <c r="DFJ232" s="21"/>
      <c r="DFM232" s="21"/>
      <c r="DFN232" s="15"/>
      <c r="DFO232" s="15"/>
      <c r="DFP232" s="15"/>
      <c r="DFQ232" s="15"/>
      <c r="DFR232" s="15"/>
      <c r="DFS232" s="15"/>
      <c r="DFT232" s="15"/>
      <c r="DFU232" s="15"/>
      <c r="DFV232" s="15"/>
      <c r="DFW232" s="15"/>
      <c r="DFX232" s="10"/>
      <c r="DFY232" s="10"/>
      <c r="DFZ232" s="21"/>
      <c r="DGA232" s="21"/>
      <c r="DGD232" s="21"/>
      <c r="DGE232" s="15"/>
      <c r="DGF232" s="15"/>
      <c r="DGG232" s="15"/>
      <c r="DGH232" s="15"/>
      <c r="DGI232" s="15"/>
      <c r="DGJ232" s="15"/>
      <c r="DGK232" s="15"/>
      <c r="DGL232" s="15"/>
      <c r="DGM232" s="15"/>
      <c r="DGN232" s="15"/>
      <c r="DGO232" s="10"/>
      <c r="DGP232" s="10"/>
      <c r="DGQ232" s="21"/>
      <c r="DGR232" s="21"/>
      <c r="DGU232" s="21"/>
      <c r="DGV232" s="15"/>
      <c r="DGW232" s="15"/>
      <c r="DGX232" s="15"/>
      <c r="DGY232" s="15"/>
      <c r="DGZ232" s="15"/>
      <c r="DHA232" s="15"/>
      <c r="DHB232" s="15"/>
      <c r="DHC232" s="15"/>
      <c r="DHD232" s="15"/>
      <c r="DHE232" s="15"/>
      <c r="DHF232" s="10"/>
      <c r="DHG232" s="10"/>
      <c r="DHH232" s="21"/>
      <c r="DHI232" s="21"/>
      <c r="DHL232" s="21"/>
      <c r="DHM232" s="15"/>
      <c r="DHN232" s="15"/>
      <c r="DHO232" s="15"/>
      <c r="DHP232" s="15"/>
      <c r="DHQ232" s="15"/>
      <c r="DHR232" s="15"/>
      <c r="DHS232" s="15"/>
      <c r="DHT232" s="15"/>
      <c r="DHU232" s="15"/>
      <c r="DHV232" s="15"/>
      <c r="DHW232" s="10"/>
      <c r="DHX232" s="10"/>
      <c r="DHY232" s="21"/>
      <c r="DHZ232" s="21"/>
      <c r="DIC232" s="21"/>
      <c r="DID232" s="15"/>
      <c r="DIE232" s="15"/>
      <c r="DIF232" s="15"/>
      <c r="DIG232" s="15"/>
      <c r="DIH232" s="15"/>
      <c r="DII232" s="15"/>
      <c r="DIJ232" s="15"/>
      <c r="DIK232" s="15"/>
      <c r="DIL232" s="15"/>
      <c r="DIM232" s="15"/>
      <c r="DIN232" s="10"/>
      <c r="DIO232" s="10"/>
      <c r="DIP232" s="21"/>
      <c r="DIQ232" s="21"/>
      <c r="DIT232" s="21"/>
      <c r="DIU232" s="15"/>
      <c r="DIV232" s="15"/>
      <c r="DIW232" s="15"/>
      <c r="DIX232" s="15"/>
      <c r="DIY232" s="15"/>
      <c r="DIZ232" s="15"/>
      <c r="DJA232" s="15"/>
      <c r="DJB232" s="15"/>
      <c r="DJC232" s="15"/>
      <c r="DJD232" s="15"/>
      <c r="DJE232" s="10"/>
      <c r="DJF232" s="10"/>
      <c r="DJG232" s="21"/>
      <c r="DJH232" s="21"/>
      <c r="DJK232" s="21"/>
      <c r="DJL232" s="15"/>
      <c r="DJM232" s="15"/>
      <c r="DJN232" s="15"/>
      <c r="DJO232" s="15"/>
      <c r="DJP232" s="15"/>
      <c r="DJQ232" s="15"/>
      <c r="DJR232" s="15"/>
      <c r="DJS232" s="15"/>
      <c r="DJT232" s="15"/>
      <c r="DJU232" s="15"/>
      <c r="DJV232" s="10"/>
      <c r="DJW232" s="10"/>
      <c r="DJX232" s="21"/>
      <c r="DJY232" s="21"/>
      <c r="DKB232" s="21"/>
      <c r="DKC232" s="15"/>
      <c r="DKD232" s="15"/>
      <c r="DKE232" s="15"/>
      <c r="DKF232" s="15"/>
      <c r="DKG232" s="15"/>
      <c r="DKH232" s="15"/>
      <c r="DKI232" s="15"/>
      <c r="DKJ232" s="15"/>
      <c r="DKK232" s="15"/>
      <c r="DKL232" s="15"/>
      <c r="DKM232" s="10"/>
      <c r="DKN232" s="10"/>
      <c r="DKO232" s="21"/>
      <c r="DKP232" s="21"/>
      <c r="DKS232" s="21"/>
      <c r="DKT232" s="15"/>
      <c r="DKU232" s="15"/>
      <c r="DKV232" s="15"/>
      <c r="DKW232" s="15"/>
      <c r="DKX232" s="15"/>
      <c r="DKY232" s="15"/>
      <c r="DKZ232" s="15"/>
      <c r="DLA232" s="15"/>
      <c r="DLB232" s="15"/>
      <c r="DLC232" s="15"/>
      <c r="DLD232" s="10"/>
      <c r="DLE232" s="10"/>
      <c r="DLF232" s="21"/>
      <c r="DLG232" s="21"/>
      <c r="DLJ232" s="21"/>
      <c r="DLK232" s="15"/>
      <c r="DLL232" s="15"/>
      <c r="DLM232" s="15"/>
      <c r="DLN232" s="15"/>
      <c r="DLO232" s="15"/>
      <c r="DLP232" s="15"/>
      <c r="DLQ232" s="15"/>
      <c r="DLR232" s="15"/>
      <c r="DLS232" s="15"/>
      <c r="DLT232" s="15"/>
      <c r="DLU232" s="10"/>
      <c r="DLV232" s="10"/>
      <c r="DLW232" s="21"/>
      <c r="DLX232" s="21"/>
      <c r="DMA232" s="21"/>
      <c r="DMB232" s="15"/>
      <c r="DMC232" s="15"/>
      <c r="DMD232" s="15"/>
      <c r="DME232" s="15"/>
      <c r="DMF232" s="15"/>
      <c r="DMG232" s="15"/>
      <c r="DMH232" s="15"/>
      <c r="DMI232" s="15"/>
      <c r="DMJ232" s="15"/>
      <c r="DMK232" s="15"/>
      <c r="DML232" s="10"/>
      <c r="DMM232" s="10"/>
      <c r="DMN232" s="21"/>
      <c r="DMO232" s="21"/>
      <c r="DMR232" s="21"/>
      <c r="DMS232" s="15"/>
      <c r="DMT232" s="15"/>
      <c r="DMU232" s="15"/>
      <c r="DMV232" s="15"/>
      <c r="DMW232" s="15"/>
      <c r="DMX232" s="15"/>
      <c r="DMY232" s="15"/>
      <c r="DMZ232" s="15"/>
      <c r="DNA232" s="15"/>
      <c r="DNB232" s="15"/>
      <c r="DNC232" s="10"/>
      <c r="DND232" s="10"/>
      <c r="DNE232" s="21"/>
      <c r="DNF232" s="21"/>
      <c r="DNI232" s="21"/>
      <c r="DNJ232" s="15"/>
      <c r="DNK232" s="15"/>
      <c r="DNL232" s="15"/>
      <c r="DNM232" s="15"/>
      <c r="DNN232" s="15"/>
      <c r="DNO232" s="15"/>
      <c r="DNP232" s="15"/>
      <c r="DNQ232" s="15"/>
      <c r="DNR232" s="15"/>
      <c r="DNS232" s="15"/>
      <c r="DNT232" s="10"/>
      <c r="DNU232" s="10"/>
      <c r="DNV232" s="21"/>
      <c r="DNW232" s="21"/>
      <c r="DNZ232" s="21"/>
      <c r="DOA232" s="15"/>
      <c r="DOB232" s="15"/>
      <c r="DOC232" s="15"/>
      <c r="DOD232" s="15"/>
      <c r="DOE232" s="15"/>
      <c r="DOF232" s="15"/>
      <c r="DOG232" s="15"/>
      <c r="DOH232" s="15"/>
      <c r="DOI232" s="15"/>
      <c r="DOJ232" s="15"/>
      <c r="DOK232" s="10"/>
      <c r="DOL232" s="10"/>
      <c r="DOM232" s="21"/>
      <c r="DON232" s="21"/>
      <c r="DOQ232" s="21"/>
      <c r="DOR232" s="15"/>
      <c r="DOS232" s="15"/>
      <c r="DOT232" s="15"/>
      <c r="DOU232" s="15"/>
      <c r="DOV232" s="15"/>
      <c r="DOW232" s="15"/>
      <c r="DOX232" s="15"/>
      <c r="DOY232" s="15"/>
      <c r="DOZ232" s="15"/>
      <c r="DPA232" s="15"/>
      <c r="DPB232" s="10"/>
      <c r="DPC232" s="10"/>
      <c r="DPD232" s="21"/>
      <c r="DPE232" s="21"/>
      <c r="DPH232" s="21"/>
      <c r="DPI232" s="15"/>
      <c r="DPJ232" s="15"/>
      <c r="DPK232" s="15"/>
      <c r="DPL232" s="15"/>
      <c r="DPM232" s="15"/>
      <c r="DPN232" s="15"/>
      <c r="DPO232" s="15"/>
      <c r="DPP232" s="15"/>
      <c r="DPQ232" s="15"/>
      <c r="DPR232" s="15"/>
      <c r="DPS232" s="10"/>
      <c r="DPT232" s="10"/>
      <c r="DPU232" s="21"/>
      <c r="DPV232" s="21"/>
      <c r="DPY232" s="21"/>
      <c r="DPZ232" s="15"/>
      <c r="DQA232" s="15"/>
      <c r="DQB232" s="15"/>
      <c r="DQC232" s="15"/>
      <c r="DQD232" s="15"/>
      <c r="DQE232" s="15"/>
      <c r="DQF232" s="15"/>
      <c r="DQG232" s="15"/>
      <c r="DQH232" s="15"/>
      <c r="DQI232" s="15"/>
      <c r="DQJ232" s="10"/>
      <c r="DQK232" s="10"/>
      <c r="DQL232" s="21"/>
      <c r="DQM232" s="21"/>
      <c r="DQP232" s="21"/>
      <c r="DQQ232" s="15"/>
      <c r="DQR232" s="15"/>
      <c r="DQS232" s="15"/>
      <c r="DQT232" s="15"/>
      <c r="DQU232" s="15"/>
      <c r="DQV232" s="15"/>
      <c r="DQW232" s="15"/>
      <c r="DQX232" s="15"/>
      <c r="DQY232" s="15"/>
      <c r="DQZ232" s="15"/>
      <c r="DRA232" s="10"/>
      <c r="DRB232" s="10"/>
      <c r="DRC232" s="21"/>
      <c r="DRD232" s="21"/>
      <c r="DRG232" s="21"/>
      <c r="DRH232" s="15"/>
      <c r="DRI232" s="15"/>
      <c r="DRJ232" s="15"/>
      <c r="DRK232" s="15"/>
      <c r="DRL232" s="15"/>
      <c r="DRM232" s="15"/>
      <c r="DRN232" s="15"/>
      <c r="DRO232" s="15"/>
      <c r="DRP232" s="15"/>
      <c r="DRQ232" s="15"/>
      <c r="DRR232" s="10"/>
      <c r="DRS232" s="10"/>
      <c r="DRT232" s="21"/>
      <c r="DRU232" s="21"/>
      <c r="DRX232" s="21"/>
      <c r="DRY232" s="15"/>
      <c r="DRZ232" s="15"/>
      <c r="DSA232" s="15"/>
      <c r="DSB232" s="15"/>
      <c r="DSC232" s="15"/>
      <c r="DSD232" s="15"/>
      <c r="DSE232" s="15"/>
      <c r="DSF232" s="15"/>
      <c r="DSG232" s="15"/>
      <c r="DSH232" s="15"/>
      <c r="DSI232" s="10"/>
      <c r="DSJ232" s="10"/>
      <c r="DSK232" s="21"/>
      <c r="DSL232" s="21"/>
      <c r="DSO232" s="21"/>
      <c r="DSP232" s="15"/>
      <c r="DSQ232" s="15"/>
      <c r="DSR232" s="15"/>
      <c r="DSS232" s="15"/>
      <c r="DST232" s="15"/>
      <c r="DSU232" s="15"/>
      <c r="DSV232" s="15"/>
      <c r="DSW232" s="15"/>
      <c r="DSX232" s="15"/>
      <c r="DSY232" s="15"/>
      <c r="DSZ232" s="10"/>
      <c r="DTA232" s="10"/>
      <c r="DTB232" s="21"/>
      <c r="DTC232" s="21"/>
      <c r="DTF232" s="21"/>
      <c r="DTG232" s="15"/>
      <c r="DTH232" s="15"/>
      <c r="DTI232" s="15"/>
      <c r="DTJ232" s="15"/>
      <c r="DTK232" s="15"/>
      <c r="DTL232" s="15"/>
      <c r="DTM232" s="15"/>
      <c r="DTN232" s="15"/>
      <c r="DTO232" s="15"/>
      <c r="DTP232" s="15"/>
      <c r="DTQ232" s="10"/>
      <c r="DTR232" s="10"/>
      <c r="DTS232" s="21"/>
      <c r="DTT232" s="21"/>
      <c r="DTW232" s="21"/>
      <c r="DTX232" s="15"/>
      <c r="DTY232" s="15"/>
      <c r="DTZ232" s="15"/>
      <c r="DUA232" s="15"/>
      <c r="DUB232" s="15"/>
      <c r="DUC232" s="15"/>
      <c r="DUD232" s="15"/>
      <c r="DUE232" s="15"/>
      <c r="DUF232" s="15"/>
      <c r="DUG232" s="15"/>
      <c r="DUH232" s="10"/>
      <c r="DUI232" s="10"/>
      <c r="DUJ232" s="21"/>
      <c r="DUK232" s="21"/>
      <c r="DUN232" s="21"/>
      <c r="DUO232" s="15"/>
      <c r="DUP232" s="15"/>
      <c r="DUQ232" s="15"/>
      <c r="DUR232" s="15"/>
      <c r="DUS232" s="15"/>
      <c r="DUT232" s="15"/>
      <c r="DUU232" s="15"/>
      <c r="DUV232" s="15"/>
      <c r="DUW232" s="15"/>
      <c r="DUX232" s="15"/>
      <c r="DUY232" s="10"/>
      <c r="DUZ232" s="10"/>
      <c r="DVA232" s="21"/>
      <c r="DVB232" s="21"/>
      <c r="DVE232" s="21"/>
      <c r="DVF232" s="15"/>
      <c r="DVG232" s="15"/>
      <c r="DVH232" s="15"/>
      <c r="DVI232" s="15"/>
      <c r="DVJ232" s="15"/>
      <c r="DVK232" s="15"/>
      <c r="DVL232" s="15"/>
      <c r="DVM232" s="15"/>
      <c r="DVN232" s="15"/>
      <c r="DVO232" s="15"/>
      <c r="DVP232" s="10"/>
      <c r="DVQ232" s="10"/>
      <c r="DVR232" s="21"/>
      <c r="DVS232" s="21"/>
      <c r="DVV232" s="21"/>
      <c r="DVW232" s="15"/>
      <c r="DVX232" s="15"/>
      <c r="DVY232" s="15"/>
      <c r="DVZ232" s="15"/>
      <c r="DWA232" s="15"/>
      <c r="DWB232" s="15"/>
      <c r="DWC232" s="15"/>
      <c r="DWD232" s="15"/>
      <c r="DWE232" s="15"/>
      <c r="DWF232" s="15"/>
      <c r="DWG232" s="10"/>
      <c r="DWH232" s="10"/>
      <c r="DWI232" s="21"/>
      <c r="DWJ232" s="21"/>
      <c r="DWM232" s="21"/>
      <c r="DWN232" s="15"/>
      <c r="DWO232" s="15"/>
      <c r="DWP232" s="15"/>
      <c r="DWQ232" s="15"/>
      <c r="DWR232" s="15"/>
      <c r="DWS232" s="15"/>
      <c r="DWT232" s="15"/>
      <c r="DWU232" s="15"/>
      <c r="DWV232" s="15"/>
      <c r="DWW232" s="15"/>
      <c r="DWX232" s="10"/>
      <c r="DWY232" s="10"/>
      <c r="DWZ232" s="21"/>
      <c r="DXA232" s="21"/>
      <c r="DXD232" s="21"/>
      <c r="DXE232" s="15"/>
      <c r="DXF232" s="15"/>
      <c r="DXG232" s="15"/>
      <c r="DXH232" s="15"/>
      <c r="DXI232" s="15"/>
      <c r="DXJ232" s="15"/>
      <c r="DXK232" s="15"/>
      <c r="DXL232" s="15"/>
      <c r="DXM232" s="15"/>
      <c r="DXN232" s="15"/>
      <c r="DXO232" s="10"/>
      <c r="DXP232" s="10"/>
      <c r="DXQ232" s="21"/>
      <c r="DXR232" s="21"/>
      <c r="DXU232" s="21"/>
      <c r="DXV232" s="15"/>
      <c r="DXW232" s="15"/>
      <c r="DXX232" s="15"/>
      <c r="DXY232" s="15"/>
      <c r="DXZ232" s="15"/>
      <c r="DYA232" s="15"/>
      <c r="DYB232" s="15"/>
      <c r="DYC232" s="15"/>
      <c r="DYD232" s="15"/>
      <c r="DYE232" s="15"/>
      <c r="DYF232" s="10"/>
      <c r="DYG232" s="10"/>
      <c r="DYH232" s="21"/>
      <c r="DYI232" s="21"/>
      <c r="DYL232" s="21"/>
      <c r="DYM232" s="15"/>
      <c r="DYN232" s="15"/>
      <c r="DYO232" s="15"/>
      <c r="DYP232" s="15"/>
      <c r="DYQ232" s="15"/>
      <c r="DYR232" s="15"/>
      <c r="DYS232" s="15"/>
      <c r="DYT232" s="15"/>
      <c r="DYU232" s="15"/>
      <c r="DYV232" s="15"/>
      <c r="DYW232" s="10"/>
      <c r="DYX232" s="10"/>
      <c r="DYY232" s="21"/>
      <c r="DYZ232" s="21"/>
      <c r="DZC232" s="21"/>
      <c r="DZD232" s="15"/>
      <c r="DZE232" s="15"/>
      <c r="DZF232" s="15"/>
      <c r="DZG232" s="15"/>
      <c r="DZH232" s="15"/>
      <c r="DZI232" s="15"/>
      <c r="DZJ232" s="15"/>
      <c r="DZK232" s="15"/>
      <c r="DZL232" s="15"/>
      <c r="DZM232" s="15"/>
      <c r="DZN232" s="10"/>
      <c r="DZO232" s="10"/>
      <c r="DZP232" s="21"/>
      <c r="DZQ232" s="21"/>
      <c r="DZT232" s="21"/>
      <c r="DZU232" s="15"/>
      <c r="DZV232" s="15"/>
      <c r="DZW232" s="15"/>
      <c r="DZX232" s="15"/>
      <c r="DZY232" s="15"/>
      <c r="DZZ232" s="15"/>
      <c r="EAA232" s="15"/>
      <c r="EAB232" s="15"/>
      <c r="EAC232" s="15"/>
      <c r="EAD232" s="15"/>
      <c r="EAE232" s="10"/>
      <c r="EAF232" s="10"/>
      <c r="EAG232" s="21"/>
      <c r="EAH232" s="21"/>
      <c r="EAK232" s="21"/>
      <c r="EAL232" s="15"/>
      <c r="EAM232" s="15"/>
      <c r="EAN232" s="15"/>
      <c r="EAO232" s="15"/>
      <c r="EAP232" s="15"/>
      <c r="EAQ232" s="15"/>
      <c r="EAR232" s="15"/>
      <c r="EAS232" s="15"/>
      <c r="EAT232" s="15"/>
      <c r="EAU232" s="15"/>
      <c r="EAV232" s="10"/>
      <c r="EAW232" s="10"/>
      <c r="EAX232" s="21"/>
      <c r="EAY232" s="21"/>
      <c r="EBB232" s="21"/>
      <c r="EBC232" s="15"/>
      <c r="EBD232" s="15"/>
      <c r="EBE232" s="15"/>
      <c r="EBF232" s="15"/>
      <c r="EBG232" s="15"/>
      <c r="EBH232" s="15"/>
      <c r="EBI232" s="15"/>
      <c r="EBJ232" s="15"/>
      <c r="EBK232" s="15"/>
      <c r="EBL232" s="15"/>
      <c r="EBM232" s="10"/>
      <c r="EBN232" s="10"/>
      <c r="EBO232" s="21"/>
      <c r="EBP232" s="21"/>
      <c r="EBS232" s="21"/>
      <c r="EBT232" s="15"/>
      <c r="EBU232" s="15"/>
      <c r="EBV232" s="15"/>
      <c r="EBW232" s="15"/>
      <c r="EBX232" s="15"/>
      <c r="EBY232" s="15"/>
      <c r="EBZ232" s="15"/>
      <c r="ECA232" s="15"/>
      <c r="ECB232" s="15"/>
      <c r="ECC232" s="15"/>
      <c r="ECD232" s="10"/>
      <c r="ECE232" s="10"/>
      <c r="ECF232" s="21"/>
      <c r="ECG232" s="21"/>
      <c r="ECJ232" s="21"/>
      <c r="ECK232" s="15"/>
      <c r="ECL232" s="15"/>
      <c r="ECM232" s="15"/>
      <c r="ECN232" s="15"/>
      <c r="ECO232" s="15"/>
      <c r="ECP232" s="15"/>
      <c r="ECQ232" s="15"/>
      <c r="ECR232" s="15"/>
      <c r="ECS232" s="15"/>
      <c r="ECT232" s="15"/>
      <c r="ECU232" s="10"/>
      <c r="ECV232" s="10"/>
      <c r="ECW232" s="21"/>
      <c r="ECX232" s="21"/>
      <c r="EDA232" s="21"/>
      <c r="EDB232" s="15"/>
      <c r="EDC232" s="15"/>
      <c r="EDD232" s="15"/>
      <c r="EDE232" s="15"/>
      <c r="EDF232" s="15"/>
      <c r="EDG232" s="15"/>
      <c r="EDH232" s="15"/>
      <c r="EDI232" s="15"/>
      <c r="EDJ232" s="15"/>
      <c r="EDK232" s="15"/>
      <c r="EDL232" s="10"/>
      <c r="EDM232" s="10"/>
      <c r="EDN232" s="21"/>
      <c r="EDO232" s="21"/>
      <c r="EDR232" s="21"/>
      <c r="EDS232" s="15"/>
      <c r="EDT232" s="15"/>
      <c r="EDU232" s="15"/>
      <c r="EDV232" s="15"/>
      <c r="EDW232" s="15"/>
      <c r="EDX232" s="15"/>
      <c r="EDY232" s="15"/>
      <c r="EDZ232" s="15"/>
      <c r="EEA232" s="15"/>
      <c r="EEB232" s="15"/>
      <c r="EEC232" s="10"/>
      <c r="EED232" s="10"/>
      <c r="EEE232" s="21"/>
      <c r="EEF232" s="21"/>
      <c r="EEI232" s="21"/>
      <c r="EEJ232" s="15"/>
      <c r="EEK232" s="15"/>
      <c r="EEL232" s="15"/>
      <c r="EEM232" s="15"/>
      <c r="EEN232" s="15"/>
      <c r="EEO232" s="15"/>
      <c r="EEP232" s="15"/>
      <c r="EEQ232" s="15"/>
      <c r="EER232" s="15"/>
      <c r="EES232" s="15"/>
      <c r="EET232" s="10"/>
      <c r="EEU232" s="10"/>
      <c r="EEV232" s="21"/>
      <c r="EEW232" s="21"/>
      <c r="EEZ232" s="21"/>
      <c r="EFA232" s="15"/>
      <c r="EFB232" s="15"/>
      <c r="EFC232" s="15"/>
      <c r="EFD232" s="15"/>
      <c r="EFE232" s="15"/>
      <c r="EFF232" s="15"/>
      <c r="EFG232" s="15"/>
      <c r="EFH232" s="15"/>
      <c r="EFI232" s="15"/>
      <c r="EFJ232" s="15"/>
      <c r="EFK232" s="10"/>
      <c r="EFL232" s="10"/>
      <c r="EFM232" s="21"/>
      <c r="EFN232" s="21"/>
      <c r="EFQ232" s="21"/>
      <c r="EFR232" s="15"/>
      <c r="EFS232" s="15"/>
      <c r="EFT232" s="15"/>
      <c r="EFU232" s="15"/>
      <c r="EFV232" s="15"/>
      <c r="EFW232" s="15"/>
      <c r="EFX232" s="15"/>
      <c r="EFY232" s="15"/>
      <c r="EFZ232" s="15"/>
      <c r="EGA232" s="15"/>
      <c r="EGB232" s="10"/>
      <c r="EGC232" s="10"/>
      <c r="EGD232" s="21"/>
      <c r="EGE232" s="21"/>
      <c r="EGH232" s="21"/>
      <c r="EGI232" s="15"/>
      <c r="EGJ232" s="15"/>
      <c r="EGK232" s="15"/>
      <c r="EGL232" s="15"/>
      <c r="EGM232" s="15"/>
      <c r="EGN232" s="15"/>
      <c r="EGO232" s="15"/>
      <c r="EGP232" s="15"/>
      <c r="EGQ232" s="15"/>
      <c r="EGR232" s="15"/>
      <c r="EGS232" s="10"/>
      <c r="EGT232" s="10"/>
      <c r="EGU232" s="21"/>
      <c r="EGV232" s="21"/>
      <c r="EGY232" s="21"/>
      <c r="EGZ232" s="15"/>
      <c r="EHA232" s="15"/>
      <c r="EHB232" s="15"/>
      <c r="EHC232" s="15"/>
      <c r="EHD232" s="15"/>
      <c r="EHE232" s="15"/>
      <c r="EHF232" s="15"/>
      <c r="EHG232" s="15"/>
      <c r="EHH232" s="15"/>
      <c r="EHI232" s="15"/>
      <c r="EHJ232" s="10"/>
      <c r="EHK232" s="10"/>
      <c r="EHL232" s="21"/>
      <c r="EHM232" s="21"/>
      <c r="EHP232" s="21"/>
      <c r="EHQ232" s="15"/>
      <c r="EHR232" s="15"/>
      <c r="EHS232" s="15"/>
      <c r="EHT232" s="15"/>
      <c r="EHU232" s="15"/>
      <c r="EHV232" s="15"/>
      <c r="EHW232" s="15"/>
      <c r="EHX232" s="15"/>
      <c r="EHY232" s="15"/>
      <c r="EHZ232" s="15"/>
      <c r="EIA232" s="10"/>
      <c r="EIB232" s="10"/>
      <c r="EIC232" s="21"/>
      <c r="EID232" s="21"/>
      <c r="EIG232" s="21"/>
      <c r="EIH232" s="15"/>
      <c r="EII232" s="15"/>
      <c r="EIJ232" s="15"/>
      <c r="EIK232" s="15"/>
      <c r="EIL232" s="15"/>
      <c r="EIM232" s="15"/>
      <c r="EIN232" s="15"/>
      <c r="EIO232" s="15"/>
      <c r="EIP232" s="15"/>
      <c r="EIQ232" s="15"/>
      <c r="EIR232" s="10"/>
      <c r="EIS232" s="10"/>
      <c r="EIT232" s="21"/>
      <c r="EIU232" s="21"/>
      <c r="EIX232" s="21"/>
      <c r="EIY232" s="15"/>
      <c r="EIZ232" s="15"/>
      <c r="EJA232" s="15"/>
      <c r="EJB232" s="15"/>
      <c r="EJC232" s="15"/>
      <c r="EJD232" s="15"/>
      <c r="EJE232" s="15"/>
      <c r="EJF232" s="15"/>
      <c r="EJG232" s="15"/>
      <c r="EJH232" s="15"/>
      <c r="EJI232" s="10"/>
      <c r="EJJ232" s="10"/>
      <c r="EJK232" s="21"/>
      <c r="EJL232" s="21"/>
      <c r="EJO232" s="21"/>
      <c r="EJP232" s="15"/>
      <c r="EJQ232" s="15"/>
      <c r="EJR232" s="15"/>
      <c r="EJS232" s="15"/>
      <c r="EJT232" s="15"/>
      <c r="EJU232" s="15"/>
      <c r="EJV232" s="15"/>
      <c r="EJW232" s="15"/>
      <c r="EJX232" s="15"/>
      <c r="EJY232" s="15"/>
      <c r="EJZ232" s="10"/>
      <c r="EKA232" s="10"/>
      <c r="EKB232" s="21"/>
      <c r="EKC232" s="21"/>
      <c r="EKF232" s="21"/>
      <c r="EKG232" s="15"/>
      <c r="EKH232" s="15"/>
      <c r="EKI232" s="15"/>
      <c r="EKJ232" s="15"/>
      <c r="EKK232" s="15"/>
      <c r="EKL232" s="15"/>
      <c r="EKM232" s="15"/>
      <c r="EKN232" s="15"/>
      <c r="EKO232" s="15"/>
      <c r="EKP232" s="15"/>
      <c r="EKQ232" s="10"/>
      <c r="EKR232" s="10"/>
      <c r="EKS232" s="21"/>
      <c r="EKT232" s="21"/>
      <c r="EKW232" s="21"/>
      <c r="EKX232" s="15"/>
      <c r="EKY232" s="15"/>
      <c r="EKZ232" s="15"/>
      <c r="ELA232" s="15"/>
      <c r="ELB232" s="15"/>
      <c r="ELC232" s="15"/>
      <c r="ELD232" s="15"/>
      <c r="ELE232" s="15"/>
      <c r="ELF232" s="15"/>
      <c r="ELG232" s="15"/>
      <c r="ELH232" s="10"/>
      <c r="ELI232" s="10"/>
      <c r="ELJ232" s="21"/>
      <c r="ELK232" s="21"/>
      <c r="ELN232" s="21"/>
      <c r="ELO232" s="15"/>
      <c r="ELP232" s="15"/>
      <c r="ELQ232" s="15"/>
      <c r="ELR232" s="15"/>
      <c r="ELS232" s="15"/>
      <c r="ELT232" s="15"/>
      <c r="ELU232" s="15"/>
      <c r="ELV232" s="15"/>
      <c r="ELW232" s="15"/>
      <c r="ELX232" s="15"/>
      <c r="ELY232" s="10"/>
      <c r="ELZ232" s="10"/>
      <c r="EMA232" s="21"/>
      <c r="EMB232" s="21"/>
      <c r="EME232" s="21"/>
      <c r="EMF232" s="15"/>
      <c r="EMG232" s="15"/>
      <c r="EMH232" s="15"/>
      <c r="EMI232" s="15"/>
      <c r="EMJ232" s="15"/>
      <c r="EMK232" s="15"/>
      <c r="EML232" s="15"/>
      <c r="EMM232" s="15"/>
      <c r="EMN232" s="15"/>
      <c r="EMO232" s="15"/>
      <c r="EMP232" s="10"/>
      <c r="EMQ232" s="10"/>
      <c r="EMR232" s="21"/>
      <c r="EMS232" s="21"/>
      <c r="EMV232" s="21"/>
      <c r="EMW232" s="15"/>
      <c r="EMX232" s="15"/>
      <c r="EMY232" s="15"/>
      <c r="EMZ232" s="15"/>
      <c r="ENA232" s="15"/>
      <c r="ENB232" s="15"/>
      <c r="ENC232" s="15"/>
      <c r="END232" s="15"/>
      <c r="ENE232" s="15"/>
      <c r="ENF232" s="15"/>
      <c r="ENG232" s="10"/>
      <c r="ENH232" s="10"/>
      <c r="ENI232" s="21"/>
      <c r="ENJ232" s="21"/>
      <c r="ENM232" s="21"/>
      <c r="ENN232" s="15"/>
      <c r="ENO232" s="15"/>
      <c r="ENP232" s="15"/>
      <c r="ENQ232" s="15"/>
      <c r="ENR232" s="15"/>
      <c r="ENS232" s="15"/>
      <c r="ENT232" s="15"/>
      <c r="ENU232" s="15"/>
      <c r="ENV232" s="15"/>
      <c r="ENW232" s="15"/>
      <c r="ENX232" s="10"/>
      <c r="ENY232" s="10"/>
      <c r="ENZ232" s="21"/>
      <c r="EOA232" s="21"/>
      <c r="EOD232" s="21"/>
      <c r="EOE232" s="15"/>
      <c r="EOF232" s="15"/>
      <c r="EOG232" s="15"/>
      <c r="EOH232" s="15"/>
      <c r="EOI232" s="15"/>
      <c r="EOJ232" s="15"/>
      <c r="EOK232" s="15"/>
      <c r="EOL232" s="15"/>
      <c r="EOM232" s="15"/>
      <c r="EON232" s="15"/>
      <c r="EOO232" s="10"/>
      <c r="EOP232" s="10"/>
      <c r="EOQ232" s="21"/>
      <c r="EOR232" s="21"/>
      <c r="EOU232" s="21"/>
      <c r="EOV232" s="15"/>
      <c r="EOW232" s="15"/>
      <c r="EOX232" s="15"/>
      <c r="EOY232" s="15"/>
      <c r="EOZ232" s="15"/>
      <c r="EPA232" s="15"/>
      <c r="EPB232" s="15"/>
      <c r="EPC232" s="15"/>
      <c r="EPD232" s="15"/>
      <c r="EPE232" s="15"/>
      <c r="EPF232" s="10"/>
      <c r="EPG232" s="10"/>
      <c r="EPH232" s="21"/>
      <c r="EPI232" s="21"/>
      <c r="EPL232" s="21"/>
      <c r="EPM232" s="15"/>
      <c r="EPN232" s="15"/>
      <c r="EPO232" s="15"/>
      <c r="EPP232" s="15"/>
      <c r="EPQ232" s="15"/>
      <c r="EPR232" s="15"/>
      <c r="EPS232" s="15"/>
      <c r="EPT232" s="15"/>
      <c r="EPU232" s="15"/>
      <c r="EPV232" s="15"/>
      <c r="EPW232" s="10"/>
      <c r="EPX232" s="10"/>
      <c r="EPY232" s="21"/>
      <c r="EPZ232" s="21"/>
      <c r="EQC232" s="21"/>
      <c r="EQD232" s="15"/>
      <c r="EQE232" s="15"/>
      <c r="EQF232" s="15"/>
      <c r="EQG232" s="15"/>
      <c r="EQH232" s="15"/>
      <c r="EQI232" s="15"/>
      <c r="EQJ232" s="15"/>
      <c r="EQK232" s="15"/>
      <c r="EQL232" s="15"/>
      <c r="EQM232" s="15"/>
      <c r="EQN232" s="10"/>
      <c r="EQO232" s="10"/>
      <c r="EQP232" s="21"/>
      <c r="EQQ232" s="21"/>
      <c r="EQT232" s="21"/>
      <c r="EQU232" s="15"/>
      <c r="EQV232" s="15"/>
      <c r="EQW232" s="15"/>
      <c r="EQX232" s="15"/>
      <c r="EQY232" s="15"/>
      <c r="EQZ232" s="15"/>
      <c r="ERA232" s="15"/>
      <c r="ERB232" s="15"/>
      <c r="ERC232" s="15"/>
      <c r="ERD232" s="15"/>
      <c r="ERE232" s="10"/>
      <c r="ERF232" s="10"/>
      <c r="ERG232" s="21"/>
      <c r="ERH232" s="21"/>
      <c r="ERK232" s="21"/>
      <c r="ERL232" s="15"/>
      <c r="ERM232" s="15"/>
      <c r="ERN232" s="15"/>
      <c r="ERO232" s="15"/>
      <c r="ERP232" s="15"/>
      <c r="ERQ232" s="15"/>
      <c r="ERR232" s="15"/>
      <c r="ERS232" s="15"/>
      <c r="ERT232" s="15"/>
      <c r="ERU232" s="15"/>
      <c r="ERV232" s="10"/>
      <c r="ERW232" s="10"/>
      <c r="ERX232" s="21"/>
      <c r="ERY232" s="21"/>
      <c r="ESB232" s="21"/>
      <c r="ESC232" s="15"/>
      <c r="ESD232" s="15"/>
      <c r="ESE232" s="15"/>
      <c r="ESF232" s="15"/>
      <c r="ESG232" s="15"/>
      <c r="ESH232" s="15"/>
      <c r="ESI232" s="15"/>
      <c r="ESJ232" s="15"/>
      <c r="ESK232" s="15"/>
      <c r="ESL232" s="15"/>
      <c r="ESM232" s="10"/>
      <c r="ESN232" s="10"/>
      <c r="ESO232" s="21"/>
      <c r="ESP232" s="21"/>
      <c r="ESS232" s="21"/>
      <c r="EST232" s="15"/>
      <c r="ESU232" s="15"/>
      <c r="ESV232" s="15"/>
      <c r="ESW232" s="15"/>
      <c r="ESX232" s="15"/>
      <c r="ESY232" s="15"/>
      <c r="ESZ232" s="15"/>
      <c r="ETA232" s="15"/>
      <c r="ETB232" s="15"/>
      <c r="ETC232" s="15"/>
      <c r="ETD232" s="10"/>
      <c r="ETE232" s="10"/>
      <c r="ETF232" s="21"/>
      <c r="ETG232" s="21"/>
      <c r="ETJ232" s="21"/>
      <c r="ETK232" s="15"/>
      <c r="ETL232" s="15"/>
      <c r="ETM232" s="15"/>
      <c r="ETN232" s="15"/>
      <c r="ETO232" s="15"/>
      <c r="ETP232" s="15"/>
      <c r="ETQ232" s="15"/>
      <c r="ETR232" s="15"/>
      <c r="ETS232" s="15"/>
      <c r="ETT232" s="15"/>
      <c r="ETU232" s="10"/>
      <c r="ETV232" s="10"/>
      <c r="ETW232" s="21"/>
      <c r="ETX232" s="21"/>
      <c r="EUA232" s="21"/>
      <c r="EUB232" s="15"/>
      <c r="EUC232" s="15"/>
      <c r="EUD232" s="15"/>
      <c r="EUE232" s="15"/>
      <c r="EUF232" s="15"/>
      <c r="EUG232" s="15"/>
      <c r="EUH232" s="15"/>
      <c r="EUI232" s="15"/>
      <c r="EUJ232" s="15"/>
      <c r="EUK232" s="15"/>
      <c r="EUL232" s="10"/>
      <c r="EUM232" s="10"/>
      <c r="EUN232" s="21"/>
      <c r="EUO232" s="21"/>
      <c r="EUR232" s="21"/>
      <c r="EUS232" s="15"/>
      <c r="EUT232" s="15"/>
      <c r="EUU232" s="15"/>
      <c r="EUV232" s="15"/>
      <c r="EUW232" s="15"/>
      <c r="EUX232" s="15"/>
      <c r="EUY232" s="15"/>
      <c r="EUZ232" s="15"/>
      <c r="EVA232" s="15"/>
      <c r="EVB232" s="15"/>
      <c r="EVC232" s="10"/>
      <c r="EVD232" s="10"/>
      <c r="EVE232" s="21"/>
      <c r="EVF232" s="21"/>
      <c r="EVI232" s="21"/>
      <c r="EVJ232" s="15"/>
      <c r="EVK232" s="15"/>
      <c r="EVL232" s="15"/>
      <c r="EVM232" s="15"/>
      <c r="EVN232" s="15"/>
      <c r="EVO232" s="15"/>
      <c r="EVP232" s="15"/>
      <c r="EVQ232" s="15"/>
      <c r="EVR232" s="15"/>
      <c r="EVS232" s="15"/>
      <c r="EVT232" s="10"/>
      <c r="EVU232" s="10"/>
      <c r="EVV232" s="21"/>
      <c r="EVW232" s="21"/>
      <c r="EVZ232" s="21"/>
      <c r="EWA232" s="15"/>
      <c r="EWB232" s="15"/>
      <c r="EWC232" s="15"/>
      <c r="EWD232" s="15"/>
      <c r="EWE232" s="15"/>
      <c r="EWF232" s="15"/>
      <c r="EWG232" s="15"/>
      <c r="EWH232" s="15"/>
      <c r="EWI232" s="15"/>
      <c r="EWJ232" s="15"/>
      <c r="EWK232" s="10"/>
      <c r="EWL232" s="10"/>
      <c r="EWM232" s="21"/>
      <c r="EWN232" s="21"/>
      <c r="EWQ232" s="21"/>
      <c r="EWR232" s="15"/>
      <c r="EWS232" s="15"/>
      <c r="EWT232" s="15"/>
      <c r="EWU232" s="15"/>
      <c r="EWV232" s="15"/>
      <c r="EWW232" s="15"/>
      <c r="EWX232" s="15"/>
      <c r="EWY232" s="15"/>
      <c r="EWZ232" s="15"/>
      <c r="EXA232" s="15"/>
      <c r="EXB232" s="10"/>
      <c r="EXC232" s="10"/>
      <c r="EXD232" s="21"/>
      <c r="EXE232" s="21"/>
      <c r="EXH232" s="21"/>
      <c r="EXI232" s="15"/>
      <c r="EXJ232" s="15"/>
      <c r="EXK232" s="15"/>
      <c r="EXL232" s="15"/>
      <c r="EXM232" s="15"/>
      <c r="EXN232" s="15"/>
      <c r="EXO232" s="15"/>
      <c r="EXP232" s="15"/>
      <c r="EXQ232" s="15"/>
      <c r="EXR232" s="15"/>
      <c r="EXS232" s="10"/>
      <c r="EXT232" s="10"/>
      <c r="EXU232" s="21"/>
      <c r="EXV232" s="21"/>
      <c r="EXY232" s="21"/>
      <c r="EXZ232" s="15"/>
      <c r="EYA232" s="15"/>
      <c r="EYB232" s="15"/>
      <c r="EYC232" s="15"/>
      <c r="EYD232" s="15"/>
      <c r="EYE232" s="15"/>
      <c r="EYF232" s="15"/>
      <c r="EYG232" s="15"/>
      <c r="EYH232" s="15"/>
      <c r="EYI232" s="15"/>
      <c r="EYJ232" s="10"/>
      <c r="EYK232" s="10"/>
      <c r="EYL232" s="21"/>
      <c r="EYM232" s="21"/>
      <c r="EYP232" s="21"/>
      <c r="EYQ232" s="15"/>
      <c r="EYR232" s="15"/>
      <c r="EYS232" s="15"/>
      <c r="EYT232" s="15"/>
      <c r="EYU232" s="15"/>
      <c r="EYV232" s="15"/>
      <c r="EYW232" s="15"/>
      <c r="EYX232" s="15"/>
      <c r="EYY232" s="15"/>
      <c r="EYZ232" s="15"/>
      <c r="EZA232" s="10"/>
      <c r="EZB232" s="10"/>
      <c r="EZC232" s="21"/>
      <c r="EZD232" s="21"/>
      <c r="EZG232" s="21"/>
      <c r="EZH232" s="15"/>
      <c r="EZI232" s="15"/>
      <c r="EZJ232" s="15"/>
      <c r="EZK232" s="15"/>
      <c r="EZL232" s="15"/>
      <c r="EZM232" s="15"/>
      <c r="EZN232" s="15"/>
      <c r="EZO232" s="15"/>
      <c r="EZP232" s="15"/>
      <c r="EZQ232" s="15"/>
      <c r="EZR232" s="10"/>
      <c r="EZS232" s="10"/>
      <c r="EZT232" s="21"/>
      <c r="EZU232" s="21"/>
      <c r="EZX232" s="21"/>
      <c r="EZY232" s="15"/>
      <c r="EZZ232" s="15"/>
      <c r="FAA232" s="15"/>
      <c r="FAB232" s="15"/>
      <c r="FAC232" s="15"/>
      <c r="FAD232" s="15"/>
      <c r="FAE232" s="15"/>
      <c r="FAF232" s="15"/>
      <c r="FAG232" s="15"/>
      <c r="FAH232" s="15"/>
      <c r="FAI232" s="10"/>
      <c r="FAJ232" s="10"/>
      <c r="FAK232" s="21"/>
      <c r="FAL232" s="21"/>
      <c r="FAO232" s="21"/>
      <c r="FAP232" s="15"/>
      <c r="FAQ232" s="15"/>
      <c r="FAR232" s="15"/>
      <c r="FAS232" s="15"/>
      <c r="FAT232" s="15"/>
      <c r="FAU232" s="15"/>
      <c r="FAV232" s="15"/>
      <c r="FAW232" s="15"/>
      <c r="FAX232" s="15"/>
      <c r="FAY232" s="15"/>
      <c r="FAZ232" s="10"/>
      <c r="FBA232" s="10"/>
      <c r="FBB232" s="21"/>
      <c r="FBC232" s="21"/>
      <c r="FBF232" s="21"/>
      <c r="FBG232" s="15"/>
      <c r="FBH232" s="15"/>
      <c r="FBI232" s="15"/>
      <c r="FBJ232" s="15"/>
      <c r="FBK232" s="15"/>
      <c r="FBL232" s="15"/>
      <c r="FBM232" s="15"/>
      <c r="FBN232" s="15"/>
      <c r="FBO232" s="15"/>
      <c r="FBP232" s="15"/>
      <c r="FBQ232" s="10"/>
      <c r="FBR232" s="10"/>
      <c r="FBS232" s="21"/>
      <c r="FBT232" s="21"/>
      <c r="FBW232" s="21"/>
      <c r="FBX232" s="15"/>
      <c r="FBY232" s="15"/>
      <c r="FBZ232" s="15"/>
      <c r="FCA232" s="15"/>
      <c r="FCB232" s="15"/>
      <c r="FCC232" s="15"/>
      <c r="FCD232" s="15"/>
      <c r="FCE232" s="15"/>
      <c r="FCF232" s="15"/>
      <c r="FCG232" s="15"/>
      <c r="FCH232" s="10"/>
      <c r="FCI232" s="10"/>
      <c r="FCJ232" s="21"/>
      <c r="FCK232" s="21"/>
      <c r="FCN232" s="21"/>
      <c r="FCO232" s="15"/>
      <c r="FCP232" s="15"/>
      <c r="FCQ232" s="15"/>
      <c r="FCR232" s="15"/>
      <c r="FCS232" s="15"/>
      <c r="FCT232" s="15"/>
      <c r="FCU232" s="15"/>
      <c r="FCV232" s="15"/>
      <c r="FCW232" s="15"/>
      <c r="FCX232" s="15"/>
      <c r="FCY232" s="10"/>
      <c r="FCZ232" s="10"/>
      <c r="FDA232" s="21"/>
      <c r="FDB232" s="21"/>
      <c r="FDE232" s="21"/>
      <c r="FDF232" s="15"/>
      <c r="FDG232" s="15"/>
      <c r="FDH232" s="15"/>
      <c r="FDI232" s="15"/>
      <c r="FDJ232" s="15"/>
      <c r="FDK232" s="15"/>
      <c r="FDL232" s="15"/>
      <c r="FDM232" s="15"/>
      <c r="FDN232" s="15"/>
      <c r="FDO232" s="15"/>
      <c r="FDP232" s="10"/>
      <c r="FDQ232" s="10"/>
      <c r="FDR232" s="21"/>
      <c r="FDS232" s="21"/>
      <c r="FDV232" s="21"/>
      <c r="FDW232" s="15"/>
      <c r="FDX232" s="15"/>
      <c r="FDY232" s="15"/>
      <c r="FDZ232" s="15"/>
      <c r="FEA232" s="15"/>
      <c r="FEB232" s="15"/>
      <c r="FEC232" s="15"/>
      <c r="FED232" s="15"/>
      <c r="FEE232" s="15"/>
      <c r="FEF232" s="15"/>
      <c r="FEG232" s="10"/>
      <c r="FEH232" s="10"/>
      <c r="FEI232" s="21"/>
      <c r="FEJ232" s="21"/>
      <c r="FEM232" s="21"/>
      <c r="FEN232" s="15"/>
      <c r="FEO232" s="15"/>
      <c r="FEP232" s="15"/>
      <c r="FEQ232" s="15"/>
      <c r="FER232" s="15"/>
      <c r="FES232" s="15"/>
      <c r="FET232" s="15"/>
      <c r="FEU232" s="15"/>
      <c r="FEV232" s="15"/>
      <c r="FEW232" s="15"/>
      <c r="FEX232" s="10"/>
      <c r="FEY232" s="10"/>
      <c r="FEZ232" s="21"/>
      <c r="FFA232" s="21"/>
      <c r="FFD232" s="21"/>
      <c r="FFE232" s="15"/>
      <c r="FFF232" s="15"/>
      <c r="FFG232" s="15"/>
      <c r="FFH232" s="15"/>
      <c r="FFI232" s="15"/>
      <c r="FFJ232" s="15"/>
      <c r="FFK232" s="15"/>
      <c r="FFL232" s="15"/>
      <c r="FFM232" s="15"/>
      <c r="FFN232" s="15"/>
      <c r="FFO232" s="10"/>
      <c r="FFP232" s="10"/>
      <c r="FFQ232" s="21"/>
      <c r="FFR232" s="21"/>
      <c r="FFU232" s="21"/>
      <c r="FFV232" s="15"/>
      <c r="FFW232" s="15"/>
      <c r="FFX232" s="15"/>
      <c r="FFY232" s="15"/>
      <c r="FFZ232" s="15"/>
      <c r="FGA232" s="15"/>
      <c r="FGB232" s="15"/>
      <c r="FGC232" s="15"/>
      <c r="FGD232" s="15"/>
      <c r="FGE232" s="15"/>
      <c r="FGF232" s="10"/>
      <c r="FGG232" s="10"/>
      <c r="FGH232" s="21"/>
      <c r="FGI232" s="21"/>
      <c r="FGL232" s="21"/>
      <c r="FGM232" s="15"/>
      <c r="FGN232" s="15"/>
      <c r="FGO232" s="15"/>
      <c r="FGP232" s="15"/>
      <c r="FGQ232" s="15"/>
      <c r="FGR232" s="15"/>
      <c r="FGS232" s="15"/>
      <c r="FGT232" s="15"/>
      <c r="FGU232" s="15"/>
      <c r="FGV232" s="15"/>
      <c r="FGW232" s="10"/>
      <c r="FGX232" s="10"/>
      <c r="FGY232" s="21"/>
      <c r="FGZ232" s="21"/>
      <c r="FHC232" s="21"/>
      <c r="FHD232" s="15"/>
      <c r="FHE232" s="15"/>
      <c r="FHF232" s="15"/>
      <c r="FHG232" s="15"/>
      <c r="FHH232" s="15"/>
      <c r="FHI232" s="15"/>
      <c r="FHJ232" s="15"/>
      <c r="FHK232" s="15"/>
      <c r="FHL232" s="15"/>
      <c r="FHM232" s="15"/>
      <c r="FHN232" s="10"/>
      <c r="FHO232" s="10"/>
      <c r="FHP232" s="21"/>
      <c r="FHQ232" s="21"/>
      <c r="FHT232" s="21"/>
      <c r="FHU232" s="15"/>
      <c r="FHV232" s="15"/>
      <c r="FHW232" s="15"/>
      <c r="FHX232" s="15"/>
      <c r="FHY232" s="15"/>
      <c r="FHZ232" s="15"/>
      <c r="FIA232" s="15"/>
      <c r="FIB232" s="15"/>
      <c r="FIC232" s="15"/>
      <c r="FID232" s="15"/>
      <c r="FIE232" s="10"/>
      <c r="FIF232" s="10"/>
      <c r="FIG232" s="21"/>
      <c r="FIH232" s="21"/>
      <c r="FIK232" s="21"/>
      <c r="FIL232" s="15"/>
      <c r="FIM232" s="15"/>
      <c r="FIN232" s="15"/>
      <c r="FIO232" s="15"/>
      <c r="FIP232" s="15"/>
      <c r="FIQ232" s="15"/>
      <c r="FIR232" s="15"/>
      <c r="FIS232" s="15"/>
      <c r="FIT232" s="15"/>
      <c r="FIU232" s="15"/>
      <c r="FIV232" s="10"/>
      <c r="FIW232" s="10"/>
      <c r="FIX232" s="21"/>
      <c r="FIY232" s="21"/>
      <c r="FJB232" s="21"/>
      <c r="FJC232" s="15"/>
      <c r="FJD232" s="15"/>
      <c r="FJE232" s="15"/>
      <c r="FJF232" s="15"/>
      <c r="FJG232" s="15"/>
      <c r="FJH232" s="15"/>
      <c r="FJI232" s="15"/>
      <c r="FJJ232" s="15"/>
      <c r="FJK232" s="15"/>
      <c r="FJL232" s="15"/>
      <c r="FJM232" s="10"/>
      <c r="FJN232" s="10"/>
      <c r="FJO232" s="21"/>
      <c r="FJP232" s="21"/>
      <c r="FJS232" s="21"/>
      <c r="FJT232" s="15"/>
      <c r="FJU232" s="15"/>
      <c r="FJV232" s="15"/>
      <c r="FJW232" s="15"/>
      <c r="FJX232" s="15"/>
      <c r="FJY232" s="15"/>
      <c r="FJZ232" s="15"/>
      <c r="FKA232" s="15"/>
      <c r="FKB232" s="15"/>
      <c r="FKC232" s="15"/>
      <c r="FKD232" s="10"/>
      <c r="FKE232" s="10"/>
      <c r="FKF232" s="21"/>
      <c r="FKG232" s="21"/>
      <c r="FKJ232" s="21"/>
      <c r="FKK232" s="15"/>
      <c r="FKL232" s="15"/>
      <c r="FKM232" s="15"/>
      <c r="FKN232" s="15"/>
      <c r="FKO232" s="15"/>
      <c r="FKP232" s="15"/>
      <c r="FKQ232" s="15"/>
      <c r="FKR232" s="15"/>
      <c r="FKS232" s="15"/>
      <c r="FKT232" s="15"/>
      <c r="FKU232" s="10"/>
      <c r="FKV232" s="10"/>
      <c r="FKW232" s="21"/>
      <c r="FKX232" s="21"/>
      <c r="FLA232" s="21"/>
      <c r="FLB232" s="15"/>
      <c r="FLC232" s="15"/>
      <c r="FLD232" s="15"/>
      <c r="FLE232" s="15"/>
      <c r="FLF232" s="15"/>
      <c r="FLG232" s="15"/>
      <c r="FLH232" s="15"/>
      <c r="FLI232" s="15"/>
      <c r="FLJ232" s="15"/>
      <c r="FLK232" s="15"/>
      <c r="FLL232" s="10"/>
      <c r="FLM232" s="10"/>
      <c r="FLN232" s="21"/>
      <c r="FLO232" s="21"/>
      <c r="FLR232" s="21"/>
      <c r="FLS232" s="15"/>
      <c r="FLT232" s="15"/>
      <c r="FLU232" s="15"/>
      <c r="FLV232" s="15"/>
      <c r="FLW232" s="15"/>
      <c r="FLX232" s="15"/>
      <c r="FLY232" s="15"/>
      <c r="FLZ232" s="15"/>
      <c r="FMA232" s="15"/>
      <c r="FMB232" s="15"/>
      <c r="FMC232" s="10"/>
      <c r="FMD232" s="10"/>
      <c r="FME232" s="21"/>
      <c r="FMF232" s="21"/>
      <c r="FMI232" s="21"/>
      <c r="FMJ232" s="15"/>
      <c r="FMK232" s="15"/>
      <c r="FML232" s="15"/>
      <c r="FMM232" s="15"/>
      <c r="FMN232" s="15"/>
      <c r="FMO232" s="15"/>
      <c r="FMP232" s="15"/>
      <c r="FMQ232" s="15"/>
      <c r="FMR232" s="15"/>
      <c r="FMS232" s="15"/>
      <c r="FMT232" s="10"/>
      <c r="FMU232" s="10"/>
      <c r="FMV232" s="21"/>
      <c r="FMW232" s="21"/>
      <c r="FMZ232" s="21"/>
      <c r="FNA232" s="15"/>
      <c r="FNB232" s="15"/>
      <c r="FNC232" s="15"/>
      <c r="FND232" s="15"/>
      <c r="FNE232" s="15"/>
      <c r="FNF232" s="15"/>
      <c r="FNG232" s="15"/>
      <c r="FNH232" s="15"/>
      <c r="FNI232" s="15"/>
      <c r="FNJ232" s="15"/>
      <c r="FNK232" s="10"/>
      <c r="FNL232" s="10"/>
      <c r="FNM232" s="21"/>
      <c r="FNN232" s="21"/>
      <c r="FNQ232" s="21"/>
      <c r="FNR232" s="15"/>
      <c r="FNS232" s="15"/>
      <c r="FNT232" s="15"/>
      <c r="FNU232" s="15"/>
      <c r="FNV232" s="15"/>
      <c r="FNW232" s="15"/>
      <c r="FNX232" s="15"/>
      <c r="FNY232" s="15"/>
      <c r="FNZ232" s="15"/>
      <c r="FOA232" s="15"/>
      <c r="FOB232" s="10"/>
      <c r="FOC232" s="10"/>
      <c r="FOD232" s="21"/>
      <c r="FOE232" s="21"/>
      <c r="FOH232" s="21"/>
      <c r="FOI232" s="15"/>
      <c r="FOJ232" s="15"/>
      <c r="FOK232" s="15"/>
      <c r="FOL232" s="15"/>
      <c r="FOM232" s="15"/>
      <c r="FON232" s="15"/>
      <c r="FOO232" s="15"/>
      <c r="FOP232" s="15"/>
      <c r="FOQ232" s="15"/>
      <c r="FOR232" s="15"/>
      <c r="FOS232" s="10"/>
      <c r="FOT232" s="10"/>
      <c r="FOU232" s="21"/>
      <c r="FOV232" s="21"/>
      <c r="FOY232" s="21"/>
      <c r="FOZ232" s="15"/>
      <c r="FPA232" s="15"/>
      <c r="FPB232" s="15"/>
      <c r="FPC232" s="15"/>
      <c r="FPD232" s="15"/>
      <c r="FPE232" s="15"/>
      <c r="FPF232" s="15"/>
      <c r="FPG232" s="15"/>
      <c r="FPH232" s="15"/>
      <c r="FPI232" s="15"/>
      <c r="FPJ232" s="10"/>
      <c r="FPK232" s="10"/>
      <c r="FPL232" s="21"/>
      <c r="FPM232" s="21"/>
      <c r="FPP232" s="21"/>
      <c r="FPQ232" s="15"/>
      <c r="FPR232" s="15"/>
      <c r="FPS232" s="15"/>
      <c r="FPT232" s="15"/>
      <c r="FPU232" s="15"/>
      <c r="FPV232" s="15"/>
      <c r="FPW232" s="15"/>
      <c r="FPX232" s="15"/>
      <c r="FPY232" s="15"/>
      <c r="FPZ232" s="15"/>
      <c r="FQA232" s="10"/>
      <c r="FQB232" s="10"/>
      <c r="FQC232" s="21"/>
      <c r="FQD232" s="21"/>
      <c r="FQG232" s="21"/>
      <c r="FQH232" s="15"/>
      <c r="FQI232" s="15"/>
      <c r="FQJ232" s="15"/>
      <c r="FQK232" s="15"/>
      <c r="FQL232" s="15"/>
      <c r="FQM232" s="15"/>
      <c r="FQN232" s="15"/>
      <c r="FQO232" s="15"/>
      <c r="FQP232" s="15"/>
      <c r="FQQ232" s="15"/>
      <c r="FQR232" s="10"/>
      <c r="FQS232" s="10"/>
      <c r="FQT232" s="21"/>
      <c r="FQU232" s="21"/>
      <c r="FQX232" s="21"/>
      <c r="FQY232" s="15"/>
      <c r="FQZ232" s="15"/>
      <c r="FRA232" s="15"/>
      <c r="FRB232" s="15"/>
      <c r="FRC232" s="15"/>
      <c r="FRD232" s="15"/>
      <c r="FRE232" s="15"/>
      <c r="FRF232" s="15"/>
      <c r="FRG232" s="15"/>
      <c r="FRH232" s="15"/>
      <c r="FRI232" s="10"/>
      <c r="FRJ232" s="10"/>
      <c r="FRK232" s="21"/>
      <c r="FRL232" s="21"/>
      <c r="FRO232" s="21"/>
      <c r="FRP232" s="15"/>
      <c r="FRQ232" s="15"/>
      <c r="FRR232" s="15"/>
      <c r="FRS232" s="15"/>
      <c r="FRT232" s="15"/>
      <c r="FRU232" s="15"/>
      <c r="FRV232" s="15"/>
      <c r="FRW232" s="15"/>
      <c r="FRX232" s="15"/>
      <c r="FRY232" s="15"/>
      <c r="FRZ232" s="10"/>
      <c r="FSA232" s="10"/>
      <c r="FSB232" s="21"/>
      <c r="FSC232" s="21"/>
      <c r="FSF232" s="21"/>
      <c r="FSG232" s="15"/>
      <c r="FSH232" s="15"/>
      <c r="FSI232" s="15"/>
      <c r="FSJ232" s="15"/>
      <c r="FSK232" s="15"/>
      <c r="FSL232" s="15"/>
      <c r="FSM232" s="15"/>
      <c r="FSN232" s="15"/>
      <c r="FSO232" s="15"/>
      <c r="FSP232" s="15"/>
      <c r="FSQ232" s="10"/>
      <c r="FSR232" s="10"/>
      <c r="FSS232" s="21"/>
      <c r="FST232" s="21"/>
      <c r="FSW232" s="21"/>
      <c r="FSX232" s="15"/>
      <c r="FSY232" s="15"/>
      <c r="FSZ232" s="15"/>
      <c r="FTA232" s="15"/>
      <c r="FTB232" s="15"/>
      <c r="FTC232" s="15"/>
      <c r="FTD232" s="15"/>
      <c r="FTE232" s="15"/>
      <c r="FTF232" s="15"/>
      <c r="FTG232" s="15"/>
      <c r="FTH232" s="10"/>
      <c r="FTI232" s="10"/>
      <c r="FTJ232" s="21"/>
      <c r="FTK232" s="21"/>
      <c r="FTN232" s="21"/>
      <c r="FTO232" s="15"/>
      <c r="FTP232" s="15"/>
      <c r="FTQ232" s="15"/>
      <c r="FTR232" s="15"/>
      <c r="FTS232" s="15"/>
      <c r="FTT232" s="15"/>
      <c r="FTU232" s="15"/>
      <c r="FTV232" s="15"/>
      <c r="FTW232" s="15"/>
      <c r="FTX232" s="15"/>
      <c r="FTY232" s="10"/>
      <c r="FTZ232" s="10"/>
      <c r="FUA232" s="21"/>
      <c r="FUB232" s="21"/>
      <c r="FUE232" s="21"/>
      <c r="FUF232" s="15"/>
      <c r="FUG232" s="15"/>
      <c r="FUH232" s="15"/>
      <c r="FUI232" s="15"/>
      <c r="FUJ232" s="15"/>
      <c r="FUK232" s="15"/>
      <c r="FUL232" s="15"/>
      <c r="FUM232" s="15"/>
      <c r="FUN232" s="15"/>
      <c r="FUO232" s="15"/>
      <c r="FUP232" s="10"/>
      <c r="FUQ232" s="10"/>
      <c r="FUR232" s="21"/>
      <c r="FUS232" s="21"/>
      <c r="FUV232" s="21"/>
      <c r="FUW232" s="15"/>
      <c r="FUX232" s="15"/>
      <c r="FUY232" s="15"/>
      <c r="FUZ232" s="15"/>
      <c r="FVA232" s="15"/>
      <c r="FVB232" s="15"/>
      <c r="FVC232" s="15"/>
      <c r="FVD232" s="15"/>
      <c r="FVE232" s="15"/>
      <c r="FVF232" s="15"/>
      <c r="FVG232" s="10"/>
      <c r="FVH232" s="10"/>
      <c r="FVI232" s="21"/>
      <c r="FVJ232" s="21"/>
      <c r="FVM232" s="21"/>
      <c r="FVN232" s="15"/>
      <c r="FVO232" s="15"/>
      <c r="FVP232" s="15"/>
      <c r="FVQ232" s="15"/>
      <c r="FVR232" s="15"/>
      <c r="FVS232" s="15"/>
      <c r="FVT232" s="15"/>
      <c r="FVU232" s="15"/>
      <c r="FVV232" s="15"/>
      <c r="FVW232" s="15"/>
      <c r="FVX232" s="10"/>
      <c r="FVY232" s="10"/>
      <c r="FVZ232" s="21"/>
      <c r="FWA232" s="21"/>
      <c r="FWD232" s="21"/>
      <c r="FWE232" s="15"/>
      <c r="FWF232" s="15"/>
      <c r="FWG232" s="15"/>
      <c r="FWH232" s="15"/>
      <c r="FWI232" s="15"/>
      <c r="FWJ232" s="15"/>
      <c r="FWK232" s="15"/>
      <c r="FWL232" s="15"/>
      <c r="FWM232" s="15"/>
      <c r="FWN232" s="15"/>
      <c r="FWO232" s="10"/>
      <c r="FWP232" s="10"/>
      <c r="FWQ232" s="21"/>
      <c r="FWR232" s="21"/>
      <c r="FWU232" s="21"/>
      <c r="FWV232" s="15"/>
      <c r="FWW232" s="15"/>
      <c r="FWX232" s="15"/>
      <c r="FWY232" s="15"/>
      <c r="FWZ232" s="15"/>
      <c r="FXA232" s="15"/>
      <c r="FXB232" s="15"/>
      <c r="FXC232" s="15"/>
      <c r="FXD232" s="15"/>
      <c r="FXE232" s="15"/>
      <c r="FXF232" s="10"/>
      <c r="FXG232" s="10"/>
      <c r="FXH232" s="21"/>
      <c r="FXI232" s="21"/>
      <c r="FXL232" s="21"/>
      <c r="FXM232" s="15"/>
      <c r="FXN232" s="15"/>
      <c r="FXO232" s="15"/>
      <c r="FXP232" s="15"/>
      <c r="FXQ232" s="15"/>
      <c r="FXR232" s="15"/>
      <c r="FXS232" s="15"/>
      <c r="FXT232" s="15"/>
      <c r="FXU232" s="15"/>
      <c r="FXV232" s="15"/>
      <c r="FXW232" s="10"/>
      <c r="FXX232" s="10"/>
      <c r="FXY232" s="21"/>
      <c r="FXZ232" s="21"/>
      <c r="FYC232" s="21"/>
      <c r="FYD232" s="15"/>
      <c r="FYE232" s="15"/>
      <c r="FYF232" s="15"/>
      <c r="FYG232" s="15"/>
      <c r="FYH232" s="15"/>
      <c r="FYI232" s="15"/>
      <c r="FYJ232" s="15"/>
      <c r="FYK232" s="15"/>
      <c r="FYL232" s="15"/>
      <c r="FYM232" s="15"/>
      <c r="FYN232" s="10"/>
      <c r="FYO232" s="10"/>
      <c r="FYP232" s="21"/>
      <c r="FYQ232" s="21"/>
      <c r="FYT232" s="21"/>
      <c r="FYU232" s="15"/>
      <c r="FYV232" s="15"/>
      <c r="FYW232" s="15"/>
      <c r="FYX232" s="15"/>
      <c r="FYY232" s="15"/>
      <c r="FYZ232" s="15"/>
      <c r="FZA232" s="15"/>
      <c r="FZB232" s="15"/>
      <c r="FZC232" s="15"/>
      <c r="FZD232" s="15"/>
      <c r="FZE232" s="10"/>
      <c r="FZF232" s="10"/>
      <c r="FZG232" s="21"/>
      <c r="FZH232" s="21"/>
      <c r="FZK232" s="21"/>
      <c r="FZL232" s="15"/>
      <c r="FZM232" s="15"/>
      <c r="FZN232" s="15"/>
      <c r="FZO232" s="15"/>
      <c r="FZP232" s="15"/>
      <c r="FZQ232" s="15"/>
      <c r="FZR232" s="15"/>
      <c r="FZS232" s="15"/>
      <c r="FZT232" s="15"/>
      <c r="FZU232" s="15"/>
      <c r="FZV232" s="10"/>
      <c r="FZW232" s="10"/>
      <c r="FZX232" s="21"/>
      <c r="FZY232" s="21"/>
      <c r="GAB232" s="21"/>
      <c r="GAC232" s="15"/>
      <c r="GAD232" s="15"/>
      <c r="GAE232" s="15"/>
      <c r="GAF232" s="15"/>
      <c r="GAG232" s="15"/>
      <c r="GAH232" s="15"/>
      <c r="GAI232" s="15"/>
      <c r="GAJ232" s="15"/>
      <c r="GAK232" s="15"/>
      <c r="GAL232" s="15"/>
      <c r="GAM232" s="10"/>
      <c r="GAN232" s="10"/>
      <c r="GAO232" s="21"/>
      <c r="GAP232" s="21"/>
      <c r="GAS232" s="21"/>
      <c r="GAT232" s="15"/>
      <c r="GAU232" s="15"/>
      <c r="GAV232" s="15"/>
      <c r="GAW232" s="15"/>
      <c r="GAX232" s="15"/>
      <c r="GAY232" s="15"/>
      <c r="GAZ232" s="15"/>
      <c r="GBA232" s="15"/>
      <c r="GBB232" s="15"/>
      <c r="GBC232" s="15"/>
      <c r="GBD232" s="10"/>
      <c r="GBE232" s="10"/>
      <c r="GBF232" s="21"/>
      <c r="GBG232" s="21"/>
      <c r="GBJ232" s="21"/>
      <c r="GBK232" s="15"/>
      <c r="GBL232" s="15"/>
      <c r="GBM232" s="15"/>
      <c r="GBN232" s="15"/>
      <c r="GBO232" s="15"/>
      <c r="GBP232" s="15"/>
      <c r="GBQ232" s="15"/>
      <c r="GBR232" s="15"/>
      <c r="GBS232" s="15"/>
      <c r="GBT232" s="15"/>
      <c r="GBU232" s="10"/>
      <c r="GBV232" s="10"/>
      <c r="GBW232" s="21"/>
      <c r="GBX232" s="21"/>
      <c r="GCA232" s="21"/>
      <c r="GCB232" s="15"/>
      <c r="GCC232" s="15"/>
      <c r="GCD232" s="15"/>
      <c r="GCE232" s="15"/>
      <c r="GCF232" s="15"/>
      <c r="GCG232" s="15"/>
      <c r="GCH232" s="15"/>
      <c r="GCI232" s="15"/>
      <c r="GCJ232" s="15"/>
      <c r="GCK232" s="15"/>
      <c r="GCL232" s="10"/>
      <c r="GCM232" s="10"/>
      <c r="GCN232" s="21"/>
      <c r="GCO232" s="21"/>
      <c r="GCR232" s="21"/>
      <c r="GCS232" s="15"/>
      <c r="GCT232" s="15"/>
      <c r="GCU232" s="15"/>
      <c r="GCV232" s="15"/>
      <c r="GCW232" s="15"/>
      <c r="GCX232" s="15"/>
      <c r="GCY232" s="15"/>
      <c r="GCZ232" s="15"/>
      <c r="GDA232" s="15"/>
      <c r="GDB232" s="15"/>
      <c r="GDC232" s="10"/>
      <c r="GDD232" s="10"/>
      <c r="GDE232" s="21"/>
      <c r="GDF232" s="21"/>
      <c r="GDI232" s="21"/>
      <c r="GDJ232" s="15"/>
      <c r="GDK232" s="15"/>
      <c r="GDL232" s="15"/>
      <c r="GDM232" s="15"/>
      <c r="GDN232" s="15"/>
      <c r="GDO232" s="15"/>
      <c r="GDP232" s="15"/>
      <c r="GDQ232" s="15"/>
      <c r="GDR232" s="15"/>
      <c r="GDS232" s="15"/>
      <c r="GDT232" s="10"/>
      <c r="GDU232" s="10"/>
      <c r="GDV232" s="21"/>
      <c r="GDW232" s="21"/>
      <c r="GDZ232" s="21"/>
      <c r="GEA232" s="15"/>
      <c r="GEB232" s="15"/>
      <c r="GEC232" s="15"/>
      <c r="GED232" s="15"/>
      <c r="GEE232" s="15"/>
      <c r="GEF232" s="15"/>
      <c r="GEG232" s="15"/>
      <c r="GEH232" s="15"/>
      <c r="GEI232" s="15"/>
      <c r="GEJ232" s="15"/>
      <c r="GEK232" s="10"/>
      <c r="GEL232" s="10"/>
      <c r="GEM232" s="21"/>
      <c r="GEN232" s="21"/>
      <c r="GEQ232" s="21"/>
      <c r="GER232" s="15"/>
      <c r="GES232" s="15"/>
      <c r="GET232" s="15"/>
      <c r="GEU232" s="15"/>
      <c r="GEV232" s="15"/>
      <c r="GEW232" s="15"/>
      <c r="GEX232" s="15"/>
      <c r="GEY232" s="15"/>
      <c r="GEZ232" s="15"/>
      <c r="GFA232" s="15"/>
      <c r="GFB232" s="10"/>
      <c r="GFC232" s="10"/>
      <c r="GFD232" s="21"/>
      <c r="GFE232" s="21"/>
      <c r="GFH232" s="21"/>
      <c r="GFI232" s="15"/>
      <c r="GFJ232" s="15"/>
      <c r="GFK232" s="15"/>
      <c r="GFL232" s="15"/>
      <c r="GFM232" s="15"/>
      <c r="GFN232" s="15"/>
      <c r="GFO232" s="15"/>
      <c r="GFP232" s="15"/>
      <c r="GFQ232" s="15"/>
      <c r="GFR232" s="15"/>
      <c r="GFS232" s="10"/>
      <c r="GFT232" s="10"/>
      <c r="GFU232" s="21"/>
      <c r="GFV232" s="21"/>
      <c r="GFY232" s="21"/>
      <c r="GFZ232" s="15"/>
      <c r="GGA232" s="15"/>
      <c r="GGB232" s="15"/>
      <c r="GGC232" s="15"/>
      <c r="GGD232" s="15"/>
      <c r="GGE232" s="15"/>
      <c r="GGF232" s="15"/>
      <c r="GGG232" s="15"/>
      <c r="GGH232" s="15"/>
      <c r="GGI232" s="15"/>
      <c r="GGJ232" s="10"/>
      <c r="GGK232" s="10"/>
      <c r="GGL232" s="21"/>
      <c r="GGM232" s="21"/>
      <c r="GGP232" s="21"/>
      <c r="GGQ232" s="15"/>
      <c r="GGR232" s="15"/>
      <c r="GGS232" s="15"/>
      <c r="GGT232" s="15"/>
      <c r="GGU232" s="15"/>
      <c r="GGV232" s="15"/>
      <c r="GGW232" s="15"/>
      <c r="GGX232" s="15"/>
      <c r="GGY232" s="15"/>
      <c r="GGZ232" s="15"/>
      <c r="GHA232" s="10"/>
      <c r="GHB232" s="10"/>
      <c r="GHC232" s="21"/>
      <c r="GHD232" s="21"/>
      <c r="GHG232" s="21"/>
      <c r="GHH232" s="15"/>
      <c r="GHI232" s="15"/>
      <c r="GHJ232" s="15"/>
      <c r="GHK232" s="15"/>
      <c r="GHL232" s="15"/>
      <c r="GHM232" s="15"/>
      <c r="GHN232" s="15"/>
      <c r="GHO232" s="15"/>
      <c r="GHP232" s="15"/>
      <c r="GHQ232" s="15"/>
      <c r="GHR232" s="10"/>
      <c r="GHS232" s="10"/>
      <c r="GHT232" s="21"/>
      <c r="GHU232" s="21"/>
      <c r="GHX232" s="21"/>
      <c r="GHY232" s="15"/>
      <c r="GHZ232" s="15"/>
      <c r="GIA232" s="15"/>
      <c r="GIB232" s="15"/>
      <c r="GIC232" s="15"/>
      <c r="GID232" s="15"/>
      <c r="GIE232" s="15"/>
      <c r="GIF232" s="15"/>
      <c r="GIG232" s="15"/>
      <c r="GIH232" s="15"/>
      <c r="GII232" s="10"/>
      <c r="GIJ232" s="10"/>
      <c r="GIK232" s="21"/>
      <c r="GIL232" s="21"/>
      <c r="GIO232" s="21"/>
      <c r="GIP232" s="15"/>
      <c r="GIQ232" s="15"/>
      <c r="GIR232" s="15"/>
      <c r="GIS232" s="15"/>
      <c r="GIT232" s="15"/>
      <c r="GIU232" s="15"/>
      <c r="GIV232" s="15"/>
      <c r="GIW232" s="15"/>
      <c r="GIX232" s="15"/>
      <c r="GIY232" s="15"/>
      <c r="GIZ232" s="10"/>
      <c r="GJA232" s="10"/>
      <c r="GJB232" s="21"/>
      <c r="GJC232" s="21"/>
      <c r="GJF232" s="21"/>
      <c r="GJG232" s="15"/>
      <c r="GJH232" s="15"/>
      <c r="GJI232" s="15"/>
      <c r="GJJ232" s="15"/>
      <c r="GJK232" s="15"/>
      <c r="GJL232" s="15"/>
      <c r="GJM232" s="15"/>
      <c r="GJN232" s="15"/>
      <c r="GJO232" s="15"/>
      <c r="GJP232" s="15"/>
      <c r="GJQ232" s="10"/>
      <c r="GJR232" s="10"/>
      <c r="GJS232" s="21"/>
      <c r="GJT232" s="21"/>
      <c r="GJW232" s="21"/>
      <c r="GJX232" s="15"/>
      <c r="GJY232" s="15"/>
      <c r="GJZ232" s="15"/>
      <c r="GKA232" s="15"/>
      <c r="GKB232" s="15"/>
      <c r="GKC232" s="15"/>
      <c r="GKD232" s="15"/>
      <c r="GKE232" s="15"/>
      <c r="GKF232" s="15"/>
      <c r="GKG232" s="15"/>
      <c r="GKH232" s="10"/>
      <c r="GKI232" s="10"/>
      <c r="GKJ232" s="21"/>
      <c r="GKK232" s="21"/>
      <c r="GKN232" s="21"/>
      <c r="GKO232" s="15"/>
      <c r="GKP232" s="15"/>
      <c r="GKQ232" s="15"/>
      <c r="GKR232" s="15"/>
      <c r="GKS232" s="15"/>
      <c r="GKT232" s="15"/>
      <c r="GKU232" s="15"/>
      <c r="GKV232" s="15"/>
      <c r="GKW232" s="15"/>
      <c r="GKX232" s="15"/>
      <c r="GKY232" s="10"/>
      <c r="GKZ232" s="10"/>
      <c r="GLA232" s="21"/>
      <c r="GLB232" s="21"/>
      <c r="GLE232" s="21"/>
      <c r="GLF232" s="15"/>
      <c r="GLG232" s="15"/>
      <c r="GLH232" s="15"/>
      <c r="GLI232" s="15"/>
      <c r="GLJ232" s="15"/>
      <c r="GLK232" s="15"/>
      <c r="GLL232" s="15"/>
      <c r="GLM232" s="15"/>
      <c r="GLN232" s="15"/>
      <c r="GLO232" s="15"/>
      <c r="GLP232" s="10"/>
      <c r="GLQ232" s="10"/>
      <c r="GLR232" s="21"/>
      <c r="GLS232" s="21"/>
      <c r="GLV232" s="21"/>
      <c r="GLW232" s="15"/>
      <c r="GLX232" s="15"/>
      <c r="GLY232" s="15"/>
      <c r="GLZ232" s="15"/>
      <c r="GMA232" s="15"/>
      <c r="GMB232" s="15"/>
      <c r="GMC232" s="15"/>
      <c r="GMD232" s="15"/>
      <c r="GME232" s="15"/>
      <c r="GMF232" s="15"/>
      <c r="GMG232" s="10"/>
      <c r="GMH232" s="10"/>
      <c r="GMI232" s="21"/>
      <c r="GMJ232" s="21"/>
      <c r="GMM232" s="21"/>
      <c r="GMN232" s="15"/>
      <c r="GMO232" s="15"/>
      <c r="GMP232" s="15"/>
      <c r="GMQ232" s="15"/>
      <c r="GMR232" s="15"/>
      <c r="GMS232" s="15"/>
      <c r="GMT232" s="15"/>
      <c r="GMU232" s="15"/>
      <c r="GMV232" s="15"/>
      <c r="GMW232" s="15"/>
      <c r="GMX232" s="10"/>
      <c r="GMY232" s="10"/>
      <c r="GMZ232" s="21"/>
      <c r="GNA232" s="21"/>
      <c r="GND232" s="21"/>
      <c r="GNE232" s="15"/>
      <c r="GNF232" s="15"/>
      <c r="GNG232" s="15"/>
      <c r="GNH232" s="15"/>
      <c r="GNI232" s="15"/>
      <c r="GNJ232" s="15"/>
      <c r="GNK232" s="15"/>
      <c r="GNL232" s="15"/>
      <c r="GNM232" s="15"/>
      <c r="GNN232" s="15"/>
      <c r="GNO232" s="10"/>
      <c r="GNP232" s="10"/>
      <c r="GNQ232" s="21"/>
      <c r="GNR232" s="21"/>
      <c r="GNU232" s="21"/>
      <c r="GNV232" s="15"/>
      <c r="GNW232" s="15"/>
      <c r="GNX232" s="15"/>
      <c r="GNY232" s="15"/>
      <c r="GNZ232" s="15"/>
      <c r="GOA232" s="15"/>
      <c r="GOB232" s="15"/>
      <c r="GOC232" s="15"/>
      <c r="GOD232" s="15"/>
      <c r="GOE232" s="15"/>
      <c r="GOF232" s="10"/>
      <c r="GOG232" s="10"/>
      <c r="GOH232" s="21"/>
      <c r="GOI232" s="21"/>
      <c r="GOL232" s="21"/>
      <c r="GOM232" s="15"/>
      <c r="GON232" s="15"/>
      <c r="GOO232" s="15"/>
      <c r="GOP232" s="15"/>
      <c r="GOQ232" s="15"/>
      <c r="GOR232" s="15"/>
      <c r="GOS232" s="15"/>
      <c r="GOT232" s="15"/>
      <c r="GOU232" s="15"/>
      <c r="GOV232" s="15"/>
      <c r="GOW232" s="10"/>
      <c r="GOX232" s="10"/>
      <c r="GOY232" s="21"/>
      <c r="GOZ232" s="21"/>
      <c r="GPC232" s="21"/>
      <c r="GPD232" s="15"/>
      <c r="GPE232" s="15"/>
      <c r="GPF232" s="15"/>
      <c r="GPG232" s="15"/>
      <c r="GPH232" s="15"/>
      <c r="GPI232" s="15"/>
      <c r="GPJ232" s="15"/>
      <c r="GPK232" s="15"/>
      <c r="GPL232" s="15"/>
      <c r="GPM232" s="15"/>
      <c r="GPN232" s="10"/>
      <c r="GPO232" s="10"/>
      <c r="GPP232" s="21"/>
      <c r="GPQ232" s="21"/>
      <c r="GPT232" s="21"/>
      <c r="GPU232" s="15"/>
      <c r="GPV232" s="15"/>
      <c r="GPW232" s="15"/>
      <c r="GPX232" s="15"/>
      <c r="GPY232" s="15"/>
      <c r="GPZ232" s="15"/>
      <c r="GQA232" s="15"/>
      <c r="GQB232" s="15"/>
      <c r="GQC232" s="15"/>
      <c r="GQD232" s="15"/>
      <c r="GQE232" s="10"/>
      <c r="GQF232" s="10"/>
      <c r="GQG232" s="21"/>
      <c r="GQH232" s="21"/>
      <c r="GQK232" s="21"/>
      <c r="GQL232" s="15"/>
      <c r="GQM232" s="15"/>
      <c r="GQN232" s="15"/>
      <c r="GQO232" s="15"/>
      <c r="GQP232" s="15"/>
      <c r="GQQ232" s="15"/>
      <c r="GQR232" s="15"/>
      <c r="GQS232" s="15"/>
      <c r="GQT232" s="15"/>
      <c r="GQU232" s="15"/>
      <c r="GQV232" s="10"/>
      <c r="GQW232" s="10"/>
      <c r="GQX232" s="21"/>
      <c r="GQY232" s="21"/>
      <c r="GRB232" s="21"/>
      <c r="GRC232" s="15"/>
      <c r="GRD232" s="15"/>
      <c r="GRE232" s="15"/>
      <c r="GRF232" s="15"/>
      <c r="GRG232" s="15"/>
      <c r="GRH232" s="15"/>
      <c r="GRI232" s="15"/>
      <c r="GRJ232" s="15"/>
      <c r="GRK232" s="15"/>
      <c r="GRL232" s="15"/>
      <c r="GRM232" s="10"/>
      <c r="GRN232" s="10"/>
      <c r="GRO232" s="21"/>
      <c r="GRP232" s="21"/>
      <c r="GRS232" s="21"/>
      <c r="GRT232" s="15"/>
      <c r="GRU232" s="15"/>
      <c r="GRV232" s="15"/>
      <c r="GRW232" s="15"/>
      <c r="GRX232" s="15"/>
      <c r="GRY232" s="15"/>
      <c r="GRZ232" s="15"/>
      <c r="GSA232" s="15"/>
      <c r="GSB232" s="15"/>
      <c r="GSC232" s="15"/>
      <c r="GSD232" s="10"/>
      <c r="GSE232" s="10"/>
      <c r="GSF232" s="21"/>
      <c r="GSG232" s="21"/>
      <c r="GSJ232" s="21"/>
      <c r="GSK232" s="15"/>
      <c r="GSL232" s="15"/>
      <c r="GSM232" s="15"/>
      <c r="GSN232" s="15"/>
      <c r="GSO232" s="15"/>
      <c r="GSP232" s="15"/>
      <c r="GSQ232" s="15"/>
      <c r="GSR232" s="15"/>
      <c r="GSS232" s="15"/>
      <c r="GST232" s="15"/>
      <c r="GSU232" s="10"/>
      <c r="GSV232" s="10"/>
      <c r="GSW232" s="21"/>
      <c r="GSX232" s="21"/>
      <c r="GTA232" s="21"/>
      <c r="GTB232" s="15"/>
      <c r="GTC232" s="15"/>
      <c r="GTD232" s="15"/>
      <c r="GTE232" s="15"/>
      <c r="GTF232" s="15"/>
      <c r="GTG232" s="15"/>
      <c r="GTH232" s="15"/>
      <c r="GTI232" s="15"/>
      <c r="GTJ232" s="15"/>
      <c r="GTK232" s="15"/>
      <c r="GTL232" s="10"/>
      <c r="GTM232" s="10"/>
      <c r="GTN232" s="21"/>
      <c r="GTO232" s="21"/>
      <c r="GTR232" s="21"/>
      <c r="GTS232" s="15"/>
      <c r="GTT232" s="15"/>
      <c r="GTU232" s="15"/>
      <c r="GTV232" s="15"/>
      <c r="GTW232" s="15"/>
      <c r="GTX232" s="15"/>
      <c r="GTY232" s="15"/>
      <c r="GTZ232" s="15"/>
      <c r="GUA232" s="15"/>
      <c r="GUB232" s="15"/>
      <c r="GUC232" s="10"/>
      <c r="GUD232" s="10"/>
      <c r="GUE232" s="21"/>
      <c r="GUF232" s="21"/>
      <c r="GUI232" s="21"/>
      <c r="GUJ232" s="15"/>
      <c r="GUK232" s="15"/>
      <c r="GUL232" s="15"/>
      <c r="GUM232" s="15"/>
      <c r="GUN232" s="15"/>
      <c r="GUO232" s="15"/>
      <c r="GUP232" s="15"/>
      <c r="GUQ232" s="15"/>
      <c r="GUR232" s="15"/>
      <c r="GUS232" s="15"/>
      <c r="GUT232" s="10"/>
      <c r="GUU232" s="10"/>
      <c r="GUV232" s="21"/>
      <c r="GUW232" s="21"/>
      <c r="GUZ232" s="21"/>
      <c r="GVA232" s="15"/>
      <c r="GVB232" s="15"/>
      <c r="GVC232" s="15"/>
      <c r="GVD232" s="15"/>
      <c r="GVE232" s="15"/>
      <c r="GVF232" s="15"/>
      <c r="GVG232" s="15"/>
      <c r="GVH232" s="15"/>
      <c r="GVI232" s="15"/>
      <c r="GVJ232" s="15"/>
      <c r="GVK232" s="10"/>
      <c r="GVL232" s="10"/>
      <c r="GVM232" s="21"/>
      <c r="GVN232" s="21"/>
      <c r="GVQ232" s="21"/>
      <c r="GVR232" s="15"/>
      <c r="GVS232" s="15"/>
      <c r="GVT232" s="15"/>
      <c r="GVU232" s="15"/>
      <c r="GVV232" s="15"/>
      <c r="GVW232" s="15"/>
      <c r="GVX232" s="15"/>
      <c r="GVY232" s="15"/>
      <c r="GVZ232" s="15"/>
      <c r="GWA232" s="15"/>
      <c r="GWB232" s="10"/>
      <c r="GWC232" s="10"/>
      <c r="GWD232" s="21"/>
      <c r="GWE232" s="21"/>
      <c r="GWH232" s="21"/>
      <c r="GWI232" s="15"/>
      <c r="GWJ232" s="15"/>
      <c r="GWK232" s="15"/>
      <c r="GWL232" s="15"/>
      <c r="GWM232" s="15"/>
      <c r="GWN232" s="15"/>
      <c r="GWO232" s="15"/>
      <c r="GWP232" s="15"/>
      <c r="GWQ232" s="15"/>
      <c r="GWR232" s="15"/>
      <c r="GWS232" s="10"/>
      <c r="GWT232" s="10"/>
      <c r="GWU232" s="21"/>
      <c r="GWV232" s="21"/>
      <c r="GWY232" s="21"/>
      <c r="GWZ232" s="15"/>
      <c r="GXA232" s="15"/>
      <c r="GXB232" s="15"/>
      <c r="GXC232" s="15"/>
      <c r="GXD232" s="15"/>
      <c r="GXE232" s="15"/>
      <c r="GXF232" s="15"/>
      <c r="GXG232" s="15"/>
      <c r="GXH232" s="15"/>
      <c r="GXI232" s="15"/>
      <c r="GXJ232" s="10"/>
      <c r="GXK232" s="10"/>
      <c r="GXL232" s="21"/>
      <c r="GXM232" s="21"/>
      <c r="GXP232" s="21"/>
      <c r="GXQ232" s="15"/>
      <c r="GXR232" s="15"/>
      <c r="GXS232" s="15"/>
      <c r="GXT232" s="15"/>
      <c r="GXU232" s="15"/>
      <c r="GXV232" s="15"/>
      <c r="GXW232" s="15"/>
      <c r="GXX232" s="15"/>
      <c r="GXY232" s="15"/>
      <c r="GXZ232" s="15"/>
      <c r="GYA232" s="10"/>
      <c r="GYB232" s="10"/>
      <c r="GYC232" s="21"/>
      <c r="GYD232" s="21"/>
      <c r="GYG232" s="21"/>
      <c r="GYH232" s="15"/>
      <c r="GYI232" s="15"/>
      <c r="GYJ232" s="15"/>
      <c r="GYK232" s="15"/>
      <c r="GYL232" s="15"/>
      <c r="GYM232" s="15"/>
      <c r="GYN232" s="15"/>
      <c r="GYO232" s="15"/>
      <c r="GYP232" s="15"/>
      <c r="GYQ232" s="15"/>
      <c r="GYR232" s="10"/>
      <c r="GYS232" s="10"/>
      <c r="GYT232" s="21"/>
      <c r="GYU232" s="21"/>
      <c r="GYX232" s="21"/>
      <c r="GYY232" s="15"/>
      <c r="GYZ232" s="15"/>
      <c r="GZA232" s="15"/>
      <c r="GZB232" s="15"/>
      <c r="GZC232" s="15"/>
      <c r="GZD232" s="15"/>
      <c r="GZE232" s="15"/>
      <c r="GZF232" s="15"/>
      <c r="GZG232" s="15"/>
      <c r="GZH232" s="15"/>
      <c r="GZI232" s="10"/>
      <c r="GZJ232" s="10"/>
      <c r="GZK232" s="21"/>
      <c r="GZL232" s="21"/>
      <c r="GZO232" s="21"/>
      <c r="GZP232" s="15"/>
      <c r="GZQ232" s="15"/>
      <c r="GZR232" s="15"/>
      <c r="GZS232" s="15"/>
      <c r="GZT232" s="15"/>
      <c r="GZU232" s="15"/>
      <c r="GZV232" s="15"/>
      <c r="GZW232" s="15"/>
      <c r="GZX232" s="15"/>
      <c r="GZY232" s="15"/>
      <c r="GZZ232" s="10"/>
      <c r="HAA232" s="10"/>
      <c r="HAB232" s="21"/>
      <c r="HAC232" s="21"/>
      <c r="HAF232" s="21"/>
      <c r="HAG232" s="15"/>
      <c r="HAH232" s="15"/>
      <c r="HAI232" s="15"/>
      <c r="HAJ232" s="15"/>
      <c r="HAK232" s="15"/>
      <c r="HAL232" s="15"/>
      <c r="HAM232" s="15"/>
      <c r="HAN232" s="15"/>
      <c r="HAO232" s="15"/>
      <c r="HAP232" s="15"/>
      <c r="HAQ232" s="10"/>
      <c r="HAR232" s="10"/>
      <c r="HAS232" s="21"/>
      <c r="HAT232" s="21"/>
      <c r="HAW232" s="21"/>
      <c r="HAX232" s="15"/>
      <c r="HAY232" s="15"/>
      <c r="HAZ232" s="15"/>
      <c r="HBA232" s="15"/>
      <c r="HBB232" s="15"/>
      <c r="HBC232" s="15"/>
      <c r="HBD232" s="15"/>
      <c r="HBE232" s="15"/>
      <c r="HBF232" s="15"/>
      <c r="HBG232" s="15"/>
      <c r="HBH232" s="10"/>
      <c r="HBI232" s="10"/>
      <c r="HBJ232" s="21"/>
      <c r="HBK232" s="21"/>
      <c r="HBN232" s="21"/>
      <c r="HBO232" s="15"/>
      <c r="HBP232" s="15"/>
      <c r="HBQ232" s="15"/>
      <c r="HBR232" s="15"/>
      <c r="HBS232" s="15"/>
      <c r="HBT232" s="15"/>
      <c r="HBU232" s="15"/>
      <c r="HBV232" s="15"/>
      <c r="HBW232" s="15"/>
      <c r="HBX232" s="15"/>
      <c r="HBY232" s="10"/>
      <c r="HBZ232" s="10"/>
      <c r="HCA232" s="21"/>
      <c r="HCB232" s="21"/>
      <c r="HCE232" s="21"/>
      <c r="HCF232" s="15"/>
      <c r="HCG232" s="15"/>
      <c r="HCH232" s="15"/>
      <c r="HCI232" s="15"/>
      <c r="HCJ232" s="15"/>
      <c r="HCK232" s="15"/>
      <c r="HCL232" s="15"/>
      <c r="HCM232" s="15"/>
      <c r="HCN232" s="15"/>
      <c r="HCO232" s="15"/>
      <c r="HCP232" s="10"/>
      <c r="HCQ232" s="10"/>
      <c r="HCR232" s="21"/>
      <c r="HCS232" s="21"/>
      <c r="HCV232" s="21"/>
      <c r="HCW232" s="15"/>
      <c r="HCX232" s="15"/>
      <c r="HCY232" s="15"/>
      <c r="HCZ232" s="15"/>
      <c r="HDA232" s="15"/>
      <c r="HDB232" s="15"/>
      <c r="HDC232" s="15"/>
      <c r="HDD232" s="15"/>
      <c r="HDE232" s="15"/>
      <c r="HDF232" s="15"/>
      <c r="HDG232" s="10"/>
      <c r="HDH232" s="10"/>
      <c r="HDI232" s="21"/>
      <c r="HDJ232" s="21"/>
      <c r="HDM232" s="21"/>
      <c r="HDN232" s="15"/>
      <c r="HDO232" s="15"/>
      <c r="HDP232" s="15"/>
      <c r="HDQ232" s="15"/>
      <c r="HDR232" s="15"/>
      <c r="HDS232" s="15"/>
      <c r="HDT232" s="15"/>
      <c r="HDU232" s="15"/>
      <c r="HDV232" s="15"/>
      <c r="HDW232" s="15"/>
      <c r="HDX232" s="10"/>
      <c r="HDY232" s="10"/>
      <c r="HDZ232" s="21"/>
      <c r="HEA232" s="21"/>
      <c r="HED232" s="21"/>
      <c r="HEE232" s="15"/>
      <c r="HEF232" s="15"/>
      <c r="HEG232" s="15"/>
      <c r="HEH232" s="15"/>
      <c r="HEI232" s="15"/>
      <c r="HEJ232" s="15"/>
      <c r="HEK232" s="15"/>
      <c r="HEL232" s="15"/>
      <c r="HEM232" s="15"/>
      <c r="HEN232" s="15"/>
      <c r="HEO232" s="10"/>
      <c r="HEP232" s="10"/>
      <c r="HEQ232" s="21"/>
      <c r="HER232" s="21"/>
      <c r="HEU232" s="21"/>
      <c r="HEV232" s="15"/>
      <c r="HEW232" s="15"/>
      <c r="HEX232" s="15"/>
      <c r="HEY232" s="15"/>
      <c r="HEZ232" s="15"/>
      <c r="HFA232" s="15"/>
      <c r="HFB232" s="15"/>
      <c r="HFC232" s="15"/>
      <c r="HFD232" s="15"/>
      <c r="HFE232" s="15"/>
      <c r="HFF232" s="10"/>
      <c r="HFG232" s="10"/>
      <c r="HFH232" s="21"/>
      <c r="HFI232" s="21"/>
      <c r="HFL232" s="21"/>
      <c r="HFM232" s="15"/>
      <c r="HFN232" s="15"/>
      <c r="HFO232" s="15"/>
      <c r="HFP232" s="15"/>
      <c r="HFQ232" s="15"/>
      <c r="HFR232" s="15"/>
      <c r="HFS232" s="15"/>
      <c r="HFT232" s="15"/>
      <c r="HFU232" s="15"/>
      <c r="HFV232" s="15"/>
      <c r="HFW232" s="10"/>
      <c r="HFX232" s="10"/>
      <c r="HFY232" s="21"/>
      <c r="HFZ232" s="21"/>
      <c r="HGC232" s="21"/>
      <c r="HGD232" s="15"/>
      <c r="HGE232" s="15"/>
      <c r="HGF232" s="15"/>
      <c r="HGG232" s="15"/>
      <c r="HGH232" s="15"/>
      <c r="HGI232" s="15"/>
      <c r="HGJ232" s="15"/>
      <c r="HGK232" s="15"/>
      <c r="HGL232" s="15"/>
      <c r="HGM232" s="15"/>
      <c r="HGN232" s="10"/>
      <c r="HGO232" s="10"/>
      <c r="HGP232" s="21"/>
      <c r="HGQ232" s="21"/>
      <c r="HGT232" s="21"/>
      <c r="HGU232" s="15"/>
      <c r="HGV232" s="15"/>
      <c r="HGW232" s="15"/>
      <c r="HGX232" s="15"/>
      <c r="HGY232" s="15"/>
      <c r="HGZ232" s="15"/>
      <c r="HHA232" s="15"/>
      <c r="HHB232" s="15"/>
      <c r="HHC232" s="15"/>
      <c r="HHD232" s="15"/>
      <c r="HHE232" s="10"/>
      <c r="HHF232" s="10"/>
      <c r="HHG232" s="21"/>
      <c r="HHH232" s="21"/>
      <c r="HHK232" s="21"/>
      <c r="HHL232" s="15"/>
      <c r="HHM232" s="15"/>
      <c r="HHN232" s="15"/>
      <c r="HHO232" s="15"/>
      <c r="HHP232" s="15"/>
      <c r="HHQ232" s="15"/>
      <c r="HHR232" s="15"/>
      <c r="HHS232" s="15"/>
      <c r="HHT232" s="15"/>
      <c r="HHU232" s="15"/>
      <c r="HHV232" s="10"/>
      <c r="HHW232" s="10"/>
      <c r="HHX232" s="21"/>
      <c r="HHY232" s="21"/>
      <c r="HIB232" s="21"/>
      <c r="HIC232" s="15"/>
      <c r="HID232" s="15"/>
      <c r="HIE232" s="15"/>
      <c r="HIF232" s="15"/>
      <c r="HIG232" s="15"/>
      <c r="HIH232" s="15"/>
      <c r="HII232" s="15"/>
      <c r="HIJ232" s="15"/>
      <c r="HIK232" s="15"/>
      <c r="HIL232" s="15"/>
      <c r="HIM232" s="10"/>
      <c r="HIN232" s="10"/>
      <c r="HIO232" s="21"/>
      <c r="HIP232" s="21"/>
      <c r="HIS232" s="21"/>
      <c r="HIT232" s="15"/>
      <c r="HIU232" s="15"/>
      <c r="HIV232" s="15"/>
      <c r="HIW232" s="15"/>
      <c r="HIX232" s="15"/>
      <c r="HIY232" s="15"/>
      <c r="HIZ232" s="15"/>
      <c r="HJA232" s="15"/>
      <c r="HJB232" s="15"/>
      <c r="HJC232" s="15"/>
      <c r="HJD232" s="10"/>
      <c r="HJE232" s="10"/>
      <c r="HJF232" s="21"/>
      <c r="HJG232" s="21"/>
      <c r="HJJ232" s="21"/>
      <c r="HJK232" s="15"/>
      <c r="HJL232" s="15"/>
      <c r="HJM232" s="15"/>
      <c r="HJN232" s="15"/>
      <c r="HJO232" s="15"/>
      <c r="HJP232" s="15"/>
      <c r="HJQ232" s="15"/>
      <c r="HJR232" s="15"/>
      <c r="HJS232" s="15"/>
      <c r="HJT232" s="15"/>
      <c r="HJU232" s="10"/>
      <c r="HJV232" s="10"/>
      <c r="HJW232" s="21"/>
      <c r="HJX232" s="21"/>
      <c r="HKA232" s="21"/>
      <c r="HKB232" s="15"/>
      <c r="HKC232" s="15"/>
      <c r="HKD232" s="15"/>
      <c r="HKE232" s="15"/>
      <c r="HKF232" s="15"/>
      <c r="HKG232" s="15"/>
      <c r="HKH232" s="15"/>
      <c r="HKI232" s="15"/>
      <c r="HKJ232" s="15"/>
      <c r="HKK232" s="15"/>
      <c r="HKL232" s="10"/>
      <c r="HKM232" s="10"/>
      <c r="HKN232" s="21"/>
      <c r="HKO232" s="21"/>
      <c r="HKR232" s="21"/>
      <c r="HKS232" s="15"/>
      <c r="HKT232" s="15"/>
      <c r="HKU232" s="15"/>
      <c r="HKV232" s="15"/>
      <c r="HKW232" s="15"/>
      <c r="HKX232" s="15"/>
      <c r="HKY232" s="15"/>
      <c r="HKZ232" s="15"/>
      <c r="HLA232" s="15"/>
      <c r="HLB232" s="15"/>
      <c r="HLC232" s="10"/>
      <c r="HLD232" s="10"/>
      <c r="HLE232" s="21"/>
      <c r="HLF232" s="21"/>
      <c r="HLI232" s="21"/>
      <c r="HLJ232" s="15"/>
      <c r="HLK232" s="15"/>
      <c r="HLL232" s="15"/>
      <c r="HLM232" s="15"/>
      <c r="HLN232" s="15"/>
      <c r="HLO232" s="15"/>
      <c r="HLP232" s="15"/>
      <c r="HLQ232" s="15"/>
      <c r="HLR232" s="15"/>
      <c r="HLS232" s="15"/>
      <c r="HLT232" s="10"/>
      <c r="HLU232" s="10"/>
      <c r="HLV232" s="21"/>
      <c r="HLW232" s="21"/>
      <c r="HLZ232" s="21"/>
      <c r="HMA232" s="15"/>
      <c r="HMB232" s="15"/>
      <c r="HMC232" s="15"/>
      <c r="HMD232" s="15"/>
      <c r="HME232" s="15"/>
      <c r="HMF232" s="15"/>
      <c r="HMG232" s="15"/>
      <c r="HMH232" s="15"/>
      <c r="HMI232" s="15"/>
      <c r="HMJ232" s="15"/>
      <c r="HMK232" s="10"/>
      <c r="HML232" s="10"/>
      <c r="HMM232" s="21"/>
      <c r="HMN232" s="21"/>
      <c r="HMQ232" s="21"/>
      <c r="HMR232" s="15"/>
      <c r="HMS232" s="15"/>
      <c r="HMT232" s="15"/>
      <c r="HMU232" s="15"/>
      <c r="HMV232" s="15"/>
      <c r="HMW232" s="15"/>
      <c r="HMX232" s="15"/>
      <c r="HMY232" s="15"/>
      <c r="HMZ232" s="15"/>
      <c r="HNA232" s="15"/>
      <c r="HNB232" s="10"/>
      <c r="HNC232" s="10"/>
      <c r="HND232" s="21"/>
      <c r="HNE232" s="21"/>
      <c r="HNH232" s="21"/>
      <c r="HNI232" s="15"/>
      <c r="HNJ232" s="15"/>
      <c r="HNK232" s="15"/>
      <c r="HNL232" s="15"/>
      <c r="HNM232" s="15"/>
      <c r="HNN232" s="15"/>
      <c r="HNO232" s="15"/>
      <c r="HNP232" s="15"/>
      <c r="HNQ232" s="15"/>
      <c r="HNR232" s="15"/>
      <c r="HNS232" s="10"/>
      <c r="HNT232" s="10"/>
      <c r="HNU232" s="21"/>
      <c r="HNV232" s="21"/>
      <c r="HNY232" s="21"/>
      <c r="HNZ232" s="15"/>
      <c r="HOA232" s="15"/>
      <c r="HOB232" s="15"/>
      <c r="HOC232" s="15"/>
      <c r="HOD232" s="15"/>
      <c r="HOE232" s="15"/>
      <c r="HOF232" s="15"/>
      <c r="HOG232" s="15"/>
      <c r="HOH232" s="15"/>
      <c r="HOI232" s="15"/>
      <c r="HOJ232" s="10"/>
      <c r="HOK232" s="10"/>
      <c r="HOL232" s="21"/>
      <c r="HOM232" s="21"/>
      <c r="HOP232" s="21"/>
      <c r="HOQ232" s="15"/>
      <c r="HOR232" s="15"/>
      <c r="HOS232" s="15"/>
      <c r="HOT232" s="15"/>
      <c r="HOU232" s="15"/>
      <c r="HOV232" s="15"/>
      <c r="HOW232" s="15"/>
      <c r="HOX232" s="15"/>
      <c r="HOY232" s="15"/>
      <c r="HOZ232" s="15"/>
      <c r="HPA232" s="10"/>
      <c r="HPB232" s="10"/>
      <c r="HPC232" s="21"/>
      <c r="HPD232" s="21"/>
      <c r="HPG232" s="21"/>
      <c r="HPH232" s="15"/>
      <c r="HPI232" s="15"/>
      <c r="HPJ232" s="15"/>
      <c r="HPK232" s="15"/>
      <c r="HPL232" s="15"/>
      <c r="HPM232" s="15"/>
      <c r="HPN232" s="15"/>
      <c r="HPO232" s="15"/>
      <c r="HPP232" s="15"/>
      <c r="HPQ232" s="15"/>
      <c r="HPR232" s="10"/>
      <c r="HPS232" s="10"/>
      <c r="HPT232" s="21"/>
      <c r="HPU232" s="21"/>
      <c r="HPX232" s="21"/>
      <c r="HPY232" s="15"/>
      <c r="HPZ232" s="15"/>
      <c r="HQA232" s="15"/>
      <c r="HQB232" s="15"/>
      <c r="HQC232" s="15"/>
      <c r="HQD232" s="15"/>
      <c r="HQE232" s="15"/>
      <c r="HQF232" s="15"/>
      <c r="HQG232" s="15"/>
      <c r="HQH232" s="15"/>
      <c r="HQI232" s="10"/>
      <c r="HQJ232" s="10"/>
      <c r="HQK232" s="21"/>
      <c r="HQL232" s="21"/>
      <c r="HQO232" s="21"/>
      <c r="HQP232" s="15"/>
      <c r="HQQ232" s="15"/>
      <c r="HQR232" s="15"/>
      <c r="HQS232" s="15"/>
      <c r="HQT232" s="15"/>
      <c r="HQU232" s="15"/>
      <c r="HQV232" s="15"/>
      <c r="HQW232" s="15"/>
      <c r="HQX232" s="15"/>
      <c r="HQY232" s="15"/>
      <c r="HQZ232" s="10"/>
      <c r="HRA232" s="10"/>
      <c r="HRB232" s="21"/>
      <c r="HRC232" s="21"/>
      <c r="HRF232" s="21"/>
      <c r="HRG232" s="15"/>
      <c r="HRH232" s="15"/>
      <c r="HRI232" s="15"/>
      <c r="HRJ232" s="15"/>
      <c r="HRK232" s="15"/>
      <c r="HRL232" s="15"/>
      <c r="HRM232" s="15"/>
      <c r="HRN232" s="15"/>
      <c r="HRO232" s="15"/>
      <c r="HRP232" s="15"/>
      <c r="HRQ232" s="10"/>
      <c r="HRR232" s="10"/>
      <c r="HRS232" s="21"/>
      <c r="HRT232" s="21"/>
      <c r="HRW232" s="21"/>
      <c r="HRX232" s="15"/>
      <c r="HRY232" s="15"/>
      <c r="HRZ232" s="15"/>
      <c r="HSA232" s="15"/>
      <c r="HSB232" s="15"/>
      <c r="HSC232" s="15"/>
      <c r="HSD232" s="15"/>
      <c r="HSE232" s="15"/>
      <c r="HSF232" s="15"/>
      <c r="HSG232" s="15"/>
      <c r="HSH232" s="10"/>
      <c r="HSI232" s="10"/>
      <c r="HSJ232" s="21"/>
      <c r="HSK232" s="21"/>
      <c r="HSN232" s="21"/>
      <c r="HSO232" s="15"/>
      <c r="HSP232" s="15"/>
      <c r="HSQ232" s="15"/>
      <c r="HSR232" s="15"/>
      <c r="HSS232" s="15"/>
      <c r="HST232" s="15"/>
      <c r="HSU232" s="15"/>
      <c r="HSV232" s="15"/>
      <c r="HSW232" s="15"/>
      <c r="HSX232" s="15"/>
      <c r="HSY232" s="10"/>
      <c r="HSZ232" s="10"/>
      <c r="HTA232" s="21"/>
      <c r="HTB232" s="21"/>
      <c r="HTE232" s="21"/>
      <c r="HTF232" s="15"/>
      <c r="HTG232" s="15"/>
      <c r="HTH232" s="15"/>
      <c r="HTI232" s="15"/>
      <c r="HTJ232" s="15"/>
      <c r="HTK232" s="15"/>
      <c r="HTL232" s="15"/>
      <c r="HTM232" s="15"/>
      <c r="HTN232" s="15"/>
      <c r="HTO232" s="15"/>
      <c r="HTP232" s="10"/>
      <c r="HTQ232" s="10"/>
      <c r="HTR232" s="21"/>
      <c r="HTS232" s="21"/>
      <c r="HTV232" s="21"/>
      <c r="HTW232" s="15"/>
      <c r="HTX232" s="15"/>
      <c r="HTY232" s="15"/>
      <c r="HTZ232" s="15"/>
      <c r="HUA232" s="15"/>
      <c r="HUB232" s="15"/>
      <c r="HUC232" s="15"/>
      <c r="HUD232" s="15"/>
      <c r="HUE232" s="15"/>
      <c r="HUF232" s="15"/>
      <c r="HUG232" s="10"/>
      <c r="HUH232" s="10"/>
      <c r="HUI232" s="21"/>
      <c r="HUJ232" s="21"/>
      <c r="HUM232" s="21"/>
      <c r="HUN232" s="15"/>
      <c r="HUO232" s="15"/>
      <c r="HUP232" s="15"/>
      <c r="HUQ232" s="15"/>
      <c r="HUR232" s="15"/>
      <c r="HUS232" s="15"/>
      <c r="HUT232" s="15"/>
      <c r="HUU232" s="15"/>
      <c r="HUV232" s="15"/>
      <c r="HUW232" s="15"/>
      <c r="HUX232" s="10"/>
      <c r="HUY232" s="10"/>
      <c r="HUZ232" s="21"/>
      <c r="HVA232" s="21"/>
      <c r="HVD232" s="21"/>
      <c r="HVE232" s="15"/>
      <c r="HVF232" s="15"/>
      <c r="HVG232" s="15"/>
      <c r="HVH232" s="15"/>
      <c r="HVI232" s="15"/>
      <c r="HVJ232" s="15"/>
      <c r="HVK232" s="15"/>
      <c r="HVL232" s="15"/>
      <c r="HVM232" s="15"/>
      <c r="HVN232" s="15"/>
      <c r="HVO232" s="10"/>
      <c r="HVP232" s="10"/>
      <c r="HVQ232" s="21"/>
      <c r="HVR232" s="21"/>
      <c r="HVU232" s="21"/>
      <c r="HVV232" s="15"/>
      <c r="HVW232" s="15"/>
      <c r="HVX232" s="15"/>
      <c r="HVY232" s="15"/>
      <c r="HVZ232" s="15"/>
      <c r="HWA232" s="15"/>
      <c r="HWB232" s="15"/>
      <c r="HWC232" s="15"/>
      <c r="HWD232" s="15"/>
      <c r="HWE232" s="15"/>
      <c r="HWF232" s="10"/>
      <c r="HWG232" s="10"/>
      <c r="HWH232" s="21"/>
      <c r="HWI232" s="21"/>
      <c r="HWL232" s="21"/>
      <c r="HWM232" s="15"/>
      <c r="HWN232" s="15"/>
      <c r="HWO232" s="15"/>
      <c r="HWP232" s="15"/>
      <c r="HWQ232" s="15"/>
      <c r="HWR232" s="15"/>
      <c r="HWS232" s="15"/>
      <c r="HWT232" s="15"/>
      <c r="HWU232" s="15"/>
      <c r="HWV232" s="15"/>
      <c r="HWW232" s="10"/>
      <c r="HWX232" s="10"/>
      <c r="HWY232" s="21"/>
      <c r="HWZ232" s="21"/>
      <c r="HXC232" s="21"/>
      <c r="HXD232" s="15"/>
      <c r="HXE232" s="15"/>
      <c r="HXF232" s="15"/>
      <c r="HXG232" s="15"/>
      <c r="HXH232" s="15"/>
      <c r="HXI232" s="15"/>
      <c r="HXJ232" s="15"/>
      <c r="HXK232" s="15"/>
      <c r="HXL232" s="15"/>
      <c r="HXM232" s="15"/>
      <c r="HXN232" s="10"/>
      <c r="HXO232" s="10"/>
      <c r="HXP232" s="21"/>
      <c r="HXQ232" s="21"/>
      <c r="HXT232" s="21"/>
      <c r="HXU232" s="15"/>
      <c r="HXV232" s="15"/>
      <c r="HXW232" s="15"/>
      <c r="HXX232" s="15"/>
      <c r="HXY232" s="15"/>
      <c r="HXZ232" s="15"/>
      <c r="HYA232" s="15"/>
      <c r="HYB232" s="15"/>
      <c r="HYC232" s="15"/>
      <c r="HYD232" s="15"/>
      <c r="HYE232" s="10"/>
      <c r="HYF232" s="10"/>
      <c r="HYG232" s="21"/>
      <c r="HYH232" s="21"/>
      <c r="HYK232" s="21"/>
      <c r="HYL232" s="15"/>
      <c r="HYM232" s="15"/>
      <c r="HYN232" s="15"/>
      <c r="HYO232" s="15"/>
      <c r="HYP232" s="15"/>
      <c r="HYQ232" s="15"/>
      <c r="HYR232" s="15"/>
      <c r="HYS232" s="15"/>
      <c r="HYT232" s="15"/>
      <c r="HYU232" s="15"/>
      <c r="HYV232" s="10"/>
      <c r="HYW232" s="10"/>
      <c r="HYX232" s="21"/>
      <c r="HYY232" s="21"/>
      <c r="HZB232" s="21"/>
      <c r="HZC232" s="15"/>
      <c r="HZD232" s="15"/>
      <c r="HZE232" s="15"/>
      <c r="HZF232" s="15"/>
      <c r="HZG232" s="15"/>
      <c r="HZH232" s="15"/>
      <c r="HZI232" s="15"/>
      <c r="HZJ232" s="15"/>
      <c r="HZK232" s="15"/>
      <c r="HZL232" s="15"/>
      <c r="HZM232" s="10"/>
      <c r="HZN232" s="10"/>
      <c r="HZO232" s="21"/>
      <c r="HZP232" s="21"/>
      <c r="HZS232" s="21"/>
      <c r="HZT232" s="15"/>
      <c r="HZU232" s="15"/>
      <c r="HZV232" s="15"/>
      <c r="HZW232" s="15"/>
      <c r="HZX232" s="15"/>
      <c r="HZY232" s="15"/>
      <c r="HZZ232" s="15"/>
      <c r="IAA232" s="15"/>
      <c r="IAB232" s="15"/>
      <c r="IAC232" s="15"/>
      <c r="IAD232" s="10"/>
      <c r="IAE232" s="10"/>
      <c r="IAF232" s="21"/>
      <c r="IAG232" s="21"/>
      <c r="IAJ232" s="21"/>
      <c r="IAK232" s="15"/>
      <c r="IAL232" s="15"/>
      <c r="IAM232" s="15"/>
      <c r="IAN232" s="15"/>
      <c r="IAO232" s="15"/>
      <c r="IAP232" s="15"/>
      <c r="IAQ232" s="15"/>
      <c r="IAR232" s="15"/>
      <c r="IAS232" s="15"/>
      <c r="IAT232" s="15"/>
      <c r="IAU232" s="10"/>
      <c r="IAV232" s="10"/>
      <c r="IAW232" s="21"/>
      <c r="IAX232" s="21"/>
      <c r="IBA232" s="21"/>
      <c r="IBB232" s="15"/>
      <c r="IBC232" s="15"/>
      <c r="IBD232" s="15"/>
      <c r="IBE232" s="15"/>
      <c r="IBF232" s="15"/>
      <c r="IBG232" s="15"/>
      <c r="IBH232" s="15"/>
      <c r="IBI232" s="15"/>
      <c r="IBJ232" s="15"/>
      <c r="IBK232" s="15"/>
      <c r="IBL232" s="10"/>
      <c r="IBM232" s="10"/>
      <c r="IBN232" s="21"/>
      <c r="IBO232" s="21"/>
      <c r="IBR232" s="21"/>
      <c r="IBS232" s="15"/>
      <c r="IBT232" s="15"/>
      <c r="IBU232" s="15"/>
      <c r="IBV232" s="15"/>
      <c r="IBW232" s="15"/>
      <c r="IBX232" s="15"/>
      <c r="IBY232" s="15"/>
      <c r="IBZ232" s="15"/>
      <c r="ICA232" s="15"/>
      <c r="ICB232" s="15"/>
      <c r="ICC232" s="10"/>
      <c r="ICD232" s="10"/>
      <c r="ICE232" s="21"/>
      <c r="ICF232" s="21"/>
      <c r="ICI232" s="21"/>
      <c r="ICJ232" s="15"/>
      <c r="ICK232" s="15"/>
      <c r="ICL232" s="15"/>
      <c r="ICM232" s="15"/>
      <c r="ICN232" s="15"/>
      <c r="ICO232" s="15"/>
      <c r="ICP232" s="15"/>
      <c r="ICQ232" s="15"/>
      <c r="ICR232" s="15"/>
      <c r="ICS232" s="15"/>
      <c r="ICT232" s="10"/>
      <c r="ICU232" s="10"/>
      <c r="ICV232" s="21"/>
      <c r="ICW232" s="21"/>
      <c r="ICZ232" s="21"/>
      <c r="IDA232" s="15"/>
      <c r="IDB232" s="15"/>
      <c r="IDC232" s="15"/>
      <c r="IDD232" s="15"/>
      <c r="IDE232" s="15"/>
      <c r="IDF232" s="15"/>
      <c r="IDG232" s="15"/>
      <c r="IDH232" s="15"/>
      <c r="IDI232" s="15"/>
      <c r="IDJ232" s="15"/>
      <c r="IDK232" s="10"/>
      <c r="IDL232" s="10"/>
      <c r="IDM232" s="21"/>
      <c r="IDN232" s="21"/>
      <c r="IDQ232" s="21"/>
      <c r="IDR232" s="15"/>
      <c r="IDS232" s="15"/>
      <c r="IDT232" s="15"/>
      <c r="IDU232" s="15"/>
      <c r="IDV232" s="15"/>
      <c r="IDW232" s="15"/>
      <c r="IDX232" s="15"/>
      <c r="IDY232" s="15"/>
      <c r="IDZ232" s="15"/>
      <c r="IEA232" s="15"/>
      <c r="IEB232" s="10"/>
      <c r="IEC232" s="10"/>
      <c r="IED232" s="21"/>
      <c r="IEE232" s="21"/>
      <c r="IEH232" s="21"/>
      <c r="IEI232" s="15"/>
      <c r="IEJ232" s="15"/>
      <c r="IEK232" s="15"/>
      <c r="IEL232" s="15"/>
      <c r="IEM232" s="15"/>
      <c r="IEN232" s="15"/>
      <c r="IEO232" s="15"/>
      <c r="IEP232" s="15"/>
      <c r="IEQ232" s="15"/>
      <c r="IER232" s="15"/>
      <c r="IES232" s="10"/>
      <c r="IET232" s="10"/>
      <c r="IEU232" s="21"/>
      <c r="IEV232" s="21"/>
      <c r="IEY232" s="21"/>
      <c r="IEZ232" s="15"/>
      <c r="IFA232" s="15"/>
      <c r="IFB232" s="15"/>
      <c r="IFC232" s="15"/>
      <c r="IFD232" s="15"/>
      <c r="IFE232" s="15"/>
      <c r="IFF232" s="15"/>
      <c r="IFG232" s="15"/>
      <c r="IFH232" s="15"/>
      <c r="IFI232" s="15"/>
      <c r="IFJ232" s="10"/>
      <c r="IFK232" s="10"/>
      <c r="IFL232" s="21"/>
      <c r="IFM232" s="21"/>
      <c r="IFP232" s="21"/>
      <c r="IFQ232" s="15"/>
      <c r="IFR232" s="15"/>
      <c r="IFS232" s="15"/>
      <c r="IFT232" s="15"/>
      <c r="IFU232" s="15"/>
      <c r="IFV232" s="15"/>
      <c r="IFW232" s="15"/>
      <c r="IFX232" s="15"/>
      <c r="IFY232" s="15"/>
      <c r="IFZ232" s="15"/>
      <c r="IGA232" s="10"/>
      <c r="IGB232" s="10"/>
      <c r="IGC232" s="21"/>
      <c r="IGD232" s="21"/>
      <c r="IGG232" s="21"/>
      <c r="IGH232" s="15"/>
      <c r="IGI232" s="15"/>
      <c r="IGJ232" s="15"/>
      <c r="IGK232" s="15"/>
      <c r="IGL232" s="15"/>
      <c r="IGM232" s="15"/>
      <c r="IGN232" s="15"/>
      <c r="IGO232" s="15"/>
      <c r="IGP232" s="15"/>
      <c r="IGQ232" s="15"/>
      <c r="IGR232" s="10"/>
      <c r="IGS232" s="10"/>
      <c r="IGT232" s="21"/>
      <c r="IGU232" s="21"/>
      <c r="IGX232" s="21"/>
      <c r="IGY232" s="15"/>
      <c r="IGZ232" s="15"/>
      <c r="IHA232" s="15"/>
      <c r="IHB232" s="15"/>
      <c r="IHC232" s="15"/>
      <c r="IHD232" s="15"/>
      <c r="IHE232" s="15"/>
      <c r="IHF232" s="15"/>
      <c r="IHG232" s="15"/>
      <c r="IHH232" s="15"/>
      <c r="IHI232" s="10"/>
      <c r="IHJ232" s="10"/>
      <c r="IHK232" s="21"/>
      <c r="IHL232" s="21"/>
      <c r="IHO232" s="21"/>
      <c r="IHP232" s="15"/>
      <c r="IHQ232" s="15"/>
      <c r="IHR232" s="15"/>
      <c r="IHS232" s="15"/>
      <c r="IHT232" s="15"/>
      <c r="IHU232" s="15"/>
      <c r="IHV232" s="15"/>
      <c r="IHW232" s="15"/>
      <c r="IHX232" s="15"/>
      <c r="IHY232" s="15"/>
      <c r="IHZ232" s="10"/>
      <c r="IIA232" s="10"/>
      <c r="IIB232" s="21"/>
      <c r="IIC232" s="21"/>
      <c r="IIF232" s="21"/>
      <c r="IIG232" s="15"/>
      <c r="IIH232" s="15"/>
      <c r="III232" s="15"/>
      <c r="IIJ232" s="15"/>
      <c r="IIK232" s="15"/>
      <c r="IIL232" s="15"/>
      <c r="IIM232" s="15"/>
      <c r="IIN232" s="15"/>
      <c r="IIO232" s="15"/>
      <c r="IIP232" s="15"/>
      <c r="IIQ232" s="10"/>
      <c r="IIR232" s="10"/>
      <c r="IIS232" s="21"/>
      <c r="IIT232" s="21"/>
      <c r="IIW232" s="21"/>
      <c r="IIX232" s="15"/>
      <c r="IIY232" s="15"/>
      <c r="IIZ232" s="15"/>
      <c r="IJA232" s="15"/>
      <c r="IJB232" s="15"/>
      <c r="IJC232" s="15"/>
      <c r="IJD232" s="15"/>
      <c r="IJE232" s="15"/>
      <c r="IJF232" s="15"/>
      <c r="IJG232" s="15"/>
      <c r="IJH232" s="10"/>
      <c r="IJI232" s="10"/>
      <c r="IJJ232" s="21"/>
      <c r="IJK232" s="21"/>
      <c r="IJN232" s="21"/>
      <c r="IJO232" s="15"/>
      <c r="IJP232" s="15"/>
      <c r="IJQ232" s="15"/>
      <c r="IJR232" s="15"/>
      <c r="IJS232" s="15"/>
      <c r="IJT232" s="15"/>
      <c r="IJU232" s="15"/>
      <c r="IJV232" s="15"/>
      <c r="IJW232" s="15"/>
      <c r="IJX232" s="15"/>
      <c r="IJY232" s="10"/>
      <c r="IJZ232" s="10"/>
      <c r="IKA232" s="21"/>
      <c r="IKB232" s="21"/>
      <c r="IKE232" s="21"/>
      <c r="IKF232" s="15"/>
      <c r="IKG232" s="15"/>
      <c r="IKH232" s="15"/>
      <c r="IKI232" s="15"/>
      <c r="IKJ232" s="15"/>
      <c r="IKK232" s="15"/>
      <c r="IKL232" s="15"/>
      <c r="IKM232" s="15"/>
      <c r="IKN232" s="15"/>
      <c r="IKO232" s="15"/>
      <c r="IKP232" s="10"/>
      <c r="IKQ232" s="10"/>
      <c r="IKR232" s="21"/>
      <c r="IKS232" s="21"/>
      <c r="IKV232" s="21"/>
      <c r="IKW232" s="15"/>
      <c r="IKX232" s="15"/>
      <c r="IKY232" s="15"/>
      <c r="IKZ232" s="15"/>
      <c r="ILA232" s="15"/>
      <c r="ILB232" s="15"/>
      <c r="ILC232" s="15"/>
      <c r="ILD232" s="15"/>
      <c r="ILE232" s="15"/>
      <c r="ILF232" s="15"/>
      <c r="ILG232" s="10"/>
      <c r="ILH232" s="10"/>
      <c r="ILI232" s="21"/>
      <c r="ILJ232" s="21"/>
      <c r="ILM232" s="21"/>
      <c r="ILN232" s="15"/>
      <c r="ILO232" s="15"/>
      <c r="ILP232" s="15"/>
      <c r="ILQ232" s="15"/>
      <c r="ILR232" s="15"/>
      <c r="ILS232" s="15"/>
      <c r="ILT232" s="15"/>
      <c r="ILU232" s="15"/>
      <c r="ILV232" s="15"/>
      <c r="ILW232" s="15"/>
      <c r="ILX232" s="10"/>
      <c r="ILY232" s="10"/>
      <c r="ILZ232" s="21"/>
      <c r="IMA232" s="21"/>
      <c r="IMD232" s="21"/>
      <c r="IME232" s="15"/>
      <c r="IMF232" s="15"/>
      <c r="IMG232" s="15"/>
      <c r="IMH232" s="15"/>
      <c r="IMI232" s="15"/>
      <c r="IMJ232" s="15"/>
      <c r="IMK232" s="15"/>
      <c r="IML232" s="15"/>
      <c r="IMM232" s="15"/>
      <c r="IMN232" s="15"/>
      <c r="IMO232" s="10"/>
      <c r="IMP232" s="10"/>
      <c r="IMQ232" s="21"/>
      <c r="IMR232" s="21"/>
      <c r="IMU232" s="21"/>
      <c r="IMV232" s="15"/>
      <c r="IMW232" s="15"/>
      <c r="IMX232" s="15"/>
      <c r="IMY232" s="15"/>
      <c r="IMZ232" s="15"/>
      <c r="INA232" s="15"/>
      <c r="INB232" s="15"/>
      <c r="INC232" s="15"/>
      <c r="IND232" s="15"/>
      <c r="INE232" s="15"/>
      <c r="INF232" s="10"/>
      <c r="ING232" s="10"/>
      <c r="INH232" s="21"/>
      <c r="INI232" s="21"/>
      <c r="INL232" s="21"/>
      <c r="INM232" s="15"/>
      <c r="INN232" s="15"/>
      <c r="INO232" s="15"/>
      <c r="INP232" s="15"/>
      <c r="INQ232" s="15"/>
      <c r="INR232" s="15"/>
      <c r="INS232" s="15"/>
      <c r="INT232" s="15"/>
      <c r="INU232" s="15"/>
      <c r="INV232" s="15"/>
      <c r="INW232" s="10"/>
      <c r="INX232" s="10"/>
      <c r="INY232" s="21"/>
      <c r="INZ232" s="21"/>
      <c r="IOC232" s="21"/>
      <c r="IOD232" s="15"/>
      <c r="IOE232" s="15"/>
      <c r="IOF232" s="15"/>
      <c r="IOG232" s="15"/>
      <c r="IOH232" s="15"/>
      <c r="IOI232" s="15"/>
      <c r="IOJ232" s="15"/>
      <c r="IOK232" s="15"/>
      <c r="IOL232" s="15"/>
      <c r="IOM232" s="15"/>
      <c r="ION232" s="10"/>
      <c r="IOO232" s="10"/>
      <c r="IOP232" s="21"/>
      <c r="IOQ232" s="21"/>
      <c r="IOT232" s="21"/>
      <c r="IOU232" s="15"/>
      <c r="IOV232" s="15"/>
      <c r="IOW232" s="15"/>
      <c r="IOX232" s="15"/>
      <c r="IOY232" s="15"/>
      <c r="IOZ232" s="15"/>
      <c r="IPA232" s="15"/>
      <c r="IPB232" s="15"/>
      <c r="IPC232" s="15"/>
      <c r="IPD232" s="15"/>
      <c r="IPE232" s="10"/>
      <c r="IPF232" s="10"/>
      <c r="IPG232" s="21"/>
      <c r="IPH232" s="21"/>
      <c r="IPK232" s="21"/>
      <c r="IPL232" s="15"/>
      <c r="IPM232" s="15"/>
      <c r="IPN232" s="15"/>
      <c r="IPO232" s="15"/>
      <c r="IPP232" s="15"/>
      <c r="IPQ232" s="15"/>
      <c r="IPR232" s="15"/>
      <c r="IPS232" s="15"/>
      <c r="IPT232" s="15"/>
      <c r="IPU232" s="15"/>
      <c r="IPV232" s="10"/>
      <c r="IPW232" s="10"/>
      <c r="IPX232" s="21"/>
      <c r="IPY232" s="21"/>
      <c r="IQB232" s="21"/>
      <c r="IQC232" s="15"/>
      <c r="IQD232" s="15"/>
      <c r="IQE232" s="15"/>
      <c r="IQF232" s="15"/>
      <c r="IQG232" s="15"/>
      <c r="IQH232" s="15"/>
      <c r="IQI232" s="15"/>
      <c r="IQJ232" s="15"/>
      <c r="IQK232" s="15"/>
      <c r="IQL232" s="15"/>
      <c r="IQM232" s="10"/>
      <c r="IQN232" s="10"/>
      <c r="IQO232" s="21"/>
      <c r="IQP232" s="21"/>
      <c r="IQS232" s="21"/>
      <c r="IQT232" s="15"/>
      <c r="IQU232" s="15"/>
      <c r="IQV232" s="15"/>
      <c r="IQW232" s="15"/>
      <c r="IQX232" s="15"/>
      <c r="IQY232" s="15"/>
      <c r="IQZ232" s="15"/>
      <c r="IRA232" s="15"/>
      <c r="IRB232" s="15"/>
      <c r="IRC232" s="15"/>
      <c r="IRD232" s="10"/>
      <c r="IRE232" s="10"/>
      <c r="IRF232" s="21"/>
      <c r="IRG232" s="21"/>
      <c r="IRJ232" s="21"/>
      <c r="IRK232" s="15"/>
      <c r="IRL232" s="15"/>
      <c r="IRM232" s="15"/>
      <c r="IRN232" s="15"/>
      <c r="IRO232" s="15"/>
      <c r="IRP232" s="15"/>
      <c r="IRQ232" s="15"/>
      <c r="IRR232" s="15"/>
      <c r="IRS232" s="15"/>
      <c r="IRT232" s="15"/>
      <c r="IRU232" s="10"/>
      <c r="IRV232" s="10"/>
      <c r="IRW232" s="21"/>
      <c r="IRX232" s="21"/>
      <c r="ISA232" s="21"/>
      <c r="ISB232" s="15"/>
      <c r="ISC232" s="15"/>
      <c r="ISD232" s="15"/>
      <c r="ISE232" s="15"/>
      <c r="ISF232" s="15"/>
      <c r="ISG232" s="15"/>
      <c r="ISH232" s="15"/>
      <c r="ISI232" s="15"/>
      <c r="ISJ232" s="15"/>
      <c r="ISK232" s="15"/>
      <c r="ISL232" s="10"/>
      <c r="ISM232" s="10"/>
      <c r="ISN232" s="21"/>
      <c r="ISO232" s="21"/>
      <c r="ISR232" s="21"/>
      <c r="ISS232" s="15"/>
      <c r="IST232" s="15"/>
      <c r="ISU232" s="15"/>
      <c r="ISV232" s="15"/>
      <c r="ISW232" s="15"/>
      <c r="ISX232" s="15"/>
      <c r="ISY232" s="15"/>
      <c r="ISZ232" s="15"/>
      <c r="ITA232" s="15"/>
      <c r="ITB232" s="15"/>
      <c r="ITC232" s="10"/>
      <c r="ITD232" s="10"/>
      <c r="ITE232" s="21"/>
      <c r="ITF232" s="21"/>
      <c r="ITI232" s="21"/>
      <c r="ITJ232" s="15"/>
      <c r="ITK232" s="15"/>
      <c r="ITL232" s="15"/>
      <c r="ITM232" s="15"/>
      <c r="ITN232" s="15"/>
      <c r="ITO232" s="15"/>
      <c r="ITP232" s="15"/>
      <c r="ITQ232" s="15"/>
      <c r="ITR232" s="15"/>
      <c r="ITS232" s="15"/>
      <c r="ITT232" s="10"/>
      <c r="ITU232" s="10"/>
      <c r="ITV232" s="21"/>
      <c r="ITW232" s="21"/>
      <c r="ITZ232" s="21"/>
      <c r="IUA232" s="15"/>
      <c r="IUB232" s="15"/>
      <c r="IUC232" s="15"/>
      <c r="IUD232" s="15"/>
      <c r="IUE232" s="15"/>
      <c r="IUF232" s="15"/>
      <c r="IUG232" s="15"/>
      <c r="IUH232" s="15"/>
      <c r="IUI232" s="15"/>
      <c r="IUJ232" s="15"/>
      <c r="IUK232" s="10"/>
      <c r="IUL232" s="10"/>
      <c r="IUM232" s="21"/>
      <c r="IUN232" s="21"/>
      <c r="IUQ232" s="21"/>
      <c r="IUR232" s="15"/>
      <c r="IUS232" s="15"/>
      <c r="IUT232" s="15"/>
      <c r="IUU232" s="15"/>
      <c r="IUV232" s="15"/>
      <c r="IUW232" s="15"/>
      <c r="IUX232" s="15"/>
      <c r="IUY232" s="15"/>
      <c r="IUZ232" s="15"/>
      <c r="IVA232" s="15"/>
      <c r="IVB232" s="10"/>
      <c r="IVC232" s="10"/>
      <c r="IVD232" s="21"/>
      <c r="IVE232" s="21"/>
      <c r="IVH232" s="21"/>
      <c r="IVI232" s="15"/>
      <c r="IVJ232" s="15"/>
      <c r="IVK232" s="15"/>
      <c r="IVL232" s="15"/>
      <c r="IVM232" s="15"/>
      <c r="IVN232" s="15"/>
      <c r="IVO232" s="15"/>
      <c r="IVP232" s="15"/>
      <c r="IVQ232" s="15"/>
      <c r="IVR232" s="15"/>
      <c r="IVS232" s="10"/>
      <c r="IVT232" s="10"/>
      <c r="IVU232" s="21"/>
      <c r="IVV232" s="21"/>
      <c r="IVY232" s="21"/>
      <c r="IVZ232" s="15"/>
      <c r="IWA232" s="15"/>
      <c r="IWB232" s="15"/>
      <c r="IWC232" s="15"/>
      <c r="IWD232" s="15"/>
      <c r="IWE232" s="15"/>
      <c r="IWF232" s="15"/>
      <c r="IWG232" s="15"/>
      <c r="IWH232" s="15"/>
      <c r="IWI232" s="15"/>
      <c r="IWJ232" s="10"/>
      <c r="IWK232" s="10"/>
      <c r="IWL232" s="21"/>
      <c r="IWM232" s="21"/>
      <c r="IWP232" s="21"/>
      <c r="IWQ232" s="15"/>
      <c r="IWR232" s="15"/>
      <c r="IWS232" s="15"/>
      <c r="IWT232" s="15"/>
      <c r="IWU232" s="15"/>
      <c r="IWV232" s="15"/>
      <c r="IWW232" s="15"/>
      <c r="IWX232" s="15"/>
      <c r="IWY232" s="15"/>
      <c r="IWZ232" s="15"/>
      <c r="IXA232" s="10"/>
      <c r="IXB232" s="10"/>
      <c r="IXC232" s="21"/>
      <c r="IXD232" s="21"/>
      <c r="IXG232" s="21"/>
      <c r="IXH232" s="15"/>
      <c r="IXI232" s="15"/>
      <c r="IXJ232" s="15"/>
      <c r="IXK232" s="15"/>
      <c r="IXL232" s="15"/>
      <c r="IXM232" s="15"/>
      <c r="IXN232" s="15"/>
      <c r="IXO232" s="15"/>
      <c r="IXP232" s="15"/>
      <c r="IXQ232" s="15"/>
      <c r="IXR232" s="10"/>
      <c r="IXS232" s="10"/>
      <c r="IXT232" s="21"/>
      <c r="IXU232" s="21"/>
      <c r="IXX232" s="21"/>
      <c r="IXY232" s="15"/>
      <c r="IXZ232" s="15"/>
      <c r="IYA232" s="15"/>
      <c r="IYB232" s="15"/>
      <c r="IYC232" s="15"/>
      <c r="IYD232" s="15"/>
      <c r="IYE232" s="15"/>
      <c r="IYF232" s="15"/>
      <c r="IYG232" s="15"/>
      <c r="IYH232" s="15"/>
      <c r="IYI232" s="10"/>
      <c r="IYJ232" s="10"/>
      <c r="IYK232" s="21"/>
      <c r="IYL232" s="21"/>
      <c r="IYO232" s="21"/>
      <c r="IYP232" s="15"/>
      <c r="IYQ232" s="15"/>
      <c r="IYR232" s="15"/>
      <c r="IYS232" s="15"/>
      <c r="IYT232" s="15"/>
      <c r="IYU232" s="15"/>
      <c r="IYV232" s="15"/>
      <c r="IYW232" s="15"/>
      <c r="IYX232" s="15"/>
      <c r="IYY232" s="15"/>
      <c r="IYZ232" s="10"/>
      <c r="IZA232" s="10"/>
      <c r="IZB232" s="21"/>
      <c r="IZC232" s="21"/>
      <c r="IZF232" s="21"/>
      <c r="IZG232" s="15"/>
      <c r="IZH232" s="15"/>
      <c r="IZI232" s="15"/>
      <c r="IZJ232" s="15"/>
      <c r="IZK232" s="15"/>
      <c r="IZL232" s="15"/>
      <c r="IZM232" s="15"/>
      <c r="IZN232" s="15"/>
      <c r="IZO232" s="15"/>
      <c r="IZP232" s="15"/>
      <c r="IZQ232" s="10"/>
      <c r="IZR232" s="10"/>
      <c r="IZS232" s="21"/>
      <c r="IZT232" s="21"/>
      <c r="IZW232" s="21"/>
      <c r="IZX232" s="15"/>
      <c r="IZY232" s="15"/>
      <c r="IZZ232" s="15"/>
      <c r="JAA232" s="15"/>
      <c r="JAB232" s="15"/>
      <c r="JAC232" s="15"/>
      <c r="JAD232" s="15"/>
      <c r="JAE232" s="15"/>
      <c r="JAF232" s="15"/>
      <c r="JAG232" s="15"/>
      <c r="JAH232" s="10"/>
      <c r="JAI232" s="10"/>
      <c r="JAJ232" s="21"/>
      <c r="JAK232" s="21"/>
      <c r="JAN232" s="21"/>
      <c r="JAO232" s="15"/>
      <c r="JAP232" s="15"/>
      <c r="JAQ232" s="15"/>
      <c r="JAR232" s="15"/>
      <c r="JAS232" s="15"/>
      <c r="JAT232" s="15"/>
      <c r="JAU232" s="15"/>
      <c r="JAV232" s="15"/>
      <c r="JAW232" s="15"/>
      <c r="JAX232" s="15"/>
      <c r="JAY232" s="10"/>
      <c r="JAZ232" s="10"/>
      <c r="JBA232" s="21"/>
      <c r="JBB232" s="21"/>
      <c r="JBE232" s="21"/>
      <c r="JBF232" s="15"/>
      <c r="JBG232" s="15"/>
      <c r="JBH232" s="15"/>
      <c r="JBI232" s="15"/>
      <c r="JBJ232" s="15"/>
      <c r="JBK232" s="15"/>
      <c r="JBL232" s="15"/>
      <c r="JBM232" s="15"/>
      <c r="JBN232" s="15"/>
      <c r="JBO232" s="15"/>
      <c r="JBP232" s="10"/>
      <c r="JBQ232" s="10"/>
      <c r="JBR232" s="21"/>
      <c r="JBS232" s="21"/>
      <c r="JBV232" s="21"/>
      <c r="JBW232" s="15"/>
      <c r="JBX232" s="15"/>
      <c r="JBY232" s="15"/>
      <c r="JBZ232" s="15"/>
      <c r="JCA232" s="15"/>
      <c r="JCB232" s="15"/>
      <c r="JCC232" s="15"/>
      <c r="JCD232" s="15"/>
      <c r="JCE232" s="15"/>
      <c r="JCF232" s="15"/>
      <c r="JCG232" s="10"/>
      <c r="JCH232" s="10"/>
      <c r="JCI232" s="21"/>
      <c r="JCJ232" s="21"/>
      <c r="JCM232" s="21"/>
      <c r="JCN232" s="15"/>
      <c r="JCO232" s="15"/>
      <c r="JCP232" s="15"/>
      <c r="JCQ232" s="15"/>
      <c r="JCR232" s="15"/>
      <c r="JCS232" s="15"/>
      <c r="JCT232" s="15"/>
      <c r="JCU232" s="15"/>
      <c r="JCV232" s="15"/>
      <c r="JCW232" s="15"/>
      <c r="JCX232" s="10"/>
      <c r="JCY232" s="10"/>
      <c r="JCZ232" s="21"/>
      <c r="JDA232" s="21"/>
      <c r="JDD232" s="21"/>
      <c r="JDE232" s="15"/>
      <c r="JDF232" s="15"/>
      <c r="JDG232" s="15"/>
      <c r="JDH232" s="15"/>
      <c r="JDI232" s="15"/>
      <c r="JDJ232" s="15"/>
      <c r="JDK232" s="15"/>
      <c r="JDL232" s="15"/>
      <c r="JDM232" s="15"/>
      <c r="JDN232" s="15"/>
      <c r="JDO232" s="10"/>
      <c r="JDP232" s="10"/>
      <c r="JDQ232" s="21"/>
      <c r="JDR232" s="21"/>
      <c r="JDU232" s="21"/>
      <c r="JDV232" s="15"/>
      <c r="JDW232" s="15"/>
      <c r="JDX232" s="15"/>
      <c r="JDY232" s="15"/>
      <c r="JDZ232" s="15"/>
      <c r="JEA232" s="15"/>
      <c r="JEB232" s="15"/>
      <c r="JEC232" s="15"/>
      <c r="JED232" s="15"/>
      <c r="JEE232" s="15"/>
      <c r="JEF232" s="10"/>
      <c r="JEG232" s="10"/>
      <c r="JEH232" s="21"/>
      <c r="JEI232" s="21"/>
      <c r="JEL232" s="21"/>
      <c r="JEM232" s="15"/>
      <c r="JEN232" s="15"/>
      <c r="JEO232" s="15"/>
      <c r="JEP232" s="15"/>
      <c r="JEQ232" s="15"/>
      <c r="JER232" s="15"/>
      <c r="JES232" s="15"/>
      <c r="JET232" s="15"/>
      <c r="JEU232" s="15"/>
      <c r="JEV232" s="15"/>
      <c r="JEW232" s="10"/>
      <c r="JEX232" s="10"/>
      <c r="JEY232" s="21"/>
      <c r="JEZ232" s="21"/>
      <c r="JFC232" s="21"/>
      <c r="JFD232" s="15"/>
      <c r="JFE232" s="15"/>
      <c r="JFF232" s="15"/>
      <c r="JFG232" s="15"/>
      <c r="JFH232" s="15"/>
      <c r="JFI232" s="15"/>
      <c r="JFJ232" s="15"/>
      <c r="JFK232" s="15"/>
      <c r="JFL232" s="15"/>
      <c r="JFM232" s="15"/>
      <c r="JFN232" s="10"/>
      <c r="JFO232" s="10"/>
      <c r="JFP232" s="21"/>
      <c r="JFQ232" s="21"/>
      <c r="JFT232" s="21"/>
      <c r="JFU232" s="15"/>
      <c r="JFV232" s="15"/>
      <c r="JFW232" s="15"/>
      <c r="JFX232" s="15"/>
      <c r="JFY232" s="15"/>
      <c r="JFZ232" s="15"/>
      <c r="JGA232" s="15"/>
      <c r="JGB232" s="15"/>
      <c r="JGC232" s="15"/>
      <c r="JGD232" s="15"/>
      <c r="JGE232" s="10"/>
      <c r="JGF232" s="10"/>
      <c r="JGG232" s="21"/>
      <c r="JGH232" s="21"/>
      <c r="JGK232" s="21"/>
      <c r="JGL232" s="15"/>
      <c r="JGM232" s="15"/>
      <c r="JGN232" s="15"/>
      <c r="JGO232" s="15"/>
      <c r="JGP232" s="15"/>
      <c r="JGQ232" s="15"/>
      <c r="JGR232" s="15"/>
      <c r="JGS232" s="15"/>
      <c r="JGT232" s="15"/>
      <c r="JGU232" s="15"/>
      <c r="JGV232" s="10"/>
      <c r="JGW232" s="10"/>
      <c r="JGX232" s="21"/>
      <c r="JGY232" s="21"/>
      <c r="JHB232" s="21"/>
      <c r="JHC232" s="15"/>
      <c r="JHD232" s="15"/>
      <c r="JHE232" s="15"/>
      <c r="JHF232" s="15"/>
      <c r="JHG232" s="15"/>
      <c r="JHH232" s="15"/>
      <c r="JHI232" s="15"/>
      <c r="JHJ232" s="15"/>
      <c r="JHK232" s="15"/>
      <c r="JHL232" s="15"/>
      <c r="JHM232" s="10"/>
      <c r="JHN232" s="10"/>
      <c r="JHO232" s="21"/>
      <c r="JHP232" s="21"/>
      <c r="JHS232" s="21"/>
      <c r="JHT232" s="15"/>
      <c r="JHU232" s="15"/>
      <c r="JHV232" s="15"/>
      <c r="JHW232" s="15"/>
      <c r="JHX232" s="15"/>
      <c r="JHY232" s="15"/>
      <c r="JHZ232" s="15"/>
      <c r="JIA232" s="15"/>
      <c r="JIB232" s="15"/>
      <c r="JIC232" s="15"/>
      <c r="JID232" s="10"/>
      <c r="JIE232" s="10"/>
      <c r="JIF232" s="21"/>
      <c r="JIG232" s="21"/>
      <c r="JIJ232" s="21"/>
      <c r="JIK232" s="15"/>
      <c r="JIL232" s="15"/>
      <c r="JIM232" s="15"/>
      <c r="JIN232" s="15"/>
      <c r="JIO232" s="15"/>
      <c r="JIP232" s="15"/>
      <c r="JIQ232" s="15"/>
      <c r="JIR232" s="15"/>
      <c r="JIS232" s="15"/>
      <c r="JIT232" s="15"/>
      <c r="JIU232" s="10"/>
      <c r="JIV232" s="10"/>
      <c r="JIW232" s="21"/>
      <c r="JIX232" s="21"/>
      <c r="JJA232" s="21"/>
      <c r="JJB232" s="15"/>
      <c r="JJC232" s="15"/>
      <c r="JJD232" s="15"/>
      <c r="JJE232" s="15"/>
      <c r="JJF232" s="15"/>
      <c r="JJG232" s="15"/>
      <c r="JJH232" s="15"/>
      <c r="JJI232" s="15"/>
      <c r="JJJ232" s="15"/>
      <c r="JJK232" s="15"/>
      <c r="JJL232" s="10"/>
      <c r="JJM232" s="10"/>
      <c r="JJN232" s="21"/>
      <c r="JJO232" s="21"/>
      <c r="JJR232" s="21"/>
      <c r="JJS232" s="15"/>
      <c r="JJT232" s="15"/>
      <c r="JJU232" s="15"/>
      <c r="JJV232" s="15"/>
      <c r="JJW232" s="15"/>
      <c r="JJX232" s="15"/>
      <c r="JJY232" s="15"/>
      <c r="JJZ232" s="15"/>
      <c r="JKA232" s="15"/>
      <c r="JKB232" s="15"/>
      <c r="JKC232" s="10"/>
      <c r="JKD232" s="10"/>
      <c r="JKE232" s="21"/>
      <c r="JKF232" s="21"/>
      <c r="JKI232" s="21"/>
      <c r="JKJ232" s="15"/>
      <c r="JKK232" s="15"/>
      <c r="JKL232" s="15"/>
      <c r="JKM232" s="15"/>
      <c r="JKN232" s="15"/>
      <c r="JKO232" s="15"/>
      <c r="JKP232" s="15"/>
      <c r="JKQ232" s="15"/>
      <c r="JKR232" s="15"/>
      <c r="JKS232" s="15"/>
      <c r="JKT232" s="10"/>
      <c r="JKU232" s="10"/>
      <c r="JKV232" s="21"/>
      <c r="JKW232" s="21"/>
      <c r="JKZ232" s="21"/>
      <c r="JLA232" s="15"/>
      <c r="JLB232" s="15"/>
      <c r="JLC232" s="15"/>
      <c r="JLD232" s="15"/>
      <c r="JLE232" s="15"/>
      <c r="JLF232" s="15"/>
      <c r="JLG232" s="15"/>
      <c r="JLH232" s="15"/>
      <c r="JLI232" s="15"/>
      <c r="JLJ232" s="15"/>
      <c r="JLK232" s="10"/>
      <c r="JLL232" s="10"/>
      <c r="JLM232" s="21"/>
      <c r="JLN232" s="21"/>
      <c r="JLQ232" s="21"/>
      <c r="JLR232" s="15"/>
      <c r="JLS232" s="15"/>
      <c r="JLT232" s="15"/>
      <c r="JLU232" s="15"/>
      <c r="JLV232" s="15"/>
      <c r="JLW232" s="15"/>
      <c r="JLX232" s="15"/>
      <c r="JLY232" s="15"/>
      <c r="JLZ232" s="15"/>
      <c r="JMA232" s="15"/>
      <c r="JMB232" s="10"/>
      <c r="JMC232" s="10"/>
      <c r="JMD232" s="21"/>
      <c r="JME232" s="21"/>
      <c r="JMH232" s="21"/>
      <c r="JMI232" s="15"/>
      <c r="JMJ232" s="15"/>
      <c r="JMK232" s="15"/>
      <c r="JML232" s="15"/>
      <c r="JMM232" s="15"/>
      <c r="JMN232" s="15"/>
      <c r="JMO232" s="15"/>
      <c r="JMP232" s="15"/>
      <c r="JMQ232" s="15"/>
      <c r="JMR232" s="15"/>
      <c r="JMS232" s="10"/>
      <c r="JMT232" s="10"/>
      <c r="JMU232" s="21"/>
      <c r="JMV232" s="21"/>
      <c r="JMY232" s="21"/>
      <c r="JMZ232" s="15"/>
      <c r="JNA232" s="15"/>
      <c r="JNB232" s="15"/>
      <c r="JNC232" s="15"/>
      <c r="JND232" s="15"/>
      <c r="JNE232" s="15"/>
      <c r="JNF232" s="15"/>
      <c r="JNG232" s="15"/>
      <c r="JNH232" s="15"/>
      <c r="JNI232" s="15"/>
      <c r="JNJ232" s="10"/>
      <c r="JNK232" s="10"/>
      <c r="JNL232" s="21"/>
      <c r="JNM232" s="21"/>
      <c r="JNP232" s="21"/>
      <c r="JNQ232" s="15"/>
      <c r="JNR232" s="15"/>
      <c r="JNS232" s="15"/>
      <c r="JNT232" s="15"/>
      <c r="JNU232" s="15"/>
      <c r="JNV232" s="15"/>
      <c r="JNW232" s="15"/>
      <c r="JNX232" s="15"/>
      <c r="JNY232" s="15"/>
      <c r="JNZ232" s="15"/>
      <c r="JOA232" s="10"/>
      <c r="JOB232" s="10"/>
      <c r="JOC232" s="21"/>
      <c r="JOD232" s="21"/>
      <c r="JOG232" s="21"/>
      <c r="JOH232" s="15"/>
      <c r="JOI232" s="15"/>
      <c r="JOJ232" s="15"/>
      <c r="JOK232" s="15"/>
      <c r="JOL232" s="15"/>
      <c r="JOM232" s="15"/>
      <c r="JON232" s="15"/>
      <c r="JOO232" s="15"/>
      <c r="JOP232" s="15"/>
      <c r="JOQ232" s="15"/>
      <c r="JOR232" s="10"/>
      <c r="JOS232" s="10"/>
      <c r="JOT232" s="21"/>
      <c r="JOU232" s="21"/>
      <c r="JOX232" s="21"/>
      <c r="JOY232" s="15"/>
      <c r="JOZ232" s="15"/>
      <c r="JPA232" s="15"/>
      <c r="JPB232" s="15"/>
      <c r="JPC232" s="15"/>
      <c r="JPD232" s="15"/>
      <c r="JPE232" s="15"/>
      <c r="JPF232" s="15"/>
      <c r="JPG232" s="15"/>
      <c r="JPH232" s="15"/>
      <c r="JPI232" s="10"/>
      <c r="JPJ232" s="10"/>
      <c r="JPK232" s="21"/>
      <c r="JPL232" s="21"/>
      <c r="JPO232" s="21"/>
      <c r="JPP232" s="15"/>
      <c r="JPQ232" s="15"/>
      <c r="JPR232" s="15"/>
      <c r="JPS232" s="15"/>
      <c r="JPT232" s="15"/>
      <c r="JPU232" s="15"/>
      <c r="JPV232" s="15"/>
      <c r="JPW232" s="15"/>
      <c r="JPX232" s="15"/>
      <c r="JPY232" s="15"/>
      <c r="JPZ232" s="10"/>
      <c r="JQA232" s="10"/>
      <c r="JQB232" s="21"/>
      <c r="JQC232" s="21"/>
      <c r="JQF232" s="21"/>
      <c r="JQG232" s="15"/>
      <c r="JQH232" s="15"/>
      <c r="JQI232" s="15"/>
      <c r="JQJ232" s="15"/>
      <c r="JQK232" s="15"/>
      <c r="JQL232" s="15"/>
      <c r="JQM232" s="15"/>
      <c r="JQN232" s="15"/>
      <c r="JQO232" s="15"/>
      <c r="JQP232" s="15"/>
      <c r="JQQ232" s="10"/>
      <c r="JQR232" s="10"/>
      <c r="JQS232" s="21"/>
      <c r="JQT232" s="21"/>
      <c r="JQW232" s="21"/>
      <c r="JQX232" s="15"/>
      <c r="JQY232" s="15"/>
      <c r="JQZ232" s="15"/>
      <c r="JRA232" s="15"/>
      <c r="JRB232" s="15"/>
      <c r="JRC232" s="15"/>
      <c r="JRD232" s="15"/>
      <c r="JRE232" s="15"/>
      <c r="JRF232" s="15"/>
      <c r="JRG232" s="15"/>
      <c r="JRH232" s="10"/>
      <c r="JRI232" s="10"/>
      <c r="JRJ232" s="21"/>
      <c r="JRK232" s="21"/>
      <c r="JRN232" s="21"/>
      <c r="JRO232" s="15"/>
      <c r="JRP232" s="15"/>
      <c r="JRQ232" s="15"/>
      <c r="JRR232" s="15"/>
      <c r="JRS232" s="15"/>
      <c r="JRT232" s="15"/>
      <c r="JRU232" s="15"/>
      <c r="JRV232" s="15"/>
      <c r="JRW232" s="15"/>
      <c r="JRX232" s="15"/>
      <c r="JRY232" s="10"/>
      <c r="JRZ232" s="10"/>
      <c r="JSA232" s="21"/>
      <c r="JSB232" s="21"/>
      <c r="JSE232" s="21"/>
      <c r="JSF232" s="15"/>
      <c r="JSG232" s="15"/>
      <c r="JSH232" s="15"/>
      <c r="JSI232" s="15"/>
      <c r="JSJ232" s="15"/>
      <c r="JSK232" s="15"/>
      <c r="JSL232" s="15"/>
      <c r="JSM232" s="15"/>
      <c r="JSN232" s="15"/>
      <c r="JSO232" s="15"/>
      <c r="JSP232" s="10"/>
      <c r="JSQ232" s="10"/>
      <c r="JSR232" s="21"/>
      <c r="JSS232" s="21"/>
      <c r="JSV232" s="21"/>
      <c r="JSW232" s="15"/>
      <c r="JSX232" s="15"/>
      <c r="JSY232" s="15"/>
      <c r="JSZ232" s="15"/>
      <c r="JTA232" s="15"/>
      <c r="JTB232" s="15"/>
      <c r="JTC232" s="15"/>
      <c r="JTD232" s="15"/>
      <c r="JTE232" s="15"/>
      <c r="JTF232" s="15"/>
      <c r="JTG232" s="10"/>
      <c r="JTH232" s="10"/>
      <c r="JTI232" s="21"/>
      <c r="JTJ232" s="21"/>
      <c r="JTM232" s="21"/>
      <c r="JTN232" s="15"/>
      <c r="JTO232" s="15"/>
      <c r="JTP232" s="15"/>
      <c r="JTQ232" s="15"/>
      <c r="JTR232" s="15"/>
      <c r="JTS232" s="15"/>
      <c r="JTT232" s="15"/>
      <c r="JTU232" s="15"/>
      <c r="JTV232" s="15"/>
      <c r="JTW232" s="15"/>
      <c r="JTX232" s="10"/>
      <c r="JTY232" s="10"/>
      <c r="JTZ232" s="21"/>
      <c r="JUA232" s="21"/>
      <c r="JUD232" s="21"/>
      <c r="JUE232" s="15"/>
      <c r="JUF232" s="15"/>
      <c r="JUG232" s="15"/>
      <c r="JUH232" s="15"/>
      <c r="JUI232" s="15"/>
      <c r="JUJ232" s="15"/>
      <c r="JUK232" s="15"/>
      <c r="JUL232" s="15"/>
      <c r="JUM232" s="15"/>
      <c r="JUN232" s="15"/>
      <c r="JUO232" s="10"/>
      <c r="JUP232" s="10"/>
      <c r="JUQ232" s="21"/>
      <c r="JUR232" s="21"/>
      <c r="JUU232" s="21"/>
      <c r="JUV232" s="15"/>
      <c r="JUW232" s="15"/>
      <c r="JUX232" s="15"/>
      <c r="JUY232" s="15"/>
      <c r="JUZ232" s="15"/>
      <c r="JVA232" s="15"/>
      <c r="JVB232" s="15"/>
      <c r="JVC232" s="15"/>
      <c r="JVD232" s="15"/>
      <c r="JVE232" s="15"/>
      <c r="JVF232" s="10"/>
      <c r="JVG232" s="10"/>
      <c r="JVH232" s="21"/>
      <c r="JVI232" s="21"/>
      <c r="JVL232" s="21"/>
      <c r="JVM232" s="15"/>
      <c r="JVN232" s="15"/>
      <c r="JVO232" s="15"/>
      <c r="JVP232" s="15"/>
      <c r="JVQ232" s="15"/>
      <c r="JVR232" s="15"/>
      <c r="JVS232" s="15"/>
      <c r="JVT232" s="15"/>
      <c r="JVU232" s="15"/>
      <c r="JVV232" s="15"/>
      <c r="JVW232" s="10"/>
      <c r="JVX232" s="10"/>
      <c r="JVY232" s="21"/>
      <c r="JVZ232" s="21"/>
      <c r="JWC232" s="21"/>
      <c r="JWD232" s="15"/>
      <c r="JWE232" s="15"/>
      <c r="JWF232" s="15"/>
      <c r="JWG232" s="15"/>
      <c r="JWH232" s="15"/>
      <c r="JWI232" s="15"/>
      <c r="JWJ232" s="15"/>
      <c r="JWK232" s="15"/>
      <c r="JWL232" s="15"/>
      <c r="JWM232" s="15"/>
      <c r="JWN232" s="10"/>
      <c r="JWO232" s="10"/>
      <c r="JWP232" s="21"/>
      <c r="JWQ232" s="21"/>
      <c r="JWT232" s="21"/>
      <c r="JWU232" s="15"/>
      <c r="JWV232" s="15"/>
      <c r="JWW232" s="15"/>
      <c r="JWX232" s="15"/>
      <c r="JWY232" s="15"/>
      <c r="JWZ232" s="15"/>
      <c r="JXA232" s="15"/>
      <c r="JXB232" s="15"/>
      <c r="JXC232" s="15"/>
      <c r="JXD232" s="15"/>
      <c r="JXE232" s="10"/>
      <c r="JXF232" s="10"/>
      <c r="JXG232" s="21"/>
      <c r="JXH232" s="21"/>
      <c r="JXK232" s="21"/>
      <c r="JXL232" s="15"/>
      <c r="JXM232" s="15"/>
      <c r="JXN232" s="15"/>
      <c r="JXO232" s="15"/>
      <c r="JXP232" s="15"/>
      <c r="JXQ232" s="15"/>
      <c r="JXR232" s="15"/>
      <c r="JXS232" s="15"/>
      <c r="JXT232" s="15"/>
      <c r="JXU232" s="15"/>
      <c r="JXV232" s="10"/>
      <c r="JXW232" s="10"/>
      <c r="JXX232" s="21"/>
      <c r="JXY232" s="21"/>
      <c r="JYB232" s="21"/>
      <c r="JYC232" s="15"/>
      <c r="JYD232" s="15"/>
      <c r="JYE232" s="15"/>
      <c r="JYF232" s="15"/>
      <c r="JYG232" s="15"/>
      <c r="JYH232" s="15"/>
      <c r="JYI232" s="15"/>
      <c r="JYJ232" s="15"/>
      <c r="JYK232" s="15"/>
      <c r="JYL232" s="15"/>
      <c r="JYM232" s="10"/>
      <c r="JYN232" s="10"/>
      <c r="JYO232" s="21"/>
      <c r="JYP232" s="21"/>
      <c r="JYS232" s="21"/>
      <c r="JYT232" s="15"/>
      <c r="JYU232" s="15"/>
      <c r="JYV232" s="15"/>
      <c r="JYW232" s="15"/>
      <c r="JYX232" s="15"/>
      <c r="JYY232" s="15"/>
      <c r="JYZ232" s="15"/>
      <c r="JZA232" s="15"/>
      <c r="JZB232" s="15"/>
      <c r="JZC232" s="15"/>
      <c r="JZD232" s="10"/>
      <c r="JZE232" s="10"/>
      <c r="JZF232" s="21"/>
      <c r="JZG232" s="21"/>
      <c r="JZJ232" s="21"/>
      <c r="JZK232" s="15"/>
      <c r="JZL232" s="15"/>
      <c r="JZM232" s="15"/>
      <c r="JZN232" s="15"/>
      <c r="JZO232" s="15"/>
      <c r="JZP232" s="15"/>
      <c r="JZQ232" s="15"/>
      <c r="JZR232" s="15"/>
      <c r="JZS232" s="15"/>
      <c r="JZT232" s="15"/>
      <c r="JZU232" s="10"/>
      <c r="JZV232" s="10"/>
      <c r="JZW232" s="21"/>
      <c r="JZX232" s="21"/>
      <c r="KAA232" s="21"/>
      <c r="KAB232" s="15"/>
      <c r="KAC232" s="15"/>
      <c r="KAD232" s="15"/>
      <c r="KAE232" s="15"/>
      <c r="KAF232" s="15"/>
      <c r="KAG232" s="15"/>
      <c r="KAH232" s="15"/>
      <c r="KAI232" s="15"/>
      <c r="KAJ232" s="15"/>
      <c r="KAK232" s="15"/>
      <c r="KAL232" s="10"/>
      <c r="KAM232" s="10"/>
      <c r="KAN232" s="21"/>
      <c r="KAO232" s="21"/>
      <c r="KAR232" s="21"/>
      <c r="KAS232" s="15"/>
      <c r="KAT232" s="15"/>
      <c r="KAU232" s="15"/>
      <c r="KAV232" s="15"/>
      <c r="KAW232" s="15"/>
      <c r="KAX232" s="15"/>
      <c r="KAY232" s="15"/>
      <c r="KAZ232" s="15"/>
      <c r="KBA232" s="15"/>
      <c r="KBB232" s="15"/>
      <c r="KBC232" s="10"/>
      <c r="KBD232" s="10"/>
      <c r="KBE232" s="21"/>
      <c r="KBF232" s="21"/>
      <c r="KBI232" s="21"/>
      <c r="KBJ232" s="15"/>
      <c r="KBK232" s="15"/>
      <c r="KBL232" s="15"/>
      <c r="KBM232" s="15"/>
      <c r="KBN232" s="15"/>
      <c r="KBO232" s="15"/>
      <c r="KBP232" s="15"/>
      <c r="KBQ232" s="15"/>
      <c r="KBR232" s="15"/>
      <c r="KBS232" s="15"/>
      <c r="KBT232" s="10"/>
      <c r="KBU232" s="10"/>
      <c r="KBV232" s="21"/>
      <c r="KBW232" s="21"/>
      <c r="KBZ232" s="21"/>
      <c r="KCA232" s="15"/>
      <c r="KCB232" s="15"/>
      <c r="KCC232" s="15"/>
      <c r="KCD232" s="15"/>
      <c r="KCE232" s="15"/>
      <c r="KCF232" s="15"/>
      <c r="KCG232" s="15"/>
      <c r="KCH232" s="15"/>
      <c r="KCI232" s="15"/>
      <c r="KCJ232" s="15"/>
      <c r="KCK232" s="10"/>
      <c r="KCL232" s="10"/>
      <c r="KCM232" s="21"/>
      <c r="KCN232" s="21"/>
      <c r="KCQ232" s="21"/>
      <c r="KCR232" s="15"/>
      <c r="KCS232" s="15"/>
      <c r="KCT232" s="15"/>
      <c r="KCU232" s="15"/>
      <c r="KCV232" s="15"/>
      <c r="KCW232" s="15"/>
      <c r="KCX232" s="15"/>
      <c r="KCY232" s="15"/>
      <c r="KCZ232" s="15"/>
      <c r="KDA232" s="15"/>
      <c r="KDB232" s="10"/>
      <c r="KDC232" s="10"/>
      <c r="KDD232" s="21"/>
      <c r="KDE232" s="21"/>
      <c r="KDH232" s="21"/>
      <c r="KDI232" s="15"/>
      <c r="KDJ232" s="15"/>
      <c r="KDK232" s="15"/>
      <c r="KDL232" s="15"/>
      <c r="KDM232" s="15"/>
      <c r="KDN232" s="15"/>
      <c r="KDO232" s="15"/>
      <c r="KDP232" s="15"/>
      <c r="KDQ232" s="15"/>
      <c r="KDR232" s="15"/>
      <c r="KDS232" s="10"/>
      <c r="KDT232" s="10"/>
      <c r="KDU232" s="21"/>
      <c r="KDV232" s="21"/>
      <c r="KDY232" s="21"/>
      <c r="KDZ232" s="15"/>
      <c r="KEA232" s="15"/>
      <c r="KEB232" s="15"/>
      <c r="KEC232" s="15"/>
      <c r="KED232" s="15"/>
      <c r="KEE232" s="15"/>
      <c r="KEF232" s="15"/>
      <c r="KEG232" s="15"/>
      <c r="KEH232" s="15"/>
      <c r="KEI232" s="15"/>
      <c r="KEJ232" s="10"/>
      <c r="KEK232" s="10"/>
      <c r="KEL232" s="21"/>
      <c r="KEM232" s="21"/>
      <c r="KEP232" s="21"/>
      <c r="KEQ232" s="15"/>
      <c r="KER232" s="15"/>
      <c r="KES232" s="15"/>
      <c r="KET232" s="15"/>
      <c r="KEU232" s="15"/>
      <c r="KEV232" s="15"/>
      <c r="KEW232" s="15"/>
      <c r="KEX232" s="15"/>
      <c r="KEY232" s="15"/>
      <c r="KEZ232" s="15"/>
      <c r="KFA232" s="10"/>
      <c r="KFB232" s="10"/>
      <c r="KFC232" s="21"/>
      <c r="KFD232" s="21"/>
      <c r="KFG232" s="21"/>
      <c r="KFH232" s="15"/>
      <c r="KFI232" s="15"/>
      <c r="KFJ232" s="15"/>
      <c r="KFK232" s="15"/>
      <c r="KFL232" s="15"/>
      <c r="KFM232" s="15"/>
      <c r="KFN232" s="15"/>
      <c r="KFO232" s="15"/>
      <c r="KFP232" s="15"/>
      <c r="KFQ232" s="15"/>
      <c r="KFR232" s="10"/>
      <c r="KFS232" s="10"/>
      <c r="KFT232" s="21"/>
      <c r="KFU232" s="21"/>
      <c r="KFX232" s="21"/>
      <c r="KFY232" s="15"/>
      <c r="KFZ232" s="15"/>
      <c r="KGA232" s="15"/>
      <c r="KGB232" s="15"/>
      <c r="KGC232" s="15"/>
      <c r="KGD232" s="15"/>
      <c r="KGE232" s="15"/>
      <c r="KGF232" s="15"/>
      <c r="KGG232" s="15"/>
      <c r="KGH232" s="15"/>
      <c r="KGI232" s="10"/>
      <c r="KGJ232" s="10"/>
      <c r="KGK232" s="21"/>
      <c r="KGL232" s="21"/>
      <c r="KGO232" s="21"/>
      <c r="KGP232" s="15"/>
      <c r="KGQ232" s="15"/>
      <c r="KGR232" s="15"/>
      <c r="KGS232" s="15"/>
      <c r="KGT232" s="15"/>
      <c r="KGU232" s="15"/>
      <c r="KGV232" s="15"/>
      <c r="KGW232" s="15"/>
      <c r="KGX232" s="15"/>
      <c r="KGY232" s="15"/>
      <c r="KGZ232" s="10"/>
      <c r="KHA232" s="10"/>
      <c r="KHB232" s="21"/>
      <c r="KHC232" s="21"/>
      <c r="KHF232" s="21"/>
      <c r="KHG232" s="15"/>
      <c r="KHH232" s="15"/>
      <c r="KHI232" s="15"/>
      <c r="KHJ232" s="15"/>
      <c r="KHK232" s="15"/>
      <c r="KHL232" s="15"/>
      <c r="KHM232" s="15"/>
      <c r="KHN232" s="15"/>
      <c r="KHO232" s="15"/>
      <c r="KHP232" s="15"/>
      <c r="KHQ232" s="10"/>
      <c r="KHR232" s="10"/>
      <c r="KHS232" s="21"/>
      <c r="KHT232" s="21"/>
      <c r="KHW232" s="21"/>
      <c r="KHX232" s="15"/>
      <c r="KHY232" s="15"/>
      <c r="KHZ232" s="15"/>
      <c r="KIA232" s="15"/>
      <c r="KIB232" s="15"/>
      <c r="KIC232" s="15"/>
      <c r="KID232" s="15"/>
      <c r="KIE232" s="15"/>
      <c r="KIF232" s="15"/>
      <c r="KIG232" s="15"/>
      <c r="KIH232" s="10"/>
      <c r="KII232" s="10"/>
      <c r="KIJ232" s="21"/>
      <c r="KIK232" s="21"/>
      <c r="KIN232" s="21"/>
      <c r="KIO232" s="15"/>
      <c r="KIP232" s="15"/>
      <c r="KIQ232" s="15"/>
      <c r="KIR232" s="15"/>
      <c r="KIS232" s="15"/>
      <c r="KIT232" s="15"/>
      <c r="KIU232" s="15"/>
      <c r="KIV232" s="15"/>
      <c r="KIW232" s="15"/>
      <c r="KIX232" s="15"/>
      <c r="KIY232" s="10"/>
      <c r="KIZ232" s="10"/>
      <c r="KJA232" s="21"/>
      <c r="KJB232" s="21"/>
      <c r="KJE232" s="21"/>
      <c r="KJF232" s="15"/>
      <c r="KJG232" s="15"/>
      <c r="KJH232" s="15"/>
      <c r="KJI232" s="15"/>
      <c r="KJJ232" s="15"/>
      <c r="KJK232" s="15"/>
      <c r="KJL232" s="15"/>
      <c r="KJM232" s="15"/>
      <c r="KJN232" s="15"/>
      <c r="KJO232" s="15"/>
      <c r="KJP232" s="10"/>
      <c r="KJQ232" s="10"/>
      <c r="KJR232" s="21"/>
      <c r="KJS232" s="21"/>
      <c r="KJV232" s="21"/>
      <c r="KJW232" s="15"/>
      <c r="KJX232" s="15"/>
      <c r="KJY232" s="15"/>
      <c r="KJZ232" s="15"/>
      <c r="KKA232" s="15"/>
      <c r="KKB232" s="15"/>
      <c r="KKC232" s="15"/>
      <c r="KKD232" s="15"/>
      <c r="KKE232" s="15"/>
      <c r="KKF232" s="15"/>
      <c r="KKG232" s="10"/>
      <c r="KKH232" s="10"/>
      <c r="KKI232" s="21"/>
      <c r="KKJ232" s="21"/>
      <c r="KKM232" s="21"/>
      <c r="KKN232" s="15"/>
      <c r="KKO232" s="15"/>
      <c r="KKP232" s="15"/>
      <c r="KKQ232" s="15"/>
      <c r="KKR232" s="15"/>
      <c r="KKS232" s="15"/>
      <c r="KKT232" s="15"/>
      <c r="KKU232" s="15"/>
      <c r="KKV232" s="15"/>
      <c r="KKW232" s="15"/>
      <c r="KKX232" s="10"/>
      <c r="KKY232" s="10"/>
      <c r="KKZ232" s="21"/>
      <c r="KLA232" s="21"/>
      <c r="KLD232" s="21"/>
      <c r="KLE232" s="15"/>
      <c r="KLF232" s="15"/>
      <c r="KLG232" s="15"/>
      <c r="KLH232" s="15"/>
      <c r="KLI232" s="15"/>
      <c r="KLJ232" s="15"/>
      <c r="KLK232" s="15"/>
      <c r="KLL232" s="15"/>
      <c r="KLM232" s="15"/>
      <c r="KLN232" s="15"/>
      <c r="KLO232" s="10"/>
      <c r="KLP232" s="10"/>
      <c r="KLQ232" s="21"/>
      <c r="KLR232" s="21"/>
      <c r="KLU232" s="21"/>
      <c r="KLV232" s="15"/>
      <c r="KLW232" s="15"/>
      <c r="KLX232" s="15"/>
      <c r="KLY232" s="15"/>
      <c r="KLZ232" s="15"/>
      <c r="KMA232" s="15"/>
      <c r="KMB232" s="15"/>
      <c r="KMC232" s="15"/>
      <c r="KMD232" s="15"/>
      <c r="KME232" s="15"/>
      <c r="KMF232" s="10"/>
      <c r="KMG232" s="10"/>
      <c r="KMH232" s="21"/>
      <c r="KMI232" s="21"/>
      <c r="KML232" s="21"/>
      <c r="KMM232" s="15"/>
      <c r="KMN232" s="15"/>
      <c r="KMO232" s="15"/>
      <c r="KMP232" s="15"/>
      <c r="KMQ232" s="15"/>
      <c r="KMR232" s="15"/>
      <c r="KMS232" s="15"/>
      <c r="KMT232" s="15"/>
      <c r="KMU232" s="15"/>
      <c r="KMV232" s="15"/>
      <c r="KMW232" s="10"/>
      <c r="KMX232" s="10"/>
      <c r="KMY232" s="21"/>
      <c r="KMZ232" s="21"/>
      <c r="KNC232" s="21"/>
      <c r="KND232" s="15"/>
      <c r="KNE232" s="15"/>
      <c r="KNF232" s="15"/>
      <c r="KNG232" s="15"/>
      <c r="KNH232" s="15"/>
      <c r="KNI232" s="15"/>
      <c r="KNJ232" s="15"/>
      <c r="KNK232" s="15"/>
      <c r="KNL232" s="15"/>
      <c r="KNM232" s="15"/>
      <c r="KNN232" s="10"/>
      <c r="KNO232" s="10"/>
      <c r="KNP232" s="21"/>
      <c r="KNQ232" s="21"/>
      <c r="KNT232" s="21"/>
      <c r="KNU232" s="15"/>
      <c r="KNV232" s="15"/>
      <c r="KNW232" s="15"/>
      <c r="KNX232" s="15"/>
      <c r="KNY232" s="15"/>
      <c r="KNZ232" s="15"/>
      <c r="KOA232" s="15"/>
      <c r="KOB232" s="15"/>
      <c r="KOC232" s="15"/>
      <c r="KOD232" s="15"/>
      <c r="KOE232" s="10"/>
      <c r="KOF232" s="10"/>
      <c r="KOG232" s="21"/>
      <c r="KOH232" s="21"/>
      <c r="KOK232" s="21"/>
      <c r="KOL232" s="15"/>
      <c r="KOM232" s="15"/>
      <c r="KON232" s="15"/>
      <c r="KOO232" s="15"/>
      <c r="KOP232" s="15"/>
      <c r="KOQ232" s="15"/>
      <c r="KOR232" s="15"/>
      <c r="KOS232" s="15"/>
      <c r="KOT232" s="15"/>
      <c r="KOU232" s="15"/>
      <c r="KOV232" s="10"/>
      <c r="KOW232" s="10"/>
      <c r="KOX232" s="21"/>
      <c r="KOY232" s="21"/>
      <c r="KPB232" s="21"/>
      <c r="KPC232" s="15"/>
      <c r="KPD232" s="15"/>
      <c r="KPE232" s="15"/>
      <c r="KPF232" s="15"/>
      <c r="KPG232" s="15"/>
      <c r="KPH232" s="15"/>
      <c r="KPI232" s="15"/>
      <c r="KPJ232" s="15"/>
      <c r="KPK232" s="15"/>
      <c r="KPL232" s="15"/>
      <c r="KPM232" s="10"/>
      <c r="KPN232" s="10"/>
      <c r="KPO232" s="21"/>
      <c r="KPP232" s="21"/>
      <c r="KPS232" s="21"/>
      <c r="KPT232" s="15"/>
      <c r="KPU232" s="15"/>
      <c r="KPV232" s="15"/>
      <c r="KPW232" s="15"/>
      <c r="KPX232" s="15"/>
      <c r="KPY232" s="15"/>
      <c r="KPZ232" s="15"/>
      <c r="KQA232" s="15"/>
      <c r="KQB232" s="15"/>
      <c r="KQC232" s="15"/>
      <c r="KQD232" s="10"/>
      <c r="KQE232" s="10"/>
      <c r="KQF232" s="21"/>
      <c r="KQG232" s="21"/>
      <c r="KQJ232" s="21"/>
      <c r="KQK232" s="15"/>
      <c r="KQL232" s="15"/>
      <c r="KQM232" s="15"/>
      <c r="KQN232" s="15"/>
      <c r="KQO232" s="15"/>
      <c r="KQP232" s="15"/>
      <c r="KQQ232" s="15"/>
      <c r="KQR232" s="15"/>
      <c r="KQS232" s="15"/>
      <c r="KQT232" s="15"/>
      <c r="KQU232" s="10"/>
      <c r="KQV232" s="10"/>
      <c r="KQW232" s="21"/>
      <c r="KQX232" s="21"/>
      <c r="KRA232" s="21"/>
      <c r="KRB232" s="15"/>
      <c r="KRC232" s="15"/>
      <c r="KRD232" s="15"/>
      <c r="KRE232" s="15"/>
      <c r="KRF232" s="15"/>
      <c r="KRG232" s="15"/>
      <c r="KRH232" s="15"/>
      <c r="KRI232" s="15"/>
      <c r="KRJ232" s="15"/>
      <c r="KRK232" s="15"/>
      <c r="KRL232" s="10"/>
      <c r="KRM232" s="10"/>
      <c r="KRN232" s="21"/>
      <c r="KRO232" s="21"/>
      <c r="KRR232" s="21"/>
      <c r="KRS232" s="15"/>
      <c r="KRT232" s="15"/>
      <c r="KRU232" s="15"/>
      <c r="KRV232" s="15"/>
      <c r="KRW232" s="15"/>
      <c r="KRX232" s="15"/>
      <c r="KRY232" s="15"/>
      <c r="KRZ232" s="15"/>
      <c r="KSA232" s="15"/>
      <c r="KSB232" s="15"/>
      <c r="KSC232" s="10"/>
      <c r="KSD232" s="10"/>
      <c r="KSE232" s="21"/>
      <c r="KSF232" s="21"/>
      <c r="KSI232" s="21"/>
      <c r="KSJ232" s="15"/>
      <c r="KSK232" s="15"/>
      <c r="KSL232" s="15"/>
      <c r="KSM232" s="15"/>
      <c r="KSN232" s="15"/>
      <c r="KSO232" s="15"/>
      <c r="KSP232" s="15"/>
      <c r="KSQ232" s="15"/>
      <c r="KSR232" s="15"/>
      <c r="KSS232" s="15"/>
      <c r="KST232" s="10"/>
      <c r="KSU232" s="10"/>
      <c r="KSV232" s="21"/>
      <c r="KSW232" s="21"/>
      <c r="KSZ232" s="21"/>
      <c r="KTA232" s="15"/>
      <c r="KTB232" s="15"/>
      <c r="KTC232" s="15"/>
      <c r="KTD232" s="15"/>
      <c r="KTE232" s="15"/>
      <c r="KTF232" s="15"/>
      <c r="KTG232" s="15"/>
      <c r="KTH232" s="15"/>
      <c r="KTI232" s="15"/>
      <c r="KTJ232" s="15"/>
      <c r="KTK232" s="10"/>
      <c r="KTL232" s="10"/>
      <c r="KTM232" s="21"/>
      <c r="KTN232" s="21"/>
      <c r="KTQ232" s="21"/>
      <c r="KTR232" s="15"/>
      <c r="KTS232" s="15"/>
      <c r="KTT232" s="15"/>
      <c r="KTU232" s="15"/>
      <c r="KTV232" s="15"/>
      <c r="KTW232" s="15"/>
      <c r="KTX232" s="15"/>
      <c r="KTY232" s="15"/>
      <c r="KTZ232" s="15"/>
      <c r="KUA232" s="15"/>
      <c r="KUB232" s="10"/>
      <c r="KUC232" s="10"/>
      <c r="KUD232" s="21"/>
      <c r="KUE232" s="21"/>
      <c r="KUH232" s="21"/>
      <c r="KUI232" s="15"/>
      <c r="KUJ232" s="15"/>
      <c r="KUK232" s="15"/>
      <c r="KUL232" s="15"/>
      <c r="KUM232" s="15"/>
      <c r="KUN232" s="15"/>
      <c r="KUO232" s="15"/>
      <c r="KUP232" s="15"/>
      <c r="KUQ232" s="15"/>
      <c r="KUR232" s="15"/>
      <c r="KUS232" s="10"/>
      <c r="KUT232" s="10"/>
      <c r="KUU232" s="21"/>
      <c r="KUV232" s="21"/>
      <c r="KUY232" s="21"/>
      <c r="KUZ232" s="15"/>
      <c r="KVA232" s="15"/>
      <c r="KVB232" s="15"/>
      <c r="KVC232" s="15"/>
      <c r="KVD232" s="15"/>
      <c r="KVE232" s="15"/>
      <c r="KVF232" s="15"/>
      <c r="KVG232" s="15"/>
      <c r="KVH232" s="15"/>
      <c r="KVI232" s="15"/>
      <c r="KVJ232" s="10"/>
      <c r="KVK232" s="10"/>
      <c r="KVL232" s="21"/>
      <c r="KVM232" s="21"/>
      <c r="KVP232" s="21"/>
      <c r="KVQ232" s="15"/>
      <c r="KVR232" s="15"/>
      <c r="KVS232" s="15"/>
      <c r="KVT232" s="15"/>
      <c r="KVU232" s="15"/>
      <c r="KVV232" s="15"/>
      <c r="KVW232" s="15"/>
      <c r="KVX232" s="15"/>
      <c r="KVY232" s="15"/>
      <c r="KVZ232" s="15"/>
      <c r="KWA232" s="10"/>
      <c r="KWB232" s="10"/>
      <c r="KWC232" s="21"/>
      <c r="KWD232" s="21"/>
      <c r="KWG232" s="21"/>
      <c r="KWH232" s="15"/>
      <c r="KWI232" s="15"/>
      <c r="KWJ232" s="15"/>
      <c r="KWK232" s="15"/>
      <c r="KWL232" s="15"/>
      <c r="KWM232" s="15"/>
      <c r="KWN232" s="15"/>
      <c r="KWO232" s="15"/>
      <c r="KWP232" s="15"/>
      <c r="KWQ232" s="15"/>
      <c r="KWR232" s="10"/>
      <c r="KWS232" s="10"/>
      <c r="KWT232" s="21"/>
      <c r="KWU232" s="21"/>
      <c r="KWX232" s="21"/>
      <c r="KWY232" s="15"/>
      <c r="KWZ232" s="15"/>
      <c r="KXA232" s="15"/>
      <c r="KXB232" s="15"/>
      <c r="KXC232" s="15"/>
      <c r="KXD232" s="15"/>
      <c r="KXE232" s="15"/>
      <c r="KXF232" s="15"/>
      <c r="KXG232" s="15"/>
      <c r="KXH232" s="15"/>
      <c r="KXI232" s="10"/>
      <c r="KXJ232" s="10"/>
      <c r="KXK232" s="21"/>
      <c r="KXL232" s="21"/>
      <c r="KXO232" s="21"/>
      <c r="KXP232" s="15"/>
      <c r="KXQ232" s="15"/>
      <c r="KXR232" s="15"/>
      <c r="KXS232" s="15"/>
      <c r="KXT232" s="15"/>
      <c r="KXU232" s="15"/>
      <c r="KXV232" s="15"/>
      <c r="KXW232" s="15"/>
      <c r="KXX232" s="15"/>
      <c r="KXY232" s="15"/>
      <c r="KXZ232" s="10"/>
      <c r="KYA232" s="10"/>
      <c r="KYB232" s="21"/>
      <c r="KYC232" s="21"/>
      <c r="KYF232" s="21"/>
      <c r="KYG232" s="15"/>
      <c r="KYH232" s="15"/>
      <c r="KYI232" s="15"/>
      <c r="KYJ232" s="15"/>
      <c r="KYK232" s="15"/>
      <c r="KYL232" s="15"/>
      <c r="KYM232" s="15"/>
      <c r="KYN232" s="15"/>
      <c r="KYO232" s="15"/>
      <c r="KYP232" s="15"/>
      <c r="KYQ232" s="10"/>
      <c r="KYR232" s="10"/>
      <c r="KYS232" s="21"/>
      <c r="KYT232" s="21"/>
      <c r="KYW232" s="21"/>
      <c r="KYX232" s="15"/>
      <c r="KYY232" s="15"/>
      <c r="KYZ232" s="15"/>
      <c r="KZA232" s="15"/>
      <c r="KZB232" s="15"/>
      <c r="KZC232" s="15"/>
      <c r="KZD232" s="15"/>
      <c r="KZE232" s="15"/>
      <c r="KZF232" s="15"/>
      <c r="KZG232" s="15"/>
      <c r="KZH232" s="10"/>
      <c r="KZI232" s="10"/>
      <c r="KZJ232" s="21"/>
      <c r="KZK232" s="21"/>
      <c r="KZN232" s="21"/>
      <c r="KZO232" s="15"/>
      <c r="KZP232" s="15"/>
      <c r="KZQ232" s="15"/>
      <c r="KZR232" s="15"/>
      <c r="KZS232" s="15"/>
      <c r="KZT232" s="15"/>
      <c r="KZU232" s="15"/>
      <c r="KZV232" s="15"/>
      <c r="KZW232" s="15"/>
      <c r="KZX232" s="15"/>
      <c r="KZY232" s="10"/>
      <c r="KZZ232" s="10"/>
      <c r="LAA232" s="21"/>
      <c r="LAB232" s="21"/>
      <c r="LAE232" s="21"/>
      <c r="LAF232" s="15"/>
      <c r="LAG232" s="15"/>
      <c r="LAH232" s="15"/>
      <c r="LAI232" s="15"/>
      <c r="LAJ232" s="15"/>
      <c r="LAK232" s="15"/>
      <c r="LAL232" s="15"/>
      <c r="LAM232" s="15"/>
      <c r="LAN232" s="15"/>
      <c r="LAO232" s="15"/>
      <c r="LAP232" s="10"/>
      <c r="LAQ232" s="10"/>
      <c r="LAR232" s="21"/>
      <c r="LAS232" s="21"/>
      <c r="LAV232" s="21"/>
      <c r="LAW232" s="15"/>
      <c r="LAX232" s="15"/>
      <c r="LAY232" s="15"/>
      <c r="LAZ232" s="15"/>
      <c r="LBA232" s="15"/>
      <c r="LBB232" s="15"/>
      <c r="LBC232" s="15"/>
      <c r="LBD232" s="15"/>
      <c r="LBE232" s="15"/>
      <c r="LBF232" s="15"/>
      <c r="LBG232" s="10"/>
      <c r="LBH232" s="10"/>
      <c r="LBI232" s="21"/>
      <c r="LBJ232" s="21"/>
      <c r="LBM232" s="21"/>
      <c r="LBN232" s="15"/>
      <c r="LBO232" s="15"/>
      <c r="LBP232" s="15"/>
      <c r="LBQ232" s="15"/>
      <c r="LBR232" s="15"/>
      <c r="LBS232" s="15"/>
      <c r="LBT232" s="15"/>
      <c r="LBU232" s="15"/>
      <c r="LBV232" s="15"/>
      <c r="LBW232" s="15"/>
      <c r="LBX232" s="10"/>
      <c r="LBY232" s="10"/>
      <c r="LBZ232" s="21"/>
      <c r="LCA232" s="21"/>
      <c r="LCD232" s="21"/>
      <c r="LCE232" s="15"/>
      <c r="LCF232" s="15"/>
      <c r="LCG232" s="15"/>
      <c r="LCH232" s="15"/>
      <c r="LCI232" s="15"/>
      <c r="LCJ232" s="15"/>
      <c r="LCK232" s="15"/>
      <c r="LCL232" s="15"/>
      <c r="LCM232" s="15"/>
      <c r="LCN232" s="15"/>
      <c r="LCO232" s="10"/>
      <c r="LCP232" s="10"/>
      <c r="LCQ232" s="21"/>
      <c r="LCR232" s="21"/>
      <c r="LCU232" s="21"/>
      <c r="LCV232" s="15"/>
      <c r="LCW232" s="15"/>
      <c r="LCX232" s="15"/>
      <c r="LCY232" s="15"/>
      <c r="LCZ232" s="15"/>
      <c r="LDA232" s="15"/>
      <c r="LDB232" s="15"/>
      <c r="LDC232" s="15"/>
      <c r="LDD232" s="15"/>
      <c r="LDE232" s="15"/>
      <c r="LDF232" s="10"/>
      <c r="LDG232" s="10"/>
      <c r="LDH232" s="21"/>
      <c r="LDI232" s="21"/>
      <c r="LDL232" s="21"/>
      <c r="LDM232" s="15"/>
      <c r="LDN232" s="15"/>
      <c r="LDO232" s="15"/>
      <c r="LDP232" s="15"/>
      <c r="LDQ232" s="15"/>
      <c r="LDR232" s="15"/>
      <c r="LDS232" s="15"/>
      <c r="LDT232" s="15"/>
      <c r="LDU232" s="15"/>
      <c r="LDV232" s="15"/>
      <c r="LDW232" s="10"/>
      <c r="LDX232" s="10"/>
      <c r="LDY232" s="21"/>
      <c r="LDZ232" s="21"/>
      <c r="LEC232" s="21"/>
      <c r="LED232" s="15"/>
      <c r="LEE232" s="15"/>
      <c r="LEF232" s="15"/>
      <c r="LEG232" s="15"/>
      <c r="LEH232" s="15"/>
      <c r="LEI232" s="15"/>
      <c r="LEJ232" s="15"/>
      <c r="LEK232" s="15"/>
      <c r="LEL232" s="15"/>
      <c r="LEM232" s="15"/>
      <c r="LEN232" s="10"/>
      <c r="LEO232" s="10"/>
      <c r="LEP232" s="21"/>
      <c r="LEQ232" s="21"/>
      <c r="LET232" s="21"/>
      <c r="LEU232" s="15"/>
      <c r="LEV232" s="15"/>
      <c r="LEW232" s="15"/>
      <c r="LEX232" s="15"/>
      <c r="LEY232" s="15"/>
      <c r="LEZ232" s="15"/>
      <c r="LFA232" s="15"/>
      <c r="LFB232" s="15"/>
      <c r="LFC232" s="15"/>
      <c r="LFD232" s="15"/>
      <c r="LFE232" s="10"/>
      <c r="LFF232" s="10"/>
      <c r="LFG232" s="21"/>
      <c r="LFH232" s="21"/>
      <c r="LFK232" s="21"/>
      <c r="LFL232" s="15"/>
      <c r="LFM232" s="15"/>
      <c r="LFN232" s="15"/>
      <c r="LFO232" s="15"/>
      <c r="LFP232" s="15"/>
      <c r="LFQ232" s="15"/>
      <c r="LFR232" s="15"/>
      <c r="LFS232" s="15"/>
      <c r="LFT232" s="15"/>
      <c r="LFU232" s="15"/>
      <c r="LFV232" s="10"/>
      <c r="LFW232" s="10"/>
      <c r="LFX232" s="21"/>
      <c r="LFY232" s="21"/>
      <c r="LGB232" s="21"/>
      <c r="LGC232" s="15"/>
      <c r="LGD232" s="15"/>
      <c r="LGE232" s="15"/>
      <c r="LGF232" s="15"/>
      <c r="LGG232" s="15"/>
      <c r="LGH232" s="15"/>
      <c r="LGI232" s="15"/>
      <c r="LGJ232" s="15"/>
      <c r="LGK232" s="15"/>
      <c r="LGL232" s="15"/>
      <c r="LGM232" s="10"/>
      <c r="LGN232" s="10"/>
      <c r="LGO232" s="21"/>
      <c r="LGP232" s="21"/>
      <c r="LGS232" s="21"/>
      <c r="LGT232" s="15"/>
      <c r="LGU232" s="15"/>
      <c r="LGV232" s="15"/>
      <c r="LGW232" s="15"/>
      <c r="LGX232" s="15"/>
      <c r="LGY232" s="15"/>
      <c r="LGZ232" s="15"/>
      <c r="LHA232" s="15"/>
      <c r="LHB232" s="15"/>
      <c r="LHC232" s="15"/>
      <c r="LHD232" s="10"/>
      <c r="LHE232" s="10"/>
      <c r="LHF232" s="21"/>
      <c r="LHG232" s="21"/>
      <c r="LHJ232" s="21"/>
      <c r="LHK232" s="15"/>
      <c r="LHL232" s="15"/>
      <c r="LHM232" s="15"/>
      <c r="LHN232" s="15"/>
      <c r="LHO232" s="15"/>
      <c r="LHP232" s="15"/>
      <c r="LHQ232" s="15"/>
      <c r="LHR232" s="15"/>
      <c r="LHS232" s="15"/>
      <c r="LHT232" s="15"/>
      <c r="LHU232" s="10"/>
      <c r="LHV232" s="10"/>
      <c r="LHW232" s="21"/>
      <c r="LHX232" s="21"/>
      <c r="LIA232" s="21"/>
      <c r="LIB232" s="15"/>
      <c r="LIC232" s="15"/>
      <c r="LID232" s="15"/>
      <c r="LIE232" s="15"/>
      <c r="LIF232" s="15"/>
      <c r="LIG232" s="15"/>
      <c r="LIH232" s="15"/>
      <c r="LII232" s="15"/>
      <c r="LIJ232" s="15"/>
      <c r="LIK232" s="15"/>
      <c r="LIL232" s="10"/>
      <c r="LIM232" s="10"/>
      <c r="LIN232" s="21"/>
      <c r="LIO232" s="21"/>
      <c r="LIR232" s="21"/>
      <c r="LIS232" s="15"/>
      <c r="LIT232" s="15"/>
      <c r="LIU232" s="15"/>
      <c r="LIV232" s="15"/>
      <c r="LIW232" s="15"/>
      <c r="LIX232" s="15"/>
      <c r="LIY232" s="15"/>
      <c r="LIZ232" s="15"/>
      <c r="LJA232" s="15"/>
      <c r="LJB232" s="15"/>
      <c r="LJC232" s="10"/>
      <c r="LJD232" s="10"/>
      <c r="LJE232" s="21"/>
      <c r="LJF232" s="21"/>
      <c r="LJI232" s="21"/>
      <c r="LJJ232" s="15"/>
      <c r="LJK232" s="15"/>
      <c r="LJL232" s="15"/>
      <c r="LJM232" s="15"/>
      <c r="LJN232" s="15"/>
      <c r="LJO232" s="15"/>
      <c r="LJP232" s="15"/>
      <c r="LJQ232" s="15"/>
      <c r="LJR232" s="15"/>
      <c r="LJS232" s="15"/>
      <c r="LJT232" s="10"/>
      <c r="LJU232" s="10"/>
      <c r="LJV232" s="21"/>
      <c r="LJW232" s="21"/>
      <c r="LJZ232" s="21"/>
      <c r="LKA232" s="15"/>
      <c r="LKB232" s="15"/>
      <c r="LKC232" s="15"/>
      <c r="LKD232" s="15"/>
      <c r="LKE232" s="15"/>
      <c r="LKF232" s="15"/>
      <c r="LKG232" s="15"/>
      <c r="LKH232" s="15"/>
      <c r="LKI232" s="15"/>
      <c r="LKJ232" s="15"/>
      <c r="LKK232" s="10"/>
      <c r="LKL232" s="10"/>
      <c r="LKM232" s="21"/>
      <c r="LKN232" s="21"/>
      <c r="LKQ232" s="21"/>
      <c r="LKR232" s="15"/>
      <c r="LKS232" s="15"/>
      <c r="LKT232" s="15"/>
      <c r="LKU232" s="15"/>
      <c r="LKV232" s="15"/>
      <c r="LKW232" s="15"/>
      <c r="LKX232" s="15"/>
      <c r="LKY232" s="15"/>
      <c r="LKZ232" s="15"/>
      <c r="LLA232" s="15"/>
      <c r="LLB232" s="10"/>
      <c r="LLC232" s="10"/>
      <c r="LLD232" s="21"/>
      <c r="LLE232" s="21"/>
      <c r="LLH232" s="21"/>
      <c r="LLI232" s="15"/>
      <c r="LLJ232" s="15"/>
      <c r="LLK232" s="15"/>
      <c r="LLL232" s="15"/>
      <c r="LLM232" s="15"/>
      <c r="LLN232" s="15"/>
      <c r="LLO232" s="15"/>
      <c r="LLP232" s="15"/>
      <c r="LLQ232" s="15"/>
      <c r="LLR232" s="15"/>
      <c r="LLS232" s="10"/>
      <c r="LLT232" s="10"/>
      <c r="LLU232" s="21"/>
      <c r="LLV232" s="21"/>
      <c r="LLY232" s="21"/>
      <c r="LLZ232" s="15"/>
      <c r="LMA232" s="15"/>
      <c r="LMB232" s="15"/>
      <c r="LMC232" s="15"/>
      <c r="LMD232" s="15"/>
      <c r="LME232" s="15"/>
      <c r="LMF232" s="15"/>
      <c r="LMG232" s="15"/>
      <c r="LMH232" s="15"/>
      <c r="LMI232" s="15"/>
      <c r="LMJ232" s="10"/>
      <c r="LMK232" s="10"/>
      <c r="LML232" s="21"/>
      <c r="LMM232" s="21"/>
      <c r="LMP232" s="21"/>
      <c r="LMQ232" s="15"/>
      <c r="LMR232" s="15"/>
      <c r="LMS232" s="15"/>
      <c r="LMT232" s="15"/>
      <c r="LMU232" s="15"/>
      <c r="LMV232" s="15"/>
      <c r="LMW232" s="15"/>
      <c r="LMX232" s="15"/>
      <c r="LMY232" s="15"/>
      <c r="LMZ232" s="15"/>
      <c r="LNA232" s="10"/>
      <c r="LNB232" s="10"/>
      <c r="LNC232" s="21"/>
      <c r="LND232" s="21"/>
      <c r="LNG232" s="21"/>
      <c r="LNH232" s="15"/>
      <c r="LNI232" s="15"/>
      <c r="LNJ232" s="15"/>
      <c r="LNK232" s="15"/>
      <c r="LNL232" s="15"/>
      <c r="LNM232" s="15"/>
      <c r="LNN232" s="15"/>
      <c r="LNO232" s="15"/>
      <c r="LNP232" s="15"/>
      <c r="LNQ232" s="15"/>
      <c r="LNR232" s="10"/>
      <c r="LNS232" s="10"/>
      <c r="LNT232" s="21"/>
      <c r="LNU232" s="21"/>
      <c r="LNX232" s="21"/>
      <c r="LNY232" s="15"/>
      <c r="LNZ232" s="15"/>
      <c r="LOA232" s="15"/>
      <c r="LOB232" s="15"/>
      <c r="LOC232" s="15"/>
      <c r="LOD232" s="15"/>
      <c r="LOE232" s="15"/>
      <c r="LOF232" s="15"/>
      <c r="LOG232" s="15"/>
      <c r="LOH232" s="15"/>
      <c r="LOI232" s="10"/>
      <c r="LOJ232" s="10"/>
      <c r="LOK232" s="21"/>
      <c r="LOL232" s="21"/>
      <c r="LOO232" s="21"/>
      <c r="LOP232" s="15"/>
      <c r="LOQ232" s="15"/>
      <c r="LOR232" s="15"/>
      <c r="LOS232" s="15"/>
      <c r="LOT232" s="15"/>
      <c r="LOU232" s="15"/>
      <c r="LOV232" s="15"/>
      <c r="LOW232" s="15"/>
      <c r="LOX232" s="15"/>
      <c r="LOY232" s="15"/>
      <c r="LOZ232" s="10"/>
      <c r="LPA232" s="10"/>
      <c r="LPB232" s="21"/>
      <c r="LPC232" s="21"/>
      <c r="LPF232" s="21"/>
      <c r="LPG232" s="15"/>
      <c r="LPH232" s="15"/>
      <c r="LPI232" s="15"/>
      <c r="LPJ232" s="15"/>
      <c r="LPK232" s="15"/>
      <c r="LPL232" s="15"/>
      <c r="LPM232" s="15"/>
      <c r="LPN232" s="15"/>
      <c r="LPO232" s="15"/>
      <c r="LPP232" s="15"/>
      <c r="LPQ232" s="10"/>
      <c r="LPR232" s="10"/>
      <c r="LPS232" s="21"/>
      <c r="LPT232" s="21"/>
      <c r="LPW232" s="21"/>
      <c r="LPX232" s="15"/>
      <c r="LPY232" s="15"/>
      <c r="LPZ232" s="15"/>
      <c r="LQA232" s="15"/>
      <c r="LQB232" s="15"/>
      <c r="LQC232" s="15"/>
      <c r="LQD232" s="15"/>
      <c r="LQE232" s="15"/>
      <c r="LQF232" s="15"/>
      <c r="LQG232" s="15"/>
      <c r="LQH232" s="10"/>
      <c r="LQI232" s="10"/>
      <c r="LQJ232" s="21"/>
      <c r="LQK232" s="21"/>
      <c r="LQN232" s="21"/>
      <c r="LQO232" s="15"/>
      <c r="LQP232" s="15"/>
      <c r="LQQ232" s="15"/>
      <c r="LQR232" s="15"/>
      <c r="LQS232" s="15"/>
      <c r="LQT232" s="15"/>
      <c r="LQU232" s="15"/>
      <c r="LQV232" s="15"/>
      <c r="LQW232" s="15"/>
      <c r="LQX232" s="15"/>
      <c r="LQY232" s="10"/>
      <c r="LQZ232" s="10"/>
      <c r="LRA232" s="21"/>
      <c r="LRB232" s="21"/>
      <c r="LRE232" s="21"/>
      <c r="LRF232" s="15"/>
      <c r="LRG232" s="15"/>
      <c r="LRH232" s="15"/>
      <c r="LRI232" s="15"/>
      <c r="LRJ232" s="15"/>
      <c r="LRK232" s="15"/>
      <c r="LRL232" s="15"/>
      <c r="LRM232" s="15"/>
      <c r="LRN232" s="15"/>
      <c r="LRO232" s="15"/>
      <c r="LRP232" s="10"/>
      <c r="LRQ232" s="10"/>
      <c r="LRR232" s="21"/>
      <c r="LRS232" s="21"/>
      <c r="LRV232" s="21"/>
      <c r="LRW232" s="15"/>
      <c r="LRX232" s="15"/>
      <c r="LRY232" s="15"/>
      <c r="LRZ232" s="15"/>
      <c r="LSA232" s="15"/>
      <c r="LSB232" s="15"/>
      <c r="LSC232" s="15"/>
      <c r="LSD232" s="15"/>
      <c r="LSE232" s="15"/>
      <c r="LSF232" s="15"/>
      <c r="LSG232" s="10"/>
      <c r="LSH232" s="10"/>
      <c r="LSI232" s="21"/>
      <c r="LSJ232" s="21"/>
      <c r="LSM232" s="21"/>
      <c r="LSN232" s="15"/>
      <c r="LSO232" s="15"/>
      <c r="LSP232" s="15"/>
      <c r="LSQ232" s="15"/>
      <c r="LSR232" s="15"/>
      <c r="LSS232" s="15"/>
      <c r="LST232" s="15"/>
      <c r="LSU232" s="15"/>
      <c r="LSV232" s="15"/>
      <c r="LSW232" s="15"/>
      <c r="LSX232" s="10"/>
      <c r="LSY232" s="10"/>
      <c r="LSZ232" s="21"/>
      <c r="LTA232" s="21"/>
      <c r="LTD232" s="21"/>
      <c r="LTE232" s="15"/>
      <c r="LTF232" s="15"/>
      <c r="LTG232" s="15"/>
      <c r="LTH232" s="15"/>
      <c r="LTI232" s="15"/>
      <c r="LTJ232" s="15"/>
      <c r="LTK232" s="15"/>
      <c r="LTL232" s="15"/>
      <c r="LTM232" s="15"/>
      <c r="LTN232" s="15"/>
      <c r="LTO232" s="10"/>
      <c r="LTP232" s="10"/>
      <c r="LTQ232" s="21"/>
      <c r="LTR232" s="21"/>
      <c r="LTU232" s="21"/>
      <c r="LTV232" s="15"/>
      <c r="LTW232" s="15"/>
      <c r="LTX232" s="15"/>
      <c r="LTY232" s="15"/>
      <c r="LTZ232" s="15"/>
      <c r="LUA232" s="15"/>
      <c r="LUB232" s="15"/>
      <c r="LUC232" s="15"/>
      <c r="LUD232" s="15"/>
      <c r="LUE232" s="15"/>
      <c r="LUF232" s="10"/>
      <c r="LUG232" s="10"/>
      <c r="LUH232" s="21"/>
      <c r="LUI232" s="21"/>
      <c r="LUL232" s="21"/>
      <c r="LUM232" s="15"/>
      <c r="LUN232" s="15"/>
      <c r="LUO232" s="15"/>
      <c r="LUP232" s="15"/>
      <c r="LUQ232" s="15"/>
      <c r="LUR232" s="15"/>
      <c r="LUS232" s="15"/>
      <c r="LUT232" s="15"/>
      <c r="LUU232" s="15"/>
      <c r="LUV232" s="15"/>
      <c r="LUW232" s="10"/>
      <c r="LUX232" s="10"/>
      <c r="LUY232" s="21"/>
      <c r="LUZ232" s="21"/>
      <c r="LVC232" s="21"/>
      <c r="LVD232" s="15"/>
      <c r="LVE232" s="15"/>
      <c r="LVF232" s="15"/>
      <c r="LVG232" s="15"/>
      <c r="LVH232" s="15"/>
      <c r="LVI232" s="15"/>
      <c r="LVJ232" s="15"/>
      <c r="LVK232" s="15"/>
      <c r="LVL232" s="15"/>
      <c r="LVM232" s="15"/>
      <c r="LVN232" s="10"/>
      <c r="LVO232" s="10"/>
      <c r="LVP232" s="21"/>
      <c r="LVQ232" s="21"/>
      <c r="LVT232" s="21"/>
      <c r="LVU232" s="15"/>
      <c r="LVV232" s="15"/>
      <c r="LVW232" s="15"/>
      <c r="LVX232" s="15"/>
      <c r="LVY232" s="15"/>
      <c r="LVZ232" s="15"/>
      <c r="LWA232" s="15"/>
      <c r="LWB232" s="15"/>
      <c r="LWC232" s="15"/>
      <c r="LWD232" s="15"/>
      <c r="LWE232" s="10"/>
      <c r="LWF232" s="10"/>
      <c r="LWG232" s="21"/>
      <c r="LWH232" s="21"/>
      <c r="LWK232" s="21"/>
      <c r="LWL232" s="15"/>
      <c r="LWM232" s="15"/>
      <c r="LWN232" s="15"/>
      <c r="LWO232" s="15"/>
      <c r="LWP232" s="15"/>
      <c r="LWQ232" s="15"/>
      <c r="LWR232" s="15"/>
      <c r="LWS232" s="15"/>
      <c r="LWT232" s="15"/>
      <c r="LWU232" s="15"/>
      <c r="LWV232" s="10"/>
      <c r="LWW232" s="10"/>
      <c r="LWX232" s="21"/>
      <c r="LWY232" s="21"/>
      <c r="LXB232" s="21"/>
      <c r="LXC232" s="15"/>
      <c r="LXD232" s="15"/>
      <c r="LXE232" s="15"/>
      <c r="LXF232" s="15"/>
      <c r="LXG232" s="15"/>
      <c r="LXH232" s="15"/>
      <c r="LXI232" s="15"/>
      <c r="LXJ232" s="15"/>
      <c r="LXK232" s="15"/>
      <c r="LXL232" s="15"/>
      <c r="LXM232" s="10"/>
      <c r="LXN232" s="10"/>
      <c r="LXO232" s="21"/>
      <c r="LXP232" s="21"/>
      <c r="LXS232" s="21"/>
      <c r="LXT232" s="15"/>
      <c r="LXU232" s="15"/>
      <c r="LXV232" s="15"/>
      <c r="LXW232" s="15"/>
      <c r="LXX232" s="15"/>
      <c r="LXY232" s="15"/>
      <c r="LXZ232" s="15"/>
      <c r="LYA232" s="15"/>
      <c r="LYB232" s="15"/>
      <c r="LYC232" s="15"/>
      <c r="LYD232" s="10"/>
      <c r="LYE232" s="10"/>
      <c r="LYF232" s="21"/>
      <c r="LYG232" s="21"/>
      <c r="LYJ232" s="21"/>
      <c r="LYK232" s="15"/>
      <c r="LYL232" s="15"/>
      <c r="LYM232" s="15"/>
      <c r="LYN232" s="15"/>
      <c r="LYO232" s="15"/>
      <c r="LYP232" s="15"/>
      <c r="LYQ232" s="15"/>
      <c r="LYR232" s="15"/>
      <c r="LYS232" s="15"/>
      <c r="LYT232" s="15"/>
      <c r="LYU232" s="10"/>
      <c r="LYV232" s="10"/>
      <c r="LYW232" s="21"/>
      <c r="LYX232" s="21"/>
      <c r="LZA232" s="21"/>
      <c r="LZB232" s="15"/>
      <c r="LZC232" s="15"/>
      <c r="LZD232" s="15"/>
      <c r="LZE232" s="15"/>
      <c r="LZF232" s="15"/>
      <c r="LZG232" s="15"/>
      <c r="LZH232" s="15"/>
      <c r="LZI232" s="15"/>
      <c r="LZJ232" s="15"/>
      <c r="LZK232" s="15"/>
      <c r="LZL232" s="10"/>
      <c r="LZM232" s="10"/>
      <c r="LZN232" s="21"/>
      <c r="LZO232" s="21"/>
      <c r="LZR232" s="21"/>
      <c r="LZS232" s="15"/>
      <c r="LZT232" s="15"/>
      <c r="LZU232" s="15"/>
      <c r="LZV232" s="15"/>
      <c r="LZW232" s="15"/>
      <c r="LZX232" s="15"/>
      <c r="LZY232" s="15"/>
      <c r="LZZ232" s="15"/>
      <c r="MAA232" s="15"/>
      <c r="MAB232" s="15"/>
      <c r="MAC232" s="10"/>
      <c r="MAD232" s="10"/>
      <c r="MAE232" s="21"/>
      <c r="MAF232" s="21"/>
      <c r="MAI232" s="21"/>
      <c r="MAJ232" s="15"/>
      <c r="MAK232" s="15"/>
      <c r="MAL232" s="15"/>
      <c r="MAM232" s="15"/>
      <c r="MAN232" s="15"/>
      <c r="MAO232" s="15"/>
      <c r="MAP232" s="15"/>
      <c r="MAQ232" s="15"/>
      <c r="MAR232" s="15"/>
      <c r="MAS232" s="15"/>
      <c r="MAT232" s="10"/>
      <c r="MAU232" s="10"/>
      <c r="MAV232" s="21"/>
      <c r="MAW232" s="21"/>
      <c r="MAZ232" s="21"/>
      <c r="MBA232" s="15"/>
      <c r="MBB232" s="15"/>
      <c r="MBC232" s="15"/>
      <c r="MBD232" s="15"/>
      <c r="MBE232" s="15"/>
      <c r="MBF232" s="15"/>
      <c r="MBG232" s="15"/>
      <c r="MBH232" s="15"/>
      <c r="MBI232" s="15"/>
      <c r="MBJ232" s="15"/>
      <c r="MBK232" s="10"/>
      <c r="MBL232" s="10"/>
      <c r="MBM232" s="21"/>
      <c r="MBN232" s="21"/>
      <c r="MBQ232" s="21"/>
      <c r="MBR232" s="15"/>
      <c r="MBS232" s="15"/>
      <c r="MBT232" s="15"/>
      <c r="MBU232" s="15"/>
      <c r="MBV232" s="15"/>
      <c r="MBW232" s="15"/>
      <c r="MBX232" s="15"/>
      <c r="MBY232" s="15"/>
      <c r="MBZ232" s="15"/>
      <c r="MCA232" s="15"/>
      <c r="MCB232" s="10"/>
      <c r="MCC232" s="10"/>
      <c r="MCD232" s="21"/>
      <c r="MCE232" s="21"/>
      <c r="MCH232" s="21"/>
      <c r="MCI232" s="15"/>
      <c r="MCJ232" s="15"/>
      <c r="MCK232" s="15"/>
      <c r="MCL232" s="15"/>
      <c r="MCM232" s="15"/>
      <c r="MCN232" s="15"/>
      <c r="MCO232" s="15"/>
      <c r="MCP232" s="15"/>
      <c r="MCQ232" s="15"/>
      <c r="MCR232" s="15"/>
      <c r="MCS232" s="10"/>
      <c r="MCT232" s="10"/>
      <c r="MCU232" s="21"/>
      <c r="MCV232" s="21"/>
      <c r="MCY232" s="21"/>
      <c r="MCZ232" s="15"/>
      <c r="MDA232" s="15"/>
      <c r="MDB232" s="15"/>
      <c r="MDC232" s="15"/>
      <c r="MDD232" s="15"/>
      <c r="MDE232" s="15"/>
      <c r="MDF232" s="15"/>
      <c r="MDG232" s="15"/>
      <c r="MDH232" s="15"/>
      <c r="MDI232" s="15"/>
      <c r="MDJ232" s="10"/>
      <c r="MDK232" s="10"/>
      <c r="MDL232" s="21"/>
      <c r="MDM232" s="21"/>
      <c r="MDP232" s="21"/>
      <c r="MDQ232" s="15"/>
      <c r="MDR232" s="15"/>
      <c r="MDS232" s="15"/>
      <c r="MDT232" s="15"/>
      <c r="MDU232" s="15"/>
      <c r="MDV232" s="15"/>
      <c r="MDW232" s="15"/>
      <c r="MDX232" s="15"/>
      <c r="MDY232" s="15"/>
      <c r="MDZ232" s="15"/>
      <c r="MEA232" s="10"/>
      <c r="MEB232" s="10"/>
      <c r="MEC232" s="21"/>
      <c r="MED232" s="21"/>
      <c r="MEG232" s="21"/>
      <c r="MEH232" s="15"/>
      <c r="MEI232" s="15"/>
      <c r="MEJ232" s="15"/>
      <c r="MEK232" s="15"/>
      <c r="MEL232" s="15"/>
      <c r="MEM232" s="15"/>
      <c r="MEN232" s="15"/>
      <c r="MEO232" s="15"/>
      <c r="MEP232" s="15"/>
      <c r="MEQ232" s="15"/>
      <c r="MER232" s="10"/>
      <c r="MES232" s="10"/>
      <c r="MET232" s="21"/>
      <c r="MEU232" s="21"/>
      <c r="MEX232" s="21"/>
      <c r="MEY232" s="15"/>
      <c r="MEZ232" s="15"/>
      <c r="MFA232" s="15"/>
      <c r="MFB232" s="15"/>
      <c r="MFC232" s="15"/>
      <c r="MFD232" s="15"/>
      <c r="MFE232" s="15"/>
      <c r="MFF232" s="15"/>
      <c r="MFG232" s="15"/>
      <c r="MFH232" s="15"/>
      <c r="MFI232" s="10"/>
      <c r="MFJ232" s="10"/>
      <c r="MFK232" s="21"/>
      <c r="MFL232" s="21"/>
      <c r="MFO232" s="21"/>
      <c r="MFP232" s="15"/>
      <c r="MFQ232" s="15"/>
      <c r="MFR232" s="15"/>
      <c r="MFS232" s="15"/>
      <c r="MFT232" s="15"/>
      <c r="MFU232" s="15"/>
      <c r="MFV232" s="15"/>
      <c r="MFW232" s="15"/>
      <c r="MFX232" s="15"/>
      <c r="MFY232" s="15"/>
      <c r="MFZ232" s="10"/>
      <c r="MGA232" s="10"/>
      <c r="MGB232" s="21"/>
      <c r="MGC232" s="21"/>
      <c r="MGF232" s="21"/>
      <c r="MGG232" s="15"/>
      <c r="MGH232" s="15"/>
      <c r="MGI232" s="15"/>
      <c r="MGJ232" s="15"/>
      <c r="MGK232" s="15"/>
      <c r="MGL232" s="15"/>
      <c r="MGM232" s="15"/>
      <c r="MGN232" s="15"/>
      <c r="MGO232" s="15"/>
      <c r="MGP232" s="15"/>
      <c r="MGQ232" s="10"/>
      <c r="MGR232" s="10"/>
      <c r="MGS232" s="21"/>
      <c r="MGT232" s="21"/>
      <c r="MGW232" s="21"/>
      <c r="MGX232" s="15"/>
      <c r="MGY232" s="15"/>
      <c r="MGZ232" s="15"/>
      <c r="MHA232" s="15"/>
      <c r="MHB232" s="15"/>
      <c r="MHC232" s="15"/>
      <c r="MHD232" s="15"/>
      <c r="MHE232" s="15"/>
      <c r="MHF232" s="15"/>
      <c r="MHG232" s="15"/>
      <c r="MHH232" s="10"/>
      <c r="MHI232" s="10"/>
      <c r="MHJ232" s="21"/>
      <c r="MHK232" s="21"/>
      <c r="MHN232" s="21"/>
      <c r="MHO232" s="15"/>
      <c r="MHP232" s="15"/>
      <c r="MHQ232" s="15"/>
      <c r="MHR232" s="15"/>
      <c r="MHS232" s="15"/>
      <c r="MHT232" s="15"/>
      <c r="MHU232" s="15"/>
      <c r="MHV232" s="15"/>
      <c r="MHW232" s="15"/>
      <c r="MHX232" s="15"/>
      <c r="MHY232" s="10"/>
      <c r="MHZ232" s="10"/>
      <c r="MIA232" s="21"/>
      <c r="MIB232" s="21"/>
      <c r="MIE232" s="21"/>
      <c r="MIF232" s="15"/>
      <c r="MIG232" s="15"/>
      <c r="MIH232" s="15"/>
      <c r="MII232" s="15"/>
      <c r="MIJ232" s="15"/>
      <c r="MIK232" s="15"/>
      <c r="MIL232" s="15"/>
      <c r="MIM232" s="15"/>
      <c r="MIN232" s="15"/>
      <c r="MIO232" s="15"/>
      <c r="MIP232" s="10"/>
      <c r="MIQ232" s="10"/>
      <c r="MIR232" s="21"/>
      <c r="MIS232" s="21"/>
      <c r="MIV232" s="21"/>
      <c r="MIW232" s="15"/>
      <c r="MIX232" s="15"/>
      <c r="MIY232" s="15"/>
      <c r="MIZ232" s="15"/>
      <c r="MJA232" s="15"/>
      <c r="MJB232" s="15"/>
      <c r="MJC232" s="15"/>
      <c r="MJD232" s="15"/>
      <c r="MJE232" s="15"/>
      <c r="MJF232" s="15"/>
      <c r="MJG232" s="10"/>
      <c r="MJH232" s="10"/>
      <c r="MJI232" s="21"/>
      <c r="MJJ232" s="21"/>
      <c r="MJM232" s="21"/>
      <c r="MJN232" s="15"/>
      <c r="MJO232" s="15"/>
      <c r="MJP232" s="15"/>
      <c r="MJQ232" s="15"/>
      <c r="MJR232" s="15"/>
      <c r="MJS232" s="15"/>
      <c r="MJT232" s="15"/>
      <c r="MJU232" s="15"/>
      <c r="MJV232" s="15"/>
      <c r="MJW232" s="15"/>
      <c r="MJX232" s="10"/>
      <c r="MJY232" s="10"/>
      <c r="MJZ232" s="21"/>
      <c r="MKA232" s="21"/>
      <c r="MKD232" s="21"/>
      <c r="MKE232" s="15"/>
      <c r="MKF232" s="15"/>
      <c r="MKG232" s="15"/>
      <c r="MKH232" s="15"/>
      <c r="MKI232" s="15"/>
      <c r="MKJ232" s="15"/>
      <c r="MKK232" s="15"/>
      <c r="MKL232" s="15"/>
      <c r="MKM232" s="15"/>
      <c r="MKN232" s="15"/>
      <c r="MKO232" s="10"/>
      <c r="MKP232" s="10"/>
      <c r="MKQ232" s="21"/>
      <c r="MKR232" s="21"/>
      <c r="MKU232" s="21"/>
      <c r="MKV232" s="15"/>
      <c r="MKW232" s="15"/>
      <c r="MKX232" s="15"/>
      <c r="MKY232" s="15"/>
      <c r="MKZ232" s="15"/>
      <c r="MLA232" s="15"/>
      <c r="MLB232" s="15"/>
      <c r="MLC232" s="15"/>
      <c r="MLD232" s="15"/>
      <c r="MLE232" s="15"/>
      <c r="MLF232" s="10"/>
      <c r="MLG232" s="10"/>
      <c r="MLH232" s="21"/>
      <c r="MLI232" s="21"/>
      <c r="MLL232" s="21"/>
      <c r="MLM232" s="15"/>
      <c r="MLN232" s="15"/>
      <c r="MLO232" s="15"/>
      <c r="MLP232" s="15"/>
      <c r="MLQ232" s="15"/>
      <c r="MLR232" s="15"/>
      <c r="MLS232" s="15"/>
      <c r="MLT232" s="15"/>
      <c r="MLU232" s="15"/>
      <c r="MLV232" s="15"/>
      <c r="MLW232" s="10"/>
      <c r="MLX232" s="10"/>
      <c r="MLY232" s="21"/>
      <c r="MLZ232" s="21"/>
      <c r="MMC232" s="21"/>
      <c r="MMD232" s="15"/>
      <c r="MME232" s="15"/>
      <c r="MMF232" s="15"/>
      <c r="MMG232" s="15"/>
      <c r="MMH232" s="15"/>
      <c r="MMI232" s="15"/>
      <c r="MMJ232" s="15"/>
      <c r="MMK232" s="15"/>
      <c r="MML232" s="15"/>
      <c r="MMM232" s="15"/>
      <c r="MMN232" s="10"/>
      <c r="MMO232" s="10"/>
      <c r="MMP232" s="21"/>
      <c r="MMQ232" s="21"/>
      <c r="MMT232" s="21"/>
      <c r="MMU232" s="15"/>
      <c r="MMV232" s="15"/>
      <c r="MMW232" s="15"/>
      <c r="MMX232" s="15"/>
      <c r="MMY232" s="15"/>
      <c r="MMZ232" s="15"/>
      <c r="MNA232" s="15"/>
      <c r="MNB232" s="15"/>
      <c r="MNC232" s="15"/>
      <c r="MND232" s="15"/>
      <c r="MNE232" s="10"/>
      <c r="MNF232" s="10"/>
      <c r="MNG232" s="21"/>
      <c r="MNH232" s="21"/>
      <c r="MNK232" s="21"/>
      <c r="MNL232" s="15"/>
      <c r="MNM232" s="15"/>
      <c r="MNN232" s="15"/>
      <c r="MNO232" s="15"/>
      <c r="MNP232" s="15"/>
      <c r="MNQ232" s="15"/>
      <c r="MNR232" s="15"/>
      <c r="MNS232" s="15"/>
      <c r="MNT232" s="15"/>
      <c r="MNU232" s="15"/>
      <c r="MNV232" s="10"/>
      <c r="MNW232" s="10"/>
      <c r="MNX232" s="21"/>
      <c r="MNY232" s="21"/>
      <c r="MOB232" s="21"/>
      <c r="MOC232" s="15"/>
      <c r="MOD232" s="15"/>
      <c r="MOE232" s="15"/>
      <c r="MOF232" s="15"/>
      <c r="MOG232" s="15"/>
      <c r="MOH232" s="15"/>
      <c r="MOI232" s="15"/>
      <c r="MOJ232" s="15"/>
      <c r="MOK232" s="15"/>
      <c r="MOL232" s="15"/>
      <c r="MOM232" s="10"/>
      <c r="MON232" s="10"/>
      <c r="MOO232" s="21"/>
      <c r="MOP232" s="21"/>
      <c r="MOS232" s="21"/>
      <c r="MOT232" s="15"/>
      <c r="MOU232" s="15"/>
      <c r="MOV232" s="15"/>
      <c r="MOW232" s="15"/>
      <c r="MOX232" s="15"/>
      <c r="MOY232" s="15"/>
      <c r="MOZ232" s="15"/>
      <c r="MPA232" s="15"/>
      <c r="MPB232" s="15"/>
      <c r="MPC232" s="15"/>
      <c r="MPD232" s="10"/>
      <c r="MPE232" s="10"/>
      <c r="MPF232" s="21"/>
      <c r="MPG232" s="21"/>
      <c r="MPJ232" s="21"/>
      <c r="MPK232" s="15"/>
      <c r="MPL232" s="15"/>
      <c r="MPM232" s="15"/>
      <c r="MPN232" s="15"/>
      <c r="MPO232" s="15"/>
      <c r="MPP232" s="15"/>
      <c r="MPQ232" s="15"/>
      <c r="MPR232" s="15"/>
      <c r="MPS232" s="15"/>
      <c r="MPT232" s="15"/>
      <c r="MPU232" s="10"/>
      <c r="MPV232" s="10"/>
      <c r="MPW232" s="21"/>
      <c r="MPX232" s="21"/>
      <c r="MQA232" s="21"/>
      <c r="MQB232" s="15"/>
      <c r="MQC232" s="15"/>
      <c r="MQD232" s="15"/>
      <c r="MQE232" s="15"/>
      <c r="MQF232" s="15"/>
      <c r="MQG232" s="15"/>
      <c r="MQH232" s="15"/>
      <c r="MQI232" s="15"/>
      <c r="MQJ232" s="15"/>
      <c r="MQK232" s="15"/>
      <c r="MQL232" s="10"/>
      <c r="MQM232" s="10"/>
      <c r="MQN232" s="21"/>
      <c r="MQO232" s="21"/>
      <c r="MQR232" s="21"/>
      <c r="MQS232" s="15"/>
      <c r="MQT232" s="15"/>
      <c r="MQU232" s="15"/>
      <c r="MQV232" s="15"/>
      <c r="MQW232" s="15"/>
      <c r="MQX232" s="15"/>
      <c r="MQY232" s="15"/>
      <c r="MQZ232" s="15"/>
      <c r="MRA232" s="15"/>
      <c r="MRB232" s="15"/>
      <c r="MRC232" s="10"/>
      <c r="MRD232" s="10"/>
      <c r="MRE232" s="21"/>
      <c r="MRF232" s="21"/>
      <c r="MRI232" s="21"/>
      <c r="MRJ232" s="15"/>
      <c r="MRK232" s="15"/>
      <c r="MRL232" s="15"/>
      <c r="MRM232" s="15"/>
      <c r="MRN232" s="15"/>
      <c r="MRO232" s="15"/>
      <c r="MRP232" s="15"/>
      <c r="MRQ232" s="15"/>
      <c r="MRR232" s="15"/>
      <c r="MRS232" s="15"/>
      <c r="MRT232" s="10"/>
      <c r="MRU232" s="10"/>
      <c r="MRV232" s="21"/>
      <c r="MRW232" s="21"/>
      <c r="MRZ232" s="21"/>
      <c r="MSA232" s="15"/>
      <c r="MSB232" s="15"/>
      <c r="MSC232" s="15"/>
      <c r="MSD232" s="15"/>
      <c r="MSE232" s="15"/>
      <c r="MSF232" s="15"/>
      <c r="MSG232" s="15"/>
      <c r="MSH232" s="15"/>
      <c r="MSI232" s="15"/>
      <c r="MSJ232" s="15"/>
      <c r="MSK232" s="10"/>
      <c r="MSL232" s="10"/>
      <c r="MSM232" s="21"/>
      <c r="MSN232" s="21"/>
      <c r="MSQ232" s="21"/>
      <c r="MSR232" s="15"/>
      <c r="MSS232" s="15"/>
      <c r="MST232" s="15"/>
      <c r="MSU232" s="15"/>
      <c r="MSV232" s="15"/>
      <c r="MSW232" s="15"/>
      <c r="MSX232" s="15"/>
      <c r="MSY232" s="15"/>
      <c r="MSZ232" s="15"/>
      <c r="MTA232" s="15"/>
      <c r="MTB232" s="10"/>
      <c r="MTC232" s="10"/>
      <c r="MTD232" s="21"/>
      <c r="MTE232" s="21"/>
      <c r="MTH232" s="21"/>
      <c r="MTI232" s="15"/>
      <c r="MTJ232" s="15"/>
      <c r="MTK232" s="15"/>
      <c r="MTL232" s="15"/>
      <c r="MTM232" s="15"/>
      <c r="MTN232" s="15"/>
      <c r="MTO232" s="15"/>
      <c r="MTP232" s="15"/>
      <c r="MTQ232" s="15"/>
      <c r="MTR232" s="15"/>
      <c r="MTS232" s="10"/>
      <c r="MTT232" s="10"/>
      <c r="MTU232" s="21"/>
      <c r="MTV232" s="21"/>
      <c r="MTY232" s="21"/>
      <c r="MTZ232" s="15"/>
      <c r="MUA232" s="15"/>
      <c r="MUB232" s="15"/>
      <c r="MUC232" s="15"/>
      <c r="MUD232" s="15"/>
      <c r="MUE232" s="15"/>
      <c r="MUF232" s="15"/>
      <c r="MUG232" s="15"/>
      <c r="MUH232" s="15"/>
      <c r="MUI232" s="15"/>
      <c r="MUJ232" s="10"/>
      <c r="MUK232" s="10"/>
      <c r="MUL232" s="21"/>
      <c r="MUM232" s="21"/>
      <c r="MUP232" s="21"/>
      <c r="MUQ232" s="15"/>
      <c r="MUR232" s="15"/>
      <c r="MUS232" s="15"/>
      <c r="MUT232" s="15"/>
      <c r="MUU232" s="15"/>
      <c r="MUV232" s="15"/>
      <c r="MUW232" s="15"/>
      <c r="MUX232" s="15"/>
      <c r="MUY232" s="15"/>
      <c r="MUZ232" s="15"/>
      <c r="MVA232" s="10"/>
      <c r="MVB232" s="10"/>
      <c r="MVC232" s="21"/>
      <c r="MVD232" s="21"/>
      <c r="MVG232" s="21"/>
      <c r="MVH232" s="15"/>
      <c r="MVI232" s="15"/>
      <c r="MVJ232" s="15"/>
      <c r="MVK232" s="15"/>
      <c r="MVL232" s="15"/>
      <c r="MVM232" s="15"/>
      <c r="MVN232" s="15"/>
      <c r="MVO232" s="15"/>
      <c r="MVP232" s="15"/>
      <c r="MVQ232" s="15"/>
      <c r="MVR232" s="10"/>
      <c r="MVS232" s="10"/>
      <c r="MVT232" s="21"/>
      <c r="MVU232" s="21"/>
      <c r="MVX232" s="21"/>
      <c r="MVY232" s="15"/>
      <c r="MVZ232" s="15"/>
      <c r="MWA232" s="15"/>
      <c r="MWB232" s="15"/>
      <c r="MWC232" s="15"/>
      <c r="MWD232" s="15"/>
      <c r="MWE232" s="15"/>
      <c r="MWF232" s="15"/>
      <c r="MWG232" s="15"/>
      <c r="MWH232" s="15"/>
      <c r="MWI232" s="10"/>
      <c r="MWJ232" s="10"/>
      <c r="MWK232" s="21"/>
      <c r="MWL232" s="21"/>
      <c r="MWO232" s="21"/>
      <c r="MWP232" s="15"/>
      <c r="MWQ232" s="15"/>
      <c r="MWR232" s="15"/>
      <c r="MWS232" s="15"/>
      <c r="MWT232" s="15"/>
      <c r="MWU232" s="15"/>
      <c r="MWV232" s="15"/>
      <c r="MWW232" s="15"/>
      <c r="MWX232" s="15"/>
      <c r="MWY232" s="15"/>
      <c r="MWZ232" s="10"/>
      <c r="MXA232" s="10"/>
      <c r="MXB232" s="21"/>
      <c r="MXC232" s="21"/>
      <c r="MXF232" s="21"/>
      <c r="MXG232" s="15"/>
      <c r="MXH232" s="15"/>
      <c r="MXI232" s="15"/>
      <c r="MXJ232" s="15"/>
      <c r="MXK232" s="15"/>
      <c r="MXL232" s="15"/>
      <c r="MXM232" s="15"/>
      <c r="MXN232" s="15"/>
      <c r="MXO232" s="15"/>
      <c r="MXP232" s="15"/>
      <c r="MXQ232" s="10"/>
      <c r="MXR232" s="10"/>
      <c r="MXS232" s="21"/>
      <c r="MXT232" s="21"/>
      <c r="MXW232" s="21"/>
      <c r="MXX232" s="15"/>
      <c r="MXY232" s="15"/>
      <c r="MXZ232" s="15"/>
      <c r="MYA232" s="15"/>
      <c r="MYB232" s="15"/>
      <c r="MYC232" s="15"/>
      <c r="MYD232" s="15"/>
      <c r="MYE232" s="15"/>
      <c r="MYF232" s="15"/>
      <c r="MYG232" s="15"/>
      <c r="MYH232" s="10"/>
      <c r="MYI232" s="10"/>
      <c r="MYJ232" s="21"/>
      <c r="MYK232" s="21"/>
      <c r="MYN232" s="21"/>
      <c r="MYO232" s="15"/>
      <c r="MYP232" s="15"/>
      <c r="MYQ232" s="15"/>
      <c r="MYR232" s="15"/>
      <c r="MYS232" s="15"/>
      <c r="MYT232" s="15"/>
      <c r="MYU232" s="15"/>
      <c r="MYV232" s="15"/>
      <c r="MYW232" s="15"/>
      <c r="MYX232" s="15"/>
      <c r="MYY232" s="10"/>
      <c r="MYZ232" s="10"/>
      <c r="MZA232" s="21"/>
      <c r="MZB232" s="21"/>
      <c r="MZE232" s="21"/>
      <c r="MZF232" s="15"/>
      <c r="MZG232" s="15"/>
      <c r="MZH232" s="15"/>
      <c r="MZI232" s="15"/>
      <c r="MZJ232" s="15"/>
      <c r="MZK232" s="15"/>
      <c r="MZL232" s="15"/>
      <c r="MZM232" s="15"/>
      <c r="MZN232" s="15"/>
      <c r="MZO232" s="15"/>
      <c r="MZP232" s="10"/>
      <c r="MZQ232" s="10"/>
      <c r="MZR232" s="21"/>
      <c r="MZS232" s="21"/>
      <c r="MZV232" s="21"/>
      <c r="MZW232" s="15"/>
      <c r="MZX232" s="15"/>
      <c r="MZY232" s="15"/>
      <c r="MZZ232" s="15"/>
      <c r="NAA232" s="15"/>
      <c r="NAB232" s="15"/>
      <c r="NAC232" s="15"/>
      <c r="NAD232" s="15"/>
      <c r="NAE232" s="15"/>
      <c r="NAF232" s="15"/>
      <c r="NAG232" s="10"/>
      <c r="NAH232" s="10"/>
      <c r="NAI232" s="21"/>
      <c r="NAJ232" s="21"/>
      <c r="NAM232" s="21"/>
      <c r="NAN232" s="15"/>
      <c r="NAO232" s="15"/>
      <c r="NAP232" s="15"/>
      <c r="NAQ232" s="15"/>
      <c r="NAR232" s="15"/>
      <c r="NAS232" s="15"/>
      <c r="NAT232" s="15"/>
      <c r="NAU232" s="15"/>
      <c r="NAV232" s="15"/>
      <c r="NAW232" s="15"/>
      <c r="NAX232" s="10"/>
      <c r="NAY232" s="10"/>
      <c r="NAZ232" s="21"/>
      <c r="NBA232" s="21"/>
      <c r="NBD232" s="21"/>
      <c r="NBE232" s="15"/>
      <c r="NBF232" s="15"/>
      <c r="NBG232" s="15"/>
      <c r="NBH232" s="15"/>
      <c r="NBI232" s="15"/>
      <c r="NBJ232" s="15"/>
      <c r="NBK232" s="15"/>
      <c r="NBL232" s="15"/>
      <c r="NBM232" s="15"/>
      <c r="NBN232" s="15"/>
      <c r="NBO232" s="10"/>
      <c r="NBP232" s="10"/>
      <c r="NBQ232" s="21"/>
      <c r="NBR232" s="21"/>
      <c r="NBU232" s="21"/>
      <c r="NBV232" s="15"/>
      <c r="NBW232" s="15"/>
      <c r="NBX232" s="15"/>
      <c r="NBY232" s="15"/>
      <c r="NBZ232" s="15"/>
      <c r="NCA232" s="15"/>
      <c r="NCB232" s="15"/>
      <c r="NCC232" s="15"/>
      <c r="NCD232" s="15"/>
      <c r="NCE232" s="15"/>
      <c r="NCF232" s="10"/>
      <c r="NCG232" s="10"/>
      <c r="NCH232" s="21"/>
      <c r="NCI232" s="21"/>
      <c r="NCL232" s="21"/>
      <c r="NCM232" s="15"/>
      <c r="NCN232" s="15"/>
      <c r="NCO232" s="15"/>
      <c r="NCP232" s="15"/>
      <c r="NCQ232" s="15"/>
      <c r="NCR232" s="15"/>
      <c r="NCS232" s="15"/>
      <c r="NCT232" s="15"/>
      <c r="NCU232" s="15"/>
      <c r="NCV232" s="15"/>
      <c r="NCW232" s="10"/>
      <c r="NCX232" s="10"/>
      <c r="NCY232" s="21"/>
      <c r="NCZ232" s="21"/>
      <c r="NDC232" s="21"/>
      <c r="NDD232" s="15"/>
      <c r="NDE232" s="15"/>
      <c r="NDF232" s="15"/>
      <c r="NDG232" s="15"/>
      <c r="NDH232" s="15"/>
      <c r="NDI232" s="15"/>
      <c r="NDJ232" s="15"/>
      <c r="NDK232" s="15"/>
      <c r="NDL232" s="15"/>
      <c r="NDM232" s="15"/>
      <c r="NDN232" s="10"/>
      <c r="NDO232" s="10"/>
      <c r="NDP232" s="21"/>
      <c r="NDQ232" s="21"/>
      <c r="NDT232" s="21"/>
      <c r="NDU232" s="15"/>
      <c r="NDV232" s="15"/>
      <c r="NDW232" s="15"/>
      <c r="NDX232" s="15"/>
      <c r="NDY232" s="15"/>
      <c r="NDZ232" s="15"/>
      <c r="NEA232" s="15"/>
      <c r="NEB232" s="15"/>
      <c r="NEC232" s="15"/>
      <c r="NED232" s="15"/>
      <c r="NEE232" s="10"/>
      <c r="NEF232" s="10"/>
      <c r="NEG232" s="21"/>
      <c r="NEH232" s="21"/>
      <c r="NEK232" s="21"/>
      <c r="NEL232" s="15"/>
      <c r="NEM232" s="15"/>
      <c r="NEN232" s="15"/>
      <c r="NEO232" s="15"/>
      <c r="NEP232" s="15"/>
      <c r="NEQ232" s="15"/>
      <c r="NER232" s="15"/>
      <c r="NES232" s="15"/>
      <c r="NET232" s="15"/>
      <c r="NEU232" s="15"/>
      <c r="NEV232" s="10"/>
      <c r="NEW232" s="10"/>
      <c r="NEX232" s="21"/>
      <c r="NEY232" s="21"/>
      <c r="NFB232" s="21"/>
      <c r="NFC232" s="15"/>
      <c r="NFD232" s="15"/>
      <c r="NFE232" s="15"/>
      <c r="NFF232" s="15"/>
      <c r="NFG232" s="15"/>
      <c r="NFH232" s="15"/>
      <c r="NFI232" s="15"/>
      <c r="NFJ232" s="15"/>
      <c r="NFK232" s="15"/>
      <c r="NFL232" s="15"/>
      <c r="NFM232" s="10"/>
      <c r="NFN232" s="10"/>
      <c r="NFO232" s="21"/>
      <c r="NFP232" s="21"/>
      <c r="NFS232" s="21"/>
      <c r="NFT232" s="15"/>
      <c r="NFU232" s="15"/>
      <c r="NFV232" s="15"/>
      <c r="NFW232" s="15"/>
      <c r="NFX232" s="15"/>
      <c r="NFY232" s="15"/>
      <c r="NFZ232" s="15"/>
      <c r="NGA232" s="15"/>
      <c r="NGB232" s="15"/>
      <c r="NGC232" s="15"/>
      <c r="NGD232" s="10"/>
      <c r="NGE232" s="10"/>
      <c r="NGF232" s="21"/>
      <c r="NGG232" s="21"/>
      <c r="NGJ232" s="21"/>
      <c r="NGK232" s="15"/>
      <c r="NGL232" s="15"/>
      <c r="NGM232" s="15"/>
      <c r="NGN232" s="15"/>
      <c r="NGO232" s="15"/>
      <c r="NGP232" s="15"/>
      <c r="NGQ232" s="15"/>
      <c r="NGR232" s="15"/>
      <c r="NGS232" s="15"/>
      <c r="NGT232" s="15"/>
      <c r="NGU232" s="10"/>
      <c r="NGV232" s="10"/>
      <c r="NGW232" s="21"/>
      <c r="NGX232" s="21"/>
      <c r="NHA232" s="21"/>
      <c r="NHB232" s="15"/>
      <c r="NHC232" s="15"/>
      <c r="NHD232" s="15"/>
      <c r="NHE232" s="15"/>
      <c r="NHF232" s="15"/>
      <c r="NHG232" s="15"/>
      <c r="NHH232" s="15"/>
      <c r="NHI232" s="15"/>
      <c r="NHJ232" s="15"/>
      <c r="NHK232" s="15"/>
      <c r="NHL232" s="10"/>
      <c r="NHM232" s="10"/>
      <c r="NHN232" s="21"/>
      <c r="NHO232" s="21"/>
      <c r="NHR232" s="21"/>
      <c r="NHS232" s="15"/>
      <c r="NHT232" s="15"/>
      <c r="NHU232" s="15"/>
      <c r="NHV232" s="15"/>
      <c r="NHW232" s="15"/>
      <c r="NHX232" s="15"/>
      <c r="NHY232" s="15"/>
      <c r="NHZ232" s="15"/>
      <c r="NIA232" s="15"/>
      <c r="NIB232" s="15"/>
      <c r="NIC232" s="10"/>
      <c r="NID232" s="10"/>
      <c r="NIE232" s="21"/>
      <c r="NIF232" s="21"/>
      <c r="NII232" s="21"/>
      <c r="NIJ232" s="15"/>
      <c r="NIK232" s="15"/>
      <c r="NIL232" s="15"/>
      <c r="NIM232" s="15"/>
      <c r="NIN232" s="15"/>
      <c r="NIO232" s="15"/>
      <c r="NIP232" s="15"/>
      <c r="NIQ232" s="15"/>
      <c r="NIR232" s="15"/>
      <c r="NIS232" s="15"/>
      <c r="NIT232" s="10"/>
      <c r="NIU232" s="10"/>
      <c r="NIV232" s="21"/>
      <c r="NIW232" s="21"/>
      <c r="NIZ232" s="21"/>
      <c r="NJA232" s="15"/>
      <c r="NJB232" s="15"/>
      <c r="NJC232" s="15"/>
      <c r="NJD232" s="15"/>
      <c r="NJE232" s="15"/>
      <c r="NJF232" s="15"/>
      <c r="NJG232" s="15"/>
      <c r="NJH232" s="15"/>
      <c r="NJI232" s="15"/>
      <c r="NJJ232" s="15"/>
      <c r="NJK232" s="10"/>
      <c r="NJL232" s="10"/>
      <c r="NJM232" s="21"/>
      <c r="NJN232" s="21"/>
      <c r="NJQ232" s="21"/>
      <c r="NJR232" s="15"/>
      <c r="NJS232" s="15"/>
      <c r="NJT232" s="15"/>
      <c r="NJU232" s="15"/>
      <c r="NJV232" s="15"/>
      <c r="NJW232" s="15"/>
      <c r="NJX232" s="15"/>
      <c r="NJY232" s="15"/>
      <c r="NJZ232" s="15"/>
      <c r="NKA232" s="15"/>
      <c r="NKB232" s="10"/>
      <c r="NKC232" s="10"/>
      <c r="NKD232" s="21"/>
      <c r="NKE232" s="21"/>
      <c r="NKH232" s="21"/>
      <c r="NKI232" s="15"/>
      <c r="NKJ232" s="15"/>
      <c r="NKK232" s="15"/>
      <c r="NKL232" s="15"/>
      <c r="NKM232" s="15"/>
      <c r="NKN232" s="15"/>
      <c r="NKO232" s="15"/>
      <c r="NKP232" s="15"/>
      <c r="NKQ232" s="15"/>
      <c r="NKR232" s="15"/>
      <c r="NKS232" s="10"/>
      <c r="NKT232" s="10"/>
      <c r="NKU232" s="21"/>
      <c r="NKV232" s="21"/>
      <c r="NKY232" s="21"/>
      <c r="NKZ232" s="15"/>
      <c r="NLA232" s="15"/>
      <c r="NLB232" s="15"/>
      <c r="NLC232" s="15"/>
      <c r="NLD232" s="15"/>
      <c r="NLE232" s="15"/>
      <c r="NLF232" s="15"/>
      <c r="NLG232" s="15"/>
      <c r="NLH232" s="15"/>
      <c r="NLI232" s="15"/>
      <c r="NLJ232" s="10"/>
      <c r="NLK232" s="10"/>
      <c r="NLL232" s="21"/>
      <c r="NLM232" s="21"/>
      <c r="NLP232" s="21"/>
      <c r="NLQ232" s="15"/>
      <c r="NLR232" s="15"/>
      <c r="NLS232" s="15"/>
      <c r="NLT232" s="15"/>
      <c r="NLU232" s="15"/>
      <c r="NLV232" s="15"/>
      <c r="NLW232" s="15"/>
      <c r="NLX232" s="15"/>
      <c r="NLY232" s="15"/>
      <c r="NLZ232" s="15"/>
      <c r="NMA232" s="10"/>
      <c r="NMB232" s="10"/>
      <c r="NMC232" s="21"/>
      <c r="NMD232" s="21"/>
      <c r="NMG232" s="21"/>
      <c r="NMH232" s="15"/>
      <c r="NMI232" s="15"/>
      <c r="NMJ232" s="15"/>
      <c r="NMK232" s="15"/>
      <c r="NML232" s="15"/>
      <c r="NMM232" s="15"/>
      <c r="NMN232" s="15"/>
      <c r="NMO232" s="15"/>
      <c r="NMP232" s="15"/>
      <c r="NMQ232" s="15"/>
      <c r="NMR232" s="10"/>
      <c r="NMS232" s="10"/>
      <c r="NMT232" s="21"/>
      <c r="NMU232" s="21"/>
      <c r="NMX232" s="21"/>
      <c r="NMY232" s="15"/>
      <c r="NMZ232" s="15"/>
      <c r="NNA232" s="15"/>
      <c r="NNB232" s="15"/>
      <c r="NNC232" s="15"/>
      <c r="NND232" s="15"/>
      <c r="NNE232" s="15"/>
      <c r="NNF232" s="15"/>
      <c r="NNG232" s="15"/>
      <c r="NNH232" s="15"/>
      <c r="NNI232" s="10"/>
      <c r="NNJ232" s="10"/>
      <c r="NNK232" s="21"/>
      <c r="NNL232" s="21"/>
      <c r="NNO232" s="21"/>
      <c r="NNP232" s="15"/>
      <c r="NNQ232" s="15"/>
      <c r="NNR232" s="15"/>
      <c r="NNS232" s="15"/>
      <c r="NNT232" s="15"/>
      <c r="NNU232" s="15"/>
      <c r="NNV232" s="15"/>
      <c r="NNW232" s="15"/>
      <c r="NNX232" s="15"/>
      <c r="NNY232" s="15"/>
      <c r="NNZ232" s="10"/>
      <c r="NOA232" s="10"/>
      <c r="NOB232" s="21"/>
      <c r="NOC232" s="21"/>
      <c r="NOF232" s="21"/>
      <c r="NOG232" s="15"/>
      <c r="NOH232" s="15"/>
      <c r="NOI232" s="15"/>
      <c r="NOJ232" s="15"/>
      <c r="NOK232" s="15"/>
      <c r="NOL232" s="15"/>
      <c r="NOM232" s="15"/>
      <c r="NON232" s="15"/>
      <c r="NOO232" s="15"/>
      <c r="NOP232" s="15"/>
      <c r="NOQ232" s="10"/>
      <c r="NOR232" s="10"/>
      <c r="NOS232" s="21"/>
      <c r="NOT232" s="21"/>
      <c r="NOW232" s="21"/>
      <c r="NOX232" s="15"/>
      <c r="NOY232" s="15"/>
      <c r="NOZ232" s="15"/>
      <c r="NPA232" s="15"/>
      <c r="NPB232" s="15"/>
      <c r="NPC232" s="15"/>
      <c r="NPD232" s="15"/>
      <c r="NPE232" s="15"/>
      <c r="NPF232" s="15"/>
      <c r="NPG232" s="15"/>
      <c r="NPH232" s="10"/>
      <c r="NPI232" s="10"/>
      <c r="NPJ232" s="21"/>
      <c r="NPK232" s="21"/>
      <c r="NPN232" s="21"/>
      <c r="NPO232" s="15"/>
      <c r="NPP232" s="15"/>
      <c r="NPQ232" s="15"/>
      <c r="NPR232" s="15"/>
      <c r="NPS232" s="15"/>
      <c r="NPT232" s="15"/>
      <c r="NPU232" s="15"/>
      <c r="NPV232" s="15"/>
      <c r="NPW232" s="15"/>
      <c r="NPX232" s="15"/>
      <c r="NPY232" s="10"/>
      <c r="NPZ232" s="10"/>
      <c r="NQA232" s="21"/>
      <c r="NQB232" s="21"/>
      <c r="NQE232" s="21"/>
      <c r="NQF232" s="15"/>
      <c r="NQG232" s="15"/>
      <c r="NQH232" s="15"/>
      <c r="NQI232" s="15"/>
      <c r="NQJ232" s="15"/>
      <c r="NQK232" s="15"/>
      <c r="NQL232" s="15"/>
      <c r="NQM232" s="15"/>
      <c r="NQN232" s="15"/>
      <c r="NQO232" s="15"/>
      <c r="NQP232" s="10"/>
      <c r="NQQ232" s="10"/>
      <c r="NQR232" s="21"/>
      <c r="NQS232" s="21"/>
      <c r="NQV232" s="21"/>
      <c r="NQW232" s="15"/>
      <c r="NQX232" s="15"/>
      <c r="NQY232" s="15"/>
      <c r="NQZ232" s="15"/>
      <c r="NRA232" s="15"/>
      <c r="NRB232" s="15"/>
      <c r="NRC232" s="15"/>
      <c r="NRD232" s="15"/>
      <c r="NRE232" s="15"/>
      <c r="NRF232" s="15"/>
      <c r="NRG232" s="10"/>
      <c r="NRH232" s="10"/>
      <c r="NRI232" s="21"/>
      <c r="NRJ232" s="21"/>
      <c r="NRM232" s="21"/>
      <c r="NRN232" s="15"/>
      <c r="NRO232" s="15"/>
      <c r="NRP232" s="15"/>
      <c r="NRQ232" s="15"/>
      <c r="NRR232" s="15"/>
      <c r="NRS232" s="15"/>
      <c r="NRT232" s="15"/>
      <c r="NRU232" s="15"/>
      <c r="NRV232" s="15"/>
      <c r="NRW232" s="15"/>
      <c r="NRX232" s="10"/>
      <c r="NRY232" s="10"/>
      <c r="NRZ232" s="21"/>
      <c r="NSA232" s="21"/>
      <c r="NSD232" s="21"/>
      <c r="NSE232" s="15"/>
      <c r="NSF232" s="15"/>
      <c r="NSG232" s="15"/>
      <c r="NSH232" s="15"/>
      <c r="NSI232" s="15"/>
      <c r="NSJ232" s="15"/>
      <c r="NSK232" s="15"/>
      <c r="NSL232" s="15"/>
      <c r="NSM232" s="15"/>
      <c r="NSN232" s="15"/>
      <c r="NSO232" s="10"/>
      <c r="NSP232" s="10"/>
      <c r="NSQ232" s="21"/>
      <c r="NSR232" s="21"/>
      <c r="NSU232" s="21"/>
      <c r="NSV232" s="15"/>
      <c r="NSW232" s="15"/>
      <c r="NSX232" s="15"/>
      <c r="NSY232" s="15"/>
      <c r="NSZ232" s="15"/>
      <c r="NTA232" s="15"/>
      <c r="NTB232" s="15"/>
      <c r="NTC232" s="15"/>
      <c r="NTD232" s="15"/>
      <c r="NTE232" s="15"/>
      <c r="NTF232" s="10"/>
      <c r="NTG232" s="10"/>
      <c r="NTH232" s="21"/>
      <c r="NTI232" s="21"/>
      <c r="NTL232" s="21"/>
      <c r="NTM232" s="15"/>
      <c r="NTN232" s="15"/>
      <c r="NTO232" s="15"/>
      <c r="NTP232" s="15"/>
      <c r="NTQ232" s="15"/>
      <c r="NTR232" s="15"/>
      <c r="NTS232" s="15"/>
      <c r="NTT232" s="15"/>
      <c r="NTU232" s="15"/>
      <c r="NTV232" s="15"/>
      <c r="NTW232" s="10"/>
      <c r="NTX232" s="10"/>
      <c r="NTY232" s="21"/>
      <c r="NTZ232" s="21"/>
      <c r="NUC232" s="21"/>
      <c r="NUD232" s="15"/>
      <c r="NUE232" s="15"/>
      <c r="NUF232" s="15"/>
      <c r="NUG232" s="15"/>
      <c r="NUH232" s="15"/>
      <c r="NUI232" s="15"/>
      <c r="NUJ232" s="15"/>
      <c r="NUK232" s="15"/>
      <c r="NUL232" s="15"/>
      <c r="NUM232" s="15"/>
      <c r="NUN232" s="10"/>
      <c r="NUO232" s="10"/>
      <c r="NUP232" s="21"/>
      <c r="NUQ232" s="21"/>
      <c r="NUT232" s="21"/>
      <c r="NUU232" s="15"/>
      <c r="NUV232" s="15"/>
      <c r="NUW232" s="15"/>
      <c r="NUX232" s="15"/>
      <c r="NUY232" s="15"/>
      <c r="NUZ232" s="15"/>
      <c r="NVA232" s="15"/>
      <c r="NVB232" s="15"/>
      <c r="NVC232" s="15"/>
      <c r="NVD232" s="15"/>
      <c r="NVE232" s="10"/>
      <c r="NVF232" s="10"/>
      <c r="NVG232" s="21"/>
      <c r="NVH232" s="21"/>
      <c r="NVK232" s="21"/>
      <c r="NVL232" s="15"/>
      <c r="NVM232" s="15"/>
      <c r="NVN232" s="15"/>
      <c r="NVO232" s="15"/>
      <c r="NVP232" s="15"/>
      <c r="NVQ232" s="15"/>
      <c r="NVR232" s="15"/>
      <c r="NVS232" s="15"/>
      <c r="NVT232" s="15"/>
      <c r="NVU232" s="15"/>
      <c r="NVV232" s="10"/>
      <c r="NVW232" s="10"/>
      <c r="NVX232" s="21"/>
      <c r="NVY232" s="21"/>
      <c r="NWB232" s="21"/>
      <c r="NWC232" s="15"/>
      <c r="NWD232" s="15"/>
      <c r="NWE232" s="15"/>
      <c r="NWF232" s="15"/>
      <c r="NWG232" s="15"/>
      <c r="NWH232" s="15"/>
      <c r="NWI232" s="15"/>
      <c r="NWJ232" s="15"/>
      <c r="NWK232" s="15"/>
      <c r="NWL232" s="15"/>
      <c r="NWM232" s="10"/>
      <c r="NWN232" s="10"/>
      <c r="NWO232" s="21"/>
      <c r="NWP232" s="21"/>
      <c r="NWS232" s="21"/>
      <c r="NWT232" s="15"/>
      <c r="NWU232" s="15"/>
      <c r="NWV232" s="15"/>
      <c r="NWW232" s="15"/>
      <c r="NWX232" s="15"/>
      <c r="NWY232" s="15"/>
      <c r="NWZ232" s="15"/>
      <c r="NXA232" s="15"/>
      <c r="NXB232" s="15"/>
      <c r="NXC232" s="15"/>
      <c r="NXD232" s="10"/>
      <c r="NXE232" s="10"/>
      <c r="NXF232" s="21"/>
      <c r="NXG232" s="21"/>
      <c r="NXJ232" s="21"/>
      <c r="NXK232" s="15"/>
      <c r="NXL232" s="15"/>
      <c r="NXM232" s="15"/>
      <c r="NXN232" s="15"/>
      <c r="NXO232" s="15"/>
      <c r="NXP232" s="15"/>
      <c r="NXQ232" s="15"/>
      <c r="NXR232" s="15"/>
      <c r="NXS232" s="15"/>
      <c r="NXT232" s="15"/>
      <c r="NXU232" s="10"/>
      <c r="NXV232" s="10"/>
      <c r="NXW232" s="21"/>
      <c r="NXX232" s="21"/>
      <c r="NYA232" s="21"/>
      <c r="NYB232" s="15"/>
      <c r="NYC232" s="15"/>
      <c r="NYD232" s="15"/>
      <c r="NYE232" s="15"/>
      <c r="NYF232" s="15"/>
      <c r="NYG232" s="15"/>
      <c r="NYH232" s="15"/>
      <c r="NYI232" s="15"/>
      <c r="NYJ232" s="15"/>
      <c r="NYK232" s="15"/>
      <c r="NYL232" s="10"/>
      <c r="NYM232" s="10"/>
      <c r="NYN232" s="21"/>
      <c r="NYO232" s="21"/>
      <c r="NYR232" s="21"/>
      <c r="NYS232" s="15"/>
      <c r="NYT232" s="15"/>
      <c r="NYU232" s="15"/>
      <c r="NYV232" s="15"/>
      <c r="NYW232" s="15"/>
      <c r="NYX232" s="15"/>
      <c r="NYY232" s="15"/>
      <c r="NYZ232" s="15"/>
      <c r="NZA232" s="15"/>
      <c r="NZB232" s="15"/>
      <c r="NZC232" s="10"/>
      <c r="NZD232" s="10"/>
      <c r="NZE232" s="21"/>
      <c r="NZF232" s="21"/>
      <c r="NZI232" s="21"/>
      <c r="NZJ232" s="15"/>
      <c r="NZK232" s="15"/>
      <c r="NZL232" s="15"/>
      <c r="NZM232" s="15"/>
      <c r="NZN232" s="15"/>
      <c r="NZO232" s="15"/>
      <c r="NZP232" s="15"/>
      <c r="NZQ232" s="15"/>
      <c r="NZR232" s="15"/>
      <c r="NZS232" s="15"/>
      <c r="NZT232" s="10"/>
      <c r="NZU232" s="10"/>
      <c r="NZV232" s="21"/>
      <c r="NZW232" s="21"/>
      <c r="NZZ232" s="21"/>
      <c r="OAA232" s="15"/>
      <c r="OAB232" s="15"/>
      <c r="OAC232" s="15"/>
      <c r="OAD232" s="15"/>
      <c r="OAE232" s="15"/>
      <c r="OAF232" s="15"/>
      <c r="OAG232" s="15"/>
      <c r="OAH232" s="15"/>
      <c r="OAI232" s="15"/>
      <c r="OAJ232" s="15"/>
      <c r="OAK232" s="10"/>
      <c r="OAL232" s="10"/>
      <c r="OAM232" s="21"/>
      <c r="OAN232" s="21"/>
      <c r="OAQ232" s="21"/>
      <c r="OAR232" s="15"/>
      <c r="OAS232" s="15"/>
      <c r="OAT232" s="15"/>
      <c r="OAU232" s="15"/>
      <c r="OAV232" s="15"/>
      <c r="OAW232" s="15"/>
      <c r="OAX232" s="15"/>
      <c r="OAY232" s="15"/>
      <c r="OAZ232" s="15"/>
      <c r="OBA232" s="15"/>
      <c r="OBB232" s="10"/>
      <c r="OBC232" s="10"/>
      <c r="OBD232" s="21"/>
      <c r="OBE232" s="21"/>
      <c r="OBH232" s="21"/>
      <c r="OBI232" s="15"/>
      <c r="OBJ232" s="15"/>
      <c r="OBK232" s="15"/>
      <c r="OBL232" s="15"/>
      <c r="OBM232" s="15"/>
      <c r="OBN232" s="15"/>
      <c r="OBO232" s="15"/>
      <c r="OBP232" s="15"/>
      <c r="OBQ232" s="15"/>
      <c r="OBR232" s="15"/>
      <c r="OBS232" s="10"/>
      <c r="OBT232" s="10"/>
      <c r="OBU232" s="21"/>
      <c r="OBV232" s="21"/>
      <c r="OBY232" s="21"/>
      <c r="OBZ232" s="15"/>
      <c r="OCA232" s="15"/>
      <c r="OCB232" s="15"/>
      <c r="OCC232" s="15"/>
      <c r="OCD232" s="15"/>
      <c r="OCE232" s="15"/>
      <c r="OCF232" s="15"/>
      <c r="OCG232" s="15"/>
      <c r="OCH232" s="15"/>
      <c r="OCI232" s="15"/>
      <c r="OCJ232" s="10"/>
      <c r="OCK232" s="10"/>
      <c r="OCL232" s="21"/>
      <c r="OCM232" s="21"/>
      <c r="OCP232" s="21"/>
      <c r="OCQ232" s="15"/>
      <c r="OCR232" s="15"/>
      <c r="OCS232" s="15"/>
      <c r="OCT232" s="15"/>
      <c r="OCU232" s="15"/>
      <c r="OCV232" s="15"/>
      <c r="OCW232" s="15"/>
      <c r="OCX232" s="15"/>
      <c r="OCY232" s="15"/>
      <c r="OCZ232" s="15"/>
      <c r="ODA232" s="10"/>
      <c r="ODB232" s="10"/>
      <c r="ODC232" s="21"/>
      <c r="ODD232" s="21"/>
      <c r="ODG232" s="21"/>
      <c r="ODH232" s="15"/>
      <c r="ODI232" s="15"/>
      <c r="ODJ232" s="15"/>
      <c r="ODK232" s="15"/>
      <c r="ODL232" s="15"/>
      <c r="ODM232" s="15"/>
      <c r="ODN232" s="15"/>
      <c r="ODO232" s="15"/>
      <c r="ODP232" s="15"/>
      <c r="ODQ232" s="15"/>
      <c r="ODR232" s="10"/>
      <c r="ODS232" s="10"/>
      <c r="ODT232" s="21"/>
      <c r="ODU232" s="21"/>
      <c r="ODX232" s="21"/>
      <c r="ODY232" s="15"/>
      <c r="ODZ232" s="15"/>
      <c r="OEA232" s="15"/>
      <c r="OEB232" s="15"/>
      <c r="OEC232" s="15"/>
      <c r="OED232" s="15"/>
      <c r="OEE232" s="15"/>
      <c r="OEF232" s="15"/>
      <c r="OEG232" s="15"/>
      <c r="OEH232" s="15"/>
      <c r="OEI232" s="10"/>
      <c r="OEJ232" s="10"/>
      <c r="OEK232" s="21"/>
      <c r="OEL232" s="21"/>
      <c r="OEO232" s="21"/>
      <c r="OEP232" s="15"/>
      <c r="OEQ232" s="15"/>
      <c r="OER232" s="15"/>
      <c r="OES232" s="15"/>
      <c r="OET232" s="15"/>
      <c r="OEU232" s="15"/>
      <c r="OEV232" s="15"/>
      <c r="OEW232" s="15"/>
      <c r="OEX232" s="15"/>
      <c r="OEY232" s="15"/>
      <c r="OEZ232" s="10"/>
      <c r="OFA232" s="10"/>
      <c r="OFB232" s="21"/>
      <c r="OFC232" s="21"/>
      <c r="OFF232" s="21"/>
      <c r="OFG232" s="15"/>
      <c r="OFH232" s="15"/>
      <c r="OFI232" s="15"/>
      <c r="OFJ232" s="15"/>
      <c r="OFK232" s="15"/>
      <c r="OFL232" s="15"/>
      <c r="OFM232" s="15"/>
      <c r="OFN232" s="15"/>
      <c r="OFO232" s="15"/>
      <c r="OFP232" s="15"/>
      <c r="OFQ232" s="10"/>
      <c r="OFR232" s="10"/>
      <c r="OFS232" s="21"/>
      <c r="OFT232" s="21"/>
      <c r="OFW232" s="21"/>
      <c r="OFX232" s="15"/>
      <c r="OFY232" s="15"/>
      <c r="OFZ232" s="15"/>
      <c r="OGA232" s="15"/>
      <c r="OGB232" s="15"/>
      <c r="OGC232" s="15"/>
      <c r="OGD232" s="15"/>
      <c r="OGE232" s="15"/>
      <c r="OGF232" s="15"/>
      <c r="OGG232" s="15"/>
      <c r="OGH232" s="10"/>
      <c r="OGI232" s="10"/>
      <c r="OGJ232" s="21"/>
      <c r="OGK232" s="21"/>
      <c r="OGN232" s="21"/>
      <c r="OGO232" s="15"/>
      <c r="OGP232" s="15"/>
      <c r="OGQ232" s="15"/>
      <c r="OGR232" s="15"/>
      <c r="OGS232" s="15"/>
      <c r="OGT232" s="15"/>
      <c r="OGU232" s="15"/>
      <c r="OGV232" s="15"/>
      <c r="OGW232" s="15"/>
      <c r="OGX232" s="15"/>
      <c r="OGY232" s="10"/>
      <c r="OGZ232" s="10"/>
      <c r="OHA232" s="21"/>
      <c r="OHB232" s="21"/>
      <c r="OHE232" s="21"/>
      <c r="OHF232" s="15"/>
      <c r="OHG232" s="15"/>
      <c r="OHH232" s="15"/>
      <c r="OHI232" s="15"/>
      <c r="OHJ232" s="15"/>
      <c r="OHK232" s="15"/>
      <c r="OHL232" s="15"/>
      <c r="OHM232" s="15"/>
      <c r="OHN232" s="15"/>
      <c r="OHO232" s="15"/>
      <c r="OHP232" s="10"/>
      <c r="OHQ232" s="10"/>
      <c r="OHR232" s="21"/>
      <c r="OHS232" s="21"/>
      <c r="OHV232" s="21"/>
      <c r="OHW232" s="15"/>
      <c r="OHX232" s="15"/>
      <c r="OHY232" s="15"/>
      <c r="OHZ232" s="15"/>
      <c r="OIA232" s="15"/>
      <c r="OIB232" s="15"/>
      <c r="OIC232" s="15"/>
      <c r="OID232" s="15"/>
      <c r="OIE232" s="15"/>
      <c r="OIF232" s="15"/>
      <c r="OIG232" s="10"/>
      <c r="OIH232" s="10"/>
      <c r="OII232" s="21"/>
      <c r="OIJ232" s="21"/>
      <c r="OIM232" s="21"/>
      <c r="OIN232" s="15"/>
      <c r="OIO232" s="15"/>
      <c r="OIP232" s="15"/>
      <c r="OIQ232" s="15"/>
      <c r="OIR232" s="15"/>
      <c r="OIS232" s="15"/>
      <c r="OIT232" s="15"/>
      <c r="OIU232" s="15"/>
      <c r="OIV232" s="15"/>
      <c r="OIW232" s="15"/>
      <c r="OIX232" s="10"/>
      <c r="OIY232" s="10"/>
      <c r="OIZ232" s="21"/>
      <c r="OJA232" s="21"/>
      <c r="OJD232" s="21"/>
      <c r="OJE232" s="15"/>
      <c r="OJF232" s="15"/>
      <c r="OJG232" s="15"/>
      <c r="OJH232" s="15"/>
      <c r="OJI232" s="15"/>
      <c r="OJJ232" s="15"/>
      <c r="OJK232" s="15"/>
      <c r="OJL232" s="15"/>
      <c r="OJM232" s="15"/>
      <c r="OJN232" s="15"/>
      <c r="OJO232" s="10"/>
      <c r="OJP232" s="10"/>
      <c r="OJQ232" s="21"/>
      <c r="OJR232" s="21"/>
      <c r="OJU232" s="21"/>
      <c r="OJV232" s="15"/>
      <c r="OJW232" s="15"/>
      <c r="OJX232" s="15"/>
      <c r="OJY232" s="15"/>
      <c r="OJZ232" s="15"/>
      <c r="OKA232" s="15"/>
      <c r="OKB232" s="15"/>
      <c r="OKC232" s="15"/>
      <c r="OKD232" s="15"/>
      <c r="OKE232" s="15"/>
      <c r="OKF232" s="10"/>
      <c r="OKG232" s="10"/>
      <c r="OKH232" s="21"/>
      <c r="OKI232" s="21"/>
      <c r="OKL232" s="21"/>
      <c r="OKM232" s="15"/>
      <c r="OKN232" s="15"/>
      <c r="OKO232" s="15"/>
      <c r="OKP232" s="15"/>
      <c r="OKQ232" s="15"/>
      <c r="OKR232" s="15"/>
      <c r="OKS232" s="15"/>
      <c r="OKT232" s="15"/>
      <c r="OKU232" s="15"/>
      <c r="OKV232" s="15"/>
      <c r="OKW232" s="10"/>
      <c r="OKX232" s="10"/>
      <c r="OKY232" s="21"/>
      <c r="OKZ232" s="21"/>
      <c r="OLC232" s="21"/>
      <c r="OLD232" s="15"/>
      <c r="OLE232" s="15"/>
      <c r="OLF232" s="15"/>
      <c r="OLG232" s="15"/>
      <c r="OLH232" s="15"/>
      <c r="OLI232" s="15"/>
      <c r="OLJ232" s="15"/>
      <c r="OLK232" s="15"/>
      <c r="OLL232" s="15"/>
      <c r="OLM232" s="15"/>
      <c r="OLN232" s="10"/>
      <c r="OLO232" s="10"/>
      <c r="OLP232" s="21"/>
      <c r="OLQ232" s="21"/>
      <c r="OLT232" s="21"/>
      <c r="OLU232" s="15"/>
      <c r="OLV232" s="15"/>
      <c r="OLW232" s="15"/>
      <c r="OLX232" s="15"/>
      <c r="OLY232" s="15"/>
      <c r="OLZ232" s="15"/>
      <c r="OMA232" s="15"/>
      <c r="OMB232" s="15"/>
      <c r="OMC232" s="15"/>
      <c r="OMD232" s="15"/>
      <c r="OME232" s="10"/>
      <c r="OMF232" s="10"/>
      <c r="OMG232" s="21"/>
      <c r="OMH232" s="21"/>
      <c r="OMK232" s="21"/>
      <c r="OML232" s="15"/>
      <c r="OMM232" s="15"/>
      <c r="OMN232" s="15"/>
      <c r="OMO232" s="15"/>
      <c r="OMP232" s="15"/>
      <c r="OMQ232" s="15"/>
      <c r="OMR232" s="15"/>
      <c r="OMS232" s="15"/>
      <c r="OMT232" s="15"/>
      <c r="OMU232" s="15"/>
      <c r="OMV232" s="10"/>
      <c r="OMW232" s="10"/>
      <c r="OMX232" s="21"/>
      <c r="OMY232" s="21"/>
      <c r="ONB232" s="21"/>
      <c r="ONC232" s="15"/>
      <c r="OND232" s="15"/>
      <c r="ONE232" s="15"/>
      <c r="ONF232" s="15"/>
      <c r="ONG232" s="15"/>
      <c r="ONH232" s="15"/>
      <c r="ONI232" s="15"/>
      <c r="ONJ232" s="15"/>
      <c r="ONK232" s="15"/>
      <c r="ONL232" s="15"/>
      <c r="ONM232" s="10"/>
      <c r="ONN232" s="10"/>
      <c r="ONO232" s="21"/>
      <c r="ONP232" s="21"/>
      <c r="ONS232" s="21"/>
      <c r="ONT232" s="15"/>
      <c r="ONU232" s="15"/>
      <c r="ONV232" s="15"/>
      <c r="ONW232" s="15"/>
      <c r="ONX232" s="15"/>
      <c r="ONY232" s="15"/>
      <c r="ONZ232" s="15"/>
      <c r="OOA232" s="15"/>
      <c r="OOB232" s="15"/>
      <c r="OOC232" s="15"/>
      <c r="OOD232" s="10"/>
      <c r="OOE232" s="10"/>
      <c r="OOF232" s="21"/>
      <c r="OOG232" s="21"/>
      <c r="OOJ232" s="21"/>
      <c r="OOK232" s="15"/>
      <c r="OOL232" s="15"/>
      <c r="OOM232" s="15"/>
      <c r="OON232" s="15"/>
      <c r="OOO232" s="15"/>
      <c r="OOP232" s="15"/>
      <c r="OOQ232" s="15"/>
      <c r="OOR232" s="15"/>
      <c r="OOS232" s="15"/>
      <c r="OOT232" s="15"/>
      <c r="OOU232" s="10"/>
      <c r="OOV232" s="10"/>
      <c r="OOW232" s="21"/>
      <c r="OOX232" s="21"/>
      <c r="OPA232" s="21"/>
      <c r="OPB232" s="15"/>
      <c r="OPC232" s="15"/>
      <c r="OPD232" s="15"/>
      <c r="OPE232" s="15"/>
      <c r="OPF232" s="15"/>
      <c r="OPG232" s="15"/>
      <c r="OPH232" s="15"/>
      <c r="OPI232" s="15"/>
      <c r="OPJ232" s="15"/>
      <c r="OPK232" s="15"/>
      <c r="OPL232" s="10"/>
      <c r="OPM232" s="10"/>
      <c r="OPN232" s="21"/>
      <c r="OPO232" s="21"/>
      <c r="OPR232" s="21"/>
      <c r="OPS232" s="15"/>
      <c r="OPT232" s="15"/>
      <c r="OPU232" s="15"/>
      <c r="OPV232" s="15"/>
      <c r="OPW232" s="15"/>
      <c r="OPX232" s="15"/>
      <c r="OPY232" s="15"/>
      <c r="OPZ232" s="15"/>
      <c r="OQA232" s="15"/>
      <c r="OQB232" s="15"/>
      <c r="OQC232" s="10"/>
      <c r="OQD232" s="10"/>
      <c r="OQE232" s="21"/>
      <c r="OQF232" s="21"/>
      <c r="OQI232" s="21"/>
      <c r="OQJ232" s="15"/>
      <c r="OQK232" s="15"/>
      <c r="OQL232" s="15"/>
      <c r="OQM232" s="15"/>
      <c r="OQN232" s="15"/>
      <c r="OQO232" s="15"/>
      <c r="OQP232" s="15"/>
      <c r="OQQ232" s="15"/>
      <c r="OQR232" s="15"/>
      <c r="OQS232" s="15"/>
      <c r="OQT232" s="10"/>
      <c r="OQU232" s="10"/>
      <c r="OQV232" s="21"/>
      <c r="OQW232" s="21"/>
      <c r="OQZ232" s="21"/>
      <c r="ORA232" s="15"/>
      <c r="ORB232" s="15"/>
      <c r="ORC232" s="15"/>
      <c r="ORD232" s="15"/>
      <c r="ORE232" s="15"/>
      <c r="ORF232" s="15"/>
      <c r="ORG232" s="15"/>
      <c r="ORH232" s="15"/>
      <c r="ORI232" s="15"/>
      <c r="ORJ232" s="15"/>
      <c r="ORK232" s="10"/>
      <c r="ORL232" s="10"/>
      <c r="ORM232" s="21"/>
      <c r="ORN232" s="21"/>
      <c r="ORQ232" s="21"/>
      <c r="ORR232" s="15"/>
      <c r="ORS232" s="15"/>
      <c r="ORT232" s="15"/>
      <c r="ORU232" s="15"/>
      <c r="ORV232" s="15"/>
      <c r="ORW232" s="15"/>
      <c r="ORX232" s="15"/>
      <c r="ORY232" s="15"/>
      <c r="ORZ232" s="15"/>
      <c r="OSA232" s="15"/>
      <c r="OSB232" s="10"/>
      <c r="OSC232" s="10"/>
      <c r="OSD232" s="21"/>
      <c r="OSE232" s="21"/>
      <c r="OSH232" s="21"/>
      <c r="OSI232" s="15"/>
      <c r="OSJ232" s="15"/>
      <c r="OSK232" s="15"/>
      <c r="OSL232" s="15"/>
      <c r="OSM232" s="15"/>
      <c r="OSN232" s="15"/>
      <c r="OSO232" s="15"/>
      <c r="OSP232" s="15"/>
      <c r="OSQ232" s="15"/>
      <c r="OSR232" s="15"/>
      <c r="OSS232" s="10"/>
      <c r="OST232" s="10"/>
      <c r="OSU232" s="21"/>
      <c r="OSV232" s="21"/>
      <c r="OSY232" s="21"/>
      <c r="OSZ232" s="15"/>
      <c r="OTA232" s="15"/>
      <c r="OTB232" s="15"/>
      <c r="OTC232" s="15"/>
      <c r="OTD232" s="15"/>
      <c r="OTE232" s="15"/>
      <c r="OTF232" s="15"/>
      <c r="OTG232" s="15"/>
      <c r="OTH232" s="15"/>
      <c r="OTI232" s="15"/>
      <c r="OTJ232" s="10"/>
      <c r="OTK232" s="10"/>
      <c r="OTL232" s="21"/>
      <c r="OTM232" s="21"/>
      <c r="OTP232" s="21"/>
      <c r="OTQ232" s="15"/>
      <c r="OTR232" s="15"/>
      <c r="OTS232" s="15"/>
      <c r="OTT232" s="15"/>
      <c r="OTU232" s="15"/>
      <c r="OTV232" s="15"/>
      <c r="OTW232" s="15"/>
      <c r="OTX232" s="15"/>
      <c r="OTY232" s="15"/>
      <c r="OTZ232" s="15"/>
      <c r="OUA232" s="10"/>
      <c r="OUB232" s="10"/>
      <c r="OUC232" s="21"/>
      <c r="OUD232" s="21"/>
      <c r="OUG232" s="21"/>
      <c r="OUH232" s="15"/>
      <c r="OUI232" s="15"/>
      <c r="OUJ232" s="15"/>
      <c r="OUK232" s="15"/>
      <c r="OUL232" s="15"/>
      <c r="OUM232" s="15"/>
      <c r="OUN232" s="15"/>
      <c r="OUO232" s="15"/>
      <c r="OUP232" s="15"/>
      <c r="OUQ232" s="15"/>
      <c r="OUR232" s="10"/>
      <c r="OUS232" s="10"/>
      <c r="OUT232" s="21"/>
      <c r="OUU232" s="21"/>
      <c r="OUX232" s="21"/>
      <c r="OUY232" s="15"/>
      <c r="OUZ232" s="15"/>
      <c r="OVA232" s="15"/>
      <c r="OVB232" s="15"/>
      <c r="OVC232" s="15"/>
      <c r="OVD232" s="15"/>
      <c r="OVE232" s="15"/>
      <c r="OVF232" s="15"/>
      <c r="OVG232" s="15"/>
      <c r="OVH232" s="15"/>
      <c r="OVI232" s="10"/>
      <c r="OVJ232" s="10"/>
      <c r="OVK232" s="21"/>
      <c r="OVL232" s="21"/>
      <c r="OVO232" s="21"/>
      <c r="OVP232" s="15"/>
      <c r="OVQ232" s="15"/>
      <c r="OVR232" s="15"/>
      <c r="OVS232" s="15"/>
      <c r="OVT232" s="15"/>
      <c r="OVU232" s="15"/>
      <c r="OVV232" s="15"/>
      <c r="OVW232" s="15"/>
      <c r="OVX232" s="15"/>
      <c r="OVY232" s="15"/>
      <c r="OVZ232" s="10"/>
      <c r="OWA232" s="10"/>
      <c r="OWB232" s="21"/>
      <c r="OWC232" s="21"/>
      <c r="OWF232" s="21"/>
      <c r="OWG232" s="15"/>
      <c r="OWH232" s="15"/>
      <c r="OWI232" s="15"/>
      <c r="OWJ232" s="15"/>
      <c r="OWK232" s="15"/>
      <c r="OWL232" s="15"/>
      <c r="OWM232" s="15"/>
      <c r="OWN232" s="15"/>
      <c r="OWO232" s="15"/>
      <c r="OWP232" s="15"/>
      <c r="OWQ232" s="10"/>
      <c r="OWR232" s="10"/>
      <c r="OWS232" s="21"/>
      <c r="OWT232" s="21"/>
      <c r="OWW232" s="21"/>
      <c r="OWX232" s="15"/>
      <c r="OWY232" s="15"/>
      <c r="OWZ232" s="15"/>
      <c r="OXA232" s="15"/>
      <c r="OXB232" s="15"/>
      <c r="OXC232" s="15"/>
      <c r="OXD232" s="15"/>
      <c r="OXE232" s="15"/>
      <c r="OXF232" s="15"/>
      <c r="OXG232" s="15"/>
      <c r="OXH232" s="10"/>
      <c r="OXI232" s="10"/>
      <c r="OXJ232" s="21"/>
      <c r="OXK232" s="21"/>
      <c r="OXN232" s="21"/>
      <c r="OXO232" s="15"/>
      <c r="OXP232" s="15"/>
      <c r="OXQ232" s="15"/>
      <c r="OXR232" s="15"/>
      <c r="OXS232" s="15"/>
      <c r="OXT232" s="15"/>
      <c r="OXU232" s="15"/>
      <c r="OXV232" s="15"/>
      <c r="OXW232" s="15"/>
      <c r="OXX232" s="15"/>
      <c r="OXY232" s="10"/>
      <c r="OXZ232" s="10"/>
      <c r="OYA232" s="21"/>
      <c r="OYB232" s="21"/>
      <c r="OYE232" s="21"/>
      <c r="OYF232" s="15"/>
      <c r="OYG232" s="15"/>
      <c r="OYH232" s="15"/>
      <c r="OYI232" s="15"/>
      <c r="OYJ232" s="15"/>
      <c r="OYK232" s="15"/>
      <c r="OYL232" s="15"/>
      <c r="OYM232" s="15"/>
      <c r="OYN232" s="15"/>
      <c r="OYO232" s="15"/>
      <c r="OYP232" s="10"/>
      <c r="OYQ232" s="10"/>
      <c r="OYR232" s="21"/>
      <c r="OYS232" s="21"/>
      <c r="OYV232" s="21"/>
      <c r="OYW232" s="15"/>
      <c r="OYX232" s="15"/>
      <c r="OYY232" s="15"/>
      <c r="OYZ232" s="15"/>
      <c r="OZA232" s="15"/>
      <c r="OZB232" s="15"/>
      <c r="OZC232" s="15"/>
      <c r="OZD232" s="15"/>
      <c r="OZE232" s="15"/>
      <c r="OZF232" s="15"/>
      <c r="OZG232" s="10"/>
      <c r="OZH232" s="10"/>
      <c r="OZI232" s="21"/>
      <c r="OZJ232" s="21"/>
      <c r="OZM232" s="21"/>
      <c r="OZN232" s="15"/>
      <c r="OZO232" s="15"/>
      <c r="OZP232" s="15"/>
      <c r="OZQ232" s="15"/>
      <c r="OZR232" s="15"/>
      <c r="OZS232" s="15"/>
      <c r="OZT232" s="15"/>
      <c r="OZU232" s="15"/>
      <c r="OZV232" s="15"/>
      <c r="OZW232" s="15"/>
      <c r="OZX232" s="10"/>
      <c r="OZY232" s="10"/>
      <c r="OZZ232" s="21"/>
      <c r="PAA232" s="21"/>
      <c r="PAD232" s="21"/>
      <c r="PAE232" s="15"/>
      <c r="PAF232" s="15"/>
      <c r="PAG232" s="15"/>
      <c r="PAH232" s="15"/>
      <c r="PAI232" s="15"/>
      <c r="PAJ232" s="15"/>
      <c r="PAK232" s="15"/>
      <c r="PAL232" s="15"/>
      <c r="PAM232" s="15"/>
      <c r="PAN232" s="15"/>
      <c r="PAO232" s="10"/>
      <c r="PAP232" s="10"/>
      <c r="PAQ232" s="21"/>
      <c r="PAR232" s="21"/>
      <c r="PAU232" s="21"/>
      <c r="PAV232" s="15"/>
      <c r="PAW232" s="15"/>
      <c r="PAX232" s="15"/>
      <c r="PAY232" s="15"/>
      <c r="PAZ232" s="15"/>
      <c r="PBA232" s="15"/>
      <c r="PBB232" s="15"/>
      <c r="PBC232" s="15"/>
      <c r="PBD232" s="15"/>
      <c r="PBE232" s="15"/>
      <c r="PBF232" s="10"/>
      <c r="PBG232" s="10"/>
      <c r="PBH232" s="21"/>
      <c r="PBI232" s="21"/>
      <c r="PBL232" s="21"/>
      <c r="PBM232" s="15"/>
      <c r="PBN232" s="15"/>
      <c r="PBO232" s="15"/>
      <c r="PBP232" s="15"/>
      <c r="PBQ232" s="15"/>
      <c r="PBR232" s="15"/>
      <c r="PBS232" s="15"/>
      <c r="PBT232" s="15"/>
      <c r="PBU232" s="15"/>
      <c r="PBV232" s="15"/>
      <c r="PBW232" s="10"/>
      <c r="PBX232" s="10"/>
      <c r="PBY232" s="21"/>
      <c r="PBZ232" s="21"/>
      <c r="PCC232" s="21"/>
      <c r="PCD232" s="15"/>
      <c r="PCE232" s="15"/>
      <c r="PCF232" s="15"/>
      <c r="PCG232" s="15"/>
      <c r="PCH232" s="15"/>
      <c r="PCI232" s="15"/>
      <c r="PCJ232" s="15"/>
      <c r="PCK232" s="15"/>
      <c r="PCL232" s="15"/>
      <c r="PCM232" s="15"/>
      <c r="PCN232" s="10"/>
      <c r="PCO232" s="10"/>
      <c r="PCP232" s="21"/>
      <c r="PCQ232" s="21"/>
      <c r="PCT232" s="21"/>
      <c r="PCU232" s="15"/>
      <c r="PCV232" s="15"/>
      <c r="PCW232" s="15"/>
      <c r="PCX232" s="15"/>
      <c r="PCY232" s="15"/>
      <c r="PCZ232" s="15"/>
      <c r="PDA232" s="15"/>
      <c r="PDB232" s="15"/>
      <c r="PDC232" s="15"/>
      <c r="PDD232" s="15"/>
      <c r="PDE232" s="10"/>
      <c r="PDF232" s="10"/>
      <c r="PDG232" s="21"/>
      <c r="PDH232" s="21"/>
      <c r="PDK232" s="21"/>
      <c r="PDL232" s="15"/>
      <c r="PDM232" s="15"/>
      <c r="PDN232" s="15"/>
      <c r="PDO232" s="15"/>
      <c r="PDP232" s="15"/>
      <c r="PDQ232" s="15"/>
      <c r="PDR232" s="15"/>
      <c r="PDS232" s="15"/>
      <c r="PDT232" s="15"/>
      <c r="PDU232" s="15"/>
      <c r="PDV232" s="10"/>
      <c r="PDW232" s="10"/>
      <c r="PDX232" s="21"/>
      <c r="PDY232" s="21"/>
      <c r="PEB232" s="21"/>
      <c r="PEC232" s="15"/>
      <c r="PED232" s="15"/>
      <c r="PEE232" s="15"/>
      <c r="PEF232" s="15"/>
      <c r="PEG232" s="15"/>
      <c r="PEH232" s="15"/>
      <c r="PEI232" s="15"/>
      <c r="PEJ232" s="15"/>
      <c r="PEK232" s="15"/>
      <c r="PEL232" s="15"/>
      <c r="PEM232" s="10"/>
      <c r="PEN232" s="10"/>
      <c r="PEO232" s="21"/>
      <c r="PEP232" s="21"/>
      <c r="PES232" s="21"/>
      <c r="PET232" s="15"/>
      <c r="PEU232" s="15"/>
      <c r="PEV232" s="15"/>
      <c r="PEW232" s="15"/>
      <c r="PEX232" s="15"/>
      <c r="PEY232" s="15"/>
      <c r="PEZ232" s="15"/>
      <c r="PFA232" s="15"/>
      <c r="PFB232" s="15"/>
      <c r="PFC232" s="15"/>
      <c r="PFD232" s="10"/>
      <c r="PFE232" s="10"/>
      <c r="PFF232" s="21"/>
      <c r="PFG232" s="21"/>
      <c r="PFJ232" s="21"/>
      <c r="PFK232" s="15"/>
      <c r="PFL232" s="15"/>
      <c r="PFM232" s="15"/>
      <c r="PFN232" s="15"/>
      <c r="PFO232" s="15"/>
      <c r="PFP232" s="15"/>
      <c r="PFQ232" s="15"/>
      <c r="PFR232" s="15"/>
      <c r="PFS232" s="15"/>
      <c r="PFT232" s="15"/>
      <c r="PFU232" s="10"/>
      <c r="PFV232" s="10"/>
      <c r="PFW232" s="21"/>
      <c r="PFX232" s="21"/>
      <c r="PGA232" s="21"/>
      <c r="PGB232" s="15"/>
      <c r="PGC232" s="15"/>
      <c r="PGD232" s="15"/>
      <c r="PGE232" s="15"/>
      <c r="PGF232" s="15"/>
      <c r="PGG232" s="15"/>
      <c r="PGH232" s="15"/>
      <c r="PGI232" s="15"/>
      <c r="PGJ232" s="15"/>
      <c r="PGK232" s="15"/>
      <c r="PGL232" s="10"/>
      <c r="PGM232" s="10"/>
      <c r="PGN232" s="21"/>
      <c r="PGO232" s="21"/>
      <c r="PGR232" s="21"/>
      <c r="PGS232" s="15"/>
      <c r="PGT232" s="15"/>
      <c r="PGU232" s="15"/>
      <c r="PGV232" s="15"/>
      <c r="PGW232" s="15"/>
      <c r="PGX232" s="15"/>
      <c r="PGY232" s="15"/>
      <c r="PGZ232" s="15"/>
      <c r="PHA232" s="15"/>
      <c r="PHB232" s="15"/>
      <c r="PHC232" s="10"/>
      <c r="PHD232" s="10"/>
      <c r="PHE232" s="21"/>
      <c r="PHF232" s="21"/>
      <c r="PHI232" s="21"/>
      <c r="PHJ232" s="15"/>
      <c r="PHK232" s="15"/>
      <c r="PHL232" s="15"/>
      <c r="PHM232" s="15"/>
      <c r="PHN232" s="15"/>
      <c r="PHO232" s="15"/>
      <c r="PHP232" s="15"/>
      <c r="PHQ232" s="15"/>
      <c r="PHR232" s="15"/>
      <c r="PHS232" s="15"/>
      <c r="PHT232" s="10"/>
      <c r="PHU232" s="10"/>
      <c r="PHV232" s="21"/>
      <c r="PHW232" s="21"/>
      <c r="PHZ232" s="21"/>
      <c r="PIA232" s="15"/>
      <c r="PIB232" s="15"/>
      <c r="PIC232" s="15"/>
      <c r="PID232" s="15"/>
      <c r="PIE232" s="15"/>
      <c r="PIF232" s="15"/>
      <c r="PIG232" s="15"/>
      <c r="PIH232" s="15"/>
      <c r="PII232" s="15"/>
      <c r="PIJ232" s="15"/>
      <c r="PIK232" s="10"/>
      <c r="PIL232" s="10"/>
      <c r="PIM232" s="21"/>
      <c r="PIN232" s="21"/>
      <c r="PIQ232" s="21"/>
      <c r="PIR232" s="15"/>
      <c r="PIS232" s="15"/>
      <c r="PIT232" s="15"/>
      <c r="PIU232" s="15"/>
      <c r="PIV232" s="15"/>
      <c r="PIW232" s="15"/>
      <c r="PIX232" s="15"/>
      <c r="PIY232" s="15"/>
      <c r="PIZ232" s="15"/>
      <c r="PJA232" s="15"/>
      <c r="PJB232" s="10"/>
      <c r="PJC232" s="10"/>
      <c r="PJD232" s="21"/>
      <c r="PJE232" s="21"/>
      <c r="PJH232" s="21"/>
      <c r="PJI232" s="15"/>
      <c r="PJJ232" s="15"/>
      <c r="PJK232" s="15"/>
      <c r="PJL232" s="15"/>
      <c r="PJM232" s="15"/>
      <c r="PJN232" s="15"/>
      <c r="PJO232" s="15"/>
      <c r="PJP232" s="15"/>
      <c r="PJQ232" s="15"/>
      <c r="PJR232" s="15"/>
      <c r="PJS232" s="10"/>
      <c r="PJT232" s="10"/>
      <c r="PJU232" s="21"/>
      <c r="PJV232" s="21"/>
      <c r="PJY232" s="21"/>
      <c r="PJZ232" s="15"/>
      <c r="PKA232" s="15"/>
      <c r="PKB232" s="15"/>
      <c r="PKC232" s="15"/>
      <c r="PKD232" s="15"/>
      <c r="PKE232" s="15"/>
      <c r="PKF232" s="15"/>
      <c r="PKG232" s="15"/>
      <c r="PKH232" s="15"/>
      <c r="PKI232" s="15"/>
      <c r="PKJ232" s="10"/>
      <c r="PKK232" s="10"/>
      <c r="PKL232" s="21"/>
      <c r="PKM232" s="21"/>
      <c r="PKP232" s="21"/>
      <c r="PKQ232" s="15"/>
      <c r="PKR232" s="15"/>
      <c r="PKS232" s="15"/>
      <c r="PKT232" s="15"/>
      <c r="PKU232" s="15"/>
      <c r="PKV232" s="15"/>
      <c r="PKW232" s="15"/>
      <c r="PKX232" s="15"/>
      <c r="PKY232" s="15"/>
      <c r="PKZ232" s="15"/>
      <c r="PLA232" s="10"/>
      <c r="PLB232" s="10"/>
      <c r="PLC232" s="21"/>
      <c r="PLD232" s="21"/>
      <c r="PLG232" s="21"/>
      <c r="PLH232" s="15"/>
      <c r="PLI232" s="15"/>
      <c r="PLJ232" s="15"/>
      <c r="PLK232" s="15"/>
      <c r="PLL232" s="15"/>
      <c r="PLM232" s="15"/>
      <c r="PLN232" s="15"/>
      <c r="PLO232" s="15"/>
      <c r="PLP232" s="15"/>
      <c r="PLQ232" s="15"/>
      <c r="PLR232" s="10"/>
      <c r="PLS232" s="10"/>
      <c r="PLT232" s="21"/>
      <c r="PLU232" s="21"/>
      <c r="PLX232" s="21"/>
      <c r="PLY232" s="15"/>
      <c r="PLZ232" s="15"/>
      <c r="PMA232" s="15"/>
      <c r="PMB232" s="15"/>
      <c r="PMC232" s="15"/>
      <c r="PMD232" s="15"/>
      <c r="PME232" s="15"/>
      <c r="PMF232" s="15"/>
      <c r="PMG232" s="15"/>
      <c r="PMH232" s="15"/>
      <c r="PMI232" s="10"/>
      <c r="PMJ232" s="10"/>
      <c r="PMK232" s="21"/>
      <c r="PML232" s="21"/>
      <c r="PMO232" s="21"/>
      <c r="PMP232" s="15"/>
      <c r="PMQ232" s="15"/>
      <c r="PMR232" s="15"/>
      <c r="PMS232" s="15"/>
      <c r="PMT232" s="15"/>
      <c r="PMU232" s="15"/>
      <c r="PMV232" s="15"/>
      <c r="PMW232" s="15"/>
      <c r="PMX232" s="15"/>
      <c r="PMY232" s="15"/>
      <c r="PMZ232" s="10"/>
      <c r="PNA232" s="10"/>
      <c r="PNB232" s="21"/>
      <c r="PNC232" s="21"/>
      <c r="PNF232" s="21"/>
      <c r="PNG232" s="15"/>
      <c r="PNH232" s="15"/>
      <c r="PNI232" s="15"/>
      <c r="PNJ232" s="15"/>
      <c r="PNK232" s="15"/>
      <c r="PNL232" s="15"/>
      <c r="PNM232" s="15"/>
      <c r="PNN232" s="15"/>
      <c r="PNO232" s="15"/>
      <c r="PNP232" s="15"/>
      <c r="PNQ232" s="10"/>
      <c r="PNR232" s="10"/>
      <c r="PNS232" s="21"/>
      <c r="PNT232" s="21"/>
      <c r="PNW232" s="21"/>
      <c r="PNX232" s="15"/>
      <c r="PNY232" s="15"/>
      <c r="PNZ232" s="15"/>
      <c r="POA232" s="15"/>
      <c r="POB232" s="15"/>
      <c r="POC232" s="15"/>
      <c r="POD232" s="15"/>
      <c r="POE232" s="15"/>
      <c r="POF232" s="15"/>
      <c r="POG232" s="15"/>
      <c r="POH232" s="10"/>
      <c r="POI232" s="10"/>
      <c r="POJ232" s="21"/>
      <c r="POK232" s="21"/>
      <c r="PON232" s="21"/>
      <c r="POO232" s="15"/>
      <c r="POP232" s="15"/>
      <c r="POQ232" s="15"/>
      <c r="POR232" s="15"/>
      <c r="POS232" s="15"/>
      <c r="POT232" s="15"/>
      <c r="POU232" s="15"/>
      <c r="POV232" s="15"/>
      <c r="POW232" s="15"/>
      <c r="POX232" s="15"/>
      <c r="POY232" s="10"/>
      <c r="POZ232" s="10"/>
      <c r="PPA232" s="21"/>
      <c r="PPB232" s="21"/>
      <c r="PPE232" s="21"/>
      <c r="PPF232" s="15"/>
      <c r="PPG232" s="15"/>
      <c r="PPH232" s="15"/>
      <c r="PPI232" s="15"/>
      <c r="PPJ232" s="15"/>
      <c r="PPK232" s="15"/>
      <c r="PPL232" s="15"/>
      <c r="PPM232" s="15"/>
      <c r="PPN232" s="15"/>
      <c r="PPO232" s="15"/>
      <c r="PPP232" s="10"/>
      <c r="PPQ232" s="10"/>
      <c r="PPR232" s="21"/>
      <c r="PPS232" s="21"/>
      <c r="PPV232" s="21"/>
      <c r="PPW232" s="15"/>
      <c r="PPX232" s="15"/>
      <c r="PPY232" s="15"/>
      <c r="PPZ232" s="15"/>
      <c r="PQA232" s="15"/>
      <c r="PQB232" s="15"/>
      <c r="PQC232" s="15"/>
      <c r="PQD232" s="15"/>
      <c r="PQE232" s="15"/>
      <c r="PQF232" s="15"/>
      <c r="PQG232" s="10"/>
      <c r="PQH232" s="10"/>
      <c r="PQI232" s="21"/>
      <c r="PQJ232" s="21"/>
      <c r="PQM232" s="21"/>
      <c r="PQN232" s="15"/>
      <c r="PQO232" s="15"/>
      <c r="PQP232" s="15"/>
      <c r="PQQ232" s="15"/>
      <c r="PQR232" s="15"/>
      <c r="PQS232" s="15"/>
      <c r="PQT232" s="15"/>
      <c r="PQU232" s="15"/>
      <c r="PQV232" s="15"/>
      <c r="PQW232" s="15"/>
      <c r="PQX232" s="10"/>
      <c r="PQY232" s="10"/>
      <c r="PQZ232" s="21"/>
      <c r="PRA232" s="21"/>
      <c r="PRD232" s="21"/>
      <c r="PRE232" s="15"/>
      <c r="PRF232" s="15"/>
      <c r="PRG232" s="15"/>
      <c r="PRH232" s="15"/>
      <c r="PRI232" s="15"/>
      <c r="PRJ232" s="15"/>
      <c r="PRK232" s="15"/>
      <c r="PRL232" s="15"/>
      <c r="PRM232" s="15"/>
      <c r="PRN232" s="15"/>
      <c r="PRO232" s="10"/>
      <c r="PRP232" s="10"/>
      <c r="PRQ232" s="21"/>
      <c r="PRR232" s="21"/>
      <c r="PRU232" s="21"/>
      <c r="PRV232" s="15"/>
      <c r="PRW232" s="15"/>
      <c r="PRX232" s="15"/>
      <c r="PRY232" s="15"/>
      <c r="PRZ232" s="15"/>
      <c r="PSA232" s="15"/>
      <c r="PSB232" s="15"/>
      <c r="PSC232" s="15"/>
      <c r="PSD232" s="15"/>
      <c r="PSE232" s="15"/>
      <c r="PSF232" s="10"/>
      <c r="PSG232" s="10"/>
      <c r="PSH232" s="21"/>
      <c r="PSI232" s="21"/>
      <c r="PSL232" s="21"/>
      <c r="PSM232" s="15"/>
      <c r="PSN232" s="15"/>
      <c r="PSO232" s="15"/>
      <c r="PSP232" s="15"/>
      <c r="PSQ232" s="15"/>
      <c r="PSR232" s="15"/>
      <c r="PSS232" s="15"/>
      <c r="PST232" s="15"/>
      <c r="PSU232" s="15"/>
      <c r="PSV232" s="15"/>
      <c r="PSW232" s="10"/>
      <c r="PSX232" s="10"/>
      <c r="PSY232" s="21"/>
      <c r="PSZ232" s="21"/>
      <c r="PTC232" s="21"/>
      <c r="PTD232" s="15"/>
      <c r="PTE232" s="15"/>
      <c r="PTF232" s="15"/>
      <c r="PTG232" s="15"/>
      <c r="PTH232" s="15"/>
      <c r="PTI232" s="15"/>
      <c r="PTJ232" s="15"/>
      <c r="PTK232" s="15"/>
      <c r="PTL232" s="15"/>
      <c r="PTM232" s="15"/>
      <c r="PTN232" s="10"/>
      <c r="PTO232" s="10"/>
      <c r="PTP232" s="21"/>
      <c r="PTQ232" s="21"/>
      <c r="PTT232" s="21"/>
      <c r="PTU232" s="15"/>
      <c r="PTV232" s="15"/>
      <c r="PTW232" s="15"/>
      <c r="PTX232" s="15"/>
      <c r="PTY232" s="15"/>
      <c r="PTZ232" s="15"/>
      <c r="PUA232" s="15"/>
      <c r="PUB232" s="15"/>
      <c r="PUC232" s="15"/>
      <c r="PUD232" s="15"/>
      <c r="PUE232" s="10"/>
      <c r="PUF232" s="10"/>
      <c r="PUG232" s="21"/>
      <c r="PUH232" s="21"/>
      <c r="PUK232" s="21"/>
      <c r="PUL232" s="15"/>
      <c r="PUM232" s="15"/>
      <c r="PUN232" s="15"/>
      <c r="PUO232" s="15"/>
      <c r="PUP232" s="15"/>
      <c r="PUQ232" s="15"/>
      <c r="PUR232" s="15"/>
      <c r="PUS232" s="15"/>
      <c r="PUT232" s="15"/>
      <c r="PUU232" s="15"/>
      <c r="PUV232" s="10"/>
      <c r="PUW232" s="10"/>
      <c r="PUX232" s="21"/>
      <c r="PUY232" s="21"/>
      <c r="PVB232" s="21"/>
      <c r="PVC232" s="15"/>
      <c r="PVD232" s="15"/>
      <c r="PVE232" s="15"/>
      <c r="PVF232" s="15"/>
      <c r="PVG232" s="15"/>
      <c r="PVH232" s="15"/>
      <c r="PVI232" s="15"/>
      <c r="PVJ232" s="15"/>
      <c r="PVK232" s="15"/>
      <c r="PVL232" s="15"/>
      <c r="PVM232" s="10"/>
      <c r="PVN232" s="10"/>
      <c r="PVO232" s="21"/>
      <c r="PVP232" s="21"/>
      <c r="PVS232" s="21"/>
      <c r="PVT232" s="15"/>
      <c r="PVU232" s="15"/>
      <c r="PVV232" s="15"/>
      <c r="PVW232" s="15"/>
      <c r="PVX232" s="15"/>
      <c r="PVY232" s="15"/>
      <c r="PVZ232" s="15"/>
      <c r="PWA232" s="15"/>
      <c r="PWB232" s="15"/>
      <c r="PWC232" s="15"/>
      <c r="PWD232" s="10"/>
      <c r="PWE232" s="10"/>
      <c r="PWF232" s="21"/>
      <c r="PWG232" s="21"/>
      <c r="PWJ232" s="21"/>
      <c r="PWK232" s="15"/>
      <c r="PWL232" s="15"/>
      <c r="PWM232" s="15"/>
      <c r="PWN232" s="15"/>
      <c r="PWO232" s="15"/>
      <c r="PWP232" s="15"/>
      <c r="PWQ232" s="15"/>
      <c r="PWR232" s="15"/>
      <c r="PWS232" s="15"/>
      <c r="PWT232" s="15"/>
      <c r="PWU232" s="10"/>
      <c r="PWV232" s="10"/>
      <c r="PWW232" s="21"/>
      <c r="PWX232" s="21"/>
      <c r="PXA232" s="21"/>
      <c r="PXB232" s="15"/>
      <c r="PXC232" s="15"/>
      <c r="PXD232" s="15"/>
      <c r="PXE232" s="15"/>
      <c r="PXF232" s="15"/>
      <c r="PXG232" s="15"/>
      <c r="PXH232" s="15"/>
      <c r="PXI232" s="15"/>
      <c r="PXJ232" s="15"/>
      <c r="PXK232" s="15"/>
      <c r="PXL232" s="10"/>
      <c r="PXM232" s="10"/>
      <c r="PXN232" s="21"/>
      <c r="PXO232" s="21"/>
      <c r="PXR232" s="21"/>
      <c r="PXS232" s="15"/>
      <c r="PXT232" s="15"/>
      <c r="PXU232" s="15"/>
      <c r="PXV232" s="15"/>
      <c r="PXW232" s="15"/>
      <c r="PXX232" s="15"/>
      <c r="PXY232" s="15"/>
      <c r="PXZ232" s="15"/>
      <c r="PYA232" s="15"/>
      <c r="PYB232" s="15"/>
      <c r="PYC232" s="10"/>
      <c r="PYD232" s="10"/>
      <c r="PYE232" s="21"/>
      <c r="PYF232" s="21"/>
      <c r="PYI232" s="21"/>
      <c r="PYJ232" s="15"/>
      <c r="PYK232" s="15"/>
      <c r="PYL232" s="15"/>
      <c r="PYM232" s="15"/>
      <c r="PYN232" s="15"/>
      <c r="PYO232" s="15"/>
      <c r="PYP232" s="15"/>
      <c r="PYQ232" s="15"/>
      <c r="PYR232" s="15"/>
      <c r="PYS232" s="15"/>
      <c r="PYT232" s="10"/>
      <c r="PYU232" s="10"/>
      <c r="PYV232" s="21"/>
      <c r="PYW232" s="21"/>
      <c r="PYZ232" s="21"/>
      <c r="PZA232" s="15"/>
      <c r="PZB232" s="15"/>
      <c r="PZC232" s="15"/>
      <c r="PZD232" s="15"/>
      <c r="PZE232" s="15"/>
      <c r="PZF232" s="15"/>
      <c r="PZG232" s="15"/>
      <c r="PZH232" s="15"/>
      <c r="PZI232" s="15"/>
      <c r="PZJ232" s="15"/>
      <c r="PZK232" s="10"/>
      <c r="PZL232" s="10"/>
      <c r="PZM232" s="21"/>
      <c r="PZN232" s="21"/>
      <c r="PZQ232" s="21"/>
      <c r="PZR232" s="15"/>
      <c r="PZS232" s="15"/>
      <c r="PZT232" s="15"/>
      <c r="PZU232" s="15"/>
      <c r="PZV232" s="15"/>
      <c r="PZW232" s="15"/>
      <c r="PZX232" s="15"/>
      <c r="PZY232" s="15"/>
      <c r="PZZ232" s="15"/>
      <c r="QAA232" s="15"/>
      <c r="QAB232" s="10"/>
      <c r="QAC232" s="10"/>
      <c r="QAD232" s="21"/>
      <c r="QAE232" s="21"/>
      <c r="QAH232" s="21"/>
      <c r="QAI232" s="15"/>
      <c r="QAJ232" s="15"/>
      <c r="QAK232" s="15"/>
      <c r="QAL232" s="15"/>
      <c r="QAM232" s="15"/>
      <c r="QAN232" s="15"/>
      <c r="QAO232" s="15"/>
      <c r="QAP232" s="15"/>
      <c r="QAQ232" s="15"/>
      <c r="QAR232" s="15"/>
      <c r="QAS232" s="10"/>
      <c r="QAT232" s="10"/>
      <c r="QAU232" s="21"/>
      <c r="QAV232" s="21"/>
      <c r="QAY232" s="21"/>
      <c r="QAZ232" s="15"/>
      <c r="QBA232" s="15"/>
      <c r="QBB232" s="15"/>
      <c r="QBC232" s="15"/>
      <c r="QBD232" s="15"/>
      <c r="QBE232" s="15"/>
      <c r="QBF232" s="15"/>
      <c r="QBG232" s="15"/>
      <c r="QBH232" s="15"/>
      <c r="QBI232" s="15"/>
      <c r="QBJ232" s="10"/>
      <c r="QBK232" s="10"/>
      <c r="QBL232" s="21"/>
      <c r="QBM232" s="21"/>
      <c r="QBP232" s="21"/>
      <c r="QBQ232" s="15"/>
      <c r="QBR232" s="15"/>
      <c r="QBS232" s="15"/>
      <c r="QBT232" s="15"/>
      <c r="QBU232" s="15"/>
      <c r="QBV232" s="15"/>
      <c r="QBW232" s="15"/>
      <c r="QBX232" s="15"/>
      <c r="QBY232" s="15"/>
      <c r="QBZ232" s="15"/>
      <c r="QCA232" s="10"/>
      <c r="QCB232" s="10"/>
      <c r="QCC232" s="21"/>
      <c r="QCD232" s="21"/>
      <c r="QCG232" s="21"/>
      <c r="QCH232" s="15"/>
      <c r="QCI232" s="15"/>
      <c r="QCJ232" s="15"/>
      <c r="QCK232" s="15"/>
      <c r="QCL232" s="15"/>
      <c r="QCM232" s="15"/>
      <c r="QCN232" s="15"/>
      <c r="QCO232" s="15"/>
      <c r="QCP232" s="15"/>
      <c r="QCQ232" s="15"/>
      <c r="QCR232" s="10"/>
      <c r="QCS232" s="10"/>
      <c r="QCT232" s="21"/>
      <c r="QCU232" s="21"/>
      <c r="QCX232" s="21"/>
      <c r="QCY232" s="15"/>
      <c r="QCZ232" s="15"/>
      <c r="QDA232" s="15"/>
      <c r="QDB232" s="15"/>
      <c r="QDC232" s="15"/>
      <c r="QDD232" s="15"/>
      <c r="QDE232" s="15"/>
      <c r="QDF232" s="15"/>
      <c r="QDG232" s="15"/>
      <c r="QDH232" s="15"/>
      <c r="QDI232" s="10"/>
      <c r="QDJ232" s="10"/>
      <c r="QDK232" s="21"/>
      <c r="QDL232" s="21"/>
      <c r="QDO232" s="21"/>
      <c r="QDP232" s="15"/>
      <c r="QDQ232" s="15"/>
      <c r="QDR232" s="15"/>
      <c r="QDS232" s="15"/>
      <c r="QDT232" s="15"/>
      <c r="QDU232" s="15"/>
      <c r="QDV232" s="15"/>
      <c r="QDW232" s="15"/>
      <c r="QDX232" s="15"/>
      <c r="QDY232" s="15"/>
      <c r="QDZ232" s="10"/>
      <c r="QEA232" s="10"/>
      <c r="QEB232" s="21"/>
      <c r="QEC232" s="21"/>
      <c r="QEF232" s="21"/>
      <c r="QEG232" s="15"/>
      <c r="QEH232" s="15"/>
      <c r="QEI232" s="15"/>
      <c r="QEJ232" s="15"/>
      <c r="QEK232" s="15"/>
      <c r="QEL232" s="15"/>
      <c r="QEM232" s="15"/>
      <c r="QEN232" s="15"/>
      <c r="QEO232" s="15"/>
      <c r="QEP232" s="15"/>
      <c r="QEQ232" s="10"/>
      <c r="QER232" s="10"/>
      <c r="QES232" s="21"/>
      <c r="QET232" s="21"/>
      <c r="QEW232" s="21"/>
      <c r="QEX232" s="15"/>
      <c r="QEY232" s="15"/>
      <c r="QEZ232" s="15"/>
      <c r="QFA232" s="15"/>
      <c r="QFB232" s="15"/>
      <c r="QFC232" s="15"/>
      <c r="QFD232" s="15"/>
      <c r="QFE232" s="15"/>
      <c r="QFF232" s="15"/>
      <c r="QFG232" s="15"/>
      <c r="QFH232" s="10"/>
      <c r="QFI232" s="10"/>
      <c r="QFJ232" s="21"/>
      <c r="QFK232" s="21"/>
      <c r="QFN232" s="21"/>
      <c r="QFO232" s="15"/>
      <c r="QFP232" s="15"/>
      <c r="QFQ232" s="15"/>
      <c r="QFR232" s="15"/>
      <c r="QFS232" s="15"/>
      <c r="QFT232" s="15"/>
      <c r="QFU232" s="15"/>
      <c r="QFV232" s="15"/>
      <c r="QFW232" s="15"/>
      <c r="QFX232" s="15"/>
      <c r="QFY232" s="10"/>
      <c r="QFZ232" s="10"/>
      <c r="QGA232" s="21"/>
      <c r="QGB232" s="21"/>
      <c r="QGE232" s="21"/>
      <c r="QGF232" s="15"/>
      <c r="QGG232" s="15"/>
      <c r="QGH232" s="15"/>
      <c r="QGI232" s="15"/>
      <c r="QGJ232" s="15"/>
      <c r="QGK232" s="15"/>
      <c r="QGL232" s="15"/>
      <c r="QGM232" s="15"/>
      <c r="QGN232" s="15"/>
      <c r="QGO232" s="15"/>
      <c r="QGP232" s="10"/>
      <c r="QGQ232" s="10"/>
      <c r="QGR232" s="21"/>
      <c r="QGS232" s="21"/>
      <c r="QGV232" s="21"/>
      <c r="QGW232" s="15"/>
      <c r="QGX232" s="15"/>
      <c r="QGY232" s="15"/>
      <c r="QGZ232" s="15"/>
      <c r="QHA232" s="15"/>
      <c r="QHB232" s="15"/>
      <c r="QHC232" s="15"/>
      <c r="QHD232" s="15"/>
      <c r="QHE232" s="15"/>
      <c r="QHF232" s="15"/>
      <c r="QHG232" s="10"/>
      <c r="QHH232" s="10"/>
      <c r="QHI232" s="21"/>
      <c r="QHJ232" s="21"/>
      <c r="QHM232" s="21"/>
      <c r="QHN232" s="15"/>
      <c r="QHO232" s="15"/>
      <c r="QHP232" s="15"/>
      <c r="QHQ232" s="15"/>
      <c r="QHR232" s="15"/>
      <c r="QHS232" s="15"/>
      <c r="QHT232" s="15"/>
      <c r="QHU232" s="15"/>
      <c r="QHV232" s="15"/>
      <c r="QHW232" s="15"/>
      <c r="QHX232" s="10"/>
      <c r="QHY232" s="10"/>
      <c r="QHZ232" s="21"/>
      <c r="QIA232" s="21"/>
      <c r="QID232" s="21"/>
      <c r="QIE232" s="15"/>
      <c r="QIF232" s="15"/>
      <c r="QIG232" s="15"/>
      <c r="QIH232" s="15"/>
      <c r="QII232" s="15"/>
      <c r="QIJ232" s="15"/>
      <c r="QIK232" s="15"/>
      <c r="QIL232" s="15"/>
      <c r="QIM232" s="15"/>
      <c r="QIN232" s="15"/>
      <c r="QIO232" s="10"/>
      <c r="QIP232" s="10"/>
      <c r="QIQ232" s="21"/>
      <c r="QIR232" s="21"/>
      <c r="QIU232" s="21"/>
      <c r="QIV232" s="15"/>
      <c r="QIW232" s="15"/>
      <c r="QIX232" s="15"/>
      <c r="QIY232" s="15"/>
      <c r="QIZ232" s="15"/>
      <c r="QJA232" s="15"/>
      <c r="QJB232" s="15"/>
      <c r="QJC232" s="15"/>
      <c r="QJD232" s="15"/>
      <c r="QJE232" s="15"/>
      <c r="QJF232" s="10"/>
      <c r="QJG232" s="10"/>
      <c r="QJH232" s="21"/>
      <c r="QJI232" s="21"/>
      <c r="QJL232" s="21"/>
      <c r="QJM232" s="15"/>
      <c r="QJN232" s="15"/>
      <c r="QJO232" s="15"/>
      <c r="QJP232" s="15"/>
      <c r="QJQ232" s="15"/>
      <c r="QJR232" s="15"/>
      <c r="QJS232" s="15"/>
      <c r="QJT232" s="15"/>
      <c r="QJU232" s="15"/>
      <c r="QJV232" s="15"/>
      <c r="QJW232" s="10"/>
      <c r="QJX232" s="10"/>
      <c r="QJY232" s="21"/>
      <c r="QJZ232" s="21"/>
      <c r="QKC232" s="21"/>
      <c r="QKD232" s="15"/>
      <c r="QKE232" s="15"/>
      <c r="QKF232" s="15"/>
      <c r="QKG232" s="15"/>
      <c r="QKH232" s="15"/>
      <c r="QKI232" s="15"/>
      <c r="QKJ232" s="15"/>
      <c r="QKK232" s="15"/>
      <c r="QKL232" s="15"/>
      <c r="QKM232" s="15"/>
      <c r="QKN232" s="10"/>
      <c r="QKO232" s="10"/>
      <c r="QKP232" s="21"/>
      <c r="QKQ232" s="21"/>
      <c r="QKT232" s="21"/>
      <c r="QKU232" s="15"/>
      <c r="QKV232" s="15"/>
      <c r="QKW232" s="15"/>
      <c r="QKX232" s="15"/>
      <c r="QKY232" s="15"/>
      <c r="QKZ232" s="15"/>
      <c r="QLA232" s="15"/>
      <c r="QLB232" s="15"/>
      <c r="QLC232" s="15"/>
      <c r="QLD232" s="15"/>
      <c r="QLE232" s="10"/>
      <c r="QLF232" s="10"/>
      <c r="QLG232" s="21"/>
      <c r="QLH232" s="21"/>
      <c r="QLK232" s="21"/>
      <c r="QLL232" s="15"/>
      <c r="QLM232" s="15"/>
      <c r="QLN232" s="15"/>
      <c r="QLO232" s="15"/>
      <c r="QLP232" s="15"/>
      <c r="QLQ232" s="15"/>
      <c r="QLR232" s="15"/>
      <c r="QLS232" s="15"/>
      <c r="QLT232" s="15"/>
      <c r="QLU232" s="15"/>
      <c r="QLV232" s="10"/>
      <c r="QLW232" s="10"/>
      <c r="QLX232" s="21"/>
      <c r="QLY232" s="21"/>
      <c r="QMB232" s="21"/>
      <c r="QMC232" s="15"/>
      <c r="QMD232" s="15"/>
      <c r="QME232" s="15"/>
      <c r="QMF232" s="15"/>
      <c r="QMG232" s="15"/>
      <c r="QMH232" s="15"/>
      <c r="QMI232" s="15"/>
      <c r="QMJ232" s="15"/>
      <c r="QMK232" s="15"/>
      <c r="QML232" s="15"/>
      <c r="QMM232" s="10"/>
      <c r="QMN232" s="10"/>
      <c r="QMO232" s="21"/>
      <c r="QMP232" s="21"/>
      <c r="QMS232" s="21"/>
      <c r="QMT232" s="15"/>
      <c r="QMU232" s="15"/>
      <c r="QMV232" s="15"/>
      <c r="QMW232" s="15"/>
      <c r="QMX232" s="15"/>
      <c r="QMY232" s="15"/>
      <c r="QMZ232" s="15"/>
      <c r="QNA232" s="15"/>
      <c r="QNB232" s="15"/>
      <c r="QNC232" s="15"/>
      <c r="QND232" s="10"/>
      <c r="QNE232" s="10"/>
      <c r="QNF232" s="21"/>
      <c r="QNG232" s="21"/>
      <c r="QNJ232" s="21"/>
      <c r="QNK232" s="15"/>
      <c r="QNL232" s="15"/>
      <c r="QNM232" s="15"/>
      <c r="QNN232" s="15"/>
      <c r="QNO232" s="15"/>
      <c r="QNP232" s="15"/>
      <c r="QNQ232" s="15"/>
      <c r="QNR232" s="15"/>
      <c r="QNS232" s="15"/>
      <c r="QNT232" s="15"/>
      <c r="QNU232" s="10"/>
      <c r="QNV232" s="10"/>
      <c r="QNW232" s="21"/>
      <c r="QNX232" s="21"/>
      <c r="QOA232" s="21"/>
      <c r="QOB232" s="15"/>
      <c r="QOC232" s="15"/>
      <c r="QOD232" s="15"/>
      <c r="QOE232" s="15"/>
      <c r="QOF232" s="15"/>
      <c r="QOG232" s="15"/>
      <c r="QOH232" s="15"/>
      <c r="QOI232" s="15"/>
      <c r="QOJ232" s="15"/>
      <c r="QOK232" s="15"/>
      <c r="QOL232" s="10"/>
      <c r="QOM232" s="10"/>
      <c r="QON232" s="21"/>
      <c r="QOO232" s="21"/>
      <c r="QOR232" s="21"/>
      <c r="QOS232" s="15"/>
      <c r="QOT232" s="15"/>
      <c r="QOU232" s="15"/>
      <c r="QOV232" s="15"/>
      <c r="QOW232" s="15"/>
      <c r="QOX232" s="15"/>
      <c r="QOY232" s="15"/>
      <c r="QOZ232" s="15"/>
      <c r="QPA232" s="15"/>
      <c r="QPB232" s="15"/>
      <c r="QPC232" s="10"/>
      <c r="QPD232" s="10"/>
      <c r="QPE232" s="21"/>
      <c r="QPF232" s="21"/>
      <c r="QPI232" s="21"/>
      <c r="QPJ232" s="15"/>
      <c r="QPK232" s="15"/>
      <c r="QPL232" s="15"/>
      <c r="QPM232" s="15"/>
      <c r="QPN232" s="15"/>
      <c r="QPO232" s="15"/>
      <c r="QPP232" s="15"/>
      <c r="QPQ232" s="15"/>
      <c r="QPR232" s="15"/>
      <c r="QPS232" s="15"/>
      <c r="QPT232" s="10"/>
      <c r="QPU232" s="10"/>
      <c r="QPV232" s="21"/>
      <c r="QPW232" s="21"/>
      <c r="QPZ232" s="21"/>
      <c r="QQA232" s="15"/>
      <c r="QQB232" s="15"/>
      <c r="QQC232" s="15"/>
      <c r="QQD232" s="15"/>
      <c r="QQE232" s="15"/>
      <c r="QQF232" s="15"/>
      <c r="QQG232" s="15"/>
      <c r="QQH232" s="15"/>
      <c r="QQI232" s="15"/>
      <c r="QQJ232" s="15"/>
      <c r="QQK232" s="10"/>
      <c r="QQL232" s="10"/>
      <c r="QQM232" s="21"/>
      <c r="QQN232" s="21"/>
      <c r="QQQ232" s="21"/>
      <c r="QQR232" s="15"/>
      <c r="QQS232" s="15"/>
      <c r="QQT232" s="15"/>
      <c r="QQU232" s="15"/>
      <c r="QQV232" s="15"/>
      <c r="QQW232" s="15"/>
      <c r="QQX232" s="15"/>
      <c r="QQY232" s="15"/>
      <c r="QQZ232" s="15"/>
      <c r="QRA232" s="15"/>
      <c r="QRB232" s="10"/>
      <c r="QRC232" s="10"/>
      <c r="QRD232" s="21"/>
      <c r="QRE232" s="21"/>
      <c r="QRH232" s="21"/>
      <c r="QRI232" s="15"/>
      <c r="QRJ232" s="15"/>
      <c r="QRK232" s="15"/>
      <c r="QRL232" s="15"/>
      <c r="QRM232" s="15"/>
      <c r="QRN232" s="15"/>
      <c r="QRO232" s="15"/>
      <c r="QRP232" s="15"/>
      <c r="QRQ232" s="15"/>
      <c r="QRR232" s="15"/>
      <c r="QRS232" s="10"/>
      <c r="QRT232" s="10"/>
      <c r="QRU232" s="21"/>
      <c r="QRV232" s="21"/>
      <c r="QRY232" s="21"/>
      <c r="QRZ232" s="15"/>
      <c r="QSA232" s="15"/>
      <c r="QSB232" s="15"/>
      <c r="QSC232" s="15"/>
      <c r="QSD232" s="15"/>
      <c r="QSE232" s="15"/>
      <c r="QSF232" s="15"/>
      <c r="QSG232" s="15"/>
      <c r="QSH232" s="15"/>
      <c r="QSI232" s="15"/>
      <c r="QSJ232" s="10"/>
      <c r="QSK232" s="10"/>
      <c r="QSL232" s="21"/>
      <c r="QSM232" s="21"/>
      <c r="QSP232" s="21"/>
      <c r="QSQ232" s="15"/>
      <c r="QSR232" s="15"/>
      <c r="QSS232" s="15"/>
      <c r="QST232" s="15"/>
      <c r="QSU232" s="15"/>
      <c r="QSV232" s="15"/>
      <c r="QSW232" s="15"/>
      <c r="QSX232" s="15"/>
      <c r="QSY232" s="15"/>
      <c r="QSZ232" s="15"/>
      <c r="QTA232" s="10"/>
      <c r="QTB232" s="10"/>
      <c r="QTC232" s="21"/>
      <c r="QTD232" s="21"/>
      <c r="QTG232" s="21"/>
      <c r="QTH232" s="15"/>
      <c r="QTI232" s="15"/>
      <c r="QTJ232" s="15"/>
      <c r="QTK232" s="15"/>
      <c r="QTL232" s="15"/>
      <c r="QTM232" s="15"/>
      <c r="QTN232" s="15"/>
      <c r="QTO232" s="15"/>
      <c r="QTP232" s="15"/>
      <c r="QTQ232" s="15"/>
      <c r="QTR232" s="10"/>
      <c r="QTS232" s="10"/>
      <c r="QTT232" s="21"/>
      <c r="QTU232" s="21"/>
      <c r="QTX232" s="21"/>
      <c r="QTY232" s="15"/>
      <c r="QTZ232" s="15"/>
      <c r="QUA232" s="15"/>
      <c r="QUB232" s="15"/>
      <c r="QUC232" s="15"/>
      <c r="QUD232" s="15"/>
      <c r="QUE232" s="15"/>
      <c r="QUF232" s="15"/>
      <c r="QUG232" s="15"/>
      <c r="QUH232" s="15"/>
      <c r="QUI232" s="10"/>
      <c r="QUJ232" s="10"/>
      <c r="QUK232" s="21"/>
      <c r="QUL232" s="21"/>
      <c r="QUO232" s="21"/>
      <c r="QUP232" s="15"/>
      <c r="QUQ232" s="15"/>
      <c r="QUR232" s="15"/>
      <c r="QUS232" s="15"/>
      <c r="QUT232" s="15"/>
      <c r="QUU232" s="15"/>
      <c r="QUV232" s="15"/>
      <c r="QUW232" s="15"/>
      <c r="QUX232" s="15"/>
      <c r="QUY232" s="15"/>
      <c r="QUZ232" s="10"/>
      <c r="QVA232" s="10"/>
      <c r="QVB232" s="21"/>
      <c r="QVC232" s="21"/>
      <c r="QVF232" s="21"/>
      <c r="QVG232" s="15"/>
      <c r="QVH232" s="15"/>
      <c r="QVI232" s="15"/>
      <c r="QVJ232" s="15"/>
      <c r="QVK232" s="15"/>
      <c r="QVL232" s="15"/>
      <c r="QVM232" s="15"/>
      <c r="QVN232" s="15"/>
      <c r="QVO232" s="15"/>
      <c r="QVP232" s="15"/>
      <c r="QVQ232" s="10"/>
      <c r="QVR232" s="10"/>
      <c r="QVS232" s="21"/>
      <c r="QVT232" s="21"/>
      <c r="QVW232" s="21"/>
      <c r="QVX232" s="15"/>
      <c r="QVY232" s="15"/>
      <c r="QVZ232" s="15"/>
      <c r="QWA232" s="15"/>
      <c r="QWB232" s="15"/>
      <c r="QWC232" s="15"/>
      <c r="QWD232" s="15"/>
      <c r="QWE232" s="15"/>
      <c r="QWF232" s="15"/>
      <c r="QWG232" s="15"/>
      <c r="QWH232" s="10"/>
      <c r="QWI232" s="10"/>
      <c r="QWJ232" s="21"/>
      <c r="QWK232" s="21"/>
      <c r="QWN232" s="21"/>
      <c r="QWO232" s="15"/>
      <c r="QWP232" s="15"/>
      <c r="QWQ232" s="15"/>
      <c r="QWR232" s="15"/>
      <c r="QWS232" s="15"/>
      <c r="QWT232" s="15"/>
      <c r="QWU232" s="15"/>
      <c r="QWV232" s="15"/>
      <c r="QWW232" s="15"/>
      <c r="QWX232" s="15"/>
      <c r="QWY232" s="10"/>
      <c r="QWZ232" s="10"/>
      <c r="QXA232" s="21"/>
      <c r="QXB232" s="21"/>
      <c r="QXE232" s="21"/>
      <c r="QXF232" s="15"/>
      <c r="QXG232" s="15"/>
      <c r="QXH232" s="15"/>
      <c r="QXI232" s="15"/>
      <c r="QXJ232" s="15"/>
      <c r="QXK232" s="15"/>
      <c r="QXL232" s="15"/>
      <c r="QXM232" s="15"/>
      <c r="QXN232" s="15"/>
      <c r="QXO232" s="15"/>
      <c r="QXP232" s="10"/>
      <c r="QXQ232" s="10"/>
      <c r="QXR232" s="21"/>
      <c r="QXS232" s="21"/>
      <c r="QXV232" s="21"/>
      <c r="QXW232" s="15"/>
      <c r="QXX232" s="15"/>
      <c r="QXY232" s="15"/>
      <c r="QXZ232" s="15"/>
      <c r="QYA232" s="15"/>
      <c r="QYB232" s="15"/>
      <c r="QYC232" s="15"/>
      <c r="QYD232" s="15"/>
      <c r="QYE232" s="15"/>
      <c r="QYF232" s="15"/>
      <c r="QYG232" s="10"/>
      <c r="QYH232" s="10"/>
      <c r="QYI232" s="21"/>
      <c r="QYJ232" s="21"/>
      <c r="QYM232" s="21"/>
      <c r="QYN232" s="15"/>
      <c r="QYO232" s="15"/>
      <c r="QYP232" s="15"/>
      <c r="QYQ232" s="15"/>
      <c r="QYR232" s="15"/>
      <c r="QYS232" s="15"/>
      <c r="QYT232" s="15"/>
      <c r="QYU232" s="15"/>
      <c r="QYV232" s="15"/>
      <c r="QYW232" s="15"/>
      <c r="QYX232" s="10"/>
      <c r="QYY232" s="10"/>
      <c r="QYZ232" s="21"/>
      <c r="QZA232" s="21"/>
      <c r="QZD232" s="21"/>
      <c r="QZE232" s="15"/>
      <c r="QZF232" s="15"/>
      <c r="QZG232" s="15"/>
      <c r="QZH232" s="15"/>
      <c r="QZI232" s="15"/>
      <c r="QZJ232" s="15"/>
      <c r="QZK232" s="15"/>
      <c r="QZL232" s="15"/>
      <c r="QZM232" s="15"/>
      <c r="QZN232" s="15"/>
      <c r="QZO232" s="10"/>
      <c r="QZP232" s="10"/>
      <c r="QZQ232" s="21"/>
      <c r="QZR232" s="21"/>
      <c r="QZU232" s="21"/>
      <c r="QZV232" s="15"/>
      <c r="QZW232" s="15"/>
      <c r="QZX232" s="15"/>
      <c r="QZY232" s="15"/>
      <c r="QZZ232" s="15"/>
      <c r="RAA232" s="15"/>
      <c r="RAB232" s="15"/>
      <c r="RAC232" s="15"/>
      <c r="RAD232" s="15"/>
      <c r="RAE232" s="15"/>
      <c r="RAF232" s="10"/>
      <c r="RAG232" s="10"/>
      <c r="RAH232" s="21"/>
      <c r="RAI232" s="21"/>
      <c r="RAL232" s="21"/>
      <c r="RAM232" s="15"/>
      <c r="RAN232" s="15"/>
      <c r="RAO232" s="15"/>
      <c r="RAP232" s="15"/>
      <c r="RAQ232" s="15"/>
      <c r="RAR232" s="15"/>
      <c r="RAS232" s="15"/>
      <c r="RAT232" s="15"/>
      <c r="RAU232" s="15"/>
      <c r="RAV232" s="15"/>
      <c r="RAW232" s="10"/>
      <c r="RAX232" s="10"/>
      <c r="RAY232" s="21"/>
      <c r="RAZ232" s="21"/>
      <c r="RBC232" s="21"/>
      <c r="RBD232" s="15"/>
      <c r="RBE232" s="15"/>
      <c r="RBF232" s="15"/>
      <c r="RBG232" s="15"/>
      <c r="RBH232" s="15"/>
      <c r="RBI232" s="15"/>
      <c r="RBJ232" s="15"/>
      <c r="RBK232" s="15"/>
      <c r="RBL232" s="15"/>
      <c r="RBM232" s="15"/>
      <c r="RBN232" s="10"/>
      <c r="RBO232" s="10"/>
      <c r="RBP232" s="21"/>
      <c r="RBQ232" s="21"/>
      <c r="RBT232" s="21"/>
      <c r="RBU232" s="15"/>
      <c r="RBV232" s="15"/>
      <c r="RBW232" s="15"/>
      <c r="RBX232" s="15"/>
      <c r="RBY232" s="15"/>
      <c r="RBZ232" s="15"/>
      <c r="RCA232" s="15"/>
      <c r="RCB232" s="15"/>
      <c r="RCC232" s="15"/>
      <c r="RCD232" s="15"/>
      <c r="RCE232" s="10"/>
      <c r="RCF232" s="10"/>
      <c r="RCG232" s="21"/>
      <c r="RCH232" s="21"/>
      <c r="RCK232" s="21"/>
      <c r="RCL232" s="15"/>
      <c r="RCM232" s="15"/>
      <c r="RCN232" s="15"/>
      <c r="RCO232" s="15"/>
      <c r="RCP232" s="15"/>
      <c r="RCQ232" s="15"/>
      <c r="RCR232" s="15"/>
      <c r="RCS232" s="15"/>
      <c r="RCT232" s="15"/>
      <c r="RCU232" s="15"/>
      <c r="RCV232" s="10"/>
      <c r="RCW232" s="10"/>
      <c r="RCX232" s="21"/>
      <c r="RCY232" s="21"/>
      <c r="RDB232" s="21"/>
      <c r="RDC232" s="15"/>
      <c r="RDD232" s="15"/>
      <c r="RDE232" s="15"/>
      <c r="RDF232" s="15"/>
      <c r="RDG232" s="15"/>
      <c r="RDH232" s="15"/>
      <c r="RDI232" s="15"/>
      <c r="RDJ232" s="15"/>
      <c r="RDK232" s="15"/>
      <c r="RDL232" s="15"/>
      <c r="RDM232" s="10"/>
      <c r="RDN232" s="10"/>
      <c r="RDO232" s="21"/>
      <c r="RDP232" s="21"/>
      <c r="RDS232" s="21"/>
      <c r="RDT232" s="15"/>
      <c r="RDU232" s="15"/>
      <c r="RDV232" s="15"/>
      <c r="RDW232" s="15"/>
      <c r="RDX232" s="15"/>
      <c r="RDY232" s="15"/>
      <c r="RDZ232" s="15"/>
      <c r="REA232" s="15"/>
      <c r="REB232" s="15"/>
      <c r="REC232" s="15"/>
      <c r="RED232" s="10"/>
      <c r="REE232" s="10"/>
      <c r="REF232" s="21"/>
      <c r="REG232" s="21"/>
      <c r="REJ232" s="21"/>
      <c r="REK232" s="15"/>
      <c r="REL232" s="15"/>
      <c r="REM232" s="15"/>
      <c r="REN232" s="15"/>
      <c r="REO232" s="15"/>
      <c r="REP232" s="15"/>
      <c r="REQ232" s="15"/>
      <c r="RER232" s="15"/>
      <c r="RES232" s="15"/>
      <c r="RET232" s="15"/>
      <c r="REU232" s="10"/>
      <c r="REV232" s="10"/>
      <c r="REW232" s="21"/>
      <c r="REX232" s="21"/>
      <c r="RFA232" s="21"/>
      <c r="RFB232" s="15"/>
      <c r="RFC232" s="15"/>
      <c r="RFD232" s="15"/>
      <c r="RFE232" s="15"/>
      <c r="RFF232" s="15"/>
      <c r="RFG232" s="15"/>
      <c r="RFH232" s="15"/>
      <c r="RFI232" s="15"/>
      <c r="RFJ232" s="15"/>
      <c r="RFK232" s="15"/>
      <c r="RFL232" s="10"/>
      <c r="RFM232" s="10"/>
      <c r="RFN232" s="21"/>
      <c r="RFO232" s="21"/>
      <c r="RFR232" s="21"/>
      <c r="RFS232" s="15"/>
      <c r="RFT232" s="15"/>
      <c r="RFU232" s="15"/>
      <c r="RFV232" s="15"/>
      <c r="RFW232" s="15"/>
      <c r="RFX232" s="15"/>
      <c r="RFY232" s="15"/>
      <c r="RFZ232" s="15"/>
      <c r="RGA232" s="15"/>
      <c r="RGB232" s="15"/>
      <c r="RGC232" s="10"/>
      <c r="RGD232" s="10"/>
      <c r="RGE232" s="21"/>
      <c r="RGF232" s="21"/>
      <c r="RGI232" s="21"/>
      <c r="RGJ232" s="15"/>
      <c r="RGK232" s="15"/>
      <c r="RGL232" s="15"/>
      <c r="RGM232" s="15"/>
      <c r="RGN232" s="15"/>
      <c r="RGO232" s="15"/>
      <c r="RGP232" s="15"/>
      <c r="RGQ232" s="15"/>
      <c r="RGR232" s="15"/>
      <c r="RGS232" s="15"/>
      <c r="RGT232" s="10"/>
      <c r="RGU232" s="10"/>
      <c r="RGV232" s="21"/>
      <c r="RGW232" s="21"/>
      <c r="RGZ232" s="21"/>
      <c r="RHA232" s="15"/>
      <c r="RHB232" s="15"/>
      <c r="RHC232" s="15"/>
      <c r="RHD232" s="15"/>
      <c r="RHE232" s="15"/>
      <c r="RHF232" s="15"/>
      <c r="RHG232" s="15"/>
      <c r="RHH232" s="15"/>
      <c r="RHI232" s="15"/>
      <c r="RHJ232" s="15"/>
      <c r="RHK232" s="10"/>
      <c r="RHL232" s="10"/>
      <c r="RHM232" s="21"/>
      <c r="RHN232" s="21"/>
      <c r="RHQ232" s="21"/>
      <c r="RHR232" s="15"/>
      <c r="RHS232" s="15"/>
      <c r="RHT232" s="15"/>
      <c r="RHU232" s="15"/>
      <c r="RHV232" s="15"/>
      <c r="RHW232" s="15"/>
      <c r="RHX232" s="15"/>
      <c r="RHY232" s="15"/>
      <c r="RHZ232" s="15"/>
      <c r="RIA232" s="15"/>
      <c r="RIB232" s="10"/>
      <c r="RIC232" s="10"/>
      <c r="RID232" s="21"/>
      <c r="RIE232" s="21"/>
      <c r="RIH232" s="21"/>
      <c r="RII232" s="15"/>
      <c r="RIJ232" s="15"/>
      <c r="RIK232" s="15"/>
      <c r="RIL232" s="15"/>
      <c r="RIM232" s="15"/>
      <c r="RIN232" s="15"/>
      <c r="RIO232" s="15"/>
      <c r="RIP232" s="15"/>
      <c r="RIQ232" s="15"/>
      <c r="RIR232" s="15"/>
      <c r="RIS232" s="10"/>
      <c r="RIT232" s="10"/>
      <c r="RIU232" s="21"/>
      <c r="RIV232" s="21"/>
      <c r="RIY232" s="21"/>
      <c r="RIZ232" s="15"/>
      <c r="RJA232" s="15"/>
      <c r="RJB232" s="15"/>
      <c r="RJC232" s="15"/>
      <c r="RJD232" s="15"/>
      <c r="RJE232" s="15"/>
      <c r="RJF232" s="15"/>
      <c r="RJG232" s="15"/>
      <c r="RJH232" s="15"/>
      <c r="RJI232" s="15"/>
      <c r="RJJ232" s="10"/>
      <c r="RJK232" s="10"/>
      <c r="RJL232" s="21"/>
      <c r="RJM232" s="21"/>
      <c r="RJP232" s="21"/>
      <c r="RJQ232" s="15"/>
      <c r="RJR232" s="15"/>
      <c r="RJS232" s="15"/>
      <c r="RJT232" s="15"/>
      <c r="RJU232" s="15"/>
      <c r="RJV232" s="15"/>
      <c r="RJW232" s="15"/>
      <c r="RJX232" s="15"/>
      <c r="RJY232" s="15"/>
      <c r="RJZ232" s="15"/>
      <c r="RKA232" s="10"/>
      <c r="RKB232" s="10"/>
      <c r="RKC232" s="21"/>
      <c r="RKD232" s="21"/>
      <c r="RKG232" s="21"/>
      <c r="RKH232" s="15"/>
      <c r="RKI232" s="15"/>
      <c r="RKJ232" s="15"/>
      <c r="RKK232" s="15"/>
      <c r="RKL232" s="15"/>
      <c r="RKM232" s="15"/>
      <c r="RKN232" s="15"/>
      <c r="RKO232" s="15"/>
      <c r="RKP232" s="15"/>
      <c r="RKQ232" s="15"/>
      <c r="RKR232" s="10"/>
      <c r="RKS232" s="10"/>
      <c r="RKT232" s="21"/>
      <c r="RKU232" s="21"/>
      <c r="RKX232" s="21"/>
      <c r="RKY232" s="15"/>
      <c r="RKZ232" s="15"/>
      <c r="RLA232" s="15"/>
      <c r="RLB232" s="15"/>
      <c r="RLC232" s="15"/>
      <c r="RLD232" s="15"/>
      <c r="RLE232" s="15"/>
      <c r="RLF232" s="15"/>
      <c r="RLG232" s="15"/>
      <c r="RLH232" s="15"/>
      <c r="RLI232" s="10"/>
      <c r="RLJ232" s="10"/>
      <c r="RLK232" s="21"/>
      <c r="RLL232" s="21"/>
      <c r="RLO232" s="21"/>
      <c r="RLP232" s="15"/>
      <c r="RLQ232" s="15"/>
      <c r="RLR232" s="15"/>
      <c r="RLS232" s="15"/>
      <c r="RLT232" s="15"/>
      <c r="RLU232" s="15"/>
      <c r="RLV232" s="15"/>
      <c r="RLW232" s="15"/>
      <c r="RLX232" s="15"/>
      <c r="RLY232" s="15"/>
      <c r="RLZ232" s="10"/>
      <c r="RMA232" s="10"/>
      <c r="RMB232" s="21"/>
      <c r="RMC232" s="21"/>
      <c r="RMF232" s="21"/>
      <c r="RMG232" s="15"/>
      <c r="RMH232" s="15"/>
      <c r="RMI232" s="15"/>
      <c r="RMJ232" s="15"/>
      <c r="RMK232" s="15"/>
      <c r="RML232" s="15"/>
      <c r="RMM232" s="15"/>
      <c r="RMN232" s="15"/>
      <c r="RMO232" s="15"/>
      <c r="RMP232" s="15"/>
      <c r="RMQ232" s="10"/>
      <c r="RMR232" s="10"/>
      <c r="RMS232" s="21"/>
      <c r="RMT232" s="21"/>
      <c r="RMW232" s="21"/>
      <c r="RMX232" s="15"/>
      <c r="RMY232" s="15"/>
      <c r="RMZ232" s="15"/>
      <c r="RNA232" s="15"/>
      <c r="RNB232" s="15"/>
      <c r="RNC232" s="15"/>
      <c r="RND232" s="15"/>
      <c r="RNE232" s="15"/>
      <c r="RNF232" s="15"/>
      <c r="RNG232" s="15"/>
      <c r="RNH232" s="10"/>
      <c r="RNI232" s="10"/>
      <c r="RNJ232" s="21"/>
      <c r="RNK232" s="21"/>
      <c r="RNN232" s="21"/>
      <c r="RNO232" s="15"/>
      <c r="RNP232" s="15"/>
      <c r="RNQ232" s="15"/>
      <c r="RNR232" s="15"/>
      <c r="RNS232" s="15"/>
      <c r="RNT232" s="15"/>
      <c r="RNU232" s="15"/>
      <c r="RNV232" s="15"/>
      <c r="RNW232" s="15"/>
      <c r="RNX232" s="15"/>
      <c r="RNY232" s="10"/>
      <c r="RNZ232" s="10"/>
      <c r="ROA232" s="21"/>
      <c r="ROB232" s="21"/>
      <c r="ROE232" s="21"/>
      <c r="ROF232" s="15"/>
      <c r="ROG232" s="15"/>
      <c r="ROH232" s="15"/>
      <c r="ROI232" s="15"/>
      <c r="ROJ232" s="15"/>
      <c r="ROK232" s="15"/>
      <c r="ROL232" s="15"/>
      <c r="ROM232" s="15"/>
      <c r="RON232" s="15"/>
      <c r="ROO232" s="15"/>
      <c r="ROP232" s="10"/>
      <c r="ROQ232" s="10"/>
      <c r="ROR232" s="21"/>
      <c r="ROS232" s="21"/>
      <c r="ROV232" s="21"/>
      <c r="ROW232" s="15"/>
      <c r="ROX232" s="15"/>
      <c r="ROY232" s="15"/>
      <c r="ROZ232" s="15"/>
      <c r="RPA232" s="15"/>
      <c r="RPB232" s="15"/>
      <c r="RPC232" s="15"/>
      <c r="RPD232" s="15"/>
      <c r="RPE232" s="15"/>
      <c r="RPF232" s="15"/>
      <c r="RPG232" s="10"/>
      <c r="RPH232" s="10"/>
      <c r="RPI232" s="21"/>
      <c r="RPJ232" s="21"/>
      <c r="RPM232" s="21"/>
      <c r="RPN232" s="15"/>
      <c r="RPO232" s="15"/>
      <c r="RPP232" s="15"/>
      <c r="RPQ232" s="15"/>
      <c r="RPR232" s="15"/>
      <c r="RPS232" s="15"/>
      <c r="RPT232" s="15"/>
      <c r="RPU232" s="15"/>
      <c r="RPV232" s="15"/>
      <c r="RPW232" s="15"/>
      <c r="RPX232" s="10"/>
      <c r="RPY232" s="10"/>
      <c r="RPZ232" s="21"/>
      <c r="RQA232" s="21"/>
      <c r="RQD232" s="21"/>
      <c r="RQE232" s="15"/>
      <c r="RQF232" s="15"/>
      <c r="RQG232" s="15"/>
      <c r="RQH232" s="15"/>
      <c r="RQI232" s="15"/>
      <c r="RQJ232" s="15"/>
      <c r="RQK232" s="15"/>
      <c r="RQL232" s="15"/>
      <c r="RQM232" s="15"/>
      <c r="RQN232" s="15"/>
      <c r="RQO232" s="10"/>
      <c r="RQP232" s="10"/>
      <c r="RQQ232" s="21"/>
      <c r="RQR232" s="21"/>
      <c r="RQU232" s="21"/>
      <c r="RQV232" s="15"/>
      <c r="RQW232" s="15"/>
      <c r="RQX232" s="15"/>
      <c r="RQY232" s="15"/>
      <c r="RQZ232" s="15"/>
      <c r="RRA232" s="15"/>
      <c r="RRB232" s="15"/>
      <c r="RRC232" s="15"/>
      <c r="RRD232" s="15"/>
      <c r="RRE232" s="15"/>
      <c r="RRF232" s="10"/>
      <c r="RRG232" s="10"/>
      <c r="RRH232" s="21"/>
      <c r="RRI232" s="21"/>
      <c r="RRL232" s="21"/>
      <c r="RRM232" s="15"/>
      <c r="RRN232" s="15"/>
      <c r="RRO232" s="15"/>
      <c r="RRP232" s="15"/>
      <c r="RRQ232" s="15"/>
      <c r="RRR232" s="15"/>
      <c r="RRS232" s="15"/>
      <c r="RRT232" s="15"/>
      <c r="RRU232" s="15"/>
      <c r="RRV232" s="15"/>
      <c r="RRW232" s="10"/>
      <c r="RRX232" s="10"/>
      <c r="RRY232" s="21"/>
      <c r="RRZ232" s="21"/>
      <c r="RSC232" s="21"/>
      <c r="RSD232" s="15"/>
      <c r="RSE232" s="15"/>
      <c r="RSF232" s="15"/>
      <c r="RSG232" s="15"/>
      <c r="RSH232" s="15"/>
      <c r="RSI232" s="15"/>
      <c r="RSJ232" s="15"/>
      <c r="RSK232" s="15"/>
      <c r="RSL232" s="15"/>
      <c r="RSM232" s="15"/>
      <c r="RSN232" s="10"/>
      <c r="RSO232" s="10"/>
      <c r="RSP232" s="21"/>
      <c r="RSQ232" s="21"/>
      <c r="RST232" s="21"/>
      <c r="RSU232" s="15"/>
      <c r="RSV232" s="15"/>
      <c r="RSW232" s="15"/>
      <c r="RSX232" s="15"/>
      <c r="RSY232" s="15"/>
      <c r="RSZ232" s="15"/>
      <c r="RTA232" s="15"/>
      <c r="RTB232" s="15"/>
      <c r="RTC232" s="15"/>
      <c r="RTD232" s="15"/>
      <c r="RTE232" s="10"/>
      <c r="RTF232" s="10"/>
      <c r="RTG232" s="21"/>
      <c r="RTH232" s="21"/>
      <c r="RTK232" s="21"/>
      <c r="RTL232" s="15"/>
      <c r="RTM232" s="15"/>
      <c r="RTN232" s="15"/>
      <c r="RTO232" s="15"/>
      <c r="RTP232" s="15"/>
      <c r="RTQ232" s="15"/>
      <c r="RTR232" s="15"/>
      <c r="RTS232" s="15"/>
      <c r="RTT232" s="15"/>
      <c r="RTU232" s="15"/>
      <c r="RTV232" s="10"/>
      <c r="RTW232" s="10"/>
      <c r="RTX232" s="21"/>
      <c r="RTY232" s="21"/>
      <c r="RUB232" s="21"/>
      <c r="RUC232" s="15"/>
      <c r="RUD232" s="15"/>
      <c r="RUE232" s="15"/>
      <c r="RUF232" s="15"/>
      <c r="RUG232" s="15"/>
      <c r="RUH232" s="15"/>
      <c r="RUI232" s="15"/>
      <c r="RUJ232" s="15"/>
      <c r="RUK232" s="15"/>
      <c r="RUL232" s="15"/>
      <c r="RUM232" s="10"/>
      <c r="RUN232" s="10"/>
      <c r="RUO232" s="21"/>
      <c r="RUP232" s="21"/>
      <c r="RUS232" s="21"/>
      <c r="RUT232" s="15"/>
      <c r="RUU232" s="15"/>
      <c r="RUV232" s="15"/>
      <c r="RUW232" s="15"/>
      <c r="RUX232" s="15"/>
      <c r="RUY232" s="15"/>
      <c r="RUZ232" s="15"/>
      <c r="RVA232" s="15"/>
      <c r="RVB232" s="15"/>
      <c r="RVC232" s="15"/>
      <c r="RVD232" s="10"/>
      <c r="RVE232" s="10"/>
      <c r="RVF232" s="21"/>
      <c r="RVG232" s="21"/>
      <c r="RVJ232" s="21"/>
      <c r="RVK232" s="15"/>
      <c r="RVL232" s="15"/>
      <c r="RVM232" s="15"/>
      <c r="RVN232" s="15"/>
      <c r="RVO232" s="15"/>
      <c r="RVP232" s="15"/>
      <c r="RVQ232" s="15"/>
      <c r="RVR232" s="15"/>
      <c r="RVS232" s="15"/>
      <c r="RVT232" s="15"/>
      <c r="RVU232" s="10"/>
      <c r="RVV232" s="10"/>
      <c r="RVW232" s="21"/>
      <c r="RVX232" s="21"/>
      <c r="RWA232" s="21"/>
      <c r="RWB232" s="15"/>
      <c r="RWC232" s="15"/>
      <c r="RWD232" s="15"/>
      <c r="RWE232" s="15"/>
      <c r="RWF232" s="15"/>
      <c r="RWG232" s="15"/>
      <c r="RWH232" s="15"/>
      <c r="RWI232" s="15"/>
      <c r="RWJ232" s="15"/>
      <c r="RWK232" s="15"/>
      <c r="RWL232" s="10"/>
      <c r="RWM232" s="10"/>
      <c r="RWN232" s="21"/>
      <c r="RWO232" s="21"/>
      <c r="RWR232" s="21"/>
      <c r="RWS232" s="15"/>
      <c r="RWT232" s="15"/>
      <c r="RWU232" s="15"/>
      <c r="RWV232" s="15"/>
      <c r="RWW232" s="15"/>
      <c r="RWX232" s="15"/>
      <c r="RWY232" s="15"/>
      <c r="RWZ232" s="15"/>
      <c r="RXA232" s="15"/>
      <c r="RXB232" s="15"/>
      <c r="RXC232" s="10"/>
      <c r="RXD232" s="10"/>
      <c r="RXE232" s="21"/>
      <c r="RXF232" s="21"/>
      <c r="RXI232" s="21"/>
      <c r="RXJ232" s="15"/>
      <c r="RXK232" s="15"/>
      <c r="RXL232" s="15"/>
      <c r="RXM232" s="15"/>
      <c r="RXN232" s="15"/>
      <c r="RXO232" s="15"/>
      <c r="RXP232" s="15"/>
      <c r="RXQ232" s="15"/>
      <c r="RXR232" s="15"/>
      <c r="RXS232" s="15"/>
      <c r="RXT232" s="10"/>
      <c r="RXU232" s="10"/>
      <c r="RXV232" s="21"/>
      <c r="RXW232" s="21"/>
      <c r="RXZ232" s="21"/>
      <c r="RYA232" s="15"/>
      <c r="RYB232" s="15"/>
      <c r="RYC232" s="15"/>
      <c r="RYD232" s="15"/>
      <c r="RYE232" s="15"/>
      <c r="RYF232" s="15"/>
      <c r="RYG232" s="15"/>
      <c r="RYH232" s="15"/>
      <c r="RYI232" s="15"/>
      <c r="RYJ232" s="15"/>
      <c r="RYK232" s="10"/>
      <c r="RYL232" s="10"/>
      <c r="RYM232" s="21"/>
      <c r="RYN232" s="21"/>
      <c r="RYQ232" s="21"/>
      <c r="RYR232" s="15"/>
      <c r="RYS232" s="15"/>
      <c r="RYT232" s="15"/>
      <c r="RYU232" s="15"/>
      <c r="RYV232" s="15"/>
      <c r="RYW232" s="15"/>
      <c r="RYX232" s="15"/>
      <c r="RYY232" s="15"/>
      <c r="RYZ232" s="15"/>
      <c r="RZA232" s="15"/>
      <c r="RZB232" s="10"/>
      <c r="RZC232" s="10"/>
      <c r="RZD232" s="21"/>
      <c r="RZE232" s="21"/>
      <c r="RZH232" s="21"/>
      <c r="RZI232" s="15"/>
      <c r="RZJ232" s="15"/>
      <c r="RZK232" s="15"/>
      <c r="RZL232" s="15"/>
      <c r="RZM232" s="15"/>
      <c r="RZN232" s="15"/>
      <c r="RZO232" s="15"/>
      <c r="RZP232" s="15"/>
      <c r="RZQ232" s="15"/>
      <c r="RZR232" s="15"/>
      <c r="RZS232" s="10"/>
      <c r="RZT232" s="10"/>
      <c r="RZU232" s="21"/>
      <c r="RZV232" s="21"/>
      <c r="RZY232" s="21"/>
      <c r="RZZ232" s="15"/>
      <c r="SAA232" s="15"/>
      <c r="SAB232" s="15"/>
      <c r="SAC232" s="15"/>
      <c r="SAD232" s="15"/>
      <c r="SAE232" s="15"/>
      <c r="SAF232" s="15"/>
      <c r="SAG232" s="15"/>
      <c r="SAH232" s="15"/>
      <c r="SAI232" s="15"/>
      <c r="SAJ232" s="10"/>
      <c r="SAK232" s="10"/>
      <c r="SAL232" s="21"/>
      <c r="SAM232" s="21"/>
      <c r="SAP232" s="21"/>
      <c r="SAQ232" s="15"/>
      <c r="SAR232" s="15"/>
      <c r="SAS232" s="15"/>
      <c r="SAT232" s="15"/>
      <c r="SAU232" s="15"/>
      <c r="SAV232" s="15"/>
      <c r="SAW232" s="15"/>
      <c r="SAX232" s="15"/>
      <c r="SAY232" s="15"/>
      <c r="SAZ232" s="15"/>
      <c r="SBA232" s="10"/>
      <c r="SBB232" s="10"/>
      <c r="SBC232" s="21"/>
      <c r="SBD232" s="21"/>
      <c r="SBG232" s="21"/>
      <c r="SBH232" s="15"/>
      <c r="SBI232" s="15"/>
      <c r="SBJ232" s="15"/>
      <c r="SBK232" s="15"/>
      <c r="SBL232" s="15"/>
      <c r="SBM232" s="15"/>
      <c r="SBN232" s="15"/>
      <c r="SBO232" s="15"/>
      <c r="SBP232" s="15"/>
      <c r="SBQ232" s="15"/>
      <c r="SBR232" s="10"/>
      <c r="SBS232" s="10"/>
      <c r="SBT232" s="21"/>
      <c r="SBU232" s="21"/>
      <c r="SBX232" s="21"/>
      <c r="SBY232" s="15"/>
      <c r="SBZ232" s="15"/>
      <c r="SCA232" s="15"/>
      <c r="SCB232" s="15"/>
      <c r="SCC232" s="15"/>
      <c r="SCD232" s="15"/>
      <c r="SCE232" s="15"/>
      <c r="SCF232" s="15"/>
      <c r="SCG232" s="15"/>
      <c r="SCH232" s="15"/>
      <c r="SCI232" s="10"/>
      <c r="SCJ232" s="10"/>
      <c r="SCK232" s="21"/>
      <c r="SCL232" s="21"/>
      <c r="SCO232" s="21"/>
      <c r="SCP232" s="15"/>
      <c r="SCQ232" s="15"/>
      <c r="SCR232" s="15"/>
      <c r="SCS232" s="15"/>
      <c r="SCT232" s="15"/>
      <c r="SCU232" s="15"/>
      <c r="SCV232" s="15"/>
      <c r="SCW232" s="15"/>
      <c r="SCX232" s="15"/>
      <c r="SCY232" s="15"/>
      <c r="SCZ232" s="10"/>
      <c r="SDA232" s="10"/>
      <c r="SDB232" s="21"/>
      <c r="SDC232" s="21"/>
      <c r="SDF232" s="21"/>
      <c r="SDG232" s="15"/>
      <c r="SDH232" s="15"/>
      <c r="SDI232" s="15"/>
      <c r="SDJ232" s="15"/>
      <c r="SDK232" s="15"/>
      <c r="SDL232" s="15"/>
      <c r="SDM232" s="15"/>
      <c r="SDN232" s="15"/>
      <c r="SDO232" s="15"/>
      <c r="SDP232" s="15"/>
      <c r="SDQ232" s="10"/>
      <c r="SDR232" s="10"/>
      <c r="SDS232" s="21"/>
      <c r="SDT232" s="21"/>
      <c r="SDW232" s="21"/>
      <c r="SDX232" s="15"/>
      <c r="SDY232" s="15"/>
      <c r="SDZ232" s="15"/>
      <c r="SEA232" s="15"/>
      <c r="SEB232" s="15"/>
      <c r="SEC232" s="15"/>
      <c r="SED232" s="15"/>
      <c r="SEE232" s="15"/>
      <c r="SEF232" s="15"/>
      <c r="SEG232" s="15"/>
      <c r="SEH232" s="10"/>
      <c r="SEI232" s="10"/>
      <c r="SEJ232" s="21"/>
      <c r="SEK232" s="21"/>
      <c r="SEN232" s="21"/>
      <c r="SEO232" s="15"/>
      <c r="SEP232" s="15"/>
      <c r="SEQ232" s="15"/>
      <c r="SER232" s="15"/>
      <c r="SES232" s="15"/>
      <c r="SET232" s="15"/>
      <c r="SEU232" s="15"/>
      <c r="SEV232" s="15"/>
      <c r="SEW232" s="15"/>
      <c r="SEX232" s="15"/>
      <c r="SEY232" s="10"/>
      <c r="SEZ232" s="10"/>
      <c r="SFA232" s="21"/>
      <c r="SFB232" s="21"/>
      <c r="SFE232" s="21"/>
      <c r="SFF232" s="15"/>
      <c r="SFG232" s="15"/>
      <c r="SFH232" s="15"/>
      <c r="SFI232" s="15"/>
      <c r="SFJ232" s="15"/>
      <c r="SFK232" s="15"/>
      <c r="SFL232" s="15"/>
      <c r="SFM232" s="15"/>
      <c r="SFN232" s="15"/>
      <c r="SFO232" s="15"/>
      <c r="SFP232" s="10"/>
      <c r="SFQ232" s="10"/>
      <c r="SFR232" s="21"/>
      <c r="SFS232" s="21"/>
      <c r="SFV232" s="21"/>
      <c r="SFW232" s="15"/>
      <c r="SFX232" s="15"/>
      <c r="SFY232" s="15"/>
      <c r="SFZ232" s="15"/>
      <c r="SGA232" s="15"/>
      <c r="SGB232" s="15"/>
      <c r="SGC232" s="15"/>
      <c r="SGD232" s="15"/>
      <c r="SGE232" s="15"/>
      <c r="SGF232" s="15"/>
      <c r="SGG232" s="10"/>
      <c r="SGH232" s="10"/>
      <c r="SGI232" s="21"/>
      <c r="SGJ232" s="21"/>
      <c r="SGM232" s="21"/>
      <c r="SGN232" s="15"/>
      <c r="SGO232" s="15"/>
      <c r="SGP232" s="15"/>
      <c r="SGQ232" s="15"/>
      <c r="SGR232" s="15"/>
      <c r="SGS232" s="15"/>
      <c r="SGT232" s="15"/>
      <c r="SGU232" s="15"/>
      <c r="SGV232" s="15"/>
      <c r="SGW232" s="15"/>
      <c r="SGX232" s="10"/>
      <c r="SGY232" s="10"/>
      <c r="SGZ232" s="21"/>
      <c r="SHA232" s="21"/>
      <c r="SHD232" s="21"/>
      <c r="SHE232" s="15"/>
      <c r="SHF232" s="15"/>
      <c r="SHG232" s="15"/>
      <c r="SHH232" s="15"/>
      <c r="SHI232" s="15"/>
      <c r="SHJ232" s="15"/>
      <c r="SHK232" s="15"/>
      <c r="SHL232" s="15"/>
      <c r="SHM232" s="15"/>
      <c r="SHN232" s="15"/>
      <c r="SHO232" s="10"/>
      <c r="SHP232" s="10"/>
      <c r="SHQ232" s="21"/>
      <c r="SHR232" s="21"/>
      <c r="SHU232" s="21"/>
      <c r="SHV232" s="15"/>
      <c r="SHW232" s="15"/>
      <c r="SHX232" s="15"/>
      <c r="SHY232" s="15"/>
      <c r="SHZ232" s="15"/>
      <c r="SIA232" s="15"/>
      <c r="SIB232" s="15"/>
      <c r="SIC232" s="15"/>
      <c r="SID232" s="15"/>
      <c r="SIE232" s="15"/>
      <c r="SIF232" s="10"/>
      <c r="SIG232" s="10"/>
      <c r="SIH232" s="21"/>
      <c r="SII232" s="21"/>
      <c r="SIL232" s="21"/>
      <c r="SIM232" s="15"/>
      <c r="SIN232" s="15"/>
      <c r="SIO232" s="15"/>
      <c r="SIP232" s="15"/>
      <c r="SIQ232" s="15"/>
      <c r="SIR232" s="15"/>
      <c r="SIS232" s="15"/>
      <c r="SIT232" s="15"/>
      <c r="SIU232" s="15"/>
      <c r="SIV232" s="15"/>
      <c r="SIW232" s="10"/>
      <c r="SIX232" s="10"/>
      <c r="SIY232" s="21"/>
      <c r="SIZ232" s="21"/>
      <c r="SJC232" s="21"/>
      <c r="SJD232" s="15"/>
      <c r="SJE232" s="15"/>
      <c r="SJF232" s="15"/>
      <c r="SJG232" s="15"/>
      <c r="SJH232" s="15"/>
      <c r="SJI232" s="15"/>
      <c r="SJJ232" s="15"/>
      <c r="SJK232" s="15"/>
      <c r="SJL232" s="15"/>
      <c r="SJM232" s="15"/>
      <c r="SJN232" s="10"/>
      <c r="SJO232" s="10"/>
      <c r="SJP232" s="21"/>
      <c r="SJQ232" s="21"/>
      <c r="SJT232" s="21"/>
      <c r="SJU232" s="15"/>
      <c r="SJV232" s="15"/>
      <c r="SJW232" s="15"/>
      <c r="SJX232" s="15"/>
      <c r="SJY232" s="15"/>
      <c r="SJZ232" s="15"/>
      <c r="SKA232" s="15"/>
      <c r="SKB232" s="15"/>
      <c r="SKC232" s="15"/>
      <c r="SKD232" s="15"/>
      <c r="SKE232" s="10"/>
      <c r="SKF232" s="10"/>
      <c r="SKG232" s="21"/>
      <c r="SKH232" s="21"/>
      <c r="SKK232" s="21"/>
      <c r="SKL232" s="15"/>
      <c r="SKM232" s="15"/>
      <c r="SKN232" s="15"/>
      <c r="SKO232" s="15"/>
      <c r="SKP232" s="15"/>
      <c r="SKQ232" s="15"/>
      <c r="SKR232" s="15"/>
      <c r="SKS232" s="15"/>
      <c r="SKT232" s="15"/>
      <c r="SKU232" s="15"/>
      <c r="SKV232" s="10"/>
      <c r="SKW232" s="10"/>
      <c r="SKX232" s="21"/>
      <c r="SKY232" s="21"/>
      <c r="SLB232" s="21"/>
      <c r="SLC232" s="15"/>
      <c r="SLD232" s="15"/>
      <c r="SLE232" s="15"/>
      <c r="SLF232" s="15"/>
      <c r="SLG232" s="15"/>
      <c r="SLH232" s="15"/>
      <c r="SLI232" s="15"/>
      <c r="SLJ232" s="15"/>
      <c r="SLK232" s="15"/>
      <c r="SLL232" s="15"/>
      <c r="SLM232" s="10"/>
      <c r="SLN232" s="10"/>
      <c r="SLO232" s="21"/>
      <c r="SLP232" s="21"/>
      <c r="SLS232" s="21"/>
      <c r="SLT232" s="15"/>
      <c r="SLU232" s="15"/>
      <c r="SLV232" s="15"/>
      <c r="SLW232" s="15"/>
      <c r="SLX232" s="15"/>
      <c r="SLY232" s="15"/>
      <c r="SLZ232" s="15"/>
      <c r="SMA232" s="15"/>
      <c r="SMB232" s="15"/>
      <c r="SMC232" s="15"/>
      <c r="SMD232" s="10"/>
      <c r="SME232" s="10"/>
      <c r="SMF232" s="21"/>
      <c r="SMG232" s="21"/>
      <c r="SMJ232" s="21"/>
      <c r="SMK232" s="15"/>
      <c r="SML232" s="15"/>
      <c r="SMM232" s="15"/>
      <c r="SMN232" s="15"/>
      <c r="SMO232" s="15"/>
      <c r="SMP232" s="15"/>
      <c r="SMQ232" s="15"/>
      <c r="SMR232" s="15"/>
      <c r="SMS232" s="15"/>
      <c r="SMT232" s="15"/>
      <c r="SMU232" s="10"/>
      <c r="SMV232" s="10"/>
      <c r="SMW232" s="21"/>
      <c r="SMX232" s="21"/>
      <c r="SNA232" s="21"/>
      <c r="SNB232" s="15"/>
      <c r="SNC232" s="15"/>
      <c r="SND232" s="15"/>
      <c r="SNE232" s="15"/>
      <c r="SNF232" s="15"/>
      <c r="SNG232" s="15"/>
      <c r="SNH232" s="15"/>
      <c r="SNI232" s="15"/>
      <c r="SNJ232" s="15"/>
      <c r="SNK232" s="15"/>
      <c r="SNL232" s="10"/>
      <c r="SNM232" s="10"/>
      <c r="SNN232" s="21"/>
      <c r="SNO232" s="21"/>
      <c r="SNR232" s="21"/>
      <c r="SNS232" s="15"/>
      <c r="SNT232" s="15"/>
      <c r="SNU232" s="15"/>
      <c r="SNV232" s="15"/>
      <c r="SNW232" s="15"/>
      <c r="SNX232" s="15"/>
      <c r="SNY232" s="15"/>
      <c r="SNZ232" s="15"/>
      <c r="SOA232" s="15"/>
      <c r="SOB232" s="15"/>
      <c r="SOC232" s="10"/>
      <c r="SOD232" s="10"/>
      <c r="SOE232" s="21"/>
      <c r="SOF232" s="21"/>
      <c r="SOI232" s="21"/>
      <c r="SOJ232" s="15"/>
      <c r="SOK232" s="15"/>
      <c r="SOL232" s="15"/>
      <c r="SOM232" s="15"/>
      <c r="SON232" s="15"/>
      <c r="SOO232" s="15"/>
      <c r="SOP232" s="15"/>
      <c r="SOQ232" s="15"/>
      <c r="SOR232" s="15"/>
      <c r="SOS232" s="15"/>
      <c r="SOT232" s="10"/>
      <c r="SOU232" s="10"/>
      <c r="SOV232" s="21"/>
      <c r="SOW232" s="21"/>
      <c r="SOZ232" s="21"/>
      <c r="SPA232" s="15"/>
      <c r="SPB232" s="15"/>
      <c r="SPC232" s="15"/>
      <c r="SPD232" s="15"/>
      <c r="SPE232" s="15"/>
      <c r="SPF232" s="15"/>
      <c r="SPG232" s="15"/>
      <c r="SPH232" s="15"/>
      <c r="SPI232" s="15"/>
      <c r="SPJ232" s="15"/>
      <c r="SPK232" s="10"/>
      <c r="SPL232" s="10"/>
      <c r="SPM232" s="21"/>
      <c r="SPN232" s="21"/>
      <c r="SPQ232" s="21"/>
      <c r="SPR232" s="15"/>
      <c r="SPS232" s="15"/>
      <c r="SPT232" s="15"/>
      <c r="SPU232" s="15"/>
      <c r="SPV232" s="15"/>
      <c r="SPW232" s="15"/>
      <c r="SPX232" s="15"/>
      <c r="SPY232" s="15"/>
      <c r="SPZ232" s="15"/>
      <c r="SQA232" s="15"/>
      <c r="SQB232" s="10"/>
      <c r="SQC232" s="10"/>
      <c r="SQD232" s="21"/>
      <c r="SQE232" s="21"/>
      <c r="SQH232" s="21"/>
      <c r="SQI232" s="15"/>
      <c r="SQJ232" s="15"/>
      <c r="SQK232" s="15"/>
      <c r="SQL232" s="15"/>
      <c r="SQM232" s="15"/>
      <c r="SQN232" s="15"/>
      <c r="SQO232" s="15"/>
      <c r="SQP232" s="15"/>
      <c r="SQQ232" s="15"/>
      <c r="SQR232" s="15"/>
      <c r="SQS232" s="10"/>
      <c r="SQT232" s="10"/>
      <c r="SQU232" s="21"/>
      <c r="SQV232" s="21"/>
      <c r="SQY232" s="21"/>
      <c r="SQZ232" s="15"/>
      <c r="SRA232" s="15"/>
      <c r="SRB232" s="15"/>
      <c r="SRC232" s="15"/>
      <c r="SRD232" s="15"/>
      <c r="SRE232" s="15"/>
      <c r="SRF232" s="15"/>
      <c r="SRG232" s="15"/>
      <c r="SRH232" s="15"/>
      <c r="SRI232" s="15"/>
      <c r="SRJ232" s="10"/>
      <c r="SRK232" s="10"/>
      <c r="SRL232" s="21"/>
      <c r="SRM232" s="21"/>
      <c r="SRP232" s="21"/>
      <c r="SRQ232" s="15"/>
      <c r="SRR232" s="15"/>
      <c r="SRS232" s="15"/>
      <c r="SRT232" s="15"/>
      <c r="SRU232" s="15"/>
      <c r="SRV232" s="15"/>
      <c r="SRW232" s="15"/>
      <c r="SRX232" s="15"/>
      <c r="SRY232" s="15"/>
      <c r="SRZ232" s="15"/>
      <c r="SSA232" s="10"/>
      <c r="SSB232" s="10"/>
      <c r="SSC232" s="21"/>
      <c r="SSD232" s="21"/>
      <c r="SSG232" s="21"/>
      <c r="SSH232" s="15"/>
      <c r="SSI232" s="15"/>
      <c r="SSJ232" s="15"/>
      <c r="SSK232" s="15"/>
      <c r="SSL232" s="15"/>
      <c r="SSM232" s="15"/>
      <c r="SSN232" s="15"/>
      <c r="SSO232" s="15"/>
      <c r="SSP232" s="15"/>
      <c r="SSQ232" s="15"/>
      <c r="SSR232" s="10"/>
      <c r="SSS232" s="10"/>
      <c r="SST232" s="21"/>
      <c r="SSU232" s="21"/>
      <c r="SSX232" s="21"/>
      <c r="SSY232" s="15"/>
      <c r="SSZ232" s="15"/>
      <c r="STA232" s="15"/>
      <c r="STB232" s="15"/>
      <c r="STC232" s="15"/>
      <c r="STD232" s="15"/>
      <c r="STE232" s="15"/>
      <c r="STF232" s="15"/>
      <c r="STG232" s="15"/>
      <c r="STH232" s="15"/>
      <c r="STI232" s="10"/>
      <c r="STJ232" s="10"/>
      <c r="STK232" s="21"/>
      <c r="STL232" s="21"/>
      <c r="STO232" s="21"/>
      <c r="STP232" s="15"/>
      <c r="STQ232" s="15"/>
      <c r="STR232" s="15"/>
      <c r="STS232" s="15"/>
      <c r="STT232" s="15"/>
      <c r="STU232" s="15"/>
      <c r="STV232" s="15"/>
      <c r="STW232" s="15"/>
      <c r="STX232" s="15"/>
      <c r="STY232" s="15"/>
      <c r="STZ232" s="10"/>
      <c r="SUA232" s="10"/>
      <c r="SUB232" s="21"/>
      <c r="SUC232" s="21"/>
      <c r="SUF232" s="21"/>
      <c r="SUG232" s="15"/>
      <c r="SUH232" s="15"/>
      <c r="SUI232" s="15"/>
      <c r="SUJ232" s="15"/>
      <c r="SUK232" s="15"/>
      <c r="SUL232" s="15"/>
      <c r="SUM232" s="15"/>
      <c r="SUN232" s="15"/>
      <c r="SUO232" s="15"/>
      <c r="SUP232" s="15"/>
      <c r="SUQ232" s="10"/>
      <c r="SUR232" s="10"/>
      <c r="SUS232" s="21"/>
      <c r="SUT232" s="21"/>
      <c r="SUW232" s="21"/>
      <c r="SUX232" s="15"/>
      <c r="SUY232" s="15"/>
      <c r="SUZ232" s="15"/>
      <c r="SVA232" s="15"/>
      <c r="SVB232" s="15"/>
      <c r="SVC232" s="15"/>
      <c r="SVD232" s="15"/>
      <c r="SVE232" s="15"/>
      <c r="SVF232" s="15"/>
      <c r="SVG232" s="15"/>
      <c r="SVH232" s="10"/>
      <c r="SVI232" s="10"/>
      <c r="SVJ232" s="21"/>
      <c r="SVK232" s="21"/>
      <c r="SVN232" s="21"/>
      <c r="SVO232" s="15"/>
      <c r="SVP232" s="15"/>
      <c r="SVQ232" s="15"/>
      <c r="SVR232" s="15"/>
      <c r="SVS232" s="15"/>
      <c r="SVT232" s="15"/>
      <c r="SVU232" s="15"/>
      <c r="SVV232" s="15"/>
      <c r="SVW232" s="15"/>
      <c r="SVX232" s="15"/>
      <c r="SVY232" s="10"/>
      <c r="SVZ232" s="10"/>
      <c r="SWA232" s="21"/>
      <c r="SWB232" s="21"/>
      <c r="SWE232" s="21"/>
      <c r="SWF232" s="15"/>
      <c r="SWG232" s="15"/>
      <c r="SWH232" s="15"/>
      <c r="SWI232" s="15"/>
      <c r="SWJ232" s="15"/>
      <c r="SWK232" s="15"/>
      <c r="SWL232" s="15"/>
      <c r="SWM232" s="15"/>
      <c r="SWN232" s="15"/>
      <c r="SWO232" s="15"/>
      <c r="SWP232" s="10"/>
      <c r="SWQ232" s="10"/>
      <c r="SWR232" s="21"/>
      <c r="SWS232" s="21"/>
      <c r="SWV232" s="21"/>
      <c r="SWW232" s="15"/>
      <c r="SWX232" s="15"/>
      <c r="SWY232" s="15"/>
      <c r="SWZ232" s="15"/>
      <c r="SXA232" s="15"/>
      <c r="SXB232" s="15"/>
      <c r="SXC232" s="15"/>
      <c r="SXD232" s="15"/>
      <c r="SXE232" s="15"/>
      <c r="SXF232" s="15"/>
      <c r="SXG232" s="10"/>
      <c r="SXH232" s="10"/>
      <c r="SXI232" s="21"/>
      <c r="SXJ232" s="21"/>
      <c r="SXM232" s="21"/>
      <c r="SXN232" s="15"/>
      <c r="SXO232" s="15"/>
      <c r="SXP232" s="15"/>
      <c r="SXQ232" s="15"/>
      <c r="SXR232" s="15"/>
      <c r="SXS232" s="15"/>
      <c r="SXT232" s="15"/>
      <c r="SXU232" s="15"/>
      <c r="SXV232" s="15"/>
      <c r="SXW232" s="15"/>
      <c r="SXX232" s="10"/>
      <c r="SXY232" s="10"/>
      <c r="SXZ232" s="21"/>
      <c r="SYA232" s="21"/>
      <c r="SYD232" s="21"/>
      <c r="SYE232" s="15"/>
      <c r="SYF232" s="15"/>
      <c r="SYG232" s="15"/>
      <c r="SYH232" s="15"/>
      <c r="SYI232" s="15"/>
      <c r="SYJ232" s="15"/>
      <c r="SYK232" s="15"/>
      <c r="SYL232" s="15"/>
      <c r="SYM232" s="15"/>
      <c r="SYN232" s="15"/>
      <c r="SYO232" s="10"/>
      <c r="SYP232" s="10"/>
      <c r="SYQ232" s="21"/>
      <c r="SYR232" s="21"/>
      <c r="SYU232" s="21"/>
      <c r="SYV232" s="15"/>
      <c r="SYW232" s="15"/>
      <c r="SYX232" s="15"/>
      <c r="SYY232" s="15"/>
      <c r="SYZ232" s="15"/>
      <c r="SZA232" s="15"/>
      <c r="SZB232" s="15"/>
      <c r="SZC232" s="15"/>
      <c r="SZD232" s="15"/>
      <c r="SZE232" s="15"/>
      <c r="SZF232" s="10"/>
      <c r="SZG232" s="10"/>
      <c r="SZH232" s="21"/>
      <c r="SZI232" s="21"/>
      <c r="SZL232" s="21"/>
      <c r="SZM232" s="15"/>
      <c r="SZN232" s="15"/>
      <c r="SZO232" s="15"/>
      <c r="SZP232" s="15"/>
      <c r="SZQ232" s="15"/>
      <c r="SZR232" s="15"/>
      <c r="SZS232" s="15"/>
      <c r="SZT232" s="15"/>
      <c r="SZU232" s="15"/>
      <c r="SZV232" s="15"/>
      <c r="SZW232" s="10"/>
      <c r="SZX232" s="10"/>
      <c r="SZY232" s="21"/>
      <c r="SZZ232" s="21"/>
      <c r="TAC232" s="21"/>
      <c r="TAD232" s="15"/>
      <c r="TAE232" s="15"/>
      <c r="TAF232" s="15"/>
      <c r="TAG232" s="15"/>
      <c r="TAH232" s="15"/>
      <c r="TAI232" s="15"/>
      <c r="TAJ232" s="15"/>
      <c r="TAK232" s="15"/>
      <c r="TAL232" s="15"/>
      <c r="TAM232" s="15"/>
      <c r="TAN232" s="10"/>
      <c r="TAO232" s="10"/>
      <c r="TAP232" s="21"/>
      <c r="TAQ232" s="21"/>
      <c r="TAT232" s="21"/>
      <c r="TAU232" s="15"/>
      <c r="TAV232" s="15"/>
      <c r="TAW232" s="15"/>
      <c r="TAX232" s="15"/>
      <c r="TAY232" s="15"/>
      <c r="TAZ232" s="15"/>
      <c r="TBA232" s="15"/>
      <c r="TBB232" s="15"/>
      <c r="TBC232" s="15"/>
      <c r="TBD232" s="15"/>
      <c r="TBE232" s="10"/>
      <c r="TBF232" s="10"/>
      <c r="TBG232" s="21"/>
      <c r="TBH232" s="21"/>
      <c r="TBK232" s="21"/>
      <c r="TBL232" s="15"/>
      <c r="TBM232" s="15"/>
      <c r="TBN232" s="15"/>
      <c r="TBO232" s="15"/>
      <c r="TBP232" s="15"/>
      <c r="TBQ232" s="15"/>
      <c r="TBR232" s="15"/>
      <c r="TBS232" s="15"/>
      <c r="TBT232" s="15"/>
      <c r="TBU232" s="15"/>
      <c r="TBV232" s="10"/>
      <c r="TBW232" s="10"/>
      <c r="TBX232" s="21"/>
      <c r="TBY232" s="21"/>
      <c r="TCB232" s="21"/>
      <c r="TCC232" s="15"/>
      <c r="TCD232" s="15"/>
      <c r="TCE232" s="15"/>
      <c r="TCF232" s="15"/>
      <c r="TCG232" s="15"/>
      <c r="TCH232" s="15"/>
      <c r="TCI232" s="15"/>
      <c r="TCJ232" s="15"/>
      <c r="TCK232" s="15"/>
      <c r="TCL232" s="15"/>
      <c r="TCM232" s="10"/>
      <c r="TCN232" s="10"/>
      <c r="TCO232" s="21"/>
      <c r="TCP232" s="21"/>
      <c r="TCS232" s="21"/>
      <c r="TCT232" s="15"/>
      <c r="TCU232" s="15"/>
      <c r="TCV232" s="15"/>
      <c r="TCW232" s="15"/>
      <c r="TCX232" s="15"/>
      <c r="TCY232" s="15"/>
      <c r="TCZ232" s="15"/>
      <c r="TDA232" s="15"/>
      <c r="TDB232" s="15"/>
      <c r="TDC232" s="15"/>
      <c r="TDD232" s="10"/>
      <c r="TDE232" s="10"/>
      <c r="TDF232" s="21"/>
      <c r="TDG232" s="21"/>
      <c r="TDJ232" s="21"/>
      <c r="TDK232" s="15"/>
      <c r="TDL232" s="15"/>
      <c r="TDM232" s="15"/>
      <c r="TDN232" s="15"/>
      <c r="TDO232" s="15"/>
      <c r="TDP232" s="15"/>
      <c r="TDQ232" s="15"/>
      <c r="TDR232" s="15"/>
      <c r="TDS232" s="15"/>
      <c r="TDT232" s="15"/>
      <c r="TDU232" s="10"/>
      <c r="TDV232" s="10"/>
      <c r="TDW232" s="21"/>
      <c r="TDX232" s="21"/>
      <c r="TEA232" s="21"/>
      <c r="TEB232" s="15"/>
      <c r="TEC232" s="15"/>
      <c r="TED232" s="15"/>
      <c r="TEE232" s="15"/>
      <c r="TEF232" s="15"/>
      <c r="TEG232" s="15"/>
      <c r="TEH232" s="15"/>
      <c r="TEI232" s="15"/>
      <c r="TEJ232" s="15"/>
      <c r="TEK232" s="15"/>
      <c r="TEL232" s="10"/>
      <c r="TEM232" s="10"/>
      <c r="TEN232" s="21"/>
      <c r="TEO232" s="21"/>
      <c r="TER232" s="21"/>
      <c r="TES232" s="15"/>
      <c r="TET232" s="15"/>
      <c r="TEU232" s="15"/>
      <c r="TEV232" s="15"/>
      <c r="TEW232" s="15"/>
      <c r="TEX232" s="15"/>
      <c r="TEY232" s="15"/>
      <c r="TEZ232" s="15"/>
      <c r="TFA232" s="15"/>
      <c r="TFB232" s="15"/>
      <c r="TFC232" s="10"/>
      <c r="TFD232" s="10"/>
      <c r="TFE232" s="21"/>
      <c r="TFF232" s="21"/>
      <c r="TFI232" s="21"/>
      <c r="TFJ232" s="15"/>
      <c r="TFK232" s="15"/>
      <c r="TFL232" s="15"/>
      <c r="TFM232" s="15"/>
      <c r="TFN232" s="15"/>
      <c r="TFO232" s="15"/>
      <c r="TFP232" s="15"/>
      <c r="TFQ232" s="15"/>
      <c r="TFR232" s="15"/>
      <c r="TFS232" s="15"/>
      <c r="TFT232" s="10"/>
      <c r="TFU232" s="10"/>
      <c r="TFV232" s="21"/>
      <c r="TFW232" s="21"/>
      <c r="TFZ232" s="21"/>
      <c r="TGA232" s="15"/>
      <c r="TGB232" s="15"/>
      <c r="TGC232" s="15"/>
      <c r="TGD232" s="15"/>
      <c r="TGE232" s="15"/>
      <c r="TGF232" s="15"/>
      <c r="TGG232" s="15"/>
      <c r="TGH232" s="15"/>
      <c r="TGI232" s="15"/>
      <c r="TGJ232" s="15"/>
      <c r="TGK232" s="10"/>
      <c r="TGL232" s="10"/>
      <c r="TGM232" s="21"/>
      <c r="TGN232" s="21"/>
      <c r="TGQ232" s="21"/>
      <c r="TGR232" s="15"/>
      <c r="TGS232" s="15"/>
      <c r="TGT232" s="15"/>
      <c r="TGU232" s="15"/>
      <c r="TGV232" s="15"/>
      <c r="TGW232" s="15"/>
      <c r="TGX232" s="15"/>
      <c r="TGY232" s="15"/>
      <c r="TGZ232" s="15"/>
      <c r="THA232" s="15"/>
      <c r="THB232" s="10"/>
      <c r="THC232" s="10"/>
      <c r="THD232" s="21"/>
      <c r="THE232" s="21"/>
      <c r="THH232" s="21"/>
      <c r="THI232" s="15"/>
      <c r="THJ232" s="15"/>
      <c r="THK232" s="15"/>
      <c r="THL232" s="15"/>
      <c r="THM232" s="15"/>
      <c r="THN232" s="15"/>
      <c r="THO232" s="15"/>
      <c r="THP232" s="15"/>
      <c r="THQ232" s="15"/>
      <c r="THR232" s="15"/>
      <c r="THS232" s="10"/>
      <c r="THT232" s="10"/>
      <c r="THU232" s="21"/>
      <c r="THV232" s="21"/>
      <c r="THY232" s="21"/>
      <c r="THZ232" s="15"/>
      <c r="TIA232" s="15"/>
      <c r="TIB232" s="15"/>
      <c r="TIC232" s="15"/>
      <c r="TID232" s="15"/>
      <c r="TIE232" s="15"/>
      <c r="TIF232" s="15"/>
      <c r="TIG232" s="15"/>
      <c r="TIH232" s="15"/>
      <c r="TII232" s="15"/>
      <c r="TIJ232" s="10"/>
      <c r="TIK232" s="10"/>
      <c r="TIL232" s="21"/>
      <c r="TIM232" s="21"/>
      <c r="TIP232" s="21"/>
      <c r="TIQ232" s="15"/>
      <c r="TIR232" s="15"/>
      <c r="TIS232" s="15"/>
      <c r="TIT232" s="15"/>
      <c r="TIU232" s="15"/>
      <c r="TIV232" s="15"/>
      <c r="TIW232" s="15"/>
      <c r="TIX232" s="15"/>
      <c r="TIY232" s="15"/>
      <c r="TIZ232" s="15"/>
      <c r="TJA232" s="10"/>
      <c r="TJB232" s="10"/>
      <c r="TJC232" s="21"/>
      <c r="TJD232" s="21"/>
      <c r="TJG232" s="21"/>
      <c r="TJH232" s="15"/>
      <c r="TJI232" s="15"/>
      <c r="TJJ232" s="15"/>
      <c r="TJK232" s="15"/>
      <c r="TJL232" s="15"/>
      <c r="TJM232" s="15"/>
      <c r="TJN232" s="15"/>
      <c r="TJO232" s="15"/>
      <c r="TJP232" s="15"/>
      <c r="TJQ232" s="15"/>
      <c r="TJR232" s="10"/>
      <c r="TJS232" s="10"/>
      <c r="TJT232" s="21"/>
      <c r="TJU232" s="21"/>
      <c r="TJX232" s="21"/>
      <c r="TJY232" s="15"/>
      <c r="TJZ232" s="15"/>
      <c r="TKA232" s="15"/>
      <c r="TKB232" s="15"/>
      <c r="TKC232" s="15"/>
      <c r="TKD232" s="15"/>
      <c r="TKE232" s="15"/>
      <c r="TKF232" s="15"/>
      <c r="TKG232" s="15"/>
      <c r="TKH232" s="15"/>
      <c r="TKI232" s="10"/>
      <c r="TKJ232" s="10"/>
      <c r="TKK232" s="21"/>
      <c r="TKL232" s="21"/>
      <c r="TKO232" s="21"/>
      <c r="TKP232" s="15"/>
      <c r="TKQ232" s="15"/>
      <c r="TKR232" s="15"/>
      <c r="TKS232" s="15"/>
      <c r="TKT232" s="15"/>
      <c r="TKU232" s="15"/>
      <c r="TKV232" s="15"/>
      <c r="TKW232" s="15"/>
      <c r="TKX232" s="15"/>
      <c r="TKY232" s="15"/>
      <c r="TKZ232" s="10"/>
      <c r="TLA232" s="10"/>
      <c r="TLB232" s="21"/>
      <c r="TLC232" s="21"/>
      <c r="TLF232" s="21"/>
      <c r="TLG232" s="15"/>
      <c r="TLH232" s="15"/>
      <c r="TLI232" s="15"/>
      <c r="TLJ232" s="15"/>
      <c r="TLK232" s="15"/>
      <c r="TLL232" s="15"/>
      <c r="TLM232" s="15"/>
      <c r="TLN232" s="15"/>
      <c r="TLO232" s="15"/>
      <c r="TLP232" s="15"/>
      <c r="TLQ232" s="10"/>
      <c r="TLR232" s="10"/>
      <c r="TLS232" s="21"/>
      <c r="TLT232" s="21"/>
      <c r="TLW232" s="21"/>
      <c r="TLX232" s="15"/>
      <c r="TLY232" s="15"/>
      <c r="TLZ232" s="15"/>
      <c r="TMA232" s="15"/>
      <c r="TMB232" s="15"/>
      <c r="TMC232" s="15"/>
      <c r="TMD232" s="15"/>
      <c r="TME232" s="15"/>
      <c r="TMF232" s="15"/>
      <c r="TMG232" s="15"/>
      <c r="TMH232" s="10"/>
      <c r="TMI232" s="10"/>
      <c r="TMJ232" s="21"/>
      <c r="TMK232" s="21"/>
      <c r="TMN232" s="21"/>
      <c r="TMO232" s="15"/>
      <c r="TMP232" s="15"/>
      <c r="TMQ232" s="15"/>
      <c r="TMR232" s="15"/>
      <c r="TMS232" s="15"/>
      <c r="TMT232" s="15"/>
      <c r="TMU232" s="15"/>
      <c r="TMV232" s="15"/>
      <c r="TMW232" s="15"/>
      <c r="TMX232" s="15"/>
      <c r="TMY232" s="10"/>
      <c r="TMZ232" s="10"/>
      <c r="TNA232" s="21"/>
      <c r="TNB232" s="21"/>
      <c r="TNE232" s="21"/>
      <c r="TNF232" s="15"/>
      <c r="TNG232" s="15"/>
      <c r="TNH232" s="15"/>
      <c r="TNI232" s="15"/>
      <c r="TNJ232" s="15"/>
      <c r="TNK232" s="15"/>
      <c r="TNL232" s="15"/>
      <c r="TNM232" s="15"/>
      <c r="TNN232" s="15"/>
      <c r="TNO232" s="15"/>
      <c r="TNP232" s="10"/>
      <c r="TNQ232" s="10"/>
      <c r="TNR232" s="21"/>
      <c r="TNS232" s="21"/>
      <c r="TNV232" s="21"/>
      <c r="TNW232" s="15"/>
      <c r="TNX232" s="15"/>
      <c r="TNY232" s="15"/>
      <c r="TNZ232" s="15"/>
      <c r="TOA232" s="15"/>
      <c r="TOB232" s="15"/>
      <c r="TOC232" s="15"/>
      <c r="TOD232" s="15"/>
      <c r="TOE232" s="15"/>
      <c r="TOF232" s="15"/>
      <c r="TOG232" s="10"/>
      <c r="TOH232" s="10"/>
      <c r="TOI232" s="21"/>
      <c r="TOJ232" s="21"/>
      <c r="TOM232" s="21"/>
      <c r="TON232" s="15"/>
      <c r="TOO232" s="15"/>
      <c r="TOP232" s="15"/>
      <c r="TOQ232" s="15"/>
      <c r="TOR232" s="15"/>
      <c r="TOS232" s="15"/>
      <c r="TOT232" s="15"/>
      <c r="TOU232" s="15"/>
      <c r="TOV232" s="15"/>
      <c r="TOW232" s="15"/>
      <c r="TOX232" s="10"/>
      <c r="TOY232" s="10"/>
      <c r="TOZ232" s="21"/>
      <c r="TPA232" s="21"/>
      <c r="TPD232" s="21"/>
      <c r="TPE232" s="15"/>
      <c r="TPF232" s="15"/>
      <c r="TPG232" s="15"/>
      <c r="TPH232" s="15"/>
      <c r="TPI232" s="15"/>
      <c r="TPJ232" s="15"/>
      <c r="TPK232" s="15"/>
      <c r="TPL232" s="15"/>
      <c r="TPM232" s="15"/>
      <c r="TPN232" s="15"/>
      <c r="TPO232" s="10"/>
      <c r="TPP232" s="10"/>
      <c r="TPQ232" s="21"/>
      <c r="TPR232" s="21"/>
      <c r="TPU232" s="21"/>
      <c r="TPV232" s="15"/>
      <c r="TPW232" s="15"/>
      <c r="TPX232" s="15"/>
      <c r="TPY232" s="15"/>
      <c r="TPZ232" s="15"/>
      <c r="TQA232" s="15"/>
      <c r="TQB232" s="15"/>
      <c r="TQC232" s="15"/>
      <c r="TQD232" s="15"/>
      <c r="TQE232" s="15"/>
      <c r="TQF232" s="10"/>
      <c r="TQG232" s="10"/>
      <c r="TQH232" s="21"/>
      <c r="TQI232" s="21"/>
      <c r="TQL232" s="21"/>
      <c r="TQM232" s="15"/>
      <c r="TQN232" s="15"/>
      <c r="TQO232" s="15"/>
      <c r="TQP232" s="15"/>
      <c r="TQQ232" s="15"/>
      <c r="TQR232" s="15"/>
      <c r="TQS232" s="15"/>
      <c r="TQT232" s="15"/>
      <c r="TQU232" s="15"/>
      <c r="TQV232" s="15"/>
      <c r="TQW232" s="10"/>
      <c r="TQX232" s="10"/>
      <c r="TQY232" s="21"/>
      <c r="TQZ232" s="21"/>
      <c r="TRC232" s="21"/>
      <c r="TRD232" s="15"/>
      <c r="TRE232" s="15"/>
      <c r="TRF232" s="15"/>
      <c r="TRG232" s="15"/>
      <c r="TRH232" s="15"/>
      <c r="TRI232" s="15"/>
      <c r="TRJ232" s="15"/>
      <c r="TRK232" s="15"/>
      <c r="TRL232" s="15"/>
      <c r="TRM232" s="15"/>
      <c r="TRN232" s="10"/>
      <c r="TRO232" s="10"/>
      <c r="TRP232" s="21"/>
      <c r="TRQ232" s="21"/>
      <c r="TRT232" s="21"/>
      <c r="TRU232" s="15"/>
      <c r="TRV232" s="15"/>
      <c r="TRW232" s="15"/>
      <c r="TRX232" s="15"/>
      <c r="TRY232" s="15"/>
      <c r="TRZ232" s="15"/>
      <c r="TSA232" s="15"/>
      <c r="TSB232" s="15"/>
      <c r="TSC232" s="15"/>
      <c r="TSD232" s="15"/>
      <c r="TSE232" s="10"/>
      <c r="TSF232" s="10"/>
      <c r="TSG232" s="21"/>
      <c r="TSH232" s="21"/>
      <c r="TSK232" s="21"/>
      <c r="TSL232" s="15"/>
      <c r="TSM232" s="15"/>
      <c r="TSN232" s="15"/>
      <c r="TSO232" s="15"/>
      <c r="TSP232" s="15"/>
      <c r="TSQ232" s="15"/>
      <c r="TSR232" s="15"/>
      <c r="TSS232" s="15"/>
      <c r="TST232" s="15"/>
      <c r="TSU232" s="15"/>
      <c r="TSV232" s="10"/>
      <c r="TSW232" s="10"/>
      <c r="TSX232" s="21"/>
      <c r="TSY232" s="21"/>
      <c r="TTB232" s="21"/>
      <c r="TTC232" s="15"/>
      <c r="TTD232" s="15"/>
      <c r="TTE232" s="15"/>
      <c r="TTF232" s="15"/>
      <c r="TTG232" s="15"/>
      <c r="TTH232" s="15"/>
      <c r="TTI232" s="15"/>
      <c r="TTJ232" s="15"/>
      <c r="TTK232" s="15"/>
      <c r="TTL232" s="15"/>
      <c r="TTM232" s="10"/>
      <c r="TTN232" s="10"/>
      <c r="TTO232" s="21"/>
      <c r="TTP232" s="21"/>
      <c r="TTS232" s="21"/>
      <c r="TTT232" s="15"/>
      <c r="TTU232" s="15"/>
      <c r="TTV232" s="15"/>
      <c r="TTW232" s="15"/>
      <c r="TTX232" s="15"/>
      <c r="TTY232" s="15"/>
      <c r="TTZ232" s="15"/>
      <c r="TUA232" s="15"/>
      <c r="TUB232" s="15"/>
      <c r="TUC232" s="15"/>
      <c r="TUD232" s="10"/>
      <c r="TUE232" s="10"/>
      <c r="TUF232" s="21"/>
      <c r="TUG232" s="21"/>
      <c r="TUJ232" s="21"/>
      <c r="TUK232" s="15"/>
      <c r="TUL232" s="15"/>
      <c r="TUM232" s="15"/>
      <c r="TUN232" s="15"/>
      <c r="TUO232" s="15"/>
      <c r="TUP232" s="15"/>
      <c r="TUQ232" s="15"/>
      <c r="TUR232" s="15"/>
      <c r="TUS232" s="15"/>
      <c r="TUT232" s="15"/>
      <c r="TUU232" s="10"/>
      <c r="TUV232" s="10"/>
      <c r="TUW232" s="21"/>
      <c r="TUX232" s="21"/>
      <c r="TVA232" s="21"/>
      <c r="TVB232" s="15"/>
      <c r="TVC232" s="15"/>
      <c r="TVD232" s="15"/>
      <c r="TVE232" s="15"/>
      <c r="TVF232" s="15"/>
      <c r="TVG232" s="15"/>
      <c r="TVH232" s="15"/>
      <c r="TVI232" s="15"/>
      <c r="TVJ232" s="15"/>
      <c r="TVK232" s="15"/>
      <c r="TVL232" s="10"/>
      <c r="TVM232" s="10"/>
      <c r="TVN232" s="21"/>
      <c r="TVO232" s="21"/>
      <c r="TVR232" s="21"/>
      <c r="TVS232" s="15"/>
      <c r="TVT232" s="15"/>
      <c r="TVU232" s="15"/>
      <c r="TVV232" s="15"/>
      <c r="TVW232" s="15"/>
      <c r="TVX232" s="15"/>
      <c r="TVY232" s="15"/>
      <c r="TVZ232" s="15"/>
      <c r="TWA232" s="15"/>
      <c r="TWB232" s="15"/>
      <c r="TWC232" s="10"/>
      <c r="TWD232" s="10"/>
      <c r="TWE232" s="21"/>
      <c r="TWF232" s="21"/>
      <c r="TWI232" s="21"/>
      <c r="TWJ232" s="15"/>
      <c r="TWK232" s="15"/>
      <c r="TWL232" s="15"/>
      <c r="TWM232" s="15"/>
      <c r="TWN232" s="15"/>
      <c r="TWO232" s="15"/>
      <c r="TWP232" s="15"/>
      <c r="TWQ232" s="15"/>
      <c r="TWR232" s="15"/>
      <c r="TWS232" s="15"/>
      <c r="TWT232" s="10"/>
      <c r="TWU232" s="10"/>
      <c r="TWV232" s="21"/>
      <c r="TWW232" s="21"/>
      <c r="TWZ232" s="21"/>
      <c r="TXA232" s="15"/>
      <c r="TXB232" s="15"/>
      <c r="TXC232" s="15"/>
      <c r="TXD232" s="15"/>
      <c r="TXE232" s="15"/>
      <c r="TXF232" s="15"/>
      <c r="TXG232" s="15"/>
      <c r="TXH232" s="15"/>
      <c r="TXI232" s="15"/>
      <c r="TXJ232" s="15"/>
      <c r="TXK232" s="10"/>
      <c r="TXL232" s="10"/>
      <c r="TXM232" s="21"/>
      <c r="TXN232" s="21"/>
      <c r="TXQ232" s="21"/>
      <c r="TXR232" s="15"/>
      <c r="TXS232" s="15"/>
      <c r="TXT232" s="15"/>
      <c r="TXU232" s="15"/>
      <c r="TXV232" s="15"/>
      <c r="TXW232" s="15"/>
      <c r="TXX232" s="15"/>
      <c r="TXY232" s="15"/>
      <c r="TXZ232" s="15"/>
      <c r="TYA232" s="15"/>
      <c r="TYB232" s="10"/>
      <c r="TYC232" s="10"/>
      <c r="TYD232" s="21"/>
      <c r="TYE232" s="21"/>
      <c r="TYH232" s="21"/>
      <c r="TYI232" s="15"/>
      <c r="TYJ232" s="15"/>
      <c r="TYK232" s="15"/>
      <c r="TYL232" s="15"/>
      <c r="TYM232" s="15"/>
      <c r="TYN232" s="15"/>
      <c r="TYO232" s="15"/>
      <c r="TYP232" s="15"/>
      <c r="TYQ232" s="15"/>
      <c r="TYR232" s="15"/>
      <c r="TYS232" s="10"/>
      <c r="TYT232" s="10"/>
      <c r="TYU232" s="21"/>
      <c r="TYV232" s="21"/>
      <c r="TYY232" s="21"/>
      <c r="TYZ232" s="15"/>
      <c r="TZA232" s="15"/>
      <c r="TZB232" s="15"/>
      <c r="TZC232" s="15"/>
      <c r="TZD232" s="15"/>
      <c r="TZE232" s="15"/>
      <c r="TZF232" s="15"/>
      <c r="TZG232" s="15"/>
      <c r="TZH232" s="15"/>
      <c r="TZI232" s="15"/>
      <c r="TZJ232" s="10"/>
      <c r="TZK232" s="10"/>
      <c r="TZL232" s="21"/>
      <c r="TZM232" s="21"/>
      <c r="TZP232" s="21"/>
      <c r="TZQ232" s="15"/>
      <c r="TZR232" s="15"/>
      <c r="TZS232" s="15"/>
      <c r="TZT232" s="15"/>
      <c r="TZU232" s="15"/>
      <c r="TZV232" s="15"/>
      <c r="TZW232" s="15"/>
      <c r="TZX232" s="15"/>
      <c r="TZY232" s="15"/>
      <c r="TZZ232" s="15"/>
      <c r="UAA232" s="10"/>
      <c r="UAB232" s="10"/>
      <c r="UAC232" s="21"/>
      <c r="UAD232" s="21"/>
      <c r="UAG232" s="21"/>
      <c r="UAH232" s="15"/>
      <c r="UAI232" s="15"/>
      <c r="UAJ232" s="15"/>
      <c r="UAK232" s="15"/>
      <c r="UAL232" s="15"/>
      <c r="UAM232" s="15"/>
      <c r="UAN232" s="15"/>
      <c r="UAO232" s="15"/>
      <c r="UAP232" s="15"/>
      <c r="UAQ232" s="15"/>
      <c r="UAR232" s="10"/>
      <c r="UAS232" s="10"/>
      <c r="UAT232" s="21"/>
      <c r="UAU232" s="21"/>
      <c r="UAX232" s="21"/>
      <c r="UAY232" s="15"/>
      <c r="UAZ232" s="15"/>
      <c r="UBA232" s="15"/>
      <c r="UBB232" s="15"/>
      <c r="UBC232" s="15"/>
      <c r="UBD232" s="15"/>
      <c r="UBE232" s="15"/>
      <c r="UBF232" s="15"/>
      <c r="UBG232" s="15"/>
      <c r="UBH232" s="15"/>
      <c r="UBI232" s="10"/>
      <c r="UBJ232" s="10"/>
      <c r="UBK232" s="21"/>
      <c r="UBL232" s="21"/>
      <c r="UBO232" s="21"/>
      <c r="UBP232" s="15"/>
      <c r="UBQ232" s="15"/>
      <c r="UBR232" s="15"/>
      <c r="UBS232" s="15"/>
      <c r="UBT232" s="15"/>
      <c r="UBU232" s="15"/>
      <c r="UBV232" s="15"/>
      <c r="UBW232" s="15"/>
      <c r="UBX232" s="15"/>
      <c r="UBY232" s="15"/>
      <c r="UBZ232" s="10"/>
      <c r="UCA232" s="10"/>
      <c r="UCB232" s="21"/>
      <c r="UCC232" s="21"/>
      <c r="UCF232" s="21"/>
      <c r="UCG232" s="15"/>
      <c r="UCH232" s="15"/>
      <c r="UCI232" s="15"/>
      <c r="UCJ232" s="15"/>
      <c r="UCK232" s="15"/>
      <c r="UCL232" s="15"/>
      <c r="UCM232" s="15"/>
      <c r="UCN232" s="15"/>
      <c r="UCO232" s="15"/>
      <c r="UCP232" s="15"/>
      <c r="UCQ232" s="10"/>
      <c r="UCR232" s="10"/>
      <c r="UCS232" s="21"/>
      <c r="UCT232" s="21"/>
      <c r="UCW232" s="21"/>
      <c r="UCX232" s="15"/>
      <c r="UCY232" s="15"/>
      <c r="UCZ232" s="15"/>
      <c r="UDA232" s="15"/>
      <c r="UDB232" s="15"/>
      <c r="UDC232" s="15"/>
      <c r="UDD232" s="15"/>
      <c r="UDE232" s="15"/>
      <c r="UDF232" s="15"/>
      <c r="UDG232" s="15"/>
      <c r="UDH232" s="10"/>
      <c r="UDI232" s="10"/>
      <c r="UDJ232" s="21"/>
      <c r="UDK232" s="21"/>
      <c r="UDN232" s="21"/>
      <c r="UDO232" s="15"/>
      <c r="UDP232" s="15"/>
      <c r="UDQ232" s="15"/>
      <c r="UDR232" s="15"/>
      <c r="UDS232" s="15"/>
      <c r="UDT232" s="15"/>
      <c r="UDU232" s="15"/>
      <c r="UDV232" s="15"/>
      <c r="UDW232" s="15"/>
      <c r="UDX232" s="15"/>
      <c r="UDY232" s="10"/>
      <c r="UDZ232" s="10"/>
      <c r="UEA232" s="21"/>
      <c r="UEB232" s="21"/>
      <c r="UEE232" s="21"/>
      <c r="UEF232" s="15"/>
      <c r="UEG232" s="15"/>
      <c r="UEH232" s="15"/>
      <c r="UEI232" s="15"/>
      <c r="UEJ232" s="15"/>
      <c r="UEK232" s="15"/>
      <c r="UEL232" s="15"/>
      <c r="UEM232" s="15"/>
      <c r="UEN232" s="15"/>
      <c r="UEO232" s="15"/>
      <c r="UEP232" s="10"/>
      <c r="UEQ232" s="10"/>
      <c r="UER232" s="21"/>
      <c r="UES232" s="21"/>
      <c r="UEV232" s="21"/>
      <c r="UEW232" s="15"/>
      <c r="UEX232" s="15"/>
      <c r="UEY232" s="15"/>
      <c r="UEZ232" s="15"/>
      <c r="UFA232" s="15"/>
      <c r="UFB232" s="15"/>
      <c r="UFC232" s="15"/>
      <c r="UFD232" s="15"/>
      <c r="UFE232" s="15"/>
      <c r="UFF232" s="15"/>
      <c r="UFG232" s="10"/>
      <c r="UFH232" s="10"/>
      <c r="UFI232" s="21"/>
      <c r="UFJ232" s="21"/>
      <c r="UFM232" s="21"/>
      <c r="UFN232" s="15"/>
      <c r="UFO232" s="15"/>
      <c r="UFP232" s="15"/>
      <c r="UFQ232" s="15"/>
      <c r="UFR232" s="15"/>
      <c r="UFS232" s="15"/>
      <c r="UFT232" s="15"/>
      <c r="UFU232" s="15"/>
      <c r="UFV232" s="15"/>
      <c r="UFW232" s="15"/>
      <c r="UFX232" s="10"/>
      <c r="UFY232" s="10"/>
      <c r="UFZ232" s="21"/>
      <c r="UGA232" s="21"/>
      <c r="UGD232" s="21"/>
      <c r="UGE232" s="15"/>
      <c r="UGF232" s="15"/>
      <c r="UGG232" s="15"/>
      <c r="UGH232" s="15"/>
      <c r="UGI232" s="15"/>
      <c r="UGJ232" s="15"/>
      <c r="UGK232" s="15"/>
      <c r="UGL232" s="15"/>
      <c r="UGM232" s="15"/>
      <c r="UGN232" s="15"/>
      <c r="UGO232" s="10"/>
      <c r="UGP232" s="10"/>
      <c r="UGQ232" s="21"/>
      <c r="UGR232" s="21"/>
      <c r="UGU232" s="21"/>
      <c r="UGV232" s="15"/>
      <c r="UGW232" s="15"/>
      <c r="UGX232" s="15"/>
      <c r="UGY232" s="15"/>
      <c r="UGZ232" s="15"/>
      <c r="UHA232" s="15"/>
      <c r="UHB232" s="15"/>
      <c r="UHC232" s="15"/>
      <c r="UHD232" s="15"/>
      <c r="UHE232" s="15"/>
      <c r="UHF232" s="10"/>
      <c r="UHG232" s="10"/>
      <c r="UHH232" s="21"/>
      <c r="UHI232" s="21"/>
      <c r="UHL232" s="21"/>
      <c r="UHM232" s="15"/>
      <c r="UHN232" s="15"/>
      <c r="UHO232" s="15"/>
      <c r="UHP232" s="15"/>
      <c r="UHQ232" s="15"/>
      <c r="UHR232" s="15"/>
      <c r="UHS232" s="15"/>
      <c r="UHT232" s="15"/>
      <c r="UHU232" s="15"/>
      <c r="UHV232" s="15"/>
      <c r="UHW232" s="10"/>
      <c r="UHX232" s="10"/>
      <c r="UHY232" s="21"/>
      <c r="UHZ232" s="21"/>
      <c r="UIC232" s="21"/>
      <c r="UID232" s="15"/>
      <c r="UIE232" s="15"/>
      <c r="UIF232" s="15"/>
      <c r="UIG232" s="15"/>
      <c r="UIH232" s="15"/>
      <c r="UII232" s="15"/>
      <c r="UIJ232" s="15"/>
      <c r="UIK232" s="15"/>
      <c r="UIL232" s="15"/>
      <c r="UIM232" s="15"/>
      <c r="UIN232" s="10"/>
      <c r="UIO232" s="10"/>
      <c r="UIP232" s="21"/>
      <c r="UIQ232" s="21"/>
      <c r="UIT232" s="21"/>
      <c r="UIU232" s="15"/>
      <c r="UIV232" s="15"/>
      <c r="UIW232" s="15"/>
      <c r="UIX232" s="15"/>
      <c r="UIY232" s="15"/>
      <c r="UIZ232" s="15"/>
      <c r="UJA232" s="15"/>
      <c r="UJB232" s="15"/>
      <c r="UJC232" s="15"/>
      <c r="UJD232" s="15"/>
      <c r="UJE232" s="10"/>
      <c r="UJF232" s="10"/>
      <c r="UJG232" s="21"/>
      <c r="UJH232" s="21"/>
      <c r="UJK232" s="21"/>
      <c r="UJL232" s="15"/>
      <c r="UJM232" s="15"/>
      <c r="UJN232" s="15"/>
      <c r="UJO232" s="15"/>
      <c r="UJP232" s="15"/>
      <c r="UJQ232" s="15"/>
      <c r="UJR232" s="15"/>
      <c r="UJS232" s="15"/>
      <c r="UJT232" s="15"/>
      <c r="UJU232" s="15"/>
      <c r="UJV232" s="10"/>
      <c r="UJW232" s="10"/>
      <c r="UJX232" s="21"/>
      <c r="UJY232" s="21"/>
      <c r="UKB232" s="21"/>
      <c r="UKC232" s="15"/>
      <c r="UKD232" s="15"/>
      <c r="UKE232" s="15"/>
      <c r="UKF232" s="15"/>
      <c r="UKG232" s="15"/>
      <c r="UKH232" s="15"/>
      <c r="UKI232" s="15"/>
      <c r="UKJ232" s="15"/>
      <c r="UKK232" s="15"/>
      <c r="UKL232" s="15"/>
      <c r="UKM232" s="10"/>
      <c r="UKN232" s="10"/>
      <c r="UKO232" s="21"/>
      <c r="UKP232" s="21"/>
      <c r="UKS232" s="21"/>
      <c r="UKT232" s="15"/>
      <c r="UKU232" s="15"/>
      <c r="UKV232" s="15"/>
      <c r="UKW232" s="15"/>
      <c r="UKX232" s="15"/>
      <c r="UKY232" s="15"/>
      <c r="UKZ232" s="15"/>
      <c r="ULA232" s="15"/>
      <c r="ULB232" s="15"/>
      <c r="ULC232" s="15"/>
      <c r="ULD232" s="10"/>
      <c r="ULE232" s="10"/>
      <c r="ULF232" s="21"/>
      <c r="ULG232" s="21"/>
      <c r="ULJ232" s="21"/>
      <c r="ULK232" s="15"/>
      <c r="ULL232" s="15"/>
      <c r="ULM232" s="15"/>
      <c r="ULN232" s="15"/>
      <c r="ULO232" s="15"/>
      <c r="ULP232" s="15"/>
      <c r="ULQ232" s="15"/>
      <c r="ULR232" s="15"/>
      <c r="ULS232" s="15"/>
      <c r="ULT232" s="15"/>
      <c r="ULU232" s="10"/>
      <c r="ULV232" s="10"/>
      <c r="ULW232" s="21"/>
      <c r="ULX232" s="21"/>
      <c r="UMA232" s="21"/>
      <c r="UMB232" s="15"/>
      <c r="UMC232" s="15"/>
      <c r="UMD232" s="15"/>
      <c r="UME232" s="15"/>
      <c r="UMF232" s="15"/>
      <c r="UMG232" s="15"/>
      <c r="UMH232" s="15"/>
      <c r="UMI232" s="15"/>
      <c r="UMJ232" s="15"/>
      <c r="UMK232" s="15"/>
      <c r="UML232" s="10"/>
      <c r="UMM232" s="10"/>
      <c r="UMN232" s="21"/>
      <c r="UMO232" s="21"/>
      <c r="UMR232" s="21"/>
      <c r="UMS232" s="15"/>
      <c r="UMT232" s="15"/>
      <c r="UMU232" s="15"/>
      <c r="UMV232" s="15"/>
      <c r="UMW232" s="15"/>
      <c r="UMX232" s="15"/>
      <c r="UMY232" s="15"/>
      <c r="UMZ232" s="15"/>
      <c r="UNA232" s="15"/>
      <c r="UNB232" s="15"/>
      <c r="UNC232" s="10"/>
      <c r="UND232" s="10"/>
      <c r="UNE232" s="21"/>
      <c r="UNF232" s="21"/>
      <c r="UNI232" s="21"/>
      <c r="UNJ232" s="15"/>
      <c r="UNK232" s="15"/>
      <c r="UNL232" s="15"/>
      <c r="UNM232" s="15"/>
      <c r="UNN232" s="15"/>
      <c r="UNO232" s="15"/>
      <c r="UNP232" s="15"/>
      <c r="UNQ232" s="15"/>
      <c r="UNR232" s="15"/>
      <c r="UNS232" s="15"/>
      <c r="UNT232" s="10"/>
      <c r="UNU232" s="10"/>
      <c r="UNV232" s="21"/>
      <c r="UNW232" s="21"/>
      <c r="UNZ232" s="21"/>
      <c r="UOA232" s="15"/>
      <c r="UOB232" s="15"/>
      <c r="UOC232" s="15"/>
      <c r="UOD232" s="15"/>
      <c r="UOE232" s="15"/>
      <c r="UOF232" s="15"/>
      <c r="UOG232" s="15"/>
      <c r="UOH232" s="15"/>
      <c r="UOI232" s="15"/>
      <c r="UOJ232" s="15"/>
      <c r="UOK232" s="10"/>
      <c r="UOL232" s="10"/>
      <c r="UOM232" s="21"/>
      <c r="UON232" s="21"/>
      <c r="UOQ232" s="21"/>
      <c r="UOR232" s="15"/>
      <c r="UOS232" s="15"/>
      <c r="UOT232" s="15"/>
      <c r="UOU232" s="15"/>
      <c r="UOV232" s="15"/>
      <c r="UOW232" s="15"/>
      <c r="UOX232" s="15"/>
      <c r="UOY232" s="15"/>
      <c r="UOZ232" s="15"/>
      <c r="UPA232" s="15"/>
      <c r="UPB232" s="10"/>
      <c r="UPC232" s="10"/>
      <c r="UPD232" s="21"/>
      <c r="UPE232" s="21"/>
      <c r="UPH232" s="21"/>
      <c r="UPI232" s="15"/>
      <c r="UPJ232" s="15"/>
      <c r="UPK232" s="15"/>
      <c r="UPL232" s="15"/>
      <c r="UPM232" s="15"/>
      <c r="UPN232" s="15"/>
      <c r="UPO232" s="15"/>
      <c r="UPP232" s="15"/>
      <c r="UPQ232" s="15"/>
      <c r="UPR232" s="15"/>
      <c r="UPS232" s="10"/>
      <c r="UPT232" s="10"/>
      <c r="UPU232" s="21"/>
      <c r="UPV232" s="21"/>
      <c r="UPY232" s="21"/>
      <c r="UPZ232" s="15"/>
      <c r="UQA232" s="15"/>
      <c r="UQB232" s="15"/>
      <c r="UQC232" s="15"/>
      <c r="UQD232" s="15"/>
      <c r="UQE232" s="15"/>
      <c r="UQF232" s="15"/>
      <c r="UQG232" s="15"/>
      <c r="UQH232" s="15"/>
      <c r="UQI232" s="15"/>
      <c r="UQJ232" s="10"/>
      <c r="UQK232" s="10"/>
      <c r="UQL232" s="21"/>
      <c r="UQM232" s="21"/>
      <c r="UQP232" s="21"/>
      <c r="UQQ232" s="15"/>
      <c r="UQR232" s="15"/>
      <c r="UQS232" s="15"/>
      <c r="UQT232" s="15"/>
      <c r="UQU232" s="15"/>
      <c r="UQV232" s="15"/>
      <c r="UQW232" s="15"/>
      <c r="UQX232" s="15"/>
      <c r="UQY232" s="15"/>
      <c r="UQZ232" s="15"/>
      <c r="URA232" s="10"/>
      <c r="URB232" s="10"/>
      <c r="URC232" s="21"/>
      <c r="URD232" s="21"/>
      <c r="URG232" s="21"/>
      <c r="URH232" s="15"/>
      <c r="URI232" s="15"/>
      <c r="URJ232" s="15"/>
      <c r="URK232" s="15"/>
      <c r="URL232" s="15"/>
      <c r="URM232" s="15"/>
      <c r="URN232" s="15"/>
      <c r="URO232" s="15"/>
      <c r="URP232" s="15"/>
      <c r="URQ232" s="15"/>
      <c r="URR232" s="10"/>
      <c r="URS232" s="10"/>
      <c r="URT232" s="21"/>
      <c r="URU232" s="21"/>
      <c r="URX232" s="21"/>
      <c r="URY232" s="15"/>
      <c r="URZ232" s="15"/>
      <c r="USA232" s="15"/>
      <c r="USB232" s="15"/>
      <c r="USC232" s="15"/>
      <c r="USD232" s="15"/>
      <c r="USE232" s="15"/>
      <c r="USF232" s="15"/>
      <c r="USG232" s="15"/>
      <c r="USH232" s="15"/>
      <c r="USI232" s="10"/>
      <c r="USJ232" s="10"/>
      <c r="USK232" s="21"/>
      <c r="USL232" s="21"/>
      <c r="USO232" s="21"/>
      <c r="USP232" s="15"/>
      <c r="USQ232" s="15"/>
      <c r="USR232" s="15"/>
      <c r="USS232" s="15"/>
      <c r="UST232" s="15"/>
      <c r="USU232" s="15"/>
      <c r="USV232" s="15"/>
      <c r="USW232" s="15"/>
      <c r="USX232" s="15"/>
      <c r="USY232" s="15"/>
      <c r="USZ232" s="10"/>
      <c r="UTA232" s="10"/>
      <c r="UTB232" s="21"/>
      <c r="UTC232" s="21"/>
      <c r="UTF232" s="21"/>
      <c r="UTG232" s="15"/>
      <c r="UTH232" s="15"/>
      <c r="UTI232" s="15"/>
      <c r="UTJ232" s="15"/>
      <c r="UTK232" s="15"/>
      <c r="UTL232" s="15"/>
      <c r="UTM232" s="15"/>
      <c r="UTN232" s="15"/>
      <c r="UTO232" s="15"/>
      <c r="UTP232" s="15"/>
      <c r="UTQ232" s="10"/>
      <c r="UTR232" s="10"/>
      <c r="UTS232" s="21"/>
      <c r="UTT232" s="21"/>
      <c r="UTW232" s="21"/>
      <c r="UTX232" s="15"/>
      <c r="UTY232" s="15"/>
      <c r="UTZ232" s="15"/>
      <c r="UUA232" s="15"/>
      <c r="UUB232" s="15"/>
      <c r="UUC232" s="15"/>
      <c r="UUD232" s="15"/>
      <c r="UUE232" s="15"/>
      <c r="UUF232" s="15"/>
      <c r="UUG232" s="15"/>
      <c r="UUH232" s="10"/>
      <c r="UUI232" s="10"/>
      <c r="UUJ232" s="21"/>
      <c r="UUK232" s="21"/>
      <c r="UUN232" s="21"/>
      <c r="UUO232" s="15"/>
      <c r="UUP232" s="15"/>
      <c r="UUQ232" s="15"/>
      <c r="UUR232" s="15"/>
      <c r="UUS232" s="15"/>
      <c r="UUT232" s="15"/>
      <c r="UUU232" s="15"/>
      <c r="UUV232" s="15"/>
      <c r="UUW232" s="15"/>
      <c r="UUX232" s="15"/>
      <c r="UUY232" s="10"/>
      <c r="UUZ232" s="10"/>
      <c r="UVA232" s="21"/>
      <c r="UVB232" s="21"/>
      <c r="UVE232" s="21"/>
      <c r="UVF232" s="15"/>
      <c r="UVG232" s="15"/>
      <c r="UVH232" s="15"/>
      <c r="UVI232" s="15"/>
      <c r="UVJ232" s="15"/>
      <c r="UVK232" s="15"/>
      <c r="UVL232" s="15"/>
      <c r="UVM232" s="15"/>
      <c r="UVN232" s="15"/>
      <c r="UVO232" s="15"/>
      <c r="UVP232" s="10"/>
      <c r="UVQ232" s="10"/>
      <c r="UVR232" s="21"/>
      <c r="UVS232" s="21"/>
      <c r="UVV232" s="21"/>
      <c r="UVW232" s="15"/>
      <c r="UVX232" s="15"/>
      <c r="UVY232" s="15"/>
      <c r="UVZ232" s="15"/>
      <c r="UWA232" s="15"/>
      <c r="UWB232" s="15"/>
      <c r="UWC232" s="15"/>
      <c r="UWD232" s="15"/>
      <c r="UWE232" s="15"/>
      <c r="UWF232" s="15"/>
      <c r="UWG232" s="10"/>
      <c r="UWH232" s="10"/>
      <c r="UWI232" s="21"/>
      <c r="UWJ232" s="21"/>
      <c r="UWM232" s="21"/>
      <c r="UWN232" s="15"/>
      <c r="UWO232" s="15"/>
      <c r="UWP232" s="15"/>
      <c r="UWQ232" s="15"/>
      <c r="UWR232" s="15"/>
      <c r="UWS232" s="15"/>
      <c r="UWT232" s="15"/>
      <c r="UWU232" s="15"/>
      <c r="UWV232" s="15"/>
      <c r="UWW232" s="15"/>
      <c r="UWX232" s="10"/>
      <c r="UWY232" s="10"/>
      <c r="UWZ232" s="21"/>
      <c r="UXA232" s="21"/>
      <c r="UXD232" s="21"/>
      <c r="UXE232" s="15"/>
      <c r="UXF232" s="15"/>
      <c r="UXG232" s="15"/>
      <c r="UXH232" s="15"/>
      <c r="UXI232" s="15"/>
      <c r="UXJ232" s="15"/>
      <c r="UXK232" s="15"/>
      <c r="UXL232" s="15"/>
      <c r="UXM232" s="15"/>
      <c r="UXN232" s="15"/>
      <c r="UXO232" s="10"/>
      <c r="UXP232" s="10"/>
      <c r="UXQ232" s="21"/>
      <c r="UXR232" s="21"/>
      <c r="UXU232" s="21"/>
      <c r="UXV232" s="15"/>
      <c r="UXW232" s="15"/>
      <c r="UXX232" s="15"/>
      <c r="UXY232" s="15"/>
      <c r="UXZ232" s="15"/>
      <c r="UYA232" s="15"/>
      <c r="UYB232" s="15"/>
      <c r="UYC232" s="15"/>
      <c r="UYD232" s="15"/>
      <c r="UYE232" s="15"/>
      <c r="UYF232" s="10"/>
      <c r="UYG232" s="10"/>
      <c r="UYH232" s="21"/>
      <c r="UYI232" s="21"/>
      <c r="UYL232" s="21"/>
      <c r="UYM232" s="15"/>
      <c r="UYN232" s="15"/>
      <c r="UYO232" s="15"/>
      <c r="UYP232" s="15"/>
      <c r="UYQ232" s="15"/>
      <c r="UYR232" s="15"/>
      <c r="UYS232" s="15"/>
      <c r="UYT232" s="15"/>
      <c r="UYU232" s="15"/>
      <c r="UYV232" s="15"/>
      <c r="UYW232" s="10"/>
      <c r="UYX232" s="10"/>
      <c r="UYY232" s="21"/>
      <c r="UYZ232" s="21"/>
      <c r="UZC232" s="21"/>
      <c r="UZD232" s="15"/>
      <c r="UZE232" s="15"/>
      <c r="UZF232" s="15"/>
      <c r="UZG232" s="15"/>
      <c r="UZH232" s="15"/>
      <c r="UZI232" s="15"/>
      <c r="UZJ232" s="15"/>
      <c r="UZK232" s="15"/>
      <c r="UZL232" s="15"/>
      <c r="UZM232" s="15"/>
      <c r="UZN232" s="10"/>
      <c r="UZO232" s="10"/>
      <c r="UZP232" s="21"/>
      <c r="UZQ232" s="21"/>
      <c r="UZT232" s="21"/>
      <c r="UZU232" s="15"/>
      <c r="UZV232" s="15"/>
      <c r="UZW232" s="15"/>
      <c r="UZX232" s="15"/>
      <c r="UZY232" s="15"/>
      <c r="UZZ232" s="15"/>
      <c r="VAA232" s="15"/>
      <c r="VAB232" s="15"/>
      <c r="VAC232" s="15"/>
      <c r="VAD232" s="15"/>
      <c r="VAE232" s="10"/>
      <c r="VAF232" s="10"/>
      <c r="VAG232" s="21"/>
      <c r="VAH232" s="21"/>
      <c r="VAK232" s="21"/>
      <c r="VAL232" s="15"/>
      <c r="VAM232" s="15"/>
      <c r="VAN232" s="15"/>
      <c r="VAO232" s="15"/>
      <c r="VAP232" s="15"/>
      <c r="VAQ232" s="15"/>
      <c r="VAR232" s="15"/>
      <c r="VAS232" s="15"/>
      <c r="VAT232" s="15"/>
      <c r="VAU232" s="15"/>
      <c r="VAV232" s="10"/>
      <c r="VAW232" s="10"/>
      <c r="VAX232" s="21"/>
      <c r="VAY232" s="21"/>
      <c r="VBB232" s="21"/>
      <c r="VBC232" s="15"/>
      <c r="VBD232" s="15"/>
      <c r="VBE232" s="15"/>
      <c r="VBF232" s="15"/>
      <c r="VBG232" s="15"/>
      <c r="VBH232" s="15"/>
      <c r="VBI232" s="15"/>
      <c r="VBJ232" s="15"/>
      <c r="VBK232" s="15"/>
      <c r="VBL232" s="15"/>
      <c r="VBM232" s="10"/>
      <c r="VBN232" s="10"/>
      <c r="VBO232" s="21"/>
      <c r="VBP232" s="21"/>
      <c r="VBS232" s="21"/>
      <c r="VBT232" s="15"/>
      <c r="VBU232" s="15"/>
      <c r="VBV232" s="15"/>
      <c r="VBW232" s="15"/>
      <c r="VBX232" s="15"/>
      <c r="VBY232" s="15"/>
      <c r="VBZ232" s="15"/>
      <c r="VCA232" s="15"/>
      <c r="VCB232" s="15"/>
      <c r="VCC232" s="15"/>
      <c r="VCD232" s="10"/>
      <c r="VCE232" s="10"/>
      <c r="VCF232" s="21"/>
      <c r="VCG232" s="21"/>
      <c r="VCJ232" s="21"/>
      <c r="VCK232" s="15"/>
      <c r="VCL232" s="15"/>
      <c r="VCM232" s="15"/>
      <c r="VCN232" s="15"/>
      <c r="VCO232" s="15"/>
      <c r="VCP232" s="15"/>
      <c r="VCQ232" s="15"/>
      <c r="VCR232" s="15"/>
      <c r="VCS232" s="15"/>
      <c r="VCT232" s="15"/>
      <c r="VCU232" s="10"/>
      <c r="VCV232" s="10"/>
      <c r="VCW232" s="21"/>
      <c r="VCX232" s="21"/>
      <c r="VDA232" s="21"/>
      <c r="VDB232" s="15"/>
      <c r="VDC232" s="15"/>
      <c r="VDD232" s="15"/>
      <c r="VDE232" s="15"/>
      <c r="VDF232" s="15"/>
      <c r="VDG232" s="15"/>
      <c r="VDH232" s="15"/>
      <c r="VDI232" s="15"/>
      <c r="VDJ232" s="15"/>
      <c r="VDK232" s="15"/>
      <c r="VDL232" s="10"/>
      <c r="VDM232" s="10"/>
      <c r="VDN232" s="21"/>
      <c r="VDO232" s="21"/>
      <c r="VDR232" s="21"/>
      <c r="VDS232" s="15"/>
      <c r="VDT232" s="15"/>
      <c r="VDU232" s="15"/>
      <c r="VDV232" s="15"/>
      <c r="VDW232" s="15"/>
      <c r="VDX232" s="15"/>
      <c r="VDY232" s="15"/>
      <c r="VDZ232" s="15"/>
      <c r="VEA232" s="15"/>
      <c r="VEB232" s="15"/>
      <c r="VEC232" s="10"/>
      <c r="VED232" s="10"/>
      <c r="VEE232" s="21"/>
      <c r="VEF232" s="21"/>
      <c r="VEI232" s="21"/>
      <c r="VEJ232" s="15"/>
      <c r="VEK232" s="15"/>
      <c r="VEL232" s="15"/>
      <c r="VEM232" s="15"/>
      <c r="VEN232" s="15"/>
      <c r="VEO232" s="15"/>
      <c r="VEP232" s="15"/>
      <c r="VEQ232" s="15"/>
      <c r="VER232" s="15"/>
      <c r="VES232" s="15"/>
      <c r="VET232" s="10"/>
      <c r="VEU232" s="10"/>
      <c r="VEV232" s="21"/>
      <c r="VEW232" s="21"/>
      <c r="VEZ232" s="21"/>
      <c r="VFA232" s="15"/>
      <c r="VFB232" s="15"/>
      <c r="VFC232" s="15"/>
      <c r="VFD232" s="15"/>
      <c r="VFE232" s="15"/>
      <c r="VFF232" s="15"/>
      <c r="VFG232" s="15"/>
      <c r="VFH232" s="15"/>
      <c r="VFI232" s="15"/>
      <c r="VFJ232" s="15"/>
      <c r="VFK232" s="10"/>
      <c r="VFL232" s="10"/>
      <c r="VFM232" s="21"/>
      <c r="VFN232" s="21"/>
      <c r="VFQ232" s="21"/>
      <c r="VFR232" s="15"/>
      <c r="VFS232" s="15"/>
      <c r="VFT232" s="15"/>
      <c r="VFU232" s="15"/>
      <c r="VFV232" s="15"/>
      <c r="VFW232" s="15"/>
      <c r="VFX232" s="15"/>
      <c r="VFY232" s="15"/>
      <c r="VFZ232" s="15"/>
      <c r="VGA232" s="15"/>
      <c r="VGB232" s="10"/>
      <c r="VGC232" s="10"/>
      <c r="VGD232" s="21"/>
      <c r="VGE232" s="21"/>
      <c r="VGH232" s="21"/>
      <c r="VGI232" s="15"/>
      <c r="VGJ232" s="15"/>
      <c r="VGK232" s="15"/>
      <c r="VGL232" s="15"/>
      <c r="VGM232" s="15"/>
      <c r="VGN232" s="15"/>
      <c r="VGO232" s="15"/>
      <c r="VGP232" s="15"/>
      <c r="VGQ232" s="15"/>
      <c r="VGR232" s="15"/>
      <c r="VGS232" s="10"/>
      <c r="VGT232" s="10"/>
      <c r="VGU232" s="21"/>
      <c r="VGV232" s="21"/>
      <c r="VGY232" s="21"/>
      <c r="VGZ232" s="15"/>
      <c r="VHA232" s="15"/>
      <c r="VHB232" s="15"/>
      <c r="VHC232" s="15"/>
      <c r="VHD232" s="15"/>
      <c r="VHE232" s="15"/>
      <c r="VHF232" s="15"/>
      <c r="VHG232" s="15"/>
      <c r="VHH232" s="15"/>
      <c r="VHI232" s="15"/>
      <c r="VHJ232" s="10"/>
      <c r="VHK232" s="10"/>
      <c r="VHL232" s="21"/>
      <c r="VHM232" s="21"/>
      <c r="VHP232" s="21"/>
      <c r="VHQ232" s="15"/>
      <c r="VHR232" s="15"/>
      <c r="VHS232" s="15"/>
      <c r="VHT232" s="15"/>
      <c r="VHU232" s="15"/>
      <c r="VHV232" s="15"/>
      <c r="VHW232" s="15"/>
      <c r="VHX232" s="15"/>
      <c r="VHY232" s="15"/>
      <c r="VHZ232" s="15"/>
      <c r="VIA232" s="10"/>
      <c r="VIB232" s="10"/>
      <c r="VIC232" s="21"/>
      <c r="VID232" s="21"/>
      <c r="VIG232" s="21"/>
      <c r="VIH232" s="15"/>
      <c r="VII232" s="15"/>
      <c r="VIJ232" s="15"/>
      <c r="VIK232" s="15"/>
      <c r="VIL232" s="15"/>
      <c r="VIM232" s="15"/>
      <c r="VIN232" s="15"/>
      <c r="VIO232" s="15"/>
      <c r="VIP232" s="15"/>
      <c r="VIQ232" s="15"/>
      <c r="VIR232" s="10"/>
      <c r="VIS232" s="10"/>
      <c r="VIT232" s="21"/>
      <c r="VIU232" s="21"/>
      <c r="VIX232" s="21"/>
      <c r="VIY232" s="15"/>
      <c r="VIZ232" s="15"/>
      <c r="VJA232" s="15"/>
      <c r="VJB232" s="15"/>
      <c r="VJC232" s="15"/>
      <c r="VJD232" s="15"/>
      <c r="VJE232" s="15"/>
      <c r="VJF232" s="15"/>
      <c r="VJG232" s="15"/>
      <c r="VJH232" s="15"/>
      <c r="VJI232" s="10"/>
      <c r="VJJ232" s="10"/>
      <c r="VJK232" s="21"/>
      <c r="VJL232" s="21"/>
      <c r="VJO232" s="21"/>
      <c r="VJP232" s="15"/>
      <c r="VJQ232" s="15"/>
      <c r="VJR232" s="15"/>
      <c r="VJS232" s="15"/>
      <c r="VJT232" s="15"/>
      <c r="VJU232" s="15"/>
      <c r="VJV232" s="15"/>
      <c r="VJW232" s="15"/>
      <c r="VJX232" s="15"/>
      <c r="VJY232" s="15"/>
      <c r="VJZ232" s="10"/>
      <c r="VKA232" s="10"/>
      <c r="VKB232" s="21"/>
      <c r="VKC232" s="21"/>
      <c r="VKF232" s="21"/>
      <c r="VKG232" s="15"/>
      <c r="VKH232" s="15"/>
      <c r="VKI232" s="15"/>
      <c r="VKJ232" s="15"/>
      <c r="VKK232" s="15"/>
      <c r="VKL232" s="15"/>
      <c r="VKM232" s="15"/>
      <c r="VKN232" s="15"/>
      <c r="VKO232" s="15"/>
      <c r="VKP232" s="15"/>
      <c r="VKQ232" s="10"/>
      <c r="VKR232" s="10"/>
      <c r="VKS232" s="21"/>
      <c r="VKT232" s="21"/>
      <c r="VKW232" s="21"/>
      <c r="VKX232" s="15"/>
      <c r="VKY232" s="15"/>
      <c r="VKZ232" s="15"/>
      <c r="VLA232" s="15"/>
      <c r="VLB232" s="15"/>
      <c r="VLC232" s="15"/>
      <c r="VLD232" s="15"/>
      <c r="VLE232" s="15"/>
      <c r="VLF232" s="15"/>
      <c r="VLG232" s="15"/>
      <c r="VLH232" s="10"/>
      <c r="VLI232" s="10"/>
      <c r="VLJ232" s="21"/>
      <c r="VLK232" s="21"/>
      <c r="VLN232" s="21"/>
      <c r="VLO232" s="15"/>
      <c r="VLP232" s="15"/>
      <c r="VLQ232" s="15"/>
      <c r="VLR232" s="15"/>
      <c r="VLS232" s="15"/>
      <c r="VLT232" s="15"/>
      <c r="VLU232" s="15"/>
      <c r="VLV232" s="15"/>
      <c r="VLW232" s="15"/>
      <c r="VLX232" s="15"/>
      <c r="VLY232" s="10"/>
      <c r="VLZ232" s="10"/>
      <c r="VMA232" s="21"/>
      <c r="VMB232" s="21"/>
      <c r="VME232" s="21"/>
      <c r="VMF232" s="15"/>
      <c r="VMG232" s="15"/>
      <c r="VMH232" s="15"/>
      <c r="VMI232" s="15"/>
      <c r="VMJ232" s="15"/>
      <c r="VMK232" s="15"/>
      <c r="VML232" s="15"/>
      <c r="VMM232" s="15"/>
      <c r="VMN232" s="15"/>
      <c r="VMO232" s="15"/>
      <c r="VMP232" s="10"/>
      <c r="VMQ232" s="10"/>
      <c r="VMR232" s="21"/>
      <c r="VMS232" s="21"/>
      <c r="VMV232" s="21"/>
      <c r="VMW232" s="15"/>
      <c r="VMX232" s="15"/>
      <c r="VMY232" s="15"/>
      <c r="VMZ232" s="15"/>
      <c r="VNA232" s="15"/>
      <c r="VNB232" s="15"/>
      <c r="VNC232" s="15"/>
      <c r="VND232" s="15"/>
      <c r="VNE232" s="15"/>
      <c r="VNF232" s="15"/>
      <c r="VNG232" s="10"/>
      <c r="VNH232" s="10"/>
      <c r="VNI232" s="21"/>
      <c r="VNJ232" s="21"/>
      <c r="VNM232" s="21"/>
      <c r="VNN232" s="15"/>
      <c r="VNO232" s="15"/>
      <c r="VNP232" s="15"/>
      <c r="VNQ232" s="15"/>
      <c r="VNR232" s="15"/>
      <c r="VNS232" s="15"/>
      <c r="VNT232" s="15"/>
      <c r="VNU232" s="15"/>
      <c r="VNV232" s="15"/>
      <c r="VNW232" s="15"/>
      <c r="VNX232" s="10"/>
      <c r="VNY232" s="10"/>
      <c r="VNZ232" s="21"/>
      <c r="VOA232" s="21"/>
      <c r="VOD232" s="21"/>
      <c r="VOE232" s="15"/>
      <c r="VOF232" s="15"/>
      <c r="VOG232" s="15"/>
      <c r="VOH232" s="15"/>
      <c r="VOI232" s="15"/>
      <c r="VOJ232" s="15"/>
      <c r="VOK232" s="15"/>
      <c r="VOL232" s="15"/>
      <c r="VOM232" s="15"/>
      <c r="VON232" s="15"/>
      <c r="VOO232" s="10"/>
      <c r="VOP232" s="10"/>
      <c r="VOQ232" s="21"/>
      <c r="VOR232" s="21"/>
      <c r="VOU232" s="21"/>
      <c r="VOV232" s="15"/>
      <c r="VOW232" s="15"/>
      <c r="VOX232" s="15"/>
      <c r="VOY232" s="15"/>
      <c r="VOZ232" s="15"/>
      <c r="VPA232" s="15"/>
      <c r="VPB232" s="15"/>
      <c r="VPC232" s="15"/>
      <c r="VPD232" s="15"/>
      <c r="VPE232" s="15"/>
      <c r="VPF232" s="10"/>
      <c r="VPG232" s="10"/>
      <c r="VPH232" s="21"/>
      <c r="VPI232" s="21"/>
      <c r="VPL232" s="21"/>
      <c r="VPM232" s="15"/>
      <c r="VPN232" s="15"/>
      <c r="VPO232" s="15"/>
      <c r="VPP232" s="15"/>
      <c r="VPQ232" s="15"/>
      <c r="VPR232" s="15"/>
      <c r="VPS232" s="15"/>
      <c r="VPT232" s="15"/>
      <c r="VPU232" s="15"/>
      <c r="VPV232" s="15"/>
      <c r="VPW232" s="10"/>
      <c r="VPX232" s="10"/>
      <c r="VPY232" s="21"/>
      <c r="VPZ232" s="21"/>
      <c r="VQC232" s="21"/>
      <c r="VQD232" s="15"/>
      <c r="VQE232" s="15"/>
      <c r="VQF232" s="15"/>
      <c r="VQG232" s="15"/>
      <c r="VQH232" s="15"/>
      <c r="VQI232" s="15"/>
      <c r="VQJ232" s="15"/>
      <c r="VQK232" s="15"/>
      <c r="VQL232" s="15"/>
      <c r="VQM232" s="15"/>
      <c r="VQN232" s="10"/>
      <c r="VQO232" s="10"/>
      <c r="VQP232" s="21"/>
      <c r="VQQ232" s="21"/>
      <c r="VQT232" s="21"/>
      <c r="VQU232" s="15"/>
      <c r="VQV232" s="15"/>
      <c r="VQW232" s="15"/>
      <c r="VQX232" s="15"/>
      <c r="VQY232" s="15"/>
      <c r="VQZ232" s="15"/>
      <c r="VRA232" s="15"/>
      <c r="VRB232" s="15"/>
      <c r="VRC232" s="15"/>
      <c r="VRD232" s="15"/>
      <c r="VRE232" s="10"/>
      <c r="VRF232" s="10"/>
      <c r="VRG232" s="21"/>
      <c r="VRH232" s="21"/>
      <c r="VRK232" s="21"/>
      <c r="VRL232" s="15"/>
      <c r="VRM232" s="15"/>
      <c r="VRN232" s="15"/>
      <c r="VRO232" s="15"/>
      <c r="VRP232" s="15"/>
      <c r="VRQ232" s="15"/>
      <c r="VRR232" s="15"/>
      <c r="VRS232" s="15"/>
      <c r="VRT232" s="15"/>
      <c r="VRU232" s="15"/>
      <c r="VRV232" s="10"/>
      <c r="VRW232" s="10"/>
      <c r="VRX232" s="21"/>
      <c r="VRY232" s="21"/>
      <c r="VSB232" s="21"/>
      <c r="VSC232" s="15"/>
      <c r="VSD232" s="15"/>
      <c r="VSE232" s="15"/>
      <c r="VSF232" s="15"/>
      <c r="VSG232" s="15"/>
      <c r="VSH232" s="15"/>
      <c r="VSI232" s="15"/>
      <c r="VSJ232" s="15"/>
      <c r="VSK232" s="15"/>
      <c r="VSL232" s="15"/>
      <c r="VSM232" s="10"/>
      <c r="VSN232" s="10"/>
      <c r="VSO232" s="21"/>
      <c r="VSP232" s="21"/>
      <c r="VSS232" s="21"/>
      <c r="VST232" s="15"/>
      <c r="VSU232" s="15"/>
      <c r="VSV232" s="15"/>
      <c r="VSW232" s="15"/>
      <c r="VSX232" s="15"/>
      <c r="VSY232" s="15"/>
      <c r="VSZ232" s="15"/>
      <c r="VTA232" s="15"/>
      <c r="VTB232" s="15"/>
      <c r="VTC232" s="15"/>
      <c r="VTD232" s="10"/>
      <c r="VTE232" s="10"/>
      <c r="VTF232" s="21"/>
      <c r="VTG232" s="21"/>
      <c r="VTJ232" s="21"/>
      <c r="VTK232" s="15"/>
      <c r="VTL232" s="15"/>
      <c r="VTM232" s="15"/>
      <c r="VTN232" s="15"/>
      <c r="VTO232" s="15"/>
      <c r="VTP232" s="15"/>
      <c r="VTQ232" s="15"/>
      <c r="VTR232" s="15"/>
      <c r="VTS232" s="15"/>
      <c r="VTT232" s="15"/>
      <c r="VTU232" s="10"/>
      <c r="VTV232" s="10"/>
      <c r="VTW232" s="21"/>
      <c r="VTX232" s="21"/>
      <c r="VUA232" s="21"/>
      <c r="VUB232" s="15"/>
      <c r="VUC232" s="15"/>
      <c r="VUD232" s="15"/>
      <c r="VUE232" s="15"/>
      <c r="VUF232" s="15"/>
      <c r="VUG232" s="15"/>
      <c r="VUH232" s="15"/>
      <c r="VUI232" s="15"/>
      <c r="VUJ232" s="15"/>
      <c r="VUK232" s="15"/>
      <c r="VUL232" s="10"/>
      <c r="VUM232" s="10"/>
      <c r="VUN232" s="21"/>
      <c r="VUO232" s="21"/>
      <c r="VUR232" s="21"/>
      <c r="VUS232" s="15"/>
      <c r="VUT232" s="15"/>
      <c r="VUU232" s="15"/>
      <c r="VUV232" s="15"/>
      <c r="VUW232" s="15"/>
      <c r="VUX232" s="15"/>
      <c r="VUY232" s="15"/>
      <c r="VUZ232" s="15"/>
      <c r="VVA232" s="15"/>
      <c r="VVB232" s="15"/>
      <c r="VVC232" s="10"/>
      <c r="VVD232" s="10"/>
      <c r="VVE232" s="21"/>
      <c r="VVF232" s="21"/>
      <c r="VVI232" s="21"/>
      <c r="VVJ232" s="15"/>
      <c r="VVK232" s="15"/>
      <c r="VVL232" s="15"/>
      <c r="VVM232" s="15"/>
      <c r="VVN232" s="15"/>
      <c r="VVO232" s="15"/>
      <c r="VVP232" s="15"/>
      <c r="VVQ232" s="15"/>
      <c r="VVR232" s="15"/>
      <c r="VVS232" s="15"/>
      <c r="VVT232" s="10"/>
      <c r="VVU232" s="10"/>
      <c r="VVV232" s="21"/>
      <c r="VVW232" s="21"/>
      <c r="VVZ232" s="21"/>
      <c r="VWA232" s="15"/>
      <c r="VWB232" s="15"/>
      <c r="VWC232" s="15"/>
      <c r="VWD232" s="15"/>
      <c r="VWE232" s="15"/>
      <c r="VWF232" s="15"/>
      <c r="VWG232" s="15"/>
      <c r="VWH232" s="15"/>
      <c r="VWI232" s="15"/>
      <c r="VWJ232" s="15"/>
      <c r="VWK232" s="10"/>
      <c r="VWL232" s="10"/>
      <c r="VWM232" s="21"/>
      <c r="VWN232" s="21"/>
      <c r="VWQ232" s="21"/>
      <c r="VWR232" s="15"/>
      <c r="VWS232" s="15"/>
      <c r="VWT232" s="15"/>
      <c r="VWU232" s="15"/>
      <c r="VWV232" s="15"/>
      <c r="VWW232" s="15"/>
      <c r="VWX232" s="15"/>
      <c r="VWY232" s="15"/>
      <c r="VWZ232" s="15"/>
      <c r="VXA232" s="15"/>
      <c r="VXB232" s="10"/>
      <c r="VXC232" s="10"/>
      <c r="VXD232" s="21"/>
      <c r="VXE232" s="21"/>
      <c r="VXH232" s="21"/>
      <c r="VXI232" s="15"/>
      <c r="VXJ232" s="15"/>
      <c r="VXK232" s="15"/>
      <c r="VXL232" s="15"/>
      <c r="VXM232" s="15"/>
      <c r="VXN232" s="15"/>
      <c r="VXO232" s="15"/>
      <c r="VXP232" s="15"/>
      <c r="VXQ232" s="15"/>
      <c r="VXR232" s="15"/>
      <c r="VXS232" s="10"/>
      <c r="VXT232" s="10"/>
      <c r="VXU232" s="21"/>
      <c r="VXV232" s="21"/>
      <c r="VXY232" s="21"/>
      <c r="VXZ232" s="15"/>
      <c r="VYA232" s="15"/>
      <c r="VYB232" s="15"/>
      <c r="VYC232" s="15"/>
      <c r="VYD232" s="15"/>
      <c r="VYE232" s="15"/>
      <c r="VYF232" s="15"/>
      <c r="VYG232" s="15"/>
      <c r="VYH232" s="15"/>
      <c r="VYI232" s="15"/>
      <c r="VYJ232" s="10"/>
      <c r="VYK232" s="10"/>
      <c r="VYL232" s="21"/>
      <c r="VYM232" s="21"/>
      <c r="VYP232" s="21"/>
      <c r="VYQ232" s="15"/>
      <c r="VYR232" s="15"/>
      <c r="VYS232" s="15"/>
      <c r="VYT232" s="15"/>
      <c r="VYU232" s="15"/>
      <c r="VYV232" s="15"/>
      <c r="VYW232" s="15"/>
      <c r="VYX232" s="15"/>
      <c r="VYY232" s="15"/>
      <c r="VYZ232" s="15"/>
      <c r="VZA232" s="10"/>
      <c r="VZB232" s="10"/>
      <c r="VZC232" s="21"/>
      <c r="VZD232" s="21"/>
      <c r="VZG232" s="21"/>
      <c r="VZH232" s="15"/>
      <c r="VZI232" s="15"/>
      <c r="VZJ232" s="15"/>
      <c r="VZK232" s="15"/>
      <c r="VZL232" s="15"/>
      <c r="VZM232" s="15"/>
      <c r="VZN232" s="15"/>
      <c r="VZO232" s="15"/>
      <c r="VZP232" s="15"/>
      <c r="VZQ232" s="15"/>
      <c r="VZR232" s="10"/>
      <c r="VZS232" s="10"/>
      <c r="VZT232" s="21"/>
      <c r="VZU232" s="21"/>
      <c r="VZX232" s="21"/>
      <c r="VZY232" s="15"/>
      <c r="VZZ232" s="15"/>
      <c r="WAA232" s="15"/>
      <c r="WAB232" s="15"/>
      <c r="WAC232" s="15"/>
      <c r="WAD232" s="15"/>
      <c r="WAE232" s="15"/>
      <c r="WAF232" s="15"/>
      <c r="WAG232" s="15"/>
      <c r="WAH232" s="15"/>
      <c r="WAI232" s="10"/>
      <c r="WAJ232" s="10"/>
      <c r="WAK232" s="21"/>
      <c r="WAL232" s="21"/>
      <c r="WAO232" s="21"/>
      <c r="WAP232" s="15"/>
      <c r="WAQ232" s="15"/>
      <c r="WAR232" s="15"/>
      <c r="WAS232" s="15"/>
      <c r="WAT232" s="15"/>
      <c r="WAU232" s="15"/>
      <c r="WAV232" s="15"/>
      <c r="WAW232" s="15"/>
      <c r="WAX232" s="15"/>
      <c r="WAY232" s="15"/>
      <c r="WAZ232" s="10"/>
      <c r="WBA232" s="10"/>
      <c r="WBB232" s="21"/>
      <c r="WBC232" s="21"/>
      <c r="WBF232" s="21"/>
      <c r="WBG232" s="15"/>
      <c r="WBH232" s="15"/>
      <c r="WBI232" s="15"/>
      <c r="WBJ232" s="15"/>
      <c r="WBK232" s="15"/>
      <c r="WBL232" s="15"/>
      <c r="WBM232" s="15"/>
      <c r="WBN232" s="15"/>
      <c r="WBO232" s="15"/>
      <c r="WBP232" s="15"/>
      <c r="WBQ232" s="10"/>
      <c r="WBR232" s="10"/>
      <c r="WBS232" s="21"/>
      <c r="WBT232" s="21"/>
      <c r="WBW232" s="21"/>
      <c r="WBX232" s="15"/>
      <c r="WBY232" s="15"/>
      <c r="WBZ232" s="15"/>
      <c r="WCA232" s="15"/>
      <c r="WCB232" s="15"/>
      <c r="WCC232" s="15"/>
      <c r="WCD232" s="15"/>
      <c r="WCE232" s="15"/>
      <c r="WCF232" s="15"/>
      <c r="WCG232" s="15"/>
      <c r="WCH232" s="10"/>
      <c r="WCI232" s="10"/>
      <c r="WCJ232" s="21"/>
      <c r="WCK232" s="21"/>
      <c r="WCN232" s="21"/>
      <c r="WCO232" s="15"/>
      <c r="WCP232" s="15"/>
      <c r="WCQ232" s="15"/>
      <c r="WCR232" s="15"/>
      <c r="WCS232" s="15"/>
      <c r="WCT232" s="15"/>
      <c r="WCU232" s="15"/>
      <c r="WCV232" s="15"/>
      <c r="WCW232" s="15"/>
      <c r="WCX232" s="15"/>
      <c r="WCY232" s="10"/>
      <c r="WCZ232" s="10"/>
      <c r="WDA232" s="21"/>
      <c r="WDB232" s="21"/>
      <c r="WDE232" s="21"/>
      <c r="WDF232" s="15"/>
      <c r="WDG232" s="15"/>
      <c r="WDH232" s="15"/>
      <c r="WDI232" s="15"/>
      <c r="WDJ232" s="15"/>
      <c r="WDK232" s="15"/>
      <c r="WDL232" s="15"/>
      <c r="WDM232" s="15"/>
      <c r="WDN232" s="15"/>
      <c r="WDO232" s="15"/>
      <c r="WDP232" s="10"/>
      <c r="WDQ232" s="10"/>
      <c r="WDR232" s="21"/>
      <c r="WDS232" s="21"/>
      <c r="WDV232" s="21"/>
      <c r="WDW232" s="15"/>
      <c r="WDX232" s="15"/>
      <c r="WDY232" s="15"/>
      <c r="WDZ232" s="15"/>
      <c r="WEA232" s="15"/>
      <c r="WEB232" s="15"/>
      <c r="WEC232" s="15"/>
      <c r="WED232" s="15"/>
      <c r="WEE232" s="15"/>
      <c r="WEF232" s="15"/>
      <c r="WEG232" s="10"/>
      <c r="WEH232" s="10"/>
      <c r="WEI232" s="21"/>
      <c r="WEJ232" s="21"/>
      <c r="WEM232" s="21"/>
      <c r="WEN232" s="15"/>
      <c r="WEO232" s="15"/>
      <c r="WEP232" s="15"/>
      <c r="WEQ232" s="15"/>
      <c r="WER232" s="15"/>
      <c r="WES232" s="15"/>
      <c r="WET232" s="15"/>
      <c r="WEU232" s="15"/>
      <c r="WEV232" s="15"/>
      <c r="WEW232" s="15"/>
      <c r="WEX232" s="10"/>
      <c r="WEY232" s="10"/>
      <c r="WEZ232" s="21"/>
      <c r="WFA232" s="21"/>
      <c r="WFD232" s="21"/>
      <c r="WFE232" s="15"/>
      <c r="WFF232" s="15"/>
      <c r="WFG232" s="15"/>
      <c r="WFH232" s="15"/>
      <c r="WFI232" s="15"/>
      <c r="WFJ232" s="15"/>
      <c r="WFK232" s="15"/>
      <c r="WFL232" s="15"/>
      <c r="WFM232" s="15"/>
      <c r="WFN232" s="15"/>
      <c r="WFO232" s="10"/>
      <c r="WFP232" s="10"/>
      <c r="WFQ232" s="21"/>
      <c r="WFR232" s="21"/>
      <c r="WFU232" s="21"/>
      <c r="WFV232" s="15"/>
      <c r="WFW232" s="15"/>
      <c r="WFX232" s="15"/>
      <c r="WFY232" s="15"/>
      <c r="WFZ232" s="15"/>
      <c r="WGA232" s="15"/>
      <c r="WGB232" s="15"/>
      <c r="WGC232" s="15"/>
      <c r="WGD232" s="15"/>
      <c r="WGE232" s="15"/>
      <c r="WGF232" s="10"/>
      <c r="WGG232" s="10"/>
      <c r="WGH232" s="21"/>
      <c r="WGI232" s="21"/>
      <c r="WGL232" s="21"/>
      <c r="WGM232" s="15"/>
      <c r="WGN232" s="15"/>
      <c r="WGO232" s="15"/>
      <c r="WGP232" s="15"/>
      <c r="WGQ232" s="15"/>
      <c r="WGR232" s="15"/>
      <c r="WGS232" s="15"/>
      <c r="WGT232" s="15"/>
      <c r="WGU232" s="15"/>
      <c r="WGV232" s="15"/>
      <c r="WGW232" s="10"/>
      <c r="WGX232" s="10"/>
      <c r="WGY232" s="21"/>
      <c r="WGZ232" s="21"/>
      <c r="WHC232" s="21"/>
      <c r="WHD232" s="15"/>
      <c r="WHE232" s="15"/>
      <c r="WHF232" s="15"/>
      <c r="WHG232" s="15"/>
      <c r="WHH232" s="15"/>
      <c r="WHI232" s="15"/>
      <c r="WHJ232" s="15"/>
      <c r="WHK232" s="15"/>
      <c r="WHL232" s="15"/>
      <c r="WHM232" s="15"/>
      <c r="WHN232" s="10"/>
      <c r="WHO232" s="10"/>
      <c r="WHP232" s="21"/>
      <c r="WHQ232" s="21"/>
      <c r="WHT232" s="21"/>
      <c r="WHU232" s="15"/>
      <c r="WHV232" s="15"/>
      <c r="WHW232" s="15"/>
      <c r="WHX232" s="15"/>
      <c r="WHY232" s="15"/>
      <c r="WHZ232" s="15"/>
      <c r="WIA232" s="15"/>
      <c r="WIB232" s="15"/>
      <c r="WIC232" s="15"/>
      <c r="WID232" s="15"/>
      <c r="WIE232" s="10"/>
      <c r="WIF232" s="10"/>
      <c r="WIG232" s="21"/>
      <c r="WIH232" s="21"/>
      <c r="WIK232" s="21"/>
      <c r="WIL232" s="15"/>
      <c r="WIM232" s="15"/>
      <c r="WIN232" s="15"/>
      <c r="WIO232" s="15"/>
      <c r="WIP232" s="15"/>
      <c r="WIQ232" s="15"/>
      <c r="WIR232" s="15"/>
      <c r="WIS232" s="15"/>
      <c r="WIT232" s="15"/>
      <c r="WIU232" s="15"/>
      <c r="WIV232" s="10"/>
      <c r="WIW232" s="10"/>
      <c r="WIX232" s="21"/>
      <c r="WIY232" s="21"/>
      <c r="WJB232" s="21"/>
      <c r="WJC232" s="15"/>
      <c r="WJD232" s="15"/>
      <c r="WJE232" s="15"/>
      <c r="WJF232" s="15"/>
      <c r="WJG232" s="15"/>
      <c r="WJH232" s="15"/>
      <c r="WJI232" s="15"/>
      <c r="WJJ232" s="15"/>
      <c r="WJK232" s="15"/>
      <c r="WJL232" s="15"/>
      <c r="WJM232" s="10"/>
      <c r="WJN232" s="10"/>
      <c r="WJO232" s="21"/>
      <c r="WJP232" s="21"/>
      <c r="WJS232" s="21"/>
      <c r="WJT232" s="15"/>
      <c r="WJU232" s="15"/>
      <c r="WJV232" s="15"/>
      <c r="WJW232" s="15"/>
      <c r="WJX232" s="15"/>
      <c r="WJY232" s="15"/>
      <c r="WJZ232" s="15"/>
      <c r="WKA232" s="15"/>
      <c r="WKB232" s="15"/>
      <c r="WKC232" s="15"/>
      <c r="WKD232" s="10"/>
      <c r="WKE232" s="10"/>
      <c r="WKF232" s="21"/>
      <c r="WKG232" s="21"/>
      <c r="WKJ232" s="21"/>
      <c r="WKK232" s="15"/>
      <c r="WKL232" s="15"/>
      <c r="WKM232" s="15"/>
      <c r="WKN232" s="15"/>
      <c r="WKO232" s="15"/>
      <c r="WKP232" s="15"/>
      <c r="WKQ232" s="15"/>
      <c r="WKR232" s="15"/>
      <c r="WKS232" s="15"/>
      <c r="WKT232" s="15"/>
      <c r="WKU232" s="10"/>
      <c r="WKV232" s="10"/>
      <c r="WKW232" s="21"/>
      <c r="WKX232" s="21"/>
      <c r="WLA232" s="21"/>
      <c r="WLB232" s="15"/>
      <c r="WLC232" s="15"/>
      <c r="WLD232" s="15"/>
      <c r="WLE232" s="15"/>
      <c r="WLF232" s="15"/>
      <c r="WLG232" s="15"/>
      <c r="WLH232" s="15"/>
      <c r="WLI232" s="15"/>
      <c r="WLJ232" s="15"/>
      <c r="WLK232" s="15"/>
      <c r="WLL232" s="10"/>
      <c r="WLM232" s="10"/>
      <c r="WLN232" s="21"/>
      <c r="WLO232" s="21"/>
      <c r="WLR232" s="21"/>
      <c r="WLS232" s="15"/>
      <c r="WLT232" s="15"/>
      <c r="WLU232" s="15"/>
      <c r="WLV232" s="15"/>
      <c r="WLW232" s="15"/>
      <c r="WLX232" s="15"/>
      <c r="WLY232" s="15"/>
      <c r="WLZ232" s="15"/>
      <c r="WMA232" s="15"/>
      <c r="WMB232" s="15"/>
      <c r="WMC232" s="10"/>
      <c r="WMD232" s="10"/>
      <c r="WME232" s="21"/>
      <c r="WMF232" s="21"/>
      <c r="WMI232" s="21"/>
      <c r="WMJ232" s="15"/>
      <c r="WMK232" s="15"/>
      <c r="WML232" s="15"/>
      <c r="WMM232" s="15"/>
      <c r="WMN232" s="15"/>
      <c r="WMO232" s="15"/>
      <c r="WMP232" s="15"/>
      <c r="WMQ232" s="15"/>
      <c r="WMR232" s="15"/>
      <c r="WMS232" s="15"/>
      <c r="WMT232" s="10"/>
      <c r="WMU232" s="10"/>
      <c r="WMV232" s="21"/>
      <c r="WMW232" s="21"/>
      <c r="WMZ232" s="21"/>
      <c r="WNA232" s="15"/>
      <c r="WNB232" s="15"/>
      <c r="WNC232" s="15"/>
      <c r="WND232" s="15"/>
      <c r="WNE232" s="15"/>
      <c r="WNF232" s="15"/>
      <c r="WNG232" s="15"/>
      <c r="WNH232" s="15"/>
      <c r="WNI232" s="15"/>
      <c r="WNJ232" s="15"/>
      <c r="WNK232" s="10"/>
      <c r="WNL232" s="10"/>
      <c r="WNM232" s="21"/>
      <c r="WNN232" s="21"/>
      <c r="WNQ232" s="21"/>
      <c r="WNR232" s="15"/>
      <c r="WNS232" s="15"/>
      <c r="WNT232" s="15"/>
      <c r="WNU232" s="15"/>
      <c r="WNV232" s="15"/>
      <c r="WNW232" s="15"/>
      <c r="WNX232" s="15"/>
      <c r="WNY232" s="15"/>
      <c r="WNZ232" s="15"/>
      <c r="WOA232" s="15"/>
      <c r="WOB232" s="10"/>
      <c r="WOC232" s="10"/>
      <c r="WOD232" s="21"/>
      <c r="WOE232" s="21"/>
      <c r="WOH232" s="21"/>
      <c r="WOI232" s="15"/>
      <c r="WOJ232" s="15"/>
      <c r="WOK232" s="15"/>
      <c r="WOL232" s="15"/>
      <c r="WOM232" s="15"/>
      <c r="WON232" s="15"/>
      <c r="WOO232" s="15"/>
      <c r="WOP232" s="15"/>
      <c r="WOQ232" s="15"/>
      <c r="WOR232" s="15"/>
      <c r="WOS232" s="10"/>
      <c r="WOT232" s="10"/>
      <c r="WOU232" s="21"/>
      <c r="WOV232" s="21"/>
      <c r="WOY232" s="21"/>
      <c r="WOZ232" s="15"/>
      <c r="WPA232" s="15"/>
      <c r="WPB232" s="15"/>
      <c r="WPC232" s="15"/>
      <c r="WPD232" s="15"/>
      <c r="WPE232" s="15"/>
      <c r="WPF232" s="15"/>
      <c r="WPG232" s="15"/>
      <c r="WPH232" s="15"/>
      <c r="WPI232" s="15"/>
      <c r="WPJ232" s="10"/>
      <c r="WPK232" s="10"/>
      <c r="WPL232" s="21"/>
      <c r="WPM232" s="21"/>
      <c r="WPP232" s="21"/>
      <c r="WPQ232" s="15"/>
      <c r="WPR232" s="15"/>
      <c r="WPS232" s="15"/>
      <c r="WPT232" s="15"/>
      <c r="WPU232" s="15"/>
      <c r="WPV232" s="15"/>
      <c r="WPW232" s="15"/>
      <c r="WPX232" s="15"/>
      <c r="WPY232" s="15"/>
      <c r="WPZ232" s="15"/>
      <c r="WQA232" s="10"/>
      <c r="WQB232" s="10"/>
      <c r="WQC232" s="21"/>
      <c r="WQD232" s="21"/>
      <c r="WQG232" s="21"/>
      <c r="WQH232" s="15"/>
      <c r="WQI232" s="15"/>
      <c r="WQJ232" s="15"/>
      <c r="WQK232" s="15"/>
      <c r="WQL232" s="15"/>
      <c r="WQM232" s="15"/>
      <c r="WQN232" s="15"/>
      <c r="WQO232" s="15"/>
      <c r="WQP232" s="15"/>
      <c r="WQQ232" s="15"/>
      <c r="WQR232" s="10"/>
      <c r="WQS232" s="10"/>
      <c r="WQT232" s="21"/>
      <c r="WQU232" s="21"/>
      <c r="WQX232" s="21"/>
      <c r="WQY232" s="15"/>
      <c r="WQZ232" s="15"/>
      <c r="WRA232" s="15"/>
      <c r="WRB232" s="15"/>
      <c r="WRC232" s="15"/>
      <c r="WRD232" s="15"/>
      <c r="WRE232" s="15"/>
      <c r="WRF232" s="15"/>
      <c r="WRG232" s="15"/>
      <c r="WRH232" s="15"/>
      <c r="WRI232" s="10"/>
      <c r="WRJ232" s="10"/>
      <c r="WRK232" s="21"/>
      <c r="WRL232" s="21"/>
      <c r="WRO232" s="21"/>
      <c r="WRP232" s="15"/>
      <c r="WRQ232" s="15"/>
      <c r="WRR232" s="15"/>
      <c r="WRS232" s="15"/>
      <c r="WRT232" s="15"/>
      <c r="WRU232" s="15"/>
      <c r="WRV232" s="15"/>
      <c r="WRW232" s="15"/>
      <c r="WRX232" s="15"/>
      <c r="WRY232" s="15"/>
      <c r="WRZ232" s="10"/>
      <c r="WSA232" s="10"/>
      <c r="WSB232" s="21"/>
      <c r="WSC232" s="21"/>
      <c r="WSF232" s="21"/>
      <c r="WSG232" s="15"/>
      <c r="WSH232" s="15"/>
      <c r="WSI232" s="15"/>
      <c r="WSJ232" s="15"/>
      <c r="WSK232" s="15"/>
      <c r="WSL232" s="15"/>
      <c r="WSM232" s="15"/>
      <c r="WSN232" s="15"/>
      <c r="WSO232" s="15"/>
      <c r="WSP232" s="15"/>
      <c r="WSQ232" s="10"/>
      <c r="WSR232" s="10"/>
      <c r="WSS232" s="21"/>
      <c r="WST232" s="21"/>
      <c r="WSW232" s="21"/>
      <c r="WSX232" s="15"/>
      <c r="WSY232" s="15"/>
      <c r="WSZ232" s="15"/>
      <c r="WTA232" s="15"/>
      <c r="WTB232" s="15"/>
      <c r="WTC232" s="15"/>
      <c r="WTD232" s="15"/>
      <c r="WTE232" s="15"/>
      <c r="WTF232" s="15"/>
      <c r="WTG232" s="15"/>
      <c r="WTH232" s="10"/>
      <c r="WTI232" s="10"/>
      <c r="WTJ232" s="21"/>
      <c r="WTK232" s="21"/>
      <c r="WTN232" s="21"/>
      <c r="WTO232" s="15"/>
      <c r="WTP232" s="15"/>
      <c r="WTQ232" s="15"/>
      <c r="WTR232" s="15"/>
      <c r="WTS232" s="15"/>
      <c r="WTT232" s="15"/>
      <c r="WTU232" s="15"/>
      <c r="WTV232" s="15"/>
      <c r="WTW232" s="15"/>
      <c r="WTX232" s="15"/>
      <c r="WTY232" s="10"/>
      <c r="WTZ232" s="10"/>
      <c r="WUA232" s="21"/>
      <c r="WUB232" s="21"/>
      <c r="WUE232" s="21"/>
      <c r="WUF232" s="15"/>
      <c r="WUG232" s="15"/>
      <c r="WUH232" s="15"/>
      <c r="WUI232" s="15"/>
      <c r="WUJ232" s="15"/>
      <c r="WUK232" s="15"/>
      <c r="WUL232" s="15"/>
      <c r="WUM232" s="15"/>
      <c r="WUN232" s="15"/>
      <c r="WUO232" s="15"/>
      <c r="WUP232" s="10"/>
      <c r="WUQ232" s="10"/>
      <c r="WUR232" s="21"/>
      <c r="WUS232" s="21"/>
      <c r="WUV232" s="21"/>
      <c r="WUW232" s="15"/>
      <c r="WUX232" s="15"/>
      <c r="WUY232" s="15"/>
      <c r="WUZ232" s="15"/>
      <c r="WVA232" s="15"/>
      <c r="WVB232" s="15"/>
      <c r="WVC232" s="15"/>
      <c r="WVD232" s="15"/>
      <c r="WVE232" s="15"/>
      <c r="WVF232" s="15"/>
      <c r="WVG232" s="10"/>
      <c r="WVH232" s="10"/>
      <c r="WVI232" s="21"/>
      <c r="WVJ232" s="21"/>
      <c r="WVM232" s="21"/>
      <c r="WVN232" s="15"/>
      <c r="WVO232" s="15"/>
      <c r="WVP232" s="15"/>
      <c r="WVQ232" s="15"/>
      <c r="WVR232" s="15"/>
      <c r="WVS232" s="15"/>
      <c r="WVT232" s="15"/>
      <c r="WVU232" s="15"/>
      <c r="WVV232" s="15"/>
      <c r="WVW232" s="15"/>
      <c r="WVX232" s="10"/>
      <c r="WVY232" s="10"/>
      <c r="WVZ232" s="21"/>
      <c r="WWA232" s="21"/>
      <c r="WWD232" s="21"/>
      <c r="WWE232" s="15"/>
      <c r="WWF232" s="15"/>
      <c r="WWG232" s="15"/>
      <c r="WWH232" s="15"/>
      <c r="WWI232" s="15"/>
      <c r="WWJ232" s="15"/>
      <c r="WWK232" s="15"/>
      <c r="WWL232" s="15"/>
      <c r="WWM232" s="15"/>
      <c r="WWN232" s="15"/>
      <c r="WWO232" s="10"/>
      <c r="WWP232" s="10"/>
      <c r="WWQ232" s="21"/>
      <c r="WWR232" s="21"/>
      <c r="WWU232" s="21"/>
      <c r="WWV232" s="15"/>
      <c r="WWW232" s="15"/>
      <c r="WWX232" s="15"/>
      <c r="WWY232" s="15"/>
      <c r="WWZ232" s="15"/>
      <c r="WXA232" s="15"/>
      <c r="WXB232" s="15"/>
      <c r="WXC232" s="15"/>
      <c r="WXD232" s="15"/>
      <c r="WXE232" s="15"/>
      <c r="WXF232" s="10"/>
      <c r="WXG232" s="10"/>
      <c r="WXH232" s="21"/>
      <c r="WXI232" s="21"/>
      <c r="WXL232" s="21"/>
      <c r="WXM232" s="15"/>
      <c r="WXN232" s="15"/>
      <c r="WXO232" s="15"/>
      <c r="WXP232" s="15"/>
      <c r="WXQ232" s="15"/>
      <c r="WXR232" s="15"/>
      <c r="WXS232" s="15"/>
      <c r="WXT232" s="15"/>
      <c r="WXU232" s="15"/>
      <c r="WXV232" s="15"/>
      <c r="WXW232" s="10"/>
      <c r="WXX232" s="10"/>
      <c r="WXY232" s="21"/>
      <c r="WXZ232" s="21"/>
      <c r="WYC232" s="21"/>
      <c r="WYD232" s="15"/>
      <c r="WYE232" s="15"/>
      <c r="WYF232" s="15"/>
      <c r="WYG232" s="15"/>
      <c r="WYH232" s="15"/>
      <c r="WYI232" s="15"/>
      <c r="WYJ232" s="15"/>
      <c r="WYK232" s="15"/>
      <c r="WYL232" s="15"/>
      <c r="WYM232" s="15"/>
      <c r="WYN232" s="10"/>
      <c r="WYO232" s="10"/>
      <c r="WYP232" s="21"/>
      <c r="WYQ232" s="21"/>
      <c r="WYT232" s="21"/>
      <c r="WYU232" s="15"/>
      <c r="WYV232" s="15"/>
      <c r="WYW232" s="15"/>
      <c r="WYX232" s="15"/>
      <c r="WYY232" s="15"/>
      <c r="WYZ232" s="15"/>
      <c r="WZA232" s="15"/>
      <c r="WZB232" s="15"/>
      <c r="WZC232" s="15"/>
      <c r="WZD232" s="15"/>
      <c r="WZE232" s="10"/>
      <c r="WZF232" s="10"/>
      <c r="WZG232" s="21"/>
      <c r="WZH232" s="21"/>
      <c r="WZK232" s="21"/>
      <c r="WZL232" s="15"/>
      <c r="WZM232" s="15"/>
      <c r="WZN232" s="15"/>
      <c r="WZO232" s="15"/>
      <c r="WZP232" s="15"/>
      <c r="WZQ232" s="15"/>
      <c r="WZR232" s="15"/>
      <c r="WZS232" s="15"/>
      <c r="WZT232" s="15"/>
      <c r="WZU232" s="15"/>
      <c r="WZV232" s="10"/>
      <c r="WZW232" s="10"/>
      <c r="WZX232" s="21"/>
      <c r="WZY232" s="21"/>
      <c r="XAB232" s="21"/>
      <c r="XAC232" s="15"/>
      <c r="XAD232" s="15"/>
      <c r="XAE232" s="15"/>
      <c r="XAF232" s="15"/>
      <c r="XAG232" s="15"/>
      <c r="XAH232" s="15"/>
      <c r="XAI232" s="15"/>
      <c r="XAJ232" s="15"/>
      <c r="XAK232" s="15"/>
      <c r="XAL232" s="15"/>
      <c r="XAM232" s="10"/>
      <c r="XAN232" s="10"/>
      <c r="XAO232" s="21"/>
      <c r="XAP232" s="21"/>
      <c r="XAS232" s="21"/>
      <c r="XAT232" s="15"/>
      <c r="XAU232" s="15"/>
      <c r="XAV232" s="15"/>
      <c r="XAW232" s="15"/>
      <c r="XAX232" s="15"/>
      <c r="XAY232" s="15"/>
      <c r="XAZ232" s="15"/>
      <c r="XBA232" s="15"/>
      <c r="XBB232" s="15"/>
      <c r="XBC232" s="15"/>
      <c r="XBD232" s="10"/>
      <c r="XBE232" s="10"/>
      <c r="XBF232" s="21"/>
      <c r="XBG232" s="21"/>
      <c r="XBJ232" s="21"/>
      <c r="XBK232" s="15"/>
      <c r="XBL232" s="15"/>
      <c r="XBM232" s="15"/>
      <c r="XBN232" s="15"/>
      <c r="XBO232" s="15"/>
      <c r="XBP232" s="15"/>
      <c r="XBQ232" s="15"/>
      <c r="XBR232" s="15"/>
      <c r="XBS232" s="15"/>
      <c r="XBT232" s="15"/>
      <c r="XBU232" s="10"/>
      <c r="XBV232" s="10"/>
      <c r="XBW232" s="21"/>
      <c r="XBX232" s="21"/>
      <c r="XCA232" s="21"/>
      <c r="XCB232" s="15"/>
      <c r="XCC232" s="15"/>
      <c r="XCD232" s="15"/>
      <c r="XCE232" s="15"/>
      <c r="XCF232" s="15"/>
      <c r="XCG232" s="15"/>
      <c r="XCH232" s="15"/>
      <c r="XCI232" s="15"/>
      <c r="XCJ232" s="15"/>
      <c r="XCK232" s="15"/>
      <c r="XCL232" s="10"/>
      <c r="XCM232" s="10"/>
      <c r="XCN232" s="21"/>
      <c r="XCO232" s="21"/>
      <c r="XCR232" s="21"/>
      <c r="XCS232" s="15"/>
      <c r="XCT232" s="15"/>
      <c r="XCU232" s="15"/>
      <c r="XCV232" s="15"/>
      <c r="XCW232" s="15"/>
      <c r="XCX232" s="15"/>
      <c r="XCY232" s="15"/>
      <c r="XCZ232" s="15"/>
      <c r="XDA232" s="15"/>
      <c r="XDB232" s="15"/>
      <c r="XDC232" s="10"/>
      <c r="XDD232" s="10"/>
      <c r="XDE232" s="21"/>
      <c r="XDF232" s="21"/>
      <c r="XDI232" s="21"/>
      <c r="XDJ232" s="15"/>
      <c r="XDK232" s="15"/>
      <c r="XDL232" s="15"/>
      <c r="XDM232" s="15"/>
      <c r="XDN232" s="15"/>
      <c r="XDO232" s="15"/>
      <c r="XDP232" s="15"/>
      <c r="XDQ232" s="15"/>
      <c r="XDR232" s="15"/>
      <c r="XDS232" s="15"/>
      <c r="XDT232" s="10"/>
      <c r="XDU232" s="10"/>
      <c r="XDV232" s="21"/>
      <c r="XDW232" s="21"/>
      <c r="XDZ232" s="21"/>
      <c r="XEA232" s="15"/>
      <c r="XEB232" s="15"/>
      <c r="XEC232" s="15"/>
      <c r="XED232" s="15"/>
      <c r="XEE232" s="15"/>
      <c r="XEF232" s="15"/>
      <c r="XEG232" s="15"/>
      <c r="XEH232" s="15"/>
      <c r="XEI232" s="15"/>
      <c r="XEJ232" s="15"/>
      <c r="XEK232" s="10"/>
      <c r="XEL232" s="10"/>
      <c r="XEM232" s="21"/>
      <c r="XEN232" s="21"/>
      <c r="XEQ232" s="21"/>
      <c r="XER232" s="15"/>
      <c r="XES232" s="15"/>
      <c r="XET232" s="15"/>
      <c r="XEU232" s="15"/>
      <c r="XEV232" s="15"/>
      <c r="XEW232" s="15"/>
      <c r="XEX232" s="15"/>
      <c r="XEY232" s="15"/>
      <c r="XEZ232" s="15"/>
      <c r="XFA232" s="15"/>
      <c r="XFB232" s="10"/>
      <c r="XFC232" s="10"/>
      <c r="XFD232" s="21"/>
    </row>
    <row r="233" spans="1:16384" ht="14.25" customHeight="1" x14ac:dyDescent="0.3">
      <c r="A233" s="31">
        <v>0</v>
      </c>
      <c r="B233" s="31">
        <v>1</v>
      </c>
      <c r="C233" s="31">
        <v>6</v>
      </c>
      <c r="D233" s="32" t="s">
        <v>978</v>
      </c>
      <c r="E233" s="32" t="s">
        <v>165</v>
      </c>
      <c r="F233" s="32" t="s">
        <v>976</v>
      </c>
      <c r="G233" s="32" t="s">
        <v>1105</v>
      </c>
      <c r="H233" s="32" t="s">
        <v>354</v>
      </c>
      <c r="I233" s="31" t="s">
        <v>977</v>
      </c>
      <c r="J233" s="31">
        <v>1</v>
      </c>
      <c r="K233" s="33" t="s">
        <v>956</v>
      </c>
      <c r="L233" s="33" t="s">
        <v>689</v>
      </c>
      <c r="M233" s="34" t="s">
        <v>1402</v>
      </c>
      <c r="N233" s="34" t="s">
        <v>1748</v>
      </c>
      <c r="O233" s="35">
        <v>1</v>
      </c>
      <c r="P233" s="35"/>
      <c r="Q233" s="32"/>
      <c r="S233" s="1">
        <f t="shared" si="171"/>
        <v>1</v>
      </c>
      <c r="T233" s="1">
        <f t="shared" si="172"/>
        <v>0</v>
      </c>
      <c r="U233" s="1">
        <f t="shared" si="173"/>
        <v>0</v>
      </c>
      <c r="V233" s="1">
        <f t="shared" si="174"/>
        <v>0</v>
      </c>
      <c r="W233" s="1">
        <f t="shared" si="175"/>
        <v>0</v>
      </c>
      <c r="X233" s="1">
        <f t="shared" si="176"/>
        <v>0</v>
      </c>
      <c r="Y233" s="1">
        <f t="shared" si="177"/>
        <v>0</v>
      </c>
      <c r="Z233" s="1">
        <f t="shared" si="178"/>
        <v>0</v>
      </c>
      <c r="AA233" s="1">
        <f t="shared" si="179"/>
        <v>0</v>
      </c>
      <c r="AB233" s="1">
        <f t="shared" si="180"/>
        <v>0</v>
      </c>
      <c r="AD233" s="1">
        <f t="shared" si="181"/>
        <v>0</v>
      </c>
      <c r="AE233" s="1">
        <f t="shared" si="182"/>
        <v>1</v>
      </c>
      <c r="AF233" s="1">
        <f t="shared" si="167"/>
        <v>0</v>
      </c>
      <c r="AG233" s="1">
        <f t="shared" si="168"/>
        <v>1</v>
      </c>
      <c r="AH233" s="1">
        <f t="shared" si="169"/>
        <v>0</v>
      </c>
      <c r="AI233" s="1">
        <f t="shared" si="170"/>
        <v>1</v>
      </c>
    </row>
    <row r="234" spans="1:16384" ht="14.25" customHeight="1" x14ac:dyDescent="0.3">
      <c r="A234" s="31">
        <v>0</v>
      </c>
      <c r="B234" s="31">
        <v>1</v>
      </c>
      <c r="C234" s="31">
        <v>6</v>
      </c>
      <c r="D234" s="32" t="s">
        <v>521</v>
      </c>
      <c r="E234" s="32" t="s">
        <v>167</v>
      </c>
      <c r="F234" s="32" t="s">
        <v>522</v>
      </c>
      <c r="G234" s="32" t="s">
        <v>523</v>
      </c>
      <c r="H234" s="32" t="s">
        <v>354</v>
      </c>
      <c r="I234" s="31" t="s">
        <v>524</v>
      </c>
      <c r="J234" s="31">
        <v>99</v>
      </c>
      <c r="K234" s="33" t="s">
        <v>702</v>
      </c>
      <c r="L234" s="33">
        <v>40</v>
      </c>
      <c r="M234" s="34" t="s">
        <v>972</v>
      </c>
      <c r="N234" s="34" t="s">
        <v>1849</v>
      </c>
      <c r="O234" s="35">
        <v>1</v>
      </c>
      <c r="P234" s="35"/>
      <c r="Q234" s="32"/>
      <c r="S234" s="1">
        <f t="shared" si="171"/>
        <v>0</v>
      </c>
      <c r="T234" s="1">
        <f t="shared" si="172"/>
        <v>0</v>
      </c>
      <c r="U234" s="1">
        <f t="shared" si="173"/>
        <v>0</v>
      </c>
      <c r="V234" s="1">
        <f t="shared" si="174"/>
        <v>0</v>
      </c>
      <c r="W234" s="1">
        <f t="shared" si="175"/>
        <v>0</v>
      </c>
      <c r="X234" s="1">
        <f t="shared" si="176"/>
        <v>0</v>
      </c>
      <c r="Y234" s="1">
        <f t="shared" si="177"/>
        <v>0</v>
      </c>
      <c r="Z234" s="1">
        <f t="shared" si="178"/>
        <v>0</v>
      </c>
      <c r="AA234" s="1">
        <f t="shared" si="179"/>
        <v>0</v>
      </c>
      <c r="AB234" s="1">
        <f t="shared" si="180"/>
        <v>0</v>
      </c>
      <c r="AD234" s="1">
        <f t="shared" si="181"/>
        <v>0</v>
      </c>
      <c r="AE234" s="1">
        <f t="shared" si="182"/>
        <v>1</v>
      </c>
      <c r="AF234" s="1">
        <f t="shared" si="167"/>
        <v>0</v>
      </c>
      <c r="AG234" s="1">
        <f t="shared" si="168"/>
        <v>1</v>
      </c>
      <c r="AH234" s="1">
        <f t="shared" si="169"/>
        <v>0</v>
      </c>
      <c r="AI234" s="1">
        <f t="shared" si="170"/>
        <v>1</v>
      </c>
    </row>
    <row r="235" spans="1:16384" ht="14.25" customHeight="1" x14ac:dyDescent="0.3">
      <c r="A235" s="38">
        <v>0</v>
      </c>
      <c r="B235" s="38">
        <v>1</v>
      </c>
      <c r="C235" s="38">
        <v>6</v>
      </c>
      <c r="D235" s="39" t="s">
        <v>1837</v>
      </c>
      <c r="E235" s="39" t="s">
        <v>1838</v>
      </c>
      <c r="F235" s="39" t="s">
        <v>1839</v>
      </c>
      <c r="G235" s="39"/>
      <c r="H235" s="39" t="s">
        <v>354</v>
      </c>
      <c r="I235" s="38" t="s">
        <v>1840</v>
      </c>
      <c r="J235" s="38"/>
      <c r="K235" s="40" t="s">
        <v>703</v>
      </c>
      <c r="L235" s="40"/>
      <c r="M235" s="41"/>
      <c r="N235" s="42"/>
      <c r="O235" s="43"/>
      <c r="P235" s="43">
        <v>1</v>
      </c>
      <c r="Q235" s="39"/>
      <c r="S235" s="1">
        <f t="shared" si="171"/>
        <v>0</v>
      </c>
      <c r="T235" s="1">
        <f t="shared" si="172"/>
        <v>0</v>
      </c>
      <c r="U235" s="1">
        <f t="shared" si="173"/>
        <v>0</v>
      </c>
      <c r="V235" s="1">
        <f t="shared" si="174"/>
        <v>0</v>
      </c>
      <c r="W235" s="1">
        <f t="shared" si="175"/>
        <v>0</v>
      </c>
      <c r="X235" s="1">
        <f t="shared" si="176"/>
        <v>0</v>
      </c>
      <c r="Y235" s="1">
        <f t="shared" si="177"/>
        <v>0</v>
      </c>
      <c r="Z235" s="1">
        <f t="shared" si="178"/>
        <v>0</v>
      </c>
      <c r="AA235" s="1">
        <f t="shared" si="179"/>
        <v>0</v>
      </c>
      <c r="AB235" s="1">
        <f t="shared" si="180"/>
        <v>0</v>
      </c>
      <c r="AD235" s="1">
        <f t="shared" si="181"/>
        <v>0</v>
      </c>
      <c r="AE235" s="1">
        <f t="shared" si="182"/>
        <v>0</v>
      </c>
      <c r="AF235" s="1">
        <f t="shared" si="167"/>
        <v>0</v>
      </c>
      <c r="AG235" s="1">
        <f t="shared" si="168"/>
        <v>0</v>
      </c>
      <c r="AH235" s="1">
        <f t="shared" si="169"/>
        <v>1</v>
      </c>
      <c r="AI235" s="1">
        <f t="shared" si="170"/>
        <v>0</v>
      </c>
    </row>
    <row r="236" spans="1:16384" ht="14.25" customHeight="1" x14ac:dyDescent="0.3">
      <c r="A236" s="31">
        <v>0</v>
      </c>
      <c r="B236" s="31">
        <v>1</v>
      </c>
      <c r="C236" s="31">
        <v>6</v>
      </c>
      <c r="D236" s="32" t="s">
        <v>1480</v>
      </c>
      <c r="E236" s="32" t="s">
        <v>167</v>
      </c>
      <c r="F236" s="32" t="s">
        <v>1482</v>
      </c>
      <c r="G236" s="32" t="s">
        <v>1483</v>
      </c>
      <c r="H236" s="32" t="s">
        <v>354</v>
      </c>
      <c r="I236" s="31" t="s">
        <v>1481</v>
      </c>
      <c r="J236" s="31">
        <v>99</v>
      </c>
      <c r="K236" s="33" t="s">
        <v>703</v>
      </c>
      <c r="L236" s="33">
        <v>62</v>
      </c>
      <c r="M236" s="34"/>
      <c r="N236" s="34" t="s">
        <v>1749</v>
      </c>
      <c r="O236" s="35">
        <v>1</v>
      </c>
      <c r="P236" s="35"/>
      <c r="Q236" s="32"/>
      <c r="S236" s="1">
        <f t="shared" si="171"/>
        <v>0</v>
      </c>
      <c r="T236" s="1">
        <f t="shared" si="172"/>
        <v>0</v>
      </c>
      <c r="U236" s="1">
        <f t="shared" si="173"/>
        <v>0</v>
      </c>
      <c r="V236" s="1">
        <f t="shared" si="174"/>
        <v>0</v>
      </c>
      <c r="W236" s="1">
        <f t="shared" si="175"/>
        <v>0</v>
      </c>
      <c r="X236" s="1">
        <f t="shared" si="176"/>
        <v>0</v>
      </c>
      <c r="Y236" s="1">
        <f t="shared" si="177"/>
        <v>0</v>
      </c>
      <c r="Z236" s="1">
        <f t="shared" si="178"/>
        <v>0</v>
      </c>
      <c r="AA236" s="1">
        <f t="shared" si="179"/>
        <v>0</v>
      </c>
      <c r="AB236" s="1">
        <f t="shared" si="180"/>
        <v>0</v>
      </c>
      <c r="AD236" s="1">
        <f t="shared" si="181"/>
        <v>0</v>
      </c>
      <c r="AE236" s="1">
        <f t="shared" si="182"/>
        <v>1</v>
      </c>
      <c r="AF236" s="1">
        <f t="shared" si="167"/>
        <v>0</v>
      </c>
      <c r="AG236" s="1">
        <f t="shared" si="168"/>
        <v>1</v>
      </c>
      <c r="AH236" s="1">
        <f t="shared" si="169"/>
        <v>0</v>
      </c>
      <c r="AI236" s="1">
        <f t="shared" si="170"/>
        <v>1</v>
      </c>
    </row>
    <row r="237" spans="1:16384" ht="14.25" customHeight="1" x14ac:dyDescent="0.3">
      <c r="A237" s="31">
        <v>0</v>
      </c>
      <c r="B237" s="31">
        <v>1</v>
      </c>
      <c r="C237" s="31">
        <v>6</v>
      </c>
      <c r="D237" s="32" t="s">
        <v>1196</v>
      </c>
      <c r="E237" s="32" t="s">
        <v>165</v>
      </c>
      <c r="F237" s="32" t="s">
        <v>1670</v>
      </c>
      <c r="G237" s="32" t="s">
        <v>213</v>
      </c>
      <c r="H237" s="32" t="s">
        <v>354</v>
      </c>
      <c r="I237" s="31" t="s">
        <v>1197</v>
      </c>
      <c r="J237" s="31">
        <v>1</v>
      </c>
      <c r="K237" s="33" t="s">
        <v>962</v>
      </c>
      <c r="L237" s="33" t="s">
        <v>687</v>
      </c>
      <c r="M237" s="34" t="s">
        <v>1572</v>
      </c>
      <c r="N237" s="34" t="s">
        <v>1755</v>
      </c>
      <c r="O237" s="35">
        <v>1</v>
      </c>
      <c r="P237" s="35"/>
      <c r="Q237" s="32"/>
      <c r="S237" s="1">
        <f t="shared" si="171"/>
        <v>1</v>
      </c>
      <c r="T237" s="1">
        <f t="shared" si="172"/>
        <v>0</v>
      </c>
      <c r="U237" s="1">
        <f t="shared" si="173"/>
        <v>0</v>
      </c>
      <c r="V237" s="1">
        <f t="shared" si="174"/>
        <v>0</v>
      </c>
      <c r="W237" s="1">
        <f t="shared" si="175"/>
        <v>0</v>
      </c>
      <c r="X237" s="1">
        <f t="shared" si="176"/>
        <v>0</v>
      </c>
      <c r="Y237" s="1">
        <f t="shared" si="177"/>
        <v>0</v>
      </c>
      <c r="Z237" s="1">
        <f t="shared" si="178"/>
        <v>0</v>
      </c>
      <c r="AA237" s="1">
        <f t="shared" si="179"/>
        <v>0</v>
      </c>
      <c r="AB237" s="1">
        <f t="shared" si="180"/>
        <v>0</v>
      </c>
      <c r="AD237" s="1">
        <f t="shared" si="181"/>
        <v>0</v>
      </c>
      <c r="AE237" s="1">
        <f t="shared" si="182"/>
        <v>1</v>
      </c>
      <c r="AF237" s="1">
        <f t="shared" si="167"/>
        <v>0</v>
      </c>
      <c r="AG237" s="1">
        <f t="shared" si="168"/>
        <v>1</v>
      </c>
      <c r="AH237" s="1">
        <f t="shared" si="169"/>
        <v>0</v>
      </c>
      <c r="AI237" s="1">
        <f t="shared" si="170"/>
        <v>1</v>
      </c>
    </row>
    <row r="238" spans="1:16384" ht="14.25" customHeight="1" x14ac:dyDescent="0.3">
      <c r="A238" s="44">
        <v>0</v>
      </c>
      <c r="B238" s="44">
        <v>1</v>
      </c>
      <c r="C238" s="44">
        <v>6</v>
      </c>
      <c r="D238" s="45" t="s">
        <v>2073</v>
      </c>
      <c r="E238" s="45" t="s">
        <v>2074</v>
      </c>
      <c r="F238" s="45" t="s">
        <v>2075</v>
      </c>
      <c r="G238" s="45" t="s">
        <v>208</v>
      </c>
      <c r="H238" s="45" t="s">
        <v>354</v>
      </c>
      <c r="I238" s="44" t="s">
        <v>2076</v>
      </c>
      <c r="J238" s="44">
        <v>3</v>
      </c>
      <c r="K238" s="46" t="s">
        <v>703</v>
      </c>
      <c r="L238" s="46">
        <v>30</v>
      </c>
      <c r="M238" s="47" t="s">
        <v>2077</v>
      </c>
      <c r="N238" s="47" t="s">
        <v>1809</v>
      </c>
      <c r="O238" s="48"/>
      <c r="P238" s="48"/>
      <c r="Q238" s="45"/>
      <c r="S238" s="1">
        <f t="shared" si="171"/>
        <v>0</v>
      </c>
      <c r="T238" s="1">
        <f t="shared" si="172"/>
        <v>0</v>
      </c>
      <c r="U238" s="1">
        <f t="shared" si="173"/>
        <v>1</v>
      </c>
      <c r="V238" s="1">
        <f t="shared" si="174"/>
        <v>0</v>
      </c>
      <c r="W238" s="1">
        <f t="shared" si="175"/>
        <v>0</v>
      </c>
      <c r="X238" s="1">
        <f t="shared" si="176"/>
        <v>0</v>
      </c>
      <c r="Y238" s="1">
        <f t="shared" si="177"/>
        <v>0</v>
      </c>
      <c r="Z238" s="1">
        <f t="shared" si="178"/>
        <v>0</v>
      </c>
      <c r="AA238" s="1">
        <f t="shared" si="179"/>
        <v>0</v>
      </c>
      <c r="AB238" s="1">
        <f t="shared" si="180"/>
        <v>0</v>
      </c>
      <c r="AD238" s="1">
        <f t="shared" ref="AD238:AD241" si="183">+O238*P238</f>
        <v>0</v>
      </c>
      <c r="AE238" s="1">
        <f t="shared" ref="AE238:AE241" si="184">O238*(1-P238)</f>
        <v>0</v>
      </c>
      <c r="AF238" s="1">
        <f t="shared" ref="AF238:AF241" si="185">+O238*P238*(1-A238)</f>
        <v>0</v>
      </c>
      <c r="AG238" s="1">
        <f t="shared" ref="AG238:AG241" si="186">O238*(1-P238)*(1-A238)</f>
        <v>0</v>
      </c>
      <c r="AH238" s="1">
        <f t="shared" ref="AH238:AH241" si="187">+P238*(1-A238)</f>
        <v>0</v>
      </c>
      <c r="AI238" s="1">
        <f t="shared" ref="AI238:AI241" si="188">+(1-A238)*(1-P238)</f>
        <v>1</v>
      </c>
    </row>
    <row r="239" spans="1:16384" ht="14.25" customHeight="1" x14ac:dyDescent="0.3">
      <c r="A239" s="31">
        <v>0</v>
      </c>
      <c r="B239" s="31">
        <v>1</v>
      </c>
      <c r="C239" s="31">
        <v>6</v>
      </c>
      <c r="D239" s="32" t="s">
        <v>98</v>
      </c>
      <c r="E239" s="32" t="s">
        <v>167</v>
      </c>
      <c r="F239" s="32" t="s">
        <v>296</v>
      </c>
      <c r="G239" s="32" t="s">
        <v>285</v>
      </c>
      <c r="H239" s="32" t="s">
        <v>354</v>
      </c>
      <c r="I239" s="31" t="s">
        <v>1118</v>
      </c>
      <c r="J239" s="31">
        <v>10</v>
      </c>
      <c r="K239" s="33" t="s">
        <v>956</v>
      </c>
      <c r="L239" s="33" t="s">
        <v>694</v>
      </c>
      <c r="M239" s="34" t="s">
        <v>705</v>
      </c>
      <c r="N239" s="34" t="s">
        <v>1749</v>
      </c>
      <c r="O239" s="35">
        <v>1</v>
      </c>
      <c r="P239" s="35"/>
      <c r="Q239" s="32"/>
      <c r="S239" s="1">
        <f t="shared" si="171"/>
        <v>0</v>
      </c>
      <c r="T239" s="1">
        <f t="shared" si="172"/>
        <v>0</v>
      </c>
      <c r="U239" s="1">
        <f t="shared" si="173"/>
        <v>0</v>
      </c>
      <c r="V239" s="1">
        <f t="shared" si="174"/>
        <v>0</v>
      </c>
      <c r="W239" s="1">
        <f t="shared" si="175"/>
        <v>0</v>
      </c>
      <c r="X239" s="1">
        <f t="shared" si="176"/>
        <v>0</v>
      </c>
      <c r="Y239" s="1">
        <f t="shared" si="177"/>
        <v>0</v>
      </c>
      <c r="Z239" s="1">
        <f t="shared" si="178"/>
        <v>0</v>
      </c>
      <c r="AA239" s="1">
        <f t="shared" si="179"/>
        <v>0</v>
      </c>
      <c r="AB239" s="1">
        <f t="shared" si="180"/>
        <v>1</v>
      </c>
      <c r="AD239" s="1">
        <f t="shared" si="183"/>
        <v>0</v>
      </c>
      <c r="AE239" s="1">
        <f t="shared" si="184"/>
        <v>1</v>
      </c>
      <c r="AF239" s="1">
        <f t="shared" si="185"/>
        <v>0</v>
      </c>
      <c r="AG239" s="1">
        <f t="shared" si="186"/>
        <v>1</v>
      </c>
      <c r="AH239" s="1">
        <f t="shared" si="187"/>
        <v>0</v>
      </c>
      <c r="AI239" s="1">
        <f t="shared" si="188"/>
        <v>1</v>
      </c>
    </row>
    <row r="240" spans="1:16384" ht="14.25" customHeight="1" x14ac:dyDescent="0.3">
      <c r="A240" s="31">
        <v>0</v>
      </c>
      <c r="B240" s="31">
        <v>1</v>
      </c>
      <c r="C240" s="31">
        <v>6</v>
      </c>
      <c r="D240" s="32" t="s">
        <v>603</v>
      </c>
      <c r="E240" s="32" t="s">
        <v>165</v>
      </c>
      <c r="F240" s="32" t="s">
        <v>605</v>
      </c>
      <c r="G240" s="32" t="s">
        <v>39</v>
      </c>
      <c r="H240" s="32" t="s">
        <v>354</v>
      </c>
      <c r="I240" s="31" t="s">
        <v>604</v>
      </c>
      <c r="J240" s="31">
        <v>99</v>
      </c>
      <c r="K240" s="33" t="s">
        <v>956</v>
      </c>
      <c r="L240" s="33" t="s">
        <v>693</v>
      </c>
      <c r="M240" s="34" t="s">
        <v>970</v>
      </c>
      <c r="N240" s="34" t="s">
        <v>1749</v>
      </c>
      <c r="O240" s="35">
        <v>1</v>
      </c>
      <c r="P240" s="35"/>
      <c r="Q240" s="32"/>
      <c r="S240" s="1">
        <f t="shared" si="171"/>
        <v>0</v>
      </c>
      <c r="T240" s="1">
        <f t="shared" si="172"/>
        <v>0</v>
      </c>
      <c r="U240" s="1">
        <f t="shared" si="173"/>
        <v>0</v>
      </c>
      <c r="V240" s="1">
        <f t="shared" si="174"/>
        <v>0</v>
      </c>
      <c r="W240" s="1">
        <f t="shared" si="175"/>
        <v>0</v>
      </c>
      <c r="X240" s="1">
        <f t="shared" si="176"/>
        <v>0</v>
      </c>
      <c r="Y240" s="1">
        <f t="shared" si="177"/>
        <v>0</v>
      </c>
      <c r="Z240" s="1">
        <f t="shared" si="178"/>
        <v>0</v>
      </c>
      <c r="AA240" s="1">
        <f t="shared" si="179"/>
        <v>0</v>
      </c>
      <c r="AB240" s="1">
        <f t="shared" si="180"/>
        <v>0</v>
      </c>
      <c r="AD240" s="1">
        <f t="shared" si="183"/>
        <v>0</v>
      </c>
      <c r="AE240" s="1">
        <f t="shared" si="184"/>
        <v>1</v>
      </c>
      <c r="AF240" s="1">
        <f t="shared" si="185"/>
        <v>0</v>
      </c>
      <c r="AG240" s="1">
        <f t="shared" si="186"/>
        <v>1</v>
      </c>
      <c r="AH240" s="1">
        <f t="shared" si="187"/>
        <v>0</v>
      </c>
      <c r="AI240" s="1">
        <f t="shared" si="188"/>
        <v>1</v>
      </c>
    </row>
    <row r="241" spans="1:35" ht="14.25" customHeight="1" x14ac:dyDescent="0.3">
      <c r="A241" s="31">
        <v>0</v>
      </c>
      <c r="B241" s="31">
        <v>1</v>
      </c>
      <c r="C241" s="31">
        <v>6</v>
      </c>
      <c r="D241" s="32" t="s">
        <v>1162</v>
      </c>
      <c r="E241" s="32" t="s">
        <v>165</v>
      </c>
      <c r="F241" s="32" t="s">
        <v>1164</v>
      </c>
      <c r="G241" s="32" t="s">
        <v>220</v>
      </c>
      <c r="H241" s="32" t="s">
        <v>354</v>
      </c>
      <c r="I241" s="31" t="s">
        <v>1163</v>
      </c>
      <c r="J241" s="31">
        <v>8</v>
      </c>
      <c r="K241" s="33" t="s">
        <v>702</v>
      </c>
      <c r="L241" s="33" t="s">
        <v>1713</v>
      </c>
      <c r="M241" s="34" t="s">
        <v>1403</v>
      </c>
      <c r="N241" s="34" t="s">
        <v>1748</v>
      </c>
      <c r="O241" s="35">
        <v>1</v>
      </c>
      <c r="P241" s="35"/>
      <c r="Q241" s="32"/>
      <c r="S241" s="1">
        <f t="shared" si="171"/>
        <v>0</v>
      </c>
      <c r="T241" s="1">
        <f t="shared" si="172"/>
        <v>0</v>
      </c>
      <c r="U241" s="1">
        <f t="shared" si="173"/>
        <v>0</v>
      </c>
      <c r="V241" s="1">
        <f t="shared" si="174"/>
        <v>0</v>
      </c>
      <c r="W241" s="1">
        <f t="shared" si="175"/>
        <v>0</v>
      </c>
      <c r="X241" s="1">
        <f t="shared" si="176"/>
        <v>0</v>
      </c>
      <c r="Y241" s="1">
        <f t="shared" si="177"/>
        <v>0</v>
      </c>
      <c r="Z241" s="1">
        <f t="shared" si="178"/>
        <v>1</v>
      </c>
      <c r="AA241" s="1">
        <f t="shared" si="179"/>
        <v>0</v>
      </c>
      <c r="AB241" s="1">
        <f t="shared" si="180"/>
        <v>0</v>
      </c>
      <c r="AD241" s="1">
        <f t="shared" si="183"/>
        <v>0</v>
      </c>
      <c r="AE241" s="1">
        <f t="shared" si="184"/>
        <v>1</v>
      </c>
      <c r="AF241" s="1">
        <f t="shared" si="185"/>
        <v>0</v>
      </c>
      <c r="AG241" s="1">
        <f t="shared" si="186"/>
        <v>1</v>
      </c>
      <c r="AH241" s="1">
        <f t="shared" si="187"/>
        <v>0</v>
      </c>
      <c r="AI241" s="1">
        <f t="shared" si="188"/>
        <v>1</v>
      </c>
    </row>
    <row r="242" spans="1:35" ht="14.25" customHeight="1" x14ac:dyDescent="0.3">
      <c r="A242" s="31">
        <v>0</v>
      </c>
      <c r="B242" s="31">
        <v>1</v>
      </c>
      <c r="C242" s="31">
        <v>6</v>
      </c>
      <c r="D242" s="32" t="s">
        <v>564</v>
      </c>
      <c r="E242" s="32" t="s">
        <v>167</v>
      </c>
      <c r="F242" s="32" t="s">
        <v>661</v>
      </c>
      <c r="G242" s="32" t="s">
        <v>202</v>
      </c>
      <c r="H242" s="32" t="s">
        <v>354</v>
      </c>
      <c r="I242" s="31" t="s">
        <v>583</v>
      </c>
      <c r="J242" s="31">
        <v>10</v>
      </c>
      <c r="K242" s="33" t="s">
        <v>962</v>
      </c>
      <c r="L242" s="33" t="s">
        <v>693</v>
      </c>
      <c r="M242" s="34" t="s">
        <v>705</v>
      </c>
      <c r="N242" s="34" t="s">
        <v>1748</v>
      </c>
      <c r="O242" s="35">
        <v>1</v>
      </c>
      <c r="P242" s="35"/>
      <c r="Q242" s="36"/>
      <c r="S242" s="1">
        <f t="shared" si="171"/>
        <v>0</v>
      </c>
      <c r="T242" s="1">
        <f t="shared" si="172"/>
        <v>0</v>
      </c>
      <c r="U242" s="1">
        <f t="shared" si="173"/>
        <v>0</v>
      </c>
      <c r="V242" s="1">
        <f t="shared" si="174"/>
        <v>0</v>
      </c>
      <c r="W242" s="1">
        <f t="shared" si="175"/>
        <v>0</v>
      </c>
      <c r="X242" s="1">
        <f t="shared" si="176"/>
        <v>0</v>
      </c>
      <c r="Y242" s="1">
        <f t="shared" si="177"/>
        <v>0</v>
      </c>
      <c r="Z242" s="1">
        <f t="shared" si="178"/>
        <v>0</v>
      </c>
      <c r="AA242" s="1">
        <f t="shared" si="179"/>
        <v>0</v>
      </c>
      <c r="AB242" s="1">
        <f t="shared" si="180"/>
        <v>1</v>
      </c>
      <c r="AD242" s="1">
        <f t="shared" si="181"/>
        <v>0</v>
      </c>
      <c r="AE242" s="1">
        <f t="shared" si="182"/>
        <v>1</v>
      </c>
      <c r="AF242" s="1">
        <f t="shared" si="167"/>
        <v>0</v>
      </c>
      <c r="AG242" s="1">
        <f t="shared" si="168"/>
        <v>1</v>
      </c>
      <c r="AH242" s="1">
        <f t="shared" si="169"/>
        <v>0</v>
      </c>
      <c r="AI242" s="1">
        <f t="shared" si="170"/>
        <v>1</v>
      </c>
    </row>
    <row r="243" spans="1:35" ht="14.25" customHeight="1" x14ac:dyDescent="0.3">
      <c r="A243" s="44">
        <v>0</v>
      </c>
      <c r="B243" s="44">
        <v>1</v>
      </c>
      <c r="C243" s="44">
        <v>6</v>
      </c>
      <c r="D243" s="45" t="s">
        <v>897</v>
      </c>
      <c r="E243" s="45" t="s">
        <v>167</v>
      </c>
      <c r="F243" s="45" t="s">
        <v>938</v>
      </c>
      <c r="G243" s="45" t="s">
        <v>939</v>
      </c>
      <c r="H243" s="45" t="s">
        <v>354</v>
      </c>
      <c r="I243" s="44" t="s">
        <v>953</v>
      </c>
      <c r="J243" s="44">
        <v>99</v>
      </c>
      <c r="K243" s="46" t="s">
        <v>702</v>
      </c>
      <c r="L243" s="46" t="s">
        <v>689</v>
      </c>
      <c r="M243" s="47" t="s">
        <v>1404</v>
      </c>
      <c r="N243" s="47" t="s">
        <v>1738</v>
      </c>
      <c r="O243" s="48"/>
      <c r="P243" s="48"/>
      <c r="Q243" s="45"/>
      <c r="S243" s="1">
        <f t="shared" si="171"/>
        <v>0</v>
      </c>
      <c r="T243" s="1">
        <f t="shared" si="172"/>
        <v>0</v>
      </c>
      <c r="U243" s="1">
        <f t="shared" si="173"/>
        <v>0</v>
      </c>
      <c r="V243" s="1">
        <f t="shared" si="174"/>
        <v>0</v>
      </c>
      <c r="W243" s="1">
        <f t="shared" si="175"/>
        <v>0</v>
      </c>
      <c r="X243" s="1">
        <f t="shared" si="176"/>
        <v>0</v>
      </c>
      <c r="Y243" s="1">
        <f t="shared" si="177"/>
        <v>0</v>
      </c>
      <c r="Z243" s="1">
        <f t="shared" si="178"/>
        <v>0</v>
      </c>
      <c r="AA243" s="1">
        <f t="shared" si="179"/>
        <v>0</v>
      </c>
      <c r="AB243" s="1">
        <f t="shared" si="180"/>
        <v>0</v>
      </c>
      <c r="AD243" s="1">
        <f t="shared" si="181"/>
        <v>0</v>
      </c>
      <c r="AE243" s="1">
        <f t="shared" si="182"/>
        <v>0</v>
      </c>
      <c r="AF243" s="1">
        <f t="shared" si="167"/>
        <v>0</v>
      </c>
      <c r="AG243" s="1">
        <f t="shared" si="168"/>
        <v>0</v>
      </c>
      <c r="AH243" s="1">
        <f t="shared" si="169"/>
        <v>0</v>
      </c>
      <c r="AI243" s="1">
        <f t="shared" si="170"/>
        <v>1</v>
      </c>
    </row>
    <row r="244" spans="1:35" ht="14.25" customHeight="1" x14ac:dyDescent="0.3">
      <c r="A244" s="31">
        <v>0</v>
      </c>
      <c r="B244" s="31">
        <v>1</v>
      </c>
      <c r="C244" s="31">
        <v>6</v>
      </c>
      <c r="D244" s="32" t="s">
        <v>100</v>
      </c>
      <c r="E244" s="32" t="s">
        <v>167</v>
      </c>
      <c r="F244" s="32" t="s">
        <v>662</v>
      </c>
      <c r="G244" s="32" t="s">
        <v>664</v>
      </c>
      <c r="H244" s="32" t="s">
        <v>354</v>
      </c>
      <c r="I244" s="31" t="s">
        <v>447</v>
      </c>
      <c r="J244" s="31">
        <v>99</v>
      </c>
      <c r="K244" s="33" t="s">
        <v>722</v>
      </c>
      <c r="L244" s="33" t="s">
        <v>696</v>
      </c>
      <c r="M244" s="34" t="s">
        <v>707</v>
      </c>
      <c r="N244" s="34" t="s">
        <v>1749</v>
      </c>
      <c r="O244" s="35">
        <v>1</v>
      </c>
      <c r="P244" s="35"/>
      <c r="Q244" s="32"/>
      <c r="S244" s="1">
        <f t="shared" si="171"/>
        <v>0</v>
      </c>
      <c r="T244" s="1">
        <f t="shared" si="172"/>
        <v>0</v>
      </c>
      <c r="U244" s="1">
        <f t="shared" si="173"/>
        <v>0</v>
      </c>
      <c r="V244" s="1">
        <f t="shared" si="174"/>
        <v>0</v>
      </c>
      <c r="W244" s="1">
        <f t="shared" si="175"/>
        <v>0</v>
      </c>
      <c r="X244" s="1">
        <f t="shared" si="176"/>
        <v>0</v>
      </c>
      <c r="Y244" s="1">
        <f t="shared" si="177"/>
        <v>0</v>
      </c>
      <c r="Z244" s="1">
        <f t="shared" si="178"/>
        <v>0</v>
      </c>
      <c r="AA244" s="1">
        <f t="shared" si="179"/>
        <v>0</v>
      </c>
      <c r="AB244" s="1">
        <f t="shared" si="180"/>
        <v>0</v>
      </c>
      <c r="AD244" s="1">
        <f t="shared" si="181"/>
        <v>0</v>
      </c>
      <c r="AE244" s="1">
        <f t="shared" si="182"/>
        <v>1</v>
      </c>
      <c r="AF244" s="1">
        <f t="shared" si="167"/>
        <v>0</v>
      </c>
      <c r="AG244" s="1">
        <f t="shared" si="168"/>
        <v>1</v>
      </c>
      <c r="AH244" s="1">
        <f t="shared" si="169"/>
        <v>0</v>
      </c>
      <c r="AI244" s="1">
        <f t="shared" si="170"/>
        <v>1</v>
      </c>
    </row>
    <row r="245" spans="1:35" ht="14.25" customHeight="1" x14ac:dyDescent="0.3">
      <c r="A245" s="38">
        <v>0</v>
      </c>
      <c r="B245" s="38">
        <v>1</v>
      </c>
      <c r="C245" s="38">
        <v>7</v>
      </c>
      <c r="D245" s="39" t="s">
        <v>86</v>
      </c>
      <c r="E245" s="39" t="s">
        <v>29</v>
      </c>
      <c r="F245" s="39" t="s">
        <v>663</v>
      </c>
      <c r="G245" s="39" t="s">
        <v>664</v>
      </c>
      <c r="H245" s="39" t="s">
        <v>354</v>
      </c>
      <c r="I245" s="38" t="s">
        <v>631</v>
      </c>
      <c r="J245" s="38">
        <v>99</v>
      </c>
      <c r="K245" s="40" t="s">
        <v>954</v>
      </c>
      <c r="L245" s="40" t="s">
        <v>693</v>
      </c>
      <c r="M245" s="41" t="s">
        <v>1405</v>
      </c>
      <c r="N245" s="42"/>
      <c r="O245" s="43"/>
      <c r="P245" s="43">
        <v>1</v>
      </c>
      <c r="Q245" s="39"/>
      <c r="S245" s="1">
        <f t="shared" si="171"/>
        <v>0</v>
      </c>
      <c r="T245" s="1">
        <f t="shared" si="172"/>
        <v>0</v>
      </c>
      <c r="U245" s="1">
        <f t="shared" si="173"/>
        <v>0</v>
      </c>
      <c r="V245" s="1">
        <f t="shared" si="174"/>
        <v>0</v>
      </c>
      <c r="W245" s="1">
        <f t="shared" si="175"/>
        <v>0</v>
      </c>
      <c r="X245" s="1">
        <f t="shared" si="176"/>
        <v>0</v>
      </c>
      <c r="Y245" s="1">
        <f t="shared" si="177"/>
        <v>0</v>
      </c>
      <c r="Z245" s="1">
        <f t="shared" si="178"/>
        <v>0</v>
      </c>
      <c r="AA245" s="1">
        <f t="shared" si="179"/>
        <v>0</v>
      </c>
      <c r="AB245" s="1">
        <f t="shared" si="180"/>
        <v>0</v>
      </c>
      <c r="AD245" s="1">
        <f t="shared" si="181"/>
        <v>0</v>
      </c>
      <c r="AE245" s="1">
        <f t="shared" si="182"/>
        <v>0</v>
      </c>
      <c r="AF245" s="1">
        <f t="shared" si="167"/>
        <v>0</v>
      </c>
      <c r="AG245" s="1">
        <f t="shared" si="168"/>
        <v>0</v>
      </c>
      <c r="AH245" s="1">
        <f t="shared" si="169"/>
        <v>1</v>
      </c>
      <c r="AI245" s="1">
        <f t="shared" si="170"/>
        <v>0</v>
      </c>
    </row>
    <row r="246" spans="1:35" ht="14.25" customHeight="1" x14ac:dyDescent="0.3">
      <c r="A246" s="31">
        <v>0</v>
      </c>
      <c r="B246" s="31">
        <v>1</v>
      </c>
      <c r="C246" s="31">
        <v>7</v>
      </c>
      <c r="D246" s="32" t="s">
        <v>650</v>
      </c>
      <c r="E246" s="32" t="s">
        <v>29</v>
      </c>
      <c r="F246" s="32" t="s">
        <v>626</v>
      </c>
      <c r="G246" s="32" t="s">
        <v>232</v>
      </c>
      <c r="H246" s="32" t="s">
        <v>354</v>
      </c>
      <c r="I246" s="31" t="s">
        <v>627</v>
      </c>
      <c r="J246" s="31">
        <v>99</v>
      </c>
      <c r="K246" s="33" t="s">
        <v>713</v>
      </c>
      <c r="L246" s="33" t="s">
        <v>696</v>
      </c>
      <c r="M246" s="34" t="s">
        <v>973</v>
      </c>
      <c r="N246" s="34" t="s">
        <v>1849</v>
      </c>
      <c r="O246" s="35">
        <v>1</v>
      </c>
      <c r="P246" s="35"/>
      <c r="Q246" s="32"/>
      <c r="S246" s="1">
        <f t="shared" si="171"/>
        <v>0</v>
      </c>
      <c r="T246" s="1">
        <f t="shared" si="172"/>
        <v>0</v>
      </c>
      <c r="U246" s="1">
        <f t="shared" si="173"/>
        <v>0</v>
      </c>
      <c r="V246" s="1">
        <f t="shared" si="174"/>
        <v>0</v>
      </c>
      <c r="W246" s="1">
        <f t="shared" si="175"/>
        <v>0</v>
      </c>
      <c r="X246" s="1">
        <f t="shared" si="176"/>
        <v>0</v>
      </c>
      <c r="Y246" s="1">
        <f t="shared" si="177"/>
        <v>0</v>
      </c>
      <c r="Z246" s="1">
        <f t="shared" si="178"/>
        <v>0</v>
      </c>
      <c r="AA246" s="1">
        <f t="shared" si="179"/>
        <v>0</v>
      </c>
      <c r="AB246" s="1">
        <f t="shared" si="180"/>
        <v>0</v>
      </c>
      <c r="AD246" s="1">
        <f t="shared" si="181"/>
        <v>0</v>
      </c>
      <c r="AE246" s="1">
        <f t="shared" si="182"/>
        <v>1</v>
      </c>
      <c r="AF246" s="1">
        <f t="shared" si="167"/>
        <v>0</v>
      </c>
      <c r="AG246" s="1">
        <f t="shared" si="168"/>
        <v>1</v>
      </c>
      <c r="AH246" s="1">
        <f t="shared" si="169"/>
        <v>0</v>
      </c>
      <c r="AI246" s="1">
        <f t="shared" si="170"/>
        <v>1</v>
      </c>
    </row>
    <row r="247" spans="1:35" ht="14.25" customHeight="1" x14ac:dyDescent="0.3">
      <c r="A247" s="15">
        <v>0</v>
      </c>
      <c r="B247" s="15">
        <v>1</v>
      </c>
      <c r="C247" s="15">
        <v>7</v>
      </c>
      <c r="D247" s="16" t="s">
        <v>983</v>
      </c>
      <c r="E247" s="16" t="s">
        <v>29</v>
      </c>
      <c r="F247" s="16" t="s">
        <v>984</v>
      </c>
      <c r="G247" s="16" t="s">
        <v>985</v>
      </c>
      <c r="H247" s="16" t="s">
        <v>354</v>
      </c>
      <c r="I247" s="15" t="s">
        <v>982</v>
      </c>
      <c r="J247" s="15">
        <v>99</v>
      </c>
      <c r="K247" s="10" t="s">
        <v>703</v>
      </c>
      <c r="L247" s="10">
        <v>20</v>
      </c>
      <c r="M247" s="19" t="s">
        <v>973</v>
      </c>
      <c r="N247" s="19"/>
      <c r="Q247" s="16"/>
      <c r="S247" s="1">
        <f t="shared" si="171"/>
        <v>0</v>
      </c>
      <c r="T247" s="1">
        <f t="shared" si="172"/>
        <v>0</v>
      </c>
      <c r="U247" s="1">
        <f t="shared" si="173"/>
        <v>0</v>
      </c>
      <c r="V247" s="1">
        <f t="shared" si="174"/>
        <v>0</v>
      </c>
      <c r="W247" s="1">
        <f t="shared" si="175"/>
        <v>0</v>
      </c>
      <c r="X247" s="1">
        <f t="shared" si="176"/>
        <v>0</v>
      </c>
      <c r="Y247" s="1">
        <f t="shared" si="177"/>
        <v>0</v>
      </c>
      <c r="Z247" s="1">
        <f t="shared" si="178"/>
        <v>0</v>
      </c>
      <c r="AA247" s="1">
        <f t="shared" si="179"/>
        <v>0</v>
      </c>
      <c r="AB247" s="1">
        <f t="shared" si="180"/>
        <v>0</v>
      </c>
      <c r="AD247" s="1">
        <f t="shared" si="181"/>
        <v>0</v>
      </c>
      <c r="AE247" s="1">
        <f t="shared" si="182"/>
        <v>0</v>
      </c>
      <c r="AF247" s="1">
        <f t="shared" si="167"/>
        <v>0</v>
      </c>
      <c r="AG247" s="1">
        <f t="shared" si="168"/>
        <v>0</v>
      </c>
      <c r="AH247" s="1">
        <f t="shared" si="169"/>
        <v>0</v>
      </c>
      <c r="AI247" s="1">
        <f t="shared" si="170"/>
        <v>1</v>
      </c>
    </row>
    <row r="248" spans="1:35" ht="14.25" customHeight="1" x14ac:dyDescent="0.3">
      <c r="A248" s="38">
        <v>0</v>
      </c>
      <c r="B248" s="38">
        <v>1</v>
      </c>
      <c r="C248" s="38">
        <v>7</v>
      </c>
      <c r="D248" s="39" t="s">
        <v>591</v>
      </c>
      <c r="E248" s="39" t="s">
        <v>29</v>
      </c>
      <c r="F248" s="39" t="s">
        <v>592</v>
      </c>
      <c r="G248" s="39" t="s">
        <v>1073</v>
      </c>
      <c r="H248" s="39" t="s">
        <v>354</v>
      </c>
      <c r="I248" s="38" t="s">
        <v>593</v>
      </c>
      <c r="J248" s="38">
        <v>99</v>
      </c>
      <c r="K248" s="40" t="s">
        <v>703</v>
      </c>
      <c r="L248" s="40">
        <v>35</v>
      </c>
      <c r="M248" s="41" t="s">
        <v>1405</v>
      </c>
      <c r="N248" s="41"/>
      <c r="O248" s="43"/>
      <c r="P248" s="43">
        <v>1</v>
      </c>
      <c r="Q248" s="39"/>
      <c r="S248" s="1">
        <f t="shared" si="171"/>
        <v>0</v>
      </c>
      <c r="T248" s="1">
        <f t="shared" si="172"/>
        <v>0</v>
      </c>
      <c r="U248" s="1">
        <f t="shared" si="173"/>
        <v>0</v>
      </c>
      <c r="V248" s="1">
        <f t="shared" si="174"/>
        <v>0</v>
      </c>
      <c r="W248" s="1">
        <f t="shared" si="175"/>
        <v>0</v>
      </c>
      <c r="X248" s="1">
        <f t="shared" si="176"/>
        <v>0</v>
      </c>
      <c r="Y248" s="1">
        <f t="shared" si="177"/>
        <v>0</v>
      </c>
      <c r="Z248" s="1">
        <f t="shared" si="178"/>
        <v>0</v>
      </c>
      <c r="AA248" s="1">
        <f t="shared" si="179"/>
        <v>0</v>
      </c>
      <c r="AB248" s="1">
        <f t="shared" si="180"/>
        <v>0</v>
      </c>
      <c r="AD248" s="1">
        <f t="shared" si="181"/>
        <v>0</v>
      </c>
      <c r="AE248" s="1">
        <f t="shared" si="182"/>
        <v>0</v>
      </c>
      <c r="AF248" s="1">
        <f t="shared" si="167"/>
        <v>0</v>
      </c>
      <c r="AG248" s="1">
        <f t="shared" si="168"/>
        <v>0</v>
      </c>
      <c r="AH248" s="1">
        <f t="shared" si="169"/>
        <v>1</v>
      </c>
      <c r="AI248" s="1">
        <f t="shared" si="170"/>
        <v>0</v>
      </c>
    </row>
    <row r="249" spans="1:35" ht="14.25" customHeight="1" x14ac:dyDescent="0.3">
      <c r="A249" s="31">
        <v>0</v>
      </c>
      <c r="B249" s="31">
        <v>1</v>
      </c>
      <c r="C249" s="31">
        <v>7</v>
      </c>
      <c r="D249" s="32" t="s">
        <v>1627</v>
      </c>
      <c r="E249" s="32" t="s">
        <v>29</v>
      </c>
      <c r="F249" s="32" t="s">
        <v>1682</v>
      </c>
      <c r="G249" s="32" t="s">
        <v>312</v>
      </c>
      <c r="H249" s="32" t="s">
        <v>354</v>
      </c>
      <c r="I249" s="31" t="s">
        <v>1628</v>
      </c>
      <c r="J249" s="31"/>
      <c r="K249" s="33" t="s">
        <v>713</v>
      </c>
      <c r="L249" s="33">
        <v>45</v>
      </c>
      <c r="M249" s="34" t="s">
        <v>1800</v>
      </c>
      <c r="N249" s="34" t="s">
        <v>1733</v>
      </c>
      <c r="O249" s="35">
        <v>1</v>
      </c>
      <c r="P249" s="35">
        <v>1</v>
      </c>
      <c r="Q249" s="32"/>
      <c r="S249" s="1">
        <f t="shared" si="171"/>
        <v>0</v>
      </c>
      <c r="T249" s="1">
        <f t="shared" si="172"/>
        <v>0</v>
      </c>
      <c r="U249" s="1">
        <f t="shared" si="173"/>
        <v>0</v>
      </c>
      <c r="V249" s="1">
        <f t="shared" si="174"/>
        <v>0</v>
      </c>
      <c r="W249" s="1">
        <f t="shared" si="175"/>
        <v>0</v>
      </c>
      <c r="X249" s="1">
        <f t="shared" si="176"/>
        <v>0</v>
      </c>
      <c r="Y249" s="1">
        <f t="shared" si="177"/>
        <v>0</v>
      </c>
      <c r="Z249" s="1">
        <f t="shared" si="178"/>
        <v>0</v>
      </c>
      <c r="AA249" s="1">
        <f t="shared" si="179"/>
        <v>0</v>
      </c>
      <c r="AB249" s="1">
        <f t="shared" si="180"/>
        <v>0</v>
      </c>
      <c r="AD249" s="1">
        <f t="shared" si="181"/>
        <v>1</v>
      </c>
      <c r="AE249" s="1">
        <f t="shared" si="182"/>
        <v>0</v>
      </c>
      <c r="AF249" s="1">
        <f t="shared" si="167"/>
        <v>1</v>
      </c>
      <c r="AG249" s="1">
        <f t="shared" si="168"/>
        <v>0</v>
      </c>
      <c r="AH249" s="1">
        <f t="shared" si="169"/>
        <v>1</v>
      </c>
      <c r="AI249" s="1">
        <f t="shared" si="170"/>
        <v>0</v>
      </c>
    </row>
    <row r="250" spans="1:35" ht="14.25" customHeight="1" x14ac:dyDescent="0.3">
      <c r="A250" s="31">
        <v>0</v>
      </c>
      <c r="B250" s="31">
        <v>1</v>
      </c>
      <c r="C250" s="31">
        <v>7</v>
      </c>
      <c r="D250" s="32" t="s">
        <v>859</v>
      </c>
      <c r="E250" s="32" t="s">
        <v>29</v>
      </c>
      <c r="F250" s="32" t="s">
        <v>860</v>
      </c>
      <c r="G250" s="32" t="s">
        <v>202</v>
      </c>
      <c r="H250" s="32" t="s">
        <v>354</v>
      </c>
      <c r="I250" s="31" t="s">
        <v>861</v>
      </c>
      <c r="J250" s="31">
        <v>10</v>
      </c>
      <c r="K250" s="33" t="s">
        <v>713</v>
      </c>
      <c r="L250" s="33" t="s">
        <v>693</v>
      </c>
      <c r="M250" s="34" t="s">
        <v>1405</v>
      </c>
      <c r="N250" s="34" t="s">
        <v>1755</v>
      </c>
      <c r="O250" s="35">
        <v>1</v>
      </c>
      <c r="P250" s="35"/>
      <c r="Q250" s="32"/>
      <c r="S250" s="1">
        <f t="shared" si="171"/>
        <v>0</v>
      </c>
      <c r="T250" s="1">
        <f t="shared" si="172"/>
        <v>0</v>
      </c>
      <c r="U250" s="1">
        <f t="shared" si="173"/>
        <v>0</v>
      </c>
      <c r="V250" s="1">
        <f t="shared" si="174"/>
        <v>0</v>
      </c>
      <c r="W250" s="1">
        <f t="shared" si="175"/>
        <v>0</v>
      </c>
      <c r="X250" s="1">
        <f t="shared" si="176"/>
        <v>0</v>
      </c>
      <c r="Y250" s="1">
        <f t="shared" si="177"/>
        <v>0</v>
      </c>
      <c r="Z250" s="1">
        <f t="shared" si="178"/>
        <v>0</v>
      </c>
      <c r="AA250" s="1">
        <f t="shared" si="179"/>
        <v>0</v>
      </c>
      <c r="AB250" s="1">
        <f t="shared" si="180"/>
        <v>1</v>
      </c>
      <c r="AD250" s="1">
        <f t="shared" si="181"/>
        <v>0</v>
      </c>
      <c r="AE250" s="1">
        <f t="shared" si="182"/>
        <v>1</v>
      </c>
      <c r="AF250" s="1">
        <f t="shared" si="167"/>
        <v>0</v>
      </c>
      <c r="AG250" s="1">
        <f t="shared" si="168"/>
        <v>1</v>
      </c>
      <c r="AH250" s="1">
        <f t="shared" si="169"/>
        <v>0</v>
      </c>
      <c r="AI250" s="1">
        <f t="shared" si="170"/>
        <v>1</v>
      </c>
    </row>
    <row r="251" spans="1:35" ht="14.25" customHeight="1" x14ac:dyDescent="0.3">
      <c r="A251" s="31">
        <v>0</v>
      </c>
      <c r="B251" s="31">
        <v>1</v>
      </c>
      <c r="C251" s="31">
        <v>7</v>
      </c>
      <c r="D251" s="32" t="s">
        <v>40</v>
      </c>
      <c r="E251" s="32" t="s">
        <v>29</v>
      </c>
      <c r="F251" s="32" t="s">
        <v>280</v>
      </c>
      <c r="G251" s="32" t="s">
        <v>230</v>
      </c>
      <c r="H251" s="32" t="s">
        <v>354</v>
      </c>
      <c r="I251" s="31" t="s">
        <v>435</v>
      </c>
      <c r="J251" s="31">
        <v>7</v>
      </c>
      <c r="K251" s="33" t="s">
        <v>713</v>
      </c>
      <c r="L251" s="33" t="s">
        <v>696</v>
      </c>
      <c r="M251" s="34" t="s">
        <v>973</v>
      </c>
      <c r="N251" s="34" t="s">
        <v>1727</v>
      </c>
      <c r="O251" s="35">
        <v>1</v>
      </c>
      <c r="P251" s="35">
        <v>1</v>
      </c>
      <c r="Q251" s="32"/>
      <c r="S251" s="1">
        <f t="shared" si="171"/>
        <v>0</v>
      </c>
      <c r="T251" s="1">
        <f t="shared" si="172"/>
        <v>0</v>
      </c>
      <c r="U251" s="1">
        <f t="shared" si="173"/>
        <v>0</v>
      </c>
      <c r="V251" s="1">
        <f t="shared" si="174"/>
        <v>0</v>
      </c>
      <c r="W251" s="1">
        <f t="shared" si="175"/>
        <v>0</v>
      </c>
      <c r="X251" s="1">
        <f t="shared" si="176"/>
        <v>0</v>
      </c>
      <c r="Y251" s="1">
        <f t="shared" si="177"/>
        <v>1</v>
      </c>
      <c r="Z251" s="1">
        <f t="shared" si="178"/>
        <v>0</v>
      </c>
      <c r="AA251" s="1">
        <f t="shared" si="179"/>
        <v>0</v>
      </c>
      <c r="AB251" s="1">
        <f t="shared" si="180"/>
        <v>0</v>
      </c>
      <c r="AD251" s="1">
        <f t="shared" si="181"/>
        <v>1</v>
      </c>
      <c r="AE251" s="1">
        <f t="shared" si="182"/>
        <v>0</v>
      </c>
      <c r="AF251" s="1">
        <f t="shared" si="167"/>
        <v>1</v>
      </c>
      <c r="AG251" s="1">
        <f t="shared" si="168"/>
        <v>0</v>
      </c>
      <c r="AH251" s="1">
        <f t="shared" si="169"/>
        <v>1</v>
      </c>
      <c r="AI251" s="1">
        <f t="shared" si="170"/>
        <v>0</v>
      </c>
    </row>
    <row r="252" spans="1:35" ht="14.25" customHeight="1" x14ac:dyDescent="0.3">
      <c r="A252" s="31">
        <v>1</v>
      </c>
      <c r="B252" s="31">
        <v>1</v>
      </c>
      <c r="C252" s="31">
        <v>7</v>
      </c>
      <c r="D252" s="32" t="s">
        <v>40</v>
      </c>
      <c r="E252" s="32" t="s">
        <v>29</v>
      </c>
      <c r="F252" s="32" t="s">
        <v>1601</v>
      </c>
      <c r="G252" s="32" t="s">
        <v>39</v>
      </c>
      <c r="H252" s="32" t="s">
        <v>354</v>
      </c>
      <c r="I252" s="31" t="s">
        <v>1602</v>
      </c>
      <c r="J252" s="31">
        <v>99</v>
      </c>
      <c r="K252" s="33" t="s">
        <v>713</v>
      </c>
      <c r="L252" s="33" t="s">
        <v>696</v>
      </c>
      <c r="M252" s="34" t="s">
        <v>973</v>
      </c>
      <c r="N252" s="34" t="s">
        <v>1727</v>
      </c>
      <c r="O252" s="35">
        <v>1</v>
      </c>
      <c r="P252" s="35">
        <v>1</v>
      </c>
      <c r="Q252" s="32"/>
      <c r="S252" s="1">
        <f t="shared" si="171"/>
        <v>0</v>
      </c>
      <c r="T252" s="1">
        <f t="shared" si="172"/>
        <v>0</v>
      </c>
      <c r="U252" s="1">
        <f t="shared" si="173"/>
        <v>0</v>
      </c>
      <c r="V252" s="1">
        <f t="shared" si="174"/>
        <v>0</v>
      </c>
      <c r="W252" s="1">
        <f t="shared" si="175"/>
        <v>0</v>
      </c>
      <c r="X252" s="1">
        <f t="shared" si="176"/>
        <v>0</v>
      </c>
      <c r="Y252" s="1">
        <f t="shared" si="177"/>
        <v>0</v>
      </c>
      <c r="Z252" s="1">
        <f t="shared" si="178"/>
        <v>0</v>
      </c>
      <c r="AA252" s="1">
        <f t="shared" si="179"/>
        <v>0</v>
      </c>
      <c r="AB252" s="1">
        <f t="shared" si="180"/>
        <v>0</v>
      </c>
      <c r="AD252" s="1">
        <f t="shared" si="181"/>
        <v>1</v>
      </c>
      <c r="AE252" s="1">
        <f t="shared" si="182"/>
        <v>0</v>
      </c>
      <c r="AF252" s="1">
        <f t="shared" si="167"/>
        <v>0</v>
      </c>
      <c r="AG252" s="1">
        <f t="shared" si="168"/>
        <v>0</v>
      </c>
      <c r="AH252" s="1">
        <f t="shared" si="169"/>
        <v>0</v>
      </c>
      <c r="AI252" s="1">
        <f t="shared" si="170"/>
        <v>0</v>
      </c>
    </row>
    <row r="253" spans="1:35" ht="14.25" customHeight="1" x14ac:dyDescent="0.3">
      <c r="A253" s="49">
        <v>0</v>
      </c>
      <c r="B253" s="49">
        <v>1</v>
      </c>
      <c r="C253" s="49">
        <v>7</v>
      </c>
      <c r="D253" s="55" t="s">
        <v>1484</v>
      </c>
      <c r="E253" s="50" t="s">
        <v>29</v>
      </c>
      <c r="F253" s="55" t="s">
        <v>1004</v>
      </c>
      <c r="G253" s="55" t="s">
        <v>1102</v>
      </c>
      <c r="H253" s="55" t="s">
        <v>354</v>
      </c>
      <c r="I253" s="63" t="s">
        <v>1110</v>
      </c>
      <c r="J253" s="49">
        <v>10</v>
      </c>
      <c r="K253" s="51" t="s">
        <v>713</v>
      </c>
      <c r="L253" s="51" t="s">
        <v>694</v>
      </c>
      <c r="M253" s="52" t="s">
        <v>973</v>
      </c>
      <c r="N253" s="52" t="s">
        <v>1743</v>
      </c>
      <c r="O253" s="53">
        <v>1</v>
      </c>
      <c r="P253" s="53"/>
      <c r="Q253" s="55"/>
      <c r="S253" s="1">
        <f t="shared" si="171"/>
        <v>0</v>
      </c>
      <c r="T253" s="1">
        <f t="shared" si="172"/>
        <v>0</v>
      </c>
      <c r="U253" s="1">
        <f t="shared" si="173"/>
        <v>0</v>
      </c>
      <c r="V253" s="1">
        <f t="shared" si="174"/>
        <v>0</v>
      </c>
      <c r="W253" s="1">
        <f t="shared" si="175"/>
        <v>0</v>
      </c>
      <c r="X253" s="1">
        <f t="shared" si="176"/>
        <v>0</v>
      </c>
      <c r="Y253" s="1">
        <f t="shared" si="177"/>
        <v>0</v>
      </c>
      <c r="Z253" s="1">
        <f t="shared" si="178"/>
        <v>0</v>
      </c>
      <c r="AA253" s="1">
        <f t="shared" si="179"/>
        <v>0</v>
      </c>
      <c r="AB253" s="1">
        <f t="shared" si="180"/>
        <v>1</v>
      </c>
      <c r="AD253" s="1">
        <f t="shared" si="181"/>
        <v>0</v>
      </c>
      <c r="AE253" s="1">
        <f t="shared" si="182"/>
        <v>1</v>
      </c>
      <c r="AF253" s="1">
        <f t="shared" si="167"/>
        <v>0</v>
      </c>
      <c r="AG253" s="1">
        <f t="shared" si="168"/>
        <v>1</v>
      </c>
      <c r="AH253" s="1">
        <f t="shared" si="169"/>
        <v>0</v>
      </c>
      <c r="AI253" s="1">
        <f t="shared" si="170"/>
        <v>1</v>
      </c>
    </row>
    <row r="254" spans="1:35" ht="14.25" customHeight="1" x14ac:dyDescent="0.3">
      <c r="A254" s="31">
        <v>0</v>
      </c>
      <c r="B254" s="31">
        <v>1</v>
      </c>
      <c r="C254" s="31">
        <v>7</v>
      </c>
      <c r="D254" s="36" t="s">
        <v>1485</v>
      </c>
      <c r="E254" s="32" t="s">
        <v>29</v>
      </c>
      <c r="F254" s="36" t="s">
        <v>1002</v>
      </c>
      <c r="G254" s="36" t="s">
        <v>240</v>
      </c>
      <c r="H254" s="36" t="s">
        <v>354</v>
      </c>
      <c r="I254" s="37" t="s">
        <v>1003</v>
      </c>
      <c r="J254" s="31">
        <v>1</v>
      </c>
      <c r="K254" s="33" t="s">
        <v>961</v>
      </c>
      <c r="L254" s="33" t="s">
        <v>694</v>
      </c>
      <c r="M254" s="34" t="s">
        <v>973</v>
      </c>
      <c r="N254" s="34" t="s">
        <v>1801</v>
      </c>
      <c r="O254" s="35">
        <v>1</v>
      </c>
      <c r="P254" s="35"/>
      <c r="Q254" s="36"/>
      <c r="S254" s="1">
        <f t="shared" si="171"/>
        <v>1</v>
      </c>
      <c r="T254" s="1">
        <f t="shared" si="172"/>
        <v>0</v>
      </c>
      <c r="U254" s="1">
        <f t="shared" si="173"/>
        <v>0</v>
      </c>
      <c r="V254" s="1">
        <f t="shared" si="174"/>
        <v>0</v>
      </c>
      <c r="W254" s="1">
        <f t="shared" si="175"/>
        <v>0</v>
      </c>
      <c r="X254" s="1">
        <f t="shared" si="176"/>
        <v>0</v>
      </c>
      <c r="Y254" s="1">
        <f t="shared" si="177"/>
        <v>0</v>
      </c>
      <c r="Z254" s="1">
        <f t="shared" si="178"/>
        <v>0</v>
      </c>
      <c r="AA254" s="1">
        <f t="shared" si="179"/>
        <v>0</v>
      </c>
      <c r="AB254" s="1">
        <f t="shared" si="180"/>
        <v>0</v>
      </c>
      <c r="AD254" s="1">
        <f t="shared" si="181"/>
        <v>0</v>
      </c>
      <c r="AE254" s="1">
        <f t="shared" si="182"/>
        <v>1</v>
      </c>
      <c r="AF254" s="1">
        <f t="shared" si="167"/>
        <v>0</v>
      </c>
      <c r="AG254" s="1">
        <f t="shared" si="168"/>
        <v>1</v>
      </c>
      <c r="AH254" s="1">
        <f t="shared" si="169"/>
        <v>0</v>
      </c>
      <c r="AI254" s="1">
        <f t="shared" si="170"/>
        <v>1</v>
      </c>
    </row>
    <row r="255" spans="1:35" ht="14.25" customHeight="1" x14ac:dyDescent="0.3">
      <c r="A255" s="44">
        <v>0</v>
      </c>
      <c r="B255" s="44">
        <v>1</v>
      </c>
      <c r="C255" s="44">
        <v>7</v>
      </c>
      <c r="D255" s="45" t="s">
        <v>898</v>
      </c>
      <c r="E255" s="45" t="s">
        <v>29</v>
      </c>
      <c r="F255" s="45" t="s">
        <v>899</v>
      </c>
      <c r="G255" s="45" t="s">
        <v>39</v>
      </c>
      <c r="H255" s="45" t="s">
        <v>355</v>
      </c>
      <c r="I255" s="44" t="s">
        <v>900</v>
      </c>
      <c r="J255" s="44">
        <v>11</v>
      </c>
      <c r="K255" s="46" t="s">
        <v>703</v>
      </c>
      <c r="L255" s="46">
        <v>35</v>
      </c>
      <c r="M255" s="47" t="s">
        <v>1405</v>
      </c>
      <c r="N255" s="47" t="s">
        <v>1747</v>
      </c>
      <c r="O255" s="48"/>
      <c r="P255" s="48"/>
      <c r="Q255" s="65" t="s">
        <v>1903</v>
      </c>
      <c r="S255" s="1">
        <f t="shared" si="171"/>
        <v>0</v>
      </c>
      <c r="T255" s="1">
        <f t="shared" si="172"/>
        <v>0</v>
      </c>
      <c r="U255" s="1">
        <f t="shared" si="173"/>
        <v>0</v>
      </c>
      <c r="V255" s="1">
        <f t="shared" si="174"/>
        <v>0</v>
      </c>
      <c r="W255" s="1">
        <f t="shared" si="175"/>
        <v>0</v>
      </c>
      <c r="X255" s="1">
        <f t="shared" si="176"/>
        <v>0</v>
      </c>
      <c r="Y255" s="1">
        <f t="shared" si="177"/>
        <v>0</v>
      </c>
      <c r="Z255" s="1">
        <f t="shared" si="178"/>
        <v>0</v>
      </c>
      <c r="AA255" s="1">
        <f t="shared" si="179"/>
        <v>0</v>
      </c>
      <c r="AB255" s="1">
        <f t="shared" si="180"/>
        <v>0</v>
      </c>
      <c r="AD255" s="1">
        <f t="shared" si="181"/>
        <v>0</v>
      </c>
      <c r="AE255" s="1">
        <f t="shared" si="182"/>
        <v>0</v>
      </c>
      <c r="AF255" s="1">
        <f t="shared" si="167"/>
        <v>0</v>
      </c>
      <c r="AG255" s="1">
        <f t="shared" si="168"/>
        <v>0</v>
      </c>
      <c r="AH255" s="1">
        <f t="shared" si="169"/>
        <v>0</v>
      </c>
      <c r="AI255" s="1">
        <f t="shared" si="170"/>
        <v>1</v>
      </c>
    </row>
    <row r="256" spans="1:35" ht="14.25" customHeight="1" x14ac:dyDescent="0.3">
      <c r="A256" s="31">
        <v>0</v>
      </c>
      <c r="B256" s="31">
        <v>1</v>
      </c>
      <c r="C256" s="31">
        <v>7</v>
      </c>
      <c r="D256" s="36" t="s">
        <v>1084</v>
      </c>
      <c r="E256" s="32" t="s">
        <v>29</v>
      </c>
      <c r="F256" s="36" t="s">
        <v>986</v>
      </c>
      <c r="G256" s="36" t="s">
        <v>203</v>
      </c>
      <c r="H256" s="36" t="s">
        <v>354</v>
      </c>
      <c r="I256" s="37" t="s">
        <v>987</v>
      </c>
      <c r="J256" s="31">
        <v>99</v>
      </c>
      <c r="K256" s="33" t="s">
        <v>713</v>
      </c>
      <c r="L256" s="33" t="s">
        <v>694</v>
      </c>
      <c r="M256" s="34" t="s">
        <v>1442</v>
      </c>
      <c r="N256" s="34" t="s">
        <v>1727</v>
      </c>
      <c r="O256" s="35">
        <v>1</v>
      </c>
      <c r="P256" s="35">
        <v>1</v>
      </c>
      <c r="Q256" s="36"/>
      <c r="S256" s="1">
        <f t="shared" si="171"/>
        <v>0</v>
      </c>
      <c r="T256" s="1">
        <f t="shared" si="172"/>
        <v>0</v>
      </c>
      <c r="U256" s="1">
        <f t="shared" si="173"/>
        <v>0</v>
      </c>
      <c r="V256" s="1">
        <f t="shared" si="174"/>
        <v>0</v>
      </c>
      <c r="W256" s="1">
        <f t="shared" si="175"/>
        <v>0</v>
      </c>
      <c r="X256" s="1">
        <f t="shared" si="176"/>
        <v>0</v>
      </c>
      <c r="Y256" s="1">
        <f t="shared" si="177"/>
        <v>0</v>
      </c>
      <c r="Z256" s="1">
        <f t="shared" si="178"/>
        <v>0</v>
      </c>
      <c r="AA256" s="1">
        <f t="shared" si="179"/>
        <v>0</v>
      </c>
      <c r="AB256" s="1">
        <f t="shared" si="180"/>
        <v>0</v>
      </c>
      <c r="AD256" s="1">
        <f t="shared" si="181"/>
        <v>1</v>
      </c>
      <c r="AE256" s="1">
        <f t="shared" si="182"/>
        <v>0</v>
      </c>
      <c r="AF256" s="1">
        <f t="shared" si="167"/>
        <v>1</v>
      </c>
      <c r="AG256" s="1">
        <f t="shared" si="168"/>
        <v>0</v>
      </c>
      <c r="AH256" s="1">
        <f t="shared" si="169"/>
        <v>1</v>
      </c>
      <c r="AI256" s="1">
        <f t="shared" si="170"/>
        <v>0</v>
      </c>
    </row>
    <row r="257" spans="1:35" ht="14.25" customHeight="1" x14ac:dyDescent="0.3">
      <c r="A257" s="15">
        <v>0</v>
      </c>
      <c r="B257" s="15">
        <v>1</v>
      </c>
      <c r="C257" s="15">
        <v>7</v>
      </c>
      <c r="D257" s="16" t="s">
        <v>751</v>
      </c>
      <c r="E257" s="16" t="s">
        <v>29</v>
      </c>
      <c r="F257" s="16" t="s">
        <v>752</v>
      </c>
      <c r="G257" s="16" t="s">
        <v>753</v>
      </c>
      <c r="H257" s="16" t="s">
        <v>354</v>
      </c>
      <c r="I257" s="15" t="s">
        <v>754</v>
      </c>
      <c r="J257" s="15">
        <v>99</v>
      </c>
      <c r="K257" s="10" t="s">
        <v>703</v>
      </c>
      <c r="L257" s="10">
        <v>20</v>
      </c>
      <c r="M257" s="19" t="s">
        <v>1120</v>
      </c>
      <c r="N257" s="17"/>
      <c r="Q257" s="16"/>
      <c r="S257" s="1">
        <f t="shared" si="171"/>
        <v>0</v>
      </c>
      <c r="T257" s="1">
        <f t="shared" si="172"/>
        <v>0</v>
      </c>
      <c r="U257" s="1">
        <f t="shared" si="173"/>
        <v>0</v>
      </c>
      <c r="V257" s="1">
        <f t="shared" si="174"/>
        <v>0</v>
      </c>
      <c r="W257" s="1">
        <f t="shared" si="175"/>
        <v>0</v>
      </c>
      <c r="X257" s="1">
        <f t="shared" si="176"/>
        <v>0</v>
      </c>
      <c r="Y257" s="1">
        <f t="shared" si="177"/>
        <v>0</v>
      </c>
      <c r="Z257" s="1">
        <f t="shared" si="178"/>
        <v>0</v>
      </c>
      <c r="AA257" s="1">
        <f t="shared" si="179"/>
        <v>0</v>
      </c>
      <c r="AB257" s="1">
        <f t="shared" si="180"/>
        <v>0</v>
      </c>
      <c r="AD257" s="1">
        <f t="shared" si="181"/>
        <v>0</v>
      </c>
      <c r="AE257" s="1">
        <f t="shared" si="182"/>
        <v>0</v>
      </c>
      <c r="AF257" s="1">
        <f t="shared" si="167"/>
        <v>0</v>
      </c>
      <c r="AG257" s="1">
        <f t="shared" si="168"/>
        <v>0</v>
      </c>
      <c r="AH257" s="1">
        <f t="shared" si="169"/>
        <v>0</v>
      </c>
      <c r="AI257" s="1">
        <f t="shared" si="170"/>
        <v>1</v>
      </c>
    </row>
    <row r="258" spans="1:35" ht="14.25" customHeight="1" x14ac:dyDescent="0.3">
      <c r="A258" s="31">
        <v>0</v>
      </c>
      <c r="B258" s="31">
        <v>1</v>
      </c>
      <c r="C258" s="31">
        <v>7</v>
      </c>
      <c r="D258" s="36" t="s">
        <v>828</v>
      </c>
      <c r="E258" s="32" t="s">
        <v>29</v>
      </c>
      <c r="F258" s="36" t="s">
        <v>829</v>
      </c>
      <c r="G258" s="36" t="s">
        <v>928</v>
      </c>
      <c r="H258" s="36" t="s">
        <v>354</v>
      </c>
      <c r="I258" s="37" t="s">
        <v>830</v>
      </c>
      <c r="J258" s="31">
        <v>99</v>
      </c>
      <c r="K258" s="33" t="s">
        <v>955</v>
      </c>
      <c r="L258" s="33" t="s">
        <v>694</v>
      </c>
      <c r="M258" s="34" t="s">
        <v>973</v>
      </c>
      <c r="N258" s="34" t="s">
        <v>1825</v>
      </c>
      <c r="O258" s="35">
        <v>1</v>
      </c>
      <c r="P258" s="35"/>
      <c r="Q258" s="36"/>
      <c r="S258" s="1">
        <f t="shared" si="171"/>
        <v>0</v>
      </c>
      <c r="T258" s="1">
        <f t="shared" si="172"/>
        <v>0</v>
      </c>
      <c r="U258" s="1">
        <f t="shared" si="173"/>
        <v>0</v>
      </c>
      <c r="V258" s="1">
        <f t="shared" si="174"/>
        <v>0</v>
      </c>
      <c r="W258" s="1">
        <f t="shared" si="175"/>
        <v>0</v>
      </c>
      <c r="X258" s="1">
        <f t="shared" si="176"/>
        <v>0</v>
      </c>
      <c r="Y258" s="1">
        <f t="shared" si="177"/>
        <v>0</v>
      </c>
      <c r="Z258" s="1">
        <f t="shared" si="178"/>
        <v>0</v>
      </c>
      <c r="AA258" s="1">
        <f t="shared" si="179"/>
        <v>0</v>
      </c>
      <c r="AB258" s="1">
        <f t="shared" si="180"/>
        <v>0</v>
      </c>
      <c r="AD258" s="1">
        <f t="shared" si="181"/>
        <v>0</v>
      </c>
      <c r="AE258" s="1">
        <f t="shared" si="182"/>
        <v>1</v>
      </c>
      <c r="AF258" s="1">
        <f t="shared" si="167"/>
        <v>0</v>
      </c>
      <c r="AG258" s="1">
        <f t="shared" si="168"/>
        <v>1</v>
      </c>
      <c r="AH258" s="1">
        <f t="shared" si="169"/>
        <v>0</v>
      </c>
      <c r="AI258" s="1">
        <f t="shared" si="170"/>
        <v>1</v>
      </c>
    </row>
    <row r="259" spans="1:35" ht="14.25" customHeight="1" x14ac:dyDescent="0.3">
      <c r="A259" s="31">
        <v>0</v>
      </c>
      <c r="B259" s="31">
        <v>1</v>
      </c>
      <c r="C259" s="31">
        <v>7</v>
      </c>
      <c r="D259" s="36" t="s">
        <v>1720</v>
      </c>
      <c r="E259" s="32" t="s">
        <v>29</v>
      </c>
      <c r="F259" s="36" t="s">
        <v>1721</v>
      </c>
      <c r="G259" s="36" t="s">
        <v>249</v>
      </c>
      <c r="H259" s="36" t="s">
        <v>354</v>
      </c>
      <c r="I259" s="37" t="s">
        <v>1722</v>
      </c>
      <c r="J259" s="31"/>
      <c r="K259" s="33" t="s">
        <v>703</v>
      </c>
      <c r="L259" s="33"/>
      <c r="M259" s="34"/>
      <c r="N259" s="34" t="s">
        <v>1727</v>
      </c>
      <c r="O259" s="35">
        <v>1</v>
      </c>
      <c r="P259" s="35">
        <v>1</v>
      </c>
      <c r="Q259" s="36"/>
      <c r="S259" s="1">
        <f t="shared" si="171"/>
        <v>0</v>
      </c>
      <c r="T259" s="1">
        <f t="shared" si="172"/>
        <v>0</v>
      </c>
      <c r="U259" s="1">
        <f t="shared" si="173"/>
        <v>0</v>
      </c>
      <c r="V259" s="1">
        <f t="shared" si="174"/>
        <v>0</v>
      </c>
      <c r="W259" s="1">
        <f t="shared" si="175"/>
        <v>0</v>
      </c>
      <c r="X259" s="1">
        <f t="shared" si="176"/>
        <v>0</v>
      </c>
      <c r="Y259" s="1">
        <f t="shared" si="177"/>
        <v>0</v>
      </c>
      <c r="Z259" s="1">
        <f t="shared" si="178"/>
        <v>0</v>
      </c>
      <c r="AA259" s="1">
        <f t="shared" si="179"/>
        <v>0</v>
      </c>
      <c r="AB259" s="1">
        <f t="shared" si="180"/>
        <v>0</v>
      </c>
      <c r="AD259" s="1">
        <f t="shared" si="181"/>
        <v>1</v>
      </c>
      <c r="AE259" s="1">
        <f t="shared" si="182"/>
        <v>0</v>
      </c>
      <c r="AF259" s="1">
        <f t="shared" si="167"/>
        <v>1</v>
      </c>
      <c r="AG259" s="1">
        <f t="shared" si="168"/>
        <v>0</v>
      </c>
      <c r="AH259" s="1">
        <f t="shared" si="169"/>
        <v>1</v>
      </c>
      <c r="AI259" s="1">
        <f t="shared" si="170"/>
        <v>0</v>
      </c>
    </row>
    <row r="260" spans="1:35" ht="14.25" customHeight="1" x14ac:dyDescent="0.3">
      <c r="A260" s="31">
        <v>0</v>
      </c>
      <c r="B260" s="31">
        <v>1</v>
      </c>
      <c r="C260" s="31">
        <v>7</v>
      </c>
      <c r="D260" s="32" t="s">
        <v>901</v>
      </c>
      <c r="E260" s="32" t="s">
        <v>29</v>
      </c>
      <c r="F260" s="32" t="s">
        <v>902</v>
      </c>
      <c r="G260" s="32" t="s">
        <v>228</v>
      </c>
      <c r="H260" s="32" t="s">
        <v>354</v>
      </c>
      <c r="I260" s="31" t="s">
        <v>903</v>
      </c>
      <c r="J260" s="31">
        <v>99</v>
      </c>
      <c r="K260" s="33" t="s">
        <v>713</v>
      </c>
      <c r="L260" s="33" t="s">
        <v>694</v>
      </c>
      <c r="M260" s="34" t="s">
        <v>1406</v>
      </c>
      <c r="N260" s="34" t="s">
        <v>1748</v>
      </c>
      <c r="O260" s="35">
        <v>1</v>
      </c>
      <c r="P260" s="35"/>
      <c r="Q260" s="32"/>
      <c r="S260" s="1">
        <f t="shared" si="171"/>
        <v>0</v>
      </c>
      <c r="T260" s="1">
        <f t="shared" si="172"/>
        <v>0</v>
      </c>
      <c r="U260" s="1">
        <f t="shared" si="173"/>
        <v>0</v>
      </c>
      <c r="V260" s="1">
        <f t="shared" si="174"/>
        <v>0</v>
      </c>
      <c r="W260" s="1">
        <f t="shared" si="175"/>
        <v>0</v>
      </c>
      <c r="X260" s="1">
        <f t="shared" si="176"/>
        <v>0</v>
      </c>
      <c r="Y260" s="1">
        <f t="shared" si="177"/>
        <v>0</v>
      </c>
      <c r="Z260" s="1">
        <f t="shared" si="178"/>
        <v>0</v>
      </c>
      <c r="AA260" s="1">
        <f t="shared" si="179"/>
        <v>0</v>
      </c>
      <c r="AB260" s="1">
        <f t="shared" si="180"/>
        <v>0</v>
      </c>
      <c r="AD260" s="1">
        <f t="shared" si="181"/>
        <v>0</v>
      </c>
      <c r="AE260" s="1">
        <f t="shared" si="182"/>
        <v>1</v>
      </c>
      <c r="AF260" s="1">
        <f t="shared" si="167"/>
        <v>0</v>
      </c>
      <c r="AG260" s="1">
        <f t="shared" si="168"/>
        <v>1</v>
      </c>
      <c r="AH260" s="1">
        <f t="shared" si="169"/>
        <v>0</v>
      </c>
      <c r="AI260" s="1">
        <f t="shared" si="170"/>
        <v>1</v>
      </c>
    </row>
    <row r="261" spans="1:35" ht="14.25" customHeight="1" x14ac:dyDescent="0.3">
      <c r="A261" s="31">
        <v>0</v>
      </c>
      <c r="B261" s="31">
        <v>1</v>
      </c>
      <c r="C261" s="31">
        <v>7</v>
      </c>
      <c r="D261" s="32" t="s">
        <v>88</v>
      </c>
      <c r="E261" s="32" t="s">
        <v>29</v>
      </c>
      <c r="F261" s="32" t="s">
        <v>281</v>
      </c>
      <c r="G261" s="32" t="s">
        <v>238</v>
      </c>
      <c r="H261" s="32" t="s">
        <v>354</v>
      </c>
      <c r="I261" s="31" t="s">
        <v>437</v>
      </c>
      <c r="J261" s="31">
        <v>4</v>
      </c>
      <c r="K261" s="33" t="s">
        <v>954</v>
      </c>
      <c r="L261" s="33" t="s">
        <v>39</v>
      </c>
      <c r="M261" s="34" t="s">
        <v>39</v>
      </c>
      <c r="N261" s="34" t="s">
        <v>1727</v>
      </c>
      <c r="O261" s="35">
        <v>1</v>
      </c>
      <c r="P261" s="35">
        <v>1</v>
      </c>
      <c r="Q261" s="32"/>
      <c r="S261" s="1">
        <f t="shared" si="171"/>
        <v>0</v>
      </c>
      <c r="T261" s="1">
        <f t="shared" si="172"/>
        <v>0</v>
      </c>
      <c r="U261" s="1">
        <f t="shared" si="173"/>
        <v>0</v>
      </c>
      <c r="V261" s="1">
        <f t="shared" si="174"/>
        <v>1</v>
      </c>
      <c r="W261" s="1">
        <f t="shared" si="175"/>
        <v>0</v>
      </c>
      <c r="X261" s="1">
        <f t="shared" si="176"/>
        <v>0</v>
      </c>
      <c r="Y261" s="1">
        <f t="shared" si="177"/>
        <v>0</v>
      </c>
      <c r="Z261" s="1">
        <f t="shared" si="178"/>
        <v>0</v>
      </c>
      <c r="AA261" s="1">
        <f t="shared" si="179"/>
        <v>0</v>
      </c>
      <c r="AB261" s="1">
        <f t="shared" si="180"/>
        <v>0</v>
      </c>
      <c r="AD261" s="1">
        <f t="shared" si="181"/>
        <v>1</v>
      </c>
      <c r="AE261" s="1">
        <f t="shared" si="182"/>
        <v>0</v>
      </c>
      <c r="AF261" s="1">
        <f t="shared" si="167"/>
        <v>1</v>
      </c>
      <c r="AG261" s="1">
        <f t="shared" si="168"/>
        <v>0</v>
      </c>
      <c r="AH261" s="1">
        <f t="shared" si="169"/>
        <v>1</v>
      </c>
      <c r="AI261" s="1">
        <f t="shared" si="170"/>
        <v>0</v>
      </c>
    </row>
    <row r="262" spans="1:35" ht="14.25" customHeight="1" x14ac:dyDescent="0.3">
      <c r="A262" s="31">
        <v>0</v>
      </c>
      <c r="B262" s="31">
        <v>1</v>
      </c>
      <c r="C262" s="31">
        <v>7</v>
      </c>
      <c r="D262" s="32" t="s">
        <v>89</v>
      </c>
      <c r="E262" s="32" t="s">
        <v>29</v>
      </c>
      <c r="F262" s="32" t="s">
        <v>282</v>
      </c>
      <c r="G262" s="32" t="s">
        <v>283</v>
      </c>
      <c r="H262" s="32" t="s">
        <v>354</v>
      </c>
      <c r="I262" s="31" t="s">
        <v>943</v>
      </c>
      <c r="J262" s="31">
        <v>99</v>
      </c>
      <c r="K262" s="33" t="s">
        <v>955</v>
      </c>
      <c r="L262" s="33" t="s">
        <v>694</v>
      </c>
      <c r="M262" s="34" t="s">
        <v>973</v>
      </c>
      <c r="N262" s="34" t="s">
        <v>1849</v>
      </c>
      <c r="O262" s="35">
        <v>1</v>
      </c>
      <c r="P262" s="35"/>
      <c r="Q262" s="32"/>
      <c r="S262" s="1">
        <f t="shared" si="171"/>
        <v>0</v>
      </c>
      <c r="T262" s="1">
        <f t="shared" si="172"/>
        <v>0</v>
      </c>
      <c r="U262" s="1">
        <f t="shared" si="173"/>
        <v>0</v>
      </c>
      <c r="V262" s="1">
        <f t="shared" si="174"/>
        <v>0</v>
      </c>
      <c r="W262" s="1">
        <f t="shared" si="175"/>
        <v>0</v>
      </c>
      <c r="X262" s="1">
        <f t="shared" si="176"/>
        <v>0</v>
      </c>
      <c r="Y262" s="1">
        <f t="shared" si="177"/>
        <v>0</v>
      </c>
      <c r="Z262" s="1">
        <f t="shared" si="178"/>
        <v>0</v>
      </c>
      <c r="AA262" s="1">
        <f t="shared" si="179"/>
        <v>0</v>
      </c>
      <c r="AB262" s="1">
        <f t="shared" si="180"/>
        <v>0</v>
      </c>
      <c r="AD262" s="1">
        <f t="shared" si="181"/>
        <v>0</v>
      </c>
      <c r="AE262" s="1">
        <f t="shared" si="182"/>
        <v>1</v>
      </c>
      <c r="AF262" s="1">
        <f t="shared" si="167"/>
        <v>0</v>
      </c>
      <c r="AG262" s="1">
        <f t="shared" si="168"/>
        <v>1</v>
      </c>
      <c r="AH262" s="1">
        <f t="shared" si="169"/>
        <v>0</v>
      </c>
      <c r="AI262" s="1">
        <f t="shared" si="170"/>
        <v>1</v>
      </c>
    </row>
    <row r="263" spans="1:35" ht="14.25" customHeight="1" x14ac:dyDescent="0.3">
      <c r="A263" s="31">
        <v>0</v>
      </c>
      <c r="B263" s="31">
        <v>1</v>
      </c>
      <c r="C263" s="31">
        <v>7</v>
      </c>
      <c r="D263" s="36" t="s">
        <v>1636</v>
      </c>
      <c r="E263" s="32" t="s">
        <v>29</v>
      </c>
      <c r="F263" s="36" t="s">
        <v>1535</v>
      </c>
      <c r="G263" s="36" t="s">
        <v>39</v>
      </c>
      <c r="H263" s="36" t="s">
        <v>886</v>
      </c>
      <c r="I263" s="37" t="s">
        <v>1536</v>
      </c>
      <c r="J263" s="31">
        <v>17</v>
      </c>
      <c r="K263" s="33" t="s">
        <v>713</v>
      </c>
      <c r="L263" s="33" t="s">
        <v>697</v>
      </c>
      <c r="M263" s="34" t="s">
        <v>1457</v>
      </c>
      <c r="N263" s="34" t="s">
        <v>1727</v>
      </c>
      <c r="O263" s="35">
        <v>1</v>
      </c>
      <c r="P263" s="35">
        <v>1</v>
      </c>
      <c r="Q263" s="36"/>
      <c r="S263" s="1">
        <f t="shared" si="171"/>
        <v>0</v>
      </c>
      <c r="T263" s="1">
        <f t="shared" si="172"/>
        <v>0</v>
      </c>
      <c r="U263" s="1">
        <f t="shared" si="173"/>
        <v>0</v>
      </c>
      <c r="V263" s="1">
        <f t="shared" si="174"/>
        <v>0</v>
      </c>
      <c r="W263" s="1">
        <f t="shared" si="175"/>
        <v>0</v>
      </c>
      <c r="X263" s="1">
        <f t="shared" si="176"/>
        <v>0</v>
      </c>
      <c r="Y263" s="1">
        <f t="shared" si="177"/>
        <v>0</v>
      </c>
      <c r="Z263" s="1">
        <f t="shared" si="178"/>
        <v>0</v>
      </c>
      <c r="AA263" s="1">
        <f t="shared" si="179"/>
        <v>0</v>
      </c>
      <c r="AB263" s="1">
        <f t="shared" si="180"/>
        <v>0</v>
      </c>
      <c r="AD263" s="1">
        <f t="shared" si="181"/>
        <v>1</v>
      </c>
      <c r="AE263" s="1">
        <f t="shared" si="182"/>
        <v>0</v>
      </c>
      <c r="AF263" s="1">
        <f t="shared" si="167"/>
        <v>1</v>
      </c>
      <c r="AG263" s="1">
        <f t="shared" si="168"/>
        <v>0</v>
      </c>
      <c r="AH263" s="1">
        <f t="shared" si="169"/>
        <v>1</v>
      </c>
      <c r="AI263" s="1">
        <f t="shared" si="170"/>
        <v>0</v>
      </c>
    </row>
    <row r="264" spans="1:35" ht="14.25" customHeight="1" x14ac:dyDescent="0.3">
      <c r="A264" s="44">
        <v>0</v>
      </c>
      <c r="B264" s="44">
        <v>1</v>
      </c>
      <c r="C264" s="44">
        <v>7</v>
      </c>
      <c r="D264" s="45" t="s">
        <v>1454</v>
      </c>
      <c r="E264" s="45" t="s">
        <v>29</v>
      </c>
      <c r="F264" s="45" t="s">
        <v>1455</v>
      </c>
      <c r="G264" s="45" t="s">
        <v>321</v>
      </c>
      <c r="H264" s="45" t="s">
        <v>354</v>
      </c>
      <c r="I264" s="44" t="s">
        <v>1456</v>
      </c>
      <c r="J264" s="44">
        <v>99</v>
      </c>
      <c r="K264" s="46" t="s">
        <v>703</v>
      </c>
      <c r="L264" s="46">
        <v>30</v>
      </c>
      <c r="M264" s="47" t="s">
        <v>1457</v>
      </c>
      <c r="N264" s="47" t="s">
        <v>1802</v>
      </c>
      <c r="O264" s="48"/>
      <c r="P264" s="48"/>
      <c r="Q264" s="45"/>
      <c r="S264" s="1">
        <f t="shared" si="171"/>
        <v>0</v>
      </c>
      <c r="T264" s="1">
        <f t="shared" si="172"/>
        <v>0</v>
      </c>
      <c r="U264" s="1">
        <f t="shared" si="173"/>
        <v>0</v>
      </c>
      <c r="V264" s="1">
        <f t="shared" si="174"/>
        <v>0</v>
      </c>
      <c r="W264" s="1">
        <f t="shared" si="175"/>
        <v>0</v>
      </c>
      <c r="X264" s="1">
        <f t="shared" si="176"/>
        <v>0</v>
      </c>
      <c r="Y264" s="1">
        <f t="shared" si="177"/>
        <v>0</v>
      </c>
      <c r="Z264" s="1">
        <f t="shared" si="178"/>
        <v>0</v>
      </c>
      <c r="AA264" s="1">
        <f t="shared" si="179"/>
        <v>0</v>
      </c>
      <c r="AB264" s="1">
        <f t="shared" si="180"/>
        <v>0</v>
      </c>
      <c r="AD264" s="1">
        <f t="shared" si="181"/>
        <v>0</v>
      </c>
      <c r="AE264" s="1">
        <f t="shared" si="182"/>
        <v>0</v>
      </c>
      <c r="AF264" s="1">
        <f t="shared" si="167"/>
        <v>0</v>
      </c>
      <c r="AG264" s="1">
        <f t="shared" si="168"/>
        <v>0</v>
      </c>
      <c r="AH264" s="1">
        <f t="shared" si="169"/>
        <v>0</v>
      </c>
      <c r="AI264" s="1">
        <f t="shared" si="170"/>
        <v>1</v>
      </c>
    </row>
    <row r="265" spans="1:35" ht="14.25" customHeight="1" x14ac:dyDescent="0.3">
      <c r="A265" s="31">
        <v>0</v>
      </c>
      <c r="B265" s="31">
        <v>1</v>
      </c>
      <c r="C265" s="31">
        <v>7</v>
      </c>
      <c r="D265" s="36" t="s">
        <v>846</v>
      </c>
      <c r="E265" s="32" t="s">
        <v>29</v>
      </c>
      <c r="F265" s="36" t="s">
        <v>847</v>
      </c>
      <c r="G265" s="36" t="s">
        <v>222</v>
      </c>
      <c r="H265" s="36" t="s">
        <v>354</v>
      </c>
      <c r="I265" s="37" t="s">
        <v>848</v>
      </c>
      <c r="J265" s="31">
        <v>99</v>
      </c>
      <c r="K265" s="33" t="s">
        <v>955</v>
      </c>
      <c r="L265" s="33" t="s">
        <v>694</v>
      </c>
      <c r="M265" s="34" t="s">
        <v>973</v>
      </c>
      <c r="N265" s="34" t="s">
        <v>1849</v>
      </c>
      <c r="O265" s="35">
        <v>1</v>
      </c>
      <c r="P265" s="35"/>
      <c r="Q265" s="36"/>
      <c r="S265" s="1">
        <f t="shared" si="171"/>
        <v>0</v>
      </c>
      <c r="T265" s="1">
        <f t="shared" si="172"/>
        <v>0</v>
      </c>
      <c r="U265" s="1">
        <f t="shared" si="173"/>
        <v>0</v>
      </c>
      <c r="V265" s="1">
        <f t="shared" si="174"/>
        <v>0</v>
      </c>
      <c r="W265" s="1">
        <f t="shared" si="175"/>
        <v>0</v>
      </c>
      <c r="X265" s="1">
        <f t="shared" si="176"/>
        <v>0</v>
      </c>
      <c r="Y265" s="1">
        <f t="shared" si="177"/>
        <v>0</v>
      </c>
      <c r="Z265" s="1">
        <f t="shared" si="178"/>
        <v>0</v>
      </c>
      <c r="AA265" s="1">
        <f t="shared" si="179"/>
        <v>0</v>
      </c>
      <c r="AB265" s="1">
        <f t="shared" si="180"/>
        <v>0</v>
      </c>
      <c r="AD265" s="1">
        <f t="shared" si="181"/>
        <v>0</v>
      </c>
      <c r="AE265" s="1">
        <f t="shared" si="182"/>
        <v>1</v>
      </c>
      <c r="AF265" s="1">
        <f t="shared" si="167"/>
        <v>0</v>
      </c>
      <c r="AG265" s="1">
        <f t="shared" si="168"/>
        <v>1</v>
      </c>
      <c r="AH265" s="1">
        <f t="shared" si="169"/>
        <v>0</v>
      </c>
      <c r="AI265" s="1">
        <f t="shared" si="170"/>
        <v>1</v>
      </c>
    </row>
    <row r="266" spans="1:35" ht="14.25" customHeight="1" x14ac:dyDescent="0.3">
      <c r="A266" s="31">
        <v>1</v>
      </c>
      <c r="B266" s="31">
        <v>1</v>
      </c>
      <c r="C266" s="31">
        <v>7</v>
      </c>
      <c r="D266" s="36" t="s">
        <v>846</v>
      </c>
      <c r="E266" s="32" t="s">
        <v>29</v>
      </c>
      <c r="F266" s="36" t="s">
        <v>930</v>
      </c>
      <c r="G266" s="36" t="s">
        <v>279</v>
      </c>
      <c r="H266" s="36" t="s">
        <v>354</v>
      </c>
      <c r="I266" s="37" t="s">
        <v>849</v>
      </c>
      <c r="J266" s="31">
        <v>99</v>
      </c>
      <c r="K266" s="33" t="s">
        <v>955</v>
      </c>
      <c r="L266" s="33" t="s">
        <v>694</v>
      </c>
      <c r="M266" s="34" t="s">
        <v>973</v>
      </c>
      <c r="N266" s="34" t="s">
        <v>1849</v>
      </c>
      <c r="O266" s="35">
        <v>1</v>
      </c>
      <c r="P266" s="35"/>
      <c r="Q266" s="36"/>
      <c r="S266" s="1">
        <f t="shared" si="171"/>
        <v>0</v>
      </c>
      <c r="T266" s="1">
        <f t="shared" si="172"/>
        <v>0</v>
      </c>
      <c r="U266" s="1">
        <f t="shared" si="173"/>
        <v>0</v>
      </c>
      <c r="V266" s="1">
        <f t="shared" si="174"/>
        <v>0</v>
      </c>
      <c r="W266" s="1">
        <f t="shared" si="175"/>
        <v>0</v>
      </c>
      <c r="X266" s="1">
        <f t="shared" si="176"/>
        <v>0</v>
      </c>
      <c r="Y266" s="1">
        <f t="shared" si="177"/>
        <v>0</v>
      </c>
      <c r="Z266" s="1">
        <f t="shared" si="178"/>
        <v>0</v>
      </c>
      <c r="AA266" s="1">
        <f t="shared" si="179"/>
        <v>0</v>
      </c>
      <c r="AB266" s="1">
        <f t="shared" si="180"/>
        <v>0</v>
      </c>
      <c r="AD266" s="1">
        <f t="shared" si="181"/>
        <v>0</v>
      </c>
      <c r="AE266" s="1">
        <f t="shared" si="182"/>
        <v>1</v>
      </c>
      <c r="AF266" s="1">
        <f t="shared" si="167"/>
        <v>0</v>
      </c>
      <c r="AG266" s="1">
        <f t="shared" si="168"/>
        <v>0</v>
      </c>
      <c r="AH266" s="1">
        <f t="shared" si="169"/>
        <v>0</v>
      </c>
      <c r="AI266" s="1">
        <f t="shared" si="170"/>
        <v>0</v>
      </c>
    </row>
    <row r="267" spans="1:35" ht="14.25" customHeight="1" x14ac:dyDescent="0.3">
      <c r="A267" s="31">
        <v>0</v>
      </c>
      <c r="B267" s="31">
        <v>1</v>
      </c>
      <c r="C267" s="31">
        <v>7</v>
      </c>
      <c r="D267" s="32" t="s">
        <v>1216</v>
      </c>
      <c r="E267" s="32" t="s">
        <v>29</v>
      </c>
      <c r="F267" s="32" t="s">
        <v>1217</v>
      </c>
      <c r="G267" s="32" t="s">
        <v>238</v>
      </c>
      <c r="H267" s="32" t="s">
        <v>354</v>
      </c>
      <c r="I267" s="31" t="s">
        <v>1361</v>
      </c>
      <c r="J267" s="31">
        <v>99</v>
      </c>
      <c r="K267" s="33" t="s">
        <v>713</v>
      </c>
      <c r="L267" s="33" t="s">
        <v>694</v>
      </c>
      <c r="M267" s="34" t="s">
        <v>1407</v>
      </c>
      <c r="N267" s="34" t="s">
        <v>1755</v>
      </c>
      <c r="O267" s="35">
        <v>1</v>
      </c>
      <c r="P267" s="35"/>
      <c r="Q267" s="32"/>
      <c r="S267" s="1">
        <f t="shared" si="171"/>
        <v>0</v>
      </c>
      <c r="T267" s="1">
        <f t="shared" si="172"/>
        <v>0</v>
      </c>
      <c r="U267" s="1">
        <f t="shared" si="173"/>
        <v>0</v>
      </c>
      <c r="V267" s="1">
        <f t="shared" si="174"/>
        <v>0</v>
      </c>
      <c r="W267" s="1">
        <f t="shared" si="175"/>
        <v>0</v>
      </c>
      <c r="X267" s="1">
        <f t="shared" si="176"/>
        <v>0</v>
      </c>
      <c r="Y267" s="1">
        <f t="shared" si="177"/>
        <v>0</v>
      </c>
      <c r="Z267" s="1">
        <f t="shared" si="178"/>
        <v>0</v>
      </c>
      <c r="AA267" s="1">
        <f t="shared" si="179"/>
        <v>0</v>
      </c>
      <c r="AB267" s="1">
        <f t="shared" si="180"/>
        <v>0</v>
      </c>
      <c r="AD267" s="1">
        <f t="shared" ref="AD267:AD268" si="189">+O267*P267</f>
        <v>0</v>
      </c>
      <c r="AE267" s="1">
        <f t="shared" ref="AE267:AE268" si="190">O267*(1-P267)</f>
        <v>1</v>
      </c>
      <c r="AF267" s="1">
        <f t="shared" ref="AF267:AF268" si="191">+O267*P267*(1-A267)</f>
        <v>0</v>
      </c>
      <c r="AG267" s="1">
        <f t="shared" ref="AG267:AG268" si="192">O267*(1-P267)*(1-A267)</f>
        <v>1</v>
      </c>
      <c r="AH267" s="1">
        <f t="shared" ref="AH267:AH268" si="193">+P267*(1-A267)</f>
        <v>0</v>
      </c>
      <c r="AI267" s="1">
        <f t="shared" ref="AI267:AI268" si="194">+(1-A267)*(1-P267)</f>
        <v>1</v>
      </c>
    </row>
    <row r="268" spans="1:35" ht="14.25" customHeight="1" x14ac:dyDescent="0.3">
      <c r="A268" s="31">
        <v>0</v>
      </c>
      <c r="B268" s="31">
        <v>1</v>
      </c>
      <c r="C268" s="31">
        <v>7</v>
      </c>
      <c r="D268" s="36" t="s">
        <v>1233</v>
      </c>
      <c r="E268" s="32" t="s">
        <v>29</v>
      </c>
      <c r="F268" s="36" t="s">
        <v>1234</v>
      </c>
      <c r="G268" s="36" t="s">
        <v>238</v>
      </c>
      <c r="H268" s="36" t="s">
        <v>354</v>
      </c>
      <c r="I268" s="37" t="s">
        <v>1235</v>
      </c>
      <c r="J268" s="31">
        <v>99</v>
      </c>
      <c r="K268" s="33" t="s">
        <v>713</v>
      </c>
      <c r="L268" s="33" t="s">
        <v>693</v>
      </c>
      <c r="M268" s="34" t="s">
        <v>1407</v>
      </c>
      <c r="N268" s="34" t="s">
        <v>1825</v>
      </c>
      <c r="O268" s="35">
        <v>1</v>
      </c>
      <c r="P268" s="35"/>
      <c r="Q268" s="36"/>
      <c r="S268" s="1">
        <f t="shared" si="171"/>
        <v>0</v>
      </c>
      <c r="T268" s="1">
        <f t="shared" si="172"/>
        <v>0</v>
      </c>
      <c r="U268" s="1">
        <f t="shared" si="173"/>
        <v>0</v>
      </c>
      <c r="V268" s="1">
        <f t="shared" si="174"/>
        <v>0</v>
      </c>
      <c r="W268" s="1">
        <f t="shared" si="175"/>
        <v>0</v>
      </c>
      <c r="X268" s="1">
        <f t="shared" si="176"/>
        <v>0</v>
      </c>
      <c r="Y268" s="1">
        <f t="shared" si="177"/>
        <v>0</v>
      </c>
      <c r="Z268" s="1">
        <f t="shared" si="178"/>
        <v>0</v>
      </c>
      <c r="AA268" s="1">
        <f t="shared" si="179"/>
        <v>0</v>
      </c>
      <c r="AB268" s="1">
        <f t="shared" si="180"/>
        <v>0</v>
      </c>
      <c r="AD268" s="1">
        <f t="shared" si="189"/>
        <v>0</v>
      </c>
      <c r="AE268" s="1">
        <f t="shared" si="190"/>
        <v>1</v>
      </c>
      <c r="AF268" s="1">
        <f t="shared" si="191"/>
        <v>0</v>
      </c>
      <c r="AG268" s="1">
        <f t="shared" si="192"/>
        <v>1</v>
      </c>
      <c r="AH268" s="1">
        <f t="shared" si="193"/>
        <v>0</v>
      </c>
      <c r="AI268" s="1">
        <f t="shared" si="194"/>
        <v>1</v>
      </c>
    </row>
    <row r="269" spans="1:35" ht="14.25" customHeight="1" x14ac:dyDescent="0.3">
      <c r="A269" s="31">
        <v>0</v>
      </c>
      <c r="B269" s="31">
        <v>1</v>
      </c>
      <c r="C269" s="31">
        <v>7</v>
      </c>
      <c r="D269" s="36" t="s">
        <v>93</v>
      </c>
      <c r="E269" s="32" t="s">
        <v>29</v>
      </c>
      <c r="F269" s="36" t="s">
        <v>288</v>
      </c>
      <c r="G269" s="36" t="s">
        <v>190</v>
      </c>
      <c r="H269" s="36" t="s">
        <v>354</v>
      </c>
      <c r="I269" s="37" t="s">
        <v>441</v>
      </c>
      <c r="J269" s="31">
        <v>99</v>
      </c>
      <c r="K269" s="33" t="s">
        <v>713</v>
      </c>
      <c r="L269" s="33" t="s">
        <v>694</v>
      </c>
      <c r="M269" s="34" t="s">
        <v>1408</v>
      </c>
      <c r="N269" s="34" t="s">
        <v>1750</v>
      </c>
      <c r="O269" s="35">
        <v>1</v>
      </c>
      <c r="P269" s="35"/>
      <c r="Q269" s="36"/>
      <c r="S269" s="1">
        <f t="shared" si="171"/>
        <v>0</v>
      </c>
      <c r="T269" s="1">
        <f t="shared" si="172"/>
        <v>0</v>
      </c>
      <c r="U269" s="1">
        <f t="shared" si="173"/>
        <v>0</v>
      </c>
      <c r="V269" s="1">
        <f t="shared" si="174"/>
        <v>0</v>
      </c>
      <c r="W269" s="1">
        <f t="shared" si="175"/>
        <v>0</v>
      </c>
      <c r="X269" s="1">
        <f t="shared" si="176"/>
        <v>0</v>
      </c>
      <c r="Y269" s="1">
        <f t="shared" si="177"/>
        <v>0</v>
      </c>
      <c r="Z269" s="1">
        <f t="shared" si="178"/>
        <v>0</v>
      </c>
      <c r="AA269" s="1">
        <f t="shared" si="179"/>
        <v>0</v>
      </c>
      <c r="AB269" s="1">
        <f t="shared" si="180"/>
        <v>0</v>
      </c>
      <c r="AD269" s="1">
        <f t="shared" si="181"/>
        <v>0</v>
      </c>
      <c r="AE269" s="1">
        <f t="shared" si="182"/>
        <v>1</v>
      </c>
      <c r="AF269" s="1">
        <f t="shared" si="167"/>
        <v>0</v>
      </c>
      <c r="AG269" s="1">
        <f t="shared" si="168"/>
        <v>1</v>
      </c>
      <c r="AH269" s="1">
        <f t="shared" si="169"/>
        <v>0</v>
      </c>
      <c r="AI269" s="1">
        <f t="shared" si="170"/>
        <v>1</v>
      </c>
    </row>
    <row r="270" spans="1:35" ht="14.25" customHeight="1" x14ac:dyDescent="0.3">
      <c r="A270" s="44">
        <v>0</v>
      </c>
      <c r="B270" s="44">
        <v>1</v>
      </c>
      <c r="C270" s="44">
        <v>7</v>
      </c>
      <c r="D270" s="45" t="s">
        <v>870</v>
      </c>
      <c r="E270" s="45" t="s">
        <v>29</v>
      </c>
      <c r="F270" s="45" t="s">
        <v>871</v>
      </c>
      <c r="G270" s="45" t="s">
        <v>194</v>
      </c>
      <c r="H270" s="45" t="s">
        <v>354</v>
      </c>
      <c r="I270" s="44" t="s">
        <v>872</v>
      </c>
      <c r="J270" s="44">
        <v>9</v>
      </c>
      <c r="K270" s="46" t="s">
        <v>713</v>
      </c>
      <c r="L270" s="46" t="s">
        <v>696</v>
      </c>
      <c r="M270" s="47" t="s">
        <v>708</v>
      </c>
      <c r="N270" s="47" t="s">
        <v>1735</v>
      </c>
      <c r="O270" s="48"/>
      <c r="P270" s="48"/>
      <c r="Q270" s="45"/>
      <c r="S270" s="1">
        <f t="shared" si="171"/>
        <v>0</v>
      </c>
      <c r="T270" s="1">
        <f t="shared" si="172"/>
        <v>0</v>
      </c>
      <c r="U270" s="1">
        <f t="shared" si="173"/>
        <v>0</v>
      </c>
      <c r="V270" s="1">
        <f t="shared" si="174"/>
        <v>0</v>
      </c>
      <c r="W270" s="1">
        <f t="shared" si="175"/>
        <v>0</v>
      </c>
      <c r="X270" s="1">
        <f t="shared" si="176"/>
        <v>0</v>
      </c>
      <c r="Y270" s="1">
        <f t="shared" si="177"/>
        <v>0</v>
      </c>
      <c r="Z270" s="1">
        <f t="shared" si="178"/>
        <v>0</v>
      </c>
      <c r="AA270" s="1">
        <f t="shared" si="179"/>
        <v>1</v>
      </c>
      <c r="AB270" s="1">
        <f t="shared" si="180"/>
        <v>0</v>
      </c>
      <c r="AD270" s="1">
        <f t="shared" si="181"/>
        <v>0</v>
      </c>
      <c r="AE270" s="1">
        <f t="shared" si="182"/>
        <v>0</v>
      </c>
      <c r="AF270" s="1">
        <f t="shared" si="167"/>
        <v>0</v>
      </c>
      <c r="AG270" s="1">
        <f t="shared" si="168"/>
        <v>0</v>
      </c>
      <c r="AH270" s="1">
        <f t="shared" si="169"/>
        <v>0</v>
      </c>
      <c r="AI270" s="1">
        <f t="shared" si="170"/>
        <v>1</v>
      </c>
    </row>
    <row r="271" spans="1:35" ht="14.25" customHeight="1" x14ac:dyDescent="0.3">
      <c r="A271" s="44">
        <v>1</v>
      </c>
      <c r="B271" s="44">
        <v>1</v>
      </c>
      <c r="C271" s="44">
        <v>7</v>
      </c>
      <c r="D271" s="45" t="s">
        <v>870</v>
      </c>
      <c r="E271" s="45" t="s">
        <v>29</v>
      </c>
      <c r="F271" s="45" t="s">
        <v>1068</v>
      </c>
      <c r="G271" s="45" t="s">
        <v>321</v>
      </c>
      <c r="H271" s="45" t="s">
        <v>354</v>
      </c>
      <c r="I271" s="44" t="s">
        <v>1069</v>
      </c>
      <c r="J271" s="44">
        <v>99</v>
      </c>
      <c r="K271" s="46" t="s">
        <v>713</v>
      </c>
      <c r="L271" s="46" t="s">
        <v>696</v>
      </c>
      <c r="M271" s="47" t="s">
        <v>708</v>
      </c>
      <c r="N271" s="47" t="s">
        <v>1735</v>
      </c>
      <c r="O271" s="48"/>
      <c r="P271" s="48"/>
      <c r="Q271" s="45"/>
      <c r="S271" s="1">
        <f t="shared" si="171"/>
        <v>0</v>
      </c>
      <c r="T271" s="1">
        <f t="shared" si="172"/>
        <v>0</v>
      </c>
      <c r="U271" s="1">
        <f t="shared" si="173"/>
        <v>0</v>
      </c>
      <c r="V271" s="1">
        <f t="shared" si="174"/>
        <v>0</v>
      </c>
      <c r="W271" s="1">
        <f t="shared" si="175"/>
        <v>0</v>
      </c>
      <c r="X271" s="1">
        <f t="shared" si="176"/>
        <v>0</v>
      </c>
      <c r="Y271" s="1">
        <f t="shared" si="177"/>
        <v>0</v>
      </c>
      <c r="Z271" s="1">
        <f t="shared" si="178"/>
        <v>0</v>
      </c>
      <c r="AA271" s="1">
        <f t="shared" si="179"/>
        <v>0</v>
      </c>
      <c r="AB271" s="1">
        <f t="shared" si="180"/>
        <v>0</v>
      </c>
      <c r="AD271" s="1">
        <f t="shared" si="181"/>
        <v>0</v>
      </c>
      <c r="AE271" s="1">
        <f t="shared" si="182"/>
        <v>0</v>
      </c>
      <c r="AF271" s="1">
        <f t="shared" si="167"/>
        <v>0</v>
      </c>
      <c r="AG271" s="1">
        <f t="shared" si="168"/>
        <v>0</v>
      </c>
      <c r="AH271" s="1">
        <f t="shared" si="169"/>
        <v>0</v>
      </c>
      <c r="AI271" s="1">
        <f t="shared" si="170"/>
        <v>0</v>
      </c>
    </row>
    <row r="272" spans="1:35" ht="14.25" customHeight="1" x14ac:dyDescent="0.3">
      <c r="A272" s="44">
        <v>1</v>
      </c>
      <c r="B272" s="44">
        <v>1</v>
      </c>
      <c r="C272" s="44">
        <v>7</v>
      </c>
      <c r="D272" s="45" t="s">
        <v>870</v>
      </c>
      <c r="E272" s="45" t="s">
        <v>29</v>
      </c>
      <c r="F272" s="65" t="s">
        <v>2025</v>
      </c>
      <c r="G272" s="65" t="s">
        <v>194</v>
      </c>
      <c r="H272" s="45" t="s">
        <v>354</v>
      </c>
      <c r="I272" s="64" t="s">
        <v>872</v>
      </c>
      <c r="J272" s="44">
        <v>9</v>
      </c>
      <c r="K272" s="46" t="s">
        <v>713</v>
      </c>
      <c r="L272" s="46" t="s">
        <v>696</v>
      </c>
      <c r="M272" s="47" t="s">
        <v>708</v>
      </c>
      <c r="N272" s="47" t="s">
        <v>1735</v>
      </c>
      <c r="O272" s="48"/>
      <c r="P272" s="48"/>
      <c r="Q272" s="45"/>
      <c r="S272" s="1">
        <f t="shared" ref="S272:S273" si="195">IF(J272=$S$7,1,0)</f>
        <v>0</v>
      </c>
      <c r="T272" s="1">
        <f t="shared" ref="T272:T273" si="196">IF(J272=$T$7,1,0)</f>
        <v>0</v>
      </c>
      <c r="U272" s="1">
        <f t="shared" ref="U272:U273" si="197">IF(J272=$U$7,1,0)</f>
        <v>0</v>
      </c>
      <c r="V272" s="1">
        <f t="shared" ref="V272:V273" si="198">IF(J272=$V$7,1,0)</f>
        <v>0</v>
      </c>
      <c r="W272" s="1">
        <f t="shared" ref="W272:W273" si="199">IF(J272=$W$7,1,0)</f>
        <v>0</v>
      </c>
      <c r="X272" s="1">
        <f t="shared" ref="X272:X273" si="200">IF(J272=$X$7,1,0)</f>
        <v>0</v>
      </c>
      <c r="Y272" s="1">
        <f t="shared" ref="Y272:Y273" si="201">IF(J272=$Y$7,1,0)</f>
        <v>0</v>
      </c>
      <c r="Z272" s="1">
        <f t="shared" ref="Z272:Z273" si="202">IF(J272=$Z$7,1,0)</f>
        <v>0</v>
      </c>
      <c r="AA272" s="1">
        <f t="shared" ref="AA272:AA273" si="203">IF(J272=$AA$7,1,0)</f>
        <v>1</v>
      </c>
      <c r="AB272" s="1">
        <f t="shared" ref="AB272:AB273" si="204">IF(J272=$AB$7,1,0)</f>
        <v>0</v>
      </c>
      <c r="AD272" s="1">
        <f t="shared" ref="AD272:AD273" si="205">+O272*P272</f>
        <v>0</v>
      </c>
      <c r="AE272" s="1">
        <f t="shared" ref="AE272:AE273" si="206">O272*(1-P272)</f>
        <v>0</v>
      </c>
      <c r="AF272" s="1">
        <f t="shared" ref="AF272:AF273" si="207">+O272*P272*(1-A272)</f>
        <v>0</v>
      </c>
      <c r="AG272" s="1">
        <f t="shared" ref="AG272:AG273" si="208">O272*(1-P272)*(1-A272)</f>
        <v>0</v>
      </c>
      <c r="AH272" s="1">
        <f t="shared" ref="AH272:AH273" si="209">+P272*(1-A272)</f>
        <v>0</v>
      </c>
      <c r="AI272" s="1">
        <f t="shared" ref="AI272:AI273" si="210">+(1-A272)*(1-P272)</f>
        <v>0</v>
      </c>
    </row>
    <row r="273" spans="1:35" ht="14.25" customHeight="1" x14ac:dyDescent="0.3">
      <c r="A273" s="44">
        <v>1</v>
      </c>
      <c r="B273" s="44">
        <v>1</v>
      </c>
      <c r="C273" s="44">
        <v>7</v>
      </c>
      <c r="D273" s="45" t="s">
        <v>870</v>
      </c>
      <c r="E273" s="45" t="s">
        <v>29</v>
      </c>
      <c r="F273" s="65" t="s">
        <v>2027</v>
      </c>
      <c r="G273" s="65" t="s">
        <v>209</v>
      </c>
      <c r="H273" s="45" t="s">
        <v>354</v>
      </c>
      <c r="I273" s="64" t="s">
        <v>2026</v>
      </c>
      <c r="J273" s="44">
        <v>99</v>
      </c>
      <c r="K273" s="46" t="s">
        <v>713</v>
      </c>
      <c r="L273" s="46" t="s">
        <v>696</v>
      </c>
      <c r="M273" s="47" t="s">
        <v>708</v>
      </c>
      <c r="N273" s="47" t="s">
        <v>1735</v>
      </c>
      <c r="O273" s="48"/>
      <c r="P273" s="48"/>
      <c r="Q273" s="45"/>
      <c r="S273" s="1">
        <f t="shared" si="195"/>
        <v>0</v>
      </c>
      <c r="T273" s="1">
        <f t="shared" si="196"/>
        <v>0</v>
      </c>
      <c r="U273" s="1">
        <f t="shared" si="197"/>
        <v>0</v>
      </c>
      <c r="V273" s="1">
        <f t="shared" si="198"/>
        <v>0</v>
      </c>
      <c r="W273" s="1">
        <f t="shared" si="199"/>
        <v>0</v>
      </c>
      <c r="X273" s="1">
        <f t="shared" si="200"/>
        <v>0</v>
      </c>
      <c r="Y273" s="1">
        <f t="shared" si="201"/>
        <v>0</v>
      </c>
      <c r="Z273" s="1">
        <f t="shared" si="202"/>
        <v>0</v>
      </c>
      <c r="AA273" s="1">
        <f t="shared" si="203"/>
        <v>0</v>
      </c>
      <c r="AB273" s="1">
        <f t="shared" si="204"/>
        <v>0</v>
      </c>
      <c r="AD273" s="1">
        <f t="shared" si="205"/>
        <v>0</v>
      </c>
      <c r="AE273" s="1">
        <f t="shared" si="206"/>
        <v>0</v>
      </c>
      <c r="AF273" s="1">
        <f t="shared" si="207"/>
        <v>0</v>
      </c>
      <c r="AG273" s="1">
        <f t="shared" si="208"/>
        <v>0</v>
      </c>
      <c r="AH273" s="1">
        <f t="shared" si="209"/>
        <v>0</v>
      </c>
      <c r="AI273" s="1">
        <f t="shared" si="210"/>
        <v>0</v>
      </c>
    </row>
    <row r="274" spans="1:35" ht="14.25" customHeight="1" x14ac:dyDescent="0.3">
      <c r="A274" s="31">
        <v>0</v>
      </c>
      <c r="B274" s="31">
        <v>1</v>
      </c>
      <c r="C274" s="31">
        <v>7</v>
      </c>
      <c r="D274" s="36" t="s">
        <v>96</v>
      </c>
      <c r="E274" s="32" t="s">
        <v>29</v>
      </c>
      <c r="F274" s="36" t="s">
        <v>292</v>
      </c>
      <c r="G274" s="36" t="s">
        <v>293</v>
      </c>
      <c r="H274" s="36" t="s">
        <v>354</v>
      </c>
      <c r="I274" s="37" t="s">
        <v>1117</v>
      </c>
      <c r="J274" s="31">
        <v>99</v>
      </c>
      <c r="K274" s="33" t="s">
        <v>713</v>
      </c>
      <c r="L274" s="33" t="s">
        <v>696</v>
      </c>
      <c r="M274" s="34" t="s">
        <v>708</v>
      </c>
      <c r="N274" s="34" t="s">
        <v>1748</v>
      </c>
      <c r="O274" s="35">
        <v>1</v>
      </c>
      <c r="P274" s="35"/>
      <c r="Q274" s="36"/>
      <c r="S274" s="1">
        <f t="shared" si="171"/>
        <v>0</v>
      </c>
      <c r="T274" s="1">
        <f t="shared" si="172"/>
        <v>0</v>
      </c>
      <c r="U274" s="1">
        <f t="shared" si="173"/>
        <v>0</v>
      </c>
      <c r="V274" s="1">
        <f t="shared" si="174"/>
        <v>0</v>
      </c>
      <c r="W274" s="1">
        <f t="shared" si="175"/>
        <v>0</v>
      </c>
      <c r="X274" s="1">
        <f t="shared" si="176"/>
        <v>0</v>
      </c>
      <c r="Y274" s="1">
        <f t="shared" si="177"/>
        <v>0</v>
      </c>
      <c r="Z274" s="1">
        <f t="shared" si="178"/>
        <v>0</v>
      </c>
      <c r="AA274" s="1">
        <f t="shared" si="179"/>
        <v>0</v>
      </c>
      <c r="AB274" s="1">
        <f t="shared" si="180"/>
        <v>0</v>
      </c>
      <c r="AD274" s="1">
        <f t="shared" si="181"/>
        <v>0</v>
      </c>
      <c r="AE274" s="1">
        <f t="shared" si="182"/>
        <v>1</v>
      </c>
      <c r="AF274" s="1">
        <f t="shared" si="167"/>
        <v>0</v>
      </c>
      <c r="AG274" s="1">
        <f t="shared" si="168"/>
        <v>1</v>
      </c>
      <c r="AH274" s="1">
        <f t="shared" si="169"/>
        <v>0</v>
      </c>
      <c r="AI274" s="1">
        <f t="shared" si="170"/>
        <v>1</v>
      </c>
    </row>
    <row r="275" spans="1:35" ht="14.25" customHeight="1" x14ac:dyDescent="0.3">
      <c r="A275" s="44">
        <v>0</v>
      </c>
      <c r="B275" s="44">
        <v>1</v>
      </c>
      <c r="C275" s="44">
        <v>7</v>
      </c>
      <c r="D275" s="45" t="s">
        <v>532</v>
      </c>
      <c r="E275" s="45" t="s">
        <v>29</v>
      </c>
      <c r="F275" s="45" t="s">
        <v>665</v>
      </c>
      <c r="G275" s="45" t="s">
        <v>39</v>
      </c>
      <c r="H275" s="45" t="s">
        <v>533</v>
      </c>
      <c r="I275" s="44" t="s">
        <v>1690</v>
      </c>
      <c r="J275" s="44">
        <v>14</v>
      </c>
      <c r="K275" s="46" t="s">
        <v>954</v>
      </c>
      <c r="L275" s="46">
        <v>40</v>
      </c>
      <c r="M275" s="47" t="s">
        <v>708</v>
      </c>
      <c r="N275" s="47" t="s">
        <v>1735</v>
      </c>
      <c r="O275" s="48"/>
      <c r="P275" s="48"/>
      <c r="Q275" s="45"/>
      <c r="S275" s="1">
        <f t="shared" si="171"/>
        <v>0</v>
      </c>
      <c r="T275" s="1">
        <f t="shared" si="172"/>
        <v>0</v>
      </c>
      <c r="U275" s="1">
        <f t="shared" si="173"/>
        <v>0</v>
      </c>
      <c r="V275" s="1">
        <f t="shared" si="174"/>
        <v>0</v>
      </c>
      <c r="W275" s="1">
        <f t="shared" si="175"/>
        <v>0</v>
      </c>
      <c r="X275" s="1">
        <f t="shared" si="176"/>
        <v>0</v>
      </c>
      <c r="Y275" s="1">
        <f t="shared" si="177"/>
        <v>0</v>
      </c>
      <c r="Z275" s="1">
        <f t="shared" si="178"/>
        <v>0</v>
      </c>
      <c r="AA275" s="1">
        <f t="shared" si="179"/>
        <v>0</v>
      </c>
      <c r="AB275" s="1">
        <f t="shared" si="180"/>
        <v>0</v>
      </c>
      <c r="AD275" s="1">
        <f t="shared" si="181"/>
        <v>0</v>
      </c>
      <c r="AE275" s="1">
        <f t="shared" si="182"/>
        <v>0</v>
      </c>
      <c r="AF275" s="1">
        <f t="shared" si="167"/>
        <v>0</v>
      </c>
      <c r="AG275" s="1">
        <f t="shared" si="168"/>
        <v>0</v>
      </c>
      <c r="AH275" s="1">
        <f t="shared" si="169"/>
        <v>0</v>
      </c>
      <c r="AI275" s="1">
        <f t="shared" si="170"/>
        <v>1</v>
      </c>
    </row>
    <row r="276" spans="1:35" ht="14.25" customHeight="1" x14ac:dyDescent="0.3">
      <c r="A276" s="31">
        <v>0</v>
      </c>
      <c r="B276" s="31">
        <v>1</v>
      </c>
      <c r="C276" s="31">
        <v>7</v>
      </c>
      <c r="D276" s="36" t="s">
        <v>1321</v>
      </c>
      <c r="E276" s="32" t="s">
        <v>29</v>
      </c>
      <c r="F276" s="36" t="s">
        <v>1345</v>
      </c>
      <c r="G276" s="36" t="s">
        <v>39</v>
      </c>
      <c r="H276" s="36" t="s">
        <v>354</v>
      </c>
      <c r="I276" s="37" t="s">
        <v>1150</v>
      </c>
      <c r="J276" s="31">
        <v>99</v>
      </c>
      <c r="K276" s="33" t="s">
        <v>713</v>
      </c>
      <c r="L276" s="33" t="s">
        <v>693</v>
      </c>
      <c r="M276" s="34" t="s">
        <v>1409</v>
      </c>
      <c r="N276" s="34" t="s">
        <v>1733</v>
      </c>
      <c r="O276" s="35">
        <v>1</v>
      </c>
      <c r="P276" s="35">
        <v>1</v>
      </c>
      <c r="Q276" s="36"/>
      <c r="S276" s="1">
        <f t="shared" si="171"/>
        <v>0</v>
      </c>
      <c r="T276" s="1">
        <f t="shared" si="172"/>
        <v>0</v>
      </c>
      <c r="U276" s="1">
        <f t="shared" si="173"/>
        <v>0</v>
      </c>
      <c r="V276" s="1">
        <f t="shared" si="174"/>
        <v>0</v>
      </c>
      <c r="W276" s="1">
        <f t="shared" si="175"/>
        <v>0</v>
      </c>
      <c r="X276" s="1">
        <f t="shared" si="176"/>
        <v>0</v>
      </c>
      <c r="Y276" s="1">
        <f t="shared" si="177"/>
        <v>0</v>
      </c>
      <c r="Z276" s="1">
        <f t="shared" si="178"/>
        <v>0</v>
      </c>
      <c r="AA276" s="1">
        <f t="shared" si="179"/>
        <v>0</v>
      </c>
      <c r="AB276" s="1">
        <f t="shared" si="180"/>
        <v>0</v>
      </c>
      <c r="AD276" s="1">
        <f t="shared" si="181"/>
        <v>1</v>
      </c>
      <c r="AE276" s="1">
        <f t="shared" si="182"/>
        <v>0</v>
      </c>
      <c r="AF276" s="1">
        <f t="shared" si="167"/>
        <v>1</v>
      </c>
      <c r="AG276" s="1">
        <f t="shared" si="168"/>
        <v>0</v>
      </c>
      <c r="AH276" s="1">
        <f t="shared" si="169"/>
        <v>1</v>
      </c>
      <c r="AI276" s="1">
        <f t="shared" si="170"/>
        <v>0</v>
      </c>
    </row>
    <row r="277" spans="1:35" ht="14.25" customHeight="1" x14ac:dyDescent="0.3">
      <c r="A277" s="44">
        <v>0</v>
      </c>
      <c r="B277" s="44">
        <v>1</v>
      </c>
      <c r="C277" s="44">
        <v>7</v>
      </c>
      <c r="D277" s="45" t="s">
        <v>97</v>
      </c>
      <c r="E277" s="45" t="s">
        <v>29</v>
      </c>
      <c r="F277" s="45" t="s">
        <v>295</v>
      </c>
      <c r="G277" s="45" t="s">
        <v>263</v>
      </c>
      <c r="H277" s="45" t="s">
        <v>354</v>
      </c>
      <c r="I277" s="44" t="s">
        <v>445</v>
      </c>
      <c r="J277" s="44">
        <v>1</v>
      </c>
      <c r="K277" s="46" t="s">
        <v>713</v>
      </c>
      <c r="L277" s="46" t="s">
        <v>694</v>
      </c>
      <c r="M277" s="47" t="s">
        <v>708</v>
      </c>
      <c r="N277" s="47" t="s">
        <v>1735</v>
      </c>
      <c r="O277" s="48"/>
      <c r="P277" s="48"/>
      <c r="Q277" s="45"/>
      <c r="S277" s="1">
        <f t="shared" si="171"/>
        <v>1</v>
      </c>
      <c r="T277" s="1">
        <f t="shared" si="172"/>
        <v>0</v>
      </c>
      <c r="U277" s="1">
        <f t="shared" si="173"/>
        <v>0</v>
      </c>
      <c r="V277" s="1">
        <f t="shared" si="174"/>
        <v>0</v>
      </c>
      <c r="W277" s="1">
        <f t="shared" si="175"/>
        <v>0</v>
      </c>
      <c r="X277" s="1">
        <f t="shared" si="176"/>
        <v>0</v>
      </c>
      <c r="Y277" s="1">
        <f t="shared" si="177"/>
        <v>0</v>
      </c>
      <c r="Z277" s="1">
        <f t="shared" si="178"/>
        <v>0</v>
      </c>
      <c r="AA277" s="1">
        <f t="shared" si="179"/>
        <v>0</v>
      </c>
      <c r="AB277" s="1">
        <f t="shared" si="180"/>
        <v>0</v>
      </c>
      <c r="AD277" s="1">
        <f t="shared" si="181"/>
        <v>0</v>
      </c>
      <c r="AE277" s="1">
        <f t="shared" si="182"/>
        <v>0</v>
      </c>
      <c r="AF277" s="1">
        <f t="shared" ref="AF277:AF342" si="211">+O277*P277*(1-A277)</f>
        <v>0</v>
      </c>
      <c r="AG277" s="1">
        <f t="shared" ref="AG277:AG342" si="212">O277*(1-P277)*(1-A277)</f>
        <v>0</v>
      </c>
      <c r="AH277" s="1">
        <f t="shared" ref="AH277:AH342" si="213">+P277*(1-A277)</f>
        <v>0</v>
      </c>
      <c r="AI277" s="1">
        <f t="shared" ref="AI277:AI342" si="214">+(1-A277)*(1-P277)</f>
        <v>1</v>
      </c>
    </row>
    <row r="278" spans="1:35" ht="14.25" customHeight="1" x14ac:dyDescent="0.3">
      <c r="A278" s="15">
        <v>0</v>
      </c>
      <c r="B278" s="15">
        <v>1</v>
      </c>
      <c r="C278" s="15">
        <v>7</v>
      </c>
      <c r="D278" s="16" t="s">
        <v>755</v>
      </c>
      <c r="E278" s="16" t="s">
        <v>29</v>
      </c>
      <c r="F278" s="16" t="s">
        <v>756</v>
      </c>
      <c r="G278" s="16" t="s">
        <v>39</v>
      </c>
      <c r="H278" s="16" t="s">
        <v>757</v>
      </c>
      <c r="I278" s="15" t="s">
        <v>758</v>
      </c>
      <c r="J278" s="15">
        <v>18</v>
      </c>
      <c r="K278" s="10" t="s">
        <v>703</v>
      </c>
      <c r="L278" s="10" t="s">
        <v>697</v>
      </c>
      <c r="M278" s="19" t="s">
        <v>708</v>
      </c>
      <c r="N278" s="17"/>
      <c r="Q278" s="16"/>
      <c r="S278" s="1">
        <f t="shared" si="171"/>
        <v>0</v>
      </c>
      <c r="T278" s="1">
        <f t="shared" si="172"/>
        <v>0</v>
      </c>
      <c r="U278" s="1">
        <f t="shared" si="173"/>
        <v>0</v>
      </c>
      <c r="V278" s="1">
        <f t="shared" si="174"/>
        <v>0</v>
      </c>
      <c r="W278" s="1">
        <f t="shared" si="175"/>
        <v>0</v>
      </c>
      <c r="X278" s="1">
        <f t="shared" si="176"/>
        <v>0</v>
      </c>
      <c r="Y278" s="1">
        <f t="shared" si="177"/>
        <v>0</v>
      </c>
      <c r="Z278" s="1">
        <f t="shared" si="178"/>
        <v>0</v>
      </c>
      <c r="AA278" s="1">
        <f t="shared" si="179"/>
        <v>0</v>
      </c>
      <c r="AB278" s="1">
        <f t="shared" si="180"/>
        <v>0</v>
      </c>
      <c r="AD278" s="1">
        <f t="shared" si="181"/>
        <v>0</v>
      </c>
      <c r="AE278" s="1">
        <f t="shared" si="182"/>
        <v>0</v>
      </c>
      <c r="AF278" s="1">
        <f t="shared" si="211"/>
        <v>0</v>
      </c>
      <c r="AG278" s="1">
        <f t="shared" si="212"/>
        <v>0</v>
      </c>
      <c r="AH278" s="1">
        <f t="shared" si="213"/>
        <v>0</v>
      </c>
      <c r="AI278" s="1">
        <f t="shared" si="214"/>
        <v>1</v>
      </c>
    </row>
    <row r="279" spans="1:35" ht="14.25" customHeight="1" x14ac:dyDescent="0.3">
      <c r="A279" s="15">
        <v>1</v>
      </c>
      <c r="B279" s="15">
        <v>1</v>
      </c>
      <c r="C279" s="15">
        <v>7</v>
      </c>
      <c r="D279" s="16" t="s">
        <v>755</v>
      </c>
      <c r="E279" s="16" t="s">
        <v>29</v>
      </c>
      <c r="F279" s="16" t="s">
        <v>759</v>
      </c>
      <c r="G279" s="16" t="s">
        <v>39</v>
      </c>
      <c r="H279" s="16" t="s">
        <v>745</v>
      </c>
      <c r="I279" s="15" t="s">
        <v>760</v>
      </c>
      <c r="J279" s="15">
        <v>17</v>
      </c>
      <c r="K279" s="10" t="s">
        <v>703</v>
      </c>
      <c r="L279" s="10" t="s">
        <v>697</v>
      </c>
      <c r="M279" s="19" t="s">
        <v>708</v>
      </c>
      <c r="N279" s="17"/>
      <c r="Q279" s="16"/>
      <c r="S279" s="1">
        <f t="shared" si="171"/>
        <v>0</v>
      </c>
      <c r="T279" s="1">
        <f t="shared" si="172"/>
        <v>0</v>
      </c>
      <c r="U279" s="1">
        <f t="shared" si="173"/>
        <v>0</v>
      </c>
      <c r="V279" s="1">
        <f t="shared" si="174"/>
        <v>0</v>
      </c>
      <c r="W279" s="1">
        <f t="shared" si="175"/>
        <v>0</v>
      </c>
      <c r="X279" s="1">
        <f t="shared" si="176"/>
        <v>0</v>
      </c>
      <c r="Y279" s="1">
        <f t="shared" si="177"/>
        <v>0</v>
      </c>
      <c r="Z279" s="1">
        <f t="shared" si="178"/>
        <v>0</v>
      </c>
      <c r="AA279" s="1">
        <f t="shared" si="179"/>
        <v>0</v>
      </c>
      <c r="AB279" s="1">
        <f t="shared" si="180"/>
        <v>0</v>
      </c>
      <c r="AD279" s="1">
        <f t="shared" si="181"/>
        <v>0</v>
      </c>
      <c r="AE279" s="1">
        <f t="shared" si="182"/>
        <v>0</v>
      </c>
      <c r="AF279" s="1">
        <f t="shared" si="211"/>
        <v>0</v>
      </c>
      <c r="AG279" s="1">
        <f t="shared" si="212"/>
        <v>0</v>
      </c>
      <c r="AH279" s="1">
        <f t="shared" si="213"/>
        <v>0</v>
      </c>
      <c r="AI279" s="1">
        <f t="shared" si="214"/>
        <v>0</v>
      </c>
    </row>
    <row r="280" spans="1:35" ht="14.25" customHeight="1" x14ac:dyDescent="0.3">
      <c r="A280" s="31">
        <v>0</v>
      </c>
      <c r="B280" s="31">
        <v>1</v>
      </c>
      <c r="C280" s="31">
        <v>7</v>
      </c>
      <c r="D280" s="36" t="s">
        <v>1518</v>
      </c>
      <c r="E280" s="32" t="s">
        <v>29</v>
      </c>
      <c r="F280" s="36" t="s">
        <v>1671</v>
      </c>
      <c r="G280" s="36" t="s">
        <v>1672</v>
      </c>
      <c r="H280" s="36" t="s">
        <v>354</v>
      </c>
      <c r="I280" s="37" t="s">
        <v>1519</v>
      </c>
      <c r="J280" s="31">
        <v>99</v>
      </c>
      <c r="K280" s="33" t="s">
        <v>713</v>
      </c>
      <c r="L280" s="33" t="s">
        <v>39</v>
      </c>
      <c r="M280" s="34" t="s">
        <v>39</v>
      </c>
      <c r="N280" s="34" t="s">
        <v>1727</v>
      </c>
      <c r="O280" s="35">
        <v>1</v>
      </c>
      <c r="P280" s="35">
        <v>1</v>
      </c>
      <c r="Q280" s="36"/>
      <c r="S280" s="1">
        <f t="shared" si="171"/>
        <v>0</v>
      </c>
      <c r="T280" s="1">
        <f t="shared" si="172"/>
        <v>0</v>
      </c>
      <c r="U280" s="1">
        <f t="shared" si="173"/>
        <v>0</v>
      </c>
      <c r="V280" s="1">
        <f t="shared" si="174"/>
        <v>0</v>
      </c>
      <c r="W280" s="1">
        <f t="shared" si="175"/>
        <v>0</v>
      </c>
      <c r="X280" s="1">
        <f t="shared" si="176"/>
        <v>0</v>
      </c>
      <c r="Y280" s="1">
        <f t="shared" si="177"/>
        <v>0</v>
      </c>
      <c r="Z280" s="1">
        <f t="shared" si="178"/>
        <v>0</v>
      </c>
      <c r="AA280" s="1">
        <f t="shared" si="179"/>
        <v>0</v>
      </c>
      <c r="AB280" s="1">
        <f t="shared" si="180"/>
        <v>0</v>
      </c>
      <c r="AD280" s="1">
        <f t="shared" si="181"/>
        <v>1</v>
      </c>
      <c r="AE280" s="1">
        <f t="shared" si="182"/>
        <v>0</v>
      </c>
      <c r="AF280" s="1">
        <f t="shared" si="211"/>
        <v>1</v>
      </c>
      <c r="AG280" s="1">
        <f t="shared" si="212"/>
        <v>0</v>
      </c>
      <c r="AH280" s="1">
        <f t="shared" si="213"/>
        <v>1</v>
      </c>
      <c r="AI280" s="1">
        <f t="shared" si="214"/>
        <v>0</v>
      </c>
    </row>
    <row r="281" spans="1:35" ht="14.25" customHeight="1" x14ac:dyDescent="0.3">
      <c r="A281" s="44">
        <v>0</v>
      </c>
      <c r="B281" s="44">
        <v>1</v>
      </c>
      <c r="C281" s="44">
        <v>7</v>
      </c>
      <c r="D281" s="45" t="s">
        <v>1144</v>
      </c>
      <c r="E281" s="45" t="s">
        <v>29</v>
      </c>
      <c r="F281" s="45" t="s">
        <v>1145</v>
      </c>
      <c r="G281" s="45" t="s">
        <v>1147</v>
      </c>
      <c r="H281" s="45" t="s">
        <v>354</v>
      </c>
      <c r="I281" s="44" t="s">
        <v>1146</v>
      </c>
      <c r="J281" s="44">
        <v>99</v>
      </c>
      <c r="K281" s="46" t="s">
        <v>703</v>
      </c>
      <c r="L281" s="46">
        <v>30</v>
      </c>
      <c r="M281" s="47" t="s">
        <v>1410</v>
      </c>
      <c r="N281" s="47" t="s">
        <v>1809</v>
      </c>
      <c r="O281" s="48"/>
      <c r="P281" s="48"/>
      <c r="Q281" s="45"/>
      <c r="S281" s="1">
        <f t="shared" ref="S281:S346" si="215">IF(J281=$S$7,1,0)</f>
        <v>0</v>
      </c>
      <c r="T281" s="1">
        <f t="shared" ref="T281:T346" si="216">IF(J281=$T$7,1,0)</f>
        <v>0</v>
      </c>
      <c r="U281" s="1">
        <f t="shared" ref="U281:U346" si="217">IF(J281=$U$7,1,0)</f>
        <v>0</v>
      </c>
      <c r="V281" s="1">
        <f t="shared" ref="V281:V346" si="218">IF(J281=$V$7,1,0)</f>
        <v>0</v>
      </c>
      <c r="W281" s="1">
        <f t="shared" ref="W281:W346" si="219">IF(J281=$W$7,1,0)</f>
        <v>0</v>
      </c>
      <c r="X281" s="1">
        <f t="shared" ref="X281:X346" si="220">IF(J281=$X$7,1,0)</f>
        <v>0</v>
      </c>
      <c r="Y281" s="1">
        <f t="shared" ref="Y281:Y346" si="221">IF(J281=$Y$7,1,0)</f>
        <v>0</v>
      </c>
      <c r="Z281" s="1">
        <f t="shared" ref="Z281:Z346" si="222">IF(J281=$Z$7,1,0)</f>
        <v>0</v>
      </c>
      <c r="AA281" s="1">
        <f t="shared" ref="AA281:AA346" si="223">IF(J281=$AA$7,1,0)</f>
        <v>0</v>
      </c>
      <c r="AB281" s="1">
        <f t="shared" ref="AB281:AB346" si="224">IF(J281=$AB$7,1,0)</f>
        <v>0</v>
      </c>
      <c r="AD281" s="1">
        <f t="shared" ref="AD281:AD346" si="225">+O281*P281</f>
        <v>0</v>
      </c>
      <c r="AE281" s="1">
        <f t="shared" ref="AE281:AE346" si="226">O281*(1-P281)</f>
        <v>0</v>
      </c>
      <c r="AF281" s="1">
        <f t="shared" si="211"/>
        <v>0</v>
      </c>
      <c r="AG281" s="1">
        <f t="shared" si="212"/>
        <v>0</v>
      </c>
      <c r="AH281" s="1">
        <f t="shared" si="213"/>
        <v>0</v>
      </c>
      <c r="AI281" s="1">
        <f t="shared" si="214"/>
        <v>1</v>
      </c>
    </row>
    <row r="282" spans="1:35" ht="14.25" customHeight="1" x14ac:dyDescent="0.3">
      <c r="A282" s="31">
        <v>0</v>
      </c>
      <c r="B282" s="31">
        <v>1</v>
      </c>
      <c r="C282" s="31">
        <v>7</v>
      </c>
      <c r="D282" s="32" t="s">
        <v>99</v>
      </c>
      <c r="E282" s="32" t="s">
        <v>29</v>
      </c>
      <c r="F282" s="32" t="s">
        <v>297</v>
      </c>
      <c r="G282" s="32" t="s">
        <v>197</v>
      </c>
      <c r="H282" s="32" t="s">
        <v>354</v>
      </c>
      <c r="I282" s="31" t="s">
        <v>446</v>
      </c>
      <c r="J282" s="31">
        <v>9</v>
      </c>
      <c r="K282" s="33" t="s">
        <v>703</v>
      </c>
      <c r="L282" s="33">
        <v>30</v>
      </c>
      <c r="M282" s="34" t="s">
        <v>708</v>
      </c>
      <c r="N282" s="34" t="s">
        <v>1743</v>
      </c>
      <c r="O282" s="35">
        <v>1</v>
      </c>
      <c r="P282" s="35"/>
      <c r="Q282" s="32"/>
      <c r="S282" s="1">
        <f t="shared" si="215"/>
        <v>0</v>
      </c>
      <c r="T282" s="1">
        <f t="shared" si="216"/>
        <v>0</v>
      </c>
      <c r="U282" s="1">
        <f t="shared" si="217"/>
        <v>0</v>
      </c>
      <c r="V282" s="1">
        <f t="shared" si="218"/>
        <v>0</v>
      </c>
      <c r="W282" s="1">
        <f t="shared" si="219"/>
        <v>0</v>
      </c>
      <c r="X282" s="1">
        <f t="shared" si="220"/>
        <v>0</v>
      </c>
      <c r="Y282" s="1">
        <f t="shared" si="221"/>
        <v>0</v>
      </c>
      <c r="Z282" s="1">
        <f t="shared" si="222"/>
        <v>0</v>
      </c>
      <c r="AA282" s="1">
        <f t="shared" si="223"/>
        <v>1</v>
      </c>
      <c r="AB282" s="1">
        <f t="shared" si="224"/>
        <v>0</v>
      </c>
      <c r="AD282" s="1">
        <f t="shared" si="225"/>
        <v>0</v>
      </c>
      <c r="AE282" s="1">
        <f t="shared" si="226"/>
        <v>1</v>
      </c>
      <c r="AF282" s="1">
        <f t="shared" si="211"/>
        <v>0</v>
      </c>
      <c r="AG282" s="1">
        <f t="shared" si="212"/>
        <v>1</v>
      </c>
      <c r="AH282" s="1">
        <f t="shared" si="213"/>
        <v>0</v>
      </c>
      <c r="AI282" s="1">
        <f t="shared" si="214"/>
        <v>1</v>
      </c>
    </row>
    <row r="283" spans="1:35" ht="14.25" customHeight="1" x14ac:dyDescent="0.3">
      <c r="A283" s="44">
        <v>0</v>
      </c>
      <c r="B283" s="44">
        <v>1</v>
      </c>
      <c r="C283" s="44">
        <v>7</v>
      </c>
      <c r="D283" s="45" t="s">
        <v>803</v>
      </c>
      <c r="E283" s="45" t="s">
        <v>29</v>
      </c>
      <c r="F283" s="45" t="s">
        <v>782</v>
      </c>
      <c r="G283" s="45" t="s">
        <v>804</v>
      </c>
      <c r="H283" s="45" t="s">
        <v>354</v>
      </c>
      <c r="I283" s="44" t="s">
        <v>952</v>
      </c>
      <c r="J283" s="44">
        <v>99</v>
      </c>
      <c r="K283" s="46" t="s">
        <v>713</v>
      </c>
      <c r="L283" s="46" t="s">
        <v>694</v>
      </c>
      <c r="M283" s="47" t="s">
        <v>708</v>
      </c>
      <c r="N283" s="47" t="s">
        <v>1802</v>
      </c>
      <c r="O283" s="48"/>
      <c r="P283" s="48"/>
      <c r="Q283" s="45"/>
      <c r="S283" s="1">
        <f t="shared" si="215"/>
        <v>0</v>
      </c>
      <c r="T283" s="1">
        <f t="shared" si="216"/>
        <v>0</v>
      </c>
      <c r="U283" s="1">
        <f t="shared" si="217"/>
        <v>0</v>
      </c>
      <c r="V283" s="1">
        <f t="shared" si="218"/>
        <v>0</v>
      </c>
      <c r="W283" s="1">
        <f t="shared" si="219"/>
        <v>0</v>
      </c>
      <c r="X283" s="1">
        <f t="shared" si="220"/>
        <v>0</v>
      </c>
      <c r="Y283" s="1">
        <f t="shared" si="221"/>
        <v>0</v>
      </c>
      <c r="Z283" s="1">
        <f t="shared" si="222"/>
        <v>0</v>
      </c>
      <c r="AA283" s="1">
        <f t="shared" si="223"/>
        <v>0</v>
      </c>
      <c r="AB283" s="1">
        <f t="shared" si="224"/>
        <v>0</v>
      </c>
      <c r="AD283" s="1">
        <f t="shared" si="225"/>
        <v>0</v>
      </c>
      <c r="AE283" s="1">
        <f t="shared" si="226"/>
        <v>0</v>
      </c>
      <c r="AF283" s="1">
        <f t="shared" si="211"/>
        <v>0</v>
      </c>
      <c r="AG283" s="1">
        <f t="shared" si="212"/>
        <v>0</v>
      </c>
      <c r="AH283" s="1">
        <f t="shared" si="213"/>
        <v>0</v>
      </c>
      <c r="AI283" s="1">
        <f t="shared" si="214"/>
        <v>1</v>
      </c>
    </row>
    <row r="284" spans="1:35" ht="14.25" customHeight="1" x14ac:dyDescent="0.3">
      <c r="A284" s="44">
        <v>0</v>
      </c>
      <c r="B284" s="44">
        <v>1</v>
      </c>
      <c r="C284" s="44">
        <v>7</v>
      </c>
      <c r="D284" s="45" t="s">
        <v>1324</v>
      </c>
      <c r="E284" s="45" t="s">
        <v>29</v>
      </c>
      <c r="F284" s="45" t="s">
        <v>1347</v>
      </c>
      <c r="G284" s="45" t="s">
        <v>1181</v>
      </c>
      <c r="H284" s="45" t="s">
        <v>354</v>
      </c>
      <c r="I284" s="44" t="s">
        <v>1692</v>
      </c>
      <c r="J284" s="44">
        <v>99</v>
      </c>
      <c r="K284" s="46" t="s">
        <v>713</v>
      </c>
      <c r="L284" s="46" t="s">
        <v>694</v>
      </c>
      <c r="M284" s="47" t="s">
        <v>1411</v>
      </c>
      <c r="N284" s="47" t="s">
        <v>1738</v>
      </c>
      <c r="O284" s="48"/>
      <c r="P284" s="48"/>
      <c r="Q284" s="45"/>
      <c r="S284" s="1">
        <f t="shared" si="215"/>
        <v>0</v>
      </c>
      <c r="T284" s="1">
        <f t="shared" si="216"/>
        <v>0</v>
      </c>
      <c r="U284" s="1">
        <f t="shared" si="217"/>
        <v>0</v>
      </c>
      <c r="V284" s="1">
        <f t="shared" si="218"/>
        <v>0</v>
      </c>
      <c r="W284" s="1">
        <f t="shared" si="219"/>
        <v>0</v>
      </c>
      <c r="X284" s="1">
        <f t="shared" si="220"/>
        <v>0</v>
      </c>
      <c r="Y284" s="1">
        <f t="shared" si="221"/>
        <v>0</v>
      </c>
      <c r="Z284" s="1">
        <f t="shared" si="222"/>
        <v>0</v>
      </c>
      <c r="AA284" s="1">
        <f t="shared" si="223"/>
        <v>0</v>
      </c>
      <c r="AB284" s="1">
        <f t="shared" si="224"/>
        <v>0</v>
      </c>
      <c r="AD284" s="1">
        <f t="shared" si="225"/>
        <v>0</v>
      </c>
      <c r="AE284" s="1">
        <f t="shared" si="226"/>
        <v>0</v>
      </c>
      <c r="AF284" s="1">
        <f t="shared" si="211"/>
        <v>0</v>
      </c>
      <c r="AG284" s="1">
        <f t="shared" si="212"/>
        <v>0</v>
      </c>
      <c r="AH284" s="1">
        <f t="shared" si="213"/>
        <v>0</v>
      </c>
      <c r="AI284" s="1">
        <f t="shared" si="214"/>
        <v>1</v>
      </c>
    </row>
    <row r="285" spans="1:35" ht="14.25" customHeight="1" x14ac:dyDescent="0.3">
      <c r="A285" s="15">
        <v>0</v>
      </c>
      <c r="B285" s="15">
        <v>1</v>
      </c>
      <c r="C285" s="15">
        <v>7</v>
      </c>
      <c r="D285" s="16" t="s">
        <v>1279</v>
      </c>
      <c r="E285" s="16" t="s">
        <v>29</v>
      </c>
      <c r="F285" s="16" t="s">
        <v>1280</v>
      </c>
      <c r="G285" s="16" t="s">
        <v>1281</v>
      </c>
      <c r="H285" s="16" t="s">
        <v>354</v>
      </c>
      <c r="I285" s="15" t="s">
        <v>1282</v>
      </c>
      <c r="J285" s="15">
        <v>99</v>
      </c>
      <c r="K285" s="10" t="s">
        <v>713</v>
      </c>
      <c r="L285" s="10" t="s">
        <v>694</v>
      </c>
      <c r="M285" s="19" t="s">
        <v>708</v>
      </c>
      <c r="N285" s="17"/>
      <c r="Q285" s="16"/>
      <c r="S285" s="1">
        <f t="shared" si="215"/>
        <v>0</v>
      </c>
      <c r="T285" s="1">
        <f t="shared" si="216"/>
        <v>0</v>
      </c>
      <c r="U285" s="1">
        <f t="shared" si="217"/>
        <v>0</v>
      </c>
      <c r="V285" s="1">
        <f t="shared" si="218"/>
        <v>0</v>
      </c>
      <c r="W285" s="1">
        <f t="shared" si="219"/>
        <v>0</v>
      </c>
      <c r="X285" s="1">
        <f t="shared" si="220"/>
        <v>0</v>
      </c>
      <c r="Y285" s="1">
        <f t="shared" si="221"/>
        <v>0</v>
      </c>
      <c r="Z285" s="1">
        <f t="shared" si="222"/>
        <v>0</v>
      </c>
      <c r="AA285" s="1">
        <f t="shared" si="223"/>
        <v>0</v>
      </c>
      <c r="AB285" s="1">
        <f t="shared" si="224"/>
        <v>0</v>
      </c>
      <c r="AD285" s="1">
        <f t="shared" si="225"/>
        <v>0</v>
      </c>
      <c r="AE285" s="1">
        <f t="shared" si="226"/>
        <v>0</v>
      </c>
      <c r="AF285" s="1">
        <f t="shared" si="211"/>
        <v>0</v>
      </c>
      <c r="AG285" s="1">
        <f t="shared" si="212"/>
        <v>0</v>
      </c>
      <c r="AH285" s="1">
        <f t="shared" si="213"/>
        <v>0</v>
      </c>
      <c r="AI285" s="1">
        <f t="shared" si="214"/>
        <v>1</v>
      </c>
    </row>
    <row r="286" spans="1:35" ht="14.25" customHeight="1" x14ac:dyDescent="0.3">
      <c r="A286" s="31">
        <v>0</v>
      </c>
      <c r="B286" s="31">
        <v>1</v>
      </c>
      <c r="C286" s="31">
        <v>7</v>
      </c>
      <c r="D286" s="32" t="s">
        <v>709</v>
      </c>
      <c r="E286" s="32" t="s">
        <v>29</v>
      </c>
      <c r="F286" s="32" t="s">
        <v>710</v>
      </c>
      <c r="G286" s="32" t="s">
        <v>184</v>
      </c>
      <c r="H286" s="32" t="s">
        <v>354</v>
      </c>
      <c r="I286" s="31" t="s">
        <v>711</v>
      </c>
      <c r="J286" s="31">
        <v>99</v>
      </c>
      <c r="K286" s="33" t="s">
        <v>955</v>
      </c>
      <c r="L286" s="33" t="s">
        <v>39</v>
      </c>
      <c r="M286" s="34" t="s">
        <v>39</v>
      </c>
      <c r="N286" s="34" t="s">
        <v>1733</v>
      </c>
      <c r="O286" s="35">
        <v>1</v>
      </c>
      <c r="P286" s="35">
        <v>1</v>
      </c>
      <c r="Q286" s="32"/>
      <c r="S286" s="1">
        <f t="shared" si="215"/>
        <v>0</v>
      </c>
      <c r="T286" s="1">
        <f t="shared" si="216"/>
        <v>0</v>
      </c>
      <c r="U286" s="1">
        <f t="shared" si="217"/>
        <v>0</v>
      </c>
      <c r="V286" s="1">
        <f t="shared" si="218"/>
        <v>0</v>
      </c>
      <c r="W286" s="1">
        <f t="shared" si="219"/>
        <v>0</v>
      </c>
      <c r="X286" s="1">
        <f t="shared" si="220"/>
        <v>0</v>
      </c>
      <c r="Y286" s="1">
        <f t="shared" si="221"/>
        <v>0</v>
      </c>
      <c r="Z286" s="1">
        <f t="shared" si="222"/>
        <v>0</v>
      </c>
      <c r="AA286" s="1">
        <f t="shared" si="223"/>
        <v>0</v>
      </c>
      <c r="AB286" s="1">
        <f t="shared" si="224"/>
        <v>0</v>
      </c>
      <c r="AD286" s="1">
        <f t="shared" si="225"/>
        <v>1</v>
      </c>
      <c r="AE286" s="1">
        <f t="shared" si="226"/>
        <v>0</v>
      </c>
      <c r="AF286" s="1">
        <f t="shared" si="211"/>
        <v>1</v>
      </c>
      <c r="AG286" s="1">
        <f t="shared" si="212"/>
        <v>0</v>
      </c>
      <c r="AH286" s="1">
        <f t="shared" si="213"/>
        <v>1</v>
      </c>
      <c r="AI286" s="1">
        <f t="shared" si="214"/>
        <v>0</v>
      </c>
    </row>
    <row r="287" spans="1:35" ht="14.25" customHeight="1" x14ac:dyDescent="0.3">
      <c r="A287" s="31">
        <v>0</v>
      </c>
      <c r="B287" s="31">
        <v>2</v>
      </c>
      <c r="C287" s="31">
        <v>1</v>
      </c>
      <c r="D287" s="32" t="s">
        <v>536</v>
      </c>
      <c r="E287" s="32" t="s">
        <v>34</v>
      </c>
      <c r="F287" s="32" t="s">
        <v>537</v>
      </c>
      <c r="G287" s="32" t="s">
        <v>220</v>
      </c>
      <c r="H287" s="32" t="s">
        <v>354</v>
      </c>
      <c r="I287" s="31" t="s">
        <v>538</v>
      </c>
      <c r="J287" s="31">
        <v>8</v>
      </c>
      <c r="K287" s="33" t="s">
        <v>713</v>
      </c>
      <c r="L287" s="33" t="s">
        <v>713</v>
      </c>
      <c r="M287" s="34" t="s">
        <v>714</v>
      </c>
      <c r="N287" s="34" t="s">
        <v>1748</v>
      </c>
      <c r="O287" s="35">
        <v>1</v>
      </c>
      <c r="P287" s="35"/>
      <c r="Q287" s="32"/>
      <c r="S287" s="1">
        <f t="shared" si="215"/>
        <v>0</v>
      </c>
      <c r="T287" s="1">
        <f t="shared" si="216"/>
        <v>0</v>
      </c>
      <c r="U287" s="1">
        <f t="shared" si="217"/>
        <v>0</v>
      </c>
      <c r="V287" s="1">
        <f t="shared" si="218"/>
        <v>0</v>
      </c>
      <c r="W287" s="1">
        <f t="shared" si="219"/>
        <v>0</v>
      </c>
      <c r="X287" s="1">
        <f t="shared" si="220"/>
        <v>0</v>
      </c>
      <c r="Y287" s="1">
        <f t="shared" si="221"/>
        <v>0</v>
      </c>
      <c r="Z287" s="1">
        <f t="shared" si="222"/>
        <v>1</v>
      </c>
      <c r="AA287" s="1">
        <f t="shared" si="223"/>
        <v>0</v>
      </c>
      <c r="AB287" s="1">
        <f t="shared" si="224"/>
        <v>0</v>
      </c>
      <c r="AD287" s="1">
        <f t="shared" si="225"/>
        <v>0</v>
      </c>
      <c r="AE287" s="1">
        <f t="shared" si="226"/>
        <v>1</v>
      </c>
      <c r="AF287" s="1">
        <f t="shared" si="211"/>
        <v>0</v>
      </c>
      <c r="AG287" s="1">
        <f t="shared" si="212"/>
        <v>1</v>
      </c>
      <c r="AH287" s="1">
        <f t="shared" si="213"/>
        <v>0</v>
      </c>
      <c r="AI287" s="1">
        <f t="shared" si="214"/>
        <v>1</v>
      </c>
    </row>
    <row r="288" spans="1:35" ht="14.25" customHeight="1" x14ac:dyDescent="0.3">
      <c r="A288" s="31">
        <v>0</v>
      </c>
      <c r="B288" s="31">
        <v>2</v>
      </c>
      <c r="C288" s="31">
        <v>1</v>
      </c>
      <c r="D288" s="32" t="s">
        <v>1290</v>
      </c>
      <c r="E288" s="32" t="s">
        <v>561</v>
      </c>
      <c r="F288" s="32" t="s">
        <v>1291</v>
      </c>
      <c r="G288" s="32" t="s">
        <v>230</v>
      </c>
      <c r="H288" s="32" t="s">
        <v>354</v>
      </c>
      <c r="I288" s="31" t="s">
        <v>1292</v>
      </c>
      <c r="J288" s="31">
        <v>7</v>
      </c>
      <c r="K288" s="33" t="s">
        <v>713</v>
      </c>
      <c r="L288" s="33" t="s">
        <v>713</v>
      </c>
      <c r="M288" s="34" t="s">
        <v>714</v>
      </c>
      <c r="N288" s="34" t="s">
        <v>1756</v>
      </c>
      <c r="O288" s="35">
        <v>1</v>
      </c>
      <c r="P288" s="35"/>
      <c r="Q288" s="32"/>
      <c r="S288" s="1">
        <f t="shared" si="215"/>
        <v>0</v>
      </c>
      <c r="T288" s="1">
        <f t="shared" si="216"/>
        <v>0</v>
      </c>
      <c r="U288" s="1">
        <f t="shared" si="217"/>
        <v>0</v>
      </c>
      <c r="V288" s="1">
        <f t="shared" si="218"/>
        <v>0</v>
      </c>
      <c r="W288" s="1">
        <f t="shared" si="219"/>
        <v>0</v>
      </c>
      <c r="X288" s="1">
        <f t="shared" si="220"/>
        <v>0</v>
      </c>
      <c r="Y288" s="1">
        <f t="shared" si="221"/>
        <v>1</v>
      </c>
      <c r="Z288" s="1">
        <f t="shared" si="222"/>
        <v>0</v>
      </c>
      <c r="AA288" s="1">
        <f t="shared" si="223"/>
        <v>0</v>
      </c>
      <c r="AB288" s="1">
        <f t="shared" si="224"/>
        <v>0</v>
      </c>
      <c r="AD288" s="1">
        <f t="shared" si="225"/>
        <v>0</v>
      </c>
      <c r="AE288" s="1">
        <f t="shared" si="226"/>
        <v>1</v>
      </c>
      <c r="AF288" s="1">
        <f t="shared" si="211"/>
        <v>0</v>
      </c>
      <c r="AG288" s="1">
        <f t="shared" si="212"/>
        <v>1</v>
      </c>
      <c r="AH288" s="1">
        <f t="shared" si="213"/>
        <v>0</v>
      </c>
      <c r="AI288" s="1">
        <f t="shared" si="214"/>
        <v>1</v>
      </c>
    </row>
    <row r="289" spans="1:35" ht="14.25" customHeight="1" x14ac:dyDescent="0.3">
      <c r="A289" s="31">
        <v>0</v>
      </c>
      <c r="B289" s="31">
        <v>2</v>
      </c>
      <c r="C289" s="31">
        <v>1</v>
      </c>
      <c r="D289" s="32" t="s">
        <v>1326</v>
      </c>
      <c r="E289" s="32" t="s">
        <v>561</v>
      </c>
      <c r="F289" s="32" t="s">
        <v>1988</v>
      </c>
      <c r="G289" s="32" t="s">
        <v>213</v>
      </c>
      <c r="H289" s="32" t="s">
        <v>354</v>
      </c>
      <c r="I289" s="31" t="s">
        <v>1156</v>
      </c>
      <c r="J289" s="31">
        <v>1</v>
      </c>
      <c r="K289" s="33" t="s">
        <v>954</v>
      </c>
      <c r="L289" s="33" t="s">
        <v>713</v>
      </c>
      <c r="M289" s="34" t="s">
        <v>714</v>
      </c>
      <c r="N289" s="34" t="s">
        <v>1761</v>
      </c>
      <c r="O289" s="35">
        <v>1</v>
      </c>
      <c r="P289" s="35"/>
      <c r="Q289" s="32"/>
      <c r="S289" s="1">
        <f t="shared" si="215"/>
        <v>1</v>
      </c>
      <c r="T289" s="1">
        <f t="shared" si="216"/>
        <v>0</v>
      </c>
      <c r="U289" s="1">
        <f t="shared" si="217"/>
        <v>0</v>
      </c>
      <c r="V289" s="1">
        <f t="shared" si="218"/>
        <v>0</v>
      </c>
      <c r="W289" s="1">
        <f t="shared" si="219"/>
        <v>0</v>
      </c>
      <c r="X289" s="1">
        <f t="shared" si="220"/>
        <v>0</v>
      </c>
      <c r="Y289" s="1">
        <f t="shared" si="221"/>
        <v>0</v>
      </c>
      <c r="Z289" s="1">
        <f t="shared" si="222"/>
        <v>0</v>
      </c>
      <c r="AA289" s="1">
        <f t="shared" si="223"/>
        <v>0</v>
      </c>
      <c r="AB289" s="1">
        <f t="shared" si="224"/>
        <v>0</v>
      </c>
      <c r="AD289" s="1">
        <f t="shared" si="225"/>
        <v>0</v>
      </c>
      <c r="AE289" s="1">
        <f t="shared" si="226"/>
        <v>1</v>
      </c>
      <c r="AF289" s="1">
        <f t="shared" si="211"/>
        <v>0</v>
      </c>
      <c r="AG289" s="1">
        <f t="shared" si="212"/>
        <v>1</v>
      </c>
      <c r="AH289" s="1">
        <f t="shared" si="213"/>
        <v>0</v>
      </c>
      <c r="AI289" s="1">
        <f t="shared" si="214"/>
        <v>1</v>
      </c>
    </row>
    <row r="290" spans="1:35" ht="14.25" customHeight="1" x14ac:dyDescent="0.3">
      <c r="A290" s="31">
        <v>0</v>
      </c>
      <c r="B290" s="31">
        <v>2</v>
      </c>
      <c r="C290" s="31">
        <v>1</v>
      </c>
      <c r="D290" s="32" t="s">
        <v>1327</v>
      </c>
      <c r="E290" s="32" t="s">
        <v>561</v>
      </c>
      <c r="F290" s="32" t="s">
        <v>1151</v>
      </c>
      <c r="G290" s="32" t="s">
        <v>285</v>
      </c>
      <c r="H290" s="32" t="s">
        <v>354</v>
      </c>
      <c r="I290" s="31" t="s">
        <v>1152</v>
      </c>
      <c r="J290" s="31">
        <v>10</v>
      </c>
      <c r="K290" s="33" t="s">
        <v>954</v>
      </c>
      <c r="L290" s="33" t="s">
        <v>713</v>
      </c>
      <c r="M290" s="34" t="s">
        <v>714</v>
      </c>
      <c r="N290" s="34" t="s">
        <v>1761</v>
      </c>
      <c r="O290" s="35">
        <v>1</v>
      </c>
      <c r="P290" s="35"/>
      <c r="Q290" s="32"/>
      <c r="S290" s="1">
        <f t="shared" si="215"/>
        <v>0</v>
      </c>
      <c r="T290" s="1">
        <f t="shared" si="216"/>
        <v>0</v>
      </c>
      <c r="U290" s="1">
        <f t="shared" si="217"/>
        <v>0</v>
      </c>
      <c r="V290" s="1">
        <f t="shared" si="218"/>
        <v>0</v>
      </c>
      <c r="W290" s="1">
        <f t="shared" si="219"/>
        <v>0</v>
      </c>
      <c r="X290" s="1">
        <f t="shared" si="220"/>
        <v>0</v>
      </c>
      <c r="Y290" s="1">
        <f t="shared" si="221"/>
        <v>0</v>
      </c>
      <c r="Z290" s="1">
        <f t="shared" si="222"/>
        <v>0</v>
      </c>
      <c r="AA290" s="1">
        <f t="shared" si="223"/>
        <v>0</v>
      </c>
      <c r="AB290" s="1">
        <f t="shared" si="224"/>
        <v>1</v>
      </c>
      <c r="AD290" s="1">
        <f t="shared" si="225"/>
        <v>0</v>
      </c>
      <c r="AE290" s="1">
        <f t="shared" si="226"/>
        <v>1</v>
      </c>
      <c r="AF290" s="1">
        <f t="shared" si="211"/>
        <v>0</v>
      </c>
      <c r="AG290" s="1">
        <f t="shared" si="212"/>
        <v>1</v>
      </c>
      <c r="AH290" s="1">
        <f t="shared" si="213"/>
        <v>0</v>
      </c>
      <c r="AI290" s="1">
        <f t="shared" si="214"/>
        <v>1</v>
      </c>
    </row>
    <row r="291" spans="1:35" ht="14.25" customHeight="1" x14ac:dyDescent="0.3">
      <c r="A291" s="15">
        <v>0</v>
      </c>
      <c r="B291" s="15">
        <v>2</v>
      </c>
      <c r="C291" s="15">
        <v>1</v>
      </c>
      <c r="D291" s="20" t="s">
        <v>2068</v>
      </c>
      <c r="E291" s="20" t="s">
        <v>36</v>
      </c>
      <c r="F291" s="20" t="s">
        <v>2069</v>
      </c>
      <c r="G291" s="20" t="s">
        <v>1483</v>
      </c>
      <c r="H291" s="20" t="s">
        <v>354</v>
      </c>
      <c r="I291" s="21" t="s">
        <v>2071</v>
      </c>
      <c r="J291" s="15">
        <v>99</v>
      </c>
      <c r="K291" s="10" t="s">
        <v>703</v>
      </c>
      <c r="L291" s="10">
        <v>7</v>
      </c>
      <c r="M291" s="19" t="s">
        <v>2070</v>
      </c>
      <c r="N291" s="19"/>
      <c r="Q291" s="20" t="s">
        <v>2072</v>
      </c>
      <c r="S291" s="1">
        <f t="shared" si="215"/>
        <v>0</v>
      </c>
      <c r="T291" s="1">
        <f t="shared" si="216"/>
        <v>0</v>
      </c>
      <c r="U291" s="1">
        <f t="shared" si="217"/>
        <v>0</v>
      </c>
      <c r="V291" s="1">
        <f t="shared" si="218"/>
        <v>0</v>
      </c>
      <c r="W291" s="1">
        <f t="shared" si="219"/>
        <v>0</v>
      </c>
      <c r="X291" s="1">
        <f t="shared" si="220"/>
        <v>0</v>
      </c>
      <c r="Y291" s="1">
        <f t="shared" si="221"/>
        <v>0</v>
      </c>
      <c r="Z291" s="1">
        <f t="shared" si="222"/>
        <v>0</v>
      </c>
      <c r="AA291" s="1">
        <f t="shared" si="223"/>
        <v>0</v>
      </c>
      <c r="AB291" s="1">
        <f t="shared" si="224"/>
        <v>0</v>
      </c>
      <c r="AD291" s="1">
        <f t="shared" ref="AD291:AD295" si="227">+O291*P291</f>
        <v>0</v>
      </c>
      <c r="AE291" s="1">
        <f t="shared" ref="AE291:AE295" si="228">O291*(1-P291)</f>
        <v>0</v>
      </c>
      <c r="AF291" s="1">
        <f t="shared" ref="AF291:AF295" si="229">+O291*P291*(1-A291)</f>
        <v>0</v>
      </c>
      <c r="AG291" s="1">
        <f t="shared" ref="AG291:AG295" si="230">O291*(1-P291)*(1-A291)</f>
        <v>0</v>
      </c>
      <c r="AH291" s="1">
        <f t="shared" ref="AH291:AH295" si="231">+P291*(1-A291)</f>
        <v>0</v>
      </c>
      <c r="AI291" s="1">
        <f t="shared" ref="AI291:AI295" si="232">+(1-A291)*(1-P291)</f>
        <v>1</v>
      </c>
    </row>
    <row r="292" spans="1:35" ht="14.25" customHeight="1" x14ac:dyDescent="0.3">
      <c r="A292" s="15">
        <v>0</v>
      </c>
      <c r="B292" s="15">
        <v>2</v>
      </c>
      <c r="C292" s="15">
        <v>1</v>
      </c>
      <c r="D292" s="16" t="s">
        <v>512</v>
      </c>
      <c r="E292" s="16" t="s">
        <v>34</v>
      </c>
      <c r="F292" s="16" t="s">
        <v>511</v>
      </c>
      <c r="G292" s="16" t="s">
        <v>546</v>
      </c>
      <c r="H292" s="16" t="s">
        <v>354</v>
      </c>
      <c r="I292" s="15" t="s">
        <v>1364</v>
      </c>
      <c r="J292" s="15">
        <v>99</v>
      </c>
      <c r="K292" s="10" t="s">
        <v>955</v>
      </c>
      <c r="L292" s="10" t="s">
        <v>713</v>
      </c>
      <c r="M292" s="19" t="s">
        <v>714</v>
      </c>
      <c r="N292" s="19"/>
      <c r="Q292" s="20" t="s">
        <v>2012</v>
      </c>
      <c r="S292" s="1">
        <f t="shared" si="215"/>
        <v>0</v>
      </c>
      <c r="T292" s="1">
        <f t="shared" si="216"/>
        <v>0</v>
      </c>
      <c r="U292" s="1">
        <f t="shared" si="217"/>
        <v>0</v>
      </c>
      <c r="V292" s="1">
        <f t="shared" si="218"/>
        <v>0</v>
      </c>
      <c r="W292" s="1">
        <f t="shared" si="219"/>
        <v>0</v>
      </c>
      <c r="X292" s="1">
        <f t="shared" si="220"/>
        <v>0</v>
      </c>
      <c r="Y292" s="1">
        <f t="shared" si="221"/>
        <v>0</v>
      </c>
      <c r="Z292" s="1">
        <f t="shared" si="222"/>
        <v>0</v>
      </c>
      <c r="AA292" s="1">
        <f t="shared" si="223"/>
        <v>0</v>
      </c>
      <c r="AB292" s="1">
        <f t="shared" si="224"/>
        <v>0</v>
      </c>
      <c r="AD292" s="1">
        <f t="shared" si="227"/>
        <v>0</v>
      </c>
      <c r="AE292" s="1">
        <f t="shared" si="228"/>
        <v>0</v>
      </c>
      <c r="AF292" s="1">
        <f t="shared" si="229"/>
        <v>0</v>
      </c>
      <c r="AG292" s="1">
        <f t="shared" si="230"/>
        <v>0</v>
      </c>
      <c r="AH292" s="1">
        <f t="shared" si="231"/>
        <v>0</v>
      </c>
      <c r="AI292" s="1">
        <f t="shared" si="232"/>
        <v>1</v>
      </c>
    </row>
    <row r="293" spans="1:35" ht="14.25" customHeight="1" x14ac:dyDescent="0.3">
      <c r="A293" s="38">
        <v>0</v>
      </c>
      <c r="B293" s="38">
        <v>2</v>
      </c>
      <c r="C293" s="38">
        <v>1</v>
      </c>
      <c r="D293" s="39" t="s">
        <v>1042</v>
      </c>
      <c r="E293" s="39" t="s">
        <v>36</v>
      </c>
      <c r="F293" s="39" t="s">
        <v>1659</v>
      </c>
      <c r="G293" s="39" t="s">
        <v>628</v>
      </c>
      <c r="H293" s="39" t="s">
        <v>354</v>
      </c>
      <c r="I293" s="38" t="s">
        <v>1043</v>
      </c>
      <c r="J293" s="38">
        <v>99</v>
      </c>
      <c r="K293" s="40" t="s">
        <v>959</v>
      </c>
      <c r="L293" s="40" t="s">
        <v>713</v>
      </c>
      <c r="M293" s="41" t="s">
        <v>714</v>
      </c>
      <c r="N293" s="42"/>
      <c r="O293" s="43"/>
      <c r="P293" s="43">
        <v>1</v>
      </c>
      <c r="Q293" s="54" t="s">
        <v>1899</v>
      </c>
      <c r="S293" s="1">
        <f t="shared" si="215"/>
        <v>0</v>
      </c>
      <c r="T293" s="1">
        <f t="shared" si="216"/>
        <v>0</v>
      </c>
      <c r="U293" s="1">
        <f t="shared" si="217"/>
        <v>0</v>
      </c>
      <c r="V293" s="1">
        <f t="shared" si="218"/>
        <v>0</v>
      </c>
      <c r="W293" s="1">
        <f t="shared" si="219"/>
        <v>0</v>
      </c>
      <c r="X293" s="1">
        <f t="shared" si="220"/>
        <v>0</v>
      </c>
      <c r="Y293" s="1">
        <f t="shared" si="221"/>
        <v>0</v>
      </c>
      <c r="Z293" s="1">
        <f t="shared" si="222"/>
        <v>0</v>
      </c>
      <c r="AA293" s="1">
        <f t="shared" si="223"/>
        <v>0</v>
      </c>
      <c r="AB293" s="1">
        <f t="shared" si="224"/>
        <v>0</v>
      </c>
      <c r="AD293" s="1">
        <f t="shared" si="227"/>
        <v>0</v>
      </c>
      <c r="AE293" s="1">
        <f t="shared" si="228"/>
        <v>0</v>
      </c>
      <c r="AF293" s="1">
        <f t="shared" si="229"/>
        <v>0</v>
      </c>
      <c r="AG293" s="1">
        <f t="shared" si="230"/>
        <v>0</v>
      </c>
      <c r="AH293" s="1">
        <f t="shared" si="231"/>
        <v>1</v>
      </c>
      <c r="AI293" s="1">
        <f t="shared" si="232"/>
        <v>0</v>
      </c>
    </row>
    <row r="294" spans="1:35" ht="14.25" customHeight="1" x14ac:dyDescent="0.3">
      <c r="A294" s="31">
        <v>1</v>
      </c>
      <c r="B294" s="31">
        <v>2</v>
      </c>
      <c r="C294" s="31">
        <v>1</v>
      </c>
      <c r="D294" s="32" t="s">
        <v>49</v>
      </c>
      <c r="E294" s="32" t="s">
        <v>1314</v>
      </c>
      <c r="F294" s="32" t="s">
        <v>191</v>
      </c>
      <c r="G294" s="32" t="s">
        <v>192</v>
      </c>
      <c r="H294" s="32" t="s">
        <v>354</v>
      </c>
      <c r="I294" s="31" t="s">
        <v>386</v>
      </c>
      <c r="J294" s="31">
        <v>99</v>
      </c>
      <c r="K294" s="33" t="s">
        <v>712</v>
      </c>
      <c r="L294" s="33" t="s">
        <v>713</v>
      </c>
      <c r="M294" s="34" t="s">
        <v>714</v>
      </c>
      <c r="N294" s="34" t="s">
        <v>1756</v>
      </c>
      <c r="O294" s="35">
        <v>1</v>
      </c>
      <c r="P294" s="35"/>
      <c r="Q294" s="32"/>
      <c r="S294" s="1">
        <f t="shared" si="215"/>
        <v>0</v>
      </c>
      <c r="T294" s="1">
        <f t="shared" si="216"/>
        <v>0</v>
      </c>
      <c r="U294" s="1">
        <f t="shared" si="217"/>
        <v>0</v>
      </c>
      <c r="V294" s="1">
        <f t="shared" si="218"/>
        <v>0</v>
      </c>
      <c r="W294" s="1">
        <f t="shared" si="219"/>
        <v>0</v>
      </c>
      <c r="X294" s="1">
        <f t="shared" si="220"/>
        <v>0</v>
      </c>
      <c r="Y294" s="1">
        <f t="shared" si="221"/>
        <v>0</v>
      </c>
      <c r="Z294" s="1">
        <f t="shared" si="222"/>
        <v>0</v>
      </c>
      <c r="AA294" s="1">
        <f t="shared" si="223"/>
        <v>0</v>
      </c>
      <c r="AB294" s="1">
        <f t="shared" si="224"/>
        <v>0</v>
      </c>
      <c r="AD294" s="1">
        <f t="shared" si="227"/>
        <v>0</v>
      </c>
      <c r="AE294" s="1">
        <f t="shared" si="228"/>
        <v>1</v>
      </c>
      <c r="AF294" s="1">
        <f t="shared" si="229"/>
        <v>0</v>
      </c>
      <c r="AG294" s="1">
        <f t="shared" si="230"/>
        <v>0</v>
      </c>
      <c r="AH294" s="1">
        <f t="shared" si="231"/>
        <v>0</v>
      </c>
      <c r="AI294" s="1">
        <f t="shared" si="232"/>
        <v>0</v>
      </c>
    </row>
    <row r="295" spans="1:35" ht="14.25" customHeight="1" x14ac:dyDescent="0.3">
      <c r="A295" s="31">
        <v>0</v>
      </c>
      <c r="B295" s="31">
        <v>2</v>
      </c>
      <c r="C295" s="31">
        <v>1</v>
      </c>
      <c r="D295" s="32" t="s">
        <v>1074</v>
      </c>
      <c r="E295" s="32" t="s">
        <v>1314</v>
      </c>
      <c r="F295" s="32" t="s">
        <v>1089</v>
      </c>
      <c r="G295" s="32" t="s">
        <v>202</v>
      </c>
      <c r="H295" s="32" t="s">
        <v>354</v>
      </c>
      <c r="I295" s="31" t="s">
        <v>386</v>
      </c>
      <c r="J295" s="31">
        <v>10</v>
      </c>
      <c r="K295" s="33" t="s">
        <v>712</v>
      </c>
      <c r="L295" s="33" t="s">
        <v>713</v>
      </c>
      <c r="M295" s="34" t="s">
        <v>714</v>
      </c>
      <c r="N295" s="34" t="s">
        <v>1756</v>
      </c>
      <c r="O295" s="35">
        <v>1</v>
      </c>
      <c r="P295" s="35"/>
      <c r="Q295" s="32"/>
      <c r="S295" s="1">
        <f t="shared" si="215"/>
        <v>0</v>
      </c>
      <c r="T295" s="1">
        <f t="shared" si="216"/>
        <v>0</v>
      </c>
      <c r="U295" s="1">
        <f t="shared" si="217"/>
        <v>0</v>
      </c>
      <c r="V295" s="1">
        <f t="shared" si="218"/>
        <v>0</v>
      </c>
      <c r="W295" s="1">
        <f t="shared" si="219"/>
        <v>0</v>
      </c>
      <c r="X295" s="1">
        <f t="shared" si="220"/>
        <v>0</v>
      </c>
      <c r="Y295" s="1">
        <f t="shared" si="221"/>
        <v>0</v>
      </c>
      <c r="Z295" s="1">
        <f t="shared" si="222"/>
        <v>0</v>
      </c>
      <c r="AA295" s="1">
        <f t="shared" si="223"/>
        <v>0</v>
      </c>
      <c r="AB295" s="1">
        <f t="shared" si="224"/>
        <v>1</v>
      </c>
      <c r="AD295" s="1">
        <f t="shared" si="227"/>
        <v>0</v>
      </c>
      <c r="AE295" s="1">
        <f t="shared" si="228"/>
        <v>1</v>
      </c>
      <c r="AF295" s="1">
        <f t="shared" si="229"/>
        <v>0</v>
      </c>
      <c r="AG295" s="1">
        <f t="shared" si="230"/>
        <v>1</v>
      </c>
      <c r="AH295" s="1">
        <f t="shared" si="231"/>
        <v>0</v>
      </c>
      <c r="AI295" s="1">
        <f t="shared" si="232"/>
        <v>1</v>
      </c>
    </row>
    <row r="296" spans="1:35" ht="14.25" customHeight="1" x14ac:dyDescent="0.3">
      <c r="A296" s="31">
        <v>0</v>
      </c>
      <c r="B296" s="31">
        <v>2</v>
      </c>
      <c r="C296" s="31">
        <v>1</v>
      </c>
      <c r="D296" s="32" t="s">
        <v>1273</v>
      </c>
      <c r="E296" s="32" t="s">
        <v>561</v>
      </c>
      <c r="F296" s="32" t="s">
        <v>1274</v>
      </c>
      <c r="G296" s="32" t="s">
        <v>258</v>
      </c>
      <c r="H296" s="32" t="s">
        <v>354</v>
      </c>
      <c r="I296" s="31" t="s">
        <v>1275</v>
      </c>
      <c r="J296" s="31">
        <v>8</v>
      </c>
      <c r="K296" s="33" t="s">
        <v>954</v>
      </c>
      <c r="L296" s="33" t="s">
        <v>713</v>
      </c>
      <c r="M296" s="34" t="s">
        <v>714</v>
      </c>
      <c r="N296" s="34" t="s">
        <v>1748</v>
      </c>
      <c r="O296" s="35">
        <v>1</v>
      </c>
      <c r="P296" s="35"/>
      <c r="Q296" s="32"/>
      <c r="S296" s="1">
        <f t="shared" si="215"/>
        <v>0</v>
      </c>
      <c r="T296" s="1">
        <f t="shared" si="216"/>
        <v>0</v>
      </c>
      <c r="U296" s="1">
        <f t="shared" si="217"/>
        <v>0</v>
      </c>
      <c r="V296" s="1">
        <f t="shared" si="218"/>
        <v>0</v>
      </c>
      <c r="W296" s="1">
        <f t="shared" si="219"/>
        <v>0</v>
      </c>
      <c r="X296" s="1">
        <f t="shared" si="220"/>
        <v>0</v>
      </c>
      <c r="Y296" s="1">
        <f t="shared" si="221"/>
        <v>0</v>
      </c>
      <c r="Z296" s="1">
        <f t="shared" si="222"/>
        <v>1</v>
      </c>
      <c r="AA296" s="1">
        <f t="shared" si="223"/>
        <v>0</v>
      </c>
      <c r="AB296" s="1">
        <f t="shared" si="224"/>
        <v>0</v>
      </c>
      <c r="AD296" s="1">
        <f t="shared" si="225"/>
        <v>0</v>
      </c>
      <c r="AE296" s="1">
        <f t="shared" si="226"/>
        <v>1</v>
      </c>
      <c r="AF296" s="1">
        <f t="shared" si="211"/>
        <v>0</v>
      </c>
      <c r="AG296" s="1">
        <f t="shared" si="212"/>
        <v>1</v>
      </c>
      <c r="AH296" s="1">
        <f t="shared" si="213"/>
        <v>0</v>
      </c>
      <c r="AI296" s="1">
        <f t="shared" si="214"/>
        <v>1</v>
      </c>
    </row>
    <row r="297" spans="1:35" ht="14.25" customHeight="1" x14ac:dyDescent="0.3">
      <c r="A297" s="44">
        <v>0</v>
      </c>
      <c r="B297" s="44">
        <v>2</v>
      </c>
      <c r="C297" s="44">
        <v>1</v>
      </c>
      <c r="D297" s="45" t="s">
        <v>48</v>
      </c>
      <c r="E297" s="45" t="s">
        <v>578</v>
      </c>
      <c r="F297" s="45" t="s">
        <v>189</v>
      </c>
      <c r="G297" s="45" t="s">
        <v>300</v>
      </c>
      <c r="H297" s="45" t="s">
        <v>354</v>
      </c>
      <c r="I297" s="44" t="s">
        <v>385</v>
      </c>
      <c r="J297" s="44">
        <v>99</v>
      </c>
      <c r="K297" s="46" t="s">
        <v>713</v>
      </c>
      <c r="L297" s="46" t="s">
        <v>713</v>
      </c>
      <c r="M297" s="47" t="s">
        <v>714</v>
      </c>
      <c r="N297" s="47" t="s">
        <v>1747</v>
      </c>
      <c r="O297" s="48"/>
      <c r="P297" s="48"/>
      <c r="Q297" s="45"/>
      <c r="S297" s="1">
        <f t="shared" si="215"/>
        <v>0</v>
      </c>
      <c r="T297" s="1">
        <f t="shared" si="216"/>
        <v>0</v>
      </c>
      <c r="U297" s="1">
        <f t="shared" si="217"/>
        <v>0</v>
      </c>
      <c r="V297" s="1">
        <f t="shared" si="218"/>
        <v>0</v>
      </c>
      <c r="W297" s="1">
        <f t="shared" si="219"/>
        <v>0</v>
      </c>
      <c r="X297" s="1">
        <f t="shared" si="220"/>
        <v>0</v>
      </c>
      <c r="Y297" s="1">
        <f t="shared" si="221"/>
        <v>0</v>
      </c>
      <c r="Z297" s="1">
        <f t="shared" si="222"/>
        <v>0</v>
      </c>
      <c r="AA297" s="1">
        <f t="shared" si="223"/>
        <v>0</v>
      </c>
      <c r="AB297" s="1">
        <f t="shared" si="224"/>
        <v>0</v>
      </c>
      <c r="AD297" s="1">
        <f t="shared" si="225"/>
        <v>0</v>
      </c>
      <c r="AE297" s="1">
        <f t="shared" si="226"/>
        <v>0</v>
      </c>
      <c r="AF297" s="1">
        <f t="shared" si="211"/>
        <v>0</v>
      </c>
      <c r="AG297" s="1">
        <f t="shared" si="212"/>
        <v>0</v>
      </c>
      <c r="AH297" s="1">
        <f t="shared" si="213"/>
        <v>0</v>
      </c>
      <c r="AI297" s="1">
        <f t="shared" si="214"/>
        <v>1</v>
      </c>
    </row>
    <row r="298" spans="1:35" ht="14.25" customHeight="1" x14ac:dyDescent="0.3">
      <c r="A298" s="31">
        <v>0</v>
      </c>
      <c r="B298" s="31">
        <v>2</v>
      </c>
      <c r="C298" s="31">
        <v>1</v>
      </c>
      <c r="D298" s="32" t="s">
        <v>57</v>
      </c>
      <c r="E298" s="32" t="s">
        <v>162</v>
      </c>
      <c r="F298" s="32" t="s">
        <v>666</v>
      </c>
      <c r="G298" s="32" t="s">
        <v>221</v>
      </c>
      <c r="H298" s="32" t="s">
        <v>354</v>
      </c>
      <c r="I298" s="31" t="s">
        <v>396</v>
      </c>
      <c r="J298" s="31">
        <v>99</v>
      </c>
      <c r="K298" s="33" t="s">
        <v>961</v>
      </c>
      <c r="L298" s="33" t="s">
        <v>713</v>
      </c>
      <c r="M298" s="34" t="s">
        <v>714</v>
      </c>
      <c r="N298" s="34" t="s">
        <v>1743</v>
      </c>
      <c r="O298" s="35">
        <v>1</v>
      </c>
      <c r="P298" s="35"/>
      <c r="Q298" s="32"/>
      <c r="S298" s="1">
        <f t="shared" si="215"/>
        <v>0</v>
      </c>
      <c r="T298" s="1">
        <f t="shared" si="216"/>
        <v>0</v>
      </c>
      <c r="U298" s="1">
        <f t="shared" si="217"/>
        <v>0</v>
      </c>
      <c r="V298" s="1">
        <f t="shared" si="218"/>
        <v>0</v>
      </c>
      <c r="W298" s="1">
        <f t="shared" si="219"/>
        <v>0</v>
      </c>
      <c r="X298" s="1">
        <f t="shared" si="220"/>
        <v>0</v>
      </c>
      <c r="Y298" s="1">
        <f t="shared" si="221"/>
        <v>0</v>
      </c>
      <c r="Z298" s="1">
        <f t="shared" si="222"/>
        <v>0</v>
      </c>
      <c r="AA298" s="1">
        <f t="shared" si="223"/>
        <v>0</v>
      </c>
      <c r="AB298" s="1">
        <f t="shared" si="224"/>
        <v>0</v>
      </c>
      <c r="AD298" s="1">
        <f t="shared" si="225"/>
        <v>0</v>
      </c>
      <c r="AE298" s="1">
        <f t="shared" si="226"/>
        <v>1</v>
      </c>
      <c r="AF298" s="1">
        <f t="shared" si="211"/>
        <v>0</v>
      </c>
      <c r="AG298" s="1">
        <f t="shared" si="212"/>
        <v>1</v>
      </c>
      <c r="AH298" s="1">
        <f t="shared" si="213"/>
        <v>0</v>
      </c>
      <c r="AI298" s="1">
        <f t="shared" si="214"/>
        <v>1</v>
      </c>
    </row>
    <row r="299" spans="1:35" ht="14.25" customHeight="1" x14ac:dyDescent="0.3">
      <c r="A299" s="31">
        <v>0</v>
      </c>
      <c r="B299" s="31">
        <v>2</v>
      </c>
      <c r="C299" s="31">
        <v>1</v>
      </c>
      <c r="D299" s="32" t="s">
        <v>515</v>
      </c>
      <c r="E299" s="32" t="s">
        <v>561</v>
      </c>
      <c r="F299" s="32" t="s">
        <v>229</v>
      </c>
      <c r="G299" s="32" t="s">
        <v>230</v>
      </c>
      <c r="H299" s="32" t="s">
        <v>354</v>
      </c>
      <c r="I299" s="31" t="s">
        <v>400</v>
      </c>
      <c r="J299" s="31">
        <v>7</v>
      </c>
      <c r="K299" s="33" t="s">
        <v>954</v>
      </c>
      <c r="L299" s="33" t="s">
        <v>713</v>
      </c>
      <c r="M299" s="34" t="s">
        <v>714</v>
      </c>
      <c r="N299" s="34" t="s">
        <v>1749</v>
      </c>
      <c r="O299" s="35">
        <v>1</v>
      </c>
      <c r="P299" s="35"/>
      <c r="Q299" s="32"/>
      <c r="S299" s="1">
        <f t="shared" si="215"/>
        <v>0</v>
      </c>
      <c r="T299" s="1">
        <f t="shared" si="216"/>
        <v>0</v>
      </c>
      <c r="U299" s="1">
        <f t="shared" si="217"/>
        <v>0</v>
      </c>
      <c r="V299" s="1">
        <f t="shared" si="218"/>
        <v>0</v>
      </c>
      <c r="W299" s="1">
        <f t="shared" si="219"/>
        <v>0</v>
      </c>
      <c r="X299" s="1">
        <f t="shared" si="220"/>
        <v>0</v>
      </c>
      <c r="Y299" s="1">
        <f t="shared" si="221"/>
        <v>1</v>
      </c>
      <c r="Z299" s="1">
        <f t="shared" si="222"/>
        <v>0</v>
      </c>
      <c r="AA299" s="1">
        <f t="shared" si="223"/>
        <v>0</v>
      </c>
      <c r="AB299" s="1">
        <f t="shared" si="224"/>
        <v>0</v>
      </c>
      <c r="AD299" s="1">
        <f t="shared" si="225"/>
        <v>0</v>
      </c>
      <c r="AE299" s="1">
        <f t="shared" si="226"/>
        <v>1</v>
      </c>
      <c r="AF299" s="1">
        <f t="shared" si="211"/>
        <v>0</v>
      </c>
      <c r="AG299" s="1">
        <f t="shared" si="212"/>
        <v>1</v>
      </c>
      <c r="AH299" s="1">
        <f t="shared" si="213"/>
        <v>0</v>
      </c>
      <c r="AI299" s="1">
        <f t="shared" si="214"/>
        <v>1</v>
      </c>
    </row>
    <row r="300" spans="1:35" ht="14.25" customHeight="1" x14ac:dyDescent="0.3">
      <c r="A300" s="44">
        <v>0</v>
      </c>
      <c r="B300" s="44">
        <v>2</v>
      </c>
      <c r="C300" s="44">
        <v>1</v>
      </c>
      <c r="D300" s="45" t="s">
        <v>560</v>
      </c>
      <c r="E300" s="45" t="s">
        <v>561</v>
      </c>
      <c r="F300" s="45" t="s">
        <v>562</v>
      </c>
      <c r="G300" s="45" t="s">
        <v>208</v>
      </c>
      <c r="H300" s="45" t="s">
        <v>354</v>
      </c>
      <c r="I300" s="44" t="s">
        <v>563</v>
      </c>
      <c r="J300" s="44">
        <v>3</v>
      </c>
      <c r="K300" s="46" t="s">
        <v>712</v>
      </c>
      <c r="L300" s="46" t="s">
        <v>713</v>
      </c>
      <c r="M300" s="47" t="s">
        <v>714</v>
      </c>
      <c r="N300" s="47" t="s">
        <v>1747</v>
      </c>
      <c r="O300" s="48"/>
      <c r="P300" s="48"/>
      <c r="Q300" s="45"/>
      <c r="S300" s="1">
        <f t="shared" si="215"/>
        <v>0</v>
      </c>
      <c r="T300" s="1">
        <f t="shared" si="216"/>
        <v>0</v>
      </c>
      <c r="U300" s="1">
        <f t="shared" si="217"/>
        <v>1</v>
      </c>
      <c r="V300" s="1">
        <f t="shared" si="218"/>
        <v>0</v>
      </c>
      <c r="W300" s="1">
        <f t="shared" si="219"/>
        <v>0</v>
      </c>
      <c r="X300" s="1">
        <f t="shared" si="220"/>
        <v>0</v>
      </c>
      <c r="Y300" s="1">
        <f t="shared" si="221"/>
        <v>0</v>
      </c>
      <c r="Z300" s="1">
        <f t="shared" si="222"/>
        <v>0</v>
      </c>
      <c r="AA300" s="1">
        <f t="shared" si="223"/>
        <v>0</v>
      </c>
      <c r="AB300" s="1">
        <f t="shared" si="224"/>
        <v>0</v>
      </c>
      <c r="AD300" s="1">
        <f t="shared" si="225"/>
        <v>0</v>
      </c>
      <c r="AE300" s="1">
        <f t="shared" si="226"/>
        <v>0</v>
      </c>
      <c r="AF300" s="1">
        <f t="shared" si="211"/>
        <v>0</v>
      </c>
      <c r="AG300" s="1">
        <f t="shared" si="212"/>
        <v>0</v>
      </c>
      <c r="AH300" s="1">
        <f t="shared" si="213"/>
        <v>0</v>
      </c>
      <c r="AI300" s="1">
        <f t="shared" si="214"/>
        <v>1</v>
      </c>
    </row>
    <row r="301" spans="1:35" ht="14.25" customHeight="1" x14ac:dyDescent="0.3">
      <c r="A301" s="37">
        <v>0</v>
      </c>
      <c r="B301" s="37">
        <v>2</v>
      </c>
      <c r="C301" s="37">
        <v>1</v>
      </c>
      <c r="D301" s="36" t="s">
        <v>1053</v>
      </c>
      <c r="E301" s="36" t="s">
        <v>32</v>
      </c>
      <c r="F301" s="36" t="s">
        <v>1277</v>
      </c>
      <c r="G301" s="36" t="s">
        <v>535</v>
      </c>
      <c r="H301" s="36" t="s">
        <v>354</v>
      </c>
      <c r="I301" s="37" t="s">
        <v>1278</v>
      </c>
      <c r="J301" s="37">
        <v>6</v>
      </c>
      <c r="K301" s="56" t="s">
        <v>713</v>
      </c>
      <c r="L301" s="33" t="s">
        <v>713</v>
      </c>
      <c r="M301" s="34" t="s">
        <v>714</v>
      </c>
      <c r="N301" s="34" t="s">
        <v>1748</v>
      </c>
      <c r="O301" s="35">
        <v>1</v>
      </c>
      <c r="P301" s="35"/>
      <c r="Q301" s="36"/>
      <c r="S301" s="1">
        <f t="shared" si="215"/>
        <v>0</v>
      </c>
      <c r="T301" s="1">
        <f t="shared" si="216"/>
        <v>0</v>
      </c>
      <c r="U301" s="1">
        <f t="shared" si="217"/>
        <v>0</v>
      </c>
      <c r="V301" s="1">
        <f t="shared" si="218"/>
        <v>0</v>
      </c>
      <c r="W301" s="1">
        <f t="shared" si="219"/>
        <v>0</v>
      </c>
      <c r="X301" s="1">
        <f t="shared" si="220"/>
        <v>1</v>
      </c>
      <c r="Y301" s="1">
        <f t="shared" si="221"/>
        <v>0</v>
      </c>
      <c r="Z301" s="1">
        <f t="shared" si="222"/>
        <v>0</v>
      </c>
      <c r="AA301" s="1">
        <f t="shared" si="223"/>
        <v>0</v>
      </c>
      <c r="AB301" s="1">
        <f t="shared" si="224"/>
        <v>0</v>
      </c>
      <c r="AD301" s="1">
        <f t="shared" si="225"/>
        <v>0</v>
      </c>
      <c r="AE301" s="1">
        <f t="shared" si="226"/>
        <v>1</v>
      </c>
      <c r="AF301" s="1">
        <f t="shared" si="211"/>
        <v>0</v>
      </c>
      <c r="AG301" s="1">
        <f t="shared" si="212"/>
        <v>1</v>
      </c>
      <c r="AH301" s="1">
        <f t="shared" si="213"/>
        <v>0</v>
      </c>
      <c r="AI301" s="1">
        <f t="shared" si="214"/>
        <v>1</v>
      </c>
    </row>
    <row r="302" spans="1:35" ht="14.25" customHeight="1" x14ac:dyDescent="0.3">
      <c r="A302" s="44">
        <v>0</v>
      </c>
      <c r="B302" s="44">
        <v>2</v>
      </c>
      <c r="C302" s="44">
        <v>1</v>
      </c>
      <c r="D302" s="45" t="s">
        <v>917</v>
      </c>
      <c r="E302" s="45" t="s">
        <v>1333</v>
      </c>
      <c r="F302" s="45" t="s">
        <v>789</v>
      </c>
      <c r="G302" s="45" t="s">
        <v>257</v>
      </c>
      <c r="H302" s="45" t="s">
        <v>354</v>
      </c>
      <c r="I302" s="44" t="s">
        <v>944</v>
      </c>
      <c r="J302" s="44">
        <v>99</v>
      </c>
      <c r="K302" s="46" t="s">
        <v>712</v>
      </c>
      <c r="L302" s="46" t="s">
        <v>713</v>
      </c>
      <c r="M302" s="47" t="s">
        <v>714</v>
      </c>
      <c r="N302" s="47" t="s">
        <v>1734</v>
      </c>
      <c r="O302" s="48"/>
      <c r="P302" s="48"/>
      <c r="Q302" s="45"/>
      <c r="S302" s="1">
        <f t="shared" si="215"/>
        <v>0</v>
      </c>
      <c r="T302" s="1">
        <f t="shared" si="216"/>
        <v>0</v>
      </c>
      <c r="U302" s="1">
        <f t="shared" si="217"/>
        <v>0</v>
      </c>
      <c r="V302" s="1">
        <f t="shared" si="218"/>
        <v>0</v>
      </c>
      <c r="W302" s="1">
        <f t="shared" si="219"/>
        <v>0</v>
      </c>
      <c r="X302" s="1">
        <f t="shared" si="220"/>
        <v>0</v>
      </c>
      <c r="Y302" s="1">
        <f t="shared" si="221"/>
        <v>0</v>
      </c>
      <c r="Z302" s="1">
        <f t="shared" si="222"/>
        <v>0</v>
      </c>
      <c r="AA302" s="1">
        <f t="shared" si="223"/>
        <v>0</v>
      </c>
      <c r="AB302" s="1">
        <f t="shared" si="224"/>
        <v>0</v>
      </c>
      <c r="AD302" s="1">
        <f t="shared" si="225"/>
        <v>0</v>
      </c>
      <c r="AE302" s="1">
        <f t="shared" si="226"/>
        <v>0</v>
      </c>
      <c r="AF302" s="1">
        <f t="shared" si="211"/>
        <v>0</v>
      </c>
      <c r="AG302" s="1">
        <f t="shared" si="212"/>
        <v>0</v>
      </c>
      <c r="AH302" s="1">
        <f t="shared" si="213"/>
        <v>0</v>
      </c>
      <c r="AI302" s="1">
        <f t="shared" si="214"/>
        <v>1</v>
      </c>
    </row>
    <row r="303" spans="1:35" ht="14.25" customHeight="1" x14ac:dyDescent="0.3">
      <c r="A303" s="37">
        <v>0</v>
      </c>
      <c r="B303" s="37">
        <v>2</v>
      </c>
      <c r="C303" s="37">
        <v>1</v>
      </c>
      <c r="D303" s="36" t="s">
        <v>1771</v>
      </c>
      <c r="E303" s="36" t="s">
        <v>1772</v>
      </c>
      <c r="F303" s="36" t="s">
        <v>1773</v>
      </c>
      <c r="G303" s="36" t="s">
        <v>180</v>
      </c>
      <c r="H303" s="36" t="s">
        <v>354</v>
      </c>
      <c r="I303" s="37" t="s">
        <v>1774</v>
      </c>
      <c r="J303" s="37"/>
      <c r="K303" s="56" t="s">
        <v>703</v>
      </c>
      <c r="L303" s="33">
        <v>4</v>
      </c>
      <c r="M303" s="34" t="s">
        <v>714</v>
      </c>
      <c r="N303" s="34" t="s">
        <v>1743</v>
      </c>
      <c r="O303" s="35">
        <v>1</v>
      </c>
      <c r="P303" s="35"/>
      <c r="Q303" s="36"/>
      <c r="S303" s="1">
        <f t="shared" si="215"/>
        <v>0</v>
      </c>
      <c r="T303" s="1">
        <f t="shared" si="216"/>
        <v>0</v>
      </c>
      <c r="U303" s="1">
        <f t="shared" si="217"/>
        <v>0</v>
      </c>
      <c r="V303" s="1">
        <f t="shared" si="218"/>
        <v>0</v>
      </c>
      <c r="W303" s="1">
        <f t="shared" si="219"/>
        <v>0</v>
      </c>
      <c r="X303" s="1">
        <f t="shared" si="220"/>
        <v>0</v>
      </c>
      <c r="Y303" s="1">
        <f t="shared" si="221"/>
        <v>0</v>
      </c>
      <c r="Z303" s="1">
        <f t="shared" si="222"/>
        <v>0</v>
      </c>
      <c r="AA303" s="1">
        <f t="shared" si="223"/>
        <v>0</v>
      </c>
      <c r="AB303" s="1">
        <f t="shared" si="224"/>
        <v>0</v>
      </c>
      <c r="AD303" s="1">
        <f t="shared" si="225"/>
        <v>0</v>
      </c>
      <c r="AE303" s="1">
        <f t="shared" si="226"/>
        <v>1</v>
      </c>
      <c r="AF303" s="1">
        <f t="shared" si="211"/>
        <v>0</v>
      </c>
      <c r="AG303" s="1">
        <f t="shared" si="212"/>
        <v>1</v>
      </c>
      <c r="AH303" s="1">
        <f t="shared" si="213"/>
        <v>0</v>
      </c>
      <c r="AI303" s="1">
        <f t="shared" si="214"/>
        <v>1</v>
      </c>
    </row>
    <row r="304" spans="1:35" ht="14.25" customHeight="1" x14ac:dyDescent="0.3">
      <c r="A304" s="31">
        <v>0</v>
      </c>
      <c r="B304" s="31">
        <v>2</v>
      </c>
      <c r="C304" s="31">
        <v>1</v>
      </c>
      <c r="D304" s="32" t="s">
        <v>619</v>
      </c>
      <c r="E304" s="32" t="s">
        <v>620</v>
      </c>
      <c r="F304" s="32" t="s">
        <v>621</v>
      </c>
      <c r="G304" s="32" t="s">
        <v>622</v>
      </c>
      <c r="H304" s="32" t="s">
        <v>354</v>
      </c>
      <c r="I304" s="31" t="s">
        <v>623</v>
      </c>
      <c r="J304" s="31">
        <v>99</v>
      </c>
      <c r="K304" s="33" t="s">
        <v>712</v>
      </c>
      <c r="L304" s="33" t="s">
        <v>713</v>
      </c>
      <c r="M304" s="34" t="s">
        <v>714</v>
      </c>
      <c r="N304" s="34" t="s">
        <v>1756</v>
      </c>
      <c r="O304" s="35">
        <v>1</v>
      </c>
      <c r="P304" s="35"/>
      <c r="Q304" s="32"/>
      <c r="S304" s="1">
        <f t="shared" si="215"/>
        <v>0</v>
      </c>
      <c r="T304" s="1">
        <f t="shared" si="216"/>
        <v>0</v>
      </c>
      <c r="U304" s="1">
        <f t="shared" si="217"/>
        <v>0</v>
      </c>
      <c r="V304" s="1">
        <f t="shared" si="218"/>
        <v>0</v>
      </c>
      <c r="W304" s="1">
        <f t="shared" si="219"/>
        <v>0</v>
      </c>
      <c r="X304" s="1">
        <f t="shared" si="220"/>
        <v>0</v>
      </c>
      <c r="Y304" s="1">
        <f t="shared" si="221"/>
        <v>0</v>
      </c>
      <c r="Z304" s="1">
        <f t="shared" si="222"/>
        <v>0</v>
      </c>
      <c r="AA304" s="1">
        <f t="shared" si="223"/>
        <v>0</v>
      </c>
      <c r="AB304" s="1">
        <f t="shared" si="224"/>
        <v>0</v>
      </c>
      <c r="AD304" s="1">
        <f t="shared" si="225"/>
        <v>0</v>
      </c>
      <c r="AE304" s="1">
        <f t="shared" si="226"/>
        <v>1</v>
      </c>
      <c r="AF304" s="1">
        <f t="shared" si="211"/>
        <v>0</v>
      </c>
      <c r="AG304" s="1">
        <f t="shared" si="212"/>
        <v>1</v>
      </c>
      <c r="AH304" s="1">
        <f t="shared" si="213"/>
        <v>0</v>
      </c>
      <c r="AI304" s="1">
        <f t="shared" si="214"/>
        <v>1</v>
      </c>
    </row>
    <row r="305" spans="1:35" ht="14.25" customHeight="1" x14ac:dyDescent="0.3">
      <c r="A305" s="31">
        <v>0</v>
      </c>
      <c r="B305" s="31">
        <v>2</v>
      </c>
      <c r="C305" s="31">
        <v>1</v>
      </c>
      <c r="D305" s="32" t="s">
        <v>1080</v>
      </c>
      <c r="E305" s="32" t="s">
        <v>1334</v>
      </c>
      <c r="F305" s="32" t="s">
        <v>1663</v>
      </c>
      <c r="G305" s="32" t="s">
        <v>190</v>
      </c>
      <c r="H305" s="32" t="s">
        <v>354</v>
      </c>
      <c r="I305" s="31" t="s">
        <v>1861</v>
      </c>
      <c r="J305" s="31">
        <v>99</v>
      </c>
      <c r="K305" s="33" t="s">
        <v>712</v>
      </c>
      <c r="L305" s="33" t="s">
        <v>713</v>
      </c>
      <c r="M305" s="34" t="s">
        <v>714</v>
      </c>
      <c r="N305" s="34" t="s">
        <v>1743</v>
      </c>
      <c r="O305" s="35">
        <v>1</v>
      </c>
      <c r="P305" s="35"/>
      <c r="Q305" s="32"/>
      <c r="S305" s="1">
        <f t="shared" si="215"/>
        <v>0</v>
      </c>
      <c r="T305" s="1">
        <f t="shared" si="216"/>
        <v>0</v>
      </c>
      <c r="U305" s="1">
        <f t="shared" si="217"/>
        <v>0</v>
      </c>
      <c r="V305" s="1">
        <f t="shared" si="218"/>
        <v>0</v>
      </c>
      <c r="W305" s="1">
        <f t="shared" si="219"/>
        <v>0</v>
      </c>
      <c r="X305" s="1">
        <f t="shared" si="220"/>
        <v>0</v>
      </c>
      <c r="Y305" s="1">
        <f t="shared" si="221"/>
        <v>0</v>
      </c>
      <c r="Z305" s="1">
        <f t="shared" si="222"/>
        <v>0</v>
      </c>
      <c r="AA305" s="1">
        <f t="shared" si="223"/>
        <v>0</v>
      </c>
      <c r="AB305" s="1">
        <f t="shared" si="224"/>
        <v>0</v>
      </c>
      <c r="AD305" s="1">
        <f t="shared" si="225"/>
        <v>0</v>
      </c>
      <c r="AE305" s="1">
        <f t="shared" si="226"/>
        <v>1</v>
      </c>
      <c r="AF305" s="1">
        <f t="shared" si="211"/>
        <v>0</v>
      </c>
      <c r="AG305" s="1">
        <f t="shared" si="212"/>
        <v>1</v>
      </c>
      <c r="AH305" s="1">
        <f t="shared" si="213"/>
        <v>0</v>
      </c>
      <c r="AI305" s="1">
        <f t="shared" si="214"/>
        <v>1</v>
      </c>
    </row>
    <row r="306" spans="1:35" ht="14.25" customHeight="1" x14ac:dyDescent="0.3">
      <c r="A306" s="15">
        <v>0</v>
      </c>
      <c r="B306" s="15">
        <v>2</v>
      </c>
      <c r="C306" s="15">
        <v>1</v>
      </c>
      <c r="D306" s="16" t="s">
        <v>651</v>
      </c>
      <c r="E306" s="16" t="s">
        <v>36</v>
      </c>
      <c r="F306" s="16" t="s">
        <v>667</v>
      </c>
      <c r="G306" s="16" t="s">
        <v>201</v>
      </c>
      <c r="H306" s="16" t="s">
        <v>354</v>
      </c>
      <c r="I306" s="15" t="s">
        <v>1005</v>
      </c>
      <c r="J306" s="15">
        <v>99</v>
      </c>
      <c r="K306" s="10" t="s">
        <v>703</v>
      </c>
      <c r="L306" s="10">
        <v>4</v>
      </c>
      <c r="M306" s="19" t="s">
        <v>714</v>
      </c>
      <c r="N306" s="17"/>
      <c r="Q306" s="16"/>
      <c r="S306" s="1">
        <f t="shared" si="215"/>
        <v>0</v>
      </c>
      <c r="T306" s="1">
        <f t="shared" si="216"/>
        <v>0</v>
      </c>
      <c r="U306" s="1">
        <f t="shared" si="217"/>
        <v>0</v>
      </c>
      <c r="V306" s="1">
        <f t="shared" si="218"/>
        <v>0</v>
      </c>
      <c r="W306" s="1">
        <f t="shared" si="219"/>
        <v>0</v>
      </c>
      <c r="X306" s="1">
        <f t="shared" si="220"/>
        <v>0</v>
      </c>
      <c r="Y306" s="1">
        <f t="shared" si="221"/>
        <v>0</v>
      </c>
      <c r="Z306" s="1">
        <f t="shared" si="222"/>
        <v>0</v>
      </c>
      <c r="AA306" s="1">
        <f t="shared" si="223"/>
        <v>0</v>
      </c>
      <c r="AB306" s="1">
        <f t="shared" si="224"/>
        <v>0</v>
      </c>
      <c r="AD306" s="1">
        <f t="shared" si="225"/>
        <v>0</v>
      </c>
      <c r="AE306" s="1">
        <f t="shared" si="226"/>
        <v>0</v>
      </c>
      <c r="AF306" s="1">
        <f t="shared" si="211"/>
        <v>0</v>
      </c>
      <c r="AG306" s="1">
        <f t="shared" si="212"/>
        <v>0</v>
      </c>
      <c r="AH306" s="1">
        <f t="shared" si="213"/>
        <v>0</v>
      </c>
      <c r="AI306" s="1">
        <f t="shared" si="214"/>
        <v>1</v>
      </c>
    </row>
    <row r="307" spans="1:35" ht="14.25" customHeight="1" x14ac:dyDescent="0.3">
      <c r="A307" s="44">
        <v>0</v>
      </c>
      <c r="B307" s="44">
        <v>2</v>
      </c>
      <c r="C307" s="44">
        <v>1</v>
      </c>
      <c r="D307" s="45" t="s">
        <v>1264</v>
      </c>
      <c r="E307" s="45" t="s">
        <v>1265</v>
      </c>
      <c r="F307" s="45" t="s">
        <v>1266</v>
      </c>
      <c r="G307" s="45" t="s">
        <v>1165</v>
      </c>
      <c r="H307" s="45" t="s">
        <v>354</v>
      </c>
      <c r="I307" s="44" t="s">
        <v>1267</v>
      </c>
      <c r="J307" s="44">
        <v>11</v>
      </c>
      <c r="K307" s="46" t="s">
        <v>703</v>
      </c>
      <c r="L307" s="46">
        <v>6</v>
      </c>
      <c r="M307" s="47" t="s">
        <v>1728</v>
      </c>
      <c r="N307" s="47" t="s">
        <v>1809</v>
      </c>
      <c r="O307" s="48"/>
      <c r="P307" s="48"/>
      <c r="Q307" s="45"/>
      <c r="S307" s="1">
        <f t="shared" si="215"/>
        <v>0</v>
      </c>
      <c r="T307" s="1">
        <f t="shared" si="216"/>
        <v>0</v>
      </c>
      <c r="U307" s="1">
        <f t="shared" si="217"/>
        <v>0</v>
      </c>
      <c r="V307" s="1">
        <f t="shared" si="218"/>
        <v>0</v>
      </c>
      <c r="W307" s="1">
        <f t="shared" si="219"/>
        <v>0</v>
      </c>
      <c r="X307" s="1">
        <f t="shared" si="220"/>
        <v>0</v>
      </c>
      <c r="Y307" s="1">
        <f t="shared" si="221"/>
        <v>0</v>
      </c>
      <c r="Z307" s="1">
        <f t="shared" si="222"/>
        <v>0</v>
      </c>
      <c r="AA307" s="1">
        <f t="shared" si="223"/>
        <v>0</v>
      </c>
      <c r="AB307" s="1">
        <f t="shared" si="224"/>
        <v>0</v>
      </c>
      <c r="AD307" s="1">
        <f t="shared" si="225"/>
        <v>0</v>
      </c>
      <c r="AE307" s="1">
        <f t="shared" si="226"/>
        <v>0</v>
      </c>
      <c r="AF307" s="1">
        <f t="shared" si="211"/>
        <v>0</v>
      </c>
      <c r="AG307" s="1">
        <f t="shared" si="212"/>
        <v>0</v>
      </c>
      <c r="AH307" s="1">
        <f t="shared" si="213"/>
        <v>0</v>
      </c>
      <c r="AI307" s="1">
        <f t="shared" si="214"/>
        <v>1</v>
      </c>
    </row>
    <row r="308" spans="1:35" ht="14.25" customHeight="1" x14ac:dyDescent="0.3">
      <c r="A308" s="31">
        <v>0</v>
      </c>
      <c r="B308" s="31">
        <v>2</v>
      </c>
      <c r="C308" s="31">
        <v>1</v>
      </c>
      <c r="D308" s="32" t="s">
        <v>1123</v>
      </c>
      <c r="E308" s="32" t="s">
        <v>1314</v>
      </c>
      <c r="F308" s="32" t="s">
        <v>1121</v>
      </c>
      <c r="G308" s="32" t="s">
        <v>230</v>
      </c>
      <c r="H308" s="32" t="s">
        <v>354</v>
      </c>
      <c r="I308" s="31" t="s">
        <v>1122</v>
      </c>
      <c r="J308" s="31">
        <v>7</v>
      </c>
      <c r="K308" s="33" t="s">
        <v>713</v>
      </c>
      <c r="L308" s="33" t="s">
        <v>1709</v>
      </c>
      <c r="M308" s="34" t="s">
        <v>714</v>
      </c>
      <c r="N308" s="34" t="s">
        <v>1756</v>
      </c>
      <c r="O308" s="35">
        <v>1</v>
      </c>
      <c r="P308" s="35"/>
      <c r="Q308" s="32"/>
      <c r="S308" s="1">
        <f t="shared" si="215"/>
        <v>0</v>
      </c>
      <c r="T308" s="1">
        <f t="shared" si="216"/>
        <v>0</v>
      </c>
      <c r="U308" s="1">
        <f t="shared" si="217"/>
        <v>0</v>
      </c>
      <c r="V308" s="1">
        <f t="shared" si="218"/>
        <v>0</v>
      </c>
      <c r="W308" s="1">
        <f t="shared" si="219"/>
        <v>0</v>
      </c>
      <c r="X308" s="1">
        <f t="shared" si="220"/>
        <v>0</v>
      </c>
      <c r="Y308" s="1">
        <f t="shared" si="221"/>
        <v>1</v>
      </c>
      <c r="Z308" s="1">
        <f t="shared" si="222"/>
        <v>0</v>
      </c>
      <c r="AA308" s="1">
        <f t="shared" si="223"/>
        <v>0</v>
      </c>
      <c r="AB308" s="1">
        <f t="shared" si="224"/>
        <v>0</v>
      </c>
      <c r="AD308" s="1">
        <f t="shared" si="225"/>
        <v>0</v>
      </c>
      <c r="AE308" s="1">
        <f t="shared" si="226"/>
        <v>1</v>
      </c>
      <c r="AF308" s="1">
        <f t="shared" si="211"/>
        <v>0</v>
      </c>
      <c r="AG308" s="1">
        <f t="shared" si="212"/>
        <v>1</v>
      </c>
      <c r="AH308" s="1">
        <f t="shared" si="213"/>
        <v>0</v>
      </c>
      <c r="AI308" s="1">
        <f t="shared" si="214"/>
        <v>1</v>
      </c>
    </row>
    <row r="309" spans="1:35" ht="14.25" customHeight="1" x14ac:dyDescent="0.3">
      <c r="A309" s="31">
        <v>0</v>
      </c>
      <c r="B309" s="31">
        <v>2</v>
      </c>
      <c r="C309" s="31">
        <v>1</v>
      </c>
      <c r="D309" s="32" t="s">
        <v>1008</v>
      </c>
      <c r="E309" s="32" t="s">
        <v>1336</v>
      </c>
      <c r="F309" s="32" t="s">
        <v>1009</v>
      </c>
      <c r="G309" s="32" t="s">
        <v>1100</v>
      </c>
      <c r="H309" s="32" t="s">
        <v>354</v>
      </c>
      <c r="I309" s="31" t="s">
        <v>408</v>
      </c>
      <c r="J309" s="31">
        <v>99</v>
      </c>
      <c r="K309" s="33" t="s">
        <v>713</v>
      </c>
      <c r="L309" s="33" t="s">
        <v>713</v>
      </c>
      <c r="M309" s="34" t="s">
        <v>714</v>
      </c>
      <c r="N309" s="34" t="s">
        <v>1743</v>
      </c>
      <c r="O309" s="35">
        <v>1</v>
      </c>
      <c r="P309" s="35"/>
      <c r="Q309" s="32"/>
      <c r="S309" s="1">
        <f t="shared" si="215"/>
        <v>0</v>
      </c>
      <c r="T309" s="1">
        <f t="shared" si="216"/>
        <v>0</v>
      </c>
      <c r="U309" s="1">
        <f t="shared" si="217"/>
        <v>0</v>
      </c>
      <c r="V309" s="1">
        <f t="shared" si="218"/>
        <v>0</v>
      </c>
      <c r="W309" s="1">
        <f t="shared" si="219"/>
        <v>0</v>
      </c>
      <c r="X309" s="1">
        <f t="shared" si="220"/>
        <v>0</v>
      </c>
      <c r="Y309" s="1">
        <f t="shared" si="221"/>
        <v>0</v>
      </c>
      <c r="Z309" s="1">
        <f t="shared" si="222"/>
        <v>0</v>
      </c>
      <c r="AA309" s="1">
        <f t="shared" si="223"/>
        <v>0</v>
      </c>
      <c r="AB309" s="1">
        <f t="shared" si="224"/>
        <v>0</v>
      </c>
      <c r="AD309" s="1">
        <f t="shared" si="225"/>
        <v>0</v>
      </c>
      <c r="AE309" s="1">
        <f t="shared" si="226"/>
        <v>1</v>
      </c>
      <c r="AF309" s="1">
        <f t="shared" si="211"/>
        <v>0</v>
      </c>
      <c r="AG309" s="1">
        <f t="shared" si="212"/>
        <v>1</v>
      </c>
      <c r="AH309" s="1">
        <f t="shared" si="213"/>
        <v>0</v>
      </c>
      <c r="AI309" s="1">
        <f t="shared" si="214"/>
        <v>1</v>
      </c>
    </row>
    <row r="310" spans="1:35" ht="14.25" customHeight="1" x14ac:dyDescent="0.3">
      <c r="A310" s="31">
        <v>0</v>
      </c>
      <c r="B310" s="31">
        <v>2</v>
      </c>
      <c r="C310" s="31">
        <v>1</v>
      </c>
      <c r="D310" s="32" t="s">
        <v>1130</v>
      </c>
      <c r="E310" s="32" t="s">
        <v>561</v>
      </c>
      <c r="F310" s="32" t="s">
        <v>1354</v>
      </c>
      <c r="G310" s="32" t="s">
        <v>265</v>
      </c>
      <c r="H310" s="32" t="s">
        <v>354</v>
      </c>
      <c r="I310" s="31" t="s">
        <v>1131</v>
      </c>
      <c r="J310" s="31">
        <v>8</v>
      </c>
      <c r="K310" s="33" t="s">
        <v>712</v>
      </c>
      <c r="L310" s="33" t="s">
        <v>1709</v>
      </c>
      <c r="M310" s="34" t="s">
        <v>714</v>
      </c>
      <c r="N310" s="34" t="s">
        <v>1748</v>
      </c>
      <c r="O310" s="35">
        <v>1</v>
      </c>
      <c r="P310" s="35"/>
      <c r="Q310" s="32"/>
      <c r="S310" s="1">
        <f t="shared" si="215"/>
        <v>0</v>
      </c>
      <c r="T310" s="1">
        <f t="shared" si="216"/>
        <v>0</v>
      </c>
      <c r="U310" s="1">
        <f t="shared" si="217"/>
        <v>0</v>
      </c>
      <c r="V310" s="1">
        <f t="shared" si="218"/>
        <v>0</v>
      </c>
      <c r="W310" s="1">
        <f t="shared" si="219"/>
        <v>0</v>
      </c>
      <c r="X310" s="1">
        <f t="shared" si="220"/>
        <v>0</v>
      </c>
      <c r="Y310" s="1">
        <f t="shared" si="221"/>
        <v>0</v>
      </c>
      <c r="Z310" s="1">
        <f t="shared" si="222"/>
        <v>1</v>
      </c>
      <c r="AA310" s="1">
        <f t="shared" si="223"/>
        <v>0</v>
      </c>
      <c r="AB310" s="1">
        <f t="shared" si="224"/>
        <v>0</v>
      </c>
      <c r="AD310" s="1">
        <f t="shared" si="225"/>
        <v>0</v>
      </c>
      <c r="AE310" s="1">
        <f t="shared" si="226"/>
        <v>1</v>
      </c>
      <c r="AF310" s="1">
        <f t="shared" si="211"/>
        <v>0</v>
      </c>
      <c r="AG310" s="1">
        <f t="shared" si="212"/>
        <v>1</v>
      </c>
      <c r="AH310" s="1">
        <f t="shared" si="213"/>
        <v>0</v>
      </c>
      <c r="AI310" s="1">
        <f t="shared" si="214"/>
        <v>1</v>
      </c>
    </row>
    <row r="311" spans="1:35" ht="14.25" customHeight="1" x14ac:dyDescent="0.3">
      <c r="A311" s="31">
        <v>0</v>
      </c>
      <c r="B311" s="31">
        <v>2</v>
      </c>
      <c r="C311" s="31">
        <v>1</v>
      </c>
      <c r="D311" s="32" t="s">
        <v>1286</v>
      </c>
      <c r="E311" s="32" t="s">
        <v>1334</v>
      </c>
      <c r="F311" s="32" t="s">
        <v>1283</v>
      </c>
      <c r="G311" s="32" t="s">
        <v>1284</v>
      </c>
      <c r="H311" s="32" t="s">
        <v>354</v>
      </c>
      <c r="I311" s="31" t="s">
        <v>1285</v>
      </c>
      <c r="J311" s="31">
        <v>1</v>
      </c>
      <c r="K311" s="33" t="s">
        <v>712</v>
      </c>
      <c r="L311" s="33" t="s">
        <v>713</v>
      </c>
      <c r="M311" s="34" t="s">
        <v>714</v>
      </c>
      <c r="N311" s="34" t="s">
        <v>1761</v>
      </c>
      <c r="O311" s="35">
        <v>1</v>
      </c>
      <c r="P311" s="35"/>
      <c r="Q311" s="32" t="s">
        <v>1902</v>
      </c>
      <c r="S311" s="1">
        <f t="shared" si="215"/>
        <v>1</v>
      </c>
      <c r="T311" s="1">
        <f t="shared" si="216"/>
        <v>0</v>
      </c>
      <c r="U311" s="1">
        <f t="shared" si="217"/>
        <v>0</v>
      </c>
      <c r="V311" s="1">
        <f t="shared" si="218"/>
        <v>0</v>
      </c>
      <c r="W311" s="1">
        <f t="shared" si="219"/>
        <v>0</v>
      </c>
      <c r="X311" s="1">
        <f t="shared" si="220"/>
        <v>0</v>
      </c>
      <c r="Y311" s="1">
        <f t="shared" si="221"/>
        <v>0</v>
      </c>
      <c r="Z311" s="1">
        <f t="shared" si="222"/>
        <v>0</v>
      </c>
      <c r="AA311" s="1">
        <f t="shared" si="223"/>
        <v>0</v>
      </c>
      <c r="AB311" s="1">
        <f t="shared" si="224"/>
        <v>0</v>
      </c>
      <c r="AD311" s="1">
        <f t="shared" si="225"/>
        <v>0</v>
      </c>
      <c r="AE311" s="1">
        <f t="shared" si="226"/>
        <v>1</v>
      </c>
      <c r="AF311" s="1">
        <f t="shared" si="211"/>
        <v>0</v>
      </c>
      <c r="AG311" s="1">
        <f t="shared" si="212"/>
        <v>1</v>
      </c>
      <c r="AH311" s="1">
        <f t="shared" si="213"/>
        <v>0</v>
      </c>
      <c r="AI311" s="1">
        <f t="shared" si="214"/>
        <v>1</v>
      </c>
    </row>
    <row r="312" spans="1:35" ht="14.25" customHeight="1" x14ac:dyDescent="0.3">
      <c r="A312" s="44">
        <v>0</v>
      </c>
      <c r="B312" s="44">
        <v>2</v>
      </c>
      <c r="C312" s="44">
        <v>1</v>
      </c>
      <c r="D312" s="45" t="s">
        <v>52</v>
      </c>
      <c r="E312" s="45" t="s">
        <v>32</v>
      </c>
      <c r="F312" s="45" t="s">
        <v>206</v>
      </c>
      <c r="G312" s="45" t="s">
        <v>207</v>
      </c>
      <c r="H312" s="45" t="s">
        <v>354</v>
      </c>
      <c r="I312" s="44" t="s">
        <v>391</v>
      </c>
      <c r="J312" s="44">
        <v>99</v>
      </c>
      <c r="K312" s="46" t="s">
        <v>712</v>
      </c>
      <c r="L312" s="46" t="s">
        <v>713</v>
      </c>
      <c r="M312" s="47" t="s">
        <v>714</v>
      </c>
      <c r="N312" s="47" t="s">
        <v>1747</v>
      </c>
      <c r="O312" s="48"/>
      <c r="P312" s="48"/>
      <c r="Q312" s="45"/>
      <c r="S312" s="1">
        <f t="shared" si="215"/>
        <v>0</v>
      </c>
      <c r="T312" s="1">
        <f t="shared" si="216"/>
        <v>0</v>
      </c>
      <c r="U312" s="1">
        <f t="shared" si="217"/>
        <v>0</v>
      </c>
      <c r="V312" s="1">
        <f t="shared" si="218"/>
        <v>0</v>
      </c>
      <c r="W312" s="1">
        <f t="shared" si="219"/>
        <v>0</v>
      </c>
      <c r="X312" s="1">
        <f t="shared" si="220"/>
        <v>0</v>
      </c>
      <c r="Y312" s="1">
        <f t="shared" si="221"/>
        <v>0</v>
      </c>
      <c r="Z312" s="1">
        <f t="shared" si="222"/>
        <v>0</v>
      </c>
      <c r="AA312" s="1">
        <f t="shared" si="223"/>
        <v>0</v>
      </c>
      <c r="AB312" s="1">
        <f t="shared" si="224"/>
        <v>0</v>
      </c>
      <c r="AD312" s="1">
        <f t="shared" si="225"/>
        <v>0</v>
      </c>
      <c r="AE312" s="1">
        <f t="shared" si="226"/>
        <v>0</v>
      </c>
      <c r="AF312" s="1">
        <f t="shared" si="211"/>
        <v>0</v>
      </c>
      <c r="AG312" s="1">
        <f t="shared" si="212"/>
        <v>0</v>
      </c>
      <c r="AH312" s="1">
        <f t="shared" si="213"/>
        <v>0</v>
      </c>
      <c r="AI312" s="1">
        <f t="shared" si="214"/>
        <v>1</v>
      </c>
    </row>
    <row r="313" spans="1:35" ht="14.25" customHeight="1" x14ac:dyDescent="0.3">
      <c r="A313" s="31">
        <v>0</v>
      </c>
      <c r="B313" s="31">
        <v>2</v>
      </c>
      <c r="C313" s="31">
        <v>1</v>
      </c>
      <c r="D313" s="32" t="s">
        <v>73</v>
      </c>
      <c r="E313" s="32" t="s">
        <v>561</v>
      </c>
      <c r="F313" s="32" t="s">
        <v>1050</v>
      </c>
      <c r="G313" s="32" t="s">
        <v>190</v>
      </c>
      <c r="H313" s="32" t="s">
        <v>354</v>
      </c>
      <c r="I313" s="31" t="s">
        <v>421</v>
      </c>
      <c r="J313" s="31">
        <v>99</v>
      </c>
      <c r="K313" s="33" t="s">
        <v>954</v>
      </c>
      <c r="L313" s="33" t="s">
        <v>713</v>
      </c>
      <c r="M313" s="34" t="s">
        <v>714</v>
      </c>
      <c r="N313" s="34" t="s">
        <v>1743</v>
      </c>
      <c r="O313" s="35">
        <v>1</v>
      </c>
      <c r="P313" s="35"/>
      <c r="Q313" s="32"/>
      <c r="S313" s="1">
        <f t="shared" si="215"/>
        <v>0</v>
      </c>
      <c r="T313" s="1">
        <f t="shared" si="216"/>
        <v>0</v>
      </c>
      <c r="U313" s="1">
        <f t="shared" si="217"/>
        <v>0</v>
      </c>
      <c r="V313" s="1">
        <f t="shared" si="218"/>
        <v>0</v>
      </c>
      <c r="W313" s="1">
        <f t="shared" si="219"/>
        <v>0</v>
      </c>
      <c r="X313" s="1">
        <f t="shared" si="220"/>
        <v>0</v>
      </c>
      <c r="Y313" s="1">
        <f t="shared" si="221"/>
        <v>0</v>
      </c>
      <c r="Z313" s="1">
        <f t="shared" si="222"/>
        <v>0</v>
      </c>
      <c r="AA313" s="1">
        <f t="shared" si="223"/>
        <v>0</v>
      </c>
      <c r="AB313" s="1">
        <f t="shared" si="224"/>
        <v>0</v>
      </c>
      <c r="AD313" s="1">
        <f t="shared" si="225"/>
        <v>0</v>
      </c>
      <c r="AE313" s="1">
        <f t="shared" si="226"/>
        <v>1</v>
      </c>
      <c r="AF313" s="1">
        <f t="shared" si="211"/>
        <v>0</v>
      </c>
      <c r="AG313" s="1">
        <f t="shared" si="212"/>
        <v>1</v>
      </c>
      <c r="AH313" s="1">
        <f t="shared" si="213"/>
        <v>0</v>
      </c>
      <c r="AI313" s="1">
        <f t="shared" si="214"/>
        <v>1</v>
      </c>
    </row>
    <row r="314" spans="1:35" ht="14.25" customHeight="1" x14ac:dyDescent="0.3">
      <c r="A314" s="31">
        <v>0</v>
      </c>
      <c r="B314" s="31">
        <v>2</v>
      </c>
      <c r="C314" s="31">
        <v>1</v>
      </c>
      <c r="D314" s="32" t="s">
        <v>47</v>
      </c>
      <c r="E314" s="32" t="s">
        <v>32</v>
      </c>
      <c r="F314" s="32" t="s">
        <v>187</v>
      </c>
      <c r="G314" s="32" t="s">
        <v>180</v>
      </c>
      <c r="H314" s="32" t="s">
        <v>354</v>
      </c>
      <c r="I314" s="31" t="s">
        <v>383</v>
      </c>
      <c r="J314" s="31">
        <v>10</v>
      </c>
      <c r="K314" s="33" t="s">
        <v>955</v>
      </c>
      <c r="L314" s="33" t="s">
        <v>713</v>
      </c>
      <c r="M314" s="34" t="s">
        <v>714</v>
      </c>
      <c r="N314" s="34" t="s">
        <v>1743</v>
      </c>
      <c r="O314" s="35">
        <v>1</v>
      </c>
      <c r="P314" s="35"/>
      <c r="Q314" s="32"/>
      <c r="S314" s="1">
        <f t="shared" si="215"/>
        <v>0</v>
      </c>
      <c r="T314" s="1">
        <f t="shared" si="216"/>
        <v>0</v>
      </c>
      <c r="U314" s="1">
        <f t="shared" si="217"/>
        <v>0</v>
      </c>
      <c r="V314" s="1">
        <f t="shared" si="218"/>
        <v>0</v>
      </c>
      <c r="W314" s="1">
        <f t="shared" si="219"/>
        <v>0</v>
      </c>
      <c r="X314" s="1">
        <f t="shared" si="220"/>
        <v>0</v>
      </c>
      <c r="Y314" s="1">
        <f t="shared" si="221"/>
        <v>0</v>
      </c>
      <c r="Z314" s="1">
        <f t="shared" si="222"/>
        <v>0</v>
      </c>
      <c r="AA314" s="1">
        <f t="shared" si="223"/>
        <v>0</v>
      </c>
      <c r="AB314" s="1">
        <f t="shared" si="224"/>
        <v>1</v>
      </c>
      <c r="AD314" s="1">
        <f t="shared" si="225"/>
        <v>0</v>
      </c>
      <c r="AE314" s="1">
        <f t="shared" si="226"/>
        <v>1</v>
      </c>
      <c r="AF314" s="1">
        <f t="shared" si="211"/>
        <v>0</v>
      </c>
      <c r="AG314" s="1">
        <f t="shared" si="212"/>
        <v>1</v>
      </c>
      <c r="AH314" s="1">
        <f t="shared" si="213"/>
        <v>0</v>
      </c>
      <c r="AI314" s="1">
        <f t="shared" si="214"/>
        <v>1</v>
      </c>
    </row>
    <row r="315" spans="1:35" ht="14.25" customHeight="1" x14ac:dyDescent="0.3">
      <c r="A315" s="44">
        <v>0</v>
      </c>
      <c r="B315" s="44">
        <v>2</v>
      </c>
      <c r="C315" s="44">
        <v>1</v>
      </c>
      <c r="D315" s="45" t="s">
        <v>652</v>
      </c>
      <c r="E315" s="45" t="s">
        <v>160</v>
      </c>
      <c r="F315" s="45" t="s">
        <v>188</v>
      </c>
      <c r="G315" s="45" t="s">
        <v>668</v>
      </c>
      <c r="H315" s="45" t="s">
        <v>354</v>
      </c>
      <c r="I315" s="44" t="s">
        <v>384</v>
      </c>
      <c r="J315" s="44">
        <v>99</v>
      </c>
      <c r="K315" s="46" t="s">
        <v>712</v>
      </c>
      <c r="L315" s="46" t="s">
        <v>713</v>
      </c>
      <c r="M315" s="47" t="s">
        <v>714</v>
      </c>
      <c r="N315" s="47" t="s">
        <v>1737</v>
      </c>
      <c r="O315" s="48"/>
      <c r="P315" s="48"/>
      <c r="Q315" s="45"/>
      <c r="S315" s="1">
        <f t="shared" si="215"/>
        <v>0</v>
      </c>
      <c r="T315" s="1">
        <f t="shared" si="216"/>
        <v>0</v>
      </c>
      <c r="U315" s="1">
        <f t="shared" si="217"/>
        <v>0</v>
      </c>
      <c r="V315" s="1">
        <f t="shared" si="218"/>
        <v>0</v>
      </c>
      <c r="W315" s="1">
        <f t="shared" si="219"/>
        <v>0</v>
      </c>
      <c r="X315" s="1">
        <f t="shared" si="220"/>
        <v>0</v>
      </c>
      <c r="Y315" s="1">
        <f t="shared" si="221"/>
        <v>0</v>
      </c>
      <c r="Z315" s="1">
        <f t="shared" si="222"/>
        <v>0</v>
      </c>
      <c r="AA315" s="1">
        <f t="shared" si="223"/>
        <v>0</v>
      </c>
      <c r="AB315" s="1">
        <f t="shared" si="224"/>
        <v>0</v>
      </c>
      <c r="AD315" s="1">
        <f t="shared" si="225"/>
        <v>0</v>
      </c>
      <c r="AE315" s="1">
        <f t="shared" si="226"/>
        <v>0</v>
      </c>
      <c r="AF315" s="1">
        <f t="shared" si="211"/>
        <v>0</v>
      </c>
      <c r="AG315" s="1">
        <f t="shared" si="212"/>
        <v>0</v>
      </c>
      <c r="AH315" s="1">
        <f t="shared" si="213"/>
        <v>0</v>
      </c>
      <c r="AI315" s="1">
        <f t="shared" si="214"/>
        <v>1</v>
      </c>
    </row>
    <row r="316" spans="1:35" ht="14.25" customHeight="1" x14ac:dyDescent="0.3">
      <c r="A316" s="38">
        <v>0</v>
      </c>
      <c r="B316" s="38">
        <v>2</v>
      </c>
      <c r="C316" s="38">
        <v>1</v>
      </c>
      <c r="D316" s="39" t="s">
        <v>1304</v>
      </c>
      <c r="E316" s="39" t="s">
        <v>36</v>
      </c>
      <c r="F316" s="39" t="s">
        <v>1305</v>
      </c>
      <c r="G316" s="39" t="s">
        <v>258</v>
      </c>
      <c r="H316" s="39" t="s">
        <v>354</v>
      </c>
      <c r="I316" s="38" t="s">
        <v>1306</v>
      </c>
      <c r="J316" s="38">
        <v>8</v>
      </c>
      <c r="K316" s="40" t="s">
        <v>959</v>
      </c>
      <c r="L316" s="40" t="s">
        <v>713</v>
      </c>
      <c r="M316" s="41" t="s">
        <v>714</v>
      </c>
      <c r="N316" s="42"/>
      <c r="O316" s="43"/>
      <c r="P316" s="43">
        <v>1</v>
      </c>
      <c r="Q316" s="39"/>
      <c r="S316" s="1">
        <f t="shared" si="215"/>
        <v>0</v>
      </c>
      <c r="T316" s="1">
        <f t="shared" si="216"/>
        <v>0</v>
      </c>
      <c r="U316" s="1">
        <f t="shared" si="217"/>
        <v>0</v>
      </c>
      <c r="V316" s="1">
        <f t="shared" si="218"/>
        <v>0</v>
      </c>
      <c r="W316" s="1">
        <f t="shared" si="219"/>
        <v>0</v>
      </c>
      <c r="X316" s="1">
        <f t="shared" si="220"/>
        <v>0</v>
      </c>
      <c r="Y316" s="1">
        <f t="shared" si="221"/>
        <v>0</v>
      </c>
      <c r="Z316" s="1">
        <f t="shared" si="222"/>
        <v>1</v>
      </c>
      <c r="AA316" s="1">
        <f t="shared" si="223"/>
        <v>0</v>
      </c>
      <c r="AB316" s="1">
        <f t="shared" si="224"/>
        <v>0</v>
      </c>
      <c r="AD316" s="1">
        <f t="shared" si="225"/>
        <v>0</v>
      </c>
      <c r="AE316" s="1">
        <f t="shared" si="226"/>
        <v>0</v>
      </c>
      <c r="AF316" s="1">
        <f t="shared" si="211"/>
        <v>0</v>
      </c>
      <c r="AG316" s="1">
        <f t="shared" si="212"/>
        <v>0</v>
      </c>
      <c r="AH316" s="1">
        <f t="shared" si="213"/>
        <v>1</v>
      </c>
      <c r="AI316" s="1">
        <f t="shared" si="214"/>
        <v>0</v>
      </c>
    </row>
    <row r="317" spans="1:35" ht="14.25" customHeight="1" x14ac:dyDescent="0.3">
      <c r="A317" s="31">
        <v>0</v>
      </c>
      <c r="B317" s="31">
        <v>2</v>
      </c>
      <c r="C317" s="31">
        <v>1</v>
      </c>
      <c r="D317" s="32" t="s">
        <v>54</v>
      </c>
      <c r="E317" s="32" t="s">
        <v>561</v>
      </c>
      <c r="F317" s="32" t="s">
        <v>212</v>
      </c>
      <c r="G317" s="32" t="s">
        <v>213</v>
      </c>
      <c r="H317" s="32" t="s">
        <v>354</v>
      </c>
      <c r="I317" s="31" t="s">
        <v>393</v>
      </c>
      <c r="J317" s="31">
        <v>1</v>
      </c>
      <c r="K317" s="33" t="s">
        <v>955</v>
      </c>
      <c r="L317" s="33" t="s">
        <v>713</v>
      </c>
      <c r="M317" s="34" t="s">
        <v>39</v>
      </c>
      <c r="N317" s="34" t="s">
        <v>1743</v>
      </c>
      <c r="O317" s="35">
        <v>1</v>
      </c>
      <c r="P317" s="35"/>
      <c r="Q317" s="32"/>
      <c r="S317" s="1">
        <f t="shared" si="215"/>
        <v>1</v>
      </c>
      <c r="T317" s="1">
        <f t="shared" si="216"/>
        <v>0</v>
      </c>
      <c r="U317" s="1">
        <f t="shared" si="217"/>
        <v>0</v>
      </c>
      <c r="V317" s="1">
        <f t="shared" si="218"/>
        <v>0</v>
      </c>
      <c r="W317" s="1">
        <f t="shared" si="219"/>
        <v>0</v>
      </c>
      <c r="X317" s="1">
        <f t="shared" si="220"/>
        <v>0</v>
      </c>
      <c r="Y317" s="1">
        <f t="shared" si="221"/>
        <v>0</v>
      </c>
      <c r="Z317" s="1">
        <f t="shared" si="222"/>
        <v>0</v>
      </c>
      <c r="AA317" s="1">
        <f t="shared" si="223"/>
        <v>0</v>
      </c>
      <c r="AB317" s="1">
        <f t="shared" si="224"/>
        <v>0</v>
      </c>
      <c r="AD317" s="1">
        <f t="shared" si="225"/>
        <v>0</v>
      </c>
      <c r="AE317" s="1">
        <f t="shared" si="226"/>
        <v>1</v>
      </c>
      <c r="AF317" s="1">
        <f t="shared" si="211"/>
        <v>0</v>
      </c>
      <c r="AG317" s="1">
        <f t="shared" si="212"/>
        <v>1</v>
      </c>
      <c r="AH317" s="1">
        <f t="shared" si="213"/>
        <v>0</v>
      </c>
      <c r="AI317" s="1">
        <f t="shared" si="214"/>
        <v>1</v>
      </c>
    </row>
    <row r="318" spans="1:35" ht="14.25" customHeight="1" x14ac:dyDescent="0.3">
      <c r="A318" s="44">
        <v>0</v>
      </c>
      <c r="B318" s="44">
        <v>2</v>
      </c>
      <c r="C318" s="44">
        <v>1</v>
      </c>
      <c r="D318" s="45" t="s">
        <v>61</v>
      </c>
      <c r="E318" s="45" t="s">
        <v>543</v>
      </c>
      <c r="F318" s="45" t="s">
        <v>233</v>
      </c>
      <c r="G318" s="45" t="s">
        <v>204</v>
      </c>
      <c r="H318" s="45" t="s">
        <v>354</v>
      </c>
      <c r="I318" s="44" t="s">
        <v>401</v>
      </c>
      <c r="J318" s="44">
        <v>7</v>
      </c>
      <c r="K318" s="46" t="s">
        <v>712</v>
      </c>
      <c r="L318" s="46" t="s">
        <v>713</v>
      </c>
      <c r="M318" s="47" t="s">
        <v>714</v>
      </c>
      <c r="N318" s="47" t="s">
        <v>1738</v>
      </c>
      <c r="O318" s="48"/>
      <c r="P318" s="48"/>
      <c r="Q318" s="45"/>
      <c r="S318" s="1">
        <f t="shared" si="215"/>
        <v>0</v>
      </c>
      <c r="T318" s="1">
        <f t="shared" si="216"/>
        <v>0</v>
      </c>
      <c r="U318" s="1">
        <f t="shared" si="217"/>
        <v>0</v>
      </c>
      <c r="V318" s="1">
        <f t="shared" si="218"/>
        <v>0</v>
      </c>
      <c r="W318" s="1">
        <f t="shared" si="219"/>
        <v>0</v>
      </c>
      <c r="X318" s="1">
        <f t="shared" si="220"/>
        <v>0</v>
      </c>
      <c r="Y318" s="1">
        <f t="shared" si="221"/>
        <v>1</v>
      </c>
      <c r="Z318" s="1">
        <f t="shared" si="222"/>
        <v>0</v>
      </c>
      <c r="AA318" s="1">
        <f t="shared" si="223"/>
        <v>0</v>
      </c>
      <c r="AB318" s="1">
        <f t="shared" si="224"/>
        <v>0</v>
      </c>
      <c r="AD318" s="1">
        <f t="shared" si="225"/>
        <v>0</v>
      </c>
      <c r="AE318" s="1">
        <f t="shared" si="226"/>
        <v>0</v>
      </c>
      <c r="AF318" s="1">
        <f t="shared" si="211"/>
        <v>0</v>
      </c>
      <c r="AG318" s="1">
        <f t="shared" si="212"/>
        <v>0</v>
      </c>
      <c r="AH318" s="1">
        <f t="shared" si="213"/>
        <v>0</v>
      </c>
      <c r="AI318" s="1">
        <f t="shared" si="214"/>
        <v>1</v>
      </c>
    </row>
    <row r="319" spans="1:35" ht="14.25" customHeight="1" x14ac:dyDescent="0.3">
      <c r="A319" s="31">
        <v>0</v>
      </c>
      <c r="B319" s="31">
        <v>2</v>
      </c>
      <c r="C319" s="31">
        <v>1</v>
      </c>
      <c r="D319" s="32" t="s">
        <v>1647</v>
      </c>
      <c r="E319" s="32" t="s">
        <v>561</v>
      </c>
      <c r="F319" s="32" t="s">
        <v>1358</v>
      </c>
      <c r="G319" s="32" t="s">
        <v>1284</v>
      </c>
      <c r="H319" s="32" t="s">
        <v>354</v>
      </c>
      <c r="I319" s="31" t="s">
        <v>1167</v>
      </c>
      <c r="J319" s="31">
        <v>99</v>
      </c>
      <c r="K319" s="33" t="s">
        <v>712</v>
      </c>
      <c r="L319" s="33" t="s">
        <v>713</v>
      </c>
      <c r="M319" s="34" t="s">
        <v>714</v>
      </c>
      <c r="N319" s="34" t="s">
        <v>1748</v>
      </c>
      <c r="O319" s="35">
        <v>1</v>
      </c>
      <c r="P319" s="35"/>
      <c r="Q319" s="32" t="s">
        <v>1901</v>
      </c>
      <c r="S319" s="1">
        <f t="shared" si="215"/>
        <v>0</v>
      </c>
      <c r="T319" s="1">
        <f t="shared" si="216"/>
        <v>0</v>
      </c>
      <c r="U319" s="1">
        <f t="shared" si="217"/>
        <v>0</v>
      </c>
      <c r="V319" s="1">
        <f t="shared" si="218"/>
        <v>0</v>
      </c>
      <c r="W319" s="1">
        <f t="shared" si="219"/>
        <v>0</v>
      </c>
      <c r="X319" s="1">
        <f t="shared" si="220"/>
        <v>0</v>
      </c>
      <c r="Y319" s="1">
        <f t="shared" si="221"/>
        <v>0</v>
      </c>
      <c r="Z319" s="1">
        <f t="shared" si="222"/>
        <v>0</v>
      </c>
      <c r="AA319" s="1">
        <f t="shared" si="223"/>
        <v>0</v>
      </c>
      <c r="AB319" s="1">
        <f t="shared" si="224"/>
        <v>0</v>
      </c>
      <c r="AD319" s="1">
        <f t="shared" si="225"/>
        <v>0</v>
      </c>
      <c r="AE319" s="1">
        <f t="shared" si="226"/>
        <v>1</v>
      </c>
      <c r="AF319" s="1">
        <f t="shared" si="211"/>
        <v>0</v>
      </c>
      <c r="AG319" s="1">
        <f t="shared" si="212"/>
        <v>1</v>
      </c>
      <c r="AH319" s="1">
        <f t="shared" si="213"/>
        <v>0</v>
      </c>
      <c r="AI319" s="1">
        <f t="shared" si="214"/>
        <v>1</v>
      </c>
    </row>
    <row r="320" spans="1:35" ht="14.25" customHeight="1" x14ac:dyDescent="0.3">
      <c r="A320" s="49">
        <v>0</v>
      </c>
      <c r="B320" s="49">
        <v>2</v>
      </c>
      <c r="C320" s="49">
        <v>1</v>
      </c>
      <c r="D320" s="50" t="s">
        <v>1782</v>
      </c>
      <c r="E320" s="50" t="s">
        <v>1783</v>
      </c>
      <c r="F320" s="50" t="s">
        <v>1784</v>
      </c>
      <c r="G320" s="50" t="s">
        <v>1785</v>
      </c>
      <c r="H320" s="50" t="s">
        <v>354</v>
      </c>
      <c r="I320" s="49"/>
      <c r="J320" s="49">
        <v>1</v>
      </c>
      <c r="K320" s="51" t="s">
        <v>703</v>
      </c>
      <c r="L320" s="51"/>
      <c r="M320" s="52"/>
      <c r="N320" s="52" t="s">
        <v>1743</v>
      </c>
      <c r="O320" s="53">
        <v>1</v>
      </c>
      <c r="P320" s="53"/>
      <c r="Q320" s="55" t="s">
        <v>1909</v>
      </c>
      <c r="S320" s="1">
        <f t="shared" si="215"/>
        <v>1</v>
      </c>
      <c r="T320" s="1">
        <f t="shared" si="216"/>
        <v>0</v>
      </c>
      <c r="U320" s="1">
        <f t="shared" si="217"/>
        <v>0</v>
      </c>
      <c r="V320" s="1">
        <f t="shared" si="218"/>
        <v>0</v>
      </c>
      <c r="W320" s="1">
        <f t="shared" si="219"/>
        <v>0</v>
      </c>
      <c r="X320" s="1">
        <f t="shared" si="220"/>
        <v>0</v>
      </c>
      <c r="Y320" s="1">
        <f t="shared" si="221"/>
        <v>0</v>
      </c>
      <c r="Z320" s="1">
        <f t="shared" si="222"/>
        <v>0</v>
      </c>
      <c r="AA320" s="1">
        <f t="shared" si="223"/>
        <v>0</v>
      </c>
      <c r="AB320" s="1">
        <f t="shared" si="224"/>
        <v>0</v>
      </c>
      <c r="AD320" s="1">
        <f t="shared" si="225"/>
        <v>0</v>
      </c>
      <c r="AE320" s="1">
        <f t="shared" si="226"/>
        <v>1</v>
      </c>
      <c r="AF320" s="1">
        <f t="shared" si="211"/>
        <v>0</v>
      </c>
      <c r="AG320" s="1">
        <f t="shared" si="212"/>
        <v>1</v>
      </c>
      <c r="AH320" s="1">
        <f t="shared" si="213"/>
        <v>0</v>
      </c>
      <c r="AI320" s="1">
        <f t="shared" si="214"/>
        <v>1</v>
      </c>
    </row>
    <row r="321" spans="1:35" ht="14.25" customHeight="1" x14ac:dyDescent="0.3">
      <c r="A321" s="31">
        <v>0</v>
      </c>
      <c r="B321" s="31">
        <v>2</v>
      </c>
      <c r="C321" s="31">
        <v>1</v>
      </c>
      <c r="D321" s="32" t="s">
        <v>1318</v>
      </c>
      <c r="E321" s="32" t="s">
        <v>1338</v>
      </c>
      <c r="F321" s="32" t="s">
        <v>1301</v>
      </c>
      <c r="G321" s="32" t="s">
        <v>1302</v>
      </c>
      <c r="H321" s="32" t="s">
        <v>354</v>
      </c>
      <c r="I321" s="31" t="s">
        <v>1303</v>
      </c>
      <c r="J321" s="31">
        <v>99</v>
      </c>
      <c r="K321" s="33" t="s">
        <v>955</v>
      </c>
      <c r="L321" s="33" t="s">
        <v>713</v>
      </c>
      <c r="M321" s="34" t="s">
        <v>714</v>
      </c>
      <c r="N321" s="34" t="s">
        <v>1919</v>
      </c>
      <c r="O321" s="35">
        <v>1</v>
      </c>
      <c r="P321" s="35"/>
      <c r="Q321" s="32"/>
      <c r="S321" s="1">
        <f t="shared" si="215"/>
        <v>0</v>
      </c>
      <c r="T321" s="1">
        <f t="shared" si="216"/>
        <v>0</v>
      </c>
      <c r="U321" s="1">
        <f t="shared" si="217"/>
        <v>0</v>
      </c>
      <c r="V321" s="1">
        <f t="shared" si="218"/>
        <v>0</v>
      </c>
      <c r="W321" s="1">
        <f t="shared" si="219"/>
        <v>0</v>
      </c>
      <c r="X321" s="1">
        <f t="shared" si="220"/>
        <v>0</v>
      </c>
      <c r="Y321" s="1">
        <f t="shared" si="221"/>
        <v>0</v>
      </c>
      <c r="Z321" s="1">
        <f t="shared" si="222"/>
        <v>0</v>
      </c>
      <c r="AA321" s="1">
        <f t="shared" si="223"/>
        <v>0</v>
      </c>
      <c r="AB321" s="1">
        <f t="shared" si="224"/>
        <v>0</v>
      </c>
      <c r="AD321" s="1">
        <f t="shared" si="225"/>
        <v>0</v>
      </c>
      <c r="AE321" s="1">
        <f t="shared" si="226"/>
        <v>1</v>
      </c>
      <c r="AF321" s="1">
        <f t="shared" si="211"/>
        <v>0</v>
      </c>
      <c r="AG321" s="1">
        <f t="shared" si="212"/>
        <v>1</v>
      </c>
      <c r="AH321" s="1">
        <f t="shared" si="213"/>
        <v>0</v>
      </c>
      <c r="AI321" s="1">
        <f t="shared" si="214"/>
        <v>1</v>
      </c>
    </row>
    <row r="322" spans="1:35" ht="14.25" customHeight="1" x14ac:dyDescent="0.3">
      <c r="A322" s="44">
        <v>0</v>
      </c>
      <c r="B322" s="44">
        <v>2</v>
      </c>
      <c r="C322" s="44">
        <v>1</v>
      </c>
      <c r="D322" s="45" t="s">
        <v>1313</v>
      </c>
      <c r="E322" s="45" t="s">
        <v>160</v>
      </c>
      <c r="F322" s="45" t="s">
        <v>1315</v>
      </c>
      <c r="G322" s="45" t="s">
        <v>1316</v>
      </c>
      <c r="H322" s="45" t="s">
        <v>354</v>
      </c>
      <c r="I322" s="44" t="s">
        <v>1317</v>
      </c>
      <c r="J322" s="44">
        <v>8</v>
      </c>
      <c r="K322" s="46" t="s">
        <v>713</v>
      </c>
      <c r="L322" s="46" t="s">
        <v>713</v>
      </c>
      <c r="M322" s="47" t="s">
        <v>714</v>
      </c>
      <c r="N322" s="47" t="s">
        <v>1747</v>
      </c>
      <c r="O322" s="48"/>
      <c r="P322" s="48"/>
      <c r="Q322" s="45"/>
      <c r="S322" s="1">
        <f t="shared" si="215"/>
        <v>0</v>
      </c>
      <c r="T322" s="1">
        <f t="shared" si="216"/>
        <v>0</v>
      </c>
      <c r="U322" s="1">
        <f t="shared" si="217"/>
        <v>0</v>
      </c>
      <c r="V322" s="1">
        <f t="shared" si="218"/>
        <v>0</v>
      </c>
      <c r="W322" s="1">
        <f t="shared" si="219"/>
        <v>0</v>
      </c>
      <c r="X322" s="1">
        <f t="shared" si="220"/>
        <v>0</v>
      </c>
      <c r="Y322" s="1">
        <f t="shared" si="221"/>
        <v>0</v>
      </c>
      <c r="Z322" s="1">
        <f t="shared" si="222"/>
        <v>1</v>
      </c>
      <c r="AA322" s="1">
        <f t="shared" si="223"/>
        <v>0</v>
      </c>
      <c r="AB322" s="1">
        <f t="shared" si="224"/>
        <v>0</v>
      </c>
      <c r="AD322" s="1">
        <f t="shared" si="225"/>
        <v>0</v>
      </c>
      <c r="AE322" s="1">
        <f t="shared" si="226"/>
        <v>0</v>
      </c>
      <c r="AF322" s="1">
        <f t="shared" si="211"/>
        <v>0</v>
      </c>
      <c r="AG322" s="1">
        <f t="shared" si="212"/>
        <v>0</v>
      </c>
      <c r="AH322" s="1">
        <f t="shared" si="213"/>
        <v>0</v>
      </c>
      <c r="AI322" s="1">
        <f t="shared" si="214"/>
        <v>1</v>
      </c>
    </row>
    <row r="323" spans="1:35" ht="14.25" customHeight="1" x14ac:dyDescent="0.3">
      <c r="A323" s="44">
        <v>0</v>
      </c>
      <c r="B323" s="44">
        <v>2</v>
      </c>
      <c r="C323" s="44">
        <v>2</v>
      </c>
      <c r="D323" s="45" t="s">
        <v>1646</v>
      </c>
      <c r="E323" s="45" t="s">
        <v>1168</v>
      </c>
      <c r="F323" s="45" t="s">
        <v>1680</v>
      </c>
      <c r="G323" s="45" t="s">
        <v>190</v>
      </c>
      <c r="H323" s="45" t="s">
        <v>354</v>
      </c>
      <c r="I323" s="44" t="s">
        <v>1607</v>
      </c>
      <c r="J323" s="44">
        <v>99</v>
      </c>
      <c r="K323" s="46" t="s">
        <v>713</v>
      </c>
      <c r="L323" s="46" t="s">
        <v>696</v>
      </c>
      <c r="M323" s="47" t="s">
        <v>1608</v>
      </c>
      <c r="N323" s="47" t="s">
        <v>1738</v>
      </c>
      <c r="O323" s="48"/>
      <c r="P323" s="48"/>
      <c r="Q323" s="45"/>
      <c r="S323" s="1">
        <f t="shared" si="215"/>
        <v>0</v>
      </c>
      <c r="T323" s="1">
        <f t="shared" si="216"/>
        <v>0</v>
      </c>
      <c r="U323" s="1">
        <f t="shared" si="217"/>
        <v>0</v>
      </c>
      <c r="V323" s="1">
        <f t="shared" si="218"/>
        <v>0</v>
      </c>
      <c r="W323" s="1">
        <f t="shared" si="219"/>
        <v>0</v>
      </c>
      <c r="X323" s="1">
        <f t="shared" si="220"/>
        <v>0</v>
      </c>
      <c r="Y323" s="1">
        <f t="shared" si="221"/>
        <v>0</v>
      </c>
      <c r="Z323" s="1">
        <f t="shared" si="222"/>
        <v>0</v>
      </c>
      <c r="AA323" s="1">
        <f t="shared" si="223"/>
        <v>0</v>
      </c>
      <c r="AB323" s="1">
        <f t="shared" si="224"/>
        <v>0</v>
      </c>
      <c r="AD323" s="1">
        <f t="shared" si="225"/>
        <v>0</v>
      </c>
      <c r="AE323" s="1">
        <f t="shared" si="226"/>
        <v>0</v>
      </c>
      <c r="AF323" s="1">
        <f t="shared" si="211"/>
        <v>0</v>
      </c>
      <c r="AG323" s="1">
        <f t="shared" si="212"/>
        <v>0</v>
      </c>
      <c r="AH323" s="1">
        <f t="shared" si="213"/>
        <v>0</v>
      </c>
      <c r="AI323" s="1">
        <f t="shared" si="214"/>
        <v>1</v>
      </c>
    </row>
    <row r="324" spans="1:35" ht="14.25" customHeight="1" x14ac:dyDescent="0.3">
      <c r="A324" s="49">
        <v>0</v>
      </c>
      <c r="B324" s="49">
        <v>2</v>
      </c>
      <c r="C324" s="49">
        <v>2</v>
      </c>
      <c r="D324" s="50" t="s">
        <v>65</v>
      </c>
      <c r="E324" s="50" t="s">
        <v>164</v>
      </c>
      <c r="F324" s="50" t="s">
        <v>243</v>
      </c>
      <c r="G324" s="50" t="s">
        <v>200</v>
      </c>
      <c r="H324" s="50" t="s">
        <v>354</v>
      </c>
      <c r="I324" s="49" t="s">
        <v>407</v>
      </c>
      <c r="J324" s="49">
        <v>2</v>
      </c>
      <c r="K324" s="51" t="s">
        <v>955</v>
      </c>
      <c r="L324" s="51" t="s">
        <v>696</v>
      </c>
      <c r="M324" s="52" t="s">
        <v>715</v>
      </c>
      <c r="N324" s="52" t="s">
        <v>1743</v>
      </c>
      <c r="O324" s="53">
        <v>1</v>
      </c>
      <c r="P324" s="53"/>
      <c r="Q324" s="50"/>
      <c r="S324" s="1">
        <f t="shared" si="215"/>
        <v>0</v>
      </c>
      <c r="T324" s="1">
        <f t="shared" si="216"/>
        <v>1</v>
      </c>
      <c r="U324" s="1">
        <f t="shared" si="217"/>
        <v>0</v>
      </c>
      <c r="V324" s="1">
        <f t="shared" si="218"/>
        <v>0</v>
      </c>
      <c r="W324" s="1">
        <f t="shared" si="219"/>
        <v>0</v>
      </c>
      <c r="X324" s="1">
        <f t="shared" si="220"/>
        <v>0</v>
      </c>
      <c r="Y324" s="1">
        <f t="shared" si="221"/>
        <v>0</v>
      </c>
      <c r="Z324" s="1">
        <f t="shared" si="222"/>
        <v>0</v>
      </c>
      <c r="AA324" s="1">
        <f t="shared" si="223"/>
        <v>0</v>
      </c>
      <c r="AB324" s="1">
        <f t="shared" si="224"/>
        <v>0</v>
      </c>
      <c r="AD324" s="1">
        <f t="shared" si="225"/>
        <v>0</v>
      </c>
      <c r="AE324" s="1">
        <f t="shared" si="226"/>
        <v>1</v>
      </c>
      <c r="AF324" s="1">
        <f t="shared" si="211"/>
        <v>0</v>
      </c>
      <c r="AG324" s="1">
        <f t="shared" si="212"/>
        <v>1</v>
      </c>
      <c r="AH324" s="1">
        <f t="shared" si="213"/>
        <v>0</v>
      </c>
      <c r="AI324" s="1">
        <f t="shared" si="214"/>
        <v>1</v>
      </c>
    </row>
    <row r="325" spans="1:35" ht="14.25" customHeight="1" x14ac:dyDescent="0.3">
      <c r="A325" s="44">
        <v>0</v>
      </c>
      <c r="B325" s="44">
        <v>2</v>
      </c>
      <c r="C325" s="44">
        <v>2</v>
      </c>
      <c r="D325" s="45" t="s">
        <v>1182</v>
      </c>
      <c r="E325" s="45" t="s">
        <v>1183</v>
      </c>
      <c r="F325" s="45" t="s">
        <v>1348</v>
      </c>
      <c r="G325" s="45" t="s">
        <v>1056</v>
      </c>
      <c r="H325" s="45" t="s">
        <v>354</v>
      </c>
      <c r="I325" s="44" t="s">
        <v>1184</v>
      </c>
      <c r="J325" s="44">
        <v>1</v>
      </c>
      <c r="K325" s="46" t="s">
        <v>712</v>
      </c>
      <c r="L325" s="46" t="s">
        <v>704</v>
      </c>
      <c r="M325" s="47" t="s">
        <v>1412</v>
      </c>
      <c r="N325" s="47" t="s">
        <v>1735</v>
      </c>
      <c r="O325" s="48"/>
      <c r="P325" s="48"/>
      <c r="Q325" s="45"/>
      <c r="S325" s="1">
        <f t="shared" si="215"/>
        <v>1</v>
      </c>
      <c r="T325" s="1">
        <f t="shared" si="216"/>
        <v>0</v>
      </c>
      <c r="U325" s="1">
        <f t="shared" si="217"/>
        <v>0</v>
      </c>
      <c r="V325" s="1">
        <f t="shared" si="218"/>
        <v>0</v>
      </c>
      <c r="W325" s="1">
        <f t="shared" si="219"/>
        <v>0</v>
      </c>
      <c r="X325" s="1">
        <f t="shared" si="220"/>
        <v>0</v>
      </c>
      <c r="Y325" s="1">
        <f t="shared" si="221"/>
        <v>0</v>
      </c>
      <c r="Z325" s="1">
        <f t="shared" si="222"/>
        <v>0</v>
      </c>
      <c r="AA325" s="1">
        <f t="shared" si="223"/>
        <v>0</v>
      </c>
      <c r="AB325" s="1">
        <f t="shared" si="224"/>
        <v>0</v>
      </c>
      <c r="AD325" s="1">
        <f t="shared" si="225"/>
        <v>0</v>
      </c>
      <c r="AE325" s="1">
        <f t="shared" si="226"/>
        <v>0</v>
      </c>
      <c r="AF325" s="1">
        <f t="shared" si="211"/>
        <v>0</v>
      </c>
      <c r="AG325" s="1">
        <f t="shared" si="212"/>
        <v>0</v>
      </c>
      <c r="AH325" s="1">
        <f t="shared" si="213"/>
        <v>0</v>
      </c>
      <c r="AI325" s="1">
        <f t="shared" si="214"/>
        <v>1</v>
      </c>
    </row>
    <row r="326" spans="1:35" ht="14.25" customHeight="1" x14ac:dyDescent="0.3">
      <c r="A326" s="31">
        <v>0</v>
      </c>
      <c r="B326" s="31">
        <v>2</v>
      </c>
      <c r="C326" s="31">
        <v>2</v>
      </c>
      <c r="D326" s="32" t="s">
        <v>1828</v>
      </c>
      <c r="E326" s="32" t="s">
        <v>1829</v>
      </c>
      <c r="F326" s="32" t="s">
        <v>1830</v>
      </c>
      <c r="G326" s="32" t="s">
        <v>196</v>
      </c>
      <c r="H326" s="32" t="s">
        <v>354</v>
      </c>
      <c r="I326" s="31" t="s">
        <v>1831</v>
      </c>
      <c r="J326" s="31"/>
      <c r="K326" s="33" t="s">
        <v>703</v>
      </c>
      <c r="L326" s="33">
        <v>20</v>
      </c>
      <c r="M326" s="34" t="s">
        <v>1832</v>
      </c>
      <c r="N326" s="34" t="s">
        <v>1748</v>
      </c>
      <c r="O326" s="35">
        <v>1</v>
      </c>
      <c r="P326" s="35"/>
      <c r="Q326" s="32"/>
      <c r="S326" s="1">
        <f t="shared" si="215"/>
        <v>0</v>
      </c>
      <c r="T326" s="1">
        <f t="shared" si="216"/>
        <v>0</v>
      </c>
      <c r="U326" s="1">
        <f t="shared" si="217"/>
        <v>0</v>
      </c>
      <c r="V326" s="1">
        <f t="shared" si="218"/>
        <v>0</v>
      </c>
      <c r="W326" s="1">
        <f t="shared" si="219"/>
        <v>0</v>
      </c>
      <c r="X326" s="1">
        <f t="shared" si="220"/>
        <v>0</v>
      </c>
      <c r="Y326" s="1">
        <f t="shared" si="221"/>
        <v>0</v>
      </c>
      <c r="Z326" s="1">
        <f t="shared" si="222"/>
        <v>0</v>
      </c>
      <c r="AA326" s="1">
        <f t="shared" si="223"/>
        <v>0</v>
      </c>
      <c r="AB326" s="1">
        <f t="shared" si="224"/>
        <v>0</v>
      </c>
      <c r="AD326" s="1">
        <f t="shared" si="225"/>
        <v>0</v>
      </c>
      <c r="AE326" s="1">
        <f t="shared" si="226"/>
        <v>1</v>
      </c>
      <c r="AF326" s="1">
        <f t="shared" si="211"/>
        <v>0</v>
      </c>
      <c r="AG326" s="1">
        <f t="shared" si="212"/>
        <v>1</v>
      </c>
      <c r="AH326" s="1">
        <f t="shared" si="213"/>
        <v>0</v>
      </c>
      <c r="AI326" s="1">
        <f t="shared" si="214"/>
        <v>1</v>
      </c>
    </row>
    <row r="327" spans="1:35" ht="14.25" customHeight="1" x14ac:dyDescent="0.3">
      <c r="A327" s="31">
        <v>0</v>
      </c>
      <c r="B327" s="31">
        <v>2</v>
      </c>
      <c r="C327" s="31">
        <v>2</v>
      </c>
      <c r="D327" s="32" t="s">
        <v>1576</v>
      </c>
      <c r="E327" s="32" t="s">
        <v>1577</v>
      </c>
      <c r="F327" s="32" t="s">
        <v>1579</v>
      </c>
      <c r="G327" s="32" t="s">
        <v>1580</v>
      </c>
      <c r="H327" s="32" t="s">
        <v>354</v>
      </c>
      <c r="I327" s="31" t="s">
        <v>1578</v>
      </c>
      <c r="J327" s="31">
        <v>99</v>
      </c>
      <c r="K327" s="33" t="s">
        <v>703</v>
      </c>
      <c r="L327" s="33">
        <v>18</v>
      </c>
      <c r="M327" s="34" t="s">
        <v>1581</v>
      </c>
      <c r="N327" s="34" t="s">
        <v>1748</v>
      </c>
      <c r="O327" s="35">
        <v>1</v>
      </c>
      <c r="P327" s="35"/>
      <c r="Q327" s="32"/>
      <c r="S327" s="1">
        <f t="shared" si="215"/>
        <v>0</v>
      </c>
      <c r="T327" s="1">
        <f t="shared" si="216"/>
        <v>0</v>
      </c>
      <c r="U327" s="1">
        <f t="shared" si="217"/>
        <v>0</v>
      </c>
      <c r="V327" s="1">
        <f t="shared" si="218"/>
        <v>0</v>
      </c>
      <c r="W327" s="1">
        <f t="shared" si="219"/>
        <v>0</v>
      </c>
      <c r="X327" s="1">
        <f t="shared" si="220"/>
        <v>0</v>
      </c>
      <c r="Y327" s="1">
        <f t="shared" si="221"/>
        <v>0</v>
      </c>
      <c r="Z327" s="1">
        <f t="shared" si="222"/>
        <v>0</v>
      </c>
      <c r="AA327" s="1">
        <f t="shared" si="223"/>
        <v>0</v>
      </c>
      <c r="AB327" s="1">
        <f t="shared" si="224"/>
        <v>0</v>
      </c>
      <c r="AD327" s="1">
        <f t="shared" si="225"/>
        <v>0</v>
      </c>
      <c r="AE327" s="1">
        <f t="shared" si="226"/>
        <v>1</v>
      </c>
      <c r="AF327" s="1">
        <f t="shared" si="211"/>
        <v>0</v>
      </c>
      <c r="AG327" s="1">
        <f t="shared" si="212"/>
        <v>1</v>
      </c>
      <c r="AH327" s="1">
        <f t="shared" si="213"/>
        <v>0</v>
      </c>
      <c r="AI327" s="1">
        <f t="shared" si="214"/>
        <v>1</v>
      </c>
    </row>
    <row r="328" spans="1:35" ht="14.25" customHeight="1" x14ac:dyDescent="0.3">
      <c r="A328" s="49">
        <v>0</v>
      </c>
      <c r="B328" s="49">
        <v>2</v>
      </c>
      <c r="C328" s="49">
        <v>2</v>
      </c>
      <c r="D328" s="50" t="s">
        <v>64</v>
      </c>
      <c r="E328" s="50" t="s">
        <v>33</v>
      </c>
      <c r="F328" s="50" t="s">
        <v>241</v>
      </c>
      <c r="G328" s="50" t="s">
        <v>242</v>
      </c>
      <c r="H328" s="50" t="s">
        <v>354</v>
      </c>
      <c r="I328" s="49" t="s">
        <v>406</v>
      </c>
      <c r="J328" s="49">
        <v>1</v>
      </c>
      <c r="K328" s="51" t="s">
        <v>961</v>
      </c>
      <c r="L328" s="51" t="s">
        <v>716</v>
      </c>
      <c r="M328" s="52" t="s">
        <v>717</v>
      </c>
      <c r="N328" s="52" t="s">
        <v>1743</v>
      </c>
      <c r="O328" s="53">
        <v>1</v>
      </c>
      <c r="P328" s="53"/>
      <c r="Q328" s="50"/>
      <c r="S328" s="1">
        <f t="shared" si="215"/>
        <v>1</v>
      </c>
      <c r="T328" s="1">
        <f t="shared" si="216"/>
        <v>0</v>
      </c>
      <c r="U328" s="1">
        <f t="shared" si="217"/>
        <v>0</v>
      </c>
      <c r="V328" s="1">
        <f t="shared" si="218"/>
        <v>0</v>
      </c>
      <c r="W328" s="1">
        <f t="shared" si="219"/>
        <v>0</v>
      </c>
      <c r="X328" s="1">
        <f t="shared" si="220"/>
        <v>0</v>
      </c>
      <c r="Y328" s="1">
        <f t="shared" si="221"/>
        <v>0</v>
      </c>
      <c r="Z328" s="1">
        <f t="shared" si="222"/>
        <v>0</v>
      </c>
      <c r="AA328" s="1">
        <f t="shared" si="223"/>
        <v>0</v>
      </c>
      <c r="AB328" s="1">
        <f t="shared" si="224"/>
        <v>0</v>
      </c>
      <c r="AD328" s="1">
        <f t="shared" si="225"/>
        <v>0</v>
      </c>
      <c r="AE328" s="1">
        <f t="shared" si="226"/>
        <v>1</v>
      </c>
      <c r="AF328" s="1">
        <f t="shared" si="211"/>
        <v>0</v>
      </c>
      <c r="AG328" s="1">
        <f t="shared" si="212"/>
        <v>1</v>
      </c>
      <c r="AH328" s="1">
        <f t="shared" si="213"/>
        <v>0</v>
      </c>
      <c r="AI328" s="1">
        <f t="shared" si="214"/>
        <v>1</v>
      </c>
    </row>
    <row r="329" spans="1:35" ht="14.25" customHeight="1" x14ac:dyDescent="0.3">
      <c r="A329" s="49">
        <v>0</v>
      </c>
      <c r="B329" s="49">
        <v>2</v>
      </c>
      <c r="C329" s="49">
        <v>2</v>
      </c>
      <c r="D329" s="50" t="s">
        <v>62</v>
      </c>
      <c r="E329" s="50" t="s">
        <v>1086</v>
      </c>
      <c r="F329" s="50" t="s">
        <v>234</v>
      </c>
      <c r="G329" s="50" t="s">
        <v>235</v>
      </c>
      <c r="H329" s="50" t="s">
        <v>354</v>
      </c>
      <c r="I329" s="49" t="s">
        <v>1365</v>
      </c>
      <c r="J329" s="49">
        <v>99</v>
      </c>
      <c r="K329" s="51" t="s">
        <v>955</v>
      </c>
      <c r="L329" s="51" t="s">
        <v>716</v>
      </c>
      <c r="M329" s="52" t="s">
        <v>718</v>
      </c>
      <c r="N329" s="52" t="s">
        <v>1743</v>
      </c>
      <c r="O329" s="53">
        <v>1</v>
      </c>
      <c r="P329" s="53"/>
      <c r="Q329" s="50"/>
      <c r="S329" s="1">
        <f t="shared" si="215"/>
        <v>0</v>
      </c>
      <c r="T329" s="1">
        <f t="shared" si="216"/>
        <v>0</v>
      </c>
      <c r="U329" s="1">
        <f t="shared" si="217"/>
        <v>0</v>
      </c>
      <c r="V329" s="1">
        <f t="shared" si="218"/>
        <v>0</v>
      </c>
      <c r="W329" s="1">
        <f t="shared" si="219"/>
        <v>0</v>
      </c>
      <c r="X329" s="1">
        <f t="shared" si="220"/>
        <v>0</v>
      </c>
      <c r="Y329" s="1">
        <f t="shared" si="221"/>
        <v>0</v>
      </c>
      <c r="Z329" s="1">
        <f t="shared" si="222"/>
        <v>0</v>
      </c>
      <c r="AA329" s="1">
        <f t="shared" si="223"/>
        <v>0</v>
      </c>
      <c r="AB329" s="1">
        <f t="shared" si="224"/>
        <v>0</v>
      </c>
      <c r="AD329" s="1">
        <f t="shared" si="225"/>
        <v>0</v>
      </c>
      <c r="AE329" s="1">
        <f t="shared" si="226"/>
        <v>1</v>
      </c>
      <c r="AF329" s="1">
        <f t="shared" si="211"/>
        <v>0</v>
      </c>
      <c r="AG329" s="1">
        <f t="shared" si="212"/>
        <v>1</v>
      </c>
      <c r="AH329" s="1">
        <f t="shared" si="213"/>
        <v>0</v>
      </c>
      <c r="AI329" s="1">
        <f t="shared" si="214"/>
        <v>1</v>
      </c>
    </row>
    <row r="330" spans="1:35" ht="14.25" customHeight="1" x14ac:dyDescent="0.3">
      <c r="A330" s="31">
        <v>0</v>
      </c>
      <c r="B330" s="31">
        <v>2</v>
      </c>
      <c r="C330" s="31">
        <v>2</v>
      </c>
      <c r="D330" s="32" t="s">
        <v>1716</v>
      </c>
      <c r="E330" s="32" t="s">
        <v>1718</v>
      </c>
      <c r="F330" s="32" t="s">
        <v>1717</v>
      </c>
      <c r="G330" s="32"/>
      <c r="H330" s="32" t="s">
        <v>354</v>
      </c>
      <c r="I330" s="31" t="s">
        <v>1719</v>
      </c>
      <c r="J330" s="31"/>
      <c r="K330" s="33" t="s">
        <v>703</v>
      </c>
      <c r="L330" s="33"/>
      <c r="M330" s="34"/>
      <c r="N330" s="34" t="s">
        <v>1727</v>
      </c>
      <c r="O330" s="35">
        <v>1</v>
      </c>
      <c r="P330" s="35">
        <v>1</v>
      </c>
      <c r="Q330" s="32"/>
      <c r="S330" s="1">
        <f t="shared" si="215"/>
        <v>0</v>
      </c>
      <c r="T330" s="1">
        <f t="shared" si="216"/>
        <v>0</v>
      </c>
      <c r="U330" s="1">
        <f t="shared" si="217"/>
        <v>0</v>
      </c>
      <c r="V330" s="1">
        <f t="shared" si="218"/>
        <v>0</v>
      </c>
      <c r="W330" s="1">
        <f t="shared" si="219"/>
        <v>0</v>
      </c>
      <c r="X330" s="1">
        <f t="shared" si="220"/>
        <v>0</v>
      </c>
      <c r="Y330" s="1">
        <f t="shared" si="221"/>
        <v>0</v>
      </c>
      <c r="Z330" s="1">
        <f t="shared" si="222"/>
        <v>0</v>
      </c>
      <c r="AA330" s="1">
        <f t="shared" si="223"/>
        <v>0</v>
      </c>
      <c r="AB330" s="1">
        <f t="shared" si="224"/>
        <v>0</v>
      </c>
      <c r="AD330" s="1">
        <f t="shared" si="225"/>
        <v>1</v>
      </c>
      <c r="AE330" s="1">
        <f t="shared" si="226"/>
        <v>0</v>
      </c>
      <c r="AF330" s="1">
        <f t="shared" si="211"/>
        <v>1</v>
      </c>
      <c r="AG330" s="1">
        <f t="shared" si="212"/>
        <v>0</v>
      </c>
      <c r="AH330" s="1">
        <f t="shared" si="213"/>
        <v>1</v>
      </c>
      <c r="AI330" s="1">
        <f t="shared" si="214"/>
        <v>0</v>
      </c>
    </row>
    <row r="331" spans="1:35" ht="14.25" customHeight="1" x14ac:dyDescent="0.3">
      <c r="A331" s="44">
        <v>0</v>
      </c>
      <c r="B331" s="44">
        <v>2</v>
      </c>
      <c r="C331" s="44">
        <v>2</v>
      </c>
      <c r="D331" s="45" t="s">
        <v>787</v>
      </c>
      <c r="E331" s="45" t="s">
        <v>909</v>
      </c>
      <c r="F331" s="45" t="s">
        <v>1571</v>
      </c>
      <c r="G331" s="45" t="s">
        <v>230</v>
      </c>
      <c r="H331" s="45" t="s">
        <v>354</v>
      </c>
      <c r="I331" s="44" t="s">
        <v>1694</v>
      </c>
      <c r="J331" s="44">
        <v>7</v>
      </c>
      <c r="K331" s="46" t="s">
        <v>713</v>
      </c>
      <c r="L331" s="46">
        <v>20</v>
      </c>
      <c r="M331" s="47" t="s">
        <v>39</v>
      </c>
      <c r="N331" s="47" t="s">
        <v>1734</v>
      </c>
      <c r="O331" s="48"/>
      <c r="P331" s="48"/>
      <c r="Q331" s="45"/>
      <c r="S331" s="1">
        <f t="shared" si="215"/>
        <v>0</v>
      </c>
      <c r="T331" s="1">
        <f t="shared" si="216"/>
        <v>0</v>
      </c>
      <c r="U331" s="1">
        <f t="shared" si="217"/>
        <v>0</v>
      </c>
      <c r="V331" s="1">
        <f t="shared" si="218"/>
        <v>0</v>
      </c>
      <c r="W331" s="1">
        <f t="shared" si="219"/>
        <v>0</v>
      </c>
      <c r="X331" s="1">
        <f t="shared" si="220"/>
        <v>0</v>
      </c>
      <c r="Y331" s="1">
        <f t="shared" si="221"/>
        <v>1</v>
      </c>
      <c r="Z331" s="1">
        <f t="shared" si="222"/>
        <v>0</v>
      </c>
      <c r="AA331" s="1">
        <f t="shared" si="223"/>
        <v>0</v>
      </c>
      <c r="AB331" s="1">
        <f t="shared" si="224"/>
        <v>0</v>
      </c>
      <c r="AD331" s="1">
        <f t="shared" si="225"/>
        <v>0</v>
      </c>
      <c r="AE331" s="1">
        <f t="shared" si="226"/>
        <v>0</v>
      </c>
      <c r="AF331" s="1">
        <f t="shared" si="211"/>
        <v>0</v>
      </c>
      <c r="AG331" s="1">
        <f t="shared" si="212"/>
        <v>0</v>
      </c>
      <c r="AH331" s="1">
        <f t="shared" si="213"/>
        <v>0</v>
      </c>
      <c r="AI331" s="1">
        <f t="shared" si="214"/>
        <v>1</v>
      </c>
    </row>
    <row r="332" spans="1:35" ht="14.25" customHeight="1" x14ac:dyDescent="0.3">
      <c r="A332" s="31">
        <v>0</v>
      </c>
      <c r="B332" s="31">
        <v>2</v>
      </c>
      <c r="C332" s="31">
        <v>2</v>
      </c>
      <c r="D332" s="32" t="s">
        <v>852</v>
      </c>
      <c r="E332" s="32" t="s">
        <v>541</v>
      </c>
      <c r="F332" s="32" t="s">
        <v>854</v>
      </c>
      <c r="G332" s="32" t="s">
        <v>220</v>
      </c>
      <c r="H332" s="32" t="s">
        <v>354</v>
      </c>
      <c r="I332" s="31" t="s">
        <v>855</v>
      </c>
      <c r="J332" s="31">
        <v>8</v>
      </c>
      <c r="K332" s="33" t="s">
        <v>713</v>
      </c>
      <c r="L332" s="33" t="s">
        <v>716</v>
      </c>
      <c r="M332" s="34" t="s">
        <v>1413</v>
      </c>
      <c r="N332" s="34" t="s">
        <v>1743</v>
      </c>
      <c r="O332" s="35">
        <v>1</v>
      </c>
      <c r="P332" s="35"/>
      <c r="Q332" s="32"/>
      <c r="S332" s="1">
        <f t="shared" si="215"/>
        <v>0</v>
      </c>
      <c r="T332" s="1">
        <f t="shared" si="216"/>
        <v>0</v>
      </c>
      <c r="U332" s="1">
        <f t="shared" si="217"/>
        <v>0</v>
      </c>
      <c r="V332" s="1">
        <f t="shared" si="218"/>
        <v>0</v>
      </c>
      <c r="W332" s="1">
        <f t="shared" si="219"/>
        <v>0</v>
      </c>
      <c r="X332" s="1">
        <f t="shared" si="220"/>
        <v>0</v>
      </c>
      <c r="Y332" s="1">
        <f t="shared" si="221"/>
        <v>0</v>
      </c>
      <c r="Z332" s="1">
        <f t="shared" si="222"/>
        <v>1</v>
      </c>
      <c r="AA332" s="1">
        <f t="shared" si="223"/>
        <v>0</v>
      </c>
      <c r="AB332" s="1">
        <f t="shared" si="224"/>
        <v>0</v>
      </c>
      <c r="AD332" s="1">
        <f t="shared" si="225"/>
        <v>0</v>
      </c>
      <c r="AE332" s="1">
        <f t="shared" si="226"/>
        <v>1</v>
      </c>
      <c r="AF332" s="1">
        <f t="shared" si="211"/>
        <v>0</v>
      </c>
      <c r="AG332" s="1">
        <f t="shared" si="212"/>
        <v>1</v>
      </c>
      <c r="AH332" s="1">
        <f t="shared" si="213"/>
        <v>0</v>
      </c>
      <c r="AI332" s="1">
        <f t="shared" si="214"/>
        <v>1</v>
      </c>
    </row>
    <row r="333" spans="1:35" ht="14.25" customHeight="1" x14ac:dyDescent="0.3">
      <c r="A333" s="31">
        <v>1</v>
      </c>
      <c r="B333" s="31">
        <v>2</v>
      </c>
      <c r="C333" s="31">
        <v>2</v>
      </c>
      <c r="D333" s="32" t="s">
        <v>852</v>
      </c>
      <c r="E333" s="32" t="s">
        <v>541</v>
      </c>
      <c r="F333" s="32" t="s">
        <v>1353</v>
      </c>
      <c r="G333" s="32" t="s">
        <v>194</v>
      </c>
      <c r="H333" s="32" t="s">
        <v>354</v>
      </c>
      <c r="I333" s="31" t="s">
        <v>853</v>
      </c>
      <c r="J333" s="31">
        <v>9</v>
      </c>
      <c r="K333" s="33" t="s">
        <v>713</v>
      </c>
      <c r="L333" s="33" t="s">
        <v>716</v>
      </c>
      <c r="M333" s="34" t="s">
        <v>1413</v>
      </c>
      <c r="N333" s="34" t="s">
        <v>1743</v>
      </c>
      <c r="O333" s="35">
        <v>1</v>
      </c>
      <c r="P333" s="35"/>
      <c r="Q333" s="32"/>
      <c r="S333" s="1">
        <f t="shared" si="215"/>
        <v>0</v>
      </c>
      <c r="T333" s="1">
        <f t="shared" si="216"/>
        <v>0</v>
      </c>
      <c r="U333" s="1">
        <f t="shared" si="217"/>
        <v>0</v>
      </c>
      <c r="V333" s="1">
        <f t="shared" si="218"/>
        <v>0</v>
      </c>
      <c r="W333" s="1">
        <f t="shared" si="219"/>
        <v>0</v>
      </c>
      <c r="X333" s="1">
        <f t="shared" si="220"/>
        <v>0</v>
      </c>
      <c r="Y333" s="1">
        <f t="shared" si="221"/>
        <v>0</v>
      </c>
      <c r="Z333" s="1">
        <f t="shared" si="222"/>
        <v>0</v>
      </c>
      <c r="AA333" s="1">
        <f t="shared" si="223"/>
        <v>1</v>
      </c>
      <c r="AB333" s="1">
        <f t="shared" si="224"/>
        <v>0</v>
      </c>
      <c r="AD333" s="1">
        <f t="shared" si="225"/>
        <v>0</v>
      </c>
      <c r="AE333" s="1">
        <f t="shared" si="226"/>
        <v>1</v>
      </c>
      <c r="AF333" s="1">
        <f t="shared" si="211"/>
        <v>0</v>
      </c>
      <c r="AG333" s="1">
        <f t="shared" si="212"/>
        <v>0</v>
      </c>
      <c r="AH333" s="1">
        <f t="shared" si="213"/>
        <v>0</v>
      </c>
      <c r="AI333" s="1">
        <f t="shared" si="214"/>
        <v>0</v>
      </c>
    </row>
    <row r="334" spans="1:35" ht="14.25" customHeight="1" x14ac:dyDescent="0.3">
      <c r="A334" s="44">
        <v>0</v>
      </c>
      <c r="B334" s="44">
        <v>2</v>
      </c>
      <c r="C334" s="44">
        <v>2</v>
      </c>
      <c r="D334" s="45" t="s">
        <v>918</v>
      </c>
      <c r="E334" s="45" t="s">
        <v>785</v>
      </c>
      <c r="F334" s="45" t="s">
        <v>786</v>
      </c>
      <c r="G334" s="45" t="s">
        <v>230</v>
      </c>
      <c r="H334" s="45" t="s">
        <v>354</v>
      </c>
      <c r="I334" s="44" t="s">
        <v>788</v>
      </c>
      <c r="J334" s="44">
        <v>7</v>
      </c>
      <c r="K334" s="46" t="s">
        <v>712</v>
      </c>
      <c r="L334" s="46">
        <v>15</v>
      </c>
      <c r="M334" s="47" t="s">
        <v>39</v>
      </c>
      <c r="N334" s="47" t="s">
        <v>1735</v>
      </c>
      <c r="O334" s="48"/>
      <c r="P334" s="48"/>
      <c r="Q334" s="45"/>
      <c r="S334" s="1">
        <f t="shared" si="215"/>
        <v>0</v>
      </c>
      <c r="T334" s="1">
        <f t="shared" si="216"/>
        <v>0</v>
      </c>
      <c r="U334" s="1">
        <f t="shared" si="217"/>
        <v>0</v>
      </c>
      <c r="V334" s="1">
        <f t="shared" si="218"/>
        <v>0</v>
      </c>
      <c r="W334" s="1">
        <f t="shared" si="219"/>
        <v>0</v>
      </c>
      <c r="X334" s="1">
        <f t="shared" si="220"/>
        <v>0</v>
      </c>
      <c r="Y334" s="1">
        <f t="shared" si="221"/>
        <v>1</v>
      </c>
      <c r="Z334" s="1">
        <f t="shared" si="222"/>
        <v>0</v>
      </c>
      <c r="AA334" s="1">
        <f t="shared" si="223"/>
        <v>0</v>
      </c>
      <c r="AB334" s="1">
        <f t="shared" si="224"/>
        <v>0</v>
      </c>
      <c r="AD334" s="1">
        <f t="shared" si="225"/>
        <v>0</v>
      </c>
      <c r="AE334" s="1">
        <f t="shared" si="226"/>
        <v>0</v>
      </c>
      <c r="AF334" s="1">
        <f t="shared" si="211"/>
        <v>0</v>
      </c>
      <c r="AG334" s="1">
        <f t="shared" si="212"/>
        <v>0</v>
      </c>
      <c r="AH334" s="1">
        <f t="shared" si="213"/>
        <v>0</v>
      </c>
      <c r="AI334" s="1">
        <f t="shared" si="214"/>
        <v>1</v>
      </c>
    </row>
    <row r="335" spans="1:35" ht="14.25" customHeight="1" x14ac:dyDescent="0.3">
      <c r="A335" s="44">
        <v>0</v>
      </c>
      <c r="B335" s="44">
        <v>2</v>
      </c>
      <c r="C335" s="44">
        <v>2</v>
      </c>
      <c r="D335" s="45" t="s">
        <v>83</v>
      </c>
      <c r="E335" s="45" t="s">
        <v>157</v>
      </c>
      <c r="F335" s="65" t="s">
        <v>1872</v>
      </c>
      <c r="G335" s="45" t="s">
        <v>209</v>
      </c>
      <c r="H335" s="45" t="s">
        <v>354</v>
      </c>
      <c r="I335" s="44" t="s">
        <v>432</v>
      </c>
      <c r="J335" s="44">
        <v>99</v>
      </c>
      <c r="K335" s="46" t="s">
        <v>954</v>
      </c>
      <c r="L335" s="46" t="s">
        <v>704</v>
      </c>
      <c r="M335" s="47" t="s">
        <v>719</v>
      </c>
      <c r="N335" s="47" t="s">
        <v>1735</v>
      </c>
      <c r="O335" s="48"/>
      <c r="P335" s="48"/>
      <c r="Q335" s="45"/>
      <c r="S335" s="1">
        <f t="shared" si="215"/>
        <v>0</v>
      </c>
      <c r="T335" s="1">
        <f t="shared" si="216"/>
        <v>0</v>
      </c>
      <c r="U335" s="1">
        <f t="shared" si="217"/>
        <v>0</v>
      </c>
      <c r="V335" s="1">
        <f t="shared" si="218"/>
        <v>0</v>
      </c>
      <c r="W335" s="1">
        <f t="shared" si="219"/>
        <v>0</v>
      </c>
      <c r="X335" s="1">
        <f t="shared" si="220"/>
        <v>0</v>
      </c>
      <c r="Y335" s="1">
        <f t="shared" si="221"/>
        <v>0</v>
      </c>
      <c r="Z335" s="1">
        <f t="shared" si="222"/>
        <v>0</v>
      </c>
      <c r="AA335" s="1">
        <f t="shared" si="223"/>
        <v>0</v>
      </c>
      <c r="AB335" s="1">
        <f t="shared" si="224"/>
        <v>0</v>
      </c>
      <c r="AD335" s="1">
        <f t="shared" si="225"/>
        <v>0</v>
      </c>
      <c r="AE335" s="1">
        <f t="shared" si="226"/>
        <v>0</v>
      </c>
      <c r="AF335" s="1">
        <f t="shared" si="211"/>
        <v>0</v>
      </c>
      <c r="AG335" s="1">
        <f t="shared" si="212"/>
        <v>0</v>
      </c>
      <c r="AH335" s="1">
        <f t="shared" si="213"/>
        <v>0</v>
      </c>
      <c r="AI335" s="1">
        <f t="shared" si="214"/>
        <v>1</v>
      </c>
    </row>
    <row r="336" spans="1:35" ht="14.25" customHeight="1" x14ac:dyDescent="0.3">
      <c r="A336" s="31">
        <v>0</v>
      </c>
      <c r="B336" s="31">
        <v>2</v>
      </c>
      <c r="C336" s="31">
        <v>2</v>
      </c>
      <c r="D336" s="32" t="s">
        <v>1564</v>
      </c>
      <c r="E336" s="32" t="s">
        <v>1334</v>
      </c>
      <c r="F336" s="32" t="s">
        <v>1565</v>
      </c>
      <c r="G336" s="32" t="s">
        <v>1166</v>
      </c>
      <c r="H336" s="32" t="s">
        <v>354</v>
      </c>
      <c r="I336" s="31" t="s">
        <v>1566</v>
      </c>
      <c r="J336" s="31">
        <v>1</v>
      </c>
      <c r="K336" s="33" t="s">
        <v>713</v>
      </c>
      <c r="L336" s="33" t="s">
        <v>39</v>
      </c>
      <c r="M336" s="34" t="s">
        <v>39</v>
      </c>
      <c r="N336" s="34" t="s">
        <v>1727</v>
      </c>
      <c r="O336" s="35">
        <v>1</v>
      </c>
      <c r="P336" s="35">
        <v>1</v>
      </c>
      <c r="Q336" s="32"/>
      <c r="S336" s="1">
        <f t="shared" si="215"/>
        <v>1</v>
      </c>
      <c r="T336" s="1">
        <f t="shared" si="216"/>
        <v>0</v>
      </c>
      <c r="U336" s="1">
        <f t="shared" si="217"/>
        <v>0</v>
      </c>
      <c r="V336" s="1">
        <f t="shared" si="218"/>
        <v>0</v>
      </c>
      <c r="W336" s="1">
        <f t="shared" si="219"/>
        <v>0</v>
      </c>
      <c r="X336" s="1">
        <f t="shared" si="220"/>
        <v>0</v>
      </c>
      <c r="Y336" s="1">
        <f t="shared" si="221"/>
        <v>0</v>
      </c>
      <c r="Z336" s="1">
        <f t="shared" si="222"/>
        <v>0</v>
      </c>
      <c r="AA336" s="1">
        <f t="shared" si="223"/>
        <v>0</v>
      </c>
      <c r="AB336" s="1">
        <f t="shared" si="224"/>
        <v>0</v>
      </c>
      <c r="AD336" s="1">
        <f t="shared" si="225"/>
        <v>1</v>
      </c>
      <c r="AE336" s="1">
        <f t="shared" si="226"/>
        <v>0</v>
      </c>
      <c r="AF336" s="1">
        <f t="shared" si="211"/>
        <v>1</v>
      </c>
      <c r="AG336" s="1">
        <f t="shared" si="212"/>
        <v>0</v>
      </c>
      <c r="AH336" s="1">
        <f t="shared" si="213"/>
        <v>1</v>
      </c>
      <c r="AI336" s="1">
        <f t="shared" si="214"/>
        <v>0</v>
      </c>
    </row>
    <row r="337" spans="1:35" ht="14.25" customHeight="1" x14ac:dyDescent="0.3">
      <c r="A337" s="31">
        <v>0</v>
      </c>
      <c r="B337" s="31">
        <v>2</v>
      </c>
      <c r="C337" s="31">
        <v>2</v>
      </c>
      <c r="D337" s="32" t="s">
        <v>1744</v>
      </c>
      <c r="E337" s="32" t="s">
        <v>27</v>
      </c>
      <c r="F337" s="32" t="s">
        <v>1044</v>
      </c>
      <c r="G337" s="32" t="s">
        <v>220</v>
      </c>
      <c r="H337" s="32" t="s">
        <v>354</v>
      </c>
      <c r="I337" s="31" t="s">
        <v>1045</v>
      </c>
      <c r="J337" s="31">
        <v>8</v>
      </c>
      <c r="K337" s="33" t="s">
        <v>713</v>
      </c>
      <c r="L337" s="33">
        <v>25</v>
      </c>
      <c r="M337" s="34" t="s">
        <v>1745</v>
      </c>
      <c r="N337" s="34" t="s">
        <v>1727</v>
      </c>
      <c r="O337" s="35">
        <v>1</v>
      </c>
      <c r="P337" s="35">
        <v>1</v>
      </c>
      <c r="Q337" s="32"/>
      <c r="S337" s="1">
        <f t="shared" si="215"/>
        <v>0</v>
      </c>
      <c r="T337" s="1">
        <f t="shared" si="216"/>
        <v>0</v>
      </c>
      <c r="U337" s="1">
        <f t="shared" si="217"/>
        <v>0</v>
      </c>
      <c r="V337" s="1">
        <f t="shared" si="218"/>
        <v>0</v>
      </c>
      <c r="W337" s="1">
        <f t="shared" si="219"/>
        <v>0</v>
      </c>
      <c r="X337" s="1">
        <f t="shared" si="220"/>
        <v>0</v>
      </c>
      <c r="Y337" s="1">
        <f t="shared" si="221"/>
        <v>0</v>
      </c>
      <c r="Z337" s="1">
        <f t="shared" si="222"/>
        <v>1</v>
      </c>
      <c r="AA337" s="1">
        <f t="shared" si="223"/>
        <v>0</v>
      </c>
      <c r="AB337" s="1">
        <f t="shared" si="224"/>
        <v>0</v>
      </c>
      <c r="AD337" s="1">
        <f t="shared" si="225"/>
        <v>1</v>
      </c>
      <c r="AE337" s="1">
        <f t="shared" si="226"/>
        <v>0</v>
      </c>
      <c r="AF337" s="1">
        <f t="shared" si="211"/>
        <v>1</v>
      </c>
      <c r="AG337" s="1">
        <f t="shared" si="212"/>
        <v>0</v>
      </c>
      <c r="AH337" s="1">
        <f t="shared" si="213"/>
        <v>1</v>
      </c>
      <c r="AI337" s="1">
        <f t="shared" si="214"/>
        <v>0</v>
      </c>
    </row>
    <row r="338" spans="1:35" ht="14.25" customHeight="1" x14ac:dyDescent="0.3">
      <c r="A338" s="31">
        <v>0</v>
      </c>
      <c r="B338" s="31">
        <v>2</v>
      </c>
      <c r="C338" s="31">
        <v>2</v>
      </c>
      <c r="D338" s="32" t="s">
        <v>45</v>
      </c>
      <c r="E338" s="32" t="s">
        <v>44</v>
      </c>
      <c r="F338" s="32" t="s">
        <v>669</v>
      </c>
      <c r="G338" s="32" t="s">
        <v>180</v>
      </c>
      <c r="H338" s="32" t="s">
        <v>354</v>
      </c>
      <c r="I338" s="31" t="s">
        <v>949</v>
      </c>
      <c r="J338" s="31">
        <v>10</v>
      </c>
      <c r="K338" s="33" t="s">
        <v>713</v>
      </c>
      <c r="L338" s="33" t="s">
        <v>720</v>
      </c>
      <c r="M338" s="34" t="s">
        <v>721</v>
      </c>
      <c r="N338" s="34" t="s">
        <v>1727</v>
      </c>
      <c r="O338" s="35">
        <v>1</v>
      </c>
      <c r="P338" s="35">
        <v>1</v>
      </c>
      <c r="Q338" s="32"/>
      <c r="S338" s="1">
        <f t="shared" si="215"/>
        <v>0</v>
      </c>
      <c r="T338" s="1">
        <f t="shared" si="216"/>
        <v>0</v>
      </c>
      <c r="U338" s="1">
        <f t="shared" si="217"/>
        <v>0</v>
      </c>
      <c r="V338" s="1">
        <f t="shared" si="218"/>
        <v>0</v>
      </c>
      <c r="W338" s="1">
        <f t="shared" si="219"/>
        <v>0</v>
      </c>
      <c r="X338" s="1">
        <f t="shared" si="220"/>
        <v>0</v>
      </c>
      <c r="Y338" s="1">
        <f t="shared" si="221"/>
        <v>0</v>
      </c>
      <c r="Z338" s="1">
        <f t="shared" si="222"/>
        <v>0</v>
      </c>
      <c r="AA338" s="1">
        <f t="shared" si="223"/>
        <v>0</v>
      </c>
      <c r="AB338" s="1">
        <f t="shared" si="224"/>
        <v>1</v>
      </c>
      <c r="AD338" s="1">
        <f t="shared" si="225"/>
        <v>1</v>
      </c>
      <c r="AE338" s="1">
        <f t="shared" si="226"/>
        <v>0</v>
      </c>
      <c r="AF338" s="1">
        <f t="shared" si="211"/>
        <v>1</v>
      </c>
      <c r="AG338" s="1">
        <f t="shared" si="212"/>
        <v>0</v>
      </c>
      <c r="AH338" s="1">
        <f t="shared" si="213"/>
        <v>1</v>
      </c>
      <c r="AI338" s="1">
        <f t="shared" si="214"/>
        <v>0</v>
      </c>
    </row>
    <row r="339" spans="1:35" ht="14.25" customHeight="1" x14ac:dyDescent="0.3">
      <c r="A339" s="31">
        <v>0</v>
      </c>
      <c r="B339" s="31">
        <v>2</v>
      </c>
      <c r="C339" s="31">
        <v>2</v>
      </c>
      <c r="D339" s="32" t="s">
        <v>1448</v>
      </c>
      <c r="E339" s="32" t="s">
        <v>1653</v>
      </c>
      <c r="F339" s="32" t="s">
        <v>1668</v>
      </c>
      <c r="G339" s="32" t="s">
        <v>230</v>
      </c>
      <c r="H339" s="32" t="s">
        <v>354</v>
      </c>
      <c r="I339" s="31" t="s">
        <v>1449</v>
      </c>
      <c r="J339" s="31">
        <v>99</v>
      </c>
      <c r="K339" s="33" t="s">
        <v>955</v>
      </c>
      <c r="L339" s="33">
        <v>20</v>
      </c>
      <c r="M339" s="34" t="s">
        <v>39</v>
      </c>
      <c r="N339" s="34" t="s">
        <v>1727</v>
      </c>
      <c r="O339" s="35">
        <v>1</v>
      </c>
      <c r="P339" s="35">
        <v>1</v>
      </c>
      <c r="Q339" s="32"/>
      <c r="S339" s="1">
        <f t="shared" si="215"/>
        <v>0</v>
      </c>
      <c r="T339" s="1">
        <f t="shared" si="216"/>
        <v>0</v>
      </c>
      <c r="U339" s="1">
        <f t="shared" si="217"/>
        <v>0</v>
      </c>
      <c r="V339" s="1">
        <f t="shared" si="218"/>
        <v>0</v>
      </c>
      <c r="W339" s="1">
        <f t="shared" si="219"/>
        <v>0</v>
      </c>
      <c r="X339" s="1">
        <f t="shared" si="220"/>
        <v>0</v>
      </c>
      <c r="Y339" s="1">
        <f t="shared" si="221"/>
        <v>0</v>
      </c>
      <c r="Z339" s="1">
        <f t="shared" si="222"/>
        <v>0</v>
      </c>
      <c r="AA339" s="1">
        <f t="shared" si="223"/>
        <v>0</v>
      </c>
      <c r="AB339" s="1">
        <f t="shared" si="224"/>
        <v>0</v>
      </c>
      <c r="AD339" s="1">
        <f t="shared" si="225"/>
        <v>1</v>
      </c>
      <c r="AE339" s="1">
        <f t="shared" si="226"/>
        <v>0</v>
      </c>
      <c r="AF339" s="1">
        <f t="shared" si="211"/>
        <v>1</v>
      </c>
      <c r="AG339" s="1">
        <f t="shared" si="212"/>
        <v>0</v>
      </c>
      <c r="AH339" s="1">
        <f t="shared" si="213"/>
        <v>1</v>
      </c>
      <c r="AI339" s="1">
        <f t="shared" si="214"/>
        <v>0</v>
      </c>
    </row>
    <row r="340" spans="1:35" ht="14.25" customHeight="1" x14ac:dyDescent="0.3">
      <c r="A340" s="67">
        <v>0</v>
      </c>
      <c r="B340" s="67">
        <v>2</v>
      </c>
      <c r="C340" s="67">
        <v>2</v>
      </c>
      <c r="D340" s="54" t="s">
        <v>1993</v>
      </c>
      <c r="E340" s="54" t="s">
        <v>2078</v>
      </c>
      <c r="F340" s="54" t="s">
        <v>1994</v>
      </c>
      <c r="G340" s="54" t="s">
        <v>179</v>
      </c>
      <c r="H340" s="54" t="s">
        <v>354</v>
      </c>
      <c r="I340" s="67" t="s">
        <v>1995</v>
      </c>
      <c r="J340" s="67"/>
      <c r="K340" s="67" t="s">
        <v>703</v>
      </c>
      <c r="L340" s="67"/>
      <c r="M340" s="54"/>
      <c r="N340" s="54"/>
      <c r="O340" s="68"/>
      <c r="P340" s="68">
        <v>1</v>
      </c>
      <c r="Q340" s="54"/>
      <c r="S340" s="1">
        <f t="shared" si="215"/>
        <v>0</v>
      </c>
      <c r="T340" s="1">
        <f t="shared" si="216"/>
        <v>0</v>
      </c>
      <c r="U340" s="1">
        <f t="shared" si="217"/>
        <v>0</v>
      </c>
      <c r="V340" s="1">
        <f t="shared" si="218"/>
        <v>0</v>
      </c>
      <c r="W340" s="1">
        <f t="shared" si="219"/>
        <v>0</v>
      </c>
      <c r="X340" s="1">
        <f t="shared" si="220"/>
        <v>0</v>
      </c>
      <c r="Y340" s="1">
        <f t="shared" si="221"/>
        <v>0</v>
      </c>
      <c r="Z340" s="1">
        <f t="shared" si="222"/>
        <v>0</v>
      </c>
      <c r="AA340" s="1">
        <f t="shared" si="223"/>
        <v>0</v>
      </c>
      <c r="AB340" s="1">
        <f t="shared" si="224"/>
        <v>0</v>
      </c>
      <c r="AD340" s="1">
        <f t="shared" si="225"/>
        <v>0</v>
      </c>
      <c r="AE340" s="1">
        <f t="shared" si="226"/>
        <v>0</v>
      </c>
      <c r="AF340" s="1">
        <f t="shared" si="211"/>
        <v>0</v>
      </c>
      <c r="AG340" s="1">
        <f t="shared" si="212"/>
        <v>0</v>
      </c>
      <c r="AH340" s="1">
        <f t="shared" si="213"/>
        <v>1</v>
      </c>
      <c r="AI340" s="1">
        <f t="shared" si="214"/>
        <v>0</v>
      </c>
    </row>
    <row r="341" spans="1:35" ht="14.25" customHeight="1" x14ac:dyDescent="0.3">
      <c r="A341" s="49">
        <v>0</v>
      </c>
      <c r="B341" s="49">
        <v>2</v>
      </c>
      <c r="C341" s="49">
        <v>2</v>
      </c>
      <c r="D341" s="50" t="s">
        <v>606</v>
      </c>
      <c r="E341" s="50" t="s">
        <v>607</v>
      </c>
      <c r="F341" s="50" t="s">
        <v>608</v>
      </c>
      <c r="G341" s="50" t="s">
        <v>257</v>
      </c>
      <c r="H341" s="50" t="s">
        <v>354</v>
      </c>
      <c r="I341" s="49" t="s">
        <v>609</v>
      </c>
      <c r="J341" s="49">
        <v>99</v>
      </c>
      <c r="K341" s="51" t="s">
        <v>955</v>
      </c>
      <c r="L341" s="51" t="s">
        <v>704</v>
      </c>
      <c r="M341" s="52" t="s">
        <v>1414</v>
      </c>
      <c r="N341" s="52" t="s">
        <v>1743</v>
      </c>
      <c r="O341" s="53">
        <v>1</v>
      </c>
      <c r="P341" s="53"/>
      <c r="Q341" s="50"/>
      <c r="S341" s="1">
        <f t="shared" si="215"/>
        <v>0</v>
      </c>
      <c r="T341" s="1">
        <f t="shared" si="216"/>
        <v>0</v>
      </c>
      <c r="U341" s="1">
        <f t="shared" si="217"/>
        <v>0</v>
      </c>
      <c r="V341" s="1">
        <f t="shared" si="218"/>
        <v>0</v>
      </c>
      <c r="W341" s="1">
        <f t="shared" si="219"/>
        <v>0</v>
      </c>
      <c r="X341" s="1">
        <f t="shared" si="220"/>
        <v>0</v>
      </c>
      <c r="Y341" s="1">
        <f t="shared" si="221"/>
        <v>0</v>
      </c>
      <c r="Z341" s="1">
        <f t="shared" si="222"/>
        <v>0</v>
      </c>
      <c r="AA341" s="1">
        <f t="shared" si="223"/>
        <v>0</v>
      </c>
      <c r="AB341" s="1">
        <f t="shared" si="224"/>
        <v>0</v>
      </c>
      <c r="AD341" s="1">
        <f t="shared" si="225"/>
        <v>0</v>
      </c>
      <c r="AE341" s="1">
        <f t="shared" si="226"/>
        <v>1</v>
      </c>
      <c r="AF341" s="1">
        <f t="shared" si="211"/>
        <v>0</v>
      </c>
      <c r="AG341" s="1">
        <f t="shared" si="212"/>
        <v>1</v>
      </c>
      <c r="AH341" s="1">
        <f t="shared" si="213"/>
        <v>0</v>
      </c>
      <c r="AI341" s="1">
        <f t="shared" si="214"/>
        <v>1</v>
      </c>
    </row>
    <row r="342" spans="1:35" ht="14.25" customHeight="1" x14ac:dyDescent="0.3">
      <c r="A342" s="31">
        <v>0</v>
      </c>
      <c r="B342" s="31">
        <v>2</v>
      </c>
      <c r="C342" s="31">
        <v>2</v>
      </c>
      <c r="D342" s="32" t="s">
        <v>1925</v>
      </c>
      <c r="E342" s="32" t="s">
        <v>1926</v>
      </c>
      <c r="F342" s="32" t="s">
        <v>1927</v>
      </c>
      <c r="G342" s="32" t="s">
        <v>184</v>
      </c>
      <c r="H342" s="32" t="s">
        <v>354</v>
      </c>
      <c r="I342" s="31" t="s">
        <v>1929</v>
      </c>
      <c r="J342" s="31">
        <v>99</v>
      </c>
      <c r="K342" s="33" t="s">
        <v>703</v>
      </c>
      <c r="L342" s="33"/>
      <c r="M342" s="34"/>
      <c r="N342" s="34" t="s">
        <v>1727</v>
      </c>
      <c r="O342" s="35">
        <v>1</v>
      </c>
      <c r="P342" s="35">
        <v>1</v>
      </c>
      <c r="Q342" s="32" t="s">
        <v>1928</v>
      </c>
      <c r="S342" s="1">
        <f t="shared" si="215"/>
        <v>0</v>
      </c>
      <c r="T342" s="1">
        <f t="shared" si="216"/>
        <v>0</v>
      </c>
      <c r="U342" s="1">
        <f t="shared" si="217"/>
        <v>0</v>
      </c>
      <c r="V342" s="1">
        <f t="shared" si="218"/>
        <v>0</v>
      </c>
      <c r="W342" s="1">
        <f t="shared" si="219"/>
        <v>0</v>
      </c>
      <c r="X342" s="1">
        <f t="shared" si="220"/>
        <v>0</v>
      </c>
      <c r="Y342" s="1">
        <f t="shared" si="221"/>
        <v>0</v>
      </c>
      <c r="Z342" s="1">
        <f t="shared" si="222"/>
        <v>0</v>
      </c>
      <c r="AA342" s="1">
        <f t="shared" si="223"/>
        <v>0</v>
      </c>
      <c r="AB342" s="1">
        <f t="shared" si="224"/>
        <v>0</v>
      </c>
      <c r="AD342" s="1">
        <f t="shared" si="225"/>
        <v>1</v>
      </c>
      <c r="AE342" s="1">
        <f t="shared" si="226"/>
        <v>0</v>
      </c>
      <c r="AF342" s="1">
        <f t="shared" si="211"/>
        <v>1</v>
      </c>
      <c r="AG342" s="1">
        <f t="shared" si="212"/>
        <v>0</v>
      </c>
      <c r="AH342" s="1">
        <f t="shared" si="213"/>
        <v>1</v>
      </c>
      <c r="AI342" s="1">
        <f t="shared" si="214"/>
        <v>0</v>
      </c>
    </row>
    <row r="343" spans="1:35" ht="14.25" customHeight="1" x14ac:dyDescent="0.3">
      <c r="A343" s="44">
        <v>0</v>
      </c>
      <c r="B343" s="44">
        <v>2</v>
      </c>
      <c r="C343" s="44">
        <v>2</v>
      </c>
      <c r="D343" s="45" t="s">
        <v>1643</v>
      </c>
      <c r="E343" s="45" t="s">
        <v>1168</v>
      </c>
      <c r="F343" s="45" t="s">
        <v>1674</v>
      </c>
      <c r="G343" s="45" t="s">
        <v>180</v>
      </c>
      <c r="H343" s="45" t="s">
        <v>354</v>
      </c>
      <c r="I343" s="44" t="s">
        <v>1494</v>
      </c>
      <c r="J343" s="44">
        <v>10</v>
      </c>
      <c r="K343" s="46" t="s">
        <v>712</v>
      </c>
      <c r="L343" s="46">
        <v>15</v>
      </c>
      <c r="M343" s="47" t="s">
        <v>39</v>
      </c>
      <c r="N343" s="47" t="s">
        <v>1740</v>
      </c>
      <c r="O343" s="48"/>
      <c r="P343" s="48"/>
      <c r="Q343" s="45"/>
      <c r="S343" s="1">
        <f t="shared" si="215"/>
        <v>0</v>
      </c>
      <c r="T343" s="1">
        <f t="shared" si="216"/>
        <v>0</v>
      </c>
      <c r="U343" s="1">
        <f t="shared" si="217"/>
        <v>0</v>
      </c>
      <c r="V343" s="1">
        <f t="shared" si="218"/>
        <v>0</v>
      </c>
      <c r="W343" s="1">
        <f t="shared" si="219"/>
        <v>0</v>
      </c>
      <c r="X343" s="1">
        <f t="shared" si="220"/>
        <v>0</v>
      </c>
      <c r="Y343" s="1">
        <f t="shared" si="221"/>
        <v>0</v>
      </c>
      <c r="Z343" s="1">
        <f t="shared" si="222"/>
        <v>0</v>
      </c>
      <c r="AA343" s="1">
        <f t="shared" si="223"/>
        <v>0</v>
      </c>
      <c r="AB343" s="1">
        <f t="shared" si="224"/>
        <v>1</v>
      </c>
      <c r="AD343" s="1">
        <f t="shared" si="225"/>
        <v>0</v>
      </c>
      <c r="AE343" s="1">
        <f t="shared" si="226"/>
        <v>0</v>
      </c>
      <c r="AF343" s="1">
        <f t="shared" ref="AF343:AF407" si="233">+O343*P343*(1-A343)</f>
        <v>0</v>
      </c>
      <c r="AG343" s="1">
        <f t="shared" ref="AG343:AG407" si="234">O343*(1-P343)*(1-A343)</f>
        <v>0</v>
      </c>
      <c r="AH343" s="1">
        <f t="shared" ref="AH343:AH407" si="235">+P343*(1-A343)</f>
        <v>0</v>
      </c>
      <c r="AI343" s="1">
        <f t="shared" ref="AI343:AI407" si="236">+(1-A343)*(1-P343)</f>
        <v>1</v>
      </c>
    </row>
    <row r="344" spans="1:35" ht="14.25" customHeight="1" x14ac:dyDescent="0.3">
      <c r="A344" s="44">
        <v>0</v>
      </c>
      <c r="B344" s="44">
        <v>2</v>
      </c>
      <c r="C344" s="44">
        <v>2</v>
      </c>
      <c r="D344" s="45" t="s">
        <v>862</v>
      </c>
      <c r="E344" s="45" t="s">
        <v>544</v>
      </c>
      <c r="F344" s="45" t="s">
        <v>863</v>
      </c>
      <c r="G344" s="45" t="s">
        <v>314</v>
      </c>
      <c r="H344" s="45" t="s">
        <v>354</v>
      </c>
      <c r="I344" s="44" t="s">
        <v>864</v>
      </c>
      <c r="J344" s="44">
        <v>1</v>
      </c>
      <c r="K344" s="46" t="s">
        <v>712</v>
      </c>
      <c r="L344" s="46">
        <v>25</v>
      </c>
      <c r="M344" s="47" t="s">
        <v>39</v>
      </c>
      <c r="N344" s="47" t="s">
        <v>1735</v>
      </c>
      <c r="O344" s="48"/>
      <c r="P344" s="48"/>
      <c r="Q344" s="45"/>
      <c r="S344" s="1">
        <f t="shared" si="215"/>
        <v>1</v>
      </c>
      <c r="T344" s="1">
        <f t="shared" si="216"/>
        <v>0</v>
      </c>
      <c r="U344" s="1">
        <f t="shared" si="217"/>
        <v>0</v>
      </c>
      <c r="V344" s="1">
        <f t="shared" si="218"/>
        <v>0</v>
      </c>
      <c r="W344" s="1">
        <f t="shared" si="219"/>
        <v>0</v>
      </c>
      <c r="X344" s="1">
        <f t="shared" si="220"/>
        <v>0</v>
      </c>
      <c r="Y344" s="1">
        <f t="shared" si="221"/>
        <v>0</v>
      </c>
      <c r="Z344" s="1">
        <f t="shared" si="222"/>
        <v>0</v>
      </c>
      <c r="AA344" s="1">
        <f t="shared" si="223"/>
        <v>0</v>
      </c>
      <c r="AB344" s="1">
        <f t="shared" si="224"/>
        <v>0</v>
      </c>
      <c r="AD344" s="1">
        <f t="shared" si="225"/>
        <v>0</v>
      </c>
      <c r="AE344" s="1">
        <f t="shared" si="226"/>
        <v>0</v>
      </c>
      <c r="AF344" s="1">
        <f t="shared" si="233"/>
        <v>0</v>
      </c>
      <c r="AG344" s="1">
        <f t="shared" si="234"/>
        <v>0</v>
      </c>
      <c r="AH344" s="1">
        <f t="shared" si="235"/>
        <v>0</v>
      </c>
      <c r="AI344" s="1">
        <f t="shared" si="236"/>
        <v>1</v>
      </c>
    </row>
    <row r="345" spans="1:35" ht="14.25" customHeight="1" x14ac:dyDescent="0.3">
      <c r="A345" s="31">
        <v>0</v>
      </c>
      <c r="B345" s="31">
        <v>2</v>
      </c>
      <c r="C345" s="31">
        <v>3</v>
      </c>
      <c r="D345" s="32" t="s">
        <v>568</v>
      </c>
      <c r="E345" s="32" t="s">
        <v>38</v>
      </c>
      <c r="F345" s="32" t="s">
        <v>237</v>
      </c>
      <c r="G345" s="32" t="s">
        <v>539</v>
      </c>
      <c r="H345" s="32" t="s">
        <v>354</v>
      </c>
      <c r="I345" s="31" t="s">
        <v>403</v>
      </c>
      <c r="J345" s="31">
        <v>1</v>
      </c>
      <c r="K345" s="33" t="s">
        <v>712</v>
      </c>
      <c r="L345" s="33" t="s">
        <v>724</v>
      </c>
      <c r="M345" s="34" t="s">
        <v>725</v>
      </c>
      <c r="N345" s="34" t="s">
        <v>1727</v>
      </c>
      <c r="O345" s="35">
        <v>1</v>
      </c>
      <c r="P345" s="35">
        <v>1</v>
      </c>
      <c r="Q345" s="32"/>
      <c r="S345" s="1">
        <f t="shared" si="215"/>
        <v>1</v>
      </c>
      <c r="T345" s="1">
        <f t="shared" si="216"/>
        <v>0</v>
      </c>
      <c r="U345" s="1">
        <f t="shared" si="217"/>
        <v>0</v>
      </c>
      <c r="V345" s="1">
        <f t="shared" si="218"/>
        <v>0</v>
      </c>
      <c r="W345" s="1">
        <f t="shared" si="219"/>
        <v>0</v>
      </c>
      <c r="X345" s="1">
        <f t="shared" si="220"/>
        <v>0</v>
      </c>
      <c r="Y345" s="1">
        <f t="shared" si="221"/>
        <v>0</v>
      </c>
      <c r="Z345" s="1">
        <f t="shared" si="222"/>
        <v>0</v>
      </c>
      <c r="AA345" s="1">
        <f t="shared" si="223"/>
        <v>0</v>
      </c>
      <c r="AB345" s="1">
        <f t="shared" si="224"/>
        <v>0</v>
      </c>
      <c r="AD345" s="1">
        <f t="shared" si="225"/>
        <v>1</v>
      </c>
      <c r="AE345" s="1">
        <f t="shared" si="226"/>
        <v>0</v>
      </c>
      <c r="AF345" s="1">
        <f t="shared" si="233"/>
        <v>1</v>
      </c>
      <c r="AG345" s="1">
        <f t="shared" si="234"/>
        <v>0</v>
      </c>
      <c r="AH345" s="1">
        <f t="shared" si="235"/>
        <v>1</v>
      </c>
      <c r="AI345" s="1">
        <f t="shared" si="236"/>
        <v>0</v>
      </c>
    </row>
    <row r="346" spans="1:35" ht="14.25" customHeight="1" x14ac:dyDescent="0.3">
      <c r="A346" s="44">
        <v>0</v>
      </c>
      <c r="B346" s="44">
        <v>2</v>
      </c>
      <c r="C346" s="44">
        <v>3</v>
      </c>
      <c r="D346" s="45" t="s">
        <v>850</v>
      </c>
      <c r="E346" s="45" t="s">
        <v>34</v>
      </c>
      <c r="F346" s="45" t="s">
        <v>926</v>
      </c>
      <c r="G346" s="45" t="s">
        <v>638</v>
      </c>
      <c r="H346" s="45" t="s">
        <v>354</v>
      </c>
      <c r="I346" s="44" t="s">
        <v>851</v>
      </c>
      <c r="J346" s="44">
        <v>1</v>
      </c>
      <c r="K346" s="46" t="s">
        <v>954</v>
      </c>
      <c r="L346" s="46" t="s">
        <v>729</v>
      </c>
      <c r="M346" s="47" t="s">
        <v>723</v>
      </c>
      <c r="N346" s="47" t="s">
        <v>1735</v>
      </c>
      <c r="O346" s="48"/>
      <c r="P346" s="48"/>
      <c r="Q346" s="45"/>
      <c r="S346" s="1">
        <f t="shared" si="215"/>
        <v>1</v>
      </c>
      <c r="T346" s="1">
        <f t="shared" si="216"/>
        <v>0</v>
      </c>
      <c r="U346" s="1">
        <f t="shared" si="217"/>
        <v>0</v>
      </c>
      <c r="V346" s="1">
        <f t="shared" si="218"/>
        <v>0</v>
      </c>
      <c r="W346" s="1">
        <f t="shared" si="219"/>
        <v>0</v>
      </c>
      <c r="X346" s="1">
        <f t="shared" si="220"/>
        <v>0</v>
      </c>
      <c r="Y346" s="1">
        <f t="shared" si="221"/>
        <v>0</v>
      </c>
      <c r="Z346" s="1">
        <f t="shared" si="222"/>
        <v>0</v>
      </c>
      <c r="AA346" s="1">
        <f t="shared" si="223"/>
        <v>0</v>
      </c>
      <c r="AB346" s="1">
        <f t="shared" si="224"/>
        <v>0</v>
      </c>
      <c r="AD346" s="1">
        <f t="shared" si="225"/>
        <v>0</v>
      </c>
      <c r="AE346" s="1">
        <f t="shared" si="226"/>
        <v>0</v>
      </c>
      <c r="AF346" s="1">
        <f t="shared" si="233"/>
        <v>0</v>
      </c>
      <c r="AG346" s="1">
        <f t="shared" si="234"/>
        <v>0</v>
      </c>
      <c r="AH346" s="1">
        <f t="shared" si="235"/>
        <v>0</v>
      </c>
      <c r="AI346" s="1">
        <f t="shared" si="236"/>
        <v>1</v>
      </c>
    </row>
    <row r="347" spans="1:35" ht="14.25" customHeight="1" x14ac:dyDescent="0.3">
      <c r="A347" s="44">
        <v>0</v>
      </c>
      <c r="B347" s="44">
        <v>2</v>
      </c>
      <c r="C347" s="44">
        <v>3</v>
      </c>
      <c r="D347" s="45" t="s">
        <v>793</v>
      </c>
      <c r="E347" s="45" t="s">
        <v>32</v>
      </c>
      <c r="F347" s="45" t="s">
        <v>794</v>
      </c>
      <c r="G347" s="45" t="s">
        <v>251</v>
      </c>
      <c r="H347" s="45" t="s">
        <v>354</v>
      </c>
      <c r="I347" s="44" t="s">
        <v>795</v>
      </c>
      <c r="J347" s="44">
        <v>99</v>
      </c>
      <c r="K347" s="46" t="s">
        <v>713</v>
      </c>
      <c r="L347" s="46" t="s">
        <v>722</v>
      </c>
      <c r="M347" s="47" t="s">
        <v>723</v>
      </c>
      <c r="N347" s="47" t="s">
        <v>1809</v>
      </c>
      <c r="O347" s="48"/>
      <c r="P347" s="48"/>
      <c r="Q347" s="45"/>
      <c r="S347" s="1">
        <f t="shared" ref="S347:S411" si="237">IF(J347=$S$7,1,0)</f>
        <v>0</v>
      </c>
      <c r="T347" s="1">
        <f t="shared" ref="T347:T411" si="238">IF(J347=$T$7,1,0)</f>
        <v>0</v>
      </c>
      <c r="U347" s="1">
        <f t="shared" ref="U347:U411" si="239">IF(J347=$U$7,1,0)</f>
        <v>0</v>
      </c>
      <c r="V347" s="1">
        <f t="shared" ref="V347:V411" si="240">IF(J347=$V$7,1,0)</f>
        <v>0</v>
      </c>
      <c r="W347" s="1">
        <f t="shared" ref="W347:W411" si="241">IF(J347=$W$7,1,0)</f>
        <v>0</v>
      </c>
      <c r="X347" s="1">
        <f t="shared" ref="X347:X411" si="242">IF(J347=$X$7,1,0)</f>
        <v>0</v>
      </c>
      <c r="Y347" s="1">
        <f t="shared" ref="Y347:Y411" si="243">IF(J347=$Y$7,1,0)</f>
        <v>0</v>
      </c>
      <c r="Z347" s="1">
        <f t="shared" ref="Z347:Z411" si="244">IF(J347=$Z$7,1,0)</f>
        <v>0</v>
      </c>
      <c r="AA347" s="1">
        <f t="shared" ref="AA347:AA411" si="245">IF(J347=$AA$7,1,0)</f>
        <v>0</v>
      </c>
      <c r="AB347" s="1">
        <f t="shared" ref="AB347:AB411" si="246">IF(J347=$AB$7,1,0)</f>
        <v>0</v>
      </c>
      <c r="AD347" s="1">
        <f t="shared" ref="AD347:AD411" si="247">+O347*P347</f>
        <v>0</v>
      </c>
      <c r="AE347" s="1">
        <f t="shared" ref="AE347:AE411" si="248">O347*(1-P347)</f>
        <v>0</v>
      </c>
      <c r="AF347" s="1">
        <f t="shared" si="233"/>
        <v>0</v>
      </c>
      <c r="AG347" s="1">
        <f t="shared" si="234"/>
        <v>0</v>
      </c>
      <c r="AH347" s="1">
        <f t="shared" si="235"/>
        <v>0</v>
      </c>
      <c r="AI347" s="1">
        <f t="shared" si="236"/>
        <v>1</v>
      </c>
    </row>
    <row r="348" spans="1:35" ht="14.25" customHeight="1" x14ac:dyDescent="0.3">
      <c r="A348" s="44">
        <v>0</v>
      </c>
      <c r="B348" s="44">
        <v>2</v>
      </c>
      <c r="C348" s="44">
        <v>3</v>
      </c>
      <c r="D348" s="45" t="s">
        <v>56</v>
      </c>
      <c r="E348" s="45" t="s">
        <v>161</v>
      </c>
      <c r="F348" s="45" t="s">
        <v>219</v>
      </c>
      <c r="G348" s="45" t="s">
        <v>196</v>
      </c>
      <c r="H348" s="45" t="s">
        <v>354</v>
      </c>
      <c r="I348" s="44" t="s">
        <v>551</v>
      </c>
      <c r="J348" s="44">
        <v>99</v>
      </c>
      <c r="K348" s="46" t="s">
        <v>713</v>
      </c>
      <c r="L348" s="46" t="s">
        <v>722</v>
      </c>
      <c r="M348" s="47" t="s">
        <v>723</v>
      </c>
      <c r="N348" s="47" t="s">
        <v>1802</v>
      </c>
      <c r="O348" s="48"/>
      <c r="P348" s="48"/>
      <c r="Q348" s="45"/>
      <c r="S348" s="1">
        <f t="shared" si="237"/>
        <v>0</v>
      </c>
      <c r="T348" s="1">
        <f t="shared" si="238"/>
        <v>0</v>
      </c>
      <c r="U348" s="1">
        <f t="shared" si="239"/>
        <v>0</v>
      </c>
      <c r="V348" s="1">
        <f t="shared" si="240"/>
        <v>0</v>
      </c>
      <c r="W348" s="1">
        <f t="shared" si="241"/>
        <v>0</v>
      </c>
      <c r="X348" s="1">
        <f t="shared" si="242"/>
        <v>0</v>
      </c>
      <c r="Y348" s="1">
        <f t="shared" si="243"/>
        <v>0</v>
      </c>
      <c r="Z348" s="1">
        <f t="shared" si="244"/>
        <v>0</v>
      </c>
      <c r="AA348" s="1">
        <f t="shared" si="245"/>
        <v>0</v>
      </c>
      <c r="AB348" s="1">
        <f t="shared" si="246"/>
        <v>0</v>
      </c>
      <c r="AD348" s="1">
        <f t="shared" si="247"/>
        <v>0</v>
      </c>
      <c r="AE348" s="1">
        <f t="shared" si="248"/>
        <v>0</v>
      </c>
      <c r="AF348" s="1">
        <f t="shared" si="233"/>
        <v>0</v>
      </c>
      <c r="AG348" s="1">
        <f t="shared" si="234"/>
        <v>0</v>
      </c>
      <c r="AH348" s="1">
        <f t="shared" si="235"/>
        <v>0</v>
      </c>
      <c r="AI348" s="1">
        <f t="shared" si="236"/>
        <v>1</v>
      </c>
    </row>
    <row r="349" spans="1:35" ht="14.25" customHeight="1" x14ac:dyDescent="0.3">
      <c r="A349" s="31">
        <v>0</v>
      </c>
      <c r="B349" s="31">
        <v>2</v>
      </c>
      <c r="C349" s="31">
        <v>3</v>
      </c>
      <c r="D349" s="32" t="s">
        <v>1175</v>
      </c>
      <c r="E349" s="32" t="s">
        <v>1335</v>
      </c>
      <c r="F349" s="32" t="s">
        <v>1176</v>
      </c>
      <c r="G349" s="32" t="s">
        <v>302</v>
      </c>
      <c r="H349" s="32" t="s">
        <v>354</v>
      </c>
      <c r="I349" s="31" t="s">
        <v>1177</v>
      </c>
      <c r="J349" s="31">
        <v>1</v>
      </c>
      <c r="K349" s="33" t="s">
        <v>955</v>
      </c>
      <c r="L349" s="33" t="s">
        <v>693</v>
      </c>
      <c r="M349" s="34" t="s">
        <v>1415</v>
      </c>
      <c r="N349" s="34" t="s">
        <v>1743</v>
      </c>
      <c r="O349" s="35">
        <v>1</v>
      </c>
      <c r="P349" s="35"/>
      <c r="Q349" s="32"/>
      <c r="S349" s="1">
        <f t="shared" si="237"/>
        <v>1</v>
      </c>
      <c r="T349" s="1">
        <f t="shared" si="238"/>
        <v>0</v>
      </c>
      <c r="U349" s="1">
        <f t="shared" si="239"/>
        <v>0</v>
      </c>
      <c r="V349" s="1">
        <f t="shared" si="240"/>
        <v>0</v>
      </c>
      <c r="W349" s="1">
        <f t="shared" si="241"/>
        <v>0</v>
      </c>
      <c r="X349" s="1">
        <f t="shared" si="242"/>
        <v>0</v>
      </c>
      <c r="Y349" s="1">
        <f t="shared" si="243"/>
        <v>0</v>
      </c>
      <c r="Z349" s="1">
        <f t="shared" si="244"/>
        <v>0</v>
      </c>
      <c r="AA349" s="1">
        <f t="shared" si="245"/>
        <v>0</v>
      </c>
      <c r="AB349" s="1">
        <f t="shared" si="246"/>
        <v>0</v>
      </c>
      <c r="AD349" s="1">
        <f t="shared" si="247"/>
        <v>0</v>
      </c>
      <c r="AE349" s="1">
        <f t="shared" si="248"/>
        <v>1</v>
      </c>
      <c r="AF349" s="1">
        <f t="shared" si="233"/>
        <v>0</v>
      </c>
      <c r="AG349" s="1">
        <f t="shared" si="234"/>
        <v>1</v>
      </c>
      <c r="AH349" s="1">
        <f t="shared" si="235"/>
        <v>0</v>
      </c>
      <c r="AI349" s="1">
        <f t="shared" si="236"/>
        <v>1</v>
      </c>
    </row>
    <row r="350" spans="1:35" ht="14.25" customHeight="1" x14ac:dyDescent="0.3">
      <c r="A350" s="31">
        <v>0</v>
      </c>
      <c r="B350" s="31">
        <v>2</v>
      </c>
      <c r="C350" s="31">
        <v>3</v>
      </c>
      <c r="D350" s="32" t="s">
        <v>1172</v>
      </c>
      <c r="E350" s="32" t="s">
        <v>1335</v>
      </c>
      <c r="F350" s="32" t="s">
        <v>1173</v>
      </c>
      <c r="G350" s="32" t="s">
        <v>1056</v>
      </c>
      <c r="H350" s="32" t="s">
        <v>354</v>
      </c>
      <c r="I350" s="31" t="s">
        <v>1174</v>
      </c>
      <c r="J350" s="31">
        <v>1</v>
      </c>
      <c r="K350" s="33" t="s">
        <v>713</v>
      </c>
      <c r="L350" s="33" t="s">
        <v>693</v>
      </c>
      <c r="M350" s="34" t="s">
        <v>1415</v>
      </c>
      <c r="N350" s="34" t="s">
        <v>1743</v>
      </c>
      <c r="O350" s="35">
        <v>1</v>
      </c>
      <c r="P350" s="35"/>
      <c r="Q350" s="32"/>
      <c r="S350" s="1">
        <f t="shared" si="237"/>
        <v>1</v>
      </c>
      <c r="T350" s="1">
        <f t="shared" si="238"/>
        <v>0</v>
      </c>
      <c r="U350" s="1">
        <f t="shared" si="239"/>
        <v>0</v>
      </c>
      <c r="V350" s="1">
        <f t="shared" si="240"/>
        <v>0</v>
      </c>
      <c r="W350" s="1">
        <f t="shared" si="241"/>
        <v>0</v>
      </c>
      <c r="X350" s="1">
        <f t="shared" si="242"/>
        <v>0</v>
      </c>
      <c r="Y350" s="1">
        <f t="shared" si="243"/>
        <v>0</v>
      </c>
      <c r="Z350" s="1">
        <f t="shared" si="244"/>
        <v>0</v>
      </c>
      <c r="AA350" s="1">
        <f t="shared" si="245"/>
        <v>0</v>
      </c>
      <c r="AB350" s="1">
        <f t="shared" si="246"/>
        <v>0</v>
      </c>
      <c r="AD350" s="1">
        <f t="shared" si="247"/>
        <v>0</v>
      </c>
      <c r="AE350" s="1">
        <f t="shared" si="248"/>
        <v>1</v>
      </c>
      <c r="AF350" s="1">
        <f t="shared" si="233"/>
        <v>0</v>
      </c>
      <c r="AG350" s="1">
        <f t="shared" si="234"/>
        <v>1</v>
      </c>
      <c r="AH350" s="1">
        <f t="shared" si="235"/>
        <v>0</v>
      </c>
      <c r="AI350" s="1">
        <f t="shared" si="236"/>
        <v>1</v>
      </c>
    </row>
    <row r="351" spans="1:35" ht="14.25" customHeight="1" x14ac:dyDescent="0.3">
      <c r="A351" s="31">
        <v>0</v>
      </c>
      <c r="B351" s="31">
        <v>2</v>
      </c>
      <c r="C351" s="31">
        <v>3</v>
      </c>
      <c r="D351" s="32" t="s">
        <v>1294</v>
      </c>
      <c r="E351" s="32" t="s">
        <v>32</v>
      </c>
      <c r="F351" s="32" t="s">
        <v>1295</v>
      </c>
      <c r="G351" s="32" t="s">
        <v>222</v>
      </c>
      <c r="H351" s="32" t="s">
        <v>354</v>
      </c>
      <c r="I351" s="31" t="s">
        <v>1689</v>
      </c>
      <c r="J351" s="31">
        <v>99</v>
      </c>
      <c r="K351" s="33" t="s">
        <v>713</v>
      </c>
      <c r="L351" s="33" t="s">
        <v>716</v>
      </c>
      <c r="M351" s="34" t="s">
        <v>1296</v>
      </c>
      <c r="N351" s="34" t="s">
        <v>1727</v>
      </c>
      <c r="O351" s="35">
        <v>1</v>
      </c>
      <c r="P351" s="35">
        <v>1</v>
      </c>
      <c r="Q351" s="32"/>
      <c r="S351" s="1">
        <f t="shared" si="237"/>
        <v>0</v>
      </c>
      <c r="T351" s="1">
        <f t="shared" si="238"/>
        <v>0</v>
      </c>
      <c r="U351" s="1">
        <f t="shared" si="239"/>
        <v>0</v>
      </c>
      <c r="V351" s="1">
        <f t="shared" si="240"/>
        <v>0</v>
      </c>
      <c r="W351" s="1">
        <f t="shared" si="241"/>
        <v>0</v>
      </c>
      <c r="X351" s="1">
        <f t="shared" si="242"/>
        <v>0</v>
      </c>
      <c r="Y351" s="1">
        <f t="shared" si="243"/>
        <v>0</v>
      </c>
      <c r="Z351" s="1">
        <f t="shared" si="244"/>
        <v>0</v>
      </c>
      <c r="AA351" s="1">
        <f t="shared" si="245"/>
        <v>0</v>
      </c>
      <c r="AB351" s="1">
        <f t="shared" si="246"/>
        <v>0</v>
      </c>
      <c r="AD351" s="1">
        <f t="shared" si="247"/>
        <v>1</v>
      </c>
      <c r="AE351" s="1">
        <f t="shared" si="248"/>
        <v>0</v>
      </c>
      <c r="AF351" s="1">
        <f t="shared" si="233"/>
        <v>1</v>
      </c>
      <c r="AG351" s="1">
        <f t="shared" si="234"/>
        <v>0</v>
      </c>
      <c r="AH351" s="1">
        <f t="shared" si="235"/>
        <v>1</v>
      </c>
      <c r="AI351" s="1">
        <f t="shared" si="236"/>
        <v>0</v>
      </c>
    </row>
    <row r="352" spans="1:35" ht="14.25" customHeight="1" x14ac:dyDescent="0.3">
      <c r="A352" s="31">
        <v>0</v>
      </c>
      <c r="B352" s="31">
        <v>2</v>
      </c>
      <c r="C352" s="31">
        <v>3</v>
      </c>
      <c r="D352" s="32" t="s">
        <v>761</v>
      </c>
      <c r="E352" s="32" t="s">
        <v>913</v>
      </c>
      <c r="F352" s="32" t="s">
        <v>762</v>
      </c>
      <c r="G352" s="32" t="s">
        <v>220</v>
      </c>
      <c r="H352" s="32" t="s">
        <v>354</v>
      </c>
      <c r="I352" s="31" t="s">
        <v>763</v>
      </c>
      <c r="J352" s="31">
        <v>8</v>
      </c>
      <c r="K352" s="33" t="s">
        <v>955</v>
      </c>
      <c r="L352" s="33" t="s">
        <v>729</v>
      </c>
      <c r="M352" s="34" t="s">
        <v>723</v>
      </c>
      <c r="N352" s="34" t="s">
        <v>1748</v>
      </c>
      <c r="O352" s="35">
        <v>1</v>
      </c>
      <c r="P352" s="35"/>
      <c r="Q352" s="32"/>
      <c r="S352" s="1">
        <f t="shared" si="237"/>
        <v>0</v>
      </c>
      <c r="T352" s="1">
        <f t="shared" si="238"/>
        <v>0</v>
      </c>
      <c r="U352" s="1">
        <f t="shared" si="239"/>
        <v>0</v>
      </c>
      <c r="V352" s="1">
        <f t="shared" si="240"/>
        <v>0</v>
      </c>
      <c r="W352" s="1">
        <f t="shared" si="241"/>
        <v>0</v>
      </c>
      <c r="X352" s="1">
        <f t="shared" si="242"/>
        <v>0</v>
      </c>
      <c r="Y352" s="1">
        <f t="shared" si="243"/>
        <v>0</v>
      </c>
      <c r="Z352" s="1">
        <f t="shared" si="244"/>
        <v>1</v>
      </c>
      <c r="AA352" s="1">
        <f t="shared" si="245"/>
        <v>0</v>
      </c>
      <c r="AB352" s="1">
        <f t="shared" si="246"/>
        <v>0</v>
      </c>
      <c r="AD352" s="1">
        <f t="shared" si="247"/>
        <v>0</v>
      </c>
      <c r="AE352" s="1">
        <f t="shared" si="248"/>
        <v>1</v>
      </c>
      <c r="AF352" s="1">
        <f t="shared" si="233"/>
        <v>0</v>
      </c>
      <c r="AG352" s="1">
        <f t="shared" si="234"/>
        <v>1</v>
      </c>
      <c r="AH352" s="1">
        <f t="shared" si="235"/>
        <v>0</v>
      </c>
      <c r="AI352" s="1">
        <f t="shared" si="236"/>
        <v>1</v>
      </c>
    </row>
    <row r="353" spans="1:35" ht="14.25" customHeight="1" x14ac:dyDescent="0.3">
      <c r="A353" s="44">
        <v>0</v>
      </c>
      <c r="B353" s="44">
        <v>2</v>
      </c>
      <c r="C353" s="44">
        <v>3</v>
      </c>
      <c r="D353" s="45" t="s">
        <v>1495</v>
      </c>
      <c r="E353" s="45" t="s">
        <v>1496</v>
      </c>
      <c r="F353" s="45" t="s">
        <v>1497</v>
      </c>
      <c r="G353" s="45" t="s">
        <v>238</v>
      </c>
      <c r="H353" s="45" t="s">
        <v>354</v>
      </c>
      <c r="I353" s="44" t="s">
        <v>1498</v>
      </c>
      <c r="J353" s="44">
        <v>4</v>
      </c>
      <c r="K353" s="46" t="s">
        <v>712</v>
      </c>
      <c r="L353" s="46">
        <v>15</v>
      </c>
      <c r="M353" s="47" t="s">
        <v>39</v>
      </c>
      <c r="N353" s="47" t="s">
        <v>1802</v>
      </c>
      <c r="O353" s="48"/>
      <c r="P353" s="48"/>
      <c r="Q353" s="45"/>
      <c r="S353" s="1">
        <f t="shared" si="237"/>
        <v>0</v>
      </c>
      <c r="T353" s="1">
        <f t="shared" si="238"/>
        <v>0</v>
      </c>
      <c r="U353" s="1">
        <f t="shared" si="239"/>
        <v>0</v>
      </c>
      <c r="V353" s="1">
        <f t="shared" si="240"/>
        <v>1</v>
      </c>
      <c r="W353" s="1">
        <f t="shared" si="241"/>
        <v>0</v>
      </c>
      <c r="X353" s="1">
        <f t="shared" si="242"/>
        <v>0</v>
      </c>
      <c r="Y353" s="1">
        <f t="shared" si="243"/>
        <v>0</v>
      </c>
      <c r="Z353" s="1">
        <f t="shared" si="244"/>
        <v>0</v>
      </c>
      <c r="AA353" s="1">
        <f t="shared" si="245"/>
        <v>0</v>
      </c>
      <c r="AB353" s="1">
        <f t="shared" si="246"/>
        <v>0</v>
      </c>
      <c r="AD353" s="1">
        <f t="shared" si="247"/>
        <v>0</v>
      </c>
      <c r="AE353" s="1">
        <f t="shared" si="248"/>
        <v>0</v>
      </c>
      <c r="AF353" s="1">
        <f t="shared" si="233"/>
        <v>0</v>
      </c>
      <c r="AG353" s="1">
        <f t="shared" si="234"/>
        <v>0</v>
      </c>
      <c r="AH353" s="1">
        <f t="shared" si="235"/>
        <v>0</v>
      </c>
      <c r="AI353" s="1">
        <f t="shared" si="236"/>
        <v>1</v>
      </c>
    </row>
    <row r="354" spans="1:35" ht="14.25" customHeight="1" x14ac:dyDescent="0.3">
      <c r="A354" s="31">
        <v>0</v>
      </c>
      <c r="B354" s="31">
        <v>2</v>
      </c>
      <c r="C354" s="31">
        <v>3</v>
      </c>
      <c r="D354" s="32" t="s">
        <v>1553</v>
      </c>
      <c r="E354" s="32" t="s">
        <v>1554</v>
      </c>
      <c r="F354" s="32" t="s">
        <v>1555</v>
      </c>
      <c r="G354" s="32" t="s">
        <v>1556</v>
      </c>
      <c r="H354" s="32" t="s">
        <v>354</v>
      </c>
      <c r="I354" s="31" t="s">
        <v>1557</v>
      </c>
      <c r="J354" s="31">
        <v>7</v>
      </c>
      <c r="K354" s="33" t="s">
        <v>955</v>
      </c>
      <c r="L354" s="33">
        <v>10</v>
      </c>
      <c r="M354" s="34" t="s">
        <v>39</v>
      </c>
      <c r="N354" s="34" t="s">
        <v>1743</v>
      </c>
      <c r="O354" s="35">
        <v>1</v>
      </c>
      <c r="P354" s="35"/>
      <c r="Q354" s="32"/>
      <c r="S354" s="1">
        <f t="shared" si="237"/>
        <v>0</v>
      </c>
      <c r="T354" s="1">
        <f t="shared" si="238"/>
        <v>0</v>
      </c>
      <c r="U354" s="1">
        <f t="shared" si="239"/>
        <v>0</v>
      </c>
      <c r="V354" s="1">
        <f t="shared" si="240"/>
        <v>0</v>
      </c>
      <c r="W354" s="1">
        <f t="shared" si="241"/>
        <v>0</v>
      </c>
      <c r="X354" s="1">
        <f t="shared" si="242"/>
        <v>0</v>
      </c>
      <c r="Y354" s="1">
        <f t="shared" si="243"/>
        <v>1</v>
      </c>
      <c r="Z354" s="1">
        <f t="shared" si="244"/>
        <v>0</v>
      </c>
      <c r="AA354" s="1">
        <f t="shared" si="245"/>
        <v>0</v>
      </c>
      <c r="AB354" s="1">
        <f t="shared" si="246"/>
        <v>0</v>
      </c>
      <c r="AD354" s="1">
        <f t="shared" si="247"/>
        <v>0</v>
      </c>
      <c r="AE354" s="1">
        <f t="shared" si="248"/>
        <v>1</v>
      </c>
      <c r="AF354" s="1">
        <f t="shared" si="233"/>
        <v>0</v>
      </c>
      <c r="AG354" s="1">
        <f t="shared" si="234"/>
        <v>1</v>
      </c>
      <c r="AH354" s="1">
        <f t="shared" si="235"/>
        <v>0</v>
      </c>
      <c r="AI354" s="1">
        <f t="shared" si="236"/>
        <v>1</v>
      </c>
    </row>
    <row r="355" spans="1:35" ht="14.25" customHeight="1" x14ac:dyDescent="0.3">
      <c r="A355" s="44">
        <v>0</v>
      </c>
      <c r="B355" s="44">
        <v>2</v>
      </c>
      <c r="C355" s="44">
        <v>3</v>
      </c>
      <c r="D355" s="45" t="s">
        <v>841</v>
      </c>
      <c r="E355" s="45" t="s">
        <v>32</v>
      </c>
      <c r="F355" s="45" t="s">
        <v>843</v>
      </c>
      <c r="G355" s="45" t="s">
        <v>39</v>
      </c>
      <c r="H355" s="45" t="s">
        <v>354</v>
      </c>
      <c r="I355" s="44" t="s">
        <v>842</v>
      </c>
      <c r="J355" s="44">
        <v>1</v>
      </c>
      <c r="K355" s="46" t="s">
        <v>713</v>
      </c>
      <c r="L355" s="46" t="s">
        <v>694</v>
      </c>
      <c r="M355" s="47" t="s">
        <v>1415</v>
      </c>
      <c r="N355" s="47" t="s">
        <v>1735</v>
      </c>
      <c r="O355" s="48"/>
      <c r="P355" s="48"/>
      <c r="Q355" s="45"/>
      <c r="S355" s="1">
        <f t="shared" si="237"/>
        <v>1</v>
      </c>
      <c r="T355" s="1">
        <f t="shared" si="238"/>
        <v>0</v>
      </c>
      <c r="U355" s="1">
        <f t="shared" si="239"/>
        <v>0</v>
      </c>
      <c r="V355" s="1">
        <f t="shared" si="240"/>
        <v>0</v>
      </c>
      <c r="W355" s="1">
        <f t="shared" si="241"/>
        <v>0</v>
      </c>
      <c r="X355" s="1">
        <f t="shared" si="242"/>
        <v>0</v>
      </c>
      <c r="Y355" s="1">
        <f t="shared" si="243"/>
        <v>0</v>
      </c>
      <c r="Z355" s="1">
        <f t="shared" si="244"/>
        <v>0</v>
      </c>
      <c r="AA355" s="1">
        <f t="shared" si="245"/>
        <v>0</v>
      </c>
      <c r="AB355" s="1">
        <f t="shared" si="246"/>
        <v>0</v>
      </c>
      <c r="AD355" s="1">
        <f t="shared" si="247"/>
        <v>0</v>
      </c>
      <c r="AE355" s="1">
        <f t="shared" si="248"/>
        <v>0</v>
      </c>
      <c r="AF355" s="1">
        <f t="shared" si="233"/>
        <v>0</v>
      </c>
      <c r="AG355" s="1">
        <f t="shared" si="234"/>
        <v>0</v>
      </c>
      <c r="AH355" s="1">
        <f t="shared" si="235"/>
        <v>0</v>
      </c>
      <c r="AI355" s="1">
        <f t="shared" si="236"/>
        <v>1</v>
      </c>
    </row>
    <row r="356" spans="1:35" ht="14.25" customHeight="1" x14ac:dyDescent="0.3">
      <c r="A356" s="15">
        <v>0</v>
      </c>
      <c r="B356" s="15">
        <v>2</v>
      </c>
      <c r="C356" s="15">
        <v>4</v>
      </c>
      <c r="D356" s="16" t="s">
        <v>764</v>
      </c>
      <c r="E356" s="16" t="s">
        <v>765</v>
      </c>
      <c r="F356" s="16" t="s">
        <v>766</v>
      </c>
      <c r="G356" s="16" t="s">
        <v>767</v>
      </c>
      <c r="H356" s="16" t="s">
        <v>354</v>
      </c>
      <c r="I356" s="15" t="s">
        <v>768</v>
      </c>
      <c r="J356" s="15">
        <v>99</v>
      </c>
      <c r="K356" s="10" t="s">
        <v>703</v>
      </c>
      <c r="L356" s="10">
        <v>15</v>
      </c>
      <c r="M356" s="19" t="s">
        <v>769</v>
      </c>
      <c r="N356" s="19"/>
      <c r="Q356" s="16"/>
      <c r="S356" s="1">
        <f t="shared" si="237"/>
        <v>0</v>
      </c>
      <c r="T356" s="1">
        <f t="shared" si="238"/>
        <v>0</v>
      </c>
      <c r="U356" s="1">
        <f t="shared" si="239"/>
        <v>0</v>
      </c>
      <c r="V356" s="1">
        <f t="shared" si="240"/>
        <v>0</v>
      </c>
      <c r="W356" s="1">
        <f t="shared" si="241"/>
        <v>0</v>
      </c>
      <c r="X356" s="1">
        <f t="shared" si="242"/>
        <v>0</v>
      </c>
      <c r="Y356" s="1">
        <f t="shared" si="243"/>
        <v>0</v>
      </c>
      <c r="Z356" s="1">
        <f t="shared" si="244"/>
        <v>0</v>
      </c>
      <c r="AA356" s="1">
        <f t="shared" si="245"/>
        <v>0</v>
      </c>
      <c r="AB356" s="1">
        <f t="shared" si="246"/>
        <v>0</v>
      </c>
      <c r="AD356" s="1">
        <f t="shared" si="247"/>
        <v>0</v>
      </c>
      <c r="AE356" s="1">
        <f t="shared" si="248"/>
        <v>0</v>
      </c>
      <c r="AF356" s="1">
        <f t="shared" si="233"/>
        <v>0</v>
      </c>
      <c r="AG356" s="1">
        <f t="shared" si="234"/>
        <v>0</v>
      </c>
      <c r="AH356" s="1">
        <f t="shared" si="235"/>
        <v>0</v>
      </c>
      <c r="AI356" s="1">
        <f t="shared" si="236"/>
        <v>1</v>
      </c>
    </row>
    <row r="357" spans="1:35" ht="14.25" customHeight="1" x14ac:dyDescent="0.3">
      <c r="A357" s="31">
        <v>0</v>
      </c>
      <c r="B357" s="31">
        <v>2</v>
      </c>
      <c r="C357" s="31">
        <v>4</v>
      </c>
      <c r="D357" s="32" t="s">
        <v>798</v>
      </c>
      <c r="E357" s="32" t="s">
        <v>908</v>
      </c>
      <c r="F357" s="32" t="s">
        <v>925</v>
      </c>
      <c r="G357" s="32" t="s">
        <v>208</v>
      </c>
      <c r="H357" s="32" t="s">
        <v>354</v>
      </c>
      <c r="I357" s="31" t="s">
        <v>1363</v>
      </c>
      <c r="J357" s="31">
        <v>3</v>
      </c>
      <c r="K357" s="33" t="s">
        <v>703</v>
      </c>
      <c r="L357" s="33">
        <v>20</v>
      </c>
      <c r="M357" s="34" t="s">
        <v>1417</v>
      </c>
      <c r="N357" s="34" t="s">
        <v>1825</v>
      </c>
      <c r="O357" s="35">
        <v>1</v>
      </c>
      <c r="P357" s="35"/>
      <c r="Q357" s="32"/>
      <c r="S357" s="1">
        <f t="shared" si="237"/>
        <v>0</v>
      </c>
      <c r="T357" s="1">
        <f t="shared" si="238"/>
        <v>0</v>
      </c>
      <c r="U357" s="1">
        <f t="shared" si="239"/>
        <v>1</v>
      </c>
      <c r="V357" s="1">
        <f t="shared" si="240"/>
        <v>0</v>
      </c>
      <c r="W357" s="1">
        <f t="shared" si="241"/>
        <v>0</v>
      </c>
      <c r="X357" s="1">
        <f t="shared" si="242"/>
        <v>0</v>
      </c>
      <c r="Y357" s="1">
        <f t="shared" si="243"/>
        <v>0</v>
      </c>
      <c r="Z357" s="1">
        <f t="shared" si="244"/>
        <v>0</v>
      </c>
      <c r="AA357" s="1">
        <f t="shared" si="245"/>
        <v>0</v>
      </c>
      <c r="AB357" s="1">
        <f t="shared" si="246"/>
        <v>0</v>
      </c>
      <c r="AD357" s="1">
        <f t="shared" si="247"/>
        <v>0</v>
      </c>
      <c r="AE357" s="1">
        <f t="shared" si="248"/>
        <v>1</v>
      </c>
      <c r="AF357" s="1">
        <f t="shared" si="233"/>
        <v>0</v>
      </c>
      <c r="AG357" s="1">
        <f t="shared" si="234"/>
        <v>1</v>
      </c>
      <c r="AH357" s="1">
        <f t="shared" si="235"/>
        <v>0</v>
      </c>
      <c r="AI357" s="1">
        <f t="shared" si="236"/>
        <v>1</v>
      </c>
    </row>
    <row r="358" spans="1:35" ht="14.25" customHeight="1" x14ac:dyDescent="0.3">
      <c r="A358" s="57">
        <v>0</v>
      </c>
      <c r="B358" s="57">
        <v>2</v>
      </c>
      <c r="C358" s="57">
        <v>4</v>
      </c>
      <c r="D358" s="58" t="s">
        <v>567</v>
      </c>
      <c r="E358" s="58" t="s">
        <v>37</v>
      </c>
      <c r="F358" s="58" t="s">
        <v>205</v>
      </c>
      <c r="G358" s="58" t="s">
        <v>39</v>
      </c>
      <c r="H358" s="58" t="s">
        <v>354</v>
      </c>
      <c r="I358" s="57" t="s">
        <v>389</v>
      </c>
      <c r="J358" s="57">
        <v>6</v>
      </c>
      <c r="K358" s="59" t="s">
        <v>703</v>
      </c>
      <c r="L358" s="59" t="s">
        <v>39</v>
      </c>
      <c r="M358" s="60" t="s">
        <v>39</v>
      </c>
      <c r="N358" s="61"/>
      <c r="O358" s="62"/>
      <c r="P358" s="62"/>
      <c r="Q358" s="58"/>
      <c r="S358" s="1">
        <f t="shared" si="237"/>
        <v>0</v>
      </c>
      <c r="T358" s="1">
        <f t="shared" si="238"/>
        <v>0</v>
      </c>
      <c r="U358" s="1">
        <f t="shared" si="239"/>
        <v>0</v>
      </c>
      <c r="V358" s="1">
        <f t="shared" si="240"/>
        <v>0</v>
      </c>
      <c r="W358" s="1">
        <f t="shared" si="241"/>
        <v>0</v>
      </c>
      <c r="X358" s="1">
        <f t="shared" si="242"/>
        <v>1</v>
      </c>
      <c r="Y358" s="1">
        <f t="shared" si="243"/>
        <v>0</v>
      </c>
      <c r="Z358" s="1">
        <f t="shared" si="244"/>
        <v>0</v>
      </c>
      <c r="AA358" s="1">
        <f t="shared" si="245"/>
        <v>0</v>
      </c>
      <c r="AB358" s="1">
        <f t="shared" si="246"/>
        <v>0</v>
      </c>
      <c r="AD358" s="1">
        <f t="shared" si="247"/>
        <v>0</v>
      </c>
      <c r="AE358" s="1">
        <f t="shared" si="248"/>
        <v>0</v>
      </c>
      <c r="AF358" s="1">
        <f t="shared" si="233"/>
        <v>0</v>
      </c>
      <c r="AG358" s="1">
        <f t="shared" si="234"/>
        <v>0</v>
      </c>
      <c r="AH358" s="1">
        <f t="shared" si="235"/>
        <v>0</v>
      </c>
      <c r="AI358" s="1">
        <f t="shared" si="236"/>
        <v>1</v>
      </c>
    </row>
    <row r="359" spans="1:35" ht="14.25" customHeight="1" x14ac:dyDescent="0.3">
      <c r="A359" s="44">
        <v>0</v>
      </c>
      <c r="B359" s="44">
        <v>2</v>
      </c>
      <c r="C359" s="44">
        <v>4</v>
      </c>
      <c r="D359" s="45" t="s">
        <v>653</v>
      </c>
      <c r="E359" s="45" t="s">
        <v>910</v>
      </c>
      <c r="F359" s="45" t="s">
        <v>624</v>
      </c>
      <c r="G359" s="45" t="s">
        <v>341</v>
      </c>
      <c r="H359" s="45" t="s">
        <v>354</v>
      </c>
      <c r="I359" s="44" t="s">
        <v>625</v>
      </c>
      <c r="J359" s="44">
        <v>10</v>
      </c>
      <c r="K359" s="46" t="s">
        <v>954</v>
      </c>
      <c r="L359" s="46" t="s">
        <v>704</v>
      </c>
      <c r="M359" s="47" t="s">
        <v>1418</v>
      </c>
      <c r="N359" s="47" t="s">
        <v>1734</v>
      </c>
      <c r="O359" s="48"/>
      <c r="P359" s="48"/>
      <c r="Q359" s="45"/>
      <c r="S359" s="1">
        <f t="shared" si="237"/>
        <v>0</v>
      </c>
      <c r="T359" s="1">
        <f t="shared" si="238"/>
        <v>0</v>
      </c>
      <c r="U359" s="1">
        <f t="shared" si="239"/>
        <v>0</v>
      </c>
      <c r="V359" s="1">
        <f t="shared" si="240"/>
        <v>0</v>
      </c>
      <c r="W359" s="1">
        <f t="shared" si="241"/>
        <v>0</v>
      </c>
      <c r="X359" s="1">
        <f t="shared" si="242"/>
        <v>0</v>
      </c>
      <c r="Y359" s="1">
        <f t="shared" si="243"/>
        <v>0</v>
      </c>
      <c r="Z359" s="1">
        <f t="shared" si="244"/>
        <v>0</v>
      </c>
      <c r="AA359" s="1">
        <f t="shared" si="245"/>
        <v>0</v>
      </c>
      <c r="AB359" s="1">
        <f t="shared" si="246"/>
        <v>1</v>
      </c>
      <c r="AD359" s="1">
        <f t="shared" si="247"/>
        <v>0</v>
      </c>
      <c r="AE359" s="1">
        <f t="shared" si="248"/>
        <v>0</v>
      </c>
      <c r="AF359" s="1">
        <f t="shared" si="233"/>
        <v>0</v>
      </c>
      <c r="AG359" s="1">
        <f t="shared" si="234"/>
        <v>0</v>
      </c>
      <c r="AH359" s="1">
        <f t="shared" si="235"/>
        <v>0</v>
      </c>
      <c r="AI359" s="1">
        <f t="shared" si="236"/>
        <v>1</v>
      </c>
    </row>
    <row r="360" spans="1:35" ht="14.25" customHeight="1" x14ac:dyDescent="0.3">
      <c r="A360" s="31">
        <v>0</v>
      </c>
      <c r="B360" s="31">
        <v>2</v>
      </c>
      <c r="C360" s="31">
        <v>4</v>
      </c>
      <c r="D360" s="32" t="s">
        <v>75</v>
      </c>
      <c r="E360" s="32" t="s">
        <v>35</v>
      </c>
      <c r="F360" s="32" t="s">
        <v>266</v>
      </c>
      <c r="G360" s="32" t="s">
        <v>213</v>
      </c>
      <c r="H360" s="32" t="s">
        <v>354</v>
      </c>
      <c r="I360" s="31" t="s">
        <v>945</v>
      </c>
      <c r="J360" s="31">
        <v>1</v>
      </c>
      <c r="K360" s="33" t="s">
        <v>713</v>
      </c>
      <c r="L360" s="33" t="s">
        <v>704</v>
      </c>
      <c r="M360" s="34" t="s">
        <v>1419</v>
      </c>
      <c r="N360" s="34" t="s">
        <v>1743</v>
      </c>
      <c r="O360" s="35">
        <v>1</v>
      </c>
      <c r="P360" s="35"/>
      <c r="Q360" s="32"/>
      <c r="S360" s="1">
        <f t="shared" si="237"/>
        <v>1</v>
      </c>
      <c r="T360" s="1">
        <f t="shared" si="238"/>
        <v>0</v>
      </c>
      <c r="U360" s="1">
        <f t="shared" si="239"/>
        <v>0</v>
      </c>
      <c r="V360" s="1">
        <f t="shared" si="240"/>
        <v>0</v>
      </c>
      <c r="W360" s="1">
        <f t="shared" si="241"/>
        <v>0</v>
      </c>
      <c r="X360" s="1">
        <f t="shared" si="242"/>
        <v>0</v>
      </c>
      <c r="Y360" s="1">
        <f t="shared" si="243"/>
        <v>0</v>
      </c>
      <c r="Z360" s="1">
        <f t="shared" si="244"/>
        <v>0</v>
      </c>
      <c r="AA360" s="1">
        <f t="shared" si="245"/>
        <v>0</v>
      </c>
      <c r="AB360" s="1">
        <f t="shared" si="246"/>
        <v>0</v>
      </c>
      <c r="AD360" s="1">
        <f t="shared" si="247"/>
        <v>0</v>
      </c>
      <c r="AE360" s="1">
        <f t="shared" si="248"/>
        <v>1</v>
      </c>
      <c r="AF360" s="1">
        <f t="shared" si="233"/>
        <v>0</v>
      </c>
      <c r="AG360" s="1">
        <f t="shared" si="234"/>
        <v>1</v>
      </c>
      <c r="AH360" s="1">
        <f t="shared" si="235"/>
        <v>0</v>
      </c>
      <c r="AI360" s="1">
        <f t="shared" si="236"/>
        <v>1</v>
      </c>
    </row>
    <row r="361" spans="1:35" ht="14.25" customHeight="1" x14ac:dyDescent="0.3">
      <c r="A361" s="31">
        <v>0</v>
      </c>
      <c r="B361" s="31">
        <v>2</v>
      </c>
      <c r="C361" s="31">
        <v>4</v>
      </c>
      <c r="D361" s="32" t="s">
        <v>919</v>
      </c>
      <c r="E361" s="32" t="s">
        <v>912</v>
      </c>
      <c r="F361" s="32" t="s">
        <v>782</v>
      </c>
      <c r="G361" s="32" t="s">
        <v>285</v>
      </c>
      <c r="H361" s="32" t="s">
        <v>354</v>
      </c>
      <c r="I361" s="31" t="s">
        <v>946</v>
      </c>
      <c r="J361" s="31">
        <v>4</v>
      </c>
      <c r="K361" s="33" t="s">
        <v>713</v>
      </c>
      <c r="L361" s="33" t="s">
        <v>696</v>
      </c>
      <c r="M361" s="34" t="s">
        <v>1420</v>
      </c>
      <c r="N361" s="34" t="s">
        <v>1749</v>
      </c>
      <c r="O361" s="35">
        <v>1</v>
      </c>
      <c r="P361" s="35"/>
      <c r="Q361" s="32"/>
      <c r="S361" s="1">
        <f t="shared" si="237"/>
        <v>0</v>
      </c>
      <c r="T361" s="1">
        <f t="shared" si="238"/>
        <v>0</v>
      </c>
      <c r="U361" s="1">
        <f t="shared" si="239"/>
        <v>0</v>
      </c>
      <c r="V361" s="1">
        <f t="shared" si="240"/>
        <v>1</v>
      </c>
      <c r="W361" s="1">
        <f t="shared" si="241"/>
        <v>0</v>
      </c>
      <c r="X361" s="1">
        <f t="shared" si="242"/>
        <v>0</v>
      </c>
      <c r="Y361" s="1">
        <f t="shared" si="243"/>
        <v>0</v>
      </c>
      <c r="Z361" s="1">
        <f t="shared" si="244"/>
        <v>0</v>
      </c>
      <c r="AA361" s="1">
        <f t="shared" si="245"/>
        <v>0</v>
      </c>
      <c r="AB361" s="1">
        <f t="shared" si="246"/>
        <v>0</v>
      </c>
      <c r="AD361" s="1">
        <f t="shared" si="247"/>
        <v>0</v>
      </c>
      <c r="AE361" s="1">
        <f t="shared" si="248"/>
        <v>1</v>
      </c>
      <c r="AF361" s="1">
        <f t="shared" si="233"/>
        <v>0</v>
      </c>
      <c r="AG361" s="1">
        <f t="shared" si="234"/>
        <v>1</v>
      </c>
      <c r="AH361" s="1">
        <f t="shared" si="235"/>
        <v>0</v>
      </c>
      <c r="AI361" s="1">
        <f t="shared" si="236"/>
        <v>1</v>
      </c>
    </row>
    <row r="362" spans="1:35" ht="14.25" customHeight="1" x14ac:dyDescent="0.3">
      <c r="A362" s="15">
        <v>0</v>
      </c>
      <c r="B362" s="15">
        <v>2</v>
      </c>
      <c r="C362" s="15">
        <v>4</v>
      </c>
      <c r="D362" s="16" t="s">
        <v>629</v>
      </c>
      <c r="E362" s="16" t="s">
        <v>685</v>
      </c>
      <c r="F362" s="16" t="s">
        <v>670</v>
      </c>
      <c r="G362" s="16" t="s">
        <v>628</v>
      </c>
      <c r="H362" s="16" t="s">
        <v>354</v>
      </c>
      <c r="I362" s="15" t="s">
        <v>630</v>
      </c>
      <c r="J362" s="15">
        <v>99</v>
      </c>
      <c r="K362" s="10" t="s">
        <v>955</v>
      </c>
      <c r="L362" s="10" t="s">
        <v>39</v>
      </c>
      <c r="M362" s="19" t="s">
        <v>39</v>
      </c>
      <c r="N362" s="17"/>
      <c r="Q362" s="20" t="s">
        <v>1897</v>
      </c>
      <c r="S362" s="1">
        <f t="shared" si="237"/>
        <v>0</v>
      </c>
      <c r="T362" s="1">
        <f t="shared" si="238"/>
        <v>0</v>
      </c>
      <c r="U362" s="1">
        <f t="shared" si="239"/>
        <v>0</v>
      </c>
      <c r="V362" s="1">
        <f t="shared" si="240"/>
        <v>0</v>
      </c>
      <c r="W362" s="1">
        <f t="shared" si="241"/>
        <v>0</v>
      </c>
      <c r="X362" s="1">
        <f t="shared" si="242"/>
        <v>0</v>
      </c>
      <c r="Y362" s="1">
        <f t="shared" si="243"/>
        <v>0</v>
      </c>
      <c r="Z362" s="1">
        <f t="shared" si="244"/>
        <v>0</v>
      </c>
      <c r="AA362" s="1">
        <f t="shared" si="245"/>
        <v>0</v>
      </c>
      <c r="AB362" s="1">
        <f t="shared" si="246"/>
        <v>0</v>
      </c>
      <c r="AD362" s="1">
        <f t="shared" si="247"/>
        <v>0</v>
      </c>
      <c r="AE362" s="1">
        <f t="shared" si="248"/>
        <v>0</v>
      </c>
      <c r="AF362" s="1">
        <f t="shared" si="233"/>
        <v>0</v>
      </c>
      <c r="AG362" s="1">
        <f t="shared" si="234"/>
        <v>0</v>
      </c>
      <c r="AH362" s="1">
        <f t="shared" si="235"/>
        <v>0</v>
      </c>
      <c r="AI362" s="1">
        <f t="shared" si="236"/>
        <v>1</v>
      </c>
    </row>
    <row r="363" spans="1:35" ht="14.25" customHeight="1" x14ac:dyDescent="0.3">
      <c r="A363" s="31">
        <v>0</v>
      </c>
      <c r="B363" s="31">
        <v>2</v>
      </c>
      <c r="C363" s="31">
        <v>4</v>
      </c>
      <c r="D363" s="32" t="s">
        <v>84</v>
      </c>
      <c r="E363" s="32" t="s">
        <v>35</v>
      </c>
      <c r="F363" s="32" t="s">
        <v>277</v>
      </c>
      <c r="G363" s="32" t="s">
        <v>224</v>
      </c>
      <c r="H363" s="32" t="s">
        <v>354</v>
      </c>
      <c r="I363" s="31" t="s">
        <v>433</v>
      </c>
      <c r="J363" s="31">
        <v>99</v>
      </c>
      <c r="K363" s="33" t="s">
        <v>954</v>
      </c>
      <c r="L363" s="33" t="s">
        <v>704</v>
      </c>
      <c r="M363" s="34" t="s">
        <v>726</v>
      </c>
      <c r="N363" s="34" t="s">
        <v>1761</v>
      </c>
      <c r="O363" s="35">
        <v>1</v>
      </c>
      <c r="P363" s="35"/>
      <c r="Q363" s="32"/>
      <c r="S363" s="1">
        <f t="shared" si="237"/>
        <v>0</v>
      </c>
      <c r="T363" s="1">
        <f t="shared" si="238"/>
        <v>0</v>
      </c>
      <c r="U363" s="1">
        <f t="shared" si="239"/>
        <v>0</v>
      </c>
      <c r="V363" s="1">
        <f t="shared" si="240"/>
        <v>0</v>
      </c>
      <c r="W363" s="1">
        <f t="shared" si="241"/>
        <v>0</v>
      </c>
      <c r="X363" s="1">
        <f t="shared" si="242"/>
        <v>0</v>
      </c>
      <c r="Y363" s="1">
        <f t="shared" si="243"/>
        <v>0</v>
      </c>
      <c r="Z363" s="1">
        <f t="shared" si="244"/>
        <v>0</v>
      </c>
      <c r="AA363" s="1">
        <f t="shared" si="245"/>
        <v>0</v>
      </c>
      <c r="AB363" s="1">
        <f t="shared" si="246"/>
        <v>0</v>
      </c>
      <c r="AD363" s="1">
        <f t="shared" si="247"/>
        <v>0</v>
      </c>
      <c r="AE363" s="1">
        <f t="shared" si="248"/>
        <v>1</v>
      </c>
      <c r="AF363" s="1">
        <f t="shared" si="233"/>
        <v>0</v>
      </c>
      <c r="AG363" s="1">
        <f t="shared" si="234"/>
        <v>1</v>
      </c>
      <c r="AH363" s="1">
        <f t="shared" si="235"/>
        <v>0</v>
      </c>
      <c r="AI363" s="1">
        <f t="shared" si="236"/>
        <v>1</v>
      </c>
    </row>
    <row r="364" spans="1:35" ht="14.25" customHeight="1" x14ac:dyDescent="0.3">
      <c r="A364" s="15">
        <v>0</v>
      </c>
      <c r="B364" s="15">
        <v>2</v>
      </c>
      <c r="C364" s="15">
        <v>4</v>
      </c>
      <c r="D364" s="16" t="s">
        <v>879</v>
      </c>
      <c r="E364" s="16" t="s">
        <v>772</v>
      </c>
      <c r="F364" s="16" t="s">
        <v>877</v>
      </c>
      <c r="G364" s="16" t="s">
        <v>279</v>
      </c>
      <c r="H364" s="16" t="s">
        <v>354</v>
      </c>
      <c r="I364" s="15" t="s">
        <v>878</v>
      </c>
      <c r="J364" s="15">
        <v>99</v>
      </c>
      <c r="K364" s="10" t="s">
        <v>703</v>
      </c>
      <c r="L364" s="10">
        <v>25</v>
      </c>
      <c r="M364" s="19" t="s">
        <v>1421</v>
      </c>
      <c r="N364" s="19"/>
      <c r="Q364" s="16"/>
      <c r="S364" s="1">
        <f t="shared" si="237"/>
        <v>0</v>
      </c>
      <c r="T364" s="1">
        <f t="shared" si="238"/>
        <v>0</v>
      </c>
      <c r="U364" s="1">
        <f t="shared" si="239"/>
        <v>0</v>
      </c>
      <c r="V364" s="1">
        <f t="shared" si="240"/>
        <v>0</v>
      </c>
      <c r="W364" s="1">
        <f t="shared" si="241"/>
        <v>0</v>
      </c>
      <c r="X364" s="1">
        <f t="shared" si="242"/>
        <v>0</v>
      </c>
      <c r="Y364" s="1">
        <f t="shared" si="243"/>
        <v>0</v>
      </c>
      <c r="Z364" s="1">
        <f t="shared" si="244"/>
        <v>0</v>
      </c>
      <c r="AA364" s="1">
        <f t="shared" si="245"/>
        <v>0</v>
      </c>
      <c r="AB364" s="1">
        <f t="shared" si="246"/>
        <v>0</v>
      </c>
      <c r="AD364" s="1">
        <f t="shared" si="247"/>
        <v>0</v>
      </c>
      <c r="AE364" s="1">
        <f t="shared" si="248"/>
        <v>0</v>
      </c>
      <c r="AF364" s="1">
        <f t="shared" si="233"/>
        <v>0</v>
      </c>
      <c r="AG364" s="1">
        <f t="shared" si="234"/>
        <v>0</v>
      </c>
      <c r="AH364" s="1">
        <f t="shared" si="235"/>
        <v>0</v>
      </c>
      <c r="AI364" s="1">
        <f t="shared" si="236"/>
        <v>1</v>
      </c>
    </row>
    <row r="365" spans="1:35" ht="14.25" customHeight="1" x14ac:dyDescent="0.3">
      <c r="A365" s="31">
        <v>0</v>
      </c>
      <c r="B365" s="31">
        <v>2</v>
      </c>
      <c r="C365" s="31">
        <v>4</v>
      </c>
      <c r="D365" s="32" t="s">
        <v>922</v>
      </c>
      <c r="E365" s="32" t="s">
        <v>772</v>
      </c>
      <c r="F365" s="32" t="s">
        <v>844</v>
      </c>
      <c r="G365" s="32" t="s">
        <v>209</v>
      </c>
      <c r="H365" s="32" t="s">
        <v>354</v>
      </c>
      <c r="I365" s="31" t="s">
        <v>845</v>
      </c>
      <c r="J365" s="31">
        <v>99</v>
      </c>
      <c r="K365" s="33" t="s">
        <v>712</v>
      </c>
      <c r="L365" s="33" t="s">
        <v>704</v>
      </c>
      <c r="M365" s="34" t="s">
        <v>726</v>
      </c>
      <c r="N365" s="34" t="s">
        <v>1756</v>
      </c>
      <c r="O365" s="35">
        <v>1</v>
      </c>
      <c r="P365" s="35"/>
      <c r="Q365" s="32"/>
      <c r="S365" s="1">
        <f t="shared" si="237"/>
        <v>0</v>
      </c>
      <c r="T365" s="1">
        <f t="shared" si="238"/>
        <v>0</v>
      </c>
      <c r="U365" s="1">
        <f t="shared" si="239"/>
        <v>0</v>
      </c>
      <c r="V365" s="1">
        <f t="shared" si="240"/>
        <v>0</v>
      </c>
      <c r="W365" s="1">
        <f t="shared" si="241"/>
        <v>0</v>
      </c>
      <c r="X365" s="1">
        <f t="shared" si="242"/>
        <v>0</v>
      </c>
      <c r="Y365" s="1">
        <f t="shared" si="243"/>
        <v>0</v>
      </c>
      <c r="Z365" s="1">
        <f t="shared" si="244"/>
        <v>0</v>
      </c>
      <c r="AA365" s="1">
        <f t="shared" si="245"/>
        <v>0</v>
      </c>
      <c r="AB365" s="1">
        <f t="shared" si="246"/>
        <v>0</v>
      </c>
      <c r="AD365" s="1">
        <f t="shared" ref="AD365:AD367" si="249">+O365*P365</f>
        <v>0</v>
      </c>
      <c r="AE365" s="1">
        <f t="shared" ref="AE365:AE367" si="250">O365*(1-P365)</f>
        <v>1</v>
      </c>
      <c r="AF365" s="1">
        <f t="shared" ref="AF365:AF367" si="251">+O365*P365*(1-A365)</f>
        <v>0</v>
      </c>
      <c r="AG365" s="1">
        <f t="shared" ref="AG365:AG367" si="252">O365*(1-P365)*(1-A365)</f>
        <v>1</v>
      </c>
      <c r="AH365" s="1">
        <f t="shared" ref="AH365:AH367" si="253">+P365*(1-A365)</f>
        <v>0</v>
      </c>
      <c r="AI365" s="1">
        <f t="shared" ref="AI365:AI367" si="254">+(1-A365)*(1-P365)</f>
        <v>1</v>
      </c>
    </row>
    <row r="366" spans="1:35" ht="14.25" customHeight="1" x14ac:dyDescent="0.3">
      <c r="A366" s="44">
        <v>0</v>
      </c>
      <c r="B366" s="44">
        <v>2</v>
      </c>
      <c r="C366" s="44">
        <v>4</v>
      </c>
      <c r="D366" s="45" t="s">
        <v>2028</v>
      </c>
      <c r="E366" s="45" t="s">
        <v>35</v>
      </c>
      <c r="F366" s="45" t="s">
        <v>2029</v>
      </c>
      <c r="G366" s="45" t="s">
        <v>209</v>
      </c>
      <c r="H366" s="45" t="s">
        <v>354</v>
      </c>
      <c r="I366" s="44" t="s">
        <v>2030</v>
      </c>
      <c r="J366" s="44">
        <v>99</v>
      </c>
      <c r="K366" s="46" t="s">
        <v>703</v>
      </c>
      <c r="L366" s="46">
        <v>25</v>
      </c>
      <c r="M366" s="47" t="s">
        <v>2032</v>
      </c>
      <c r="N366" s="47" t="s">
        <v>1809</v>
      </c>
      <c r="O366" s="48"/>
      <c r="P366" s="48"/>
      <c r="Q366" s="45" t="s">
        <v>2031</v>
      </c>
      <c r="S366" s="1">
        <f t="shared" si="237"/>
        <v>0</v>
      </c>
      <c r="T366" s="1">
        <f t="shared" si="238"/>
        <v>0</v>
      </c>
      <c r="U366" s="1">
        <f t="shared" si="239"/>
        <v>0</v>
      </c>
      <c r="V366" s="1">
        <f t="shared" si="240"/>
        <v>0</v>
      </c>
      <c r="W366" s="1">
        <f t="shared" si="241"/>
        <v>0</v>
      </c>
      <c r="X366" s="1">
        <f t="shared" si="242"/>
        <v>0</v>
      </c>
      <c r="Y366" s="1">
        <f t="shared" si="243"/>
        <v>0</v>
      </c>
      <c r="Z366" s="1">
        <f t="shared" si="244"/>
        <v>0</v>
      </c>
      <c r="AA366" s="1">
        <f t="shared" si="245"/>
        <v>0</v>
      </c>
      <c r="AB366" s="1">
        <f t="shared" si="246"/>
        <v>0</v>
      </c>
      <c r="AD366" s="1">
        <f t="shared" si="249"/>
        <v>0</v>
      </c>
      <c r="AE366" s="1">
        <f t="shared" si="250"/>
        <v>0</v>
      </c>
      <c r="AF366" s="1">
        <f t="shared" si="251"/>
        <v>0</v>
      </c>
      <c r="AG366" s="1">
        <f t="shared" si="252"/>
        <v>0</v>
      </c>
      <c r="AH366" s="1">
        <f t="shared" si="253"/>
        <v>0</v>
      </c>
      <c r="AI366" s="1">
        <f t="shared" si="254"/>
        <v>1</v>
      </c>
    </row>
    <row r="367" spans="1:35" ht="14.25" customHeight="1" x14ac:dyDescent="0.3">
      <c r="A367" s="44">
        <v>0</v>
      </c>
      <c r="B367" s="44">
        <v>2</v>
      </c>
      <c r="C367" s="44">
        <v>4</v>
      </c>
      <c r="D367" s="45" t="s">
        <v>1223</v>
      </c>
      <c r="E367" s="45" t="s">
        <v>1222</v>
      </c>
      <c r="F367" s="45" t="s">
        <v>1224</v>
      </c>
      <c r="G367" s="45" t="s">
        <v>535</v>
      </c>
      <c r="H367" s="45" t="s">
        <v>354</v>
      </c>
      <c r="I367" s="44" t="s">
        <v>1225</v>
      </c>
      <c r="J367" s="44">
        <v>99</v>
      </c>
      <c r="K367" s="46" t="s">
        <v>713</v>
      </c>
      <c r="L367" s="46" t="s">
        <v>694</v>
      </c>
      <c r="M367" s="47" t="s">
        <v>1422</v>
      </c>
      <c r="N367" s="47" t="s">
        <v>1747</v>
      </c>
      <c r="O367" s="48"/>
      <c r="P367" s="48"/>
      <c r="Q367" s="45"/>
      <c r="S367" s="1">
        <f t="shared" si="237"/>
        <v>0</v>
      </c>
      <c r="T367" s="1">
        <f t="shared" si="238"/>
        <v>0</v>
      </c>
      <c r="U367" s="1">
        <f t="shared" si="239"/>
        <v>0</v>
      </c>
      <c r="V367" s="1">
        <f t="shared" si="240"/>
        <v>0</v>
      </c>
      <c r="W367" s="1">
        <f t="shared" si="241"/>
        <v>0</v>
      </c>
      <c r="X367" s="1">
        <f t="shared" si="242"/>
        <v>0</v>
      </c>
      <c r="Y367" s="1">
        <f t="shared" si="243"/>
        <v>0</v>
      </c>
      <c r="Z367" s="1">
        <f t="shared" si="244"/>
        <v>0</v>
      </c>
      <c r="AA367" s="1">
        <f t="shared" si="245"/>
        <v>0</v>
      </c>
      <c r="AB367" s="1">
        <f t="shared" si="246"/>
        <v>0</v>
      </c>
      <c r="AD367" s="1">
        <f t="shared" si="249"/>
        <v>0</v>
      </c>
      <c r="AE367" s="1">
        <f t="shared" si="250"/>
        <v>0</v>
      </c>
      <c r="AF367" s="1">
        <f t="shared" si="251"/>
        <v>0</v>
      </c>
      <c r="AG367" s="1">
        <f t="shared" si="252"/>
        <v>0</v>
      </c>
      <c r="AH367" s="1">
        <f t="shared" si="253"/>
        <v>0</v>
      </c>
      <c r="AI367" s="1">
        <f t="shared" si="254"/>
        <v>1</v>
      </c>
    </row>
    <row r="368" spans="1:35" ht="14.25" customHeight="1" x14ac:dyDescent="0.3">
      <c r="A368" s="31">
        <v>0</v>
      </c>
      <c r="B368" s="31">
        <v>2</v>
      </c>
      <c r="C368" s="31">
        <v>4</v>
      </c>
      <c r="D368" s="32" t="s">
        <v>823</v>
      </c>
      <c r="E368" s="32" t="s">
        <v>590</v>
      </c>
      <c r="F368" s="32" t="s">
        <v>824</v>
      </c>
      <c r="G368" s="32" t="s">
        <v>937</v>
      </c>
      <c r="H368" s="32" t="s">
        <v>354</v>
      </c>
      <c r="I368" s="31" t="s">
        <v>951</v>
      </c>
      <c r="J368" s="31">
        <v>7</v>
      </c>
      <c r="K368" s="33" t="s">
        <v>712</v>
      </c>
      <c r="L368" s="33" t="s">
        <v>39</v>
      </c>
      <c r="M368" s="34" t="s">
        <v>39</v>
      </c>
      <c r="N368" s="34" t="s">
        <v>1727</v>
      </c>
      <c r="O368" s="35">
        <v>1</v>
      </c>
      <c r="P368" s="35">
        <v>1</v>
      </c>
      <c r="Q368" s="32"/>
      <c r="S368" s="1">
        <f t="shared" si="237"/>
        <v>0</v>
      </c>
      <c r="T368" s="1">
        <f t="shared" si="238"/>
        <v>0</v>
      </c>
      <c r="U368" s="1">
        <f t="shared" si="239"/>
        <v>0</v>
      </c>
      <c r="V368" s="1">
        <f t="shared" si="240"/>
        <v>0</v>
      </c>
      <c r="W368" s="1">
        <f t="shared" si="241"/>
        <v>0</v>
      </c>
      <c r="X368" s="1">
        <f t="shared" si="242"/>
        <v>0</v>
      </c>
      <c r="Y368" s="1">
        <f t="shared" si="243"/>
        <v>1</v>
      </c>
      <c r="Z368" s="1">
        <f t="shared" si="244"/>
        <v>0</v>
      </c>
      <c r="AA368" s="1">
        <f t="shared" si="245"/>
        <v>0</v>
      </c>
      <c r="AB368" s="1">
        <f t="shared" si="246"/>
        <v>0</v>
      </c>
      <c r="AD368" s="1">
        <f t="shared" si="247"/>
        <v>1</v>
      </c>
      <c r="AE368" s="1">
        <f t="shared" si="248"/>
        <v>0</v>
      </c>
      <c r="AF368" s="1">
        <f t="shared" si="233"/>
        <v>1</v>
      </c>
      <c r="AG368" s="1">
        <f t="shared" si="234"/>
        <v>0</v>
      </c>
      <c r="AH368" s="1">
        <f t="shared" si="235"/>
        <v>1</v>
      </c>
      <c r="AI368" s="1">
        <f t="shared" si="236"/>
        <v>0</v>
      </c>
    </row>
    <row r="369" spans="1:4094 4097:8191 8194:12288 12291:16384" ht="14.25" customHeight="1" x14ac:dyDescent="0.3">
      <c r="A369" s="44">
        <v>0</v>
      </c>
      <c r="B369" s="44">
        <v>2</v>
      </c>
      <c r="C369" s="44">
        <v>4</v>
      </c>
      <c r="D369" s="45" t="s">
        <v>1605</v>
      </c>
      <c r="E369" s="45" t="s">
        <v>1655</v>
      </c>
      <c r="F369" s="45" t="s">
        <v>1606</v>
      </c>
      <c r="G369" s="45" t="s">
        <v>333</v>
      </c>
      <c r="H369" s="45" t="s">
        <v>354</v>
      </c>
      <c r="I369" s="44" t="s">
        <v>30</v>
      </c>
      <c r="J369" s="44">
        <v>99</v>
      </c>
      <c r="K369" s="46" t="s">
        <v>713</v>
      </c>
      <c r="L369" s="46">
        <v>20</v>
      </c>
      <c r="M369" s="47" t="s">
        <v>39</v>
      </c>
      <c r="N369" s="47" t="s">
        <v>1741</v>
      </c>
      <c r="O369" s="48"/>
      <c r="P369" s="48"/>
      <c r="Q369" s="45"/>
      <c r="S369" s="1">
        <f t="shared" si="237"/>
        <v>0</v>
      </c>
      <c r="T369" s="1">
        <f t="shared" si="238"/>
        <v>0</v>
      </c>
      <c r="U369" s="1">
        <f t="shared" si="239"/>
        <v>0</v>
      </c>
      <c r="V369" s="1">
        <f t="shared" si="240"/>
        <v>0</v>
      </c>
      <c r="W369" s="1">
        <f t="shared" si="241"/>
        <v>0</v>
      </c>
      <c r="X369" s="1">
        <f t="shared" si="242"/>
        <v>0</v>
      </c>
      <c r="Y369" s="1">
        <f t="shared" si="243"/>
        <v>0</v>
      </c>
      <c r="Z369" s="1">
        <f t="shared" si="244"/>
        <v>0</v>
      </c>
      <c r="AA369" s="1">
        <f t="shared" si="245"/>
        <v>0</v>
      </c>
      <c r="AB369" s="1">
        <f t="shared" si="246"/>
        <v>0</v>
      </c>
      <c r="AD369" s="1">
        <f t="shared" ref="AD369:AD372" si="255">+O369*P369</f>
        <v>0</v>
      </c>
      <c r="AE369" s="1">
        <f t="shared" ref="AE369:AE372" si="256">O369*(1-P369)</f>
        <v>0</v>
      </c>
      <c r="AF369" s="1">
        <f t="shared" ref="AF369:AF372" si="257">+O369*P369*(1-A369)</f>
        <v>0</v>
      </c>
      <c r="AG369" s="1">
        <f t="shared" ref="AG369:AG372" si="258">O369*(1-P369)*(1-A369)</f>
        <v>0</v>
      </c>
      <c r="AH369" s="1">
        <f t="shared" ref="AH369:AH372" si="259">+P369*(1-A369)</f>
        <v>0</v>
      </c>
      <c r="AI369" s="1">
        <f t="shared" ref="AI369:AI372" si="260">+(1-A369)*(1-P369)</f>
        <v>1</v>
      </c>
    </row>
    <row r="370" spans="1:4094 4097:8191 8194:12288 12291:16384" ht="14.25" customHeight="1" x14ac:dyDescent="0.3">
      <c r="A370" s="31">
        <v>0</v>
      </c>
      <c r="B370" s="31">
        <v>2</v>
      </c>
      <c r="C370" s="31">
        <v>5</v>
      </c>
      <c r="D370" s="32" t="s">
        <v>58</v>
      </c>
      <c r="E370" s="32" t="s">
        <v>44</v>
      </c>
      <c r="F370" s="32" t="s">
        <v>671</v>
      </c>
      <c r="G370" s="32" t="s">
        <v>223</v>
      </c>
      <c r="H370" s="32" t="s">
        <v>354</v>
      </c>
      <c r="I370" s="31" t="s">
        <v>397</v>
      </c>
      <c r="J370" s="31">
        <v>8</v>
      </c>
      <c r="K370" s="33" t="s">
        <v>713</v>
      </c>
      <c r="L370" s="33" t="s">
        <v>716</v>
      </c>
      <c r="M370" s="34" t="s">
        <v>1423</v>
      </c>
      <c r="N370" s="34" t="s">
        <v>1748</v>
      </c>
      <c r="O370" s="35">
        <v>1</v>
      </c>
      <c r="P370" s="35"/>
      <c r="Q370" s="32"/>
      <c r="S370" s="1">
        <f t="shared" si="237"/>
        <v>0</v>
      </c>
      <c r="T370" s="1">
        <f t="shared" si="238"/>
        <v>0</v>
      </c>
      <c r="U370" s="1">
        <f t="shared" si="239"/>
        <v>0</v>
      </c>
      <c r="V370" s="1">
        <f t="shared" si="240"/>
        <v>0</v>
      </c>
      <c r="W370" s="1">
        <f t="shared" si="241"/>
        <v>0</v>
      </c>
      <c r="X370" s="1">
        <f t="shared" si="242"/>
        <v>0</v>
      </c>
      <c r="Y370" s="1">
        <f t="shared" si="243"/>
        <v>0</v>
      </c>
      <c r="Z370" s="1">
        <f t="shared" si="244"/>
        <v>1</v>
      </c>
      <c r="AA370" s="1">
        <f t="shared" si="245"/>
        <v>0</v>
      </c>
      <c r="AB370" s="1">
        <f t="shared" si="246"/>
        <v>0</v>
      </c>
      <c r="AD370" s="1">
        <f t="shared" si="255"/>
        <v>0</v>
      </c>
      <c r="AE370" s="1">
        <f t="shared" si="256"/>
        <v>1</v>
      </c>
      <c r="AF370" s="1">
        <f t="shared" si="257"/>
        <v>0</v>
      </c>
      <c r="AG370" s="1">
        <f t="shared" si="258"/>
        <v>1</v>
      </c>
      <c r="AH370" s="1">
        <f t="shared" si="259"/>
        <v>0</v>
      </c>
      <c r="AI370" s="1">
        <f t="shared" si="260"/>
        <v>1</v>
      </c>
    </row>
    <row r="371" spans="1:4094 4097:8191 8194:12288 12291:16384" ht="14.25" customHeight="1" x14ac:dyDescent="0.3">
      <c r="A371" s="44">
        <v>0</v>
      </c>
      <c r="B371" s="44">
        <v>2</v>
      </c>
      <c r="C371" s="44">
        <v>5</v>
      </c>
      <c r="D371" s="45" t="s">
        <v>832</v>
      </c>
      <c r="E371" s="45" t="s">
        <v>831</v>
      </c>
      <c r="F371" s="45" t="s">
        <v>924</v>
      </c>
      <c r="G371" s="45" t="s">
        <v>213</v>
      </c>
      <c r="H371" s="45" t="s">
        <v>354</v>
      </c>
      <c r="I371" s="44" t="s">
        <v>833</v>
      </c>
      <c r="J371" s="44">
        <v>1</v>
      </c>
      <c r="K371" s="46" t="s">
        <v>712</v>
      </c>
      <c r="L371" s="46" t="s">
        <v>693</v>
      </c>
      <c r="M371" s="47" t="s">
        <v>1424</v>
      </c>
      <c r="N371" s="47" t="s">
        <v>1735</v>
      </c>
      <c r="O371" s="48"/>
      <c r="P371" s="48"/>
      <c r="Q371" s="45"/>
      <c r="S371" s="1">
        <f t="shared" si="237"/>
        <v>1</v>
      </c>
      <c r="T371" s="1">
        <f t="shared" si="238"/>
        <v>0</v>
      </c>
      <c r="U371" s="1">
        <f t="shared" si="239"/>
        <v>0</v>
      </c>
      <c r="V371" s="1">
        <f t="shared" si="240"/>
        <v>0</v>
      </c>
      <c r="W371" s="1">
        <f t="shared" si="241"/>
        <v>0</v>
      </c>
      <c r="X371" s="1">
        <f t="shared" si="242"/>
        <v>0</v>
      </c>
      <c r="Y371" s="1">
        <f t="shared" si="243"/>
        <v>0</v>
      </c>
      <c r="Z371" s="1">
        <f t="shared" si="244"/>
        <v>0</v>
      </c>
      <c r="AA371" s="1">
        <f t="shared" si="245"/>
        <v>0</v>
      </c>
      <c r="AB371" s="1">
        <f t="shared" si="246"/>
        <v>0</v>
      </c>
      <c r="AD371" s="1">
        <f t="shared" si="255"/>
        <v>0</v>
      </c>
      <c r="AE371" s="1">
        <f t="shared" si="256"/>
        <v>0</v>
      </c>
      <c r="AF371" s="1">
        <f t="shared" si="257"/>
        <v>0</v>
      </c>
      <c r="AG371" s="1">
        <f t="shared" si="258"/>
        <v>0</v>
      </c>
      <c r="AH371" s="1">
        <f t="shared" si="259"/>
        <v>0</v>
      </c>
      <c r="AI371" s="1">
        <f t="shared" si="260"/>
        <v>1</v>
      </c>
    </row>
    <row r="372" spans="1:4094 4097:8191 8194:12288 12291:16384" ht="14.25" customHeight="1" x14ac:dyDescent="0.3">
      <c r="A372" s="31">
        <v>0</v>
      </c>
      <c r="B372" s="31">
        <v>2</v>
      </c>
      <c r="C372" s="31">
        <v>5</v>
      </c>
      <c r="D372" s="36" t="s">
        <v>2061</v>
      </c>
      <c r="E372" s="36" t="s">
        <v>170</v>
      </c>
      <c r="F372" s="36" t="s">
        <v>2062</v>
      </c>
      <c r="G372" s="36" t="s">
        <v>1534</v>
      </c>
      <c r="H372" s="36" t="s">
        <v>354</v>
      </c>
      <c r="I372" s="37" t="s">
        <v>2063</v>
      </c>
      <c r="J372" s="31">
        <v>5</v>
      </c>
      <c r="K372" s="33" t="s">
        <v>703</v>
      </c>
      <c r="L372" s="33"/>
      <c r="M372" s="34"/>
      <c r="N372" s="34" t="s">
        <v>1727</v>
      </c>
      <c r="O372" s="35">
        <v>1</v>
      </c>
      <c r="P372" s="35">
        <v>1</v>
      </c>
      <c r="Q372" s="36" t="s">
        <v>2064</v>
      </c>
      <c r="S372" s="1">
        <f t="shared" si="237"/>
        <v>0</v>
      </c>
      <c r="T372" s="1">
        <f t="shared" si="238"/>
        <v>0</v>
      </c>
      <c r="U372" s="1">
        <f t="shared" si="239"/>
        <v>0</v>
      </c>
      <c r="V372" s="1">
        <f t="shared" si="240"/>
        <v>0</v>
      </c>
      <c r="W372" s="1">
        <f t="shared" si="241"/>
        <v>1</v>
      </c>
      <c r="X372" s="1">
        <f t="shared" si="242"/>
        <v>0</v>
      </c>
      <c r="Y372" s="1">
        <f t="shared" si="243"/>
        <v>0</v>
      </c>
      <c r="Z372" s="1">
        <f t="shared" si="244"/>
        <v>0</v>
      </c>
      <c r="AA372" s="1">
        <f t="shared" si="245"/>
        <v>0</v>
      </c>
      <c r="AB372" s="1">
        <f t="shared" si="246"/>
        <v>0</v>
      </c>
      <c r="AD372" s="1">
        <f t="shared" si="255"/>
        <v>1</v>
      </c>
      <c r="AE372" s="1">
        <f t="shared" si="256"/>
        <v>0</v>
      </c>
      <c r="AF372" s="1">
        <f t="shared" si="257"/>
        <v>1</v>
      </c>
      <c r="AG372" s="1">
        <f t="shared" si="258"/>
        <v>0</v>
      </c>
      <c r="AH372" s="1">
        <f t="shared" si="259"/>
        <v>1</v>
      </c>
      <c r="AI372" s="1">
        <f t="shared" si="260"/>
        <v>0</v>
      </c>
    </row>
    <row r="373" spans="1:4094 4097:8191 8194:12288 12291:16384" ht="14.25" customHeight="1" x14ac:dyDescent="0.3">
      <c r="A373" s="31">
        <v>0</v>
      </c>
      <c r="B373" s="31">
        <v>2</v>
      </c>
      <c r="C373" s="31">
        <v>5</v>
      </c>
      <c r="D373" s="32" t="s">
        <v>65</v>
      </c>
      <c r="E373" s="32" t="s">
        <v>164</v>
      </c>
      <c r="F373" s="32" t="s">
        <v>547</v>
      </c>
      <c r="G373" s="32" t="s">
        <v>194</v>
      </c>
      <c r="H373" s="32" t="s">
        <v>354</v>
      </c>
      <c r="I373" s="31" t="s">
        <v>552</v>
      </c>
      <c r="J373" s="31">
        <v>9</v>
      </c>
      <c r="K373" s="33" t="s">
        <v>713</v>
      </c>
      <c r="L373" s="33" t="s">
        <v>687</v>
      </c>
      <c r="M373" s="34" t="s">
        <v>1443</v>
      </c>
      <c r="N373" s="34" t="s">
        <v>1761</v>
      </c>
      <c r="O373" s="35">
        <v>1</v>
      </c>
      <c r="P373" s="35"/>
      <c r="Q373" s="32"/>
      <c r="S373" s="1">
        <f t="shared" si="237"/>
        <v>0</v>
      </c>
      <c r="T373" s="1">
        <f t="shared" si="238"/>
        <v>0</v>
      </c>
      <c r="U373" s="1">
        <f t="shared" si="239"/>
        <v>0</v>
      </c>
      <c r="V373" s="1">
        <f t="shared" si="240"/>
        <v>0</v>
      </c>
      <c r="W373" s="1">
        <f t="shared" si="241"/>
        <v>0</v>
      </c>
      <c r="X373" s="1">
        <f t="shared" si="242"/>
        <v>0</v>
      </c>
      <c r="Y373" s="1">
        <f t="shared" si="243"/>
        <v>0</v>
      </c>
      <c r="Z373" s="1">
        <f t="shared" si="244"/>
        <v>0</v>
      </c>
      <c r="AA373" s="1">
        <f t="shared" si="245"/>
        <v>1</v>
      </c>
      <c r="AB373" s="1">
        <f t="shared" si="246"/>
        <v>0</v>
      </c>
      <c r="AD373" s="1">
        <f t="shared" si="247"/>
        <v>0</v>
      </c>
      <c r="AE373" s="1">
        <f t="shared" si="248"/>
        <v>1</v>
      </c>
      <c r="AF373" s="1">
        <f t="shared" si="233"/>
        <v>0</v>
      </c>
      <c r="AG373" s="1">
        <f t="shared" si="234"/>
        <v>1</v>
      </c>
      <c r="AH373" s="1">
        <f t="shared" si="235"/>
        <v>0</v>
      </c>
      <c r="AI373" s="1">
        <f t="shared" si="236"/>
        <v>1</v>
      </c>
    </row>
    <row r="374" spans="1:4094 4097:8191 8194:12288 12291:16384" ht="14.25" customHeight="1" x14ac:dyDescent="0.3">
      <c r="A374" s="44">
        <v>0</v>
      </c>
      <c r="B374" s="44">
        <v>2</v>
      </c>
      <c r="C374" s="44">
        <v>5</v>
      </c>
      <c r="D374" s="45" t="s">
        <v>1486</v>
      </c>
      <c r="E374" s="45" t="s">
        <v>35</v>
      </c>
      <c r="F374" s="65" t="s">
        <v>1873</v>
      </c>
      <c r="G374" s="45" t="s">
        <v>222</v>
      </c>
      <c r="H374" s="45" t="s">
        <v>354</v>
      </c>
      <c r="I374" s="44" t="s">
        <v>1686</v>
      </c>
      <c r="J374" s="44">
        <v>99</v>
      </c>
      <c r="K374" s="46" t="s">
        <v>713</v>
      </c>
      <c r="L374" s="46">
        <v>25</v>
      </c>
      <c r="M374" s="47" t="s">
        <v>39</v>
      </c>
      <c r="N374" s="47" t="s">
        <v>1737</v>
      </c>
      <c r="O374" s="48"/>
      <c r="P374" s="48"/>
      <c r="Q374" s="45"/>
      <c r="S374" s="1">
        <f t="shared" si="237"/>
        <v>0</v>
      </c>
      <c r="T374" s="1">
        <f t="shared" si="238"/>
        <v>0</v>
      </c>
      <c r="U374" s="1">
        <f t="shared" si="239"/>
        <v>0</v>
      </c>
      <c r="V374" s="1">
        <f t="shared" si="240"/>
        <v>0</v>
      </c>
      <c r="W374" s="1">
        <f t="shared" si="241"/>
        <v>0</v>
      </c>
      <c r="X374" s="1">
        <f t="shared" si="242"/>
        <v>0</v>
      </c>
      <c r="Y374" s="1">
        <f t="shared" si="243"/>
        <v>0</v>
      </c>
      <c r="Z374" s="1">
        <f t="shared" si="244"/>
        <v>0</v>
      </c>
      <c r="AA374" s="1">
        <f t="shared" si="245"/>
        <v>0</v>
      </c>
      <c r="AB374" s="1">
        <f t="shared" si="246"/>
        <v>0</v>
      </c>
      <c r="AD374" s="1">
        <f t="shared" si="247"/>
        <v>0</v>
      </c>
      <c r="AE374" s="1">
        <f t="shared" si="248"/>
        <v>0</v>
      </c>
      <c r="AF374" s="1">
        <f t="shared" si="233"/>
        <v>0</v>
      </c>
      <c r="AG374" s="1">
        <f t="shared" si="234"/>
        <v>0</v>
      </c>
      <c r="AH374" s="1">
        <f t="shared" si="235"/>
        <v>0</v>
      </c>
      <c r="AI374" s="1">
        <f t="shared" si="236"/>
        <v>1</v>
      </c>
    </row>
    <row r="375" spans="1:4094 4097:8191 8194:12288 12291:16384" ht="14.25" customHeight="1" x14ac:dyDescent="0.3">
      <c r="A375" s="31">
        <v>0</v>
      </c>
      <c r="B375" s="31">
        <v>2</v>
      </c>
      <c r="C375" s="31">
        <v>5</v>
      </c>
      <c r="D375" s="32" t="s">
        <v>1819</v>
      </c>
      <c r="E375" s="32" t="s">
        <v>772</v>
      </c>
      <c r="F375" s="32" t="s">
        <v>1820</v>
      </c>
      <c r="G375" s="32" t="s">
        <v>224</v>
      </c>
      <c r="H375" s="32" t="s">
        <v>354</v>
      </c>
      <c r="I375" s="31" t="s">
        <v>1821</v>
      </c>
      <c r="J375" s="31">
        <v>99</v>
      </c>
      <c r="K375" s="33" t="s">
        <v>1822</v>
      </c>
      <c r="L375" s="33">
        <v>40</v>
      </c>
      <c r="M375" s="34" t="s">
        <v>1823</v>
      </c>
      <c r="N375" s="34" t="s">
        <v>1849</v>
      </c>
      <c r="O375" s="35">
        <v>1</v>
      </c>
      <c r="P375" s="35"/>
      <c r="Q375" s="32"/>
      <c r="S375" s="1">
        <f t="shared" si="237"/>
        <v>0</v>
      </c>
      <c r="T375" s="1">
        <f t="shared" si="238"/>
        <v>0</v>
      </c>
      <c r="U375" s="1">
        <f t="shared" si="239"/>
        <v>0</v>
      </c>
      <c r="V375" s="1">
        <f t="shared" si="240"/>
        <v>0</v>
      </c>
      <c r="W375" s="1">
        <f t="shared" si="241"/>
        <v>0</v>
      </c>
      <c r="X375" s="1">
        <f t="shared" si="242"/>
        <v>0</v>
      </c>
      <c r="Y375" s="1">
        <f t="shared" si="243"/>
        <v>0</v>
      </c>
      <c r="Z375" s="1">
        <f t="shared" si="244"/>
        <v>0</v>
      </c>
      <c r="AA375" s="1">
        <f t="shared" si="245"/>
        <v>0</v>
      </c>
      <c r="AB375" s="1">
        <f t="shared" si="246"/>
        <v>0</v>
      </c>
      <c r="AD375" s="1">
        <f t="shared" si="247"/>
        <v>0</v>
      </c>
      <c r="AE375" s="1">
        <f t="shared" si="248"/>
        <v>1</v>
      </c>
      <c r="AF375" s="1">
        <f t="shared" si="233"/>
        <v>0</v>
      </c>
      <c r="AG375" s="1">
        <f t="shared" si="234"/>
        <v>1</v>
      </c>
      <c r="AH375" s="1">
        <f t="shared" si="235"/>
        <v>0</v>
      </c>
      <c r="AI375" s="1">
        <f t="shared" si="236"/>
        <v>1</v>
      </c>
    </row>
    <row r="376" spans="1:4094 4097:8191 8194:12288 12291:16384" ht="14.25" customHeight="1" x14ac:dyDescent="0.3">
      <c r="A376" s="31">
        <v>0</v>
      </c>
      <c r="B376" s="31">
        <v>2</v>
      </c>
      <c r="C376" s="31">
        <v>5</v>
      </c>
      <c r="D376" s="32" t="s">
        <v>616</v>
      </c>
      <c r="E376" s="32" t="s">
        <v>686</v>
      </c>
      <c r="F376" s="32" t="s">
        <v>617</v>
      </c>
      <c r="G376" s="32" t="s">
        <v>287</v>
      </c>
      <c r="H376" s="32" t="s">
        <v>354</v>
      </c>
      <c r="I376" s="31" t="s">
        <v>618</v>
      </c>
      <c r="J376" s="31">
        <v>99</v>
      </c>
      <c r="K376" s="33" t="s">
        <v>712</v>
      </c>
      <c r="L376" s="33" t="s">
        <v>704</v>
      </c>
      <c r="M376" s="34" t="s">
        <v>1425</v>
      </c>
      <c r="N376" s="34" t="s">
        <v>1743</v>
      </c>
      <c r="O376" s="35">
        <v>1</v>
      </c>
      <c r="P376" s="35"/>
      <c r="Q376" s="32"/>
      <c r="S376" s="1">
        <f t="shared" si="237"/>
        <v>0</v>
      </c>
      <c r="T376" s="1">
        <f t="shared" si="238"/>
        <v>0</v>
      </c>
      <c r="U376" s="1">
        <f t="shared" si="239"/>
        <v>0</v>
      </c>
      <c r="V376" s="1">
        <f t="shared" si="240"/>
        <v>0</v>
      </c>
      <c r="W376" s="1">
        <f t="shared" si="241"/>
        <v>0</v>
      </c>
      <c r="X376" s="1">
        <f t="shared" si="242"/>
        <v>0</v>
      </c>
      <c r="Y376" s="1">
        <f t="shared" si="243"/>
        <v>0</v>
      </c>
      <c r="Z376" s="1">
        <f t="shared" si="244"/>
        <v>0</v>
      </c>
      <c r="AA376" s="1">
        <f t="shared" si="245"/>
        <v>0</v>
      </c>
      <c r="AB376" s="1">
        <f t="shared" si="246"/>
        <v>0</v>
      </c>
      <c r="AD376" s="1">
        <f t="shared" si="247"/>
        <v>0</v>
      </c>
      <c r="AE376" s="1">
        <f t="shared" si="248"/>
        <v>1</v>
      </c>
      <c r="AF376" s="1">
        <f t="shared" si="233"/>
        <v>0</v>
      </c>
      <c r="AG376" s="1">
        <f t="shared" si="234"/>
        <v>1</v>
      </c>
      <c r="AH376" s="1">
        <f t="shared" si="235"/>
        <v>0</v>
      </c>
      <c r="AI376" s="1">
        <f t="shared" si="236"/>
        <v>1</v>
      </c>
    </row>
    <row r="377" spans="1:4094 4097:8191 8194:12288 12291:16384" ht="14.25" customHeight="1" x14ac:dyDescent="0.3">
      <c r="A377" s="44">
        <v>0</v>
      </c>
      <c r="B377" s="44">
        <v>2</v>
      </c>
      <c r="C377" s="44">
        <v>5</v>
      </c>
      <c r="D377" s="45" t="s">
        <v>1488</v>
      </c>
      <c r="E377" s="45" t="s">
        <v>772</v>
      </c>
      <c r="F377" s="45" t="s">
        <v>1489</v>
      </c>
      <c r="G377" s="45" t="s">
        <v>196</v>
      </c>
      <c r="H377" s="45" t="s">
        <v>354</v>
      </c>
      <c r="I377" s="44" t="s">
        <v>1490</v>
      </c>
      <c r="J377" s="44">
        <v>99</v>
      </c>
      <c r="K377" s="46" t="s">
        <v>954</v>
      </c>
      <c r="L377" s="46" t="s">
        <v>693</v>
      </c>
      <c r="M377" s="47" t="s">
        <v>1416</v>
      </c>
      <c r="N377" s="47" t="s">
        <v>1735</v>
      </c>
      <c r="O377" s="48"/>
      <c r="P377" s="48"/>
      <c r="Q377" s="45"/>
      <c r="R377" s="15"/>
      <c r="S377" s="15">
        <f t="shared" si="237"/>
        <v>0</v>
      </c>
      <c r="T377" s="15">
        <f t="shared" si="238"/>
        <v>0</v>
      </c>
      <c r="U377" s="15">
        <f t="shared" si="239"/>
        <v>0</v>
      </c>
      <c r="V377" s="15">
        <f t="shared" si="240"/>
        <v>0</v>
      </c>
      <c r="W377" s="15">
        <f t="shared" si="241"/>
        <v>0</v>
      </c>
      <c r="X377" s="15">
        <f t="shared" si="242"/>
        <v>0</v>
      </c>
      <c r="Y377" s="15">
        <f t="shared" si="243"/>
        <v>0</v>
      </c>
      <c r="Z377" s="15">
        <f t="shared" si="244"/>
        <v>0</v>
      </c>
      <c r="AA377" s="15">
        <f t="shared" si="245"/>
        <v>0</v>
      </c>
      <c r="AB377" s="10">
        <f t="shared" si="246"/>
        <v>0</v>
      </c>
      <c r="AC377" s="10"/>
      <c r="AD377" s="21">
        <f t="shared" si="247"/>
        <v>0</v>
      </c>
      <c r="AE377" s="21">
        <f t="shared" si="248"/>
        <v>0</v>
      </c>
      <c r="AF377" s="1">
        <f t="shared" si="233"/>
        <v>0</v>
      </c>
      <c r="AG377" s="1">
        <f t="shared" si="234"/>
        <v>0</v>
      </c>
      <c r="AH377" s="21">
        <f t="shared" si="235"/>
        <v>0</v>
      </c>
      <c r="AI377" s="15">
        <f t="shared" si="236"/>
        <v>1</v>
      </c>
      <c r="AJ377" s="15"/>
      <c r="AK377" s="15"/>
      <c r="AL377" s="15"/>
      <c r="AM377" s="15"/>
      <c r="AN377" s="15"/>
      <c r="AO377" s="15"/>
      <c r="AP377" s="15"/>
      <c r="AQ377" s="15"/>
      <c r="AR377" s="15"/>
      <c r="AS377" s="10"/>
      <c r="AT377" s="10"/>
      <c r="AU377" s="21"/>
      <c r="AV377" s="21"/>
      <c r="AY377" s="21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0"/>
      <c r="BK377" s="10"/>
      <c r="BL377" s="21"/>
      <c r="BM377" s="21"/>
      <c r="BP377" s="21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0"/>
      <c r="CB377" s="10"/>
      <c r="CC377" s="21"/>
      <c r="CD377" s="21"/>
      <c r="CG377" s="21"/>
      <c r="CH377" s="15"/>
      <c r="CI377" s="15"/>
      <c r="CJ377" s="15"/>
      <c r="CK377" s="15"/>
      <c r="CL377" s="15"/>
      <c r="CM377" s="15"/>
      <c r="CN377" s="15"/>
      <c r="CO377" s="15"/>
      <c r="CP377" s="15"/>
      <c r="CQ377" s="15"/>
      <c r="CR377" s="10"/>
      <c r="CS377" s="10"/>
      <c r="CT377" s="21"/>
      <c r="CU377" s="21"/>
      <c r="CX377" s="21"/>
      <c r="CY377" s="15"/>
      <c r="CZ377" s="15"/>
      <c r="DA377" s="15"/>
      <c r="DB377" s="15"/>
      <c r="DC377" s="15"/>
      <c r="DD377" s="15"/>
      <c r="DE377" s="15"/>
      <c r="DF377" s="15"/>
      <c r="DG377" s="15"/>
      <c r="DH377" s="15"/>
      <c r="DI377" s="10"/>
      <c r="DJ377" s="10"/>
      <c r="DK377" s="21"/>
      <c r="DL377" s="21"/>
      <c r="DO377" s="21"/>
      <c r="DP377" s="15"/>
      <c r="DQ377" s="15"/>
      <c r="DR377" s="15"/>
      <c r="DS377" s="15"/>
      <c r="DT377" s="15"/>
      <c r="DU377" s="15"/>
      <c r="DV377" s="15"/>
      <c r="DW377" s="15"/>
      <c r="DX377" s="15"/>
      <c r="DY377" s="15"/>
      <c r="DZ377" s="10"/>
      <c r="EA377" s="10"/>
      <c r="EB377" s="21"/>
      <c r="EC377" s="21"/>
      <c r="EF377" s="21"/>
      <c r="EG377" s="15"/>
      <c r="EH377" s="15"/>
      <c r="EI377" s="15"/>
      <c r="EJ377" s="15"/>
      <c r="EK377" s="15"/>
      <c r="EL377" s="15"/>
      <c r="EM377" s="15"/>
      <c r="EN377" s="15"/>
      <c r="EO377" s="15"/>
      <c r="EP377" s="15"/>
      <c r="EQ377" s="10"/>
      <c r="ER377" s="10"/>
      <c r="ES377" s="21"/>
      <c r="ET377" s="21"/>
      <c r="EW377" s="21"/>
      <c r="EX377" s="15"/>
      <c r="EY377" s="15"/>
      <c r="EZ377" s="15"/>
      <c r="FA377" s="15"/>
      <c r="FB377" s="15"/>
      <c r="FC377" s="15"/>
      <c r="FD377" s="15"/>
      <c r="FE377" s="15"/>
      <c r="FF377" s="15"/>
      <c r="FG377" s="15"/>
      <c r="FH377" s="10"/>
      <c r="FI377" s="10"/>
      <c r="FJ377" s="21"/>
      <c r="FK377" s="21"/>
      <c r="FN377" s="21"/>
      <c r="FO377" s="15"/>
      <c r="FP377" s="15"/>
      <c r="FQ377" s="15"/>
      <c r="FR377" s="15"/>
      <c r="FS377" s="15"/>
      <c r="FT377" s="15"/>
      <c r="FU377" s="15"/>
      <c r="FV377" s="15"/>
      <c r="FW377" s="15"/>
      <c r="FX377" s="15"/>
      <c r="FY377" s="10"/>
      <c r="FZ377" s="10"/>
      <c r="GA377" s="21"/>
      <c r="GB377" s="21"/>
      <c r="GE377" s="21"/>
      <c r="GF377" s="15"/>
      <c r="GG377" s="15"/>
      <c r="GH377" s="15"/>
      <c r="GI377" s="15"/>
      <c r="GJ377" s="15"/>
      <c r="GK377" s="15"/>
      <c r="GL377" s="15"/>
      <c r="GM377" s="15"/>
      <c r="GN377" s="15"/>
      <c r="GO377" s="15"/>
      <c r="GP377" s="10"/>
      <c r="GQ377" s="10"/>
      <c r="GR377" s="21"/>
      <c r="GS377" s="21"/>
      <c r="GV377" s="21"/>
      <c r="GW377" s="15"/>
      <c r="GX377" s="15"/>
      <c r="GY377" s="15"/>
      <c r="GZ377" s="15"/>
      <c r="HA377" s="15"/>
      <c r="HB377" s="15"/>
      <c r="HC377" s="15"/>
      <c r="HD377" s="15"/>
      <c r="HE377" s="15"/>
      <c r="HF377" s="15"/>
      <c r="HG377" s="10"/>
      <c r="HH377" s="10"/>
      <c r="HI377" s="21"/>
      <c r="HJ377" s="21"/>
      <c r="HM377" s="21"/>
      <c r="HN377" s="15"/>
      <c r="HO377" s="15"/>
      <c r="HP377" s="15"/>
      <c r="HQ377" s="15"/>
      <c r="HR377" s="15"/>
      <c r="HS377" s="15"/>
      <c r="HT377" s="15"/>
      <c r="HU377" s="15"/>
      <c r="HV377" s="15"/>
      <c r="HW377" s="15"/>
      <c r="HX377" s="10"/>
      <c r="HY377" s="10"/>
      <c r="HZ377" s="21"/>
      <c r="IA377" s="21"/>
      <c r="ID377" s="21"/>
      <c r="IE377" s="15"/>
      <c r="IF377" s="15"/>
      <c r="IG377" s="15"/>
      <c r="IH377" s="15"/>
      <c r="II377" s="15"/>
      <c r="IJ377" s="15"/>
      <c r="IK377" s="15"/>
      <c r="IL377" s="15"/>
      <c r="IM377" s="15"/>
      <c r="IN377" s="15"/>
      <c r="IO377" s="10"/>
      <c r="IP377" s="10"/>
      <c r="IQ377" s="21"/>
      <c r="IR377" s="21"/>
      <c r="IU377" s="21"/>
      <c r="IV377" s="15"/>
      <c r="IW377" s="15"/>
      <c r="IX377" s="15"/>
      <c r="IY377" s="15"/>
      <c r="IZ377" s="15"/>
      <c r="JA377" s="15"/>
      <c r="JB377" s="15"/>
      <c r="JC377" s="15"/>
      <c r="JD377" s="15"/>
      <c r="JE377" s="15"/>
      <c r="JF377" s="10"/>
      <c r="JG377" s="10"/>
      <c r="JH377" s="21"/>
      <c r="JI377" s="21"/>
      <c r="JL377" s="21"/>
      <c r="JM377" s="15"/>
      <c r="JN377" s="15"/>
      <c r="JO377" s="15"/>
      <c r="JP377" s="15"/>
      <c r="JQ377" s="15"/>
      <c r="JR377" s="15"/>
      <c r="JS377" s="15"/>
      <c r="JT377" s="15"/>
      <c r="JU377" s="15"/>
      <c r="JV377" s="15"/>
      <c r="JW377" s="10"/>
      <c r="JX377" s="10"/>
      <c r="JY377" s="21"/>
      <c r="JZ377" s="21"/>
      <c r="KC377" s="21"/>
      <c r="KD377" s="15"/>
      <c r="KE377" s="15"/>
      <c r="KF377" s="15"/>
      <c r="KG377" s="15"/>
      <c r="KH377" s="15"/>
      <c r="KI377" s="15"/>
      <c r="KJ377" s="15"/>
      <c r="KK377" s="15"/>
      <c r="KL377" s="15"/>
      <c r="KM377" s="15"/>
      <c r="KN377" s="10"/>
      <c r="KO377" s="10"/>
      <c r="KP377" s="21"/>
      <c r="KQ377" s="21"/>
      <c r="KT377" s="21"/>
      <c r="KU377" s="15"/>
      <c r="KV377" s="15"/>
      <c r="KW377" s="15"/>
      <c r="KX377" s="15"/>
      <c r="KY377" s="15"/>
      <c r="KZ377" s="15"/>
      <c r="LA377" s="15"/>
      <c r="LB377" s="15"/>
      <c r="LC377" s="15"/>
      <c r="LD377" s="15"/>
      <c r="LE377" s="10"/>
      <c r="LF377" s="10"/>
      <c r="LG377" s="21"/>
      <c r="LH377" s="21"/>
      <c r="LK377" s="21"/>
      <c r="LL377" s="15"/>
      <c r="LM377" s="15"/>
      <c r="LN377" s="15"/>
      <c r="LO377" s="15"/>
      <c r="LP377" s="15"/>
      <c r="LQ377" s="15"/>
      <c r="LR377" s="15"/>
      <c r="LS377" s="15"/>
      <c r="LT377" s="15"/>
      <c r="LU377" s="15"/>
      <c r="LV377" s="10"/>
      <c r="LW377" s="10"/>
      <c r="LX377" s="21"/>
      <c r="LY377" s="21"/>
      <c r="MB377" s="21"/>
      <c r="MC377" s="15"/>
      <c r="MD377" s="15"/>
      <c r="ME377" s="15"/>
      <c r="MF377" s="15"/>
      <c r="MG377" s="15"/>
      <c r="MH377" s="15"/>
      <c r="MI377" s="15"/>
      <c r="MJ377" s="15"/>
      <c r="MK377" s="15"/>
      <c r="ML377" s="15"/>
      <c r="MM377" s="10"/>
      <c r="MN377" s="10"/>
      <c r="MO377" s="21"/>
      <c r="MP377" s="21"/>
      <c r="MS377" s="21"/>
      <c r="MT377" s="15"/>
      <c r="MU377" s="15"/>
      <c r="MV377" s="15"/>
      <c r="MW377" s="15"/>
      <c r="MX377" s="15"/>
      <c r="MY377" s="15"/>
      <c r="MZ377" s="15"/>
      <c r="NA377" s="15"/>
      <c r="NB377" s="15"/>
      <c r="NC377" s="15"/>
      <c r="ND377" s="10"/>
      <c r="NE377" s="10"/>
      <c r="NF377" s="21"/>
      <c r="NG377" s="21"/>
      <c r="NJ377" s="21"/>
      <c r="NK377" s="15"/>
      <c r="NL377" s="15"/>
      <c r="NM377" s="15"/>
      <c r="NN377" s="15"/>
      <c r="NO377" s="15"/>
      <c r="NP377" s="15"/>
      <c r="NQ377" s="15"/>
      <c r="NR377" s="15"/>
      <c r="NS377" s="15"/>
      <c r="NT377" s="15"/>
      <c r="NU377" s="10"/>
      <c r="NV377" s="10"/>
      <c r="NW377" s="21"/>
      <c r="NX377" s="21"/>
      <c r="OA377" s="21"/>
      <c r="OB377" s="15"/>
      <c r="OC377" s="15"/>
      <c r="OD377" s="15"/>
      <c r="OE377" s="15"/>
      <c r="OF377" s="15"/>
      <c r="OG377" s="15"/>
      <c r="OH377" s="15"/>
      <c r="OI377" s="15"/>
      <c r="OJ377" s="15"/>
      <c r="OK377" s="15"/>
      <c r="OL377" s="10"/>
      <c r="OM377" s="10"/>
      <c r="ON377" s="21"/>
      <c r="OO377" s="21"/>
      <c r="OR377" s="21"/>
      <c r="OS377" s="15"/>
      <c r="OT377" s="15"/>
      <c r="OU377" s="15"/>
      <c r="OV377" s="15"/>
      <c r="OW377" s="15"/>
      <c r="OX377" s="15"/>
      <c r="OY377" s="15"/>
      <c r="OZ377" s="15"/>
      <c r="PA377" s="15"/>
      <c r="PB377" s="15"/>
      <c r="PC377" s="10"/>
      <c r="PD377" s="10"/>
      <c r="PE377" s="21"/>
      <c r="PF377" s="21"/>
      <c r="PI377" s="21"/>
      <c r="PJ377" s="15"/>
      <c r="PK377" s="15"/>
      <c r="PL377" s="15"/>
      <c r="PM377" s="15"/>
      <c r="PN377" s="15"/>
      <c r="PO377" s="15"/>
      <c r="PP377" s="15"/>
      <c r="PQ377" s="15"/>
      <c r="PR377" s="15"/>
      <c r="PS377" s="15"/>
      <c r="PT377" s="10"/>
      <c r="PU377" s="10"/>
      <c r="PV377" s="21"/>
      <c r="PW377" s="21"/>
      <c r="PZ377" s="21"/>
      <c r="QA377" s="15"/>
      <c r="QB377" s="15"/>
      <c r="QC377" s="15"/>
      <c r="QD377" s="15"/>
      <c r="QE377" s="15"/>
      <c r="QF377" s="15"/>
      <c r="QG377" s="15"/>
      <c r="QH377" s="15"/>
      <c r="QI377" s="15"/>
      <c r="QJ377" s="15"/>
      <c r="QK377" s="10"/>
      <c r="QL377" s="10"/>
      <c r="QM377" s="21"/>
      <c r="QN377" s="21"/>
      <c r="QQ377" s="21"/>
      <c r="QR377" s="15"/>
      <c r="QS377" s="15"/>
      <c r="QT377" s="15"/>
      <c r="QU377" s="15"/>
      <c r="QV377" s="15"/>
      <c r="QW377" s="15"/>
      <c r="QX377" s="15"/>
      <c r="QY377" s="15"/>
      <c r="QZ377" s="15"/>
      <c r="RA377" s="15"/>
      <c r="RB377" s="10"/>
      <c r="RC377" s="10"/>
      <c r="RD377" s="21"/>
      <c r="RE377" s="21"/>
      <c r="RH377" s="21"/>
      <c r="RI377" s="15"/>
      <c r="RJ377" s="15"/>
      <c r="RK377" s="15"/>
      <c r="RL377" s="15"/>
      <c r="RM377" s="15"/>
      <c r="RN377" s="15"/>
      <c r="RO377" s="15"/>
      <c r="RP377" s="15"/>
      <c r="RQ377" s="15"/>
      <c r="RR377" s="15"/>
      <c r="RS377" s="10"/>
      <c r="RT377" s="10"/>
      <c r="RU377" s="21"/>
      <c r="RV377" s="21"/>
      <c r="RY377" s="21"/>
      <c r="RZ377" s="15"/>
      <c r="SA377" s="15"/>
      <c r="SB377" s="15"/>
      <c r="SC377" s="15"/>
      <c r="SD377" s="15"/>
      <c r="SE377" s="15"/>
      <c r="SF377" s="15"/>
      <c r="SG377" s="15"/>
      <c r="SH377" s="15"/>
      <c r="SI377" s="15"/>
      <c r="SJ377" s="10"/>
      <c r="SK377" s="10"/>
      <c r="SL377" s="21"/>
      <c r="SM377" s="21"/>
      <c r="SP377" s="21"/>
      <c r="SQ377" s="15"/>
      <c r="SR377" s="15"/>
      <c r="SS377" s="15"/>
      <c r="ST377" s="15"/>
      <c r="SU377" s="15"/>
      <c r="SV377" s="15"/>
      <c r="SW377" s="15"/>
      <c r="SX377" s="15"/>
      <c r="SY377" s="15"/>
      <c r="SZ377" s="15"/>
      <c r="TA377" s="10"/>
      <c r="TB377" s="10"/>
      <c r="TC377" s="21"/>
      <c r="TD377" s="21"/>
      <c r="TG377" s="21"/>
      <c r="TH377" s="15"/>
      <c r="TI377" s="15"/>
      <c r="TJ377" s="15"/>
      <c r="TK377" s="15"/>
      <c r="TL377" s="15"/>
      <c r="TM377" s="15"/>
      <c r="TN377" s="15"/>
      <c r="TO377" s="15"/>
      <c r="TP377" s="15"/>
      <c r="TQ377" s="15"/>
      <c r="TR377" s="10"/>
      <c r="TS377" s="10"/>
      <c r="TT377" s="21"/>
      <c r="TU377" s="21"/>
      <c r="TX377" s="21"/>
      <c r="TY377" s="15"/>
      <c r="TZ377" s="15"/>
      <c r="UA377" s="15"/>
      <c r="UB377" s="15"/>
      <c r="UC377" s="15"/>
      <c r="UD377" s="15"/>
      <c r="UE377" s="15"/>
      <c r="UF377" s="15"/>
      <c r="UG377" s="15"/>
      <c r="UH377" s="15"/>
      <c r="UI377" s="10"/>
      <c r="UJ377" s="10"/>
      <c r="UK377" s="21"/>
      <c r="UL377" s="21"/>
      <c r="UO377" s="21"/>
      <c r="UP377" s="15"/>
      <c r="UQ377" s="15"/>
      <c r="UR377" s="15"/>
      <c r="US377" s="15"/>
      <c r="UT377" s="15"/>
      <c r="UU377" s="15"/>
      <c r="UV377" s="15"/>
      <c r="UW377" s="15"/>
      <c r="UX377" s="15"/>
      <c r="UY377" s="15"/>
      <c r="UZ377" s="10"/>
      <c r="VA377" s="10"/>
      <c r="VB377" s="21"/>
      <c r="VC377" s="21"/>
      <c r="VF377" s="21"/>
      <c r="VG377" s="15"/>
      <c r="VH377" s="15"/>
      <c r="VI377" s="15"/>
      <c r="VJ377" s="15"/>
      <c r="VK377" s="15"/>
      <c r="VL377" s="15"/>
      <c r="VM377" s="15"/>
      <c r="VN377" s="15"/>
      <c r="VO377" s="15"/>
      <c r="VP377" s="15"/>
      <c r="VQ377" s="10"/>
      <c r="VR377" s="10"/>
      <c r="VS377" s="21"/>
      <c r="VT377" s="21"/>
      <c r="VW377" s="21"/>
      <c r="VX377" s="15"/>
      <c r="VY377" s="15"/>
      <c r="VZ377" s="15"/>
      <c r="WA377" s="15"/>
      <c r="WB377" s="15"/>
      <c r="WC377" s="15"/>
      <c r="WD377" s="15"/>
      <c r="WE377" s="15"/>
      <c r="WF377" s="15"/>
      <c r="WG377" s="15"/>
      <c r="WH377" s="10"/>
      <c r="WI377" s="10"/>
      <c r="WJ377" s="21"/>
      <c r="WK377" s="21"/>
      <c r="WN377" s="21"/>
      <c r="WO377" s="15"/>
      <c r="WP377" s="15"/>
      <c r="WQ377" s="15"/>
      <c r="WR377" s="15"/>
      <c r="WS377" s="15"/>
      <c r="WT377" s="15"/>
      <c r="WU377" s="15"/>
      <c r="WV377" s="15"/>
      <c r="WW377" s="15"/>
      <c r="WX377" s="15"/>
      <c r="WY377" s="10"/>
      <c r="WZ377" s="10"/>
      <c r="XA377" s="21"/>
      <c r="XB377" s="21"/>
      <c r="XE377" s="21"/>
      <c r="XF377" s="15"/>
      <c r="XG377" s="15"/>
      <c r="XH377" s="15"/>
      <c r="XI377" s="15"/>
      <c r="XJ377" s="15"/>
      <c r="XK377" s="15"/>
      <c r="XL377" s="15"/>
      <c r="XM377" s="15"/>
      <c r="XN377" s="15"/>
      <c r="XO377" s="15"/>
      <c r="XP377" s="10"/>
      <c r="XQ377" s="10"/>
      <c r="XR377" s="21"/>
      <c r="XS377" s="21"/>
      <c r="XV377" s="21"/>
      <c r="XW377" s="15"/>
      <c r="XX377" s="15"/>
      <c r="XY377" s="15"/>
      <c r="XZ377" s="15"/>
      <c r="YA377" s="15"/>
      <c r="YB377" s="15"/>
      <c r="YC377" s="15"/>
      <c r="YD377" s="15"/>
      <c r="YE377" s="15"/>
      <c r="YF377" s="15"/>
      <c r="YG377" s="10"/>
      <c r="YH377" s="10"/>
      <c r="YI377" s="21"/>
      <c r="YJ377" s="21"/>
      <c r="YM377" s="21"/>
      <c r="YN377" s="15"/>
      <c r="YO377" s="15"/>
      <c r="YP377" s="15"/>
      <c r="YQ377" s="15"/>
      <c r="YR377" s="15"/>
      <c r="YS377" s="15"/>
      <c r="YT377" s="15"/>
      <c r="YU377" s="15"/>
      <c r="YV377" s="15"/>
      <c r="YW377" s="15"/>
      <c r="YX377" s="10"/>
      <c r="YY377" s="10"/>
      <c r="YZ377" s="21"/>
      <c r="ZA377" s="21"/>
      <c r="ZD377" s="21"/>
      <c r="ZE377" s="15"/>
      <c r="ZF377" s="15"/>
      <c r="ZG377" s="15"/>
      <c r="ZH377" s="15"/>
      <c r="ZI377" s="15"/>
      <c r="ZJ377" s="15"/>
      <c r="ZK377" s="15"/>
      <c r="ZL377" s="15"/>
      <c r="ZM377" s="15"/>
      <c r="ZN377" s="15"/>
      <c r="ZO377" s="10"/>
      <c r="ZP377" s="10"/>
      <c r="ZQ377" s="21"/>
      <c r="ZR377" s="21"/>
      <c r="ZU377" s="21"/>
      <c r="ZV377" s="15"/>
      <c r="ZW377" s="15"/>
      <c r="ZX377" s="15"/>
      <c r="ZY377" s="15"/>
      <c r="ZZ377" s="15"/>
      <c r="AAA377" s="15"/>
      <c r="AAB377" s="15"/>
      <c r="AAC377" s="15"/>
      <c r="AAD377" s="15"/>
      <c r="AAE377" s="15"/>
      <c r="AAF377" s="10"/>
      <c r="AAG377" s="10"/>
      <c r="AAH377" s="21"/>
      <c r="AAI377" s="21"/>
      <c r="AAL377" s="21"/>
      <c r="AAM377" s="15"/>
      <c r="AAN377" s="15"/>
      <c r="AAO377" s="15"/>
      <c r="AAP377" s="15"/>
      <c r="AAQ377" s="15"/>
      <c r="AAR377" s="15"/>
      <c r="AAS377" s="15"/>
      <c r="AAT377" s="15"/>
      <c r="AAU377" s="15"/>
      <c r="AAV377" s="15"/>
      <c r="AAW377" s="10"/>
      <c r="AAX377" s="10"/>
      <c r="AAY377" s="21"/>
      <c r="AAZ377" s="21"/>
      <c r="ABC377" s="21"/>
      <c r="ABD377" s="15"/>
      <c r="ABE377" s="15"/>
      <c r="ABF377" s="15"/>
      <c r="ABG377" s="15"/>
      <c r="ABH377" s="15"/>
      <c r="ABI377" s="15"/>
      <c r="ABJ377" s="15"/>
      <c r="ABK377" s="15"/>
      <c r="ABL377" s="15"/>
      <c r="ABM377" s="15"/>
      <c r="ABN377" s="10"/>
      <c r="ABO377" s="10"/>
      <c r="ABP377" s="21"/>
      <c r="ABQ377" s="21"/>
      <c r="ABT377" s="21"/>
      <c r="ABU377" s="15"/>
      <c r="ABV377" s="15"/>
      <c r="ABW377" s="15"/>
      <c r="ABX377" s="15"/>
      <c r="ABY377" s="15"/>
      <c r="ABZ377" s="15"/>
      <c r="ACA377" s="15"/>
      <c r="ACB377" s="15"/>
      <c r="ACC377" s="15"/>
      <c r="ACD377" s="15"/>
      <c r="ACE377" s="10"/>
      <c r="ACF377" s="10"/>
      <c r="ACG377" s="21"/>
      <c r="ACH377" s="21"/>
      <c r="ACK377" s="21"/>
      <c r="ACL377" s="15"/>
      <c r="ACM377" s="15"/>
      <c r="ACN377" s="15"/>
      <c r="ACO377" s="15"/>
      <c r="ACP377" s="15"/>
      <c r="ACQ377" s="15"/>
      <c r="ACR377" s="15"/>
      <c r="ACS377" s="15"/>
      <c r="ACT377" s="15"/>
      <c r="ACU377" s="15"/>
      <c r="ACV377" s="10"/>
      <c r="ACW377" s="10"/>
      <c r="ACX377" s="21"/>
      <c r="ACY377" s="21"/>
      <c r="ADB377" s="21"/>
      <c r="ADC377" s="15"/>
      <c r="ADD377" s="15"/>
      <c r="ADE377" s="15"/>
      <c r="ADF377" s="15"/>
      <c r="ADG377" s="15"/>
      <c r="ADH377" s="15"/>
      <c r="ADI377" s="15"/>
      <c r="ADJ377" s="15"/>
      <c r="ADK377" s="15"/>
      <c r="ADL377" s="15"/>
      <c r="ADM377" s="10"/>
      <c r="ADN377" s="10"/>
      <c r="ADO377" s="21"/>
      <c r="ADP377" s="21"/>
      <c r="ADS377" s="21"/>
      <c r="ADT377" s="15"/>
      <c r="ADU377" s="15"/>
      <c r="ADV377" s="15"/>
      <c r="ADW377" s="15"/>
      <c r="ADX377" s="15"/>
      <c r="ADY377" s="15"/>
      <c r="ADZ377" s="15"/>
      <c r="AEA377" s="15"/>
      <c r="AEB377" s="15"/>
      <c r="AEC377" s="15"/>
      <c r="AED377" s="10"/>
      <c r="AEE377" s="10"/>
      <c r="AEF377" s="21"/>
      <c r="AEG377" s="21"/>
      <c r="AEJ377" s="21"/>
      <c r="AEK377" s="15"/>
      <c r="AEL377" s="15"/>
      <c r="AEM377" s="15"/>
      <c r="AEN377" s="15"/>
      <c r="AEO377" s="15"/>
      <c r="AEP377" s="15"/>
      <c r="AEQ377" s="15"/>
      <c r="AER377" s="15"/>
      <c r="AES377" s="15"/>
      <c r="AET377" s="15"/>
      <c r="AEU377" s="10"/>
      <c r="AEV377" s="10"/>
      <c r="AEW377" s="21"/>
      <c r="AEX377" s="21"/>
      <c r="AFA377" s="21"/>
      <c r="AFB377" s="15"/>
      <c r="AFC377" s="15"/>
      <c r="AFD377" s="15"/>
      <c r="AFE377" s="15"/>
      <c r="AFF377" s="15"/>
      <c r="AFG377" s="15"/>
      <c r="AFH377" s="15"/>
      <c r="AFI377" s="15"/>
      <c r="AFJ377" s="15"/>
      <c r="AFK377" s="15"/>
      <c r="AFL377" s="10"/>
      <c r="AFM377" s="10"/>
      <c r="AFN377" s="21"/>
      <c r="AFO377" s="21"/>
      <c r="AFR377" s="21"/>
      <c r="AFS377" s="15"/>
      <c r="AFT377" s="15"/>
      <c r="AFU377" s="15"/>
      <c r="AFV377" s="15"/>
      <c r="AFW377" s="15"/>
      <c r="AFX377" s="15"/>
      <c r="AFY377" s="15"/>
      <c r="AFZ377" s="15"/>
      <c r="AGA377" s="15"/>
      <c r="AGB377" s="15"/>
      <c r="AGC377" s="10"/>
      <c r="AGD377" s="10"/>
      <c r="AGE377" s="21"/>
      <c r="AGF377" s="21"/>
      <c r="AGI377" s="21"/>
      <c r="AGJ377" s="15"/>
      <c r="AGK377" s="15"/>
      <c r="AGL377" s="15"/>
      <c r="AGM377" s="15"/>
      <c r="AGN377" s="15"/>
      <c r="AGO377" s="15"/>
      <c r="AGP377" s="15"/>
      <c r="AGQ377" s="15"/>
      <c r="AGR377" s="15"/>
      <c r="AGS377" s="15"/>
      <c r="AGT377" s="10"/>
      <c r="AGU377" s="10"/>
      <c r="AGV377" s="21"/>
      <c r="AGW377" s="21"/>
      <c r="AGZ377" s="21"/>
      <c r="AHA377" s="15"/>
      <c r="AHB377" s="15"/>
      <c r="AHC377" s="15"/>
      <c r="AHD377" s="15"/>
      <c r="AHE377" s="15"/>
      <c r="AHF377" s="15"/>
      <c r="AHG377" s="15"/>
      <c r="AHH377" s="15"/>
      <c r="AHI377" s="15"/>
      <c r="AHJ377" s="15"/>
      <c r="AHK377" s="10"/>
      <c r="AHL377" s="10"/>
      <c r="AHM377" s="21"/>
      <c r="AHN377" s="21"/>
      <c r="AHQ377" s="21"/>
      <c r="AHR377" s="15"/>
      <c r="AHS377" s="15"/>
      <c r="AHT377" s="15"/>
      <c r="AHU377" s="15"/>
      <c r="AHV377" s="15"/>
      <c r="AHW377" s="15"/>
      <c r="AHX377" s="15"/>
      <c r="AHY377" s="15"/>
      <c r="AHZ377" s="15"/>
      <c r="AIA377" s="15"/>
      <c r="AIB377" s="10"/>
      <c r="AIC377" s="10"/>
      <c r="AID377" s="21"/>
      <c r="AIE377" s="21"/>
      <c r="AIH377" s="21"/>
      <c r="AII377" s="15"/>
      <c r="AIJ377" s="15"/>
      <c r="AIK377" s="15"/>
      <c r="AIL377" s="15"/>
      <c r="AIM377" s="15"/>
      <c r="AIN377" s="15"/>
      <c r="AIO377" s="15"/>
      <c r="AIP377" s="15"/>
      <c r="AIQ377" s="15"/>
      <c r="AIR377" s="15"/>
      <c r="AIS377" s="10"/>
      <c r="AIT377" s="10"/>
      <c r="AIU377" s="21"/>
      <c r="AIV377" s="21"/>
      <c r="AIY377" s="21"/>
      <c r="AIZ377" s="15"/>
      <c r="AJA377" s="15"/>
      <c r="AJB377" s="15"/>
      <c r="AJC377" s="15"/>
      <c r="AJD377" s="15"/>
      <c r="AJE377" s="15"/>
      <c r="AJF377" s="15"/>
      <c r="AJG377" s="15"/>
      <c r="AJH377" s="15"/>
      <c r="AJI377" s="15"/>
      <c r="AJJ377" s="10"/>
      <c r="AJK377" s="10"/>
      <c r="AJL377" s="21"/>
      <c r="AJM377" s="21"/>
      <c r="AJP377" s="21"/>
      <c r="AJQ377" s="15"/>
      <c r="AJR377" s="15"/>
      <c r="AJS377" s="15"/>
      <c r="AJT377" s="15"/>
      <c r="AJU377" s="15"/>
      <c r="AJV377" s="15"/>
      <c r="AJW377" s="15"/>
      <c r="AJX377" s="15"/>
      <c r="AJY377" s="15"/>
      <c r="AJZ377" s="15"/>
      <c r="AKA377" s="10"/>
      <c r="AKB377" s="10"/>
      <c r="AKC377" s="21"/>
      <c r="AKD377" s="21"/>
      <c r="AKG377" s="21"/>
      <c r="AKH377" s="15"/>
      <c r="AKI377" s="15"/>
      <c r="AKJ377" s="15"/>
      <c r="AKK377" s="15"/>
      <c r="AKL377" s="15"/>
      <c r="AKM377" s="15"/>
      <c r="AKN377" s="15"/>
      <c r="AKO377" s="15"/>
      <c r="AKP377" s="15"/>
      <c r="AKQ377" s="15"/>
      <c r="AKR377" s="10"/>
      <c r="AKS377" s="10"/>
      <c r="AKT377" s="21"/>
      <c r="AKU377" s="21"/>
      <c r="AKX377" s="21"/>
      <c r="AKY377" s="15"/>
      <c r="AKZ377" s="15"/>
      <c r="ALA377" s="15"/>
      <c r="ALB377" s="15"/>
      <c r="ALC377" s="15"/>
      <c r="ALD377" s="15"/>
      <c r="ALE377" s="15"/>
      <c r="ALF377" s="15"/>
      <c r="ALG377" s="15"/>
      <c r="ALH377" s="15"/>
      <c r="ALI377" s="10"/>
      <c r="ALJ377" s="10"/>
      <c r="ALK377" s="21"/>
      <c r="ALL377" s="21"/>
      <c r="ALO377" s="21"/>
      <c r="ALP377" s="15"/>
      <c r="ALQ377" s="15"/>
      <c r="ALR377" s="15"/>
      <c r="ALS377" s="15"/>
      <c r="ALT377" s="15"/>
      <c r="ALU377" s="15"/>
      <c r="ALV377" s="15"/>
      <c r="ALW377" s="15"/>
      <c r="ALX377" s="15"/>
      <c r="ALY377" s="15"/>
      <c r="ALZ377" s="10"/>
      <c r="AMA377" s="10"/>
      <c r="AMB377" s="21"/>
      <c r="AMC377" s="21"/>
      <c r="AMF377" s="21"/>
      <c r="AMG377" s="15"/>
      <c r="AMH377" s="15"/>
      <c r="AMI377" s="15"/>
      <c r="AMJ377" s="15"/>
      <c r="AMK377" s="15"/>
      <c r="AML377" s="15"/>
      <c r="AMM377" s="15"/>
      <c r="AMN377" s="15"/>
      <c r="AMO377" s="15"/>
      <c r="AMP377" s="15"/>
      <c r="AMQ377" s="10"/>
      <c r="AMR377" s="10"/>
      <c r="AMS377" s="21"/>
      <c r="AMT377" s="21"/>
      <c r="AMW377" s="21"/>
      <c r="AMX377" s="15"/>
      <c r="AMY377" s="15"/>
      <c r="AMZ377" s="15"/>
      <c r="ANA377" s="15"/>
      <c r="ANB377" s="15"/>
      <c r="ANC377" s="15"/>
      <c r="AND377" s="15"/>
      <c r="ANE377" s="15"/>
      <c r="ANF377" s="15"/>
      <c r="ANG377" s="15"/>
      <c r="ANH377" s="10"/>
      <c r="ANI377" s="10"/>
      <c r="ANJ377" s="21"/>
      <c r="ANK377" s="21"/>
      <c r="ANN377" s="21"/>
      <c r="ANO377" s="15"/>
      <c r="ANP377" s="15"/>
      <c r="ANQ377" s="15"/>
      <c r="ANR377" s="15"/>
      <c r="ANS377" s="15"/>
      <c r="ANT377" s="15"/>
      <c r="ANU377" s="15"/>
      <c r="ANV377" s="15"/>
      <c r="ANW377" s="15"/>
      <c r="ANX377" s="15"/>
      <c r="ANY377" s="10"/>
      <c r="ANZ377" s="10"/>
      <c r="AOA377" s="21"/>
      <c r="AOB377" s="21"/>
      <c r="AOE377" s="21"/>
      <c r="AOF377" s="15"/>
      <c r="AOG377" s="15"/>
      <c r="AOH377" s="15"/>
      <c r="AOI377" s="15"/>
      <c r="AOJ377" s="15"/>
      <c r="AOK377" s="15"/>
      <c r="AOL377" s="15"/>
      <c r="AOM377" s="15"/>
      <c r="AON377" s="15"/>
      <c r="AOO377" s="15"/>
      <c r="AOP377" s="10"/>
      <c r="AOQ377" s="10"/>
      <c r="AOR377" s="21"/>
      <c r="AOS377" s="21"/>
      <c r="AOV377" s="21"/>
      <c r="AOW377" s="15"/>
      <c r="AOX377" s="15"/>
      <c r="AOY377" s="15"/>
      <c r="AOZ377" s="15"/>
      <c r="APA377" s="15"/>
      <c r="APB377" s="15"/>
      <c r="APC377" s="15"/>
      <c r="APD377" s="15"/>
      <c r="APE377" s="15"/>
      <c r="APF377" s="15"/>
      <c r="APG377" s="10"/>
      <c r="APH377" s="10"/>
      <c r="API377" s="21"/>
      <c r="APJ377" s="21"/>
      <c r="APM377" s="21"/>
      <c r="APN377" s="15"/>
      <c r="APO377" s="15"/>
      <c r="APP377" s="15"/>
      <c r="APQ377" s="15"/>
      <c r="APR377" s="15"/>
      <c r="APS377" s="15"/>
      <c r="APT377" s="15"/>
      <c r="APU377" s="15"/>
      <c r="APV377" s="15"/>
      <c r="APW377" s="15"/>
      <c r="APX377" s="10"/>
      <c r="APY377" s="10"/>
      <c r="APZ377" s="21"/>
      <c r="AQA377" s="21"/>
      <c r="AQD377" s="21"/>
      <c r="AQE377" s="15"/>
      <c r="AQF377" s="15"/>
      <c r="AQG377" s="15"/>
      <c r="AQH377" s="15"/>
      <c r="AQI377" s="15"/>
      <c r="AQJ377" s="15"/>
      <c r="AQK377" s="15"/>
      <c r="AQL377" s="15"/>
      <c r="AQM377" s="15"/>
      <c r="AQN377" s="15"/>
      <c r="AQO377" s="10"/>
      <c r="AQP377" s="10"/>
      <c r="AQQ377" s="21"/>
      <c r="AQR377" s="21"/>
      <c r="AQU377" s="21"/>
      <c r="AQV377" s="15"/>
      <c r="AQW377" s="15"/>
      <c r="AQX377" s="15"/>
      <c r="AQY377" s="15"/>
      <c r="AQZ377" s="15"/>
      <c r="ARA377" s="15"/>
      <c r="ARB377" s="15"/>
      <c r="ARC377" s="15"/>
      <c r="ARD377" s="15"/>
      <c r="ARE377" s="15"/>
      <c r="ARF377" s="10"/>
      <c r="ARG377" s="10"/>
      <c r="ARH377" s="21"/>
      <c r="ARI377" s="21"/>
      <c r="ARL377" s="21"/>
      <c r="ARM377" s="15"/>
      <c r="ARN377" s="15"/>
      <c r="ARO377" s="15"/>
      <c r="ARP377" s="15"/>
      <c r="ARQ377" s="15"/>
      <c r="ARR377" s="15"/>
      <c r="ARS377" s="15"/>
      <c r="ART377" s="15"/>
      <c r="ARU377" s="15"/>
      <c r="ARV377" s="15"/>
      <c r="ARW377" s="10"/>
      <c r="ARX377" s="10"/>
      <c r="ARY377" s="21"/>
      <c r="ARZ377" s="21"/>
      <c r="ASC377" s="21"/>
      <c r="ASD377" s="15"/>
      <c r="ASE377" s="15"/>
      <c r="ASF377" s="15"/>
      <c r="ASG377" s="15"/>
      <c r="ASH377" s="15"/>
      <c r="ASI377" s="15"/>
      <c r="ASJ377" s="15"/>
      <c r="ASK377" s="15"/>
      <c r="ASL377" s="15"/>
      <c r="ASM377" s="15"/>
      <c r="ASN377" s="10"/>
      <c r="ASO377" s="10"/>
      <c r="ASP377" s="21"/>
      <c r="ASQ377" s="21"/>
      <c r="AST377" s="21"/>
      <c r="ASU377" s="15"/>
      <c r="ASV377" s="15"/>
      <c r="ASW377" s="15"/>
      <c r="ASX377" s="15"/>
      <c r="ASY377" s="15"/>
      <c r="ASZ377" s="15"/>
      <c r="ATA377" s="15"/>
      <c r="ATB377" s="15"/>
      <c r="ATC377" s="15"/>
      <c r="ATD377" s="15"/>
      <c r="ATE377" s="10"/>
      <c r="ATF377" s="10"/>
      <c r="ATG377" s="21"/>
      <c r="ATH377" s="21"/>
      <c r="ATK377" s="21"/>
      <c r="ATL377" s="15"/>
      <c r="ATM377" s="15"/>
      <c r="ATN377" s="15"/>
      <c r="ATO377" s="15"/>
      <c r="ATP377" s="15"/>
      <c r="ATQ377" s="15"/>
      <c r="ATR377" s="15"/>
      <c r="ATS377" s="15"/>
      <c r="ATT377" s="15"/>
      <c r="ATU377" s="15"/>
      <c r="ATV377" s="10"/>
      <c r="ATW377" s="10"/>
      <c r="ATX377" s="21"/>
      <c r="ATY377" s="21"/>
      <c r="AUB377" s="21"/>
      <c r="AUC377" s="15"/>
      <c r="AUD377" s="15"/>
      <c r="AUE377" s="15"/>
      <c r="AUF377" s="15"/>
      <c r="AUG377" s="15"/>
      <c r="AUH377" s="15"/>
      <c r="AUI377" s="15"/>
      <c r="AUJ377" s="15"/>
      <c r="AUK377" s="15"/>
      <c r="AUL377" s="15"/>
      <c r="AUM377" s="10"/>
      <c r="AUN377" s="10"/>
      <c r="AUO377" s="21"/>
      <c r="AUP377" s="21"/>
      <c r="AUS377" s="21"/>
      <c r="AUT377" s="15"/>
      <c r="AUU377" s="15"/>
      <c r="AUV377" s="15"/>
      <c r="AUW377" s="15"/>
      <c r="AUX377" s="15"/>
      <c r="AUY377" s="15"/>
      <c r="AUZ377" s="15"/>
      <c r="AVA377" s="15"/>
      <c r="AVB377" s="15"/>
      <c r="AVC377" s="15"/>
      <c r="AVD377" s="10"/>
      <c r="AVE377" s="10"/>
      <c r="AVF377" s="21"/>
      <c r="AVG377" s="21"/>
      <c r="AVJ377" s="21"/>
      <c r="AVK377" s="15"/>
      <c r="AVL377" s="15"/>
      <c r="AVM377" s="15"/>
      <c r="AVN377" s="15"/>
      <c r="AVO377" s="15"/>
      <c r="AVP377" s="15"/>
      <c r="AVQ377" s="15"/>
      <c r="AVR377" s="15"/>
      <c r="AVS377" s="15"/>
      <c r="AVT377" s="15"/>
      <c r="AVU377" s="10"/>
      <c r="AVV377" s="10"/>
      <c r="AVW377" s="21"/>
      <c r="AVX377" s="21"/>
      <c r="AWA377" s="21"/>
      <c r="AWB377" s="15"/>
      <c r="AWC377" s="15"/>
      <c r="AWD377" s="15"/>
      <c r="AWE377" s="15"/>
      <c r="AWF377" s="15"/>
      <c r="AWG377" s="15"/>
      <c r="AWH377" s="15"/>
      <c r="AWI377" s="15"/>
      <c r="AWJ377" s="15"/>
      <c r="AWK377" s="15"/>
      <c r="AWL377" s="10"/>
      <c r="AWM377" s="10"/>
      <c r="AWN377" s="21"/>
      <c r="AWO377" s="21"/>
      <c r="AWR377" s="21"/>
      <c r="AWS377" s="15"/>
      <c r="AWT377" s="15"/>
      <c r="AWU377" s="15"/>
      <c r="AWV377" s="15"/>
      <c r="AWW377" s="15"/>
      <c r="AWX377" s="15"/>
      <c r="AWY377" s="15"/>
      <c r="AWZ377" s="15"/>
      <c r="AXA377" s="15"/>
      <c r="AXB377" s="15"/>
      <c r="AXC377" s="10"/>
      <c r="AXD377" s="10"/>
      <c r="AXE377" s="21"/>
      <c r="AXF377" s="21"/>
      <c r="AXI377" s="21"/>
      <c r="AXJ377" s="15"/>
      <c r="AXK377" s="15"/>
      <c r="AXL377" s="15"/>
      <c r="AXM377" s="15"/>
      <c r="AXN377" s="15"/>
      <c r="AXO377" s="15"/>
      <c r="AXP377" s="15"/>
      <c r="AXQ377" s="15"/>
      <c r="AXR377" s="15"/>
      <c r="AXS377" s="15"/>
      <c r="AXT377" s="10"/>
      <c r="AXU377" s="10"/>
      <c r="AXV377" s="21"/>
      <c r="AXW377" s="21"/>
      <c r="AXZ377" s="21"/>
      <c r="AYA377" s="15"/>
      <c r="AYB377" s="15"/>
      <c r="AYC377" s="15"/>
      <c r="AYD377" s="15"/>
      <c r="AYE377" s="15"/>
      <c r="AYF377" s="15"/>
      <c r="AYG377" s="15"/>
      <c r="AYH377" s="15"/>
      <c r="AYI377" s="15"/>
      <c r="AYJ377" s="15"/>
      <c r="AYK377" s="10"/>
      <c r="AYL377" s="10"/>
      <c r="AYM377" s="21"/>
      <c r="AYN377" s="21"/>
      <c r="AYQ377" s="21"/>
      <c r="AYR377" s="15"/>
      <c r="AYS377" s="15"/>
      <c r="AYT377" s="15"/>
      <c r="AYU377" s="15"/>
      <c r="AYV377" s="15"/>
      <c r="AYW377" s="15"/>
      <c r="AYX377" s="15"/>
      <c r="AYY377" s="15"/>
      <c r="AYZ377" s="15"/>
      <c r="AZA377" s="15"/>
      <c r="AZB377" s="10"/>
      <c r="AZC377" s="10"/>
      <c r="AZD377" s="21"/>
      <c r="AZE377" s="21"/>
      <c r="AZH377" s="21"/>
      <c r="AZI377" s="15"/>
      <c r="AZJ377" s="15"/>
      <c r="AZK377" s="15"/>
      <c r="AZL377" s="15"/>
      <c r="AZM377" s="15"/>
      <c r="AZN377" s="15"/>
      <c r="AZO377" s="15"/>
      <c r="AZP377" s="15"/>
      <c r="AZQ377" s="15"/>
      <c r="AZR377" s="15"/>
      <c r="AZS377" s="10"/>
      <c r="AZT377" s="10"/>
      <c r="AZU377" s="21"/>
      <c r="AZV377" s="21"/>
      <c r="AZY377" s="21"/>
      <c r="AZZ377" s="15"/>
      <c r="BAA377" s="15"/>
      <c r="BAB377" s="15"/>
      <c r="BAC377" s="15"/>
      <c r="BAD377" s="15"/>
      <c r="BAE377" s="15"/>
      <c r="BAF377" s="15"/>
      <c r="BAG377" s="15"/>
      <c r="BAH377" s="15"/>
      <c r="BAI377" s="15"/>
      <c r="BAJ377" s="10"/>
      <c r="BAK377" s="10"/>
      <c r="BAL377" s="21"/>
      <c r="BAM377" s="21"/>
      <c r="BAP377" s="21"/>
      <c r="BAQ377" s="15"/>
      <c r="BAR377" s="15"/>
      <c r="BAS377" s="15"/>
      <c r="BAT377" s="15"/>
      <c r="BAU377" s="15"/>
      <c r="BAV377" s="15"/>
      <c r="BAW377" s="15"/>
      <c r="BAX377" s="15"/>
      <c r="BAY377" s="15"/>
      <c r="BAZ377" s="15"/>
      <c r="BBA377" s="10"/>
      <c r="BBB377" s="10"/>
      <c r="BBC377" s="21"/>
      <c r="BBD377" s="21"/>
      <c r="BBG377" s="21"/>
      <c r="BBH377" s="15"/>
      <c r="BBI377" s="15"/>
      <c r="BBJ377" s="15"/>
      <c r="BBK377" s="15"/>
      <c r="BBL377" s="15"/>
      <c r="BBM377" s="15"/>
      <c r="BBN377" s="15"/>
      <c r="BBO377" s="15"/>
      <c r="BBP377" s="15"/>
      <c r="BBQ377" s="15"/>
      <c r="BBR377" s="10"/>
      <c r="BBS377" s="10"/>
      <c r="BBT377" s="21"/>
      <c r="BBU377" s="21"/>
      <c r="BBX377" s="21"/>
      <c r="BBY377" s="15"/>
      <c r="BBZ377" s="15"/>
      <c r="BCA377" s="15"/>
      <c r="BCB377" s="15"/>
      <c r="BCC377" s="15"/>
      <c r="BCD377" s="15"/>
      <c r="BCE377" s="15"/>
      <c r="BCF377" s="15"/>
      <c r="BCG377" s="15"/>
      <c r="BCH377" s="15"/>
      <c r="BCI377" s="10"/>
      <c r="BCJ377" s="10"/>
      <c r="BCK377" s="21"/>
      <c r="BCL377" s="21"/>
      <c r="BCO377" s="21"/>
      <c r="BCP377" s="15"/>
      <c r="BCQ377" s="15"/>
      <c r="BCR377" s="15"/>
      <c r="BCS377" s="15"/>
      <c r="BCT377" s="15"/>
      <c r="BCU377" s="15"/>
      <c r="BCV377" s="15"/>
      <c r="BCW377" s="15"/>
      <c r="BCX377" s="15"/>
      <c r="BCY377" s="15"/>
      <c r="BCZ377" s="10"/>
      <c r="BDA377" s="10"/>
      <c r="BDB377" s="21"/>
      <c r="BDC377" s="21"/>
      <c r="BDF377" s="21"/>
      <c r="BDG377" s="15"/>
      <c r="BDH377" s="15"/>
      <c r="BDI377" s="15"/>
      <c r="BDJ377" s="15"/>
      <c r="BDK377" s="15"/>
      <c r="BDL377" s="15"/>
      <c r="BDM377" s="15"/>
      <c r="BDN377" s="15"/>
      <c r="BDO377" s="15"/>
      <c r="BDP377" s="15"/>
      <c r="BDQ377" s="10"/>
      <c r="BDR377" s="10"/>
      <c r="BDS377" s="21"/>
      <c r="BDT377" s="21"/>
      <c r="BDW377" s="21"/>
      <c r="BDX377" s="15"/>
      <c r="BDY377" s="15"/>
      <c r="BDZ377" s="15"/>
      <c r="BEA377" s="15"/>
      <c r="BEB377" s="15"/>
      <c r="BEC377" s="15"/>
      <c r="BED377" s="15"/>
      <c r="BEE377" s="15"/>
      <c r="BEF377" s="15"/>
      <c r="BEG377" s="15"/>
      <c r="BEH377" s="10"/>
      <c r="BEI377" s="10"/>
      <c r="BEJ377" s="21"/>
      <c r="BEK377" s="21"/>
      <c r="BEN377" s="21"/>
      <c r="BEO377" s="15"/>
      <c r="BEP377" s="15"/>
      <c r="BEQ377" s="15"/>
      <c r="BER377" s="15"/>
      <c r="BES377" s="15"/>
      <c r="BET377" s="15"/>
      <c r="BEU377" s="15"/>
      <c r="BEV377" s="15"/>
      <c r="BEW377" s="15"/>
      <c r="BEX377" s="15"/>
      <c r="BEY377" s="10"/>
      <c r="BEZ377" s="10"/>
      <c r="BFA377" s="21"/>
      <c r="BFB377" s="21"/>
      <c r="BFE377" s="21"/>
      <c r="BFF377" s="15"/>
      <c r="BFG377" s="15"/>
      <c r="BFH377" s="15"/>
      <c r="BFI377" s="15"/>
      <c r="BFJ377" s="15"/>
      <c r="BFK377" s="15"/>
      <c r="BFL377" s="15"/>
      <c r="BFM377" s="15"/>
      <c r="BFN377" s="15"/>
      <c r="BFO377" s="15"/>
      <c r="BFP377" s="10"/>
      <c r="BFQ377" s="10"/>
      <c r="BFR377" s="21"/>
      <c r="BFS377" s="21"/>
      <c r="BFV377" s="21"/>
      <c r="BFW377" s="15"/>
      <c r="BFX377" s="15"/>
      <c r="BFY377" s="15"/>
      <c r="BFZ377" s="15"/>
      <c r="BGA377" s="15"/>
      <c r="BGB377" s="15"/>
      <c r="BGC377" s="15"/>
      <c r="BGD377" s="15"/>
      <c r="BGE377" s="15"/>
      <c r="BGF377" s="15"/>
      <c r="BGG377" s="10"/>
      <c r="BGH377" s="10"/>
      <c r="BGI377" s="21"/>
      <c r="BGJ377" s="21"/>
      <c r="BGM377" s="21"/>
      <c r="BGN377" s="15"/>
      <c r="BGO377" s="15"/>
      <c r="BGP377" s="15"/>
      <c r="BGQ377" s="15"/>
      <c r="BGR377" s="15"/>
      <c r="BGS377" s="15"/>
      <c r="BGT377" s="15"/>
      <c r="BGU377" s="15"/>
      <c r="BGV377" s="15"/>
      <c r="BGW377" s="15"/>
      <c r="BGX377" s="10"/>
      <c r="BGY377" s="10"/>
      <c r="BGZ377" s="21"/>
      <c r="BHA377" s="21"/>
      <c r="BHD377" s="21"/>
      <c r="BHE377" s="15"/>
      <c r="BHF377" s="15"/>
      <c r="BHG377" s="15"/>
      <c r="BHH377" s="15"/>
      <c r="BHI377" s="15"/>
      <c r="BHJ377" s="15"/>
      <c r="BHK377" s="15"/>
      <c r="BHL377" s="15"/>
      <c r="BHM377" s="15"/>
      <c r="BHN377" s="15"/>
      <c r="BHO377" s="10"/>
      <c r="BHP377" s="10"/>
      <c r="BHQ377" s="21"/>
      <c r="BHR377" s="21"/>
      <c r="BHU377" s="21"/>
      <c r="BHV377" s="15"/>
      <c r="BHW377" s="15"/>
      <c r="BHX377" s="15"/>
      <c r="BHY377" s="15"/>
      <c r="BHZ377" s="15"/>
      <c r="BIA377" s="15"/>
      <c r="BIB377" s="15"/>
      <c r="BIC377" s="15"/>
      <c r="BID377" s="15"/>
      <c r="BIE377" s="15"/>
      <c r="BIF377" s="10"/>
      <c r="BIG377" s="10"/>
      <c r="BIH377" s="21"/>
      <c r="BII377" s="21"/>
      <c r="BIL377" s="21"/>
      <c r="BIM377" s="15"/>
      <c r="BIN377" s="15"/>
      <c r="BIO377" s="15"/>
      <c r="BIP377" s="15"/>
      <c r="BIQ377" s="15"/>
      <c r="BIR377" s="15"/>
      <c r="BIS377" s="15"/>
      <c r="BIT377" s="15"/>
      <c r="BIU377" s="15"/>
      <c r="BIV377" s="15"/>
      <c r="BIW377" s="10"/>
      <c r="BIX377" s="10"/>
      <c r="BIY377" s="21"/>
      <c r="BIZ377" s="21"/>
      <c r="BJC377" s="21"/>
      <c r="BJD377" s="15"/>
      <c r="BJE377" s="15"/>
      <c r="BJF377" s="15"/>
      <c r="BJG377" s="15"/>
      <c r="BJH377" s="15"/>
      <c r="BJI377" s="15"/>
      <c r="BJJ377" s="15"/>
      <c r="BJK377" s="15"/>
      <c r="BJL377" s="15"/>
      <c r="BJM377" s="15"/>
      <c r="BJN377" s="10"/>
      <c r="BJO377" s="10"/>
      <c r="BJP377" s="21"/>
      <c r="BJQ377" s="21"/>
      <c r="BJT377" s="21"/>
      <c r="BJU377" s="15"/>
      <c r="BJV377" s="15"/>
      <c r="BJW377" s="15"/>
      <c r="BJX377" s="15"/>
      <c r="BJY377" s="15"/>
      <c r="BJZ377" s="15"/>
      <c r="BKA377" s="15"/>
      <c r="BKB377" s="15"/>
      <c r="BKC377" s="15"/>
      <c r="BKD377" s="15"/>
      <c r="BKE377" s="10"/>
      <c r="BKF377" s="10"/>
      <c r="BKG377" s="21"/>
      <c r="BKH377" s="21"/>
      <c r="BKK377" s="21"/>
      <c r="BKL377" s="15"/>
      <c r="BKM377" s="15"/>
      <c r="BKN377" s="15"/>
      <c r="BKO377" s="15"/>
      <c r="BKP377" s="15"/>
      <c r="BKQ377" s="15"/>
      <c r="BKR377" s="15"/>
      <c r="BKS377" s="15"/>
      <c r="BKT377" s="15"/>
      <c r="BKU377" s="15"/>
      <c r="BKV377" s="10"/>
      <c r="BKW377" s="10"/>
      <c r="BKX377" s="21"/>
      <c r="BKY377" s="21"/>
      <c r="BLB377" s="21"/>
      <c r="BLC377" s="15"/>
      <c r="BLD377" s="15"/>
      <c r="BLE377" s="15"/>
      <c r="BLF377" s="15"/>
      <c r="BLG377" s="15"/>
      <c r="BLH377" s="15"/>
      <c r="BLI377" s="15"/>
      <c r="BLJ377" s="15"/>
      <c r="BLK377" s="15"/>
      <c r="BLL377" s="15"/>
      <c r="BLM377" s="10"/>
      <c r="BLN377" s="10"/>
      <c r="BLO377" s="21"/>
      <c r="BLP377" s="21"/>
      <c r="BLS377" s="21"/>
      <c r="BLT377" s="15"/>
      <c r="BLU377" s="15"/>
      <c r="BLV377" s="15"/>
      <c r="BLW377" s="15"/>
      <c r="BLX377" s="15"/>
      <c r="BLY377" s="15"/>
      <c r="BLZ377" s="15"/>
      <c r="BMA377" s="15"/>
      <c r="BMB377" s="15"/>
      <c r="BMC377" s="15"/>
      <c r="BMD377" s="10"/>
      <c r="BME377" s="10"/>
      <c r="BMF377" s="21"/>
      <c r="BMG377" s="21"/>
      <c r="BMJ377" s="21"/>
      <c r="BMK377" s="15"/>
      <c r="BML377" s="15"/>
      <c r="BMM377" s="15"/>
      <c r="BMN377" s="15"/>
      <c r="BMO377" s="15"/>
      <c r="BMP377" s="15"/>
      <c r="BMQ377" s="15"/>
      <c r="BMR377" s="15"/>
      <c r="BMS377" s="15"/>
      <c r="BMT377" s="15"/>
      <c r="BMU377" s="10"/>
      <c r="BMV377" s="10"/>
      <c r="BMW377" s="21"/>
      <c r="BMX377" s="21"/>
      <c r="BNA377" s="21"/>
      <c r="BNB377" s="15"/>
      <c r="BNC377" s="15"/>
      <c r="BND377" s="15"/>
      <c r="BNE377" s="15"/>
      <c r="BNF377" s="15"/>
      <c r="BNG377" s="15"/>
      <c r="BNH377" s="15"/>
      <c r="BNI377" s="15"/>
      <c r="BNJ377" s="15"/>
      <c r="BNK377" s="15"/>
      <c r="BNL377" s="10"/>
      <c r="BNM377" s="10"/>
      <c r="BNN377" s="21"/>
      <c r="BNO377" s="21"/>
      <c r="BNR377" s="21"/>
      <c r="BNS377" s="15"/>
      <c r="BNT377" s="15"/>
      <c r="BNU377" s="15"/>
      <c r="BNV377" s="15"/>
      <c r="BNW377" s="15"/>
      <c r="BNX377" s="15"/>
      <c r="BNY377" s="15"/>
      <c r="BNZ377" s="15"/>
      <c r="BOA377" s="15"/>
      <c r="BOB377" s="15"/>
      <c r="BOC377" s="10"/>
      <c r="BOD377" s="10"/>
      <c r="BOE377" s="21"/>
      <c r="BOF377" s="21"/>
      <c r="BOI377" s="21"/>
      <c r="BOJ377" s="15"/>
      <c r="BOK377" s="15"/>
      <c r="BOL377" s="15"/>
      <c r="BOM377" s="15"/>
      <c r="BON377" s="15"/>
      <c r="BOO377" s="15"/>
      <c r="BOP377" s="15"/>
      <c r="BOQ377" s="15"/>
      <c r="BOR377" s="15"/>
      <c r="BOS377" s="15"/>
      <c r="BOT377" s="10"/>
      <c r="BOU377" s="10"/>
      <c r="BOV377" s="21"/>
      <c r="BOW377" s="21"/>
      <c r="BOZ377" s="21"/>
      <c r="BPA377" s="15"/>
      <c r="BPB377" s="15"/>
      <c r="BPC377" s="15"/>
      <c r="BPD377" s="15"/>
      <c r="BPE377" s="15"/>
      <c r="BPF377" s="15"/>
      <c r="BPG377" s="15"/>
      <c r="BPH377" s="15"/>
      <c r="BPI377" s="15"/>
      <c r="BPJ377" s="15"/>
      <c r="BPK377" s="10"/>
      <c r="BPL377" s="10"/>
      <c r="BPM377" s="21"/>
      <c r="BPN377" s="21"/>
      <c r="BPQ377" s="21"/>
      <c r="BPR377" s="15"/>
      <c r="BPS377" s="15"/>
      <c r="BPT377" s="15"/>
      <c r="BPU377" s="15"/>
      <c r="BPV377" s="15"/>
      <c r="BPW377" s="15"/>
      <c r="BPX377" s="15"/>
      <c r="BPY377" s="15"/>
      <c r="BPZ377" s="15"/>
      <c r="BQA377" s="15"/>
      <c r="BQB377" s="10"/>
      <c r="BQC377" s="10"/>
      <c r="BQD377" s="21"/>
      <c r="BQE377" s="21"/>
      <c r="BQH377" s="21"/>
      <c r="BQI377" s="15"/>
      <c r="BQJ377" s="15"/>
      <c r="BQK377" s="15"/>
      <c r="BQL377" s="15"/>
      <c r="BQM377" s="15"/>
      <c r="BQN377" s="15"/>
      <c r="BQO377" s="15"/>
      <c r="BQP377" s="15"/>
      <c r="BQQ377" s="15"/>
      <c r="BQR377" s="15"/>
      <c r="BQS377" s="10"/>
      <c r="BQT377" s="10"/>
      <c r="BQU377" s="21"/>
      <c r="BQV377" s="21"/>
      <c r="BQY377" s="21"/>
      <c r="BQZ377" s="15"/>
      <c r="BRA377" s="15"/>
      <c r="BRB377" s="15"/>
      <c r="BRC377" s="15"/>
      <c r="BRD377" s="15"/>
      <c r="BRE377" s="15"/>
      <c r="BRF377" s="15"/>
      <c r="BRG377" s="15"/>
      <c r="BRH377" s="15"/>
      <c r="BRI377" s="15"/>
      <c r="BRJ377" s="10"/>
      <c r="BRK377" s="10"/>
      <c r="BRL377" s="21"/>
      <c r="BRM377" s="21"/>
      <c r="BRP377" s="21"/>
      <c r="BRQ377" s="15"/>
      <c r="BRR377" s="15"/>
      <c r="BRS377" s="15"/>
      <c r="BRT377" s="15"/>
      <c r="BRU377" s="15"/>
      <c r="BRV377" s="15"/>
      <c r="BRW377" s="15"/>
      <c r="BRX377" s="15"/>
      <c r="BRY377" s="15"/>
      <c r="BRZ377" s="15"/>
      <c r="BSA377" s="10"/>
      <c r="BSB377" s="10"/>
      <c r="BSC377" s="21"/>
      <c r="BSD377" s="21"/>
      <c r="BSG377" s="21"/>
      <c r="BSH377" s="15"/>
      <c r="BSI377" s="15"/>
      <c r="BSJ377" s="15"/>
      <c r="BSK377" s="15"/>
      <c r="BSL377" s="15"/>
      <c r="BSM377" s="15"/>
      <c r="BSN377" s="15"/>
      <c r="BSO377" s="15"/>
      <c r="BSP377" s="15"/>
      <c r="BSQ377" s="15"/>
      <c r="BSR377" s="10"/>
      <c r="BSS377" s="10"/>
      <c r="BST377" s="21"/>
      <c r="BSU377" s="21"/>
      <c r="BSX377" s="21"/>
      <c r="BSY377" s="15"/>
      <c r="BSZ377" s="15"/>
      <c r="BTA377" s="15"/>
      <c r="BTB377" s="15"/>
      <c r="BTC377" s="15"/>
      <c r="BTD377" s="15"/>
      <c r="BTE377" s="15"/>
      <c r="BTF377" s="15"/>
      <c r="BTG377" s="15"/>
      <c r="BTH377" s="15"/>
      <c r="BTI377" s="10"/>
      <c r="BTJ377" s="10"/>
      <c r="BTK377" s="21"/>
      <c r="BTL377" s="21"/>
      <c r="BTO377" s="21"/>
      <c r="BTP377" s="15"/>
      <c r="BTQ377" s="15"/>
      <c r="BTR377" s="15"/>
      <c r="BTS377" s="15"/>
      <c r="BTT377" s="15"/>
      <c r="BTU377" s="15"/>
      <c r="BTV377" s="15"/>
      <c r="BTW377" s="15"/>
      <c r="BTX377" s="15"/>
      <c r="BTY377" s="15"/>
      <c r="BTZ377" s="10"/>
      <c r="BUA377" s="10"/>
      <c r="BUB377" s="21"/>
      <c r="BUC377" s="21"/>
      <c r="BUF377" s="21"/>
      <c r="BUG377" s="15"/>
      <c r="BUH377" s="15"/>
      <c r="BUI377" s="15"/>
      <c r="BUJ377" s="15"/>
      <c r="BUK377" s="15"/>
      <c r="BUL377" s="15"/>
      <c r="BUM377" s="15"/>
      <c r="BUN377" s="15"/>
      <c r="BUO377" s="15"/>
      <c r="BUP377" s="15"/>
      <c r="BUQ377" s="10"/>
      <c r="BUR377" s="10"/>
      <c r="BUS377" s="21"/>
      <c r="BUT377" s="21"/>
      <c r="BUW377" s="21"/>
      <c r="BUX377" s="15"/>
      <c r="BUY377" s="15"/>
      <c r="BUZ377" s="15"/>
      <c r="BVA377" s="15"/>
      <c r="BVB377" s="15"/>
      <c r="BVC377" s="15"/>
      <c r="BVD377" s="15"/>
      <c r="BVE377" s="15"/>
      <c r="BVF377" s="15"/>
      <c r="BVG377" s="15"/>
      <c r="BVH377" s="10"/>
      <c r="BVI377" s="10"/>
      <c r="BVJ377" s="21"/>
      <c r="BVK377" s="21"/>
      <c r="BVN377" s="21"/>
      <c r="BVO377" s="15"/>
      <c r="BVP377" s="15"/>
      <c r="BVQ377" s="15"/>
      <c r="BVR377" s="15"/>
      <c r="BVS377" s="15"/>
      <c r="BVT377" s="15"/>
      <c r="BVU377" s="15"/>
      <c r="BVV377" s="15"/>
      <c r="BVW377" s="15"/>
      <c r="BVX377" s="15"/>
      <c r="BVY377" s="10"/>
      <c r="BVZ377" s="10"/>
      <c r="BWA377" s="21"/>
      <c r="BWB377" s="21"/>
      <c r="BWE377" s="21"/>
      <c r="BWF377" s="15"/>
      <c r="BWG377" s="15"/>
      <c r="BWH377" s="15"/>
      <c r="BWI377" s="15"/>
      <c r="BWJ377" s="15"/>
      <c r="BWK377" s="15"/>
      <c r="BWL377" s="15"/>
      <c r="BWM377" s="15"/>
      <c r="BWN377" s="15"/>
      <c r="BWO377" s="15"/>
      <c r="BWP377" s="10"/>
      <c r="BWQ377" s="10"/>
      <c r="BWR377" s="21"/>
      <c r="BWS377" s="21"/>
      <c r="BWV377" s="21"/>
      <c r="BWW377" s="15"/>
      <c r="BWX377" s="15"/>
      <c r="BWY377" s="15"/>
      <c r="BWZ377" s="15"/>
      <c r="BXA377" s="15"/>
      <c r="BXB377" s="15"/>
      <c r="BXC377" s="15"/>
      <c r="BXD377" s="15"/>
      <c r="BXE377" s="15"/>
      <c r="BXF377" s="15"/>
      <c r="BXG377" s="10"/>
      <c r="BXH377" s="10"/>
      <c r="BXI377" s="21"/>
      <c r="BXJ377" s="21"/>
      <c r="BXM377" s="21"/>
      <c r="BXN377" s="15"/>
      <c r="BXO377" s="15"/>
      <c r="BXP377" s="15"/>
      <c r="BXQ377" s="15"/>
      <c r="BXR377" s="15"/>
      <c r="BXS377" s="15"/>
      <c r="BXT377" s="15"/>
      <c r="BXU377" s="15"/>
      <c r="BXV377" s="15"/>
      <c r="BXW377" s="15"/>
      <c r="BXX377" s="10"/>
      <c r="BXY377" s="10"/>
      <c r="BXZ377" s="21"/>
      <c r="BYA377" s="21"/>
      <c r="BYD377" s="21"/>
      <c r="BYE377" s="15"/>
      <c r="BYF377" s="15"/>
      <c r="BYG377" s="15"/>
      <c r="BYH377" s="15"/>
      <c r="BYI377" s="15"/>
      <c r="BYJ377" s="15"/>
      <c r="BYK377" s="15"/>
      <c r="BYL377" s="15"/>
      <c r="BYM377" s="15"/>
      <c r="BYN377" s="15"/>
      <c r="BYO377" s="10"/>
      <c r="BYP377" s="10"/>
      <c r="BYQ377" s="21"/>
      <c r="BYR377" s="21"/>
      <c r="BYU377" s="21"/>
      <c r="BYV377" s="15"/>
      <c r="BYW377" s="15"/>
      <c r="BYX377" s="15"/>
      <c r="BYY377" s="15"/>
      <c r="BYZ377" s="15"/>
      <c r="BZA377" s="15"/>
      <c r="BZB377" s="15"/>
      <c r="BZC377" s="15"/>
      <c r="BZD377" s="15"/>
      <c r="BZE377" s="15"/>
      <c r="BZF377" s="10"/>
      <c r="BZG377" s="10"/>
      <c r="BZH377" s="21"/>
      <c r="BZI377" s="21"/>
      <c r="BZL377" s="21"/>
      <c r="BZM377" s="15"/>
      <c r="BZN377" s="15"/>
      <c r="BZO377" s="15"/>
      <c r="BZP377" s="15"/>
      <c r="BZQ377" s="15"/>
      <c r="BZR377" s="15"/>
      <c r="BZS377" s="15"/>
      <c r="BZT377" s="15"/>
      <c r="BZU377" s="15"/>
      <c r="BZV377" s="15"/>
      <c r="BZW377" s="10"/>
      <c r="BZX377" s="10"/>
      <c r="BZY377" s="21"/>
      <c r="BZZ377" s="21"/>
      <c r="CAC377" s="21"/>
      <c r="CAD377" s="15"/>
      <c r="CAE377" s="15"/>
      <c r="CAF377" s="15"/>
      <c r="CAG377" s="15"/>
      <c r="CAH377" s="15"/>
      <c r="CAI377" s="15"/>
      <c r="CAJ377" s="15"/>
      <c r="CAK377" s="15"/>
      <c r="CAL377" s="15"/>
      <c r="CAM377" s="15"/>
      <c r="CAN377" s="10"/>
      <c r="CAO377" s="10"/>
      <c r="CAP377" s="21"/>
      <c r="CAQ377" s="21"/>
      <c r="CAT377" s="21"/>
      <c r="CAU377" s="15"/>
      <c r="CAV377" s="15"/>
      <c r="CAW377" s="15"/>
      <c r="CAX377" s="15"/>
      <c r="CAY377" s="15"/>
      <c r="CAZ377" s="15"/>
      <c r="CBA377" s="15"/>
      <c r="CBB377" s="15"/>
      <c r="CBC377" s="15"/>
      <c r="CBD377" s="15"/>
      <c r="CBE377" s="10"/>
      <c r="CBF377" s="10"/>
      <c r="CBG377" s="21"/>
      <c r="CBH377" s="21"/>
      <c r="CBK377" s="21"/>
      <c r="CBL377" s="15"/>
      <c r="CBM377" s="15"/>
      <c r="CBN377" s="15"/>
      <c r="CBO377" s="15"/>
      <c r="CBP377" s="15"/>
      <c r="CBQ377" s="15"/>
      <c r="CBR377" s="15"/>
      <c r="CBS377" s="15"/>
      <c r="CBT377" s="15"/>
      <c r="CBU377" s="15"/>
      <c r="CBV377" s="10"/>
      <c r="CBW377" s="10"/>
      <c r="CBX377" s="21"/>
      <c r="CBY377" s="21"/>
      <c r="CCB377" s="21"/>
      <c r="CCC377" s="15"/>
      <c r="CCD377" s="15"/>
      <c r="CCE377" s="15"/>
      <c r="CCF377" s="15"/>
      <c r="CCG377" s="15"/>
      <c r="CCH377" s="15"/>
      <c r="CCI377" s="15"/>
      <c r="CCJ377" s="15"/>
      <c r="CCK377" s="15"/>
      <c r="CCL377" s="15"/>
      <c r="CCM377" s="10"/>
      <c r="CCN377" s="10"/>
      <c r="CCO377" s="21"/>
      <c r="CCP377" s="21"/>
      <c r="CCS377" s="21"/>
      <c r="CCT377" s="15"/>
      <c r="CCU377" s="15"/>
      <c r="CCV377" s="15"/>
      <c r="CCW377" s="15"/>
      <c r="CCX377" s="15"/>
      <c r="CCY377" s="15"/>
      <c r="CCZ377" s="15"/>
      <c r="CDA377" s="15"/>
      <c r="CDB377" s="15"/>
      <c r="CDC377" s="15"/>
      <c r="CDD377" s="10"/>
      <c r="CDE377" s="10"/>
      <c r="CDF377" s="21"/>
      <c r="CDG377" s="21"/>
      <c r="CDJ377" s="21"/>
      <c r="CDK377" s="15"/>
      <c r="CDL377" s="15"/>
      <c r="CDM377" s="15"/>
      <c r="CDN377" s="15"/>
      <c r="CDO377" s="15"/>
      <c r="CDP377" s="15"/>
      <c r="CDQ377" s="15"/>
      <c r="CDR377" s="15"/>
      <c r="CDS377" s="15"/>
      <c r="CDT377" s="15"/>
      <c r="CDU377" s="10"/>
      <c r="CDV377" s="10"/>
      <c r="CDW377" s="21"/>
      <c r="CDX377" s="21"/>
      <c r="CEA377" s="21"/>
      <c r="CEB377" s="15"/>
      <c r="CEC377" s="15"/>
      <c r="CED377" s="15"/>
      <c r="CEE377" s="15"/>
      <c r="CEF377" s="15"/>
      <c r="CEG377" s="15"/>
      <c r="CEH377" s="15"/>
      <c r="CEI377" s="15"/>
      <c r="CEJ377" s="15"/>
      <c r="CEK377" s="15"/>
      <c r="CEL377" s="10"/>
      <c r="CEM377" s="10"/>
      <c r="CEN377" s="21"/>
      <c r="CEO377" s="21"/>
      <c r="CER377" s="21"/>
      <c r="CES377" s="15"/>
      <c r="CET377" s="15"/>
      <c r="CEU377" s="15"/>
      <c r="CEV377" s="15"/>
      <c r="CEW377" s="15"/>
      <c r="CEX377" s="15"/>
      <c r="CEY377" s="15"/>
      <c r="CEZ377" s="15"/>
      <c r="CFA377" s="15"/>
      <c r="CFB377" s="15"/>
      <c r="CFC377" s="10"/>
      <c r="CFD377" s="10"/>
      <c r="CFE377" s="21"/>
      <c r="CFF377" s="21"/>
      <c r="CFI377" s="21"/>
      <c r="CFJ377" s="15"/>
      <c r="CFK377" s="15"/>
      <c r="CFL377" s="15"/>
      <c r="CFM377" s="15"/>
      <c r="CFN377" s="15"/>
      <c r="CFO377" s="15"/>
      <c r="CFP377" s="15"/>
      <c r="CFQ377" s="15"/>
      <c r="CFR377" s="15"/>
      <c r="CFS377" s="15"/>
      <c r="CFT377" s="10"/>
      <c r="CFU377" s="10"/>
      <c r="CFV377" s="21"/>
      <c r="CFW377" s="21"/>
      <c r="CFZ377" s="21"/>
      <c r="CGA377" s="15"/>
      <c r="CGB377" s="15"/>
      <c r="CGC377" s="15"/>
      <c r="CGD377" s="15"/>
      <c r="CGE377" s="15"/>
      <c r="CGF377" s="15"/>
      <c r="CGG377" s="15"/>
      <c r="CGH377" s="15"/>
      <c r="CGI377" s="15"/>
      <c r="CGJ377" s="15"/>
      <c r="CGK377" s="10"/>
      <c r="CGL377" s="10"/>
      <c r="CGM377" s="21"/>
      <c r="CGN377" s="21"/>
      <c r="CGQ377" s="21"/>
      <c r="CGR377" s="15"/>
      <c r="CGS377" s="15"/>
      <c r="CGT377" s="15"/>
      <c r="CGU377" s="15"/>
      <c r="CGV377" s="15"/>
      <c r="CGW377" s="15"/>
      <c r="CGX377" s="15"/>
      <c r="CGY377" s="15"/>
      <c r="CGZ377" s="15"/>
      <c r="CHA377" s="15"/>
      <c r="CHB377" s="10"/>
      <c r="CHC377" s="10"/>
      <c r="CHD377" s="21"/>
      <c r="CHE377" s="21"/>
      <c r="CHH377" s="21"/>
      <c r="CHI377" s="15"/>
      <c r="CHJ377" s="15"/>
      <c r="CHK377" s="15"/>
      <c r="CHL377" s="15"/>
      <c r="CHM377" s="15"/>
      <c r="CHN377" s="15"/>
      <c r="CHO377" s="15"/>
      <c r="CHP377" s="15"/>
      <c r="CHQ377" s="15"/>
      <c r="CHR377" s="15"/>
      <c r="CHS377" s="10"/>
      <c r="CHT377" s="10"/>
      <c r="CHU377" s="21"/>
      <c r="CHV377" s="21"/>
      <c r="CHY377" s="21"/>
      <c r="CHZ377" s="15"/>
      <c r="CIA377" s="15"/>
      <c r="CIB377" s="15"/>
      <c r="CIC377" s="15"/>
      <c r="CID377" s="15"/>
      <c r="CIE377" s="15"/>
      <c r="CIF377" s="15"/>
      <c r="CIG377" s="15"/>
      <c r="CIH377" s="15"/>
      <c r="CII377" s="15"/>
      <c r="CIJ377" s="10"/>
      <c r="CIK377" s="10"/>
      <c r="CIL377" s="21"/>
      <c r="CIM377" s="21"/>
      <c r="CIP377" s="21"/>
      <c r="CIQ377" s="15"/>
      <c r="CIR377" s="15"/>
      <c r="CIS377" s="15"/>
      <c r="CIT377" s="15"/>
      <c r="CIU377" s="15"/>
      <c r="CIV377" s="15"/>
      <c r="CIW377" s="15"/>
      <c r="CIX377" s="15"/>
      <c r="CIY377" s="15"/>
      <c r="CIZ377" s="15"/>
      <c r="CJA377" s="10"/>
      <c r="CJB377" s="10"/>
      <c r="CJC377" s="21"/>
      <c r="CJD377" s="21"/>
      <c r="CJG377" s="21"/>
      <c r="CJH377" s="15"/>
      <c r="CJI377" s="15"/>
      <c r="CJJ377" s="15"/>
      <c r="CJK377" s="15"/>
      <c r="CJL377" s="15"/>
      <c r="CJM377" s="15"/>
      <c r="CJN377" s="15"/>
      <c r="CJO377" s="15"/>
      <c r="CJP377" s="15"/>
      <c r="CJQ377" s="15"/>
      <c r="CJR377" s="10"/>
      <c r="CJS377" s="10"/>
      <c r="CJT377" s="21"/>
      <c r="CJU377" s="21"/>
      <c r="CJX377" s="21"/>
      <c r="CJY377" s="15"/>
      <c r="CJZ377" s="15"/>
      <c r="CKA377" s="15"/>
      <c r="CKB377" s="15"/>
      <c r="CKC377" s="15"/>
      <c r="CKD377" s="15"/>
      <c r="CKE377" s="15"/>
      <c r="CKF377" s="15"/>
      <c r="CKG377" s="15"/>
      <c r="CKH377" s="15"/>
      <c r="CKI377" s="10"/>
      <c r="CKJ377" s="10"/>
      <c r="CKK377" s="21"/>
      <c r="CKL377" s="21"/>
      <c r="CKO377" s="21"/>
      <c r="CKP377" s="15"/>
      <c r="CKQ377" s="15"/>
      <c r="CKR377" s="15"/>
      <c r="CKS377" s="15"/>
      <c r="CKT377" s="15"/>
      <c r="CKU377" s="15"/>
      <c r="CKV377" s="15"/>
      <c r="CKW377" s="15"/>
      <c r="CKX377" s="15"/>
      <c r="CKY377" s="15"/>
      <c r="CKZ377" s="10"/>
      <c r="CLA377" s="10"/>
      <c r="CLB377" s="21"/>
      <c r="CLC377" s="21"/>
      <c r="CLF377" s="21"/>
      <c r="CLG377" s="15"/>
      <c r="CLH377" s="15"/>
      <c r="CLI377" s="15"/>
      <c r="CLJ377" s="15"/>
      <c r="CLK377" s="15"/>
      <c r="CLL377" s="15"/>
      <c r="CLM377" s="15"/>
      <c r="CLN377" s="15"/>
      <c r="CLO377" s="15"/>
      <c r="CLP377" s="15"/>
      <c r="CLQ377" s="10"/>
      <c r="CLR377" s="10"/>
      <c r="CLS377" s="21"/>
      <c r="CLT377" s="21"/>
      <c r="CLW377" s="21"/>
      <c r="CLX377" s="15"/>
      <c r="CLY377" s="15"/>
      <c r="CLZ377" s="15"/>
      <c r="CMA377" s="15"/>
      <c r="CMB377" s="15"/>
      <c r="CMC377" s="15"/>
      <c r="CMD377" s="15"/>
      <c r="CME377" s="15"/>
      <c r="CMF377" s="15"/>
      <c r="CMG377" s="15"/>
      <c r="CMH377" s="10"/>
      <c r="CMI377" s="10"/>
      <c r="CMJ377" s="21"/>
      <c r="CMK377" s="21"/>
      <c r="CMN377" s="21"/>
      <c r="CMO377" s="15"/>
      <c r="CMP377" s="15"/>
      <c r="CMQ377" s="15"/>
      <c r="CMR377" s="15"/>
      <c r="CMS377" s="15"/>
      <c r="CMT377" s="15"/>
      <c r="CMU377" s="15"/>
      <c r="CMV377" s="15"/>
      <c r="CMW377" s="15"/>
      <c r="CMX377" s="15"/>
      <c r="CMY377" s="10"/>
      <c r="CMZ377" s="10"/>
      <c r="CNA377" s="21"/>
      <c r="CNB377" s="21"/>
      <c r="CNE377" s="21"/>
      <c r="CNF377" s="15"/>
      <c r="CNG377" s="15"/>
      <c r="CNH377" s="15"/>
      <c r="CNI377" s="15"/>
      <c r="CNJ377" s="15"/>
      <c r="CNK377" s="15"/>
      <c r="CNL377" s="15"/>
      <c r="CNM377" s="15"/>
      <c r="CNN377" s="15"/>
      <c r="CNO377" s="15"/>
      <c r="CNP377" s="10"/>
      <c r="CNQ377" s="10"/>
      <c r="CNR377" s="21"/>
      <c r="CNS377" s="21"/>
      <c r="CNV377" s="21"/>
      <c r="CNW377" s="15"/>
      <c r="CNX377" s="15"/>
      <c r="CNY377" s="15"/>
      <c r="CNZ377" s="15"/>
      <c r="COA377" s="15"/>
      <c r="COB377" s="15"/>
      <c r="COC377" s="15"/>
      <c r="COD377" s="15"/>
      <c r="COE377" s="15"/>
      <c r="COF377" s="15"/>
      <c r="COG377" s="10"/>
      <c r="COH377" s="10"/>
      <c r="COI377" s="21"/>
      <c r="COJ377" s="21"/>
      <c r="COM377" s="21"/>
      <c r="CON377" s="15"/>
      <c r="COO377" s="15"/>
      <c r="COP377" s="15"/>
      <c r="COQ377" s="15"/>
      <c r="COR377" s="15"/>
      <c r="COS377" s="15"/>
      <c r="COT377" s="15"/>
      <c r="COU377" s="15"/>
      <c r="COV377" s="15"/>
      <c r="COW377" s="15"/>
      <c r="COX377" s="10"/>
      <c r="COY377" s="10"/>
      <c r="COZ377" s="21"/>
      <c r="CPA377" s="21"/>
      <c r="CPD377" s="21"/>
      <c r="CPE377" s="15"/>
      <c r="CPF377" s="15"/>
      <c r="CPG377" s="15"/>
      <c r="CPH377" s="15"/>
      <c r="CPI377" s="15"/>
      <c r="CPJ377" s="15"/>
      <c r="CPK377" s="15"/>
      <c r="CPL377" s="15"/>
      <c r="CPM377" s="15"/>
      <c r="CPN377" s="15"/>
      <c r="CPO377" s="10"/>
      <c r="CPP377" s="10"/>
      <c r="CPQ377" s="21"/>
      <c r="CPR377" s="21"/>
      <c r="CPU377" s="21"/>
      <c r="CPV377" s="15"/>
      <c r="CPW377" s="15"/>
      <c r="CPX377" s="15"/>
      <c r="CPY377" s="15"/>
      <c r="CPZ377" s="15"/>
      <c r="CQA377" s="15"/>
      <c r="CQB377" s="15"/>
      <c r="CQC377" s="15"/>
      <c r="CQD377" s="15"/>
      <c r="CQE377" s="15"/>
      <c r="CQF377" s="10"/>
      <c r="CQG377" s="10"/>
      <c r="CQH377" s="21"/>
      <c r="CQI377" s="21"/>
      <c r="CQL377" s="21"/>
      <c r="CQM377" s="15"/>
      <c r="CQN377" s="15"/>
      <c r="CQO377" s="15"/>
      <c r="CQP377" s="15"/>
      <c r="CQQ377" s="15"/>
      <c r="CQR377" s="15"/>
      <c r="CQS377" s="15"/>
      <c r="CQT377" s="15"/>
      <c r="CQU377" s="15"/>
      <c r="CQV377" s="15"/>
      <c r="CQW377" s="10"/>
      <c r="CQX377" s="10"/>
      <c r="CQY377" s="21"/>
      <c r="CQZ377" s="21"/>
      <c r="CRC377" s="21"/>
      <c r="CRD377" s="15"/>
      <c r="CRE377" s="15"/>
      <c r="CRF377" s="15"/>
      <c r="CRG377" s="15"/>
      <c r="CRH377" s="15"/>
      <c r="CRI377" s="15"/>
      <c r="CRJ377" s="15"/>
      <c r="CRK377" s="15"/>
      <c r="CRL377" s="15"/>
      <c r="CRM377" s="15"/>
      <c r="CRN377" s="10"/>
      <c r="CRO377" s="10"/>
      <c r="CRP377" s="21"/>
      <c r="CRQ377" s="21"/>
      <c r="CRT377" s="21"/>
      <c r="CRU377" s="15"/>
      <c r="CRV377" s="15"/>
      <c r="CRW377" s="15"/>
      <c r="CRX377" s="15"/>
      <c r="CRY377" s="15"/>
      <c r="CRZ377" s="15"/>
      <c r="CSA377" s="15"/>
      <c r="CSB377" s="15"/>
      <c r="CSC377" s="15"/>
      <c r="CSD377" s="15"/>
      <c r="CSE377" s="10"/>
      <c r="CSF377" s="10"/>
      <c r="CSG377" s="21"/>
      <c r="CSH377" s="21"/>
      <c r="CSK377" s="21"/>
      <c r="CSL377" s="15"/>
      <c r="CSM377" s="15"/>
      <c r="CSN377" s="15"/>
      <c r="CSO377" s="15"/>
      <c r="CSP377" s="15"/>
      <c r="CSQ377" s="15"/>
      <c r="CSR377" s="15"/>
      <c r="CSS377" s="15"/>
      <c r="CST377" s="15"/>
      <c r="CSU377" s="15"/>
      <c r="CSV377" s="10"/>
      <c r="CSW377" s="10"/>
      <c r="CSX377" s="21"/>
      <c r="CSY377" s="21"/>
      <c r="CTB377" s="21"/>
      <c r="CTC377" s="15"/>
      <c r="CTD377" s="15"/>
      <c r="CTE377" s="15"/>
      <c r="CTF377" s="15"/>
      <c r="CTG377" s="15"/>
      <c r="CTH377" s="15"/>
      <c r="CTI377" s="15"/>
      <c r="CTJ377" s="15"/>
      <c r="CTK377" s="15"/>
      <c r="CTL377" s="15"/>
      <c r="CTM377" s="10"/>
      <c r="CTN377" s="10"/>
      <c r="CTO377" s="21"/>
      <c r="CTP377" s="21"/>
      <c r="CTS377" s="21"/>
      <c r="CTT377" s="15"/>
      <c r="CTU377" s="15"/>
      <c r="CTV377" s="15"/>
      <c r="CTW377" s="15"/>
      <c r="CTX377" s="15"/>
      <c r="CTY377" s="15"/>
      <c r="CTZ377" s="15"/>
      <c r="CUA377" s="15"/>
      <c r="CUB377" s="15"/>
      <c r="CUC377" s="15"/>
      <c r="CUD377" s="10"/>
      <c r="CUE377" s="10"/>
      <c r="CUF377" s="21"/>
      <c r="CUG377" s="21"/>
      <c r="CUJ377" s="21"/>
      <c r="CUK377" s="15"/>
      <c r="CUL377" s="15"/>
      <c r="CUM377" s="15"/>
      <c r="CUN377" s="15"/>
      <c r="CUO377" s="15"/>
      <c r="CUP377" s="15"/>
      <c r="CUQ377" s="15"/>
      <c r="CUR377" s="15"/>
      <c r="CUS377" s="15"/>
      <c r="CUT377" s="15"/>
      <c r="CUU377" s="10"/>
      <c r="CUV377" s="10"/>
      <c r="CUW377" s="21"/>
      <c r="CUX377" s="21"/>
      <c r="CVA377" s="21"/>
      <c r="CVB377" s="15"/>
      <c r="CVC377" s="15"/>
      <c r="CVD377" s="15"/>
      <c r="CVE377" s="15"/>
      <c r="CVF377" s="15"/>
      <c r="CVG377" s="15"/>
      <c r="CVH377" s="15"/>
      <c r="CVI377" s="15"/>
      <c r="CVJ377" s="15"/>
      <c r="CVK377" s="15"/>
      <c r="CVL377" s="10"/>
      <c r="CVM377" s="10"/>
      <c r="CVN377" s="21"/>
      <c r="CVO377" s="21"/>
      <c r="CVR377" s="21"/>
      <c r="CVS377" s="15"/>
      <c r="CVT377" s="15"/>
      <c r="CVU377" s="15"/>
      <c r="CVV377" s="15"/>
      <c r="CVW377" s="15"/>
      <c r="CVX377" s="15"/>
      <c r="CVY377" s="15"/>
      <c r="CVZ377" s="15"/>
      <c r="CWA377" s="15"/>
      <c r="CWB377" s="15"/>
      <c r="CWC377" s="10"/>
      <c r="CWD377" s="10"/>
      <c r="CWE377" s="21"/>
      <c r="CWF377" s="21"/>
      <c r="CWI377" s="21"/>
      <c r="CWJ377" s="15"/>
      <c r="CWK377" s="15"/>
      <c r="CWL377" s="15"/>
      <c r="CWM377" s="15"/>
      <c r="CWN377" s="15"/>
      <c r="CWO377" s="15"/>
      <c r="CWP377" s="15"/>
      <c r="CWQ377" s="15"/>
      <c r="CWR377" s="15"/>
      <c r="CWS377" s="15"/>
      <c r="CWT377" s="10"/>
      <c r="CWU377" s="10"/>
      <c r="CWV377" s="21"/>
      <c r="CWW377" s="21"/>
      <c r="CWZ377" s="21"/>
      <c r="CXA377" s="15"/>
      <c r="CXB377" s="15"/>
      <c r="CXC377" s="15"/>
      <c r="CXD377" s="15"/>
      <c r="CXE377" s="15"/>
      <c r="CXF377" s="15"/>
      <c r="CXG377" s="15"/>
      <c r="CXH377" s="15"/>
      <c r="CXI377" s="15"/>
      <c r="CXJ377" s="15"/>
      <c r="CXK377" s="10"/>
      <c r="CXL377" s="10"/>
      <c r="CXM377" s="21"/>
      <c r="CXN377" s="21"/>
      <c r="CXQ377" s="21"/>
      <c r="CXR377" s="15"/>
      <c r="CXS377" s="15"/>
      <c r="CXT377" s="15"/>
      <c r="CXU377" s="15"/>
      <c r="CXV377" s="15"/>
      <c r="CXW377" s="15"/>
      <c r="CXX377" s="15"/>
      <c r="CXY377" s="15"/>
      <c r="CXZ377" s="15"/>
      <c r="CYA377" s="15"/>
      <c r="CYB377" s="10"/>
      <c r="CYC377" s="10"/>
      <c r="CYD377" s="21"/>
      <c r="CYE377" s="21"/>
      <c r="CYH377" s="21"/>
      <c r="CYI377" s="15"/>
      <c r="CYJ377" s="15"/>
      <c r="CYK377" s="15"/>
      <c r="CYL377" s="15"/>
      <c r="CYM377" s="15"/>
      <c r="CYN377" s="15"/>
      <c r="CYO377" s="15"/>
      <c r="CYP377" s="15"/>
      <c r="CYQ377" s="15"/>
      <c r="CYR377" s="15"/>
      <c r="CYS377" s="10"/>
      <c r="CYT377" s="10"/>
      <c r="CYU377" s="21"/>
      <c r="CYV377" s="21"/>
      <c r="CYY377" s="21"/>
      <c r="CYZ377" s="15"/>
      <c r="CZA377" s="15"/>
      <c r="CZB377" s="15"/>
      <c r="CZC377" s="15"/>
      <c r="CZD377" s="15"/>
      <c r="CZE377" s="15"/>
      <c r="CZF377" s="15"/>
      <c r="CZG377" s="15"/>
      <c r="CZH377" s="15"/>
      <c r="CZI377" s="15"/>
      <c r="CZJ377" s="10"/>
      <c r="CZK377" s="10"/>
      <c r="CZL377" s="21"/>
      <c r="CZM377" s="21"/>
      <c r="CZP377" s="21"/>
      <c r="CZQ377" s="15"/>
      <c r="CZR377" s="15"/>
      <c r="CZS377" s="15"/>
      <c r="CZT377" s="15"/>
      <c r="CZU377" s="15"/>
      <c r="CZV377" s="15"/>
      <c r="CZW377" s="15"/>
      <c r="CZX377" s="15"/>
      <c r="CZY377" s="15"/>
      <c r="CZZ377" s="15"/>
      <c r="DAA377" s="10"/>
      <c r="DAB377" s="10"/>
      <c r="DAC377" s="21"/>
      <c r="DAD377" s="21"/>
      <c r="DAG377" s="21"/>
      <c r="DAH377" s="15"/>
      <c r="DAI377" s="15"/>
      <c r="DAJ377" s="15"/>
      <c r="DAK377" s="15"/>
      <c r="DAL377" s="15"/>
      <c r="DAM377" s="15"/>
      <c r="DAN377" s="15"/>
      <c r="DAO377" s="15"/>
      <c r="DAP377" s="15"/>
      <c r="DAQ377" s="15"/>
      <c r="DAR377" s="10"/>
      <c r="DAS377" s="10"/>
      <c r="DAT377" s="21"/>
      <c r="DAU377" s="21"/>
      <c r="DAX377" s="21"/>
      <c r="DAY377" s="15"/>
      <c r="DAZ377" s="15"/>
      <c r="DBA377" s="15"/>
      <c r="DBB377" s="15"/>
      <c r="DBC377" s="15"/>
      <c r="DBD377" s="15"/>
      <c r="DBE377" s="15"/>
      <c r="DBF377" s="15"/>
      <c r="DBG377" s="15"/>
      <c r="DBH377" s="15"/>
      <c r="DBI377" s="10"/>
      <c r="DBJ377" s="10"/>
      <c r="DBK377" s="21"/>
      <c r="DBL377" s="21"/>
      <c r="DBO377" s="21"/>
      <c r="DBP377" s="15"/>
      <c r="DBQ377" s="15"/>
      <c r="DBR377" s="15"/>
      <c r="DBS377" s="15"/>
      <c r="DBT377" s="15"/>
      <c r="DBU377" s="15"/>
      <c r="DBV377" s="15"/>
      <c r="DBW377" s="15"/>
      <c r="DBX377" s="15"/>
      <c r="DBY377" s="15"/>
      <c r="DBZ377" s="10"/>
      <c r="DCA377" s="10"/>
      <c r="DCB377" s="21"/>
      <c r="DCC377" s="21"/>
      <c r="DCF377" s="21"/>
      <c r="DCG377" s="15"/>
      <c r="DCH377" s="15"/>
      <c r="DCI377" s="15"/>
      <c r="DCJ377" s="15"/>
      <c r="DCK377" s="15"/>
      <c r="DCL377" s="15"/>
      <c r="DCM377" s="15"/>
      <c r="DCN377" s="15"/>
      <c r="DCO377" s="15"/>
      <c r="DCP377" s="15"/>
      <c r="DCQ377" s="10"/>
      <c r="DCR377" s="10"/>
      <c r="DCS377" s="21"/>
      <c r="DCT377" s="21"/>
      <c r="DCW377" s="21"/>
      <c r="DCX377" s="15"/>
      <c r="DCY377" s="15"/>
      <c r="DCZ377" s="15"/>
      <c r="DDA377" s="15"/>
      <c r="DDB377" s="15"/>
      <c r="DDC377" s="15"/>
      <c r="DDD377" s="15"/>
      <c r="DDE377" s="15"/>
      <c r="DDF377" s="15"/>
      <c r="DDG377" s="15"/>
      <c r="DDH377" s="10"/>
      <c r="DDI377" s="10"/>
      <c r="DDJ377" s="21"/>
      <c r="DDK377" s="21"/>
      <c r="DDN377" s="21"/>
      <c r="DDO377" s="15"/>
      <c r="DDP377" s="15"/>
      <c r="DDQ377" s="15"/>
      <c r="DDR377" s="15"/>
      <c r="DDS377" s="15"/>
      <c r="DDT377" s="15"/>
      <c r="DDU377" s="15"/>
      <c r="DDV377" s="15"/>
      <c r="DDW377" s="15"/>
      <c r="DDX377" s="15"/>
      <c r="DDY377" s="10"/>
      <c r="DDZ377" s="10"/>
      <c r="DEA377" s="21"/>
      <c r="DEB377" s="21"/>
      <c r="DEE377" s="21"/>
      <c r="DEF377" s="15"/>
      <c r="DEG377" s="15"/>
      <c r="DEH377" s="15"/>
      <c r="DEI377" s="15"/>
      <c r="DEJ377" s="15"/>
      <c r="DEK377" s="15"/>
      <c r="DEL377" s="15"/>
      <c r="DEM377" s="15"/>
      <c r="DEN377" s="15"/>
      <c r="DEO377" s="15"/>
      <c r="DEP377" s="10"/>
      <c r="DEQ377" s="10"/>
      <c r="DER377" s="21"/>
      <c r="DES377" s="21"/>
      <c r="DEV377" s="21"/>
      <c r="DEW377" s="15"/>
      <c r="DEX377" s="15"/>
      <c r="DEY377" s="15"/>
      <c r="DEZ377" s="15"/>
      <c r="DFA377" s="15"/>
      <c r="DFB377" s="15"/>
      <c r="DFC377" s="15"/>
      <c r="DFD377" s="15"/>
      <c r="DFE377" s="15"/>
      <c r="DFF377" s="15"/>
      <c r="DFG377" s="10"/>
      <c r="DFH377" s="10"/>
      <c r="DFI377" s="21"/>
      <c r="DFJ377" s="21"/>
      <c r="DFM377" s="21"/>
      <c r="DFN377" s="15"/>
      <c r="DFO377" s="15"/>
      <c r="DFP377" s="15"/>
      <c r="DFQ377" s="15"/>
      <c r="DFR377" s="15"/>
      <c r="DFS377" s="15"/>
      <c r="DFT377" s="15"/>
      <c r="DFU377" s="15"/>
      <c r="DFV377" s="15"/>
      <c r="DFW377" s="15"/>
      <c r="DFX377" s="10"/>
      <c r="DFY377" s="10"/>
      <c r="DFZ377" s="21"/>
      <c r="DGA377" s="21"/>
      <c r="DGD377" s="21"/>
      <c r="DGE377" s="15"/>
      <c r="DGF377" s="15"/>
      <c r="DGG377" s="15"/>
      <c r="DGH377" s="15"/>
      <c r="DGI377" s="15"/>
      <c r="DGJ377" s="15"/>
      <c r="DGK377" s="15"/>
      <c r="DGL377" s="15"/>
      <c r="DGM377" s="15"/>
      <c r="DGN377" s="15"/>
      <c r="DGO377" s="10"/>
      <c r="DGP377" s="10"/>
      <c r="DGQ377" s="21"/>
      <c r="DGR377" s="21"/>
      <c r="DGU377" s="21"/>
      <c r="DGV377" s="15"/>
      <c r="DGW377" s="15"/>
      <c r="DGX377" s="15"/>
      <c r="DGY377" s="15"/>
      <c r="DGZ377" s="15"/>
      <c r="DHA377" s="15"/>
      <c r="DHB377" s="15"/>
      <c r="DHC377" s="15"/>
      <c r="DHD377" s="15"/>
      <c r="DHE377" s="15"/>
      <c r="DHF377" s="10"/>
      <c r="DHG377" s="10"/>
      <c r="DHH377" s="21"/>
      <c r="DHI377" s="21"/>
      <c r="DHL377" s="21"/>
      <c r="DHM377" s="15"/>
      <c r="DHN377" s="15"/>
      <c r="DHO377" s="15"/>
      <c r="DHP377" s="15"/>
      <c r="DHQ377" s="15"/>
      <c r="DHR377" s="15"/>
      <c r="DHS377" s="15"/>
      <c r="DHT377" s="15"/>
      <c r="DHU377" s="15"/>
      <c r="DHV377" s="15"/>
      <c r="DHW377" s="10"/>
      <c r="DHX377" s="10"/>
      <c r="DHY377" s="21"/>
      <c r="DHZ377" s="21"/>
      <c r="DIC377" s="21"/>
      <c r="DID377" s="15"/>
      <c r="DIE377" s="15"/>
      <c r="DIF377" s="15"/>
      <c r="DIG377" s="15"/>
      <c r="DIH377" s="15"/>
      <c r="DII377" s="15"/>
      <c r="DIJ377" s="15"/>
      <c r="DIK377" s="15"/>
      <c r="DIL377" s="15"/>
      <c r="DIM377" s="15"/>
      <c r="DIN377" s="10"/>
      <c r="DIO377" s="10"/>
      <c r="DIP377" s="21"/>
      <c r="DIQ377" s="21"/>
      <c r="DIT377" s="21"/>
      <c r="DIU377" s="15"/>
      <c r="DIV377" s="15"/>
      <c r="DIW377" s="15"/>
      <c r="DIX377" s="15"/>
      <c r="DIY377" s="15"/>
      <c r="DIZ377" s="15"/>
      <c r="DJA377" s="15"/>
      <c r="DJB377" s="15"/>
      <c r="DJC377" s="15"/>
      <c r="DJD377" s="15"/>
      <c r="DJE377" s="10"/>
      <c r="DJF377" s="10"/>
      <c r="DJG377" s="21"/>
      <c r="DJH377" s="21"/>
      <c r="DJK377" s="21"/>
      <c r="DJL377" s="15"/>
      <c r="DJM377" s="15"/>
      <c r="DJN377" s="15"/>
      <c r="DJO377" s="15"/>
      <c r="DJP377" s="15"/>
      <c r="DJQ377" s="15"/>
      <c r="DJR377" s="15"/>
      <c r="DJS377" s="15"/>
      <c r="DJT377" s="15"/>
      <c r="DJU377" s="15"/>
      <c r="DJV377" s="10"/>
      <c r="DJW377" s="10"/>
      <c r="DJX377" s="21"/>
      <c r="DJY377" s="21"/>
      <c r="DKB377" s="21"/>
      <c r="DKC377" s="15"/>
      <c r="DKD377" s="15"/>
      <c r="DKE377" s="15"/>
      <c r="DKF377" s="15"/>
      <c r="DKG377" s="15"/>
      <c r="DKH377" s="15"/>
      <c r="DKI377" s="15"/>
      <c r="DKJ377" s="15"/>
      <c r="DKK377" s="15"/>
      <c r="DKL377" s="15"/>
      <c r="DKM377" s="10"/>
      <c r="DKN377" s="10"/>
      <c r="DKO377" s="21"/>
      <c r="DKP377" s="21"/>
      <c r="DKS377" s="21"/>
      <c r="DKT377" s="15"/>
      <c r="DKU377" s="15"/>
      <c r="DKV377" s="15"/>
      <c r="DKW377" s="15"/>
      <c r="DKX377" s="15"/>
      <c r="DKY377" s="15"/>
      <c r="DKZ377" s="15"/>
      <c r="DLA377" s="15"/>
      <c r="DLB377" s="15"/>
      <c r="DLC377" s="15"/>
      <c r="DLD377" s="10"/>
      <c r="DLE377" s="10"/>
      <c r="DLF377" s="21"/>
      <c r="DLG377" s="21"/>
      <c r="DLJ377" s="21"/>
      <c r="DLK377" s="15"/>
      <c r="DLL377" s="15"/>
      <c r="DLM377" s="15"/>
      <c r="DLN377" s="15"/>
      <c r="DLO377" s="15"/>
      <c r="DLP377" s="15"/>
      <c r="DLQ377" s="15"/>
      <c r="DLR377" s="15"/>
      <c r="DLS377" s="15"/>
      <c r="DLT377" s="15"/>
      <c r="DLU377" s="10"/>
      <c r="DLV377" s="10"/>
      <c r="DLW377" s="21"/>
      <c r="DLX377" s="21"/>
      <c r="DMA377" s="21"/>
      <c r="DMB377" s="15"/>
      <c r="DMC377" s="15"/>
      <c r="DMD377" s="15"/>
      <c r="DME377" s="15"/>
      <c r="DMF377" s="15"/>
      <c r="DMG377" s="15"/>
      <c r="DMH377" s="15"/>
      <c r="DMI377" s="15"/>
      <c r="DMJ377" s="15"/>
      <c r="DMK377" s="15"/>
      <c r="DML377" s="10"/>
      <c r="DMM377" s="10"/>
      <c r="DMN377" s="21"/>
      <c r="DMO377" s="21"/>
      <c r="DMR377" s="21"/>
      <c r="DMS377" s="15"/>
      <c r="DMT377" s="15"/>
      <c r="DMU377" s="15"/>
      <c r="DMV377" s="15"/>
      <c r="DMW377" s="15"/>
      <c r="DMX377" s="15"/>
      <c r="DMY377" s="15"/>
      <c r="DMZ377" s="15"/>
      <c r="DNA377" s="15"/>
      <c r="DNB377" s="15"/>
      <c r="DNC377" s="10"/>
      <c r="DND377" s="10"/>
      <c r="DNE377" s="21"/>
      <c r="DNF377" s="21"/>
      <c r="DNI377" s="21"/>
      <c r="DNJ377" s="15"/>
      <c r="DNK377" s="15"/>
      <c r="DNL377" s="15"/>
      <c r="DNM377" s="15"/>
      <c r="DNN377" s="15"/>
      <c r="DNO377" s="15"/>
      <c r="DNP377" s="15"/>
      <c r="DNQ377" s="15"/>
      <c r="DNR377" s="15"/>
      <c r="DNS377" s="15"/>
      <c r="DNT377" s="10"/>
      <c r="DNU377" s="10"/>
      <c r="DNV377" s="21"/>
      <c r="DNW377" s="21"/>
      <c r="DNZ377" s="21"/>
      <c r="DOA377" s="15"/>
      <c r="DOB377" s="15"/>
      <c r="DOC377" s="15"/>
      <c r="DOD377" s="15"/>
      <c r="DOE377" s="15"/>
      <c r="DOF377" s="15"/>
      <c r="DOG377" s="15"/>
      <c r="DOH377" s="15"/>
      <c r="DOI377" s="15"/>
      <c r="DOJ377" s="15"/>
      <c r="DOK377" s="10"/>
      <c r="DOL377" s="10"/>
      <c r="DOM377" s="21"/>
      <c r="DON377" s="21"/>
      <c r="DOQ377" s="21"/>
      <c r="DOR377" s="15"/>
      <c r="DOS377" s="15"/>
      <c r="DOT377" s="15"/>
      <c r="DOU377" s="15"/>
      <c r="DOV377" s="15"/>
      <c r="DOW377" s="15"/>
      <c r="DOX377" s="15"/>
      <c r="DOY377" s="15"/>
      <c r="DOZ377" s="15"/>
      <c r="DPA377" s="15"/>
      <c r="DPB377" s="10"/>
      <c r="DPC377" s="10"/>
      <c r="DPD377" s="21"/>
      <c r="DPE377" s="21"/>
      <c r="DPH377" s="21"/>
      <c r="DPI377" s="15"/>
      <c r="DPJ377" s="15"/>
      <c r="DPK377" s="15"/>
      <c r="DPL377" s="15"/>
      <c r="DPM377" s="15"/>
      <c r="DPN377" s="15"/>
      <c r="DPO377" s="15"/>
      <c r="DPP377" s="15"/>
      <c r="DPQ377" s="15"/>
      <c r="DPR377" s="15"/>
      <c r="DPS377" s="10"/>
      <c r="DPT377" s="10"/>
      <c r="DPU377" s="21"/>
      <c r="DPV377" s="21"/>
      <c r="DPY377" s="21"/>
      <c r="DPZ377" s="15"/>
      <c r="DQA377" s="15"/>
      <c r="DQB377" s="15"/>
      <c r="DQC377" s="15"/>
      <c r="DQD377" s="15"/>
      <c r="DQE377" s="15"/>
      <c r="DQF377" s="15"/>
      <c r="DQG377" s="15"/>
      <c r="DQH377" s="15"/>
      <c r="DQI377" s="15"/>
      <c r="DQJ377" s="10"/>
      <c r="DQK377" s="10"/>
      <c r="DQL377" s="21"/>
      <c r="DQM377" s="21"/>
      <c r="DQP377" s="21"/>
      <c r="DQQ377" s="15"/>
      <c r="DQR377" s="15"/>
      <c r="DQS377" s="15"/>
      <c r="DQT377" s="15"/>
      <c r="DQU377" s="15"/>
      <c r="DQV377" s="15"/>
      <c r="DQW377" s="15"/>
      <c r="DQX377" s="15"/>
      <c r="DQY377" s="15"/>
      <c r="DQZ377" s="15"/>
      <c r="DRA377" s="10"/>
      <c r="DRB377" s="10"/>
      <c r="DRC377" s="21"/>
      <c r="DRD377" s="21"/>
      <c r="DRG377" s="21"/>
      <c r="DRH377" s="15"/>
      <c r="DRI377" s="15"/>
      <c r="DRJ377" s="15"/>
      <c r="DRK377" s="15"/>
      <c r="DRL377" s="15"/>
      <c r="DRM377" s="15"/>
      <c r="DRN377" s="15"/>
      <c r="DRO377" s="15"/>
      <c r="DRP377" s="15"/>
      <c r="DRQ377" s="15"/>
      <c r="DRR377" s="10"/>
      <c r="DRS377" s="10"/>
      <c r="DRT377" s="21"/>
      <c r="DRU377" s="21"/>
      <c r="DRX377" s="21"/>
      <c r="DRY377" s="15"/>
      <c r="DRZ377" s="15"/>
      <c r="DSA377" s="15"/>
      <c r="DSB377" s="15"/>
      <c r="DSC377" s="15"/>
      <c r="DSD377" s="15"/>
      <c r="DSE377" s="15"/>
      <c r="DSF377" s="15"/>
      <c r="DSG377" s="15"/>
      <c r="DSH377" s="15"/>
      <c r="DSI377" s="10"/>
      <c r="DSJ377" s="10"/>
      <c r="DSK377" s="21"/>
      <c r="DSL377" s="21"/>
      <c r="DSO377" s="21"/>
      <c r="DSP377" s="15"/>
      <c r="DSQ377" s="15"/>
      <c r="DSR377" s="15"/>
      <c r="DSS377" s="15"/>
      <c r="DST377" s="15"/>
      <c r="DSU377" s="15"/>
      <c r="DSV377" s="15"/>
      <c r="DSW377" s="15"/>
      <c r="DSX377" s="15"/>
      <c r="DSY377" s="15"/>
      <c r="DSZ377" s="10"/>
      <c r="DTA377" s="10"/>
      <c r="DTB377" s="21"/>
      <c r="DTC377" s="21"/>
      <c r="DTF377" s="21"/>
      <c r="DTG377" s="15"/>
      <c r="DTH377" s="15"/>
      <c r="DTI377" s="15"/>
      <c r="DTJ377" s="15"/>
      <c r="DTK377" s="15"/>
      <c r="DTL377" s="15"/>
      <c r="DTM377" s="15"/>
      <c r="DTN377" s="15"/>
      <c r="DTO377" s="15"/>
      <c r="DTP377" s="15"/>
      <c r="DTQ377" s="10"/>
      <c r="DTR377" s="10"/>
      <c r="DTS377" s="21"/>
      <c r="DTT377" s="21"/>
      <c r="DTW377" s="21"/>
      <c r="DTX377" s="15"/>
      <c r="DTY377" s="15"/>
      <c r="DTZ377" s="15"/>
      <c r="DUA377" s="15"/>
      <c r="DUB377" s="15"/>
      <c r="DUC377" s="15"/>
      <c r="DUD377" s="15"/>
      <c r="DUE377" s="15"/>
      <c r="DUF377" s="15"/>
      <c r="DUG377" s="15"/>
      <c r="DUH377" s="10"/>
      <c r="DUI377" s="10"/>
      <c r="DUJ377" s="21"/>
      <c r="DUK377" s="21"/>
      <c r="DUN377" s="21"/>
      <c r="DUO377" s="15"/>
      <c r="DUP377" s="15"/>
      <c r="DUQ377" s="15"/>
      <c r="DUR377" s="15"/>
      <c r="DUS377" s="15"/>
      <c r="DUT377" s="15"/>
      <c r="DUU377" s="15"/>
      <c r="DUV377" s="15"/>
      <c r="DUW377" s="15"/>
      <c r="DUX377" s="15"/>
      <c r="DUY377" s="10"/>
      <c r="DUZ377" s="10"/>
      <c r="DVA377" s="21"/>
      <c r="DVB377" s="21"/>
      <c r="DVE377" s="21"/>
      <c r="DVF377" s="15"/>
      <c r="DVG377" s="15"/>
      <c r="DVH377" s="15"/>
      <c r="DVI377" s="15"/>
      <c r="DVJ377" s="15"/>
      <c r="DVK377" s="15"/>
      <c r="DVL377" s="15"/>
      <c r="DVM377" s="15"/>
      <c r="DVN377" s="15"/>
      <c r="DVO377" s="15"/>
      <c r="DVP377" s="10"/>
      <c r="DVQ377" s="10"/>
      <c r="DVR377" s="21"/>
      <c r="DVS377" s="21"/>
      <c r="DVV377" s="21"/>
      <c r="DVW377" s="15"/>
      <c r="DVX377" s="15"/>
      <c r="DVY377" s="15"/>
      <c r="DVZ377" s="15"/>
      <c r="DWA377" s="15"/>
      <c r="DWB377" s="15"/>
      <c r="DWC377" s="15"/>
      <c r="DWD377" s="15"/>
      <c r="DWE377" s="15"/>
      <c r="DWF377" s="15"/>
      <c r="DWG377" s="10"/>
      <c r="DWH377" s="10"/>
      <c r="DWI377" s="21"/>
      <c r="DWJ377" s="21"/>
      <c r="DWM377" s="21"/>
      <c r="DWN377" s="15"/>
      <c r="DWO377" s="15"/>
      <c r="DWP377" s="15"/>
      <c r="DWQ377" s="15"/>
      <c r="DWR377" s="15"/>
      <c r="DWS377" s="15"/>
      <c r="DWT377" s="15"/>
      <c r="DWU377" s="15"/>
      <c r="DWV377" s="15"/>
      <c r="DWW377" s="15"/>
      <c r="DWX377" s="10"/>
      <c r="DWY377" s="10"/>
      <c r="DWZ377" s="21"/>
      <c r="DXA377" s="21"/>
      <c r="DXD377" s="21"/>
      <c r="DXE377" s="15"/>
      <c r="DXF377" s="15"/>
      <c r="DXG377" s="15"/>
      <c r="DXH377" s="15"/>
      <c r="DXI377" s="15"/>
      <c r="DXJ377" s="15"/>
      <c r="DXK377" s="15"/>
      <c r="DXL377" s="15"/>
      <c r="DXM377" s="15"/>
      <c r="DXN377" s="15"/>
      <c r="DXO377" s="10"/>
      <c r="DXP377" s="10"/>
      <c r="DXQ377" s="21"/>
      <c r="DXR377" s="21"/>
      <c r="DXU377" s="21"/>
      <c r="DXV377" s="15"/>
      <c r="DXW377" s="15"/>
      <c r="DXX377" s="15"/>
      <c r="DXY377" s="15"/>
      <c r="DXZ377" s="15"/>
      <c r="DYA377" s="15"/>
      <c r="DYB377" s="15"/>
      <c r="DYC377" s="15"/>
      <c r="DYD377" s="15"/>
      <c r="DYE377" s="15"/>
      <c r="DYF377" s="10"/>
      <c r="DYG377" s="10"/>
      <c r="DYH377" s="21"/>
      <c r="DYI377" s="21"/>
      <c r="DYL377" s="21"/>
      <c r="DYM377" s="15"/>
      <c r="DYN377" s="15"/>
      <c r="DYO377" s="15"/>
      <c r="DYP377" s="15"/>
      <c r="DYQ377" s="15"/>
      <c r="DYR377" s="15"/>
      <c r="DYS377" s="15"/>
      <c r="DYT377" s="15"/>
      <c r="DYU377" s="15"/>
      <c r="DYV377" s="15"/>
      <c r="DYW377" s="10"/>
      <c r="DYX377" s="10"/>
      <c r="DYY377" s="21"/>
      <c r="DYZ377" s="21"/>
      <c r="DZC377" s="21"/>
      <c r="DZD377" s="15"/>
      <c r="DZE377" s="15"/>
      <c r="DZF377" s="15"/>
      <c r="DZG377" s="15"/>
      <c r="DZH377" s="15"/>
      <c r="DZI377" s="15"/>
      <c r="DZJ377" s="15"/>
      <c r="DZK377" s="15"/>
      <c r="DZL377" s="15"/>
      <c r="DZM377" s="15"/>
      <c r="DZN377" s="10"/>
      <c r="DZO377" s="10"/>
      <c r="DZP377" s="21"/>
      <c r="DZQ377" s="21"/>
      <c r="DZT377" s="21"/>
      <c r="DZU377" s="15"/>
      <c r="DZV377" s="15"/>
      <c r="DZW377" s="15"/>
      <c r="DZX377" s="15"/>
      <c r="DZY377" s="15"/>
      <c r="DZZ377" s="15"/>
      <c r="EAA377" s="15"/>
      <c r="EAB377" s="15"/>
      <c r="EAC377" s="15"/>
      <c r="EAD377" s="15"/>
      <c r="EAE377" s="10"/>
      <c r="EAF377" s="10"/>
      <c r="EAG377" s="21"/>
      <c r="EAH377" s="21"/>
      <c r="EAK377" s="21"/>
      <c r="EAL377" s="15"/>
      <c r="EAM377" s="15"/>
      <c r="EAN377" s="15"/>
      <c r="EAO377" s="15"/>
      <c r="EAP377" s="15"/>
      <c r="EAQ377" s="15"/>
      <c r="EAR377" s="15"/>
      <c r="EAS377" s="15"/>
      <c r="EAT377" s="15"/>
      <c r="EAU377" s="15"/>
      <c r="EAV377" s="10"/>
      <c r="EAW377" s="10"/>
      <c r="EAX377" s="21"/>
      <c r="EAY377" s="21"/>
      <c r="EBB377" s="21"/>
      <c r="EBC377" s="15"/>
      <c r="EBD377" s="15"/>
      <c r="EBE377" s="15"/>
      <c r="EBF377" s="15"/>
      <c r="EBG377" s="15"/>
      <c r="EBH377" s="15"/>
      <c r="EBI377" s="15"/>
      <c r="EBJ377" s="15"/>
      <c r="EBK377" s="15"/>
      <c r="EBL377" s="15"/>
      <c r="EBM377" s="10"/>
      <c r="EBN377" s="10"/>
      <c r="EBO377" s="21"/>
      <c r="EBP377" s="21"/>
      <c r="EBS377" s="21"/>
      <c r="EBT377" s="15"/>
      <c r="EBU377" s="15"/>
      <c r="EBV377" s="15"/>
      <c r="EBW377" s="15"/>
      <c r="EBX377" s="15"/>
      <c r="EBY377" s="15"/>
      <c r="EBZ377" s="15"/>
      <c r="ECA377" s="15"/>
      <c r="ECB377" s="15"/>
      <c r="ECC377" s="15"/>
      <c r="ECD377" s="10"/>
      <c r="ECE377" s="10"/>
      <c r="ECF377" s="21"/>
      <c r="ECG377" s="21"/>
      <c r="ECJ377" s="21"/>
      <c r="ECK377" s="15"/>
      <c r="ECL377" s="15"/>
      <c r="ECM377" s="15"/>
      <c r="ECN377" s="15"/>
      <c r="ECO377" s="15"/>
      <c r="ECP377" s="15"/>
      <c r="ECQ377" s="15"/>
      <c r="ECR377" s="15"/>
      <c r="ECS377" s="15"/>
      <c r="ECT377" s="15"/>
      <c r="ECU377" s="10"/>
      <c r="ECV377" s="10"/>
      <c r="ECW377" s="21"/>
      <c r="ECX377" s="21"/>
      <c r="EDA377" s="21"/>
      <c r="EDB377" s="15"/>
      <c r="EDC377" s="15"/>
      <c r="EDD377" s="15"/>
      <c r="EDE377" s="15"/>
      <c r="EDF377" s="15"/>
      <c r="EDG377" s="15"/>
      <c r="EDH377" s="15"/>
      <c r="EDI377" s="15"/>
      <c r="EDJ377" s="15"/>
      <c r="EDK377" s="15"/>
      <c r="EDL377" s="10"/>
      <c r="EDM377" s="10"/>
      <c r="EDN377" s="21"/>
      <c r="EDO377" s="21"/>
      <c r="EDR377" s="21"/>
      <c r="EDS377" s="15"/>
      <c r="EDT377" s="15"/>
      <c r="EDU377" s="15"/>
      <c r="EDV377" s="15"/>
      <c r="EDW377" s="15"/>
      <c r="EDX377" s="15"/>
      <c r="EDY377" s="15"/>
      <c r="EDZ377" s="15"/>
      <c r="EEA377" s="15"/>
      <c r="EEB377" s="15"/>
      <c r="EEC377" s="10"/>
      <c r="EED377" s="10"/>
      <c r="EEE377" s="21"/>
      <c r="EEF377" s="21"/>
      <c r="EEI377" s="21"/>
      <c r="EEJ377" s="15"/>
      <c r="EEK377" s="15"/>
      <c r="EEL377" s="15"/>
      <c r="EEM377" s="15"/>
      <c r="EEN377" s="15"/>
      <c r="EEO377" s="15"/>
      <c r="EEP377" s="15"/>
      <c r="EEQ377" s="15"/>
      <c r="EER377" s="15"/>
      <c r="EES377" s="15"/>
      <c r="EET377" s="10"/>
      <c r="EEU377" s="10"/>
      <c r="EEV377" s="21"/>
      <c r="EEW377" s="21"/>
      <c r="EEZ377" s="21"/>
      <c r="EFA377" s="15"/>
      <c r="EFB377" s="15"/>
      <c r="EFC377" s="15"/>
      <c r="EFD377" s="15"/>
      <c r="EFE377" s="15"/>
      <c r="EFF377" s="15"/>
      <c r="EFG377" s="15"/>
      <c r="EFH377" s="15"/>
      <c r="EFI377" s="15"/>
      <c r="EFJ377" s="15"/>
      <c r="EFK377" s="10"/>
      <c r="EFL377" s="10"/>
      <c r="EFM377" s="21"/>
      <c r="EFN377" s="21"/>
      <c r="EFQ377" s="21"/>
      <c r="EFR377" s="15"/>
      <c r="EFS377" s="15"/>
      <c r="EFT377" s="15"/>
      <c r="EFU377" s="15"/>
      <c r="EFV377" s="15"/>
      <c r="EFW377" s="15"/>
      <c r="EFX377" s="15"/>
      <c r="EFY377" s="15"/>
      <c r="EFZ377" s="15"/>
      <c r="EGA377" s="15"/>
      <c r="EGB377" s="10"/>
      <c r="EGC377" s="10"/>
      <c r="EGD377" s="21"/>
      <c r="EGE377" s="21"/>
      <c r="EGH377" s="21"/>
      <c r="EGI377" s="15"/>
      <c r="EGJ377" s="15"/>
      <c r="EGK377" s="15"/>
      <c r="EGL377" s="15"/>
      <c r="EGM377" s="15"/>
      <c r="EGN377" s="15"/>
      <c r="EGO377" s="15"/>
      <c r="EGP377" s="15"/>
      <c r="EGQ377" s="15"/>
      <c r="EGR377" s="15"/>
      <c r="EGS377" s="10"/>
      <c r="EGT377" s="10"/>
      <c r="EGU377" s="21"/>
      <c r="EGV377" s="21"/>
      <c r="EGY377" s="21"/>
      <c r="EGZ377" s="15"/>
      <c r="EHA377" s="15"/>
      <c r="EHB377" s="15"/>
      <c r="EHC377" s="15"/>
      <c r="EHD377" s="15"/>
      <c r="EHE377" s="15"/>
      <c r="EHF377" s="15"/>
      <c r="EHG377" s="15"/>
      <c r="EHH377" s="15"/>
      <c r="EHI377" s="15"/>
      <c r="EHJ377" s="10"/>
      <c r="EHK377" s="10"/>
      <c r="EHL377" s="21"/>
      <c r="EHM377" s="21"/>
      <c r="EHP377" s="21"/>
      <c r="EHQ377" s="15"/>
      <c r="EHR377" s="15"/>
      <c r="EHS377" s="15"/>
      <c r="EHT377" s="15"/>
      <c r="EHU377" s="15"/>
      <c r="EHV377" s="15"/>
      <c r="EHW377" s="15"/>
      <c r="EHX377" s="15"/>
      <c r="EHY377" s="15"/>
      <c r="EHZ377" s="15"/>
      <c r="EIA377" s="10"/>
      <c r="EIB377" s="10"/>
      <c r="EIC377" s="21"/>
      <c r="EID377" s="21"/>
      <c r="EIG377" s="21"/>
      <c r="EIH377" s="15"/>
      <c r="EII377" s="15"/>
      <c r="EIJ377" s="15"/>
      <c r="EIK377" s="15"/>
      <c r="EIL377" s="15"/>
      <c r="EIM377" s="15"/>
      <c r="EIN377" s="15"/>
      <c r="EIO377" s="15"/>
      <c r="EIP377" s="15"/>
      <c r="EIQ377" s="15"/>
      <c r="EIR377" s="10"/>
      <c r="EIS377" s="10"/>
      <c r="EIT377" s="21"/>
      <c r="EIU377" s="21"/>
      <c r="EIX377" s="21"/>
      <c r="EIY377" s="15"/>
      <c r="EIZ377" s="15"/>
      <c r="EJA377" s="15"/>
      <c r="EJB377" s="15"/>
      <c r="EJC377" s="15"/>
      <c r="EJD377" s="15"/>
      <c r="EJE377" s="15"/>
      <c r="EJF377" s="15"/>
      <c r="EJG377" s="15"/>
      <c r="EJH377" s="15"/>
      <c r="EJI377" s="10"/>
      <c r="EJJ377" s="10"/>
      <c r="EJK377" s="21"/>
      <c r="EJL377" s="21"/>
      <c r="EJO377" s="21"/>
      <c r="EJP377" s="15"/>
      <c r="EJQ377" s="15"/>
      <c r="EJR377" s="15"/>
      <c r="EJS377" s="15"/>
      <c r="EJT377" s="15"/>
      <c r="EJU377" s="15"/>
      <c r="EJV377" s="15"/>
      <c r="EJW377" s="15"/>
      <c r="EJX377" s="15"/>
      <c r="EJY377" s="15"/>
      <c r="EJZ377" s="10"/>
      <c r="EKA377" s="10"/>
      <c r="EKB377" s="21"/>
      <c r="EKC377" s="21"/>
      <c r="EKF377" s="21"/>
      <c r="EKG377" s="15"/>
      <c r="EKH377" s="15"/>
      <c r="EKI377" s="15"/>
      <c r="EKJ377" s="15"/>
      <c r="EKK377" s="15"/>
      <c r="EKL377" s="15"/>
      <c r="EKM377" s="15"/>
      <c r="EKN377" s="15"/>
      <c r="EKO377" s="15"/>
      <c r="EKP377" s="15"/>
      <c r="EKQ377" s="10"/>
      <c r="EKR377" s="10"/>
      <c r="EKS377" s="21"/>
      <c r="EKT377" s="21"/>
      <c r="EKW377" s="21"/>
      <c r="EKX377" s="15"/>
      <c r="EKY377" s="15"/>
      <c r="EKZ377" s="15"/>
      <c r="ELA377" s="15"/>
      <c r="ELB377" s="15"/>
      <c r="ELC377" s="15"/>
      <c r="ELD377" s="15"/>
      <c r="ELE377" s="15"/>
      <c r="ELF377" s="15"/>
      <c r="ELG377" s="15"/>
      <c r="ELH377" s="10"/>
      <c r="ELI377" s="10"/>
      <c r="ELJ377" s="21"/>
      <c r="ELK377" s="21"/>
      <c r="ELN377" s="21"/>
      <c r="ELO377" s="15"/>
      <c r="ELP377" s="15"/>
      <c r="ELQ377" s="15"/>
      <c r="ELR377" s="15"/>
      <c r="ELS377" s="15"/>
      <c r="ELT377" s="15"/>
      <c r="ELU377" s="15"/>
      <c r="ELV377" s="15"/>
      <c r="ELW377" s="15"/>
      <c r="ELX377" s="15"/>
      <c r="ELY377" s="10"/>
      <c r="ELZ377" s="10"/>
      <c r="EMA377" s="21"/>
      <c r="EMB377" s="21"/>
      <c r="EME377" s="21"/>
      <c r="EMF377" s="15"/>
      <c r="EMG377" s="15"/>
      <c r="EMH377" s="15"/>
      <c r="EMI377" s="15"/>
      <c r="EMJ377" s="15"/>
      <c r="EMK377" s="15"/>
      <c r="EML377" s="15"/>
      <c r="EMM377" s="15"/>
      <c r="EMN377" s="15"/>
      <c r="EMO377" s="15"/>
      <c r="EMP377" s="10"/>
      <c r="EMQ377" s="10"/>
      <c r="EMR377" s="21"/>
      <c r="EMS377" s="21"/>
      <c r="EMV377" s="21"/>
      <c r="EMW377" s="15"/>
      <c r="EMX377" s="15"/>
      <c r="EMY377" s="15"/>
      <c r="EMZ377" s="15"/>
      <c r="ENA377" s="15"/>
      <c r="ENB377" s="15"/>
      <c r="ENC377" s="15"/>
      <c r="END377" s="15"/>
      <c r="ENE377" s="15"/>
      <c r="ENF377" s="15"/>
      <c r="ENG377" s="10"/>
      <c r="ENH377" s="10"/>
      <c r="ENI377" s="21"/>
      <c r="ENJ377" s="21"/>
      <c r="ENM377" s="21"/>
      <c r="ENN377" s="15"/>
      <c r="ENO377" s="15"/>
      <c r="ENP377" s="15"/>
      <c r="ENQ377" s="15"/>
      <c r="ENR377" s="15"/>
      <c r="ENS377" s="15"/>
      <c r="ENT377" s="15"/>
      <c r="ENU377" s="15"/>
      <c r="ENV377" s="15"/>
      <c r="ENW377" s="15"/>
      <c r="ENX377" s="10"/>
      <c r="ENY377" s="10"/>
      <c r="ENZ377" s="21"/>
      <c r="EOA377" s="21"/>
      <c r="EOD377" s="21"/>
      <c r="EOE377" s="15"/>
      <c r="EOF377" s="15"/>
      <c r="EOG377" s="15"/>
      <c r="EOH377" s="15"/>
      <c r="EOI377" s="15"/>
      <c r="EOJ377" s="15"/>
      <c r="EOK377" s="15"/>
      <c r="EOL377" s="15"/>
      <c r="EOM377" s="15"/>
      <c r="EON377" s="15"/>
      <c r="EOO377" s="10"/>
      <c r="EOP377" s="10"/>
      <c r="EOQ377" s="21"/>
      <c r="EOR377" s="21"/>
      <c r="EOU377" s="21"/>
      <c r="EOV377" s="15"/>
      <c r="EOW377" s="15"/>
      <c r="EOX377" s="15"/>
      <c r="EOY377" s="15"/>
      <c r="EOZ377" s="15"/>
      <c r="EPA377" s="15"/>
      <c r="EPB377" s="15"/>
      <c r="EPC377" s="15"/>
      <c r="EPD377" s="15"/>
      <c r="EPE377" s="15"/>
      <c r="EPF377" s="10"/>
      <c r="EPG377" s="10"/>
      <c r="EPH377" s="21"/>
      <c r="EPI377" s="21"/>
      <c r="EPL377" s="21"/>
      <c r="EPM377" s="15"/>
      <c r="EPN377" s="15"/>
      <c r="EPO377" s="15"/>
      <c r="EPP377" s="15"/>
      <c r="EPQ377" s="15"/>
      <c r="EPR377" s="15"/>
      <c r="EPS377" s="15"/>
      <c r="EPT377" s="15"/>
      <c r="EPU377" s="15"/>
      <c r="EPV377" s="15"/>
      <c r="EPW377" s="10"/>
      <c r="EPX377" s="10"/>
      <c r="EPY377" s="21"/>
      <c r="EPZ377" s="21"/>
      <c r="EQC377" s="21"/>
      <c r="EQD377" s="15"/>
      <c r="EQE377" s="15"/>
      <c r="EQF377" s="15"/>
      <c r="EQG377" s="15"/>
      <c r="EQH377" s="15"/>
      <c r="EQI377" s="15"/>
      <c r="EQJ377" s="15"/>
      <c r="EQK377" s="15"/>
      <c r="EQL377" s="15"/>
      <c r="EQM377" s="15"/>
      <c r="EQN377" s="10"/>
      <c r="EQO377" s="10"/>
      <c r="EQP377" s="21"/>
      <c r="EQQ377" s="21"/>
      <c r="EQT377" s="21"/>
      <c r="EQU377" s="15"/>
      <c r="EQV377" s="15"/>
      <c r="EQW377" s="15"/>
      <c r="EQX377" s="15"/>
      <c r="EQY377" s="15"/>
      <c r="EQZ377" s="15"/>
      <c r="ERA377" s="15"/>
      <c r="ERB377" s="15"/>
      <c r="ERC377" s="15"/>
      <c r="ERD377" s="15"/>
      <c r="ERE377" s="10"/>
      <c r="ERF377" s="10"/>
      <c r="ERG377" s="21"/>
      <c r="ERH377" s="21"/>
      <c r="ERK377" s="21"/>
      <c r="ERL377" s="15"/>
      <c r="ERM377" s="15"/>
      <c r="ERN377" s="15"/>
      <c r="ERO377" s="15"/>
      <c r="ERP377" s="15"/>
      <c r="ERQ377" s="15"/>
      <c r="ERR377" s="15"/>
      <c r="ERS377" s="15"/>
      <c r="ERT377" s="15"/>
      <c r="ERU377" s="15"/>
      <c r="ERV377" s="10"/>
      <c r="ERW377" s="10"/>
      <c r="ERX377" s="21"/>
      <c r="ERY377" s="21"/>
      <c r="ESB377" s="21"/>
      <c r="ESC377" s="15"/>
      <c r="ESD377" s="15"/>
      <c r="ESE377" s="15"/>
      <c r="ESF377" s="15"/>
      <c r="ESG377" s="15"/>
      <c r="ESH377" s="15"/>
      <c r="ESI377" s="15"/>
      <c r="ESJ377" s="15"/>
      <c r="ESK377" s="15"/>
      <c r="ESL377" s="15"/>
      <c r="ESM377" s="10"/>
      <c r="ESN377" s="10"/>
      <c r="ESO377" s="21"/>
      <c r="ESP377" s="21"/>
      <c r="ESS377" s="21"/>
      <c r="EST377" s="15"/>
      <c r="ESU377" s="15"/>
      <c r="ESV377" s="15"/>
      <c r="ESW377" s="15"/>
      <c r="ESX377" s="15"/>
      <c r="ESY377" s="15"/>
      <c r="ESZ377" s="15"/>
      <c r="ETA377" s="15"/>
      <c r="ETB377" s="15"/>
      <c r="ETC377" s="15"/>
      <c r="ETD377" s="10"/>
      <c r="ETE377" s="10"/>
      <c r="ETF377" s="21"/>
      <c r="ETG377" s="21"/>
      <c r="ETJ377" s="21"/>
      <c r="ETK377" s="15"/>
      <c r="ETL377" s="15"/>
      <c r="ETM377" s="15"/>
      <c r="ETN377" s="15"/>
      <c r="ETO377" s="15"/>
      <c r="ETP377" s="15"/>
      <c r="ETQ377" s="15"/>
      <c r="ETR377" s="15"/>
      <c r="ETS377" s="15"/>
      <c r="ETT377" s="15"/>
      <c r="ETU377" s="10"/>
      <c r="ETV377" s="10"/>
      <c r="ETW377" s="21"/>
      <c r="ETX377" s="21"/>
      <c r="EUA377" s="21"/>
      <c r="EUB377" s="15"/>
      <c r="EUC377" s="15"/>
      <c r="EUD377" s="15"/>
      <c r="EUE377" s="15"/>
      <c r="EUF377" s="15"/>
      <c r="EUG377" s="15"/>
      <c r="EUH377" s="15"/>
      <c r="EUI377" s="15"/>
      <c r="EUJ377" s="15"/>
      <c r="EUK377" s="15"/>
      <c r="EUL377" s="10"/>
      <c r="EUM377" s="10"/>
      <c r="EUN377" s="21"/>
      <c r="EUO377" s="21"/>
      <c r="EUR377" s="21"/>
      <c r="EUS377" s="15"/>
      <c r="EUT377" s="15"/>
      <c r="EUU377" s="15"/>
      <c r="EUV377" s="15"/>
      <c r="EUW377" s="15"/>
      <c r="EUX377" s="15"/>
      <c r="EUY377" s="15"/>
      <c r="EUZ377" s="15"/>
      <c r="EVA377" s="15"/>
      <c r="EVB377" s="15"/>
      <c r="EVC377" s="10"/>
      <c r="EVD377" s="10"/>
      <c r="EVE377" s="21"/>
      <c r="EVF377" s="21"/>
      <c r="EVI377" s="21"/>
      <c r="EVJ377" s="15"/>
      <c r="EVK377" s="15"/>
      <c r="EVL377" s="15"/>
      <c r="EVM377" s="15"/>
      <c r="EVN377" s="15"/>
      <c r="EVO377" s="15"/>
      <c r="EVP377" s="15"/>
      <c r="EVQ377" s="15"/>
      <c r="EVR377" s="15"/>
      <c r="EVS377" s="15"/>
      <c r="EVT377" s="10"/>
      <c r="EVU377" s="10"/>
      <c r="EVV377" s="21"/>
      <c r="EVW377" s="21"/>
      <c r="EVZ377" s="21"/>
      <c r="EWA377" s="15"/>
      <c r="EWB377" s="15"/>
      <c r="EWC377" s="15"/>
      <c r="EWD377" s="15"/>
      <c r="EWE377" s="15"/>
      <c r="EWF377" s="15"/>
      <c r="EWG377" s="15"/>
      <c r="EWH377" s="15"/>
      <c r="EWI377" s="15"/>
      <c r="EWJ377" s="15"/>
      <c r="EWK377" s="10"/>
      <c r="EWL377" s="10"/>
      <c r="EWM377" s="21"/>
      <c r="EWN377" s="21"/>
      <c r="EWQ377" s="21"/>
      <c r="EWR377" s="15"/>
      <c r="EWS377" s="15"/>
      <c r="EWT377" s="15"/>
      <c r="EWU377" s="15"/>
      <c r="EWV377" s="15"/>
      <c r="EWW377" s="15"/>
      <c r="EWX377" s="15"/>
      <c r="EWY377" s="15"/>
      <c r="EWZ377" s="15"/>
      <c r="EXA377" s="15"/>
      <c r="EXB377" s="10"/>
      <c r="EXC377" s="10"/>
      <c r="EXD377" s="21"/>
      <c r="EXE377" s="21"/>
      <c r="EXH377" s="21"/>
      <c r="EXI377" s="15"/>
      <c r="EXJ377" s="15"/>
      <c r="EXK377" s="15"/>
      <c r="EXL377" s="15"/>
      <c r="EXM377" s="15"/>
      <c r="EXN377" s="15"/>
      <c r="EXO377" s="15"/>
      <c r="EXP377" s="15"/>
      <c r="EXQ377" s="15"/>
      <c r="EXR377" s="15"/>
      <c r="EXS377" s="10"/>
      <c r="EXT377" s="10"/>
      <c r="EXU377" s="21"/>
      <c r="EXV377" s="21"/>
      <c r="EXY377" s="21"/>
      <c r="EXZ377" s="15"/>
      <c r="EYA377" s="15"/>
      <c r="EYB377" s="15"/>
      <c r="EYC377" s="15"/>
      <c r="EYD377" s="15"/>
      <c r="EYE377" s="15"/>
      <c r="EYF377" s="15"/>
      <c r="EYG377" s="15"/>
      <c r="EYH377" s="15"/>
      <c r="EYI377" s="15"/>
      <c r="EYJ377" s="10"/>
      <c r="EYK377" s="10"/>
      <c r="EYL377" s="21"/>
      <c r="EYM377" s="21"/>
      <c r="EYP377" s="21"/>
      <c r="EYQ377" s="15"/>
      <c r="EYR377" s="15"/>
      <c r="EYS377" s="15"/>
      <c r="EYT377" s="15"/>
      <c r="EYU377" s="15"/>
      <c r="EYV377" s="15"/>
      <c r="EYW377" s="15"/>
      <c r="EYX377" s="15"/>
      <c r="EYY377" s="15"/>
      <c r="EYZ377" s="15"/>
      <c r="EZA377" s="10"/>
      <c r="EZB377" s="10"/>
      <c r="EZC377" s="21"/>
      <c r="EZD377" s="21"/>
      <c r="EZG377" s="21"/>
      <c r="EZH377" s="15"/>
      <c r="EZI377" s="15"/>
      <c r="EZJ377" s="15"/>
      <c r="EZK377" s="15"/>
      <c r="EZL377" s="15"/>
      <c r="EZM377" s="15"/>
      <c r="EZN377" s="15"/>
      <c r="EZO377" s="15"/>
      <c r="EZP377" s="15"/>
      <c r="EZQ377" s="15"/>
      <c r="EZR377" s="10"/>
      <c r="EZS377" s="10"/>
      <c r="EZT377" s="21"/>
      <c r="EZU377" s="21"/>
      <c r="EZX377" s="21"/>
      <c r="EZY377" s="15"/>
      <c r="EZZ377" s="15"/>
      <c r="FAA377" s="15"/>
      <c r="FAB377" s="15"/>
      <c r="FAC377" s="15"/>
      <c r="FAD377" s="15"/>
      <c r="FAE377" s="15"/>
      <c r="FAF377" s="15"/>
      <c r="FAG377" s="15"/>
      <c r="FAH377" s="15"/>
      <c r="FAI377" s="10"/>
      <c r="FAJ377" s="10"/>
      <c r="FAK377" s="21"/>
      <c r="FAL377" s="21"/>
      <c r="FAO377" s="21"/>
      <c r="FAP377" s="15"/>
      <c r="FAQ377" s="15"/>
      <c r="FAR377" s="15"/>
      <c r="FAS377" s="15"/>
      <c r="FAT377" s="15"/>
      <c r="FAU377" s="15"/>
      <c r="FAV377" s="15"/>
      <c r="FAW377" s="15"/>
      <c r="FAX377" s="15"/>
      <c r="FAY377" s="15"/>
      <c r="FAZ377" s="10"/>
      <c r="FBA377" s="10"/>
      <c r="FBB377" s="21"/>
      <c r="FBC377" s="21"/>
      <c r="FBF377" s="21"/>
      <c r="FBG377" s="15"/>
      <c r="FBH377" s="15"/>
      <c r="FBI377" s="15"/>
      <c r="FBJ377" s="15"/>
      <c r="FBK377" s="15"/>
      <c r="FBL377" s="15"/>
      <c r="FBM377" s="15"/>
      <c r="FBN377" s="15"/>
      <c r="FBO377" s="15"/>
      <c r="FBP377" s="15"/>
      <c r="FBQ377" s="10"/>
      <c r="FBR377" s="10"/>
      <c r="FBS377" s="21"/>
      <c r="FBT377" s="21"/>
      <c r="FBW377" s="21"/>
      <c r="FBX377" s="15"/>
      <c r="FBY377" s="15"/>
      <c r="FBZ377" s="15"/>
      <c r="FCA377" s="15"/>
      <c r="FCB377" s="15"/>
      <c r="FCC377" s="15"/>
      <c r="FCD377" s="15"/>
      <c r="FCE377" s="15"/>
      <c r="FCF377" s="15"/>
      <c r="FCG377" s="15"/>
      <c r="FCH377" s="10"/>
      <c r="FCI377" s="10"/>
      <c r="FCJ377" s="21"/>
      <c r="FCK377" s="21"/>
      <c r="FCN377" s="21"/>
      <c r="FCO377" s="15"/>
      <c r="FCP377" s="15"/>
      <c r="FCQ377" s="15"/>
      <c r="FCR377" s="15"/>
      <c r="FCS377" s="15"/>
      <c r="FCT377" s="15"/>
      <c r="FCU377" s="15"/>
      <c r="FCV377" s="15"/>
      <c r="FCW377" s="15"/>
      <c r="FCX377" s="15"/>
      <c r="FCY377" s="10"/>
      <c r="FCZ377" s="10"/>
      <c r="FDA377" s="21"/>
      <c r="FDB377" s="21"/>
      <c r="FDE377" s="21"/>
      <c r="FDF377" s="15"/>
      <c r="FDG377" s="15"/>
      <c r="FDH377" s="15"/>
      <c r="FDI377" s="15"/>
      <c r="FDJ377" s="15"/>
      <c r="FDK377" s="15"/>
      <c r="FDL377" s="15"/>
      <c r="FDM377" s="15"/>
      <c r="FDN377" s="15"/>
      <c r="FDO377" s="15"/>
      <c r="FDP377" s="10"/>
      <c r="FDQ377" s="10"/>
      <c r="FDR377" s="21"/>
      <c r="FDS377" s="21"/>
      <c r="FDV377" s="21"/>
      <c r="FDW377" s="15"/>
      <c r="FDX377" s="15"/>
      <c r="FDY377" s="15"/>
      <c r="FDZ377" s="15"/>
      <c r="FEA377" s="15"/>
      <c r="FEB377" s="15"/>
      <c r="FEC377" s="15"/>
      <c r="FED377" s="15"/>
      <c r="FEE377" s="15"/>
      <c r="FEF377" s="15"/>
      <c r="FEG377" s="10"/>
      <c r="FEH377" s="10"/>
      <c r="FEI377" s="21"/>
      <c r="FEJ377" s="21"/>
      <c r="FEM377" s="21"/>
      <c r="FEN377" s="15"/>
      <c r="FEO377" s="15"/>
      <c r="FEP377" s="15"/>
      <c r="FEQ377" s="15"/>
      <c r="FER377" s="15"/>
      <c r="FES377" s="15"/>
      <c r="FET377" s="15"/>
      <c r="FEU377" s="15"/>
      <c r="FEV377" s="15"/>
      <c r="FEW377" s="15"/>
      <c r="FEX377" s="10"/>
      <c r="FEY377" s="10"/>
      <c r="FEZ377" s="21"/>
      <c r="FFA377" s="21"/>
      <c r="FFD377" s="21"/>
      <c r="FFE377" s="15"/>
      <c r="FFF377" s="15"/>
      <c r="FFG377" s="15"/>
      <c r="FFH377" s="15"/>
      <c r="FFI377" s="15"/>
      <c r="FFJ377" s="15"/>
      <c r="FFK377" s="15"/>
      <c r="FFL377" s="15"/>
      <c r="FFM377" s="15"/>
      <c r="FFN377" s="15"/>
      <c r="FFO377" s="10"/>
      <c r="FFP377" s="10"/>
      <c r="FFQ377" s="21"/>
      <c r="FFR377" s="21"/>
      <c r="FFU377" s="21"/>
      <c r="FFV377" s="15"/>
      <c r="FFW377" s="15"/>
      <c r="FFX377" s="15"/>
      <c r="FFY377" s="15"/>
      <c r="FFZ377" s="15"/>
      <c r="FGA377" s="15"/>
      <c r="FGB377" s="15"/>
      <c r="FGC377" s="15"/>
      <c r="FGD377" s="15"/>
      <c r="FGE377" s="15"/>
      <c r="FGF377" s="10"/>
      <c r="FGG377" s="10"/>
      <c r="FGH377" s="21"/>
      <c r="FGI377" s="21"/>
      <c r="FGL377" s="21"/>
      <c r="FGM377" s="15"/>
      <c r="FGN377" s="15"/>
      <c r="FGO377" s="15"/>
      <c r="FGP377" s="15"/>
      <c r="FGQ377" s="15"/>
      <c r="FGR377" s="15"/>
      <c r="FGS377" s="15"/>
      <c r="FGT377" s="15"/>
      <c r="FGU377" s="15"/>
      <c r="FGV377" s="15"/>
      <c r="FGW377" s="10"/>
      <c r="FGX377" s="10"/>
      <c r="FGY377" s="21"/>
      <c r="FGZ377" s="21"/>
      <c r="FHC377" s="21"/>
      <c r="FHD377" s="15"/>
      <c r="FHE377" s="15"/>
      <c r="FHF377" s="15"/>
      <c r="FHG377" s="15"/>
      <c r="FHH377" s="15"/>
      <c r="FHI377" s="15"/>
      <c r="FHJ377" s="15"/>
      <c r="FHK377" s="15"/>
      <c r="FHL377" s="15"/>
      <c r="FHM377" s="15"/>
      <c r="FHN377" s="10"/>
      <c r="FHO377" s="10"/>
      <c r="FHP377" s="21"/>
      <c r="FHQ377" s="21"/>
      <c r="FHT377" s="21"/>
      <c r="FHU377" s="15"/>
      <c r="FHV377" s="15"/>
      <c r="FHW377" s="15"/>
      <c r="FHX377" s="15"/>
      <c r="FHY377" s="15"/>
      <c r="FHZ377" s="15"/>
      <c r="FIA377" s="15"/>
      <c r="FIB377" s="15"/>
      <c r="FIC377" s="15"/>
      <c r="FID377" s="15"/>
      <c r="FIE377" s="10"/>
      <c r="FIF377" s="10"/>
      <c r="FIG377" s="21"/>
      <c r="FIH377" s="21"/>
      <c r="FIK377" s="21"/>
      <c r="FIL377" s="15"/>
      <c r="FIM377" s="15"/>
      <c r="FIN377" s="15"/>
      <c r="FIO377" s="15"/>
      <c r="FIP377" s="15"/>
      <c r="FIQ377" s="15"/>
      <c r="FIR377" s="15"/>
      <c r="FIS377" s="15"/>
      <c r="FIT377" s="15"/>
      <c r="FIU377" s="15"/>
      <c r="FIV377" s="10"/>
      <c r="FIW377" s="10"/>
      <c r="FIX377" s="21"/>
      <c r="FIY377" s="21"/>
      <c r="FJB377" s="21"/>
      <c r="FJC377" s="15"/>
      <c r="FJD377" s="15"/>
      <c r="FJE377" s="15"/>
      <c r="FJF377" s="15"/>
      <c r="FJG377" s="15"/>
      <c r="FJH377" s="15"/>
      <c r="FJI377" s="15"/>
      <c r="FJJ377" s="15"/>
      <c r="FJK377" s="15"/>
      <c r="FJL377" s="15"/>
      <c r="FJM377" s="10"/>
      <c r="FJN377" s="10"/>
      <c r="FJO377" s="21"/>
      <c r="FJP377" s="21"/>
      <c r="FJS377" s="21"/>
      <c r="FJT377" s="15"/>
      <c r="FJU377" s="15"/>
      <c r="FJV377" s="15"/>
      <c r="FJW377" s="15"/>
      <c r="FJX377" s="15"/>
      <c r="FJY377" s="15"/>
      <c r="FJZ377" s="15"/>
      <c r="FKA377" s="15"/>
      <c r="FKB377" s="15"/>
      <c r="FKC377" s="15"/>
      <c r="FKD377" s="10"/>
      <c r="FKE377" s="10"/>
      <c r="FKF377" s="21"/>
      <c r="FKG377" s="21"/>
      <c r="FKJ377" s="21"/>
      <c r="FKK377" s="15"/>
      <c r="FKL377" s="15"/>
      <c r="FKM377" s="15"/>
      <c r="FKN377" s="15"/>
      <c r="FKO377" s="15"/>
      <c r="FKP377" s="15"/>
      <c r="FKQ377" s="15"/>
      <c r="FKR377" s="15"/>
      <c r="FKS377" s="15"/>
      <c r="FKT377" s="15"/>
      <c r="FKU377" s="10"/>
      <c r="FKV377" s="10"/>
      <c r="FKW377" s="21"/>
      <c r="FKX377" s="21"/>
      <c r="FLA377" s="21"/>
      <c r="FLB377" s="15"/>
      <c r="FLC377" s="15"/>
      <c r="FLD377" s="15"/>
      <c r="FLE377" s="15"/>
      <c r="FLF377" s="15"/>
      <c r="FLG377" s="15"/>
      <c r="FLH377" s="15"/>
      <c r="FLI377" s="15"/>
      <c r="FLJ377" s="15"/>
      <c r="FLK377" s="15"/>
      <c r="FLL377" s="10"/>
      <c r="FLM377" s="10"/>
      <c r="FLN377" s="21"/>
      <c r="FLO377" s="21"/>
      <c r="FLR377" s="21"/>
      <c r="FLS377" s="15"/>
      <c r="FLT377" s="15"/>
      <c r="FLU377" s="15"/>
      <c r="FLV377" s="15"/>
      <c r="FLW377" s="15"/>
      <c r="FLX377" s="15"/>
      <c r="FLY377" s="15"/>
      <c r="FLZ377" s="15"/>
      <c r="FMA377" s="15"/>
      <c r="FMB377" s="15"/>
      <c r="FMC377" s="10"/>
      <c r="FMD377" s="10"/>
      <c r="FME377" s="21"/>
      <c r="FMF377" s="21"/>
      <c r="FMI377" s="21"/>
      <c r="FMJ377" s="15"/>
      <c r="FMK377" s="15"/>
      <c r="FML377" s="15"/>
      <c r="FMM377" s="15"/>
      <c r="FMN377" s="15"/>
      <c r="FMO377" s="15"/>
      <c r="FMP377" s="15"/>
      <c r="FMQ377" s="15"/>
      <c r="FMR377" s="15"/>
      <c r="FMS377" s="15"/>
      <c r="FMT377" s="10"/>
      <c r="FMU377" s="10"/>
      <c r="FMV377" s="21"/>
      <c r="FMW377" s="21"/>
      <c r="FMZ377" s="21"/>
      <c r="FNA377" s="15"/>
      <c r="FNB377" s="15"/>
      <c r="FNC377" s="15"/>
      <c r="FND377" s="15"/>
      <c r="FNE377" s="15"/>
      <c r="FNF377" s="15"/>
      <c r="FNG377" s="15"/>
      <c r="FNH377" s="15"/>
      <c r="FNI377" s="15"/>
      <c r="FNJ377" s="15"/>
      <c r="FNK377" s="10"/>
      <c r="FNL377" s="10"/>
      <c r="FNM377" s="21"/>
      <c r="FNN377" s="21"/>
      <c r="FNQ377" s="21"/>
      <c r="FNR377" s="15"/>
      <c r="FNS377" s="15"/>
      <c r="FNT377" s="15"/>
      <c r="FNU377" s="15"/>
      <c r="FNV377" s="15"/>
      <c r="FNW377" s="15"/>
      <c r="FNX377" s="15"/>
      <c r="FNY377" s="15"/>
      <c r="FNZ377" s="15"/>
      <c r="FOA377" s="15"/>
      <c r="FOB377" s="10"/>
      <c r="FOC377" s="10"/>
      <c r="FOD377" s="21"/>
      <c r="FOE377" s="21"/>
      <c r="FOH377" s="21"/>
      <c r="FOI377" s="15"/>
      <c r="FOJ377" s="15"/>
      <c r="FOK377" s="15"/>
      <c r="FOL377" s="15"/>
      <c r="FOM377" s="15"/>
      <c r="FON377" s="15"/>
      <c r="FOO377" s="15"/>
      <c r="FOP377" s="15"/>
      <c r="FOQ377" s="15"/>
      <c r="FOR377" s="15"/>
      <c r="FOS377" s="10"/>
      <c r="FOT377" s="10"/>
      <c r="FOU377" s="21"/>
      <c r="FOV377" s="21"/>
      <c r="FOY377" s="21"/>
      <c r="FOZ377" s="15"/>
      <c r="FPA377" s="15"/>
      <c r="FPB377" s="15"/>
      <c r="FPC377" s="15"/>
      <c r="FPD377" s="15"/>
      <c r="FPE377" s="15"/>
      <c r="FPF377" s="15"/>
      <c r="FPG377" s="15"/>
      <c r="FPH377" s="15"/>
      <c r="FPI377" s="15"/>
      <c r="FPJ377" s="10"/>
      <c r="FPK377" s="10"/>
      <c r="FPL377" s="21"/>
      <c r="FPM377" s="21"/>
      <c r="FPP377" s="21"/>
      <c r="FPQ377" s="15"/>
      <c r="FPR377" s="15"/>
      <c r="FPS377" s="15"/>
      <c r="FPT377" s="15"/>
      <c r="FPU377" s="15"/>
      <c r="FPV377" s="15"/>
      <c r="FPW377" s="15"/>
      <c r="FPX377" s="15"/>
      <c r="FPY377" s="15"/>
      <c r="FPZ377" s="15"/>
      <c r="FQA377" s="10"/>
      <c r="FQB377" s="10"/>
      <c r="FQC377" s="21"/>
      <c r="FQD377" s="21"/>
      <c r="FQG377" s="21"/>
      <c r="FQH377" s="15"/>
      <c r="FQI377" s="15"/>
      <c r="FQJ377" s="15"/>
      <c r="FQK377" s="15"/>
      <c r="FQL377" s="15"/>
      <c r="FQM377" s="15"/>
      <c r="FQN377" s="15"/>
      <c r="FQO377" s="15"/>
      <c r="FQP377" s="15"/>
      <c r="FQQ377" s="15"/>
      <c r="FQR377" s="10"/>
      <c r="FQS377" s="10"/>
      <c r="FQT377" s="21"/>
      <c r="FQU377" s="21"/>
      <c r="FQX377" s="21"/>
      <c r="FQY377" s="15"/>
      <c r="FQZ377" s="15"/>
      <c r="FRA377" s="15"/>
      <c r="FRB377" s="15"/>
      <c r="FRC377" s="15"/>
      <c r="FRD377" s="15"/>
      <c r="FRE377" s="15"/>
      <c r="FRF377" s="15"/>
      <c r="FRG377" s="15"/>
      <c r="FRH377" s="15"/>
      <c r="FRI377" s="10"/>
      <c r="FRJ377" s="10"/>
      <c r="FRK377" s="21"/>
      <c r="FRL377" s="21"/>
      <c r="FRO377" s="21"/>
      <c r="FRP377" s="15"/>
      <c r="FRQ377" s="15"/>
      <c r="FRR377" s="15"/>
      <c r="FRS377" s="15"/>
      <c r="FRT377" s="15"/>
      <c r="FRU377" s="15"/>
      <c r="FRV377" s="15"/>
      <c r="FRW377" s="15"/>
      <c r="FRX377" s="15"/>
      <c r="FRY377" s="15"/>
      <c r="FRZ377" s="10"/>
      <c r="FSA377" s="10"/>
      <c r="FSB377" s="21"/>
      <c r="FSC377" s="21"/>
      <c r="FSF377" s="21"/>
      <c r="FSG377" s="15"/>
      <c r="FSH377" s="15"/>
      <c r="FSI377" s="15"/>
      <c r="FSJ377" s="15"/>
      <c r="FSK377" s="15"/>
      <c r="FSL377" s="15"/>
      <c r="FSM377" s="15"/>
      <c r="FSN377" s="15"/>
      <c r="FSO377" s="15"/>
      <c r="FSP377" s="15"/>
      <c r="FSQ377" s="10"/>
      <c r="FSR377" s="10"/>
      <c r="FSS377" s="21"/>
      <c r="FST377" s="21"/>
      <c r="FSW377" s="21"/>
      <c r="FSX377" s="15"/>
      <c r="FSY377" s="15"/>
      <c r="FSZ377" s="15"/>
      <c r="FTA377" s="15"/>
      <c r="FTB377" s="15"/>
      <c r="FTC377" s="15"/>
      <c r="FTD377" s="15"/>
      <c r="FTE377" s="15"/>
      <c r="FTF377" s="15"/>
      <c r="FTG377" s="15"/>
      <c r="FTH377" s="10"/>
      <c r="FTI377" s="10"/>
      <c r="FTJ377" s="21"/>
      <c r="FTK377" s="21"/>
      <c r="FTN377" s="21"/>
      <c r="FTO377" s="15"/>
      <c r="FTP377" s="15"/>
      <c r="FTQ377" s="15"/>
      <c r="FTR377" s="15"/>
      <c r="FTS377" s="15"/>
      <c r="FTT377" s="15"/>
      <c r="FTU377" s="15"/>
      <c r="FTV377" s="15"/>
      <c r="FTW377" s="15"/>
      <c r="FTX377" s="15"/>
      <c r="FTY377" s="10"/>
      <c r="FTZ377" s="10"/>
      <c r="FUA377" s="21"/>
      <c r="FUB377" s="21"/>
      <c r="FUE377" s="21"/>
      <c r="FUF377" s="15"/>
      <c r="FUG377" s="15"/>
      <c r="FUH377" s="15"/>
      <c r="FUI377" s="15"/>
      <c r="FUJ377" s="15"/>
      <c r="FUK377" s="15"/>
      <c r="FUL377" s="15"/>
      <c r="FUM377" s="15"/>
      <c r="FUN377" s="15"/>
      <c r="FUO377" s="15"/>
      <c r="FUP377" s="10"/>
      <c r="FUQ377" s="10"/>
      <c r="FUR377" s="21"/>
      <c r="FUS377" s="21"/>
      <c r="FUV377" s="21"/>
      <c r="FUW377" s="15"/>
      <c r="FUX377" s="15"/>
      <c r="FUY377" s="15"/>
      <c r="FUZ377" s="15"/>
      <c r="FVA377" s="15"/>
      <c r="FVB377" s="15"/>
      <c r="FVC377" s="15"/>
      <c r="FVD377" s="15"/>
      <c r="FVE377" s="15"/>
      <c r="FVF377" s="15"/>
      <c r="FVG377" s="10"/>
      <c r="FVH377" s="10"/>
      <c r="FVI377" s="21"/>
      <c r="FVJ377" s="21"/>
      <c r="FVM377" s="21"/>
      <c r="FVN377" s="15"/>
      <c r="FVO377" s="15"/>
      <c r="FVP377" s="15"/>
      <c r="FVQ377" s="15"/>
      <c r="FVR377" s="15"/>
      <c r="FVS377" s="15"/>
      <c r="FVT377" s="15"/>
      <c r="FVU377" s="15"/>
      <c r="FVV377" s="15"/>
      <c r="FVW377" s="15"/>
      <c r="FVX377" s="10"/>
      <c r="FVY377" s="10"/>
      <c r="FVZ377" s="21"/>
      <c r="FWA377" s="21"/>
      <c r="FWD377" s="21"/>
      <c r="FWE377" s="15"/>
      <c r="FWF377" s="15"/>
      <c r="FWG377" s="15"/>
      <c r="FWH377" s="15"/>
      <c r="FWI377" s="15"/>
      <c r="FWJ377" s="15"/>
      <c r="FWK377" s="15"/>
      <c r="FWL377" s="15"/>
      <c r="FWM377" s="15"/>
      <c r="FWN377" s="15"/>
      <c r="FWO377" s="10"/>
      <c r="FWP377" s="10"/>
      <c r="FWQ377" s="21"/>
      <c r="FWR377" s="21"/>
      <c r="FWU377" s="21"/>
      <c r="FWV377" s="15"/>
      <c r="FWW377" s="15"/>
      <c r="FWX377" s="15"/>
      <c r="FWY377" s="15"/>
      <c r="FWZ377" s="15"/>
      <c r="FXA377" s="15"/>
      <c r="FXB377" s="15"/>
      <c r="FXC377" s="15"/>
      <c r="FXD377" s="15"/>
      <c r="FXE377" s="15"/>
      <c r="FXF377" s="10"/>
      <c r="FXG377" s="10"/>
      <c r="FXH377" s="21"/>
      <c r="FXI377" s="21"/>
      <c r="FXL377" s="21"/>
      <c r="FXM377" s="15"/>
      <c r="FXN377" s="15"/>
      <c r="FXO377" s="15"/>
      <c r="FXP377" s="15"/>
      <c r="FXQ377" s="15"/>
      <c r="FXR377" s="15"/>
      <c r="FXS377" s="15"/>
      <c r="FXT377" s="15"/>
      <c r="FXU377" s="15"/>
      <c r="FXV377" s="15"/>
      <c r="FXW377" s="10"/>
      <c r="FXX377" s="10"/>
      <c r="FXY377" s="21"/>
      <c r="FXZ377" s="21"/>
      <c r="FYC377" s="21"/>
      <c r="FYD377" s="15"/>
      <c r="FYE377" s="15"/>
      <c r="FYF377" s="15"/>
      <c r="FYG377" s="15"/>
      <c r="FYH377" s="15"/>
      <c r="FYI377" s="15"/>
      <c r="FYJ377" s="15"/>
      <c r="FYK377" s="15"/>
      <c r="FYL377" s="15"/>
      <c r="FYM377" s="15"/>
      <c r="FYN377" s="10"/>
      <c r="FYO377" s="10"/>
      <c r="FYP377" s="21"/>
      <c r="FYQ377" s="21"/>
      <c r="FYT377" s="21"/>
      <c r="FYU377" s="15"/>
      <c r="FYV377" s="15"/>
      <c r="FYW377" s="15"/>
      <c r="FYX377" s="15"/>
      <c r="FYY377" s="15"/>
      <c r="FYZ377" s="15"/>
      <c r="FZA377" s="15"/>
      <c r="FZB377" s="15"/>
      <c r="FZC377" s="15"/>
      <c r="FZD377" s="15"/>
      <c r="FZE377" s="10"/>
      <c r="FZF377" s="10"/>
      <c r="FZG377" s="21"/>
      <c r="FZH377" s="21"/>
      <c r="FZK377" s="21"/>
      <c r="FZL377" s="15"/>
      <c r="FZM377" s="15"/>
      <c r="FZN377" s="15"/>
      <c r="FZO377" s="15"/>
      <c r="FZP377" s="15"/>
      <c r="FZQ377" s="15"/>
      <c r="FZR377" s="15"/>
      <c r="FZS377" s="15"/>
      <c r="FZT377" s="15"/>
      <c r="FZU377" s="15"/>
      <c r="FZV377" s="10"/>
      <c r="FZW377" s="10"/>
      <c r="FZX377" s="21"/>
      <c r="FZY377" s="21"/>
      <c r="GAB377" s="21"/>
      <c r="GAC377" s="15"/>
      <c r="GAD377" s="15"/>
      <c r="GAE377" s="15"/>
      <c r="GAF377" s="15"/>
      <c r="GAG377" s="15"/>
      <c r="GAH377" s="15"/>
      <c r="GAI377" s="15"/>
      <c r="GAJ377" s="15"/>
      <c r="GAK377" s="15"/>
      <c r="GAL377" s="15"/>
      <c r="GAM377" s="10"/>
      <c r="GAN377" s="10"/>
      <c r="GAO377" s="21"/>
      <c r="GAP377" s="21"/>
      <c r="GAS377" s="21"/>
      <c r="GAT377" s="15"/>
      <c r="GAU377" s="15"/>
      <c r="GAV377" s="15"/>
      <c r="GAW377" s="15"/>
      <c r="GAX377" s="15"/>
      <c r="GAY377" s="15"/>
      <c r="GAZ377" s="15"/>
      <c r="GBA377" s="15"/>
      <c r="GBB377" s="15"/>
      <c r="GBC377" s="15"/>
      <c r="GBD377" s="10"/>
      <c r="GBE377" s="10"/>
      <c r="GBF377" s="21"/>
      <c r="GBG377" s="21"/>
      <c r="GBJ377" s="21"/>
      <c r="GBK377" s="15"/>
      <c r="GBL377" s="15"/>
      <c r="GBM377" s="15"/>
      <c r="GBN377" s="15"/>
      <c r="GBO377" s="15"/>
      <c r="GBP377" s="15"/>
      <c r="GBQ377" s="15"/>
      <c r="GBR377" s="15"/>
      <c r="GBS377" s="15"/>
      <c r="GBT377" s="15"/>
      <c r="GBU377" s="10"/>
      <c r="GBV377" s="10"/>
      <c r="GBW377" s="21"/>
      <c r="GBX377" s="21"/>
      <c r="GCA377" s="21"/>
      <c r="GCB377" s="15"/>
      <c r="GCC377" s="15"/>
      <c r="GCD377" s="15"/>
      <c r="GCE377" s="15"/>
      <c r="GCF377" s="15"/>
      <c r="GCG377" s="15"/>
      <c r="GCH377" s="15"/>
      <c r="GCI377" s="15"/>
      <c r="GCJ377" s="15"/>
      <c r="GCK377" s="15"/>
      <c r="GCL377" s="10"/>
      <c r="GCM377" s="10"/>
      <c r="GCN377" s="21"/>
      <c r="GCO377" s="21"/>
      <c r="GCR377" s="21"/>
      <c r="GCS377" s="15"/>
      <c r="GCT377" s="15"/>
      <c r="GCU377" s="15"/>
      <c r="GCV377" s="15"/>
      <c r="GCW377" s="15"/>
      <c r="GCX377" s="15"/>
      <c r="GCY377" s="15"/>
      <c r="GCZ377" s="15"/>
      <c r="GDA377" s="15"/>
      <c r="GDB377" s="15"/>
      <c r="GDC377" s="10"/>
      <c r="GDD377" s="10"/>
      <c r="GDE377" s="21"/>
      <c r="GDF377" s="21"/>
      <c r="GDI377" s="21"/>
      <c r="GDJ377" s="15"/>
      <c r="GDK377" s="15"/>
      <c r="GDL377" s="15"/>
      <c r="GDM377" s="15"/>
      <c r="GDN377" s="15"/>
      <c r="GDO377" s="15"/>
      <c r="GDP377" s="15"/>
      <c r="GDQ377" s="15"/>
      <c r="GDR377" s="15"/>
      <c r="GDS377" s="15"/>
      <c r="GDT377" s="10"/>
      <c r="GDU377" s="10"/>
      <c r="GDV377" s="21"/>
      <c r="GDW377" s="21"/>
      <c r="GDZ377" s="21"/>
      <c r="GEA377" s="15"/>
      <c r="GEB377" s="15"/>
      <c r="GEC377" s="15"/>
      <c r="GED377" s="15"/>
      <c r="GEE377" s="15"/>
      <c r="GEF377" s="15"/>
      <c r="GEG377" s="15"/>
      <c r="GEH377" s="15"/>
      <c r="GEI377" s="15"/>
      <c r="GEJ377" s="15"/>
      <c r="GEK377" s="10"/>
      <c r="GEL377" s="10"/>
      <c r="GEM377" s="21"/>
      <c r="GEN377" s="21"/>
      <c r="GEQ377" s="21"/>
      <c r="GER377" s="15"/>
      <c r="GES377" s="15"/>
      <c r="GET377" s="15"/>
      <c r="GEU377" s="15"/>
      <c r="GEV377" s="15"/>
      <c r="GEW377" s="15"/>
      <c r="GEX377" s="15"/>
      <c r="GEY377" s="15"/>
      <c r="GEZ377" s="15"/>
      <c r="GFA377" s="15"/>
      <c r="GFB377" s="10"/>
      <c r="GFC377" s="10"/>
      <c r="GFD377" s="21"/>
      <c r="GFE377" s="21"/>
      <c r="GFH377" s="21"/>
      <c r="GFI377" s="15"/>
      <c r="GFJ377" s="15"/>
      <c r="GFK377" s="15"/>
      <c r="GFL377" s="15"/>
      <c r="GFM377" s="15"/>
      <c r="GFN377" s="15"/>
      <c r="GFO377" s="15"/>
      <c r="GFP377" s="15"/>
      <c r="GFQ377" s="15"/>
      <c r="GFR377" s="15"/>
      <c r="GFS377" s="10"/>
      <c r="GFT377" s="10"/>
      <c r="GFU377" s="21"/>
      <c r="GFV377" s="21"/>
      <c r="GFY377" s="21"/>
      <c r="GFZ377" s="15"/>
      <c r="GGA377" s="15"/>
      <c r="GGB377" s="15"/>
      <c r="GGC377" s="15"/>
      <c r="GGD377" s="15"/>
      <c r="GGE377" s="15"/>
      <c r="GGF377" s="15"/>
      <c r="GGG377" s="15"/>
      <c r="GGH377" s="15"/>
      <c r="GGI377" s="15"/>
      <c r="GGJ377" s="10"/>
      <c r="GGK377" s="10"/>
      <c r="GGL377" s="21"/>
      <c r="GGM377" s="21"/>
      <c r="GGP377" s="21"/>
      <c r="GGQ377" s="15"/>
      <c r="GGR377" s="15"/>
      <c r="GGS377" s="15"/>
      <c r="GGT377" s="15"/>
      <c r="GGU377" s="15"/>
      <c r="GGV377" s="15"/>
      <c r="GGW377" s="15"/>
      <c r="GGX377" s="15"/>
      <c r="GGY377" s="15"/>
      <c r="GGZ377" s="15"/>
      <c r="GHA377" s="10"/>
      <c r="GHB377" s="10"/>
      <c r="GHC377" s="21"/>
      <c r="GHD377" s="21"/>
      <c r="GHG377" s="21"/>
      <c r="GHH377" s="15"/>
      <c r="GHI377" s="15"/>
      <c r="GHJ377" s="15"/>
      <c r="GHK377" s="15"/>
      <c r="GHL377" s="15"/>
      <c r="GHM377" s="15"/>
      <c r="GHN377" s="15"/>
      <c r="GHO377" s="15"/>
      <c r="GHP377" s="15"/>
      <c r="GHQ377" s="15"/>
      <c r="GHR377" s="10"/>
      <c r="GHS377" s="10"/>
      <c r="GHT377" s="21"/>
      <c r="GHU377" s="21"/>
      <c r="GHX377" s="21"/>
      <c r="GHY377" s="15"/>
      <c r="GHZ377" s="15"/>
      <c r="GIA377" s="15"/>
      <c r="GIB377" s="15"/>
      <c r="GIC377" s="15"/>
      <c r="GID377" s="15"/>
      <c r="GIE377" s="15"/>
      <c r="GIF377" s="15"/>
      <c r="GIG377" s="15"/>
      <c r="GIH377" s="15"/>
      <c r="GII377" s="10"/>
      <c r="GIJ377" s="10"/>
      <c r="GIK377" s="21"/>
      <c r="GIL377" s="21"/>
      <c r="GIO377" s="21"/>
      <c r="GIP377" s="15"/>
      <c r="GIQ377" s="15"/>
      <c r="GIR377" s="15"/>
      <c r="GIS377" s="15"/>
      <c r="GIT377" s="15"/>
      <c r="GIU377" s="15"/>
      <c r="GIV377" s="15"/>
      <c r="GIW377" s="15"/>
      <c r="GIX377" s="15"/>
      <c r="GIY377" s="15"/>
      <c r="GIZ377" s="10"/>
      <c r="GJA377" s="10"/>
      <c r="GJB377" s="21"/>
      <c r="GJC377" s="21"/>
      <c r="GJF377" s="21"/>
      <c r="GJG377" s="15"/>
      <c r="GJH377" s="15"/>
      <c r="GJI377" s="15"/>
      <c r="GJJ377" s="15"/>
      <c r="GJK377" s="15"/>
      <c r="GJL377" s="15"/>
      <c r="GJM377" s="15"/>
      <c r="GJN377" s="15"/>
      <c r="GJO377" s="15"/>
      <c r="GJP377" s="15"/>
      <c r="GJQ377" s="10"/>
      <c r="GJR377" s="10"/>
      <c r="GJS377" s="21"/>
      <c r="GJT377" s="21"/>
      <c r="GJW377" s="21"/>
      <c r="GJX377" s="15"/>
      <c r="GJY377" s="15"/>
      <c r="GJZ377" s="15"/>
      <c r="GKA377" s="15"/>
      <c r="GKB377" s="15"/>
      <c r="GKC377" s="15"/>
      <c r="GKD377" s="15"/>
      <c r="GKE377" s="15"/>
      <c r="GKF377" s="15"/>
      <c r="GKG377" s="15"/>
      <c r="GKH377" s="10"/>
      <c r="GKI377" s="10"/>
      <c r="GKJ377" s="21"/>
      <c r="GKK377" s="21"/>
      <c r="GKN377" s="21"/>
      <c r="GKO377" s="15"/>
      <c r="GKP377" s="15"/>
      <c r="GKQ377" s="15"/>
      <c r="GKR377" s="15"/>
      <c r="GKS377" s="15"/>
      <c r="GKT377" s="15"/>
      <c r="GKU377" s="15"/>
      <c r="GKV377" s="15"/>
      <c r="GKW377" s="15"/>
      <c r="GKX377" s="15"/>
      <c r="GKY377" s="10"/>
      <c r="GKZ377" s="10"/>
      <c r="GLA377" s="21"/>
      <c r="GLB377" s="21"/>
      <c r="GLE377" s="21"/>
      <c r="GLF377" s="15"/>
      <c r="GLG377" s="15"/>
      <c r="GLH377" s="15"/>
      <c r="GLI377" s="15"/>
      <c r="GLJ377" s="15"/>
      <c r="GLK377" s="15"/>
      <c r="GLL377" s="15"/>
      <c r="GLM377" s="15"/>
      <c r="GLN377" s="15"/>
      <c r="GLO377" s="15"/>
      <c r="GLP377" s="10"/>
      <c r="GLQ377" s="10"/>
      <c r="GLR377" s="21"/>
      <c r="GLS377" s="21"/>
      <c r="GLV377" s="21"/>
      <c r="GLW377" s="15"/>
      <c r="GLX377" s="15"/>
      <c r="GLY377" s="15"/>
      <c r="GLZ377" s="15"/>
      <c r="GMA377" s="15"/>
      <c r="GMB377" s="15"/>
      <c r="GMC377" s="15"/>
      <c r="GMD377" s="15"/>
      <c r="GME377" s="15"/>
      <c r="GMF377" s="15"/>
      <c r="GMG377" s="10"/>
      <c r="GMH377" s="10"/>
      <c r="GMI377" s="21"/>
      <c r="GMJ377" s="21"/>
      <c r="GMM377" s="21"/>
      <c r="GMN377" s="15"/>
      <c r="GMO377" s="15"/>
      <c r="GMP377" s="15"/>
      <c r="GMQ377" s="15"/>
      <c r="GMR377" s="15"/>
      <c r="GMS377" s="15"/>
      <c r="GMT377" s="15"/>
      <c r="GMU377" s="15"/>
      <c r="GMV377" s="15"/>
      <c r="GMW377" s="15"/>
      <c r="GMX377" s="10"/>
      <c r="GMY377" s="10"/>
      <c r="GMZ377" s="21"/>
      <c r="GNA377" s="21"/>
      <c r="GND377" s="21"/>
      <c r="GNE377" s="15"/>
      <c r="GNF377" s="15"/>
      <c r="GNG377" s="15"/>
      <c r="GNH377" s="15"/>
      <c r="GNI377" s="15"/>
      <c r="GNJ377" s="15"/>
      <c r="GNK377" s="15"/>
      <c r="GNL377" s="15"/>
      <c r="GNM377" s="15"/>
      <c r="GNN377" s="15"/>
      <c r="GNO377" s="10"/>
      <c r="GNP377" s="10"/>
      <c r="GNQ377" s="21"/>
      <c r="GNR377" s="21"/>
      <c r="GNU377" s="21"/>
      <c r="GNV377" s="15"/>
      <c r="GNW377" s="15"/>
      <c r="GNX377" s="15"/>
      <c r="GNY377" s="15"/>
      <c r="GNZ377" s="15"/>
      <c r="GOA377" s="15"/>
      <c r="GOB377" s="15"/>
      <c r="GOC377" s="15"/>
      <c r="GOD377" s="15"/>
      <c r="GOE377" s="15"/>
      <c r="GOF377" s="10"/>
      <c r="GOG377" s="10"/>
      <c r="GOH377" s="21"/>
      <c r="GOI377" s="21"/>
      <c r="GOL377" s="21"/>
      <c r="GOM377" s="15"/>
      <c r="GON377" s="15"/>
      <c r="GOO377" s="15"/>
      <c r="GOP377" s="15"/>
      <c r="GOQ377" s="15"/>
      <c r="GOR377" s="15"/>
      <c r="GOS377" s="15"/>
      <c r="GOT377" s="15"/>
      <c r="GOU377" s="15"/>
      <c r="GOV377" s="15"/>
      <c r="GOW377" s="10"/>
      <c r="GOX377" s="10"/>
      <c r="GOY377" s="21"/>
      <c r="GOZ377" s="21"/>
      <c r="GPC377" s="21"/>
      <c r="GPD377" s="15"/>
      <c r="GPE377" s="15"/>
      <c r="GPF377" s="15"/>
      <c r="GPG377" s="15"/>
      <c r="GPH377" s="15"/>
      <c r="GPI377" s="15"/>
      <c r="GPJ377" s="15"/>
      <c r="GPK377" s="15"/>
      <c r="GPL377" s="15"/>
      <c r="GPM377" s="15"/>
      <c r="GPN377" s="10"/>
      <c r="GPO377" s="10"/>
      <c r="GPP377" s="21"/>
      <c r="GPQ377" s="21"/>
      <c r="GPT377" s="21"/>
      <c r="GPU377" s="15"/>
      <c r="GPV377" s="15"/>
      <c r="GPW377" s="15"/>
      <c r="GPX377" s="15"/>
      <c r="GPY377" s="15"/>
      <c r="GPZ377" s="15"/>
      <c r="GQA377" s="15"/>
      <c r="GQB377" s="15"/>
      <c r="GQC377" s="15"/>
      <c r="GQD377" s="15"/>
      <c r="GQE377" s="10"/>
      <c r="GQF377" s="10"/>
      <c r="GQG377" s="21"/>
      <c r="GQH377" s="21"/>
      <c r="GQK377" s="21"/>
      <c r="GQL377" s="15"/>
      <c r="GQM377" s="15"/>
      <c r="GQN377" s="15"/>
      <c r="GQO377" s="15"/>
      <c r="GQP377" s="15"/>
      <c r="GQQ377" s="15"/>
      <c r="GQR377" s="15"/>
      <c r="GQS377" s="15"/>
      <c r="GQT377" s="15"/>
      <c r="GQU377" s="15"/>
      <c r="GQV377" s="10"/>
      <c r="GQW377" s="10"/>
      <c r="GQX377" s="21"/>
      <c r="GQY377" s="21"/>
      <c r="GRB377" s="21"/>
      <c r="GRC377" s="15"/>
      <c r="GRD377" s="15"/>
      <c r="GRE377" s="15"/>
      <c r="GRF377" s="15"/>
      <c r="GRG377" s="15"/>
      <c r="GRH377" s="15"/>
      <c r="GRI377" s="15"/>
      <c r="GRJ377" s="15"/>
      <c r="GRK377" s="15"/>
      <c r="GRL377" s="15"/>
      <c r="GRM377" s="10"/>
      <c r="GRN377" s="10"/>
      <c r="GRO377" s="21"/>
      <c r="GRP377" s="21"/>
      <c r="GRS377" s="21"/>
      <c r="GRT377" s="15"/>
      <c r="GRU377" s="15"/>
      <c r="GRV377" s="15"/>
      <c r="GRW377" s="15"/>
      <c r="GRX377" s="15"/>
      <c r="GRY377" s="15"/>
      <c r="GRZ377" s="15"/>
      <c r="GSA377" s="15"/>
      <c r="GSB377" s="15"/>
      <c r="GSC377" s="15"/>
      <c r="GSD377" s="10"/>
      <c r="GSE377" s="10"/>
      <c r="GSF377" s="21"/>
      <c r="GSG377" s="21"/>
      <c r="GSJ377" s="21"/>
      <c r="GSK377" s="15"/>
      <c r="GSL377" s="15"/>
      <c r="GSM377" s="15"/>
      <c r="GSN377" s="15"/>
      <c r="GSO377" s="15"/>
      <c r="GSP377" s="15"/>
      <c r="GSQ377" s="15"/>
      <c r="GSR377" s="15"/>
      <c r="GSS377" s="15"/>
      <c r="GST377" s="15"/>
      <c r="GSU377" s="10"/>
      <c r="GSV377" s="10"/>
      <c r="GSW377" s="21"/>
      <c r="GSX377" s="21"/>
      <c r="GTA377" s="21"/>
      <c r="GTB377" s="15"/>
      <c r="GTC377" s="15"/>
      <c r="GTD377" s="15"/>
      <c r="GTE377" s="15"/>
      <c r="GTF377" s="15"/>
      <c r="GTG377" s="15"/>
      <c r="GTH377" s="15"/>
      <c r="GTI377" s="15"/>
      <c r="GTJ377" s="15"/>
      <c r="GTK377" s="15"/>
      <c r="GTL377" s="10"/>
      <c r="GTM377" s="10"/>
      <c r="GTN377" s="21"/>
      <c r="GTO377" s="21"/>
      <c r="GTR377" s="21"/>
      <c r="GTS377" s="15"/>
      <c r="GTT377" s="15"/>
      <c r="GTU377" s="15"/>
      <c r="GTV377" s="15"/>
      <c r="GTW377" s="15"/>
      <c r="GTX377" s="15"/>
      <c r="GTY377" s="15"/>
      <c r="GTZ377" s="15"/>
      <c r="GUA377" s="15"/>
      <c r="GUB377" s="15"/>
      <c r="GUC377" s="10"/>
      <c r="GUD377" s="10"/>
      <c r="GUE377" s="21"/>
      <c r="GUF377" s="21"/>
      <c r="GUI377" s="21"/>
      <c r="GUJ377" s="15"/>
      <c r="GUK377" s="15"/>
      <c r="GUL377" s="15"/>
      <c r="GUM377" s="15"/>
      <c r="GUN377" s="15"/>
      <c r="GUO377" s="15"/>
      <c r="GUP377" s="15"/>
      <c r="GUQ377" s="15"/>
      <c r="GUR377" s="15"/>
      <c r="GUS377" s="15"/>
      <c r="GUT377" s="10"/>
      <c r="GUU377" s="10"/>
      <c r="GUV377" s="21"/>
      <c r="GUW377" s="21"/>
      <c r="GUZ377" s="21"/>
      <c r="GVA377" s="15"/>
      <c r="GVB377" s="15"/>
      <c r="GVC377" s="15"/>
      <c r="GVD377" s="15"/>
      <c r="GVE377" s="15"/>
      <c r="GVF377" s="15"/>
      <c r="GVG377" s="15"/>
      <c r="GVH377" s="15"/>
      <c r="GVI377" s="15"/>
      <c r="GVJ377" s="15"/>
      <c r="GVK377" s="10"/>
      <c r="GVL377" s="10"/>
      <c r="GVM377" s="21"/>
      <c r="GVN377" s="21"/>
      <c r="GVQ377" s="21"/>
      <c r="GVR377" s="15"/>
      <c r="GVS377" s="15"/>
      <c r="GVT377" s="15"/>
      <c r="GVU377" s="15"/>
      <c r="GVV377" s="15"/>
      <c r="GVW377" s="15"/>
      <c r="GVX377" s="15"/>
      <c r="GVY377" s="15"/>
      <c r="GVZ377" s="15"/>
      <c r="GWA377" s="15"/>
      <c r="GWB377" s="10"/>
      <c r="GWC377" s="10"/>
      <c r="GWD377" s="21"/>
      <c r="GWE377" s="21"/>
      <c r="GWH377" s="21"/>
      <c r="GWI377" s="15"/>
      <c r="GWJ377" s="15"/>
      <c r="GWK377" s="15"/>
      <c r="GWL377" s="15"/>
      <c r="GWM377" s="15"/>
      <c r="GWN377" s="15"/>
      <c r="GWO377" s="15"/>
      <c r="GWP377" s="15"/>
      <c r="GWQ377" s="15"/>
      <c r="GWR377" s="15"/>
      <c r="GWS377" s="10"/>
      <c r="GWT377" s="10"/>
      <c r="GWU377" s="21"/>
      <c r="GWV377" s="21"/>
      <c r="GWY377" s="21"/>
      <c r="GWZ377" s="15"/>
      <c r="GXA377" s="15"/>
      <c r="GXB377" s="15"/>
      <c r="GXC377" s="15"/>
      <c r="GXD377" s="15"/>
      <c r="GXE377" s="15"/>
      <c r="GXF377" s="15"/>
      <c r="GXG377" s="15"/>
      <c r="GXH377" s="15"/>
      <c r="GXI377" s="15"/>
      <c r="GXJ377" s="10"/>
      <c r="GXK377" s="10"/>
      <c r="GXL377" s="21"/>
      <c r="GXM377" s="21"/>
      <c r="GXP377" s="21"/>
      <c r="GXQ377" s="15"/>
      <c r="GXR377" s="15"/>
      <c r="GXS377" s="15"/>
      <c r="GXT377" s="15"/>
      <c r="GXU377" s="15"/>
      <c r="GXV377" s="15"/>
      <c r="GXW377" s="15"/>
      <c r="GXX377" s="15"/>
      <c r="GXY377" s="15"/>
      <c r="GXZ377" s="15"/>
      <c r="GYA377" s="10"/>
      <c r="GYB377" s="10"/>
      <c r="GYC377" s="21"/>
      <c r="GYD377" s="21"/>
      <c r="GYG377" s="21"/>
      <c r="GYH377" s="15"/>
      <c r="GYI377" s="15"/>
      <c r="GYJ377" s="15"/>
      <c r="GYK377" s="15"/>
      <c r="GYL377" s="15"/>
      <c r="GYM377" s="15"/>
      <c r="GYN377" s="15"/>
      <c r="GYO377" s="15"/>
      <c r="GYP377" s="15"/>
      <c r="GYQ377" s="15"/>
      <c r="GYR377" s="10"/>
      <c r="GYS377" s="10"/>
      <c r="GYT377" s="21"/>
      <c r="GYU377" s="21"/>
      <c r="GYX377" s="21"/>
      <c r="GYY377" s="15"/>
      <c r="GYZ377" s="15"/>
      <c r="GZA377" s="15"/>
      <c r="GZB377" s="15"/>
      <c r="GZC377" s="15"/>
      <c r="GZD377" s="15"/>
      <c r="GZE377" s="15"/>
      <c r="GZF377" s="15"/>
      <c r="GZG377" s="15"/>
      <c r="GZH377" s="15"/>
      <c r="GZI377" s="10"/>
      <c r="GZJ377" s="10"/>
      <c r="GZK377" s="21"/>
      <c r="GZL377" s="21"/>
      <c r="GZO377" s="21"/>
      <c r="GZP377" s="15"/>
      <c r="GZQ377" s="15"/>
      <c r="GZR377" s="15"/>
      <c r="GZS377" s="15"/>
      <c r="GZT377" s="15"/>
      <c r="GZU377" s="15"/>
      <c r="GZV377" s="15"/>
      <c r="GZW377" s="15"/>
      <c r="GZX377" s="15"/>
      <c r="GZY377" s="15"/>
      <c r="GZZ377" s="10"/>
      <c r="HAA377" s="10"/>
      <c r="HAB377" s="21"/>
      <c r="HAC377" s="21"/>
      <c r="HAF377" s="21"/>
      <c r="HAG377" s="15"/>
      <c r="HAH377" s="15"/>
      <c r="HAI377" s="15"/>
      <c r="HAJ377" s="15"/>
      <c r="HAK377" s="15"/>
      <c r="HAL377" s="15"/>
      <c r="HAM377" s="15"/>
      <c r="HAN377" s="15"/>
      <c r="HAO377" s="15"/>
      <c r="HAP377" s="15"/>
      <c r="HAQ377" s="10"/>
      <c r="HAR377" s="10"/>
      <c r="HAS377" s="21"/>
      <c r="HAT377" s="21"/>
      <c r="HAW377" s="21"/>
      <c r="HAX377" s="15"/>
      <c r="HAY377" s="15"/>
      <c r="HAZ377" s="15"/>
      <c r="HBA377" s="15"/>
      <c r="HBB377" s="15"/>
      <c r="HBC377" s="15"/>
      <c r="HBD377" s="15"/>
      <c r="HBE377" s="15"/>
      <c r="HBF377" s="15"/>
      <c r="HBG377" s="15"/>
      <c r="HBH377" s="10"/>
      <c r="HBI377" s="10"/>
      <c r="HBJ377" s="21"/>
      <c r="HBK377" s="21"/>
      <c r="HBN377" s="21"/>
      <c r="HBO377" s="15"/>
      <c r="HBP377" s="15"/>
      <c r="HBQ377" s="15"/>
      <c r="HBR377" s="15"/>
      <c r="HBS377" s="15"/>
      <c r="HBT377" s="15"/>
      <c r="HBU377" s="15"/>
      <c r="HBV377" s="15"/>
      <c r="HBW377" s="15"/>
      <c r="HBX377" s="15"/>
      <c r="HBY377" s="10"/>
      <c r="HBZ377" s="10"/>
      <c r="HCA377" s="21"/>
      <c r="HCB377" s="21"/>
      <c r="HCE377" s="21"/>
      <c r="HCF377" s="15"/>
      <c r="HCG377" s="15"/>
      <c r="HCH377" s="15"/>
      <c r="HCI377" s="15"/>
      <c r="HCJ377" s="15"/>
      <c r="HCK377" s="15"/>
      <c r="HCL377" s="15"/>
      <c r="HCM377" s="15"/>
      <c r="HCN377" s="15"/>
      <c r="HCO377" s="15"/>
      <c r="HCP377" s="10"/>
      <c r="HCQ377" s="10"/>
      <c r="HCR377" s="21"/>
      <c r="HCS377" s="21"/>
      <c r="HCV377" s="21"/>
      <c r="HCW377" s="15"/>
      <c r="HCX377" s="15"/>
      <c r="HCY377" s="15"/>
      <c r="HCZ377" s="15"/>
      <c r="HDA377" s="15"/>
      <c r="HDB377" s="15"/>
      <c r="HDC377" s="15"/>
      <c r="HDD377" s="15"/>
      <c r="HDE377" s="15"/>
      <c r="HDF377" s="15"/>
      <c r="HDG377" s="10"/>
      <c r="HDH377" s="10"/>
      <c r="HDI377" s="21"/>
      <c r="HDJ377" s="21"/>
      <c r="HDM377" s="21"/>
      <c r="HDN377" s="15"/>
      <c r="HDO377" s="15"/>
      <c r="HDP377" s="15"/>
      <c r="HDQ377" s="15"/>
      <c r="HDR377" s="15"/>
      <c r="HDS377" s="15"/>
      <c r="HDT377" s="15"/>
      <c r="HDU377" s="15"/>
      <c r="HDV377" s="15"/>
      <c r="HDW377" s="15"/>
      <c r="HDX377" s="10"/>
      <c r="HDY377" s="10"/>
      <c r="HDZ377" s="21"/>
      <c r="HEA377" s="21"/>
      <c r="HED377" s="21"/>
      <c r="HEE377" s="15"/>
      <c r="HEF377" s="15"/>
      <c r="HEG377" s="15"/>
      <c r="HEH377" s="15"/>
      <c r="HEI377" s="15"/>
      <c r="HEJ377" s="15"/>
      <c r="HEK377" s="15"/>
      <c r="HEL377" s="15"/>
      <c r="HEM377" s="15"/>
      <c r="HEN377" s="15"/>
      <c r="HEO377" s="10"/>
      <c r="HEP377" s="10"/>
      <c r="HEQ377" s="21"/>
      <c r="HER377" s="21"/>
      <c r="HEU377" s="21"/>
      <c r="HEV377" s="15"/>
      <c r="HEW377" s="15"/>
      <c r="HEX377" s="15"/>
      <c r="HEY377" s="15"/>
      <c r="HEZ377" s="15"/>
      <c r="HFA377" s="15"/>
      <c r="HFB377" s="15"/>
      <c r="HFC377" s="15"/>
      <c r="HFD377" s="15"/>
      <c r="HFE377" s="15"/>
      <c r="HFF377" s="10"/>
      <c r="HFG377" s="10"/>
      <c r="HFH377" s="21"/>
      <c r="HFI377" s="21"/>
      <c r="HFL377" s="21"/>
      <c r="HFM377" s="15"/>
      <c r="HFN377" s="15"/>
      <c r="HFO377" s="15"/>
      <c r="HFP377" s="15"/>
      <c r="HFQ377" s="15"/>
      <c r="HFR377" s="15"/>
      <c r="HFS377" s="15"/>
      <c r="HFT377" s="15"/>
      <c r="HFU377" s="15"/>
      <c r="HFV377" s="15"/>
      <c r="HFW377" s="10"/>
      <c r="HFX377" s="10"/>
      <c r="HFY377" s="21"/>
      <c r="HFZ377" s="21"/>
      <c r="HGC377" s="21"/>
      <c r="HGD377" s="15"/>
      <c r="HGE377" s="15"/>
      <c r="HGF377" s="15"/>
      <c r="HGG377" s="15"/>
      <c r="HGH377" s="15"/>
      <c r="HGI377" s="15"/>
      <c r="HGJ377" s="15"/>
      <c r="HGK377" s="15"/>
      <c r="HGL377" s="15"/>
      <c r="HGM377" s="15"/>
      <c r="HGN377" s="10"/>
      <c r="HGO377" s="10"/>
      <c r="HGP377" s="21"/>
      <c r="HGQ377" s="21"/>
      <c r="HGT377" s="21"/>
      <c r="HGU377" s="15"/>
      <c r="HGV377" s="15"/>
      <c r="HGW377" s="15"/>
      <c r="HGX377" s="15"/>
      <c r="HGY377" s="15"/>
      <c r="HGZ377" s="15"/>
      <c r="HHA377" s="15"/>
      <c r="HHB377" s="15"/>
      <c r="HHC377" s="15"/>
      <c r="HHD377" s="15"/>
      <c r="HHE377" s="10"/>
      <c r="HHF377" s="10"/>
      <c r="HHG377" s="21"/>
      <c r="HHH377" s="21"/>
      <c r="HHK377" s="21"/>
      <c r="HHL377" s="15"/>
      <c r="HHM377" s="15"/>
      <c r="HHN377" s="15"/>
      <c r="HHO377" s="15"/>
      <c r="HHP377" s="15"/>
      <c r="HHQ377" s="15"/>
      <c r="HHR377" s="15"/>
      <c r="HHS377" s="15"/>
      <c r="HHT377" s="15"/>
      <c r="HHU377" s="15"/>
      <c r="HHV377" s="10"/>
      <c r="HHW377" s="10"/>
      <c r="HHX377" s="21"/>
      <c r="HHY377" s="21"/>
      <c r="HIB377" s="21"/>
      <c r="HIC377" s="15"/>
      <c r="HID377" s="15"/>
      <c r="HIE377" s="15"/>
      <c r="HIF377" s="15"/>
      <c r="HIG377" s="15"/>
      <c r="HIH377" s="15"/>
      <c r="HII377" s="15"/>
      <c r="HIJ377" s="15"/>
      <c r="HIK377" s="15"/>
      <c r="HIL377" s="15"/>
      <c r="HIM377" s="10"/>
      <c r="HIN377" s="10"/>
      <c r="HIO377" s="21"/>
      <c r="HIP377" s="21"/>
      <c r="HIS377" s="21"/>
      <c r="HIT377" s="15"/>
      <c r="HIU377" s="15"/>
      <c r="HIV377" s="15"/>
      <c r="HIW377" s="15"/>
      <c r="HIX377" s="15"/>
      <c r="HIY377" s="15"/>
      <c r="HIZ377" s="15"/>
      <c r="HJA377" s="15"/>
      <c r="HJB377" s="15"/>
      <c r="HJC377" s="15"/>
      <c r="HJD377" s="10"/>
      <c r="HJE377" s="10"/>
      <c r="HJF377" s="21"/>
      <c r="HJG377" s="21"/>
      <c r="HJJ377" s="21"/>
      <c r="HJK377" s="15"/>
      <c r="HJL377" s="15"/>
      <c r="HJM377" s="15"/>
      <c r="HJN377" s="15"/>
      <c r="HJO377" s="15"/>
      <c r="HJP377" s="15"/>
      <c r="HJQ377" s="15"/>
      <c r="HJR377" s="15"/>
      <c r="HJS377" s="15"/>
      <c r="HJT377" s="15"/>
      <c r="HJU377" s="10"/>
      <c r="HJV377" s="10"/>
      <c r="HJW377" s="21"/>
      <c r="HJX377" s="21"/>
      <c r="HKA377" s="21"/>
      <c r="HKB377" s="15"/>
      <c r="HKC377" s="15"/>
      <c r="HKD377" s="15"/>
      <c r="HKE377" s="15"/>
      <c r="HKF377" s="15"/>
      <c r="HKG377" s="15"/>
      <c r="HKH377" s="15"/>
      <c r="HKI377" s="15"/>
      <c r="HKJ377" s="15"/>
      <c r="HKK377" s="15"/>
      <c r="HKL377" s="10"/>
      <c r="HKM377" s="10"/>
      <c r="HKN377" s="21"/>
      <c r="HKO377" s="21"/>
      <c r="HKR377" s="21"/>
      <c r="HKS377" s="15"/>
      <c r="HKT377" s="15"/>
      <c r="HKU377" s="15"/>
      <c r="HKV377" s="15"/>
      <c r="HKW377" s="15"/>
      <c r="HKX377" s="15"/>
      <c r="HKY377" s="15"/>
      <c r="HKZ377" s="15"/>
      <c r="HLA377" s="15"/>
      <c r="HLB377" s="15"/>
      <c r="HLC377" s="10"/>
      <c r="HLD377" s="10"/>
      <c r="HLE377" s="21"/>
      <c r="HLF377" s="21"/>
      <c r="HLI377" s="21"/>
      <c r="HLJ377" s="15"/>
      <c r="HLK377" s="15"/>
      <c r="HLL377" s="15"/>
      <c r="HLM377" s="15"/>
      <c r="HLN377" s="15"/>
      <c r="HLO377" s="15"/>
      <c r="HLP377" s="15"/>
      <c r="HLQ377" s="15"/>
      <c r="HLR377" s="15"/>
      <c r="HLS377" s="15"/>
      <c r="HLT377" s="10"/>
      <c r="HLU377" s="10"/>
      <c r="HLV377" s="21"/>
      <c r="HLW377" s="21"/>
      <c r="HLZ377" s="21"/>
      <c r="HMA377" s="15"/>
      <c r="HMB377" s="15"/>
      <c r="HMC377" s="15"/>
      <c r="HMD377" s="15"/>
      <c r="HME377" s="15"/>
      <c r="HMF377" s="15"/>
      <c r="HMG377" s="15"/>
      <c r="HMH377" s="15"/>
      <c r="HMI377" s="15"/>
      <c r="HMJ377" s="15"/>
      <c r="HMK377" s="10"/>
      <c r="HML377" s="10"/>
      <c r="HMM377" s="21"/>
      <c r="HMN377" s="21"/>
      <c r="HMQ377" s="21"/>
      <c r="HMR377" s="15"/>
      <c r="HMS377" s="15"/>
      <c r="HMT377" s="15"/>
      <c r="HMU377" s="15"/>
      <c r="HMV377" s="15"/>
      <c r="HMW377" s="15"/>
      <c r="HMX377" s="15"/>
      <c r="HMY377" s="15"/>
      <c r="HMZ377" s="15"/>
      <c r="HNA377" s="15"/>
      <c r="HNB377" s="10"/>
      <c r="HNC377" s="10"/>
      <c r="HND377" s="21"/>
      <c r="HNE377" s="21"/>
      <c r="HNH377" s="21"/>
      <c r="HNI377" s="15"/>
      <c r="HNJ377" s="15"/>
      <c r="HNK377" s="15"/>
      <c r="HNL377" s="15"/>
      <c r="HNM377" s="15"/>
      <c r="HNN377" s="15"/>
      <c r="HNO377" s="15"/>
      <c r="HNP377" s="15"/>
      <c r="HNQ377" s="15"/>
      <c r="HNR377" s="15"/>
      <c r="HNS377" s="10"/>
      <c r="HNT377" s="10"/>
      <c r="HNU377" s="21"/>
      <c r="HNV377" s="21"/>
      <c r="HNY377" s="21"/>
      <c r="HNZ377" s="15"/>
      <c r="HOA377" s="15"/>
      <c r="HOB377" s="15"/>
      <c r="HOC377" s="15"/>
      <c r="HOD377" s="15"/>
      <c r="HOE377" s="15"/>
      <c r="HOF377" s="15"/>
      <c r="HOG377" s="15"/>
      <c r="HOH377" s="15"/>
      <c r="HOI377" s="15"/>
      <c r="HOJ377" s="10"/>
      <c r="HOK377" s="10"/>
      <c r="HOL377" s="21"/>
      <c r="HOM377" s="21"/>
      <c r="HOP377" s="21"/>
      <c r="HOQ377" s="15"/>
      <c r="HOR377" s="15"/>
      <c r="HOS377" s="15"/>
      <c r="HOT377" s="15"/>
      <c r="HOU377" s="15"/>
      <c r="HOV377" s="15"/>
      <c r="HOW377" s="15"/>
      <c r="HOX377" s="15"/>
      <c r="HOY377" s="15"/>
      <c r="HOZ377" s="15"/>
      <c r="HPA377" s="10"/>
      <c r="HPB377" s="10"/>
      <c r="HPC377" s="21"/>
      <c r="HPD377" s="21"/>
      <c r="HPG377" s="21"/>
      <c r="HPH377" s="15"/>
      <c r="HPI377" s="15"/>
      <c r="HPJ377" s="15"/>
      <c r="HPK377" s="15"/>
      <c r="HPL377" s="15"/>
      <c r="HPM377" s="15"/>
      <c r="HPN377" s="15"/>
      <c r="HPO377" s="15"/>
      <c r="HPP377" s="15"/>
      <c r="HPQ377" s="15"/>
      <c r="HPR377" s="10"/>
      <c r="HPS377" s="10"/>
      <c r="HPT377" s="21"/>
      <c r="HPU377" s="21"/>
      <c r="HPX377" s="21"/>
      <c r="HPY377" s="15"/>
      <c r="HPZ377" s="15"/>
      <c r="HQA377" s="15"/>
      <c r="HQB377" s="15"/>
      <c r="HQC377" s="15"/>
      <c r="HQD377" s="15"/>
      <c r="HQE377" s="15"/>
      <c r="HQF377" s="15"/>
      <c r="HQG377" s="15"/>
      <c r="HQH377" s="15"/>
      <c r="HQI377" s="10"/>
      <c r="HQJ377" s="10"/>
      <c r="HQK377" s="21"/>
      <c r="HQL377" s="21"/>
      <c r="HQO377" s="21"/>
      <c r="HQP377" s="15"/>
      <c r="HQQ377" s="15"/>
      <c r="HQR377" s="15"/>
      <c r="HQS377" s="15"/>
      <c r="HQT377" s="15"/>
      <c r="HQU377" s="15"/>
      <c r="HQV377" s="15"/>
      <c r="HQW377" s="15"/>
      <c r="HQX377" s="15"/>
      <c r="HQY377" s="15"/>
      <c r="HQZ377" s="10"/>
      <c r="HRA377" s="10"/>
      <c r="HRB377" s="21"/>
      <c r="HRC377" s="21"/>
      <c r="HRF377" s="21"/>
      <c r="HRG377" s="15"/>
      <c r="HRH377" s="15"/>
      <c r="HRI377" s="15"/>
      <c r="HRJ377" s="15"/>
      <c r="HRK377" s="15"/>
      <c r="HRL377" s="15"/>
      <c r="HRM377" s="15"/>
      <c r="HRN377" s="15"/>
      <c r="HRO377" s="15"/>
      <c r="HRP377" s="15"/>
      <c r="HRQ377" s="10"/>
      <c r="HRR377" s="10"/>
      <c r="HRS377" s="21"/>
      <c r="HRT377" s="21"/>
      <c r="HRW377" s="21"/>
      <c r="HRX377" s="15"/>
      <c r="HRY377" s="15"/>
      <c r="HRZ377" s="15"/>
      <c r="HSA377" s="15"/>
      <c r="HSB377" s="15"/>
      <c r="HSC377" s="15"/>
      <c r="HSD377" s="15"/>
      <c r="HSE377" s="15"/>
      <c r="HSF377" s="15"/>
      <c r="HSG377" s="15"/>
      <c r="HSH377" s="10"/>
      <c r="HSI377" s="10"/>
      <c r="HSJ377" s="21"/>
      <c r="HSK377" s="21"/>
      <c r="HSN377" s="21"/>
      <c r="HSO377" s="15"/>
      <c r="HSP377" s="15"/>
      <c r="HSQ377" s="15"/>
      <c r="HSR377" s="15"/>
      <c r="HSS377" s="15"/>
      <c r="HST377" s="15"/>
      <c r="HSU377" s="15"/>
      <c r="HSV377" s="15"/>
      <c r="HSW377" s="15"/>
      <c r="HSX377" s="15"/>
      <c r="HSY377" s="10"/>
      <c r="HSZ377" s="10"/>
      <c r="HTA377" s="21"/>
      <c r="HTB377" s="21"/>
      <c r="HTE377" s="21"/>
      <c r="HTF377" s="15"/>
      <c r="HTG377" s="15"/>
      <c r="HTH377" s="15"/>
      <c r="HTI377" s="15"/>
      <c r="HTJ377" s="15"/>
      <c r="HTK377" s="15"/>
      <c r="HTL377" s="15"/>
      <c r="HTM377" s="15"/>
      <c r="HTN377" s="15"/>
      <c r="HTO377" s="15"/>
      <c r="HTP377" s="10"/>
      <c r="HTQ377" s="10"/>
      <c r="HTR377" s="21"/>
      <c r="HTS377" s="21"/>
      <c r="HTV377" s="21"/>
      <c r="HTW377" s="15"/>
      <c r="HTX377" s="15"/>
      <c r="HTY377" s="15"/>
      <c r="HTZ377" s="15"/>
      <c r="HUA377" s="15"/>
      <c r="HUB377" s="15"/>
      <c r="HUC377" s="15"/>
      <c r="HUD377" s="15"/>
      <c r="HUE377" s="15"/>
      <c r="HUF377" s="15"/>
      <c r="HUG377" s="10"/>
      <c r="HUH377" s="10"/>
      <c r="HUI377" s="21"/>
      <c r="HUJ377" s="21"/>
      <c r="HUM377" s="21"/>
      <c r="HUN377" s="15"/>
      <c r="HUO377" s="15"/>
      <c r="HUP377" s="15"/>
      <c r="HUQ377" s="15"/>
      <c r="HUR377" s="15"/>
      <c r="HUS377" s="15"/>
      <c r="HUT377" s="15"/>
      <c r="HUU377" s="15"/>
      <c r="HUV377" s="15"/>
      <c r="HUW377" s="15"/>
      <c r="HUX377" s="10"/>
      <c r="HUY377" s="10"/>
      <c r="HUZ377" s="21"/>
      <c r="HVA377" s="21"/>
      <c r="HVD377" s="21"/>
      <c r="HVE377" s="15"/>
      <c r="HVF377" s="15"/>
      <c r="HVG377" s="15"/>
      <c r="HVH377" s="15"/>
      <c r="HVI377" s="15"/>
      <c r="HVJ377" s="15"/>
      <c r="HVK377" s="15"/>
      <c r="HVL377" s="15"/>
      <c r="HVM377" s="15"/>
      <c r="HVN377" s="15"/>
      <c r="HVO377" s="10"/>
      <c r="HVP377" s="10"/>
      <c r="HVQ377" s="21"/>
      <c r="HVR377" s="21"/>
      <c r="HVU377" s="21"/>
      <c r="HVV377" s="15"/>
      <c r="HVW377" s="15"/>
      <c r="HVX377" s="15"/>
      <c r="HVY377" s="15"/>
      <c r="HVZ377" s="15"/>
      <c r="HWA377" s="15"/>
      <c r="HWB377" s="15"/>
      <c r="HWC377" s="15"/>
      <c r="HWD377" s="15"/>
      <c r="HWE377" s="15"/>
      <c r="HWF377" s="10"/>
      <c r="HWG377" s="10"/>
      <c r="HWH377" s="21"/>
      <c r="HWI377" s="21"/>
      <c r="HWL377" s="21"/>
      <c r="HWM377" s="15"/>
      <c r="HWN377" s="15"/>
      <c r="HWO377" s="15"/>
      <c r="HWP377" s="15"/>
      <c r="HWQ377" s="15"/>
      <c r="HWR377" s="15"/>
      <c r="HWS377" s="15"/>
      <c r="HWT377" s="15"/>
      <c r="HWU377" s="15"/>
      <c r="HWV377" s="15"/>
      <c r="HWW377" s="10"/>
      <c r="HWX377" s="10"/>
      <c r="HWY377" s="21"/>
      <c r="HWZ377" s="21"/>
      <c r="HXC377" s="21"/>
      <c r="HXD377" s="15"/>
      <c r="HXE377" s="15"/>
      <c r="HXF377" s="15"/>
      <c r="HXG377" s="15"/>
      <c r="HXH377" s="15"/>
      <c r="HXI377" s="15"/>
      <c r="HXJ377" s="15"/>
      <c r="HXK377" s="15"/>
      <c r="HXL377" s="15"/>
      <c r="HXM377" s="15"/>
      <c r="HXN377" s="10"/>
      <c r="HXO377" s="10"/>
      <c r="HXP377" s="21"/>
      <c r="HXQ377" s="21"/>
      <c r="HXT377" s="21"/>
      <c r="HXU377" s="15"/>
      <c r="HXV377" s="15"/>
      <c r="HXW377" s="15"/>
      <c r="HXX377" s="15"/>
      <c r="HXY377" s="15"/>
      <c r="HXZ377" s="15"/>
      <c r="HYA377" s="15"/>
      <c r="HYB377" s="15"/>
      <c r="HYC377" s="15"/>
      <c r="HYD377" s="15"/>
      <c r="HYE377" s="10"/>
      <c r="HYF377" s="10"/>
      <c r="HYG377" s="21"/>
      <c r="HYH377" s="21"/>
      <c r="HYK377" s="21"/>
      <c r="HYL377" s="15"/>
      <c r="HYM377" s="15"/>
      <c r="HYN377" s="15"/>
      <c r="HYO377" s="15"/>
      <c r="HYP377" s="15"/>
      <c r="HYQ377" s="15"/>
      <c r="HYR377" s="15"/>
      <c r="HYS377" s="15"/>
      <c r="HYT377" s="15"/>
      <c r="HYU377" s="15"/>
      <c r="HYV377" s="10"/>
      <c r="HYW377" s="10"/>
      <c r="HYX377" s="21"/>
      <c r="HYY377" s="21"/>
      <c r="HZB377" s="21"/>
      <c r="HZC377" s="15"/>
      <c r="HZD377" s="15"/>
      <c r="HZE377" s="15"/>
      <c r="HZF377" s="15"/>
      <c r="HZG377" s="15"/>
      <c r="HZH377" s="15"/>
      <c r="HZI377" s="15"/>
      <c r="HZJ377" s="15"/>
      <c r="HZK377" s="15"/>
      <c r="HZL377" s="15"/>
      <c r="HZM377" s="10"/>
      <c r="HZN377" s="10"/>
      <c r="HZO377" s="21"/>
      <c r="HZP377" s="21"/>
      <c r="HZS377" s="21"/>
      <c r="HZT377" s="15"/>
      <c r="HZU377" s="15"/>
      <c r="HZV377" s="15"/>
      <c r="HZW377" s="15"/>
      <c r="HZX377" s="15"/>
      <c r="HZY377" s="15"/>
      <c r="HZZ377" s="15"/>
      <c r="IAA377" s="15"/>
      <c r="IAB377" s="15"/>
      <c r="IAC377" s="15"/>
      <c r="IAD377" s="10"/>
      <c r="IAE377" s="10"/>
      <c r="IAF377" s="21"/>
      <c r="IAG377" s="21"/>
      <c r="IAJ377" s="21"/>
      <c r="IAK377" s="15"/>
      <c r="IAL377" s="15"/>
      <c r="IAM377" s="15"/>
      <c r="IAN377" s="15"/>
      <c r="IAO377" s="15"/>
      <c r="IAP377" s="15"/>
      <c r="IAQ377" s="15"/>
      <c r="IAR377" s="15"/>
      <c r="IAS377" s="15"/>
      <c r="IAT377" s="15"/>
      <c r="IAU377" s="10"/>
      <c r="IAV377" s="10"/>
      <c r="IAW377" s="21"/>
      <c r="IAX377" s="21"/>
      <c r="IBA377" s="21"/>
      <c r="IBB377" s="15"/>
      <c r="IBC377" s="15"/>
      <c r="IBD377" s="15"/>
      <c r="IBE377" s="15"/>
      <c r="IBF377" s="15"/>
      <c r="IBG377" s="15"/>
      <c r="IBH377" s="15"/>
      <c r="IBI377" s="15"/>
      <c r="IBJ377" s="15"/>
      <c r="IBK377" s="15"/>
      <c r="IBL377" s="10"/>
      <c r="IBM377" s="10"/>
      <c r="IBN377" s="21"/>
      <c r="IBO377" s="21"/>
      <c r="IBR377" s="21"/>
      <c r="IBS377" s="15"/>
      <c r="IBT377" s="15"/>
      <c r="IBU377" s="15"/>
      <c r="IBV377" s="15"/>
      <c r="IBW377" s="15"/>
      <c r="IBX377" s="15"/>
      <c r="IBY377" s="15"/>
      <c r="IBZ377" s="15"/>
      <c r="ICA377" s="15"/>
      <c r="ICB377" s="15"/>
      <c r="ICC377" s="10"/>
      <c r="ICD377" s="10"/>
      <c r="ICE377" s="21"/>
      <c r="ICF377" s="21"/>
      <c r="ICI377" s="21"/>
      <c r="ICJ377" s="15"/>
      <c r="ICK377" s="15"/>
      <c r="ICL377" s="15"/>
      <c r="ICM377" s="15"/>
      <c r="ICN377" s="15"/>
      <c r="ICO377" s="15"/>
      <c r="ICP377" s="15"/>
      <c r="ICQ377" s="15"/>
      <c r="ICR377" s="15"/>
      <c r="ICS377" s="15"/>
      <c r="ICT377" s="10"/>
      <c r="ICU377" s="10"/>
      <c r="ICV377" s="21"/>
      <c r="ICW377" s="21"/>
      <c r="ICZ377" s="21"/>
      <c r="IDA377" s="15"/>
      <c r="IDB377" s="15"/>
      <c r="IDC377" s="15"/>
      <c r="IDD377" s="15"/>
      <c r="IDE377" s="15"/>
      <c r="IDF377" s="15"/>
      <c r="IDG377" s="15"/>
      <c r="IDH377" s="15"/>
      <c r="IDI377" s="15"/>
      <c r="IDJ377" s="15"/>
      <c r="IDK377" s="10"/>
      <c r="IDL377" s="10"/>
      <c r="IDM377" s="21"/>
      <c r="IDN377" s="21"/>
      <c r="IDQ377" s="21"/>
      <c r="IDR377" s="15"/>
      <c r="IDS377" s="15"/>
      <c r="IDT377" s="15"/>
      <c r="IDU377" s="15"/>
      <c r="IDV377" s="15"/>
      <c r="IDW377" s="15"/>
      <c r="IDX377" s="15"/>
      <c r="IDY377" s="15"/>
      <c r="IDZ377" s="15"/>
      <c r="IEA377" s="15"/>
      <c r="IEB377" s="10"/>
      <c r="IEC377" s="10"/>
      <c r="IED377" s="21"/>
      <c r="IEE377" s="21"/>
      <c r="IEH377" s="21"/>
      <c r="IEI377" s="15"/>
      <c r="IEJ377" s="15"/>
      <c r="IEK377" s="15"/>
      <c r="IEL377" s="15"/>
      <c r="IEM377" s="15"/>
      <c r="IEN377" s="15"/>
      <c r="IEO377" s="15"/>
      <c r="IEP377" s="15"/>
      <c r="IEQ377" s="15"/>
      <c r="IER377" s="15"/>
      <c r="IES377" s="10"/>
      <c r="IET377" s="10"/>
      <c r="IEU377" s="21"/>
      <c r="IEV377" s="21"/>
      <c r="IEY377" s="21"/>
      <c r="IEZ377" s="15"/>
      <c r="IFA377" s="15"/>
      <c r="IFB377" s="15"/>
      <c r="IFC377" s="15"/>
      <c r="IFD377" s="15"/>
      <c r="IFE377" s="15"/>
      <c r="IFF377" s="15"/>
      <c r="IFG377" s="15"/>
      <c r="IFH377" s="15"/>
      <c r="IFI377" s="15"/>
      <c r="IFJ377" s="10"/>
      <c r="IFK377" s="10"/>
      <c r="IFL377" s="21"/>
      <c r="IFM377" s="21"/>
      <c r="IFP377" s="21"/>
      <c r="IFQ377" s="15"/>
      <c r="IFR377" s="15"/>
      <c r="IFS377" s="15"/>
      <c r="IFT377" s="15"/>
      <c r="IFU377" s="15"/>
      <c r="IFV377" s="15"/>
      <c r="IFW377" s="15"/>
      <c r="IFX377" s="15"/>
      <c r="IFY377" s="15"/>
      <c r="IFZ377" s="15"/>
      <c r="IGA377" s="10"/>
      <c r="IGB377" s="10"/>
      <c r="IGC377" s="21"/>
      <c r="IGD377" s="21"/>
      <c r="IGG377" s="21"/>
      <c r="IGH377" s="15"/>
      <c r="IGI377" s="15"/>
      <c r="IGJ377" s="15"/>
      <c r="IGK377" s="15"/>
      <c r="IGL377" s="15"/>
      <c r="IGM377" s="15"/>
      <c r="IGN377" s="15"/>
      <c r="IGO377" s="15"/>
      <c r="IGP377" s="15"/>
      <c r="IGQ377" s="15"/>
      <c r="IGR377" s="10"/>
      <c r="IGS377" s="10"/>
      <c r="IGT377" s="21"/>
      <c r="IGU377" s="21"/>
      <c r="IGX377" s="21"/>
      <c r="IGY377" s="15"/>
      <c r="IGZ377" s="15"/>
      <c r="IHA377" s="15"/>
      <c r="IHB377" s="15"/>
      <c r="IHC377" s="15"/>
      <c r="IHD377" s="15"/>
      <c r="IHE377" s="15"/>
      <c r="IHF377" s="15"/>
      <c r="IHG377" s="15"/>
      <c r="IHH377" s="15"/>
      <c r="IHI377" s="10"/>
      <c r="IHJ377" s="10"/>
      <c r="IHK377" s="21"/>
      <c r="IHL377" s="21"/>
      <c r="IHO377" s="21"/>
      <c r="IHP377" s="15"/>
      <c r="IHQ377" s="15"/>
      <c r="IHR377" s="15"/>
      <c r="IHS377" s="15"/>
      <c r="IHT377" s="15"/>
      <c r="IHU377" s="15"/>
      <c r="IHV377" s="15"/>
      <c r="IHW377" s="15"/>
      <c r="IHX377" s="15"/>
      <c r="IHY377" s="15"/>
      <c r="IHZ377" s="10"/>
      <c r="IIA377" s="10"/>
      <c r="IIB377" s="21"/>
      <c r="IIC377" s="21"/>
      <c r="IIF377" s="21"/>
      <c r="IIG377" s="15"/>
      <c r="IIH377" s="15"/>
      <c r="III377" s="15"/>
      <c r="IIJ377" s="15"/>
      <c r="IIK377" s="15"/>
      <c r="IIL377" s="15"/>
      <c r="IIM377" s="15"/>
      <c r="IIN377" s="15"/>
      <c r="IIO377" s="15"/>
      <c r="IIP377" s="15"/>
      <c r="IIQ377" s="10"/>
      <c r="IIR377" s="10"/>
      <c r="IIS377" s="21"/>
      <c r="IIT377" s="21"/>
      <c r="IIW377" s="21"/>
      <c r="IIX377" s="15"/>
      <c r="IIY377" s="15"/>
      <c r="IIZ377" s="15"/>
      <c r="IJA377" s="15"/>
      <c r="IJB377" s="15"/>
      <c r="IJC377" s="15"/>
      <c r="IJD377" s="15"/>
      <c r="IJE377" s="15"/>
      <c r="IJF377" s="15"/>
      <c r="IJG377" s="15"/>
      <c r="IJH377" s="10"/>
      <c r="IJI377" s="10"/>
      <c r="IJJ377" s="21"/>
      <c r="IJK377" s="21"/>
      <c r="IJN377" s="21"/>
      <c r="IJO377" s="15"/>
      <c r="IJP377" s="15"/>
      <c r="IJQ377" s="15"/>
      <c r="IJR377" s="15"/>
      <c r="IJS377" s="15"/>
      <c r="IJT377" s="15"/>
      <c r="IJU377" s="15"/>
      <c r="IJV377" s="15"/>
      <c r="IJW377" s="15"/>
      <c r="IJX377" s="15"/>
      <c r="IJY377" s="10"/>
      <c r="IJZ377" s="10"/>
      <c r="IKA377" s="21"/>
      <c r="IKB377" s="21"/>
      <c r="IKE377" s="21"/>
      <c r="IKF377" s="15"/>
      <c r="IKG377" s="15"/>
      <c r="IKH377" s="15"/>
      <c r="IKI377" s="15"/>
      <c r="IKJ377" s="15"/>
      <c r="IKK377" s="15"/>
      <c r="IKL377" s="15"/>
      <c r="IKM377" s="15"/>
      <c r="IKN377" s="15"/>
      <c r="IKO377" s="15"/>
      <c r="IKP377" s="10"/>
      <c r="IKQ377" s="10"/>
      <c r="IKR377" s="21"/>
      <c r="IKS377" s="21"/>
      <c r="IKV377" s="21"/>
      <c r="IKW377" s="15"/>
      <c r="IKX377" s="15"/>
      <c r="IKY377" s="15"/>
      <c r="IKZ377" s="15"/>
      <c r="ILA377" s="15"/>
      <c r="ILB377" s="15"/>
      <c r="ILC377" s="15"/>
      <c r="ILD377" s="15"/>
      <c r="ILE377" s="15"/>
      <c r="ILF377" s="15"/>
      <c r="ILG377" s="10"/>
      <c r="ILH377" s="10"/>
      <c r="ILI377" s="21"/>
      <c r="ILJ377" s="21"/>
      <c r="ILM377" s="21"/>
      <c r="ILN377" s="15"/>
      <c r="ILO377" s="15"/>
      <c r="ILP377" s="15"/>
      <c r="ILQ377" s="15"/>
      <c r="ILR377" s="15"/>
      <c r="ILS377" s="15"/>
      <c r="ILT377" s="15"/>
      <c r="ILU377" s="15"/>
      <c r="ILV377" s="15"/>
      <c r="ILW377" s="15"/>
      <c r="ILX377" s="10"/>
      <c r="ILY377" s="10"/>
      <c r="ILZ377" s="21"/>
      <c r="IMA377" s="21"/>
      <c r="IMD377" s="21"/>
      <c r="IME377" s="15"/>
      <c r="IMF377" s="15"/>
      <c r="IMG377" s="15"/>
      <c r="IMH377" s="15"/>
      <c r="IMI377" s="15"/>
      <c r="IMJ377" s="15"/>
      <c r="IMK377" s="15"/>
      <c r="IML377" s="15"/>
      <c r="IMM377" s="15"/>
      <c r="IMN377" s="15"/>
      <c r="IMO377" s="10"/>
      <c r="IMP377" s="10"/>
      <c r="IMQ377" s="21"/>
      <c r="IMR377" s="21"/>
      <c r="IMU377" s="21"/>
      <c r="IMV377" s="15"/>
      <c r="IMW377" s="15"/>
      <c r="IMX377" s="15"/>
      <c r="IMY377" s="15"/>
      <c r="IMZ377" s="15"/>
      <c r="INA377" s="15"/>
      <c r="INB377" s="15"/>
      <c r="INC377" s="15"/>
      <c r="IND377" s="15"/>
      <c r="INE377" s="15"/>
      <c r="INF377" s="10"/>
      <c r="ING377" s="10"/>
      <c r="INH377" s="21"/>
      <c r="INI377" s="21"/>
      <c r="INL377" s="21"/>
      <c r="INM377" s="15"/>
      <c r="INN377" s="15"/>
      <c r="INO377" s="15"/>
      <c r="INP377" s="15"/>
      <c r="INQ377" s="15"/>
      <c r="INR377" s="15"/>
      <c r="INS377" s="15"/>
      <c r="INT377" s="15"/>
      <c r="INU377" s="15"/>
      <c r="INV377" s="15"/>
      <c r="INW377" s="10"/>
      <c r="INX377" s="10"/>
      <c r="INY377" s="21"/>
      <c r="INZ377" s="21"/>
      <c r="IOC377" s="21"/>
      <c r="IOD377" s="15"/>
      <c r="IOE377" s="15"/>
      <c r="IOF377" s="15"/>
      <c r="IOG377" s="15"/>
      <c r="IOH377" s="15"/>
      <c r="IOI377" s="15"/>
      <c r="IOJ377" s="15"/>
      <c r="IOK377" s="15"/>
      <c r="IOL377" s="15"/>
      <c r="IOM377" s="15"/>
      <c r="ION377" s="10"/>
      <c r="IOO377" s="10"/>
      <c r="IOP377" s="21"/>
      <c r="IOQ377" s="21"/>
      <c r="IOT377" s="21"/>
      <c r="IOU377" s="15"/>
      <c r="IOV377" s="15"/>
      <c r="IOW377" s="15"/>
      <c r="IOX377" s="15"/>
      <c r="IOY377" s="15"/>
      <c r="IOZ377" s="15"/>
      <c r="IPA377" s="15"/>
      <c r="IPB377" s="15"/>
      <c r="IPC377" s="15"/>
      <c r="IPD377" s="15"/>
      <c r="IPE377" s="10"/>
      <c r="IPF377" s="10"/>
      <c r="IPG377" s="21"/>
      <c r="IPH377" s="21"/>
      <c r="IPK377" s="21"/>
      <c r="IPL377" s="15"/>
      <c r="IPM377" s="15"/>
      <c r="IPN377" s="15"/>
      <c r="IPO377" s="15"/>
      <c r="IPP377" s="15"/>
      <c r="IPQ377" s="15"/>
      <c r="IPR377" s="15"/>
      <c r="IPS377" s="15"/>
      <c r="IPT377" s="15"/>
      <c r="IPU377" s="15"/>
      <c r="IPV377" s="10"/>
      <c r="IPW377" s="10"/>
      <c r="IPX377" s="21"/>
      <c r="IPY377" s="21"/>
      <c r="IQB377" s="21"/>
      <c r="IQC377" s="15"/>
      <c r="IQD377" s="15"/>
      <c r="IQE377" s="15"/>
      <c r="IQF377" s="15"/>
      <c r="IQG377" s="15"/>
      <c r="IQH377" s="15"/>
      <c r="IQI377" s="15"/>
      <c r="IQJ377" s="15"/>
      <c r="IQK377" s="15"/>
      <c r="IQL377" s="15"/>
      <c r="IQM377" s="10"/>
      <c r="IQN377" s="10"/>
      <c r="IQO377" s="21"/>
      <c r="IQP377" s="21"/>
      <c r="IQS377" s="21"/>
      <c r="IQT377" s="15"/>
      <c r="IQU377" s="15"/>
      <c r="IQV377" s="15"/>
      <c r="IQW377" s="15"/>
      <c r="IQX377" s="15"/>
      <c r="IQY377" s="15"/>
      <c r="IQZ377" s="15"/>
      <c r="IRA377" s="15"/>
      <c r="IRB377" s="15"/>
      <c r="IRC377" s="15"/>
      <c r="IRD377" s="10"/>
      <c r="IRE377" s="10"/>
      <c r="IRF377" s="21"/>
      <c r="IRG377" s="21"/>
      <c r="IRJ377" s="21"/>
      <c r="IRK377" s="15"/>
      <c r="IRL377" s="15"/>
      <c r="IRM377" s="15"/>
      <c r="IRN377" s="15"/>
      <c r="IRO377" s="15"/>
      <c r="IRP377" s="15"/>
      <c r="IRQ377" s="15"/>
      <c r="IRR377" s="15"/>
      <c r="IRS377" s="15"/>
      <c r="IRT377" s="15"/>
      <c r="IRU377" s="10"/>
      <c r="IRV377" s="10"/>
      <c r="IRW377" s="21"/>
      <c r="IRX377" s="21"/>
      <c r="ISA377" s="21"/>
      <c r="ISB377" s="15"/>
      <c r="ISC377" s="15"/>
      <c r="ISD377" s="15"/>
      <c r="ISE377" s="15"/>
      <c r="ISF377" s="15"/>
      <c r="ISG377" s="15"/>
      <c r="ISH377" s="15"/>
      <c r="ISI377" s="15"/>
      <c r="ISJ377" s="15"/>
      <c r="ISK377" s="15"/>
      <c r="ISL377" s="10"/>
      <c r="ISM377" s="10"/>
      <c r="ISN377" s="21"/>
      <c r="ISO377" s="21"/>
      <c r="ISR377" s="21"/>
      <c r="ISS377" s="15"/>
      <c r="IST377" s="15"/>
      <c r="ISU377" s="15"/>
      <c r="ISV377" s="15"/>
      <c r="ISW377" s="15"/>
      <c r="ISX377" s="15"/>
      <c r="ISY377" s="15"/>
      <c r="ISZ377" s="15"/>
      <c r="ITA377" s="15"/>
      <c r="ITB377" s="15"/>
      <c r="ITC377" s="10"/>
      <c r="ITD377" s="10"/>
      <c r="ITE377" s="21"/>
      <c r="ITF377" s="21"/>
      <c r="ITI377" s="21"/>
      <c r="ITJ377" s="15"/>
      <c r="ITK377" s="15"/>
      <c r="ITL377" s="15"/>
      <c r="ITM377" s="15"/>
      <c r="ITN377" s="15"/>
      <c r="ITO377" s="15"/>
      <c r="ITP377" s="15"/>
      <c r="ITQ377" s="15"/>
      <c r="ITR377" s="15"/>
      <c r="ITS377" s="15"/>
      <c r="ITT377" s="10"/>
      <c r="ITU377" s="10"/>
      <c r="ITV377" s="21"/>
      <c r="ITW377" s="21"/>
      <c r="ITZ377" s="21"/>
      <c r="IUA377" s="15"/>
      <c r="IUB377" s="15"/>
      <c r="IUC377" s="15"/>
      <c r="IUD377" s="15"/>
      <c r="IUE377" s="15"/>
      <c r="IUF377" s="15"/>
      <c r="IUG377" s="15"/>
      <c r="IUH377" s="15"/>
      <c r="IUI377" s="15"/>
      <c r="IUJ377" s="15"/>
      <c r="IUK377" s="10"/>
      <c r="IUL377" s="10"/>
      <c r="IUM377" s="21"/>
      <c r="IUN377" s="21"/>
      <c r="IUQ377" s="21"/>
      <c r="IUR377" s="15"/>
      <c r="IUS377" s="15"/>
      <c r="IUT377" s="15"/>
      <c r="IUU377" s="15"/>
      <c r="IUV377" s="15"/>
      <c r="IUW377" s="15"/>
      <c r="IUX377" s="15"/>
      <c r="IUY377" s="15"/>
      <c r="IUZ377" s="15"/>
      <c r="IVA377" s="15"/>
      <c r="IVB377" s="10"/>
      <c r="IVC377" s="10"/>
      <c r="IVD377" s="21"/>
      <c r="IVE377" s="21"/>
      <c r="IVH377" s="21"/>
      <c r="IVI377" s="15"/>
      <c r="IVJ377" s="15"/>
      <c r="IVK377" s="15"/>
      <c r="IVL377" s="15"/>
      <c r="IVM377" s="15"/>
      <c r="IVN377" s="15"/>
      <c r="IVO377" s="15"/>
      <c r="IVP377" s="15"/>
      <c r="IVQ377" s="15"/>
      <c r="IVR377" s="15"/>
      <c r="IVS377" s="10"/>
      <c r="IVT377" s="10"/>
      <c r="IVU377" s="21"/>
      <c r="IVV377" s="21"/>
      <c r="IVY377" s="21"/>
      <c r="IVZ377" s="15"/>
      <c r="IWA377" s="15"/>
      <c r="IWB377" s="15"/>
      <c r="IWC377" s="15"/>
      <c r="IWD377" s="15"/>
      <c r="IWE377" s="15"/>
      <c r="IWF377" s="15"/>
      <c r="IWG377" s="15"/>
      <c r="IWH377" s="15"/>
      <c r="IWI377" s="15"/>
      <c r="IWJ377" s="10"/>
      <c r="IWK377" s="10"/>
      <c r="IWL377" s="21"/>
      <c r="IWM377" s="21"/>
      <c r="IWP377" s="21"/>
      <c r="IWQ377" s="15"/>
      <c r="IWR377" s="15"/>
      <c r="IWS377" s="15"/>
      <c r="IWT377" s="15"/>
      <c r="IWU377" s="15"/>
      <c r="IWV377" s="15"/>
      <c r="IWW377" s="15"/>
      <c r="IWX377" s="15"/>
      <c r="IWY377" s="15"/>
      <c r="IWZ377" s="15"/>
      <c r="IXA377" s="10"/>
      <c r="IXB377" s="10"/>
      <c r="IXC377" s="21"/>
      <c r="IXD377" s="21"/>
      <c r="IXG377" s="21"/>
      <c r="IXH377" s="15"/>
      <c r="IXI377" s="15"/>
      <c r="IXJ377" s="15"/>
      <c r="IXK377" s="15"/>
      <c r="IXL377" s="15"/>
      <c r="IXM377" s="15"/>
      <c r="IXN377" s="15"/>
      <c r="IXO377" s="15"/>
      <c r="IXP377" s="15"/>
      <c r="IXQ377" s="15"/>
      <c r="IXR377" s="10"/>
      <c r="IXS377" s="10"/>
      <c r="IXT377" s="21"/>
      <c r="IXU377" s="21"/>
      <c r="IXX377" s="21"/>
      <c r="IXY377" s="15"/>
      <c r="IXZ377" s="15"/>
      <c r="IYA377" s="15"/>
      <c r="IYB377" s="15"/>
      <c r="IYC377" s="15"/>
      <c r="IYD377" s="15"/>
      <c r="IYE377" s="15"/>
      <c r="IYF377" s="15"/>
      <c r="IYG377" s="15"/>
      <c r="IYH377" s="15"/>
      <c r="IYI377" s="10"/>
      <c r="IYJ377" s="10"/>
      <c r="IYK377" s="21"/>
      <c r="IYL377" s="21"/>
      <c r="IYO377" s="21"/>
      <c r="IYP377" s="15"/>
      <c r="IYQ377" s="15"/>
      <c r="IYR377" s="15"/>
      <c r="IYS377" s="15"/>
      <c r="IYT377" s="15"/>
      <c r="IYU377" s="15"/>
      <c r="IYV377" s="15"/>
      <c r="IYW377" s="15"/>
      <c r="IYX377" s="15"/>
      <c r="IYY377" s="15"/>
      <c r="IYZ377" s="10"/>
      <c r="IZA377" s="10"/>
      <c r="IZB377" s="21"/>
      <c r="IZC377" s="21"/>
      <c r="IZF377" s="21"/>
      <c r="IZG377" s="15"/>
      <c r="IZH377" s="15"/>
      <c r="IZI377" s="15"/>
      <c r="IZJ377" s="15"/>
      <c r="IZK377" s="15"/>
      <c r="IZL377" s="15"/>
      <c r="IZM377" s="15"/>
      <c r="IZN377" s="15"/>
      <c r="IZO377" s="15"/>
      <c r="IZP377" s="15"/>
      <c r="IZQ377" s="10"/>
      <c r="IZR377" s="10"/>
      <c r="IZS377" s="21"/>
      <c r="IZT377" s="21"/>
      <c r="IZW377" s="21"/>
      <c r="IZX377" s="15"/>
      <c r="IZY377" s="15"/>
      <c r="IZZ377" s="15"/>
      <c r="JAA377" s="15"/>
      <c r="JAB377" s="15"/>
      <c r="JAC377" s="15"/>
      <c r="JAD377" s="15"/>
      <c r="JAE377" s="15"/>
      <c r="JAF377" s="15"/>
      <c r="JAG377" s="15"/>
      <c r="JAH377" s="10"/>
      <c r="JAI377" s="10"/>
      <c r="JAJ377" s="21"/>
      <c r="JAK377" s="21"/>
      <c r="JAN377" s="21"/>
      <c r="JAO377" s="15"/>
      <c r="JAP377" s="15"/>
      <c r="JAQ377" s="15"/>
      <c r="JAR377" s="15"/>
      <c r="JAS377" s="15"/>
      <c r="JAT377" s="15"/>
      <c r="JAU377" s="15"/>
      <c r="JAV377" s="15"/>
      <c r="JAW377" s="15"/>
      <c r="JAX377" s="15"/>
      <c r="JAY377" s="10"/>
      <c r="JAZ377" s="10"/>
      <c r="JBA377" s="21"/>
      <c r="JBB377" s="21"/>
      <c r="JBE377" s="21"/>
      <c r="JBF377" s="15"/>
      <c r="JBG377" s="15"/>
      <c r="JBH377" s="15"/>
      <c r="JBI377" s="15"/>
      <c r="JBJ377" s="15"/>
      <c r="JBK377" s="15"/>
      <c r="JBL377" s="15"/>
      <c r="JBM377" s="15"/>
      <c r="JBN377" s="15"/>
      <c r="JBO377" s="15"/>
      <c r="JBP377" s="10"/>
      <c r="JBQ377" s="10"/>
      <c r="JBR377" s="21"/>
      <c r="JBS377" s="21"/>
      <c r="JBV377" s="21"/>
      <c r="JBW377" s="15"/>
      <c r="JBX377" s="15"/>
      <c r="JBY377" s="15"/>
      <c r="JBZ377" s="15"/>
      <c r="JCA377" s="15"/>
      <c r="JCB377" s="15"/>
      <c r="JCC377" s="15"/>
      <c r="JCD377" s="15"/>
      <c r="JCE377" s="15"/>
      <c r="JCF377" s="15"/>
      <c r="JCG377" s="10"/>
      <c r="JCH377" s="10"/>
      <c r="JCI377" s="21"/>
      <c r="JCJ377" s="21"/>
      <c r="JCM377" s="21"/>
      <c r="JCN377" s="15"/>
      <c r="JCO377" s="15"/>
      <c r="JCP377" s="15"/>
      <c r="JCQ377" s="15"/>
      <c r="JCR377" s="15"/>
      <c r="JCS377" s="15"/>
      <c r="JCT377" s="15"/>
      <c r="JCU377" s="15"/>
      <c r="JCV377" s="15"/>
      <c r="JCW377" s="15"/>
      <c r="JCX377" s="10"/>
      <c r="JCY377" s="10"/>
      <c r="JCZ377" s="21"/>
      <c r="JDA377" s="21"/>
      <c r="JDD377" s="21"/>
      <c r="JDE377" s="15"/>
      <c r="JDF377" s="15"/>
      <c r="JDG377" s="15"/>
      <c r="JDH377" s="15"/>
      <c r="JDI377" s="15"/>
      <c r="JDJ377" s="15"/>
      <c r="JDK377" s="15"/>
      <c r="JDL377" s="15"/>
      <c r="JDM377" s="15"/>
      <c r="JDN377" s="15"/>
      <c r="JDO377" s="10"/>
      <c r="JDP377" s="10"/>
      <c r="JDQ377" s="21"/>
      <c r="JDR377" s="21"/>
      <c r="JDU377" s="21"/>
      <c r="JDV377" s="15"/>
      <c r="JDW377" s="15"/>
      <c r="JDX377" s="15"/>
      <c r="JDY377" s="15"/>
      <c r="JDZ377" s="15"/>
      <c r="JEA377" s="15"/>
      <c r="JEB377" s="15"/>
      <c r="JEC377" s="15"/>
      <c r="JED377" s="15"/>
      <c r="JEE377" s="15"/>
      <c r="JEF377" s="10"/>
      <c r="JEG377" s="10"/>
      <c r="JEH377" s="21"/>
      <c r="JEI377" s="21"/>
      <c r="JEL377" s="21"/>
      <c r="JEM377" s="15"/>
      <c r="JEN377" s="15"/>
      <c r="JEO377" s="15"/>
      <c r="JEP377" s="15"/>
      <c r="JEQ377" s="15"/>
      <c r="JER377" s="15"/>
      <c r="JES377" s="15"/>
      <c r="JET377" s="15"/>
      <c r="JEU377" s="15"/>
      <c r="JEV377" s="15"/>
      <c r="JEW377" s="10"/>
      <c r="JEX377" s="10"/>
      <c r="JEY377" s="21"/>
      <c r="JEZ377" s="21"/>
      <c r="JFC377" s="21"/>
      <c r="JFD377" s="15"/>
      <c r="JFE377" s="15"/>
      <c r="JFF377" s="15"/>
      <c r="JFG377" s="15"/>
      <c r="JFH377" s="15"/>
      <c r="JFI377" s="15"/>
      <c r="JFJ377" s="15"/>
      <c r="JFK377" s="15"/>
      <c r="JFL377" s="15"/>
      <c r="JFM377" s="15"/>
      <c r="JFN377" s="10"/>
      <c r="JFO377" s="10"/>
      <c r="JFP377" s="21"/>
      <c r="JFQ377" s="21"/>
      <c r="JFT377" s="21"/>
      <c r="JFU377" s="15"/>
      <c r="JFV377" s="15"/>
      <c r="JFW377" s="15"/>
      <c r="JFX377" s="15"/>
      <c r="JFY377" s="15"/>
      <c r="JFZ377" s="15"/>
      <c r="JGA377" s="15"/>
      <c r="JGB377" s="15"/>
      <c r="JGC377" s="15"/>
      <c r="JGD377" s="15"/>
      <c r="JGE377" s="10"/>
      <c r="JGF377" s="10"/>
      <c r="JGG377" s="21"/>
      <c r="JGH377" s="21"/>
      <c r="JGK377" s="21"/>
      <c r="JGL377" s="15"/>
      <c r="JGM377" s="15"/>
      <c r="JGN377" s="15"/>
      <c r="JGO377" s="15"/>
      <c r="JGP377" s="15"/>
      <c r="JGQ377" s="15"/>
      <c r="JGR377" s="15"/>
      <c r="JGS377" s="15"/>
      <c r="JGT377" s="15"/>
      <c r="JGU377" s="15"/>
      <c r="JGV377" s="10"/>
      <c r="JGW377" s="10"/>
      <c r="JGX377" s="21"/>
      <c r="JGY377" s="21"/>
      <c r="JHB377" s="21"/>
      <c r="JHC377" s="15"/>
      <c r="JHD377" s="15"/>
      <c r="JHE377" s="15"/>
      <c r="JHF377" s="15"/>
      <c r="JHG377" s="15"/>
      <c r="JHH377" s="15"/>
      <c r="JHI377" s="15"/>
      <c r="JHJ377" s="15"/>
      <c r="JHK377" s="15"/>
      <c r="JHL377" s="15"/>
      <c r="JHM377" s="10"/>
      <c r="JHN377" s="10"/>
      <c r="JHO377" s="21"/>
      <c r="JHP377" s="21"/>
      <c r="JHS377" s="21"/>
      <c r="JHT377" s="15"/>
      <c r="JHU377" s="15"/>
      <c r="JHV377" s="15"/>
      <c r="JHW377" s="15"/>
      <c r="JHX377" s="15"/>
      <c r="JHY377" s="15"/>
      <c r="JHZ377" s="15"/>
      <c r="JIA377" s="15"/>
      <c r="JIB377" s="15"/>
      <c r="JIC377" s="15"/>
      <c r="JID377" s="10"/>
      <c r="JIE377" s="10"/>
      <c r="JIF377" s="21"/>
      <c r="JIG377" s="21"/>
      <c r="JIJ377" s="21"/>
      <c r="JIK377" s="15"/>
      <c r="JIL377" s="15"/>
      <c r="JIM377" s="15"/>
      <c r="JIN377" s="15"/>
      <c r="JIO377" s="15"/>
      <c r="JIP377" s="15"/>
      <c r="JIQ377" s="15"/>
      <c r="JIR377" s="15"/>
      <c r="JIS377" s="15"/>
      <c r="JIT377" s="15"/>
      <c r="JIU377" s="10"/>
      <c r="JIV377" s="10"/>
      <c r="JIW377" s="21"/>
      <c r="JIX377" s="21"/>
      <c r="JJA377" s="21"/>
      <c r="JJB377" s="15"/>
      <c r="JJC377" s="15"/>
      <c r="JJD377" s="15"/>
      <c r="JJE377" s="15"/>
      <c r="JJF377" s="15"/>
      <c r="JJG377" s="15"/>
      <c r="JJH377" s="15"/>
      <c r="JJI377" s="15"/>
      <c r="JJJ377" s="15"/>
      <c r="JJK377" s="15"/>
      <c r="JJL377" s="10"/>
      <c r="JJM377" s="10"/>
      <c r="JJN377" s="21"/>
      <c r="JJO377" s="21"/>
      <c r="JJR377" s="21"/>
      <c r="JJS377" s="15"/>
      <c r="JJT377" s="15"/>
      <c r="JJU377" s="15"/>
      <c r="JJV377" s="15"/>
      <c r="JJW377" s="15"/>
      <c r="JJX377" s="15"/>
      <c r="JJY377" s="15"/>
      <c r="JJZ377" s="15"/>
      <c r="JKA377" s="15"/>
      <c r="JKB377" s="15"/>
      <c r="JKC377" s="10"/>
      <c r="JKD377" s="10"/>
      <c r="JKE377" s="21"/>
      <c r="JKF377" s="21"/>
      <c r="JKI377" s="21"/>
      <c r="JKJ377" s="15"/>
      <c r="JKK377" s="15"/>
      <c r="JKL377" s="15"/>
      <c r="JKM377" s="15"/>
      <c r="JKN377" s="15"/>
      <c r="JKO377" s="15"/>
      <c r="JKP377" s="15"/>
      <c r="JKQ377" s="15"/>
      <c r="JKR377" s="15"/>
      <c r="JKS377" s="15"/>
      <c r="JKT377" s="10"/>
      <c r="JKU377" s="10"/>
      <c r="JKV377" s="21"/>
      <c r="JKW377" s="21"/>
      <c r="JKZ377" s="21"/>
      <c r="JLA377" s="15"/>
      <c r="JLB377" s="15"/>
      <c r="JLC377" s="15"/>
      <c r="JLD377" s="15"/>
      <c r="JLE377" s="15"/>
      <c r="JLF377" s="15"/>
      <c r="JLG377" s="15"/>
      <c r="JLH377" s="15"/>
      <c r="JLI377" s="15"/>
      <c r="JLJ377" s="15"/>
      <c r="JLK377" s="10"/>
      <c r="JLL377" s="10"/>
      <c r="JLM377" s="21"/>
      <c r="JLN377" s="21"/>
      <c r="JLQ377" s="21"/>
      <c r="JLR377" s="15"/>
      <c r="JLS377" s="15"/>
      <c r="JLT377" s="15"/>
      <c r="JLU377" s="15"/>
      <c r="JLV377" s="15"/>
      <c r="JLW377" s="15"/>
      <c r="JLX377" s="15"/>
      <c r="JLY377" s="15"/>
      <c r="JLZ377" s="15"/>
      <c r="JMA377" s="15"/>
      <c r="JMB377" s="10"/>
      <c r="JMC377" s="10"/>
      <c r="JMD377" s="21"/>
      <c r="JME377" s="21"/>
      <c r="JMH377" s="21"/>
      <c r="JMI377" s="15"/>
      <c r="JMJ377" s="15"/>
      <c r="JMK377" s="15"/>
      <c r="JML377" s="15"/>
      <c r="JMM377" s="15"/>
      <c r="JMN377" s="15"/>
      <c r="JMO377" s="15"/>
      <c r="JMP377" s="15"/>
      <c r="JMQ377" s="15"/>
      <c r="JMR377" s="15"/>
      <c r="JMS377" s="10"/>
      <c r="JMT377" s="10"/>
      <c r="JMU377" s="21"/>
      <c r="JMV377" s="21"/>
      <c r="JMY377" s="21"/>
      <c r="JMZ377" s="15"/>
      <c r="JNA377" s="15"/>
      <c r="JNB377" s="15"/>
      <c r="JNC377" s="15"/>
      <c r="JND377" s="15"/>
      <c r="JNE377" s="15"/>
      <c r="JNF377" s="15"/>
      <c r="JNG377" s="15"/>
      <c r="JNH377" s="15"/>
      <c r="JNI377" s="15"/>
      <c r="JNJ377" s="10"/>
      <c r="JNK377" s="10"/>
      <c r="JNL377" s="21"/>
      <c r="JNM377" s="21"/>
      <c r="JNP377" s="21"/>
      <c r="JNQ377" s="15"/>
      <c r="JNR377" s="15"/>
      <c r="JNS377" s="15"/>
      <c r="JNT377" s="15"/>
      <c r="JNU377" s="15"/>
      <c r="JNV377" s="15"/>
      <c r="JNW377" s="15"/>
      <c r="JNX377" s="15"/>
      <c r="JNY377" s="15"/>
      <c r="JNZ377" s="15"/>
      <c r="JOA377" s="10"/>
      <c r="JOB377" s="10"/>
      <c r="JOC377" s="21"/>
      <c r="JOD377" s="21"/>
      <c r="JOG377" s="21"/>
      <c r="JOH377" s="15"/>
      <c r="JOI377" s="15"/>
      <c r="JOJ377" s="15"/>
      <c r="JOK377" s="15"/>
      <c r="JOL377" s="15"/>
      <c r="JOM377" s="15"/>
      <c r="JON377" s="15"/>
      <c r="JOO377" s="15"/>
      <c r="JOP377" s="15"/>
      <c r="JOQ377" s="15"/>
      <c r="JOR377" s="10"/>
      <c r="JOS377" s="10"/>
      <c r="JOT377" s="21"/>
      <c r="JOU377" s="21"/>
      <c r="JOX377" s="21"/>
      <c r="JOY377" s="15"/>
      <c r="JOZ377" s="15"/>
      <c r="JPA377" s="15"/>
      <c r="JPB377" s="15"/>
      <c r="JPC377" s="15"/>
      <c r="JPD377" s="15"/>
      <c r="JPE377" s="15"/>
      <c r="JPF377" s="15"/>
      <c r="JPG377" s="15"/>
      <c r="JPH377" s="15"/>
      <c r="JPI377" s="10"/>
      <c r="JPJ377" s="10"/>
      <c r="JPK377" s="21"/>
      <c r="JPL377" s="21"/>
      <c r="JPO377" s="21"/>
      <c r="JPP377" s="15"/>
      <c r="JPQ377" s="15"/>
      <c r="JPR377" s="15"/>
      <c r="JPS377" s="15"/>
      <c r="JPT377" s="15"/>
      <c r="JPU377" s="15"/>
      <c r="JPV377" s="15"/>
      <c r="JPW377" s="15"/>
      <c r="JPX377" s="15"/>
      <c r="JPY377" s="15"/>
      <c r="JPZ377" s="10"/>
      <c r="JQA377" s="10"/>
      <c r="JQB377" s="21"/>
      <c r="JQC377" s="21"/>
      <c r="JQF377" s="21"/>
      <c r="JQG377" s="15"/>
      <c r="JQH377" s="15"/>
      <c r="JQI377" s="15"/>
      <c r="JQJ377" s="15"/>
      <c r="JQK377" s="15"/>
      <c r="JQL377" s="15"/>
      <c r="JQM377" s="15"/>
      <c r="JQN377" s="15"/>
      <c r="JQO377" s="15"/>
      <c r="JQP377" s="15"/>
      <c r="JQQ377" s="10"/>
      <c r="JQR377" s="10"/>
      <c r="JQS377" s="21"/>
      <c r="JQT377" s="21"/>
      <c r="JQW377" s="21"/>
      <c r="JQX377" s="15"/>
      <c r="JQY377" s="15"/>
      <c r="JQZ377" s="15"/>
      <c r="JRA377" s="15"/>
      <c r="JRB377" s="15"/>
      <c r="JRC377" s="15"/>
      <c r="JRD377" s="15"/>
      <c r="JRE377" s="15"/>
      <c r="JRF377" s="15"/>
      <c r="JRG377" s="15"/>
      <c r="JRH377" s="10"/>
      <c r="JRI377" s="10"/>
      <c r="JRJ377" s="21"/>
      <c r="JRK377" s="21"/>
      <c r="JRN377" s="21"/>
      <c r="JRO377" s="15"/>
      <c r="JRP377" s="15"/>
      <c r="JRQ377" s="15"/>
      <c r="JRR377" s="15"/>
      <c r="JRS377" s="15"/>
      <c r="JRT377" s="15"/>
      <c r="JRU377" s="15"/>
      <c r="JRV377" s="15"/>
      <c r="JRW377" s="15"/>
      <c r="JRX377" s="15"/>
      <c r="JRY377" s="10"/>
      <c r="JRZ377" s="10"/>
      <c r="JSA377" s="21"/>
      <c r="JSB377" s="21"/>
      <c r="JSE377" s="21"/>
      <c r="JSF377" s="15"/>
      <c r="JSG377" s="15"/>
      <c r="JSH377" s="15"/>
      <c r="JSI377" s="15"/>
      <c r="JSJ377" s="15"/>
      <c r="JSK377" s="15"/>
      <c r="JSL377" s="15"/>
      <c r="JSM377" s="15"/>
      <c r="JSN377" s="15"/>
      <c r="JSO377" s="15"/>
      <c r="JSP377" s="10"/>
      <c r="JSQ377" s="10"/>
      <c r="JSR377" s="21"/>
      <c r="JSS377" s="21"/>
      <c r="JSV377" s="21"/>
      <c r="JSW377" s="15"/>
      <c r="JSX377" s="15"/>
      <c r="JSY377" s="15"/>
      <c r="JSZ377" s="15"/>
      <c r="JTA377" s="15"/>
      <c r="JTB377" s="15"/>
      <c r="JTC377" s="15"/>
      <c r="JTD377" s="15"/>
      <c r="JTE377" s="15"/>
      <c r="JTF377" s="15"/>
      <c r="JTG377" s="10"/>
      <c r="JTH377" s="10"/>
      <c r="JTI377" s="21"/>
      <c r="JTJ377" s="21"/>
      <c r="JTM377" s="21"/>
      <c r="JTN377" s="15"/>
      <c r="JTO377" s="15"/>
      <c r="JTP377" s="15"/>
      <c r="JTQ377" s="15"/>
      <c r="JTR377" s="15"/>
      <c r="JTS377" s="15"/>
      <c r="JTT377" s="15"/>
      <c r="JTU377" s="15"/>
      <c r="JTV377" s="15"/>
      <c r="JTW377" s="15"/>
      <c r="JTX377" s="10"/>
      <c r="JTY377" s="10"/>
      <c r="JTZ377" s="21"/>
      <c r="JUA377" s="21"/>
      <c r="JUD377" s="21"/>
      <c r="JUE377" s="15"/>
      <c r="JUF377" s="15"/>
      <c r="JUG377" s="15"/>
      <c r="JUH377" s="15"/>
      <c r="JUI377" s="15"/>
      <c r="JUJ377" s="15"/>
      <c r="JUK377" s="15"/>
      <c r="JUL377" s="15"/>
      <c r="JUM377" s="15"/>
      <c r="JUN377" s="15"/>
      <c r="JUO377" s="10"/>
      <c r="JUP377" s="10"/>
      <c r="JUQ377" s="21"/>
      <c r="JUR377" s="21"/>
      <c r="JUU377" s="21"/>
      <c r="JUV377" s="15"/>
      <c r="JUW377" s="15"/>
      <c r="JUX377" s="15"/>
      <c r="JUY377" s="15"/>
      <c r="JUZ377" s="15"/>
      <c r="JVA377" s="15"/>
      <c r="JVB377" s="15"/>
      <c r="JVC377" s="15"/>
      <c r="JVD377" s="15"/>
      <c r="JVE377" s="15"/>
      <c r="JVF377" s="10"/>
      <c r="JVG377" s="10"/>
      <c r="JVH377" s="21"/>
      <c r="JVI377" s="21"/>
      <c r="JVL377" s="21"/>
      <c r="JVM377" s="15"/>
      <c r="JVN377" s="15"/>
      <c r="JVO377" s="15"/>
      <c r="JVP377" s="15"/>
      <c r="JVQ377" s="15"/>
      <c r="JVR377" s="15"/>
      <c r="JVS377" s="15"/>
      <c r="JVT377" s="15"/>
      <c r="JVU377" s="15"/>
      <c r="JVV377" s="15"/>
      <c r="JVW377" s="10"/>
      <c r="JVX377" s="10"/>
      <c r="JVY377" s="21"/>
      <c r="JVZ377" s="21"/>
      <c r="JWC377" s="21"/>
      <c r="JWD377" s="15"/>
      <c r="JWE377" s="15"/>
      <c r="JWF377" s="15"/>
      <c r="JWG377" s="15"/>
      <c r="JWH377" s="15"/>
      <c r="JWI377" s="15"/>
      <c r="JWJ377" s="15"/>
      <c r="JWK377" s="15"/>
      <c r="JWL377" s="15"/>
      <c r="JWM377" s="15"/>
      <c r="JWN377" s="10"/>
      <c r="JWO377" s="10"/>
      <c r="JWP377" s="21"/>
      <c r="JWQ377" s="21"/>
      <c r="JWT377" s="21"/>
      <c r="JWU377" s="15"/>
      <c r="JWV377" s="15"/>
      <c r="JWW377" s="15"/>
      <c r="JWX377" s="15"/>
      <c r="JWY377" s="15"/>
      <c r="JWZ377" s="15"/>
      <c r="JXA377" s="15"/>
      <c r="JXB377" s="15"/>
      <c r="JXC377" s="15"/>
      <c r="JXD377" s="15"/>
      <c r="JXE377" s="10"/>
      <c r="JXF377" s="10"/>
      <c r="JXG377" s="21"/>
      <c r="JXH377" s="21"/>
      <c r="JXK377" s="21"/>
      <c r="JXL377" s="15"/>
      <c r="JXM377" s="15"/>
      <c r="JXN377" s="15"/>
      <c r="JXO377" s="15"/>
      <c r="JXP377" s="15"/>
      <c r="JXQ377" s="15"/>
      <c r="JXR377" s="15"/>
      <c r="JXS377" s="15"/>
      <c r="JXT377" s="15"/>
      <c r="JXU377" s="15"/>
      <c r="JXV377" s="10"/>
      <c r="JXW377" s="10"/>
      <c r="JXX377" s="21"/>
      <c r="JXY377" s="21"/>
      <c r="JYB377" s="21"/>
      <c r="JYC377" s="15"/>
      <c r="JYD377" s="15"/>
      <c r="JYE377" s="15"/>
      <c r="JYF377" s="15"/>
      <c r="JYG377" s="15"/>
      <c r="JYH377" s="15"/>
      <c r="JYI377" s="15"/>
      <c r="JYJ377" s="15"/>
      <c r="JYK377" s="15"/>
      <c r="JYL377" s="15"/>
      <c r="JYM377" s="10"/>
      <c r="JYN377" s="10"/>
      <c r="JYO377" s="21"/>
      <c r="JYP377" s="21"/>
      <c r="JYS377" s="21"/>
      <c r="JYT377" s="15"/>
      <c r="JYU377" s="15"/>
      <c r="JYV377" s="15"/>
      <c r="JYW377" s="15"/>
      <c r="JYX377" s="15"/>
      <c r="JYY377" s="15"/>
      <c r="JYZ377" s="15"/>
      <c r="JZA377" s="15"/>
      <c r="JZB377" s="15"/>
      <c r="JZC377" s="15"/>
      <c r="JZD377" s="10"/>
      <c r="JZE377" s="10"/>
      <c r="JZF377" s="21"/>
      <c r="JZG377" s="21"/>
      <c r="JZJ377" s="21"/>
      <c r="JZK377" s="15"/>
      <c r="JZL377" s="15"/>
      <c r="JZM377" s="15"/>
      <c r="JZN377" s="15"/>
      <c r="JZO377" s="15"/>
      <c r="JZP377" s="15"/>
      <c r="JZQ377" s="15"/>
      <c r="JZR377" s="15"/>
      <c r="JZS377" s="15"/>
      <c r="JZT377" s="15"/>
      <c r="JZU377" s="10"/>
      <c r="JZV377" s="10"/>
      <c r="JZW377" s="21"/>
      <c r="JZX377" s="21"/>
      <c r="KAA377" s="21"/>
      <c r="KAB377" s="15"/>
      <c r="KAC377" s="15"/>
      <c r="KAD377" s="15"/>
      <c r="KAE377" s="15"/>
      <c r="KAF377" s="15"/>
      <c r="KAG377" s="15"/>
      <c r="KAH377" s="15"/>
      <c r="KAI377" s="15"/>
      <c r="KAJ377" s="15"/>
      <c r="KAK377" s="15"/>
      <c r="KAL377" s="10"/>
      <c r="KAM377" s="10"/>
      <c r="KAN377" s="21"/>
      <c r="KAO377" s="21"/>
      <c r="KAR377" s="21"/>
      <c r="KAS377" s="15"/>
      <c r="KAT377" s="15"/>
      <c r="KAU377" s="15"/>
      <c r="KAV377" s="15"/>
      <c r="KAW377" s="15"/>
      <c r="KAX377" s="15"/>
      <c r="KAY377" s="15"/>
      <c r="KAZ377" s="15"/>
      <c r="KBA377" s="15"/>
      <c r="KBB377" s="15"/>
      <c r="KBC377" s="10"/>
      <c r="KBD377" s="10"/>
      <c r="KBE377" s="21"/>
      <c r="KBF377" s="21"/>
      <c r="KBI377" s="21"/>
      <c r="KBJ377" s="15"/>
      <c r="KBK377" s="15"/>
      <c r="KBL377" s="15"/>
      <c r="KBM377" s="15"/>
      <c r="KBN377" s="15"/>
      <c r="KBO377" s="15"/>
      <c r="KBP377" s="15"/>
      <c r="KBQ377" s="15"/>
      <c r="KBR377" s="15"/>
      <c r="KBS377" s="15"/>
      <c r="KBT377" s="10"/>
      <c r="KBU377" s="10"/>
      <c r="KBV377" s="21"/>
      <c r="KBW377" s="21"/>
      <c r="KBZ377" s="21"/>
      <c r="KCA377" s="15"/>
      <c r="KCB377" s="15"/>
      <c r="KCC377" s="15"/>
      <c r="KCD377" s="15"/>
      <c r="KCE377" s="15"/>
      <c r="KCF377" s="15"/>
      <c r="KCG377" s="15"/>
      <c r="KCH377" s="15"/>
      <c r="KCI377" s="15"/>
      <c r="KCJ377" s="15"/>
      <c r="KCK377" s="10"/>
      <c r="KCL377" s="10"/>
      <c r="KCM377" s="21"/>
      <c r="KCN377" s="21"/>
      <c r="KCQ377" s="21"/>
      <c r="KCR377" s="15"/>
      <c r="KCS377" s="15"/>
      <c r="KCT377" s="15"/>
      <c r="KCU377" s="15"/>
      <c r="KCV377" s="15"/>
      <c r="KCW377" s="15"/>
      <c r="KCX377" s="15"/>
      <c r="KCY377" s="15"/>
      <c r="KCZ377" s="15"/>
      <c r="KDA377" s="15"/>
      <c r="KDB377" s="10"/>
      <c r="KDC377" s="10"/>
      <c r="KDD377" s="21"/>
      <c r="KDE377" s="21"/>
      <c r="KDH377" s="21"/>
      <c r="KDI377" s="15"/>
      <c r="KDJ377" s="15"/>
      <c r="KDK377" s="15"/>
      <c r="KDL377" s="15"/>
      <c r="KDM377" s="15"/>
      <c r="KDN377" s="15"/>
      <c r="KDO377" s="15"/>
      <c r="KDP377" s="15"/>
      <c r="KDQ377" s="15"/>
      <c r="KDR377" s="15"/>
      <c r="KDS377" s="10"/>
      <c r="KDT377" s="10"/>
      <c r="KDU377" s="21"/>
      <c r="KDV377" s="21"/>
      <c r="KDY377" s="21"/>
      <c r="KDZ377" s="15"/>
      <c r="KEA377" s="15"/>
      <c r="KEB377" s="15"/>
      <c r="KEC377" s="15"/>
      <c r="KED377" s="15"/>
      <c r="KEE377" s="15"/>
      <c r="KEF377" s="15"/>
      <c r="KEG377" s="15"/>
      <c r="KEH377" s="15"/>
      <c r="KEI377" s="15"/>
      <c r="KEJ377" s="10"/>
      <c r="KEK377" s="10"/>
      <c r="KEL377" s="21"/>
      <c r="KEM377" s="21"/>
      <c r="KEP377" s="21"/>
      <c r="KEQ377" s="15"/>
      <c r="KER377" s="15"/>
      <c r="KES377" s="15"/>
      <c r="KET377" s="15"/>
      <c r="KEU377" s="15"/>
      <c r="KEV377" s="15"/>
      <c r="KEW377" s="15"/>
      <c r="KEX377" s="15"/>
      <c r="KEY377" s="15"/>
      <c r="KEZ377" s="15"/>
      <c r="KFA377" s="10"/>
      <c r="KFB377" s="10"/>
      <c r="KFC377" s="21"/>
      <c r="KFD377" s="21"/>
      <c r="KFG377" s="21"/>
      <c r="KFH377" s="15"/>
      <c r="KFI377" s="15"/>
      <c r="KFJ377" s="15"/>
      <c r="KFK377" s="15"/>
      <c r="KFL377" s="15"/>
      <c r="KFM377" s="15"/>
      <c r="KFN377" s="15"/>
      <c r="KFO377" s="15"/>
      <c r="KFP377" s="15"/>
      <c r="KFQ377" s="15"/>
      <c r="KFR377" s="10"/>
      <c r="KFS377" s="10"/>
      <c r="KFT377" s="21"/>
      <c r="KFU377" s="21"/>
      <c r="KFX377" s="21"/>
      <c r="KFY377" s="15"/>
      <c r="KFZ377" s="15"/>
      <c r="KGA377" s="15"/>
      <c r="KGB377" s="15"/>
      <c r="KGC377" s="15"/>
      <c r="KGD377" s="15"/>
      <c r="KGE377" s="15"/>
      <c r="KGF377" s="15"/>
      <c r="KGG377" s="15"/>
      <c r="KGH377" s="15"/>
      <c r="KGI377" s="10"/>
      <c r="KGJ377" s="10"/>
      <c r="KGK377" s="21"/>
      <c r="KGL377" s="21"/>
      <c r="KGO377" s="21"/>
      <c r="KGP377" s="15"/>
      <c r="KGQ377" s="15"/>
      <c r="KGR377" s="15"/>
      <c r="KGS377" s="15"/>
      <c r="KGT377" s="15"/>
      <c r="KGU377" s="15"/>
      <c r="KGV377" s="15"/>
      <c r="KGW377" s="15"/>
      <c r="KGX377" s="15"/>
      <c r="KGY377" s="15"/>
      <c r="KGZ377" s="10"/>
      <c r="KHA377" s="10"/>
      <c r="KHB377" s="21"/>
      <c r="KHC377" s="21"/>
      <c r="KHF377" s="21"/>
      <c r="KHG377" s="15"/>
      <c r="KHH377" s="15"/>
      <c r="KHI377" s="15"/>
      <c r="KHJ377" s="15"/>
      <c r="KHK377" s="15"/>
      <c r="KHL377" s="15"/>
      <c r="KHM377" s="15"/>
      <c r="KHN377" s="15"/>
      <c r="KHO377" s="15"/>
      <c r="KHP377" s="15"/>
      <c r="KHQ377" s="10"/>
      <c r="KHR377" s="10"/>
      <c r="KHS377" s="21"/>
      <c r="KHT377" s="21"/>
      <c r="KHW377" s="21"/>
      <c r="KHX377" s="15"/>
      <c r="KHY377" s="15"/>
      <c r="KHZ377" s="15"/>
      <c r="KIA377" s="15"/>
      <c r="KIB377" s="15"/>
      <c r="KIC377" s="15"/>
      <c r="KID377" s="15"/>
      <c r="KIE377" s="15"/>
      <c r="KIF377" s="15"/>
      <c r="KIG377" s="15"/>
      <c r="KIH377" s="10"/>
      <c r="KII377" s="10"/>
      <c r="KIJ377" s="21"/>
      <c r="KIK377" s="21"/>
      <c r="KIN377" s="21"/>
      <c r="KIO377" s="15"/>
      <c r="KIP377" s="15"/>
      <c r="KIQ377" s="15"/>
      <c r="KIR377" s="15"/>
      <c r="KIS377" s="15"/>
      <c r="KIT377" s="15"/>
      <c r="KIU377" s="15"/>
      <c r="KIV377" s="15"/>
      <c r="KIW377" s="15"/>
      <c r="KIX377" s="15"/>
      <c r="KIY377" s="10"/>
      <c r="KIZ377" s="10"/>
      <c r="KJA377" s="21"/>
      <c r="KJB377" s="21"/>
      <c r="KJE377" s="21"/>
      <c r="KJF377" s="15"/>
      <c r="KJG377" s="15"/>
      <c r="KJH377" s="15"/>
      <c r="KJI377" s="15"/>
      <c r="KJJ377" s="15"/>
      <c r="KJK377" s="15"/>
      <c r="KJL377" s="15"/>
      <c r="KJM377" s="15"/>
      <c r="KJN377" s="15"/>
      <c r="KJO377" s="15"/>
      <c r="KJP377" s="10"/>
      <c r="KJQ377" s="10"/>
      <c r="KJR377" s="21"/>
      <c r="KJS377" s="21"/>
      <c r="KJV377" s="21"/>
      <c r="KJW377" s="15"/>
      <c r="KJX377" s="15"/>
      <c r="KJY377" s="15"/>
      <c r="KJZ377" s="15"/>
      <c r="KKA377" s="15"/>
      <c r="KKB377" s="15"/>
      <c r="KKC377" s="15"/>
      <c r="KKD377" s="15"/>
      <c r="KKE377" s="15"/>
      <c r="KKF377" s="15"/>
      <c r="KKG377" s="10"/>
      <c r="KKH377" s="10"/>
      <c r="KKI377" s="21"/>
      <c r="KKJ377" s="21"/>
      <c r="KKM377" s="21"/>
      <c r="KKN377" s="15"/>
      <c r="KKO377" s="15"/>
      <c r="KKP377" s="15"/>
      <c r="KKQ377" s="15"/>
      <c r="KKR377" s="15"/>
      <c r="KKS377" s="15"/>
      <c r="KKT377" s="15"/>
      <c r="KKU377" s="15"/>
      <c r="KKV377" s="15"/>
      <c r="KKW377" s="15"/>
      <c r="KKX377" s="10"/>
      <c r="KKY377" s="10"/>
      <c r="KKZ377" s="21"/>
      <c r="KLA377" s="21"/>
      <c r="KLD377" s="21"/>
      <c r="KLE377" s="15"/>
      <c r="KLF377" s="15"/>
      <c r="KLG377" s="15"/>
      <c r="KLH377" s="15"/>
      <c r="KLI377" s="15"/>
      <c r="KLJ377" s="15"/>
      <c r="KLK377" s="15"/>
      <c r="KLL377" s="15"/>
      <c r="KLM377" s="15"/>
      <c r="KLN377" s="15"/>
      <c r="KLO377" s="10"/>
      <c r="KLP377" s="10"/>
      <c r="KLQ377" s="21"/>
      <c r="KLR377" s="21"/>
      <c r="KLU377" s="21"/>
      <c r="KLV377" s="15"/>
      <c r="KLW377" s="15"/>
      <c r="KLX377" s="15"/>
      <c r="KLY377" s="15"/>
      <c r="KLZ377" s="15"/>
      <c r="KMA377" s="15"/>
      <c r="KMB377" s="15"/>
      <c r="KMC377" s="15"/>
      <c r="KMD377" s="15"/>
      <c r="KME377" s="15"/>
      <c r="KMF377" s="10"/>
      <c r="KMG377" s="10"/>
      <c r="KMH377" s="21"/>
      <c r="KMI377" s="21"/>
      <c r="KML377" s="21"/>
      <c r="KMM377" s="15"/>
      <c r="KMN377" s="15"/>
      <c r="KMO377" s="15"/>
      <c r="KMP377" s="15"/>
      <c r="KMQ377" s="15"/>
      <c r="KMR377" s="15"/>
      <c r="KMS377" s="15"/>
      <c r="KMT377" s="15"/>
      <c r="KMU377" s="15"/>
      <c r="KMV377" s="15"/>
      <c r="KMW377" s="10"/>
      <c r="KMX377" s="10"/>
      <c r="KMY377" s="21"/>
      <c r="KMZ377" s="21"/>
      <c r="KNC377" s="21"/>
      <c r="KND377" s="15"/>
      <c r="KNE377" s="15"/>
      <c r="KNF377" s="15"/>
      <c r="KNG377" s="15"/>
      <c r="KNH377" s="15"/>
      <c r="KNI377" s="15"/>
      <c r="KNJ377" s="15"/>
      <c r="KNK377" s="15"/>
      <c r="KNL377" s="15"/>
      <c r="KNM377" s="15"/>
      <c r="KNN377" s="10"/>
      <c r="KNO377" s="10"/>
      <c r="KNP377" s="21"/>
      <c r="KNQ377" s="21"/>
      <c r="KNT377" s="21"/>
      <c r="KNU377" s="15"/>
      <c r="KNV377" s="15"/>
      <c r="KNW377" s="15"/>
      <c r="KNX377" s="15"/>
      <c r="KNY377" s="15"/>
      <c r="KNZ377" s="15"/>
      <c r="KOA377" s="15"/>
      <c r="KOB377" s="15"/>
      <c r="KOC377" s="15"/>
      <c r="KOD377" s="15"/>
      <c r="KOE377" s="10"/>
      <c r="KOF377" s="10"/>
      <c r="KOG377" s="21"/>
      <c r="KOH377" s="21"/>
      <c r="KOK377" s="21"/>
      <c r="KOL377" s="15"/>
      <c r="KOM377" s="15"/>
      <c r="KON377" s="15"/>
      <c r="KOO377" s="15"/>
      <c r="KOP377" s="15"/>
      <c r="KOQ377" s="15"/>
      <c r="KOR377" s="15"/>
      <c r="KOS377" s="15"/>
      <c r="KOT377" s="15"/>
      <c r="KOU377" s="15"/>
      <c r="KOV377" s="10"/>
      <c r="KOW377" s="10"/>
      <c r="KOX377" s="21"/>
      <c r="KOY377" s="21"/>
      <c r="KPB377" s="21"/>
      <c r="KPC377" s="15"/>
      <c r="KPD377" s="15"/>
      <c r="KPE377" s="15"/>
      <c r="KPF377" s="15"/>
      <c r="KPG377" s="15"/>
      <c r="KPH377" s="15"/>
      <c r="KPI377" s="15"/>
      <c r="KPJ377" s="15"/>
      <c r="KPK377" s="15"/>
      <c r="KPL377" s="15"/>
      <c r="KPM377" s="10"/>
      <c r="KPN377" s="10"/>
      <c r="KPO377" s="21"/>
      <c r="KPP377" s="21"/>
      <c r="KPS377" s="21"/>
      <c r="KPT377" s="15"/>
      <c r="KPU377" s="15"/>
      <c r="KPV377" s="15"/>
      <c r="KPW377" s="15"/>
      <c r="KPX377" s="15"/>
      <c r="KPY377" s="15"/>
      <c r="KPZ377" s="15"/>
      <c r="KQA377" s="15"/>
      <c r="KQB377" s="15"/>
      <c r="KQC377" s="15"/>
      <c r="KQD377" s="10"/>
      <c r="KQE377" s="10"/>
      <c r="KQF377" s="21"/>
      <c r="KQG377" s="21"/>
      <c r="KQJ377" s="21"/>
      <c r="KQK377" s="15"/>
      <c r="KQL377" s="15"/>
      <c r="KQM377" s="15"/>
      <c r="KQN377" s="15"/>
      <c r="KQO377" s="15"/>
      <c r="KQP377" s="15"/>
      <c r="KQQ377" s="15"/>
      <c r="KQR377" s="15"/>
      <c r="KQS377" s="15"/>
      <c r="KQT377" s="15"/>
      <c r="KQU377" s="10"/>
      <c r="KQV377" s="10"/>
      <c r="KQW377" s="21"/>
      <c r="KQX377" s="21"/>
      <c r="KRA377" s="21"/>
      <c r="KRB377" s="15"/>
      <c r="KRC377" s="15"/>
      <c r="KRD377" s="15"/>
      <c r="KRE377" s="15"/>
      <c r="KRF377" s="15"/>
      <c r="KRG377" s="15"/>
      <c r="KRH377" s="15"/>
      <c r="KRI377" s="15"/>
      <c r="KRJ377" s="15"/>
      <c r="KRK377" s="15"/>
      <c r="KRL377" s="10"/>
      <c r="KRM377" s="10"/>
      <c r="KRN377" s="21"/>
      <c r="KRO377" s="21"/>
      <c r="KRR377" s="21"/>
      <c r="KRS377" s="15"/>
      <c r="KRT377" s="15"/>
      <c r="KRU377" s="15"/>
      <c r="KRV377" s="15"/>
      <c r="KRW377" s="15"/>
      <c r="KRX377" s="15"/>
      <c r="KRY377" s="15"/>
      <c r="KRZ377" s="15"/>
      <c r="KSA377" s="15"/>
      <c r="KSB377" s="15"/>
      <c r="KSC377" s="10"/>
      <c r="KSD377" s="10"/>
      <c r="KSE377" s="21"/>
      <c r="KSF377" s="21"/>
      <c r="KSI377" s="21"/>
      <c r="KSJ377" s="15"/>
      <c r="KSK377" s="15"/>
      <c r="KSL377" s="15"/>
      <c r="KSM377" s="15"/>
      <c r="KSN377" s="15"/>
      <c r="KSO377" s="15"/>
      <c r="KSP377" s="15"/>
      <c r="KSQ377" s="15"/>
      <c r="KSR377" s="15"/>
      <c r="KSS377" s="15"/>
      <c r="KST377" s="10"/>
      <c r="KSU377" s="10"/>
      <c r="KSV377" s="21"/>
      <c r="KSW377" s="21"/>
      <c r="KSZ377" s="21"/>
      <c r="KTA377" s="15"/>
      <c r="KTB377" s="15"/>
      <c r="KTC377" s="15"/>
      <c r="KTD377" s="15"/>
      <c r="KTE377" s="15"/>
      <c r="KTF377" s="15"/>
      <c r="KTG377" s="15"/>
      <c r="KTH377" s="15"/>
      <c r="KTI377" s="15"/>
      <c r="KTJ377" s="15"/>
      <c r="KTK377" s="10"/>
      <c r="KTL377" s="10"/>
      <c r="KTM377" s="21"/>
      <c r="KTN377" s="21"/>
      <c r="KTQ377" s="21"/>
      <c r="KTR377" s="15"/>
      <c r="KTS377" s="15"/>
      <c r="KTT377" s="15"/>
      <c r="KTU377" s="15"/>
      <c r="KTV377" s="15"/>
      <c r="KTW377" s="15"/>
      <c r="KTX377" s="15"/>
      <c r="KTY377" s="15"/>
      <c r="KTZ377" s="15"/>
      <c r="KUA377" s="15"/>
      <c r="KUB377" s="10"/>
      <c r="KUC377" s="10"/>
      <c r="KUD377" s="21"/>
      <c r="KUE377" s="21"/>
      <c r="KUH377" s="21"/>
      <c r="KUI377" s="15"/>
      <c r="KUJ377" s="15"/>
      <c r="KUK377" s="15"/>
      <c r="KUL377" s="15"/>
      <c r="KUM377" s="15"/>
      <c r="KUN377" s="15"/>
      <c r="KUO377" s="15"/>
      <c r="KUP377" s="15"/>
      <c r="KUQ377" s="15"/>
      <c r="KUR377" s="15"/>
      <c r="KUS377" s="10"/>
      <c r="KUT377" s="10"/>
      <c r="KUU377" s="21"/>
      <c r="KUV377" s="21"/>
      <c r="KUY377" s="21"/>
      <c r="KUZ377" s="15"/>
      <c r="KVA377" s="15"/>
      <c r="KVB377" s="15"/>
      <c r="KVC377" s="15"/>
      <c r="KVD377" s="15"/>
      <c r="KVE377" s="15"/>
      <c r="KVF377" s="15"/>
      <c r="KVG377" s="15"/>
      <c r="KVH377" s="15"/>
      <c r="KVI377" s="15"/>
      <c r="KVJ377" s="10"/>
      <c r="KVK377" s="10"/>
      <c r="KVL377" s="21"/>
      <c r="KVM377" s="21"/>
      <c r="KVP377" s="21"/>
      <c r="KVQ377" s="15"/>
      <c r="KVR377" s="15"/>
      <c r="KVS377" s="15"/>
      <c r="KVT377" s="15"/>
      <c r="KVU377" s="15"/>
      <c r="KVV377" s="15"/>
      <c r="KVW377" s="15"/>
      <c r="KVX377" s="15"/>
      <c r="KVY377" s="15"/>
      <c r="KVZ377" s="15"/>
      <c r="KWA377" s="10"/>
      <c r="KWB377" s="10"/>
      <c r="KWC377" s="21"/>
      <c r="KWD377" s="21"/>
      <c r="KWG377" s="21"/>
      <c r="KWH377" s="15"/>
      <c r="KWI377" s="15"/>
      <c r="KWJ377" s="15"/>
      <c r="KWK377" s="15"/>
      <c r="KWL377" s="15"/>
      <c r="KWM377" s="15"/>
      <c r="KWN377" s="15"/>
      <c r="KWO377" s="15"/>
      <c r="KWP377" s="15"/>
      <c r="KWQ377" s="15"/>
      <c r="KWR377" s="10"/>
      <c r="KWS377" s="10"/>
      <c r="KWT377" s="21"/>
      <c r="KWU377" s="21"/>
      <c r="KWX377" s="21"/>
      <c r="KWY377" s="15"/>
      <c r="KWZ377" s="15"/>
      <c r="KXA377" s="15"/>
      <c r="KXB377" s="15"/>
      <c r="KXC377" s="15"/>
      <c r="KXD377" s="15"/>
      <c r="KXE377" s="15"/>
      <c r="KXF377" s="15"/>
      <c r="KXG377" s="15"/>
      <c r="KXH377" s="15"/>
      <c r="KXI377" s="10"/>
      <c r="KXJ377" s="10"/>
      <c r="KXK377" s="21"/>
      <c r="KXL377" s="21"/>
      <c r="KXO377" s="21"/>
      <c r="KXP377" s="15"/>
      <c r="KXQ377" s="15"/>
      <c r="KXR377" s="15"/>
      <c r="KXS377" s="15"/>
      <c r="KXT377" s="15"/>
      <c r="KXU377" s="15"/>
      <c r="KXV377" s="15"/>
      <c r="KXW377" s="15"/>
      <c r="KXX377" s="15"/>
      <c r="KXY377" s="15"/>
      <c r="KXZ377" s="10"/>
      <c r="KYA377" s="10"/>
      <c r="KYB377" s="21"/>
      <c r="KYC377" s="21"/>
      <c r="KYF377" s="21"/>
      <c r="KYG377" s="15"/>
      <c r="KYH377" s="15"/>
      <c r="KYI377" s="15"/>
      <c r="KYJ377" s="15"/>
      <c r="KYK377" s="15"/>
      <c r="KYL377" s="15"/>
      <c r="KYM377" s="15"/>
      <c r="KYN377" s="15"/>
      <c r="KYO377" s="15"/>
      <c r="KYP377" s="15"/>
      <c r="KYQ377" s="10"/>
      <c r="KYR377" s="10"/>
      <c r="KYS377" s="21"/>
      <c r="KYT377" s="21"/>
      <c r="KYW377" s="21"/>
      <c r="KYX377" s="15"/>
      <c r="KYY377" s="15"/>
      <c r="KYZ377" s="15"/>
      <c r="KZA377" s="15"/>
      <c r="KZB377" s="15"/>
      <c r="KZC377" s="15"/>
      <c r="KZD377" s="15"/>
      <c r="KZE377" s="15"/>
      <c r="KZF377" s="15"/>
      <c r="KZG377" s="15"/>
      <c r="KZH377" s="10"/>
      <c r="KZI377" s="10"/>
      <c r="KZJ377" s="21"/>
      <c r="KZK377" s="21"/>
      <c r="KZN377" s="21"/>
      <c r="KZO377" s="15"/>
      <c r="KZP377" s="15"/>
      <c r="KZQ377" s="15"/>
      <c r="KZR377" s="15"/>
      <c r="KZS377" s="15"/>
      <c r="KZT377" s="15"/>
      <c r="KZU377" s="15"/>
      <c r="KZV377" s="15"/>
      <c r="KZW377" s="15"/>
      <c r="KZX377" s="15"/>
      <c r="KZY377" s="10"/>
      <c r="KZZ377" s="10"/>
      <c r="LAA377" s="21"/>
      <c r="LAB377" s="21"/>
      <c r="LAE377" s="21"/>
      <c r="LAF377" s="15"/>
      <c r="LAG377" s="15"/>
      <c r="LAH377" s="15"/>
      <c r="LAI377" s="15"/>
      <c r="LAJ377" s="15"/>
      <c r="LAK377" s="15"/>
      <c r="LAL377" s="15"/>
      <c r="LAM377" s="15"/>
      <c r="LAN377" s="15"/>
      <c r="LAO377" s="15"/>
      <c r="LAP377" s="10"/>
      <c r="LAQ377" s="10"/>
      <c r="LAR377" s="21"/>
      <c r="LAS377" s="21"/>
      <c r="LAV377" s="21"/>
      <c r="LAW377" s="15"/>
      <c r="LAX377" s="15"/>
      <c r="LAY377" s="15"/>
      <c r="LAZ377" s="15"/>
      <c r="LBA377" s="15"/>
      <c r="LBB377" s="15"/>
      <c r="LBC377" s="15"/>
      <c r="LBD377" s="15"/>
      <c r="LBE377" s="15"/>
      <c r="LBF377" s="15"/>
      <c r="LBG377" s="10"/>
      <c r="LBH377" s="10"/>
      <c r="LBI377" s="21"/>
      <c r="LBJ377" s="21"/>
      <c r="LBM377" s="21"/>
      <c r="LBN377" s="15"/>
      <c r="LBO377" s="15"/>
      <c r="LBP377" s="15"/>
      <c r="LBQ377" s="15"/>
      <c r="LBR377" s="15"/>
      <c r="LBS377" s="15"/>
      <c r="LBT377" s="15"/>
      <c r="LBU377" s="15"/>
      <c r="LBV377" s="15"/>
      <c r="LBW377" s="15"/>
      <c r="LBX377" s="10"/>
      <c r="LBY377" s="10"/>
      <c r="LBZ377" s="21"/>
      <c r="LCA377" s="21"/>
      <c r="LCD377" s="21"/>
      <c r="LCE377" s="15"/>
      <c r="LCF377" s="15"/>
      <c r="LCG377" s="15"/>
      <c r="LCH377" s="15"/>
      <c r="LCI377" s="15"/>
      <c r="LCJ377" s="15"/>
      <c r="LCK377" s="15"/>
      <c r="LCL377" s="15"/>
      <c r="LCM377" s="15"/>
      <c r="LCN377" s="15"/>
      <c r="LCO377" s="10"/>
      <c r="LCP377" s="10"/>
      <c r="LCQ377" s="21"/>
      <c r="LCR377" s="21"/>
      <c r="LCU377" s="21"/>
      <c r="LCV377" s="15"/>
      <c r="LCW377" s="15"/>
      <c r="LCX377" s="15"/>
      <c r="LCY377" s="15"/>
      <c r="LCZ377" s="15"/>
      <c r="LDA377" s="15"/>
      <c r="LDB377" s="15"/>
      <c r="LDC377" s="15"/>
      <c r="LDD377" s="15"/>
      <c r="LDE377" s="15"/>
      <c r="LDF377" s="10"/>
      <c r="LDG377" s="10"/>
      <c r="LDH377" s="21"/>
      <c r="LDI377" s="21"/>
      <c r="LDL377" s="21"/>
      <c r="LDM377" s="15"/>
      <c r="LDN377" s="15"/>
      <c r="LDO377" s="15"/>
      <c r="LDP377" s="15"/>
      <c r="LDQ377" s="15"/>
      <c r="LDR377" s="15"/>
      <c r="LDS377" s="15"/>
      <c r="LDT377" s="15"/>
      <c r="LDU377" s="15"/>
      <c r="LDV377" s="15"/>
      <c r="LDW377" s="10"/>
      <c r="LDX377" s="10"/>
      <c r="LDY377" s="21"/>
      <c r="LDZ377" s="21"/>
      <c r="LEC377" s="21"/>
      <c r="LED377" s="15"/>
      <c r="LEE377" s="15"/>
      <c r="LEF377" s="15"/>
      <c r="LEG377" s="15"/>
      <c r="LEH377" s="15"/>
      <c r="LEI377" s="15"/>
      <c r="LEJ377" s="15"/>
      <c r="LEK377" s="15"/>
      <c r="LEL377" s="15"/>
      <c r="LEM377" s="15"/>
      <c r="LEN377" s="10"/>
      <c r="LEO377" s="10"/>
      <c r="LEP377" s="21"/>
      <c r="LEQ377" s="21"/>
      <c r="LET377" s="21"/>
      <c r="LEU377" s="15"/>
      <c r="LEV377" s="15"/>
      <c r="LEW377" s="15"/>
      <c r="LEX377" s="15"/>
      <c r="LEY377" s="15"/>
      <c r="LEZ377" s="15"/>
      <c r="LFA377" s="15"/>
      <c r="LFB377" s="15"/>
      <c r="LFC377" s="15"/>
      <c r="LFD377" s="15"/>
      <c r="LFE377" s="10"/>
      <c r="LFF377" s="10"/>
      <c r="LFG377" s="21"/>
      <c r="LFH377" s="21"/>
      <c r="LFK377" s="21"/>
      <c r="LFL377" s="15"/>
      <c r="LFM377" s="15"/>
      <c r="LFN377" s="15"/>
      <c r="LFO377" s="15"/>
      <c r="LFP377" s="15"/>
      <c r="LFQ377" s="15"/>
      <c r="LFR377" s="15"/>
      <c r="LFS377" s="15"/>
      <c r="LFT377" s="15"/>
      <c r="LFU377" s="15"/>
      <c r="LFV377" s="10"/>
      <c r="LFW377" s="10"/>
      <c r="LFX377" s="21"/>
      <c r="LFY377" s="21"/>
      <c r="LGB377" s="21"/>
      <c r="LGC377" s="15"/>
      <c r="LGD377" s="15"/>
      <c r="LGE377" s="15"/>
      <c r="LGF377" s="15"/>
      <c r="LGG377" s="15"/>
      <c r="LGH377" s="15"/>
      <c r="LGI377" s="15"/>
      <c r="LGJ377" s="15"/>
      <c r="LGK377" s="15"/>
      <c r="LGL377" s="15"/>
      <c r="LGM377" s="10"/>
      <c r="LGN377" s="10"/>
      <c r="LGO377" s="21"/>
      <c r="LGP377" s="21"/>
      <c r="LGS377" s="21"/>
      <c r="LGT377" s="15"/>
      <c r="LGU377" s="15"/>
      <c r="LGV377" s="15"/>
      <c r="LGW377" s="15"/>
      <c r="LGX377" s="15"/>
      <c r="LGY377" s="15"/>
      <c r="LGZ377" s="15"/>
      <c r="LHA377" s="15"/>
      <c r="LHB377" s="15"/>
      <c r="LHC377" s="15"/>
      <c r="LHD377" s="10"/>
      <c r="LHE377" s="10"/>
      <c r="LHF377" s="21"/>
      <c r="LHG377" s="21"/>
      <c r="LHJ377" s="21"/>
      <c r="LHK377" s="15"/>
      <c r="LHL377" s="15"/>
      <c r="LHM377" s="15"/>
      <c r="LHN377" s="15"/>
      <c r="LHO377" s="15"/>
      <c r="LHP377" s="15"/>
      <c r="LHQ377" s="15"/>
      <c r="LHR377" s="15"/>
      <c r="LHS377" s="15"/>
      <c r="LHT377" s="15"/>
      <c r="LHU377" s="10"/>
      <c r="LHV377" s="10"/>
      <c r="LHW377" s="21"/>
      <c r="LHX377" s="21"/>
      <c r="LIA377" s="21"/>
      <c r="LIB377" s="15"/>
      <c r="LIC377" s="15"/>
      <c r="LID377" s="15"/>
      <c r="LIE377" s="15"/>
      <c r="LIF377" s="15"/>
      <c r="LIG377" s="15"/>
      <c r="LIH377" s="15"/>
      <c r="LII377" s="15"/>
      <c r="LIJ377" s="15"/>
      <c r="LIK377" s="15"/>
      <c r="LIL377" s="10"/>
      <c r="LIM377" s="10"/>
      <c r="LIN377" s="21"/>
      <c r="LIO377" s="21"/>
      <c r="LIR377" s="21"/>
      <c r="LIS377" s="15"/>
      <c r="LIT377" s="15"/>
      <c r="LIU377" s="15"/>
      <c r="LIV377" s="15"/>
      <c r="LIW377" s="15"/>
      <c r="LIX377" s="15"/>
      <c r="LIY377" s="15"/>
      <c r="LIZ377" s="15"/>
      <c r="LJA377" s="15"/>
      <c r="LJB377" s="15"/>
      <c r="LJC377" s="10"/>
      <c r="LJD377" s="10"/>
      <c r="LJE377" s="21"/>
      <c r="LJF377" s="21"/>
      <c r="LJI377" s="21"/>
      <c r="LJJ377" s="15"/>
      <c r="LJK377" s="15"/>
      <c r="LJL377" s="15"/>
      <c r="LJM377" s="15"/>
      <c r="LJN377" s="15"/>
      <c r="LJO377" s="15"/>
      <c r="LJP377" s="15"/>
      <c r="LJQ377" s="15"/>
      <c r="LJR377" s="15"/>
      <c r="LJS377" s="15"/>
      <c r="LJT377" s="10"/>
      <c r="LJU377" s="10"/>
      <c r="LJV377" s="21"/>
      <c r="LJW377" s="21"/>
      <c r="LJZ377" s="21"/>
      <c r="LKA377" s="15"/>
      <c r="LKB377" s="15"/>
      <c r="LKC377" s="15"/>
      <c r="LKD377" s="15"/>
      <c r="LKE377" s="15"/>
      <c r="LKF377" s="15"/>
      <c r="LKG377" s="15"/>
      <c r="LKH377" s="15"/>
      <c r="LKI377" s="15"/>
      <c r="LKJ377" s="15"/>
      <c r="LKK377" s="10"/>
      <c r="LKL377" s="10"/>
      <c r="LKM377" s="21"/>
      <c r="LKN377" s="21"/>
      <c r="LKQ377" s="21"/>
      <c r="LKR377" s="15"/>
      <c r="LKS377" s="15"/>
      <c r="LKT377" s="15"/>
      <c r="LKU377" s="15"/>
      <c r="LKV377" s="15"/>
      <c r="LKW377" s="15"/>
      <c r="LKX377" s="15"/>
      <c r="LKY377" s="15"/>
      <c r="LKZ377" s="15"/>
      <c r="LLA377" s="15"/>
      <c r="LLB377" s="10"/>
      <c r="LLC377" s="10"/>
      <c r="LLD377" s="21"/>
      <c r="LLE377" s="21"/>
      <c r="LLH377" s="21"/>
      <c r="LLI377" s="15"/>
      <c r="LLJ377" s="15"/>
      <c r="LLK377" s="15"/>
      <c r="LLL377" s="15"/>
      <c r="LLM377" s="15"/>
      <c r="LLN377" s="15"/>
      <c r="LLO377" s="15"/>
      <c r="LLP377" s="15"/>
      <c r="LLQ377" s="15"/>
      <c r="LLR377" s="15"/>
      <c r="LLS377" s="10"/>
      <c r="LLT377" s="10"/>
      <c r="LLU377" s="21"/>
      <c r="LLV377" s="21"/>
      <c r="LLY377" s="21"/>
      <c r="LLZ377" s="15"/>
      <c r="LMA377" s="15"/>
      <c r="LMB377" s="15"/>
      <c r="LMC377" s="15"/>
      <c r="LMD377" s="15"/>
      <c r="LME377" s="15"/>
      <c r="LMF377" s="15"/>
      <c r="LMG377" s="15"/>
      <c r="LMH377" s="15"/>
      <c r="LMI377" s="15"/>
      <c r="LMJ377" s="10"/>
      <c r="LMK377" s="10"/>
      <c r="LML377" s="21"/>
      <c r="LMM377" s="21"/>
      <c r="LMP377" s="21"/>
      <c r="LMQ377" s="15"/>
      <c r="LMR377" s="15"/>
      <c r="LMS377" s="15"/>
      <c r="LMT377" s="15"/>
      <c r="LMU377" s="15"/>
      <c r="LMV377" s="15"/>
      <c r="LMW377" s="15"/>
      <c r="LMX377" s="15"/>
      <c r="LMY377" s="15"/>
      <c r="LMZ377" s="15"/>
      <c r="LNA377" s="10"/>
      <c r="LNB377" s="10"/>
      <c r="LNC377" s="21"/>
      <c r="LND377" s="21"/>
      <c r="LNG377" s="21"/>
      <c r="LNH377" s="15"/>
      <c r="LNI377" s="15"/>
      <c r="LNJ377" s="15"/>
      <c r="LNK377" s="15"/>
      <c r="LNL377" s="15"/>
      <c r="LNM377" s="15"/>
      <c r="LNN377" s="15"/>
      <c r="LNO377" s="15"/>
      <c r="LNP377" s="15"/>
      <c r="LNQ377" s="15"/>
      <c r="LNR377" s="10"/>
      <c r="LNS377" s="10"/>
      <c r="LNT377" s="21"/>
      <c r="LNU377" s="21"/>
      <c r="LNX377" s="21"/>
      <c r="LNY377" s="15"/>
      <c r="LNZ377" s="15"/>
      <c r="LOA377" s="15"/>
      <c r="LOB377" s="15"/>
      <c r="LOC377" s="15"/>
      <c r="LOD377" s="15"/>
      <c r="LOE377" s="15"/>
      <c r="LOF377" s="15"/>
      <c r="LOG377" s="15"/>
      <c r="LOH377" s="15"/>
      <c r="LOI377" s="10"/>
      <c r="LOJ377" s="10"/>
      <c r="LOK377" s="21"/>
      <c r="LOL377" s="21"/>
      <c r="LOO377" s="21"/>
      <c r="LOP377" s="15"/>
      <c r="LOQ377" s="15"/>
      <c r="LOR377" s="15"/>
      <c r="LOS377" s="15"/>
      <c r="LOT377" s="15"/>
      <c r="LOU377" s="15"/>
      <c r="LOV377" s="15"/>
      <c r="LOW377" s="15"/>
      <c r="LOX377" s="15"/>
      <c r="LOY377" s="15"/>
      <c r="LOZ377" s="10"/>
      <c r="LPA377" s="10"/>
      <c r="LPB377" s="21"/>
      <c r="LPC377" s="21"/>
      <c r="LPF377" s="21"/>
      <c r="LPG377" s="15"/>
      <c r="LPH377" s="15"/>
      <c r="LPI377" s="15"/>
      <c r="LPJ377" s="15"/>
      <c r="LPK377" s="15"/>
      <c r="LPL377" s="15"/>
      <c r="LPM377" s="15"/>
      <c r="LPN377" s="15"/>
      <c r="LPO377" s="15"/>
      <c r="LPP377" s="15"/>
      <c r="LPQ377" s="10"/>
      <c r="LPR377" s="10"/>
      <c r="LPS377" s="21"/>
      <c r="LPT377" s="21"/>
      <c r="LPW377" s="21"/>
      <c r="LPX377" s="15"/>
      <c r="LPY377" s="15"/>
      <c r="LPZ377" s="15"/>
      <c r="LQA377" s="15"/>
      <c r="LQB377" s="15"/>
      <c r="LQC377" s="15"/>
      <c r="LQD377" s="15"/>
      <c r="LQE377" s="15"/>
      <c r="LQF377" s="15"/>
      <c r="LQG377" s="15"/>
      <c r="LQH377" s="10"/>
      <c r="LQI377" s="10"/>
      <c r="LQJ377" s="21"/>
      <c r="LQK377" s="21"/>
      <c r="LQN377" s="21"/>
      <c r="LQO377" s="15"/>
      <c r="LQP377" s="15"/>
      <c r="LQQ377" s="15"/>
      <c r="LQR377" s="15"/>
      <c r="LQS377" s="15"/>
      <c r="LQT377" s="15"/>
      <c r="LQU377" s="15"/>
      <c r="LQV377" s="15"/>
      <c r="LQW377" s="15"/>
      <c r="LQX377" s="15"/>
      <c r="LQY377" s="10"/>
      <c r="LQZ377" s="10"/>
      <c r="LRA377" s="21"/>
      <c r="LRB377" s="21"/>
      <c r="LRE377" s="21"/>
      <c r="LRF377" s="15"/>
      <c r="LRG377" s="15"/>
      <c r="LRH377" s="15"/>
      <c r="LRI377" s="15"/>
      <c r="LRJ377" s="15"/>
      <c r="LRK377" s="15"/>
      <c r="LRL377" s="15"/>
      <c r="LRM377" s="15"/>
      <c r="LRN377" s="15"/>
      <c r="LRO377" s="15"/>
      <c r="LRP377" s="10"/>
      <c r="LRQ377" s="10"/>
      <c r="LRR377" s="21"/>
      <c r="LRS377" s="21"/>
      <c r="LRV377" s="21"/>
      <c r="LRW377" s="15"/>
      <c r="LRX377" s="15"/>
      <c r="LRY377" s="15"/>
      <c r="LRZ377" s="15"/>
      <c r="LSA377" s="15"/>
      <c r="LSB377" s="15"/>
      <c r="LSC377" s="15"/>
      <c r="LSD377" s="15"/>
      <c r="LSE377" s="15"/>
      <c r="LSF377" s="15"/>
      <c r="LSG377" s="10"/>
      <c r="LSH377" s="10"/>
      <c r="LSI377" s="21"/>
      <c r="LSJ377" s="21"/>
      <c r="LSM377" s="21"/>
      <c r="LSN377" s="15"/>
      <c r="LSO377" s="15"/>
      <c r="LSP377" s="15"/>
      <c r="LSQ377" s="15"/>
      <c r="LSR377" s="15"/>
      <c r="LSS377" s="15"/>
      <c r="LST377" s="15"/>
      <c r="LSU377" s="15"/>
      <c r="LSV377" s="15"/>
      <c r="LSW377" s="15"/>
      <c r="LSX377" s="10"/>
      <c r="LSY377" s="10"/>
      <c r="LSZ377" s="21"/>
      <c r="LTA377" s="21"/>
      <c r="LTD377" s="21"/>
      <c r="LTE377" s="15"/>
      <c r="LTF377" s="15"/>
      <c r="LTG377" s="15"/>
      <c r="LTH377" s="15"/>
      <c r="LTI377" s="15"/>
      <c r="LTJ377" s="15"/>
      <c r="LTK377" s="15"/>
      <c r="LTL377" s="15"/>
      <c r="LTM377" s="15"/>
      <c r="LTN377" s="15"/>
      <c r="LTO377" s="10"/>
      <c r="LTP377" s="10"/>
      <c r="LTQ377" s="21"/>
      <c r="LTR377" s="21"/>
      <c r="LTU377" s="21"/>
      <c r="LTV377" s="15"/>
      <c r="LTW377" s="15"/>
      <c r="LTX377" s="15"/>
      <c r="LTY377" s="15"/>
      <c r="LTZ377" s="15"/>
      <c r="LUA377" s="15"/>
      <c r="LUB377" s="15"/>
      <c r="LUC377" s="15"/>
      <c r="LUD377" s="15"/>
      <c r="LUE377" s="15"/>
      <c r="LUF377" s="10"/>
      <c r="LUG377" s="10"/>
      <c r="LUH377" s="21"/>
      <c r="LUI377" s="21"/>
      <c r="LUL377" s="21"/>
      <c r="LUM377" s="15"/>
      <c r="LUN377" s="15"/>
      <c r="LUO377" s="15"/>
      <c r="LUP377" s="15"/>
      <c r="LUQ377" s="15"/>
      <c r="LUR377" s="15"/>
      <c r="LUS377" s="15"/>
      <c r="LUT377" s="15"/>
      <c r="LUU377" s="15"/>
      <c r="LUV377" s="15"/>
      <c r="LUW377" s="10"/>
      <c r="LUX377" s="10"/>
      <c r="LUY377" s="21"/>
      <c r="LUZ377" s="21"/>
      <c r="LVC377" s="21"/>
      <c r="LVD377" s="15"/>
      <c r="LVE377" s="15"/>
      <c r="LVF377" s="15"/>
      <c r="LVG377" s="15"/>
      <c r="LVH377" s="15"/>
      <c r="LVI377" s="15"/>
      <c r="LVJ377" s="15"/>
      <c r="LVK377" s="15"/>
      <c r="LVL377" s="15"/>
      <c r="LVM377" s="15"/>
      <c r="LVN377" s="10"/>
      <c r="LVO377" s="10"/>
      <c r="LVP377" s="21"/>
      <c r="LVQ377" s="21"/>
      <c r="LVT377" s="21"/>
      <c r="LVU377" s="15"/>
      <c r="LVV377" s="15"/>
      <c r="LVW377" s="15"/>
      <c r="LVX377" s="15"/>
      <c r="LVY377" s="15"/>
      <c r="LVZ377" s="15"/>
      <c r="LWA377" s="15"/>
      <c r="LWB377" s="15"/>
      <c r="LWC377" s="15"/>
      <c r="LWD377" s="15"/>
      <c r="LWE377" s="10"/>
      <c r="LWF377" s="10"/>
      <c r="LWG377" s="21"/>
      <c r="LWH377" s="21"/>
      <c r="LWK377" s="21"/>
      <c r="LWL377" s="15"/>
      <c r="LWM377" s="15"/>
      <c r="LWN377" s="15"/>
      <c r="LWO377" s="15"/>
      <c r="LWP377" s="15"/>
      <c r="LWQ377" s="15"/>
      <c r="LWR377" s="15"/>
      <c r="LWS377" s="15"/>
      <c r="LWT377" s="15"/>
      <c r="LWU377" s="15"/>
      <c r="LWV377" s="10"/>
      <c r="LWW377" s="10"/>
      <c r="LWX377" s="21"/>
      <c r="LWY377" s="21"/>
      <c r="LXB377" s="21"/>
      <c r="LXC377" s="15"/>
      <c r="LXD377" s="15"/>
      <c r="LXE377" s="15"/>
      <c r="LXF377" s="15"/>
      <c r="LXG377" s="15"/>
      <c r="LXH377" s="15"/>
      <c r="LXI377" s="15"/>
      <c r="LXJ377" s="15"/>
      <c r="LXK377" s="15"/>
      <c r="LXL377" s="15"/>
      <c r="LXM377" s="10"/>
      <c r="LXN377" s="10"/>
      <c r="LXO377" s="21"/>
      <c r="LXP377" s="21"/>
      <c r="LXS377" s="21"/>
      <c r="LXT377" s="15"/>
      <c r="LXU377" s="15"/>
      <c r="LXV377" s="15"/>
      <c r="LXW377" s="15"/>
      <c r="LXX377" s="15"/>
      <c r="LXY377" s="15"/>
      <c r="LXZ377" s="15"/>
      <c r="LYA377" s="15"/>
      <c r="LYB377" s="15"/>
      <c r="LYC377" s="15"/>
      <c r="LYD377" s="10"/>
      <c r="LYE377" s="10"/>
      <c r="LYF377" s="21"/>
      <c r="LYG377" s="21"/>
      <c r="LYJ377" s="21"/>
      <c r="LYK377" s="15"/>
      <c r="LYL377" s="15"/>
      <c r="LYM377" s="15"/>
      <c r="LYN377" s="15"/>
      <c r="LYO377" s="15"/>
      <c r="LYP377" s="15"/>
      <c r="LYQ377" s="15"/>
      <c r="LYR377" s="15"/>
      <c r="LYS377" s="15"/>
      <c r="LYT377" s="15"/>
      <c r="LYU377" s="10"/>
      <c r="LYV377" s="10"/>
      <c r="LYW377" s="21"/>
      <c r="LYX377" s="21"/>
      <c r="LZA377" s="21"/>
      <c r="LZB377" s="15"/>
      <c r="LZC377" s="15"/>
      <c r="LZD377" s="15"/>
      <c r="LZE377" s="15"/>
      <c r="LZF377" s="15"/>
      <c r="LZG377" s="15"/>
      <c r="LZH377" s="15"/>
      <c r="LZI377" s="15"/>
      <c r="LZJ377" s="15"/>
      <c r="LZK377" s="15"/>
      <c r="LZL377" s="10"/>
      <c r="LZM377" s="10"/>
      <c r="LZN377" s="21"/>
      <c r="LZO377" s="21"/>
      <c r="LZR377" s="21"/>
      <c r="LZS377" s="15"/>
      <c r="LZT377" s="15"/>
      <c r="LZU377" s="15"/>
      <c r="LZV377" s="15"/>
      <c r="LZW377" s="15"/>
      <c r="LZX377" s="15"/>
      <c r="LZY377" s="15"/>
      <c r="LZZ377" s="15"/>
      <c r="MAA377" s="15"/>
      <c r="MAB377" s="15"/>
      <c r="MAC377" s="10"/>
      <c r="MAD377" s="10"/>
      <c r="MAE377" s="21"/>
      <c r="MAF377" s="21"/>
      <c r="MAI377" s="21"/>
      <c r="MAJ377" s="15"/>
      <c r="MAK377" s="15"/>
      <c r="MAL377" s="15"/>
      <c r="MAM377" s="15"/>
      <c r="MAN377" s="15"/>
      <c r="MAO377" s="15"/>
      <c r="MAP377" s="15"/>
      <c r="MAQ377" s="15"/>
      <c r="MAR377" s="15"/>
      <c r="MAS377" s="15"/>
      <c r="MAT377" s="10"/>
      <c r="MAU377" s="10"/>
      <c r="MAV377" s="21"/>
      <c r="MAW377" s="21"/>
      <c r="MAZ377" s="21"/>
      <c r="MBA377" s="15"/>
      <c r="MBB377" s="15"/>
      <c r="MBC377" s="15"/>
      <c r="MBD377" s="15"/>
      <c r="MBE377" s="15"/>
      <c r="MBF377" s="15"/>
      <c r="MBG377" s="15"/>
      <c r="MBH377" s="15"/>
      <c r="MBI377" s="15"/>
      <c r="MBJ377" s="15"/>
      <c r="MBK377" s="10"/>
      <c r="MBL377" s="10"/>
      <c r="MBM377" s="21"/>
      <c r="MBN377" s="21"/>
      <c r="MBQ377" s="21"/>
      <c r="MBR377" s="15"/>
      <c r="MBS377" s="15"/>
      <c r="MBT377" s="15"/>
      <c r="MBU377" s="15"/>
      <c r="MBV377" s="15"/>
      <c r="MBW377" s="15"/>
      <c r="MBX377" s="15"/>
      <c r="MBY377" s="15"/>
      <c r="MBZ377" s="15"/>
      <c r="MCA377" s="15"/>
      <c r="MCB377" s="10"/>
      <c r="MCC377" s="10"/>
      <c r="MCD377" s="21"/>
      <c r="MCE377" s="21"/>
      <c r="MCH377" s="21"/>
      <c r="MCI377" s="15"/>
      <c r="MCJ377" s="15"/>
      <c r="MCK377" s="15"/>
      <c r="MCL377" s="15"/>
      <c r="MCM377" s="15"/>
      <c r="MCN377" s="15"/>
      <c r="MCO377" s="15"/>
      <c r="MCP377" s="15"/>
      <c r="MCQ377" s="15"/>
      <c r="MCR377" s="15"/>
      <c r="MCS377" s="10"/>
      <c r="MCT377" s="10"/>
      <c r="MCU377" s="21"/>
      <c r="MCV377" s="21"/>
      <c r="MCY377" s="21"/>
      <c r="MCZ377" s="15"/>
      <c r="MDA377" s="15"/>
      <c r="MDB377" s="15"/>
      <c r="MDC377" s="15"/>
      <c r="MDD377" s="15"/>
      <c r="MDE377" s="15"/>
      <c r="MDF377" s="15"/>
      <c r="MDG377" s="15"/>
      <c r="MDH377" s="15"/>
      <c r="MDI377" s="15"/>
      <c r="MDJ377" s="10"/>
      <c r="MDK377" s="10"/>
      <c r="MDL377" s="21"/>
      <c r="MDM377" s="21"/>
      <c r="MDP377" s="21"/>
      <c r="MDQ377" s="15"/>
      <c r="MDR377" s="15"/>
      <c r="MDS377" s="15"/>
      <c r="MDT377" s="15"/>
      <c r="MDU377" s="15"/>
      <c r="MDV377" s="15"/>
      <c r="MDW377" s="15"/>
      <c r="MDX377" s="15"/>
      <c r="MDY377" s="15"/>
      <c r="MDZ377" s="15"/>
      <c r="MEA377" s="10"/>
      <c r="MEB377" s="10"/>
      <c r="MEC377" s="21"/>
      <c r="MED377" s="21"/>
      <c r="MEG377" s="21"/>
      <c r="MEH377" s="15"/>
      <c r="MEI377" s="15"/>
      <c r="MEJ377" s="15"/>
      <c r="MEK377" s="15"/>
      <c r="MEL377" s="15"/>
      <c r="MEM377" s="15"/>
      <c r="MEN377" s="15"/>
      <c r="MEO377" s="15"/>
      <c r="MEP377" s="15"/>
      <c r="MEQ377" s="15"/>
      <c r="MER377" s="10"/>
      <c r="MES377" s="10"/>
      <c r="MET377" s="21"/>
      <c r="MEU377" s="21"/>
      <c r="MEX377" s="21"/>
      <c r="MEY377" s="15"/>
      <c r="MEZ377" s="15"/>
      <c r="MFA377" s="15"/>
      <c r="MFB377" s="15"/>
      <c r="MFC377" s="15"/>
      <c r="MFD377" s="15"/>
      <c r="MFE377" s="15"/>
      <c r="MFF377" s="15"/>
      <c r="MFG377" s="15"/>
      <c r="MFH377" s="15"/>
      <c r="MFI377" s="10"/>
      <c r="MFJ377" s="10"/>
      <c r="MFK377" s="21"/>
      <c r="MFL377" s="21"/>
      <c r="MFO377" s="21"/>
      <c r="MFP377" s="15"/>
      <c r="MFQ377" s="15"/>
      <c r="MFR377" s="15"/>
      <c r="MFS377" s="15"/>
      <c r="MFT377" s="15"/>
      <c r="MFU377" s="15"/>
      <c r="MFV377" s="15"/>
      <c r="MFW377" s="15"/>
      <c r="MFX377" s="15"/>
      <c r="MFY377" s="15"/>
      <c r="MFZ377" s="10"/>
      <c r="MGA377" s="10"/>
      <c r="MGB377" s="21"/>
      <c r="MGC377" s="21"/>
      <c r="MGF377" s="21"/>
      <c r="MGG377" s="15"/>
      <c r="MGH377" s="15"/>
      <c r="MGI377" s="15"/>
      <c r="MGJ377" s="15"/>
      <c r="MGK377" s="15"/>
      <c r="MGL377" s="15"/>
      <c r="MGM377" s="15"/>
      <c r="MGN377" s="15"/>
      <c r="MGO377" s="15"/>
      <c r="MGP377" s="15"/>
      <c r="MGQ377" s="10"/>
      <c r="MGR377" s="10"/>
      <c r="MGS377" s="21"/>
      <c r="MGT377" s="21"/>
      <c r="MGW377" s="21"/>
      <c r="MGX377" s="15"/>
      <c r="MGY377" s="15"/>
      <c r="MGZ377" s="15"/>
      <c r="MHA377" s="15"/>
      <c r="MHB377" s="15"/>
      <c r="MHC377" s="15"/>
      <c r="MHD377" s="15"/>
      <c r="MHE377" s="15"/>
      <c r="MHF377" s="15"/>
      <c r="MHG377" s="15"/>
      <c r="MHH377" s="10"/>
      <c r="MHI377" s="10"/>
      <c r="MHJ377" s="21"/>
      <c r="MHK377" s="21"/>
      <c r="MHN377" s="21"/>
      <c r="MHO377" s="15"/>
      <c r="MHP377" s="15"/>
      <c r="MHQ377" s="15"/>
      <c r="MHR377" s="15"/>
      <c r="MHS377" s="15"/>
      <c r="MHT377" s="15"/>
      <c r="MHU377" s="15"/>
      <c r="MHV377" s="15"/>
      <c r="MHW377" s="15"/>
      <c r="MHX377" s="15"/>
      <c r="MHY377" s="10"/>
      <c r="MHZ377" s="10"/>
      <c r="MIA377" s="21"/>
      <c r="MIB377" s="21"/>
      <c r="MIE377" s="21"/>
      <c r="MIF377" s="15"/>
      <c r="MIG377" s="15"/>
      <c r="MIH377" s="15"/>
      <c r="MII377" s="15"/>
      <c r="MIJ377" s="15"/>
      <c r="MIK377" s="15"/>
      <c r="MIL377" s="15"/>
      <c r="MIM377" s="15"/>
      <c r="MIN377" s="15"/>
      <c r="MIO377" s="15"/>
      <c r="MIP377" s="10"/>
      <c r="MIQ377" s="10"/>
      <c r="MIR377" s="21"/>
      <c r="MIS377" s="21"/>
      <c r="MIV377" s="21"/>
      <c r="MIW377" s="15"/>
      <c r="MIX377" s="15"/>
      <c r="MIY377" s="15"/>
      <c r="MIZ377" s="15"/>
      <c r="MJA377" s="15"/>
      <c r="MJB377" s="15"/>
      <c r="MJC377" s="15"/>
      <c r="MJD377" s="15"/>
      <c r="MJE377" s="15"/>
      <c r="MJF377" s="15"/>
      <c r="MJG377" s="10"/>
      <c r="MJH377" s="10"/>
      <c r="MJI377" s="21"/>
      <c r="MJJ377" s="21"/>
      <c r="MJM377" s="21"/>
      <c r="MJN377" s="15"/>
      <c r="MJO377" s="15"/>
      <c r="MJP377" s="15"/>
      <c r="MJQ377" s="15"/>
      <c r="MJR377" s="15"/>
      <c r="MJS377" s="15"/>
      <c r="MJT377" s="15"/>
      <c r="MJU377" s="15"/>
      <c r="MJV377" s="15"/>
      <c r="MJW377" s="15"/>
      <c r="MJX377" s="10"/>
      <c r="MJY377" s="10"/>
      <c r="MJZ377" s="21"/>
      <c r="MKA377" s="21"/>
      <c r="MKD377" s="21"/>
      <c r="MKE377" s="15"/>
      <c r="MKF377" s="15"/>
      <c r="MKG377" s="15"/>
      <c r="MKH377" s="15"/>
      <c r="MKI377" s="15"/>
      <c r="MKJ377" s="15"/>
      <c r="MKK377" s="15"/>
      <c r="MKL377" s="15"/>
      <c r="MKM377" s="15"/>
      <c r="MKN377" s="15"/>
      <c r="MKO377" s="10"/>
      <c r="MKP377" s="10"/>
      <c r="MKQ377" s="21"/>
      <c r="MKR377" s="21"/>
      <c r="MKU377" s="21"/>
      <c r="MKV377" s="15"/>
      <c r="MKW377" s="15"/>
      <c r="MKX377" s="15"/>
      <c r="MKY377" s="15"/>
      <c r="MKZ377" s="15"/>
      <c r="MLA377" s="15"/>
      <c r="MLB377" s="15"/>
      <c r="MLC377" s="15"/>
      <c r="MLD377" s="15"/>
      <c r="MLE377" s="15"/>
      <c r="MLF377" s="10"/>
      <c r="MLG377" s="10"/>
      <c r="MLH377" s="21"/>
      <c r="MLI377" s="21"/>
      <c r="MLL377" s="21"/>
      <c r="MLM377" s="15"/>
      <c r="MLN377" s="15"/>
      <c r="MLO377" s="15"/>
      <c r="MLP377" s="15"/>
      <c r="MLQ377" s="15"/>
      <c r="MLR377" s="15"/>
      <c r="MLS377" s="15"/>
      <c r="MLT377" s="15"/>
      <c r="MLU377" s="15"/>
      <c r="MLV377" s="15"/>
      <c r="MLW377" s="10"/>
      <c r="MLX377" s="10"/>
      <c r="MLY377" s="21"/>
      <c r="MLZ377" s="21"/>
      <c r="MMC377" s="21"/>
      <c r="MMD377" s="15"/>
      <c r="MME377" s="15"/>
      <c r="MMF377" s="15"/>
      <c r="MMG377" s="15"/>
      <c r="MMH377" s="15"/>
      <c r="MMI377" s="15"/>
      <c r="MMJ377" s="15"/>
      <c r="MMK377" s="15"/>
      <c r="MML377" s="15"/>
      <c r="MMM377" s="15"/>
      <c r="MMN377" s="10"/>
      <c r="MMO377" s="10"/>
      <c r="MMP377" s="21"/>
      <c r="MMQ377" s="21"/>
      <c r="MMT377" s="21"/>
      <c r="MMU377" s="15"/>
      <c r="MMV377" s="15"/>
      <c r="MMW377" s="15"/>
      <c r="MMX377" s="15"/>
      <c r="MMY377" s="15"/>
      <c r="MMZ377" s="15"/>
      <c r="MNA377" s="15"/>
      <c r="MNB377" s="15"/>
      <c r="MNC377" s="15"/>
      <c r="MND377" s="15"/>
      <c r="MNE377" s="10"/>
      <c r="MNF377" s="10"/>
      <c r="MNG377" s="21"/>
      <c r="MNH377" s="21"/>
      <c r="MNK377" s="21"/>
      <c r="MNL377" s="15"/>
      <c r="MNM377" s="15"/>
      <c r="MNN377" s="15"/>
      <c r="MNO377" s="15"/>
      <c r="MNP377" s="15"/>
      <c r="MNQ377" s="15"/>
      <c r="MNR377" s="15"/>
      <c r="MNS377" s="15"/>
      <c r="MNT377" s="15"/>
      <c r="MNU377" s="15"/>
      <c r="MNV377" s="10"/>
      <c r="MNW377" s="10"/>
      <c r="MNX377" s="21"/>
      <c r="MNY377" s="21"/>
      <c r="MOB377" s="21"/>
      <c r="MOC377" s="15"/>
      <c r="MOD377" s="15"/>
      <c r="MOE377" s="15"/>
      <c r="MOF377" s="15"/>
      <c r="MOG377" s="15"/>
      <c r="MOH377" s="15"/>
      <c r="MOI377" s="15"/>
      <c r="MOJ377" s="15"/>
      <c r="MOK377" s="15"/>
      <c r="MOL377" s="15"/>
      <c r="MOM377" s="10"/>
      <c r="MON377" s="10"/>
      <c r="MOO377" s="21"/>
      <c r="MOP377" s="21"/>
      <c r="MOS377" s="21"/>
      <c r="MOT377" s="15"/>
      <c r="MOU377" s="15"/>
      <c r="MOV377" s="15"/>
      <c r="MOW377" s="15"/>
      <c r="MOX377" s="15"/>
      <c r="MOY377" s="15"/>
      <c r="MOZ377" s="15"/>
      <c r="MPA377" s="15"/>
      <c r="MPB377" s="15"/>
      <c r="MPC377" s="15"/>
      <c r="MPD377" s="10"/>
      <c r="MPE377" s="10"/>
      <c r="MPF377" s="21"/>
      <c r="MPG377" s="21"/>
      <c r="MPJ377" s="21"/>
      <c r="MPK377" s="15"/>
      <c r="MPL377" s="15"/>
      <c r="MPM377" s="15"/>
      <c r="MPN377" s="15"/>
      <c r="MPO377" s="15"/>
      <c r="MPP377" s="15"/>
      <c r="MPQ377" s="15"/>
      <c r="MPR377" s="15"/>
      <c r="MPS377" s="15"/>
      <c r="MPT377" s="15"/>
      <c r="MPU377" s="10"/>
      <c r="MPV377" s="10"/>
      <c r="MPW377" s="21"/>
      <c r="MPX377" s="21"/>
      <c r="MQA377" s="21"/>
      <c r="MQB377" s="15"/>
      <c r="MQC377" s="15"/>
      <c r="MQD377" s="15"/>
      <c r="MQE377" s="15"/>
      <c r="MQF377" s="15"/>
      <c r="MQG377" s="15"/>
      <c r="MQH377" s="15"/>
      <c r="MQI377" s="15"/>
      <c r="MQJ377" s="15"/>
      <c r="MQK377" s="15"/>
      <c r="MQL377" s="10"/>
      <c r="MQM377" s="10"/>
      <c r="MQN377" s="21"/>
      <c r="MQO377" s="21"/>
      <c r="MQR377" s="21"/>
      <c r="MQS377" s="15"/>
      <c r="MQT377" s="15"/>
      <c r="MQU377" s="15"/>
      <c r="MQV377" s="15"/>
      <c r="MQW377" s="15"/>
      <c r="MQX377" s="15"/>
      <c r="MQY377" s="15"/>
      <c r="MQZ377" s="15"/>
      <c r="MRA377" s="15"/>
      <c r="MRB377" s="15"/>
      <c r="MRC377" s="10"/>
      <c r="MRD377" s="10"/>
      <c r="MRE377" s="21"/>
      <c r="MRF377" s="21"/>
      <c r="MRI377" s="21"/>
      <c r="MRJ377" s="15"/>
      <c r="MRK377" s="15"/>
      <c r="MRL377" s="15"/>
      <c r="MRM377" s="15"/>
      <c r="MRN377" s="15"/>
      <c r="MRO377" s="15"/>
      <c r="MRP377" s="15"/>
      <c r="MRQ377" s="15"/>
      <c r="MRR377" s="15"/>
      <c r="MRS377" s="15"/>
      <c r="MRT377" s="10"/>
      <c r="MRU377" s="10"/>
      <c r="MRV377" s="21"/>
      <c r="MRW377" s="21"/>
      <c r="MRZ377" s="21"/>
      <c r="MSA377" s="15"/>
      <c r="MSB377" s="15"/>
      <c r="MSC377" s="15"/>
      <c r="MSD377" s="15"/>
      <c r="MSE377" s="15"/>
      <c r="MSF377" s="15"/>
      <c r="MSG377" s="15"/>
      <c r="MSH377" s="15"/>
      <c r="MSI377" s="15"/>
      <c r="MSJ377" s="15"/>
      <c r="MSK377" s="10"/>
      <c r="MSL377" s="10"/>
      <c r="MSM377" s="21"/>
      <c r="MSN377" s="21"/>
      <c r="MSQ377" s="21"/>
      <c r="MSR377" s="15"/>
      <c r="MSS377" s="15"/>
      <c r="MST377" s="15"/>
      <c r="MSU377" s="15"/>
      <c r="MSV377" s="15"/>
      <c r="MSW377" s="15"/>
      <c r="MSX377" s="15"/>
      <c r="MSY377" s="15"/>
      <c r="MSZ377" s="15"/>
      <c r="MTA377" s="15"/>
      <c r="MTB377" s="10"/>
      <c r="MTC377" s="10"/>
      <c r="MTD377" s="21"/>
      <c r="MTE377" s="21"/>
      <c r="MTH377" s="21"/>
      <c r="MTI377" s="15"/>
      <c r="MTJ377" s="15"/>
      <c r="MTK377" s="15"/>
      <c r="MTL377" s="15"/>
      <c r="MTM377" s="15"/>
      <c r="MTN377" s="15"/>
      <c r="MTO377" s="15"/>
      <c r="MTP377" s="15"/>
      <c r="MTQ377" s="15"/>
      <c r="MTR377" s="15"/>
      <c r="MTS377" s="10"/>
      <c r="MTT377" s="10"/>
      <c r="MTU377" s="21"/>
      <c r="MTV377" s="21"/>
      <c r="MTY377" s="21"/>
      <c r="MTZ377" s="15"/>
      <c r="MUA377" s="15"/>
      <c r="MUB377" s="15"/>
      <c r="MUC377" s="15"/>
      <c r="MUD377" s="15"/>
      <c r="MUE377" s="15"/>
      <c r="MUF377" s="15"/>
      <c r="MUG377" s="15"/>
      <c r="MUH377" s="15"/>
      <c r="MUI377" s="15"/>
      <c r="MUJ377" s="10"/>
      <c r="MUK377" s="10"/>
      <c r="MUL377" s="21"/>
      <c r="MUM377" s="21"/>
      <c r="MUP377" s="21"/>
      <c r="MUQ377" s="15"/>
      <c r="MUR377" s="15"/>
      <c r="MUS377" s="15"/>
      <c r="MUT377" s="15"/>
      <c r="MUU377" s="15"/>
      <c r="MUV377" s="15"/>
      <c r="MUW377" s="15"/>
      <c r="MUX377" s="15"/>
      <c r="MUY377" s="15"/>
      <c r="MUZ377" s="15"/>
      <c r="MVA377" s="10"/>
      <c r="MVB377" s="10"/>
      <c r="MVC377" s="21"/>
      <c r="MVD377" s="21"/>
      <c r="MVG377" s="21"/>
      <c r="MVH377" s="15"/>
      <c r="MVI377" s="15"/>
      <c r="MVJ377" s="15"/>
      <c r="MVK377" s="15"/>
      <c r="MVL377" s="15"/>
      <c r="MVM377" s="15"/>
      <c r="MVN377" s="15"/>
      <c r="MVO377" s="15"/>
      <c r="MVP377" s="15"/>
      <c r="MVQ377" s="15"/>
      <c r="MVR377" s="10"/>
      <c r="MVS377" s="10"/>
      <c r="MVT377" s="21"/>
      <c r="MVU377" s="21"/>
      <c r="MVX377" s="21"/>
      <c r="MVY377" s="15"/>
      <c r="MVZ377" s="15"/>
      <c r="MWA377" s="15"/>
      <c r="MWB377" s="15"/>
      <c r="MWC377" s="15"/>
      <c r="MWD377" s="15"/>
      <c r="MWE377" s="15"/>
      <c r="MWF377" s="15"/>
      <c r="MWG377" s="15"/>
      <c r="MWH377" s="15"/>
      <c r="MWI377" s="10"/>
      <c r="MWJ377" s="10"/>
      <c r="MWK377" s="21"/>
      <c r="MWL377" s="21"/>
      <c r="MWO377" s="21"/>
      <c r="MWP377" s="15"/>
      <c r="MWQ377" s="15"/>
      <c r="MWR377" s="15"/>
      <c r="MWS377" s="15"/>
      <c r="MWT377" s="15"/>
      <c r="MWU377" s="15"/>
      <c r="MWV377" s="15"/>
      <c r="MWW377" s="15"/>
      <c r="MWX377" s="15"/>
      <c r="MWY377" s="15"/>
      <c r="MWZ377" s="10"/>
      <c r="MXA377" s="10"/>
      <c r="MXB377" s="21"/>
      <c r="MXC377" s="21"/>
      <c r="MXF377" s="21"/>
      <c r="MXG377" s="15"/>
      <c r="MXH377" s="15"/>
      <c r="MXI377" s="15"/>
      <c r="MXJ377" s="15"/>
      <c r="MXK377" s="15"/>
      <c r="MXL377" s="15"/>
      <c r="MXM377" s="15"/>
      <c r="MXN377" s="15"/>
      <c r="MXO377" s="15"/>
      <c r="MXP377" s="15"/>
      <c r="MXQ377" s="10"/>
      <c r="MXR377" s="10"/>
      <c r="MXS377" s="21"/>
      <c r="MXT377" s="21"/>
      <c r="MXW377" s="21"/>
      <c r="MXX377" s="15"/>
      <c r="MXY377" s="15"/>
      <c r="MXZ377" s="15"/>
      <c r="MYA377" s="15"/>
      <c r="MYB377" s="15"/>
      <c r="MYC377" s="15"/>
      <c r="MYD377" s="15"/>
      <c r="MYE377" s="15"/>
      <c r="MYF377" s="15"/>
      <c r="MYG377" s="15"/>
      <c r="MYH377" s="10"/>
      <c r="MYI377" s="10"/>
      <c r="MYJ377" s="21"/>
      <c r="MYK377" s="21"/>
      <c r="MYN377" s="21"/>
      <c r="MYO377" s="15"/>
      <c r="MYP377" s="15"/>
      <c r="MYQ377" s="15"/>
      <c r="MYR377" s="15"/>
      <c r="MYS377" s="15"/>
      <c r="MYT377" s="15"/>
      <c r="MYU377" s="15"/>
      <c r="MYV377" s="15"/>
      <c r="MYW377" s="15"/>
      <c r="MYX377" s="15"/>
      <c r="MYY377" s="10"/>
      <c r="MYZ377" s="10"/>
      <c r="MZA377" s="21"/>
      <c r="MZB377" s="21"/>
      <c r="MZE377" s="21"/>
      <c r="MZF377" s="15"/>
      <c r="MZG377" s="15"/>
      <c r="MZH377" s="15"/>
      <c r="MZI377" s="15"/>
      <c r="MZJ377" s="15"/>
      <c r="MZK377" s="15"/>
      <c r="MZL377" s="15"/>
      <c r="MZM377" s="15"/>
      <c r="MZN377" s="15"/>
      <c r="MZO377" s="15"/>
      <c r="MZP377" s="10"/>
      <c r="MZQ377" s="10"/>
      <c r="MZR377" s="21"/>
      <c r="MZS377" s="21"/>
      <c r="MZV377" s="21"/>
      <c r="MZW377" s="15"/>
      <c r="MZX377" s="15"/>
      <c r="MZY377" s="15"/>
      <c r="MZZ377" s="15"/>
      <c r="NAA377" s="15"/>
      <c r="NAB377" s="15"/>
      <c r="NAC377" s="15"/>
      <c r="NAD377" s="15"/>
      <c r="NAE377" s="15"/>
      <c r="NAF377" s="15"/>
      <c r="NAG377" s="10"/>
      <c r="NAH377" s="10"/>
      <c r="NAI377" s="21"/>
      <c r="NAJ377" s="21"/>
      <c r="NAM377" s="21"/>
      <c r="NAN377" s="15"/>
      <c r="NAO377" s="15"/>
      <c r="NAP377" s="15"/>
      <c r="NAQ377" s="15"/>
      <c r="NAR377" s="15"/>
      <c r="NAS377" s="15"/>
      <c r="NAT377" s="15"/>
      <c r="NAU377" s="15"/>
      <c r="NAV377" s="15"/>
      <c r="NAW377" s="15"/>
      <c r="NAX377" s="10"/>
      <c r="NAY377" s="10"/>
      <c r="NAZ377" s="21"/>
      <c r="NBA377" s="21"/>
      <c r="NBD377" s="21"/>
      <c r="NBE377" s="15"/>
      <c r="NBF377" s="15"/>
      <c r="NBG377" s="15"/>
      <c r="NBH377" s="15"/>
      <c r="NBI377" s="15"/>
      <c r="NBJ377" s="15"/>
      <c r="NBK377" s="15"/>
      <c r="NBL377" s="15"/>
      <c r="NBM377" s="15"/>
      <c r="NBN377" s="15"/>
      <c r="NBO377" s="10"/>
      <c r="NBP377" s="10"/>
      <c r="NBQ377" s="21"/>
      <c r="NBR377" s="21"/>
      <c r="NBU377" s="21"/>
      <c r="NBV377" s="15"/>
      <c r="NBW377" s="15"/>
      <c r="NBX377" s="15"/>
      <c r="NBY377" s="15"/>
      <c r="NBZ377" s="15"/>
      <c r="NCA377" s="15"/>
      <c r="NCB377" s="15"/>
      <c r="NCC377" s="15"/>
      <c r="NCD377" s="15"/>
      <c r="NCE377" s="15"/>
      <c r="NCF377" s="10"/>
      <c r="NCG377" s="10"/>
      <c r="NCH377" s="21"/>
      <c r="NCI377" s="21"/>
      <c r="NCL377" s="21"/>
      <c r="NCM377" s="15"/>
      <c r="NCN377" s="15"/>
      <c r="NCO377" s="15"/>
      <c r="NCP377" s="15"/>
      <c r="NCQ377" s="15"/>
      <c r="NCR377" s="15"/>
      <c r="NCS377" s="15"/>
      <c r="NCT377" s="15"/>
      <c r="NCU377" s="15"/>
      <c r="NCV377" s="15"/>
      <c r="NCW377" s="10"/>
      <c r="NCX377" s="10"/>
      <c r="NCY377" s="21"/>
      <c r="NCZ377" s="21"/>
      <c r="NDC377" s="21"/>
      <c r="NDD377" s="15"/>
      <c r="NDE377" s="15"/>
      <c r="NDF377" s="15"/>
      <c r="NDG377" s="15"/>
      <c r="NDH377" s="15"/>
      <c r="NDI377" s="15"/>
      <c r="NDJ377" s="15"/>
      <c r="NDK377" s="15"/>
      <c r="NDL377" s="15"/>
      <c r="NDM377" s="15"/>
      <c r="NDN377" s="10"/>
      <c r="NDO377" s="10"/>
      <c r="NDP377" s="21"/>
      <c r="NDQ377" s="21"/>
      <c r="NDT377" s="21"/>
      <c r="NDU377" s="15"/>
      <c r="NDV377" s="15"/>
      <c r="NDW377" s="15"/>
      <c r="NDX377" s="15"/>
      <c r="NDY377" s="15"/>
      <c r="NDZ377" s="15"/>
      <c r="NEA377" s="15"/>
      <c r="NEB377" s="15"/>
      <c r="NEC377" s="15"/>
      <c r="NED377" s="15"/>
      <c r="NEE377" s="10"/>
      <c r="NEF377" s="10"/>
      <c r="NEG377" s="21"/>
      <c r="NEH377" s="21"/>
      <c r="NEK377" s="21"/>
      <c r="NEL377" s="15"/>
      <c r="NEM377" s="15"/>
      <c r="NEN377" s="15"/>
      <c r="NEO377" s="15"/>
      <c r="NEP377" s="15"/>
      <c r="NEQ377" s="15"/>
      <c r="NER377" s="15"/>
      <c r="NES377" s="15"/>
      <c r="NET377" s="15"/>
      <c r="NEU377" s="15"/>
      <c r="NEV377" s="10"/>
      <c r="NEW377" s="10"/>
      <c r="NEX377" s="21"/>
      <c r="NEY377" s="21"/>
      <c r="NFB377" s="21"/>
      <c r="NFC377" s="15"/>
      <c r="NFD377" s="15"/>
      <c r="NFE377" s="15"/>
      <c r="NFF377" s="15"/>
      <c r="NFG377" s="15"/>
      <c r="NFH377" s="15"/>
      <c r="NFI377" s="15"/>
      <c r="NFJ377" s="15"/>
      <c r="NFK377" s="15"/>
      <c r="NFL377" s="15"/>
      <c r="NFM377" s="10"/>
      <c r="NFN377" s="10"/>
      <c r="NFO377" s="21"/>
      <c r="NFP377" s="21"/>
      <c r="NFS377" s="21"/>
      <c r="NFT377" s="15"/>
      <c r="NFU377" s="15"/>
      <c r="NFV377" s="15"/>
      <c r="NFW377" s="15"/>
      <c r="NFX377" s="15"/>
      <c r="NFY377" s="15"/>
      <c r="NFZ377" s="15"/>
      <c r="NGA377" s="15"/>
      <c r="NGB377" s="15"/>
      <c r="NGC377" s="15"/>
      <c r="NGD377" s="10"/>
      <c r="NGE377" s="10"/>
      <c r="NGF377" s="21"/>
      <c r="NGG377" s="21"/>
      <c r="NGJ377" s="21"/>
      <c r="NGK377" s="15"/>
      <c r="NGL377" s="15"/>
      <c r="NGM377" s="15"/>
      <c r="NGN377" s="15"/>
      <c r="NGO377" s="15"/>
      <c r="NGP377" s="15"/>
      <c r="NGQ377" s="15"/>
      <c r="NGR377" s="15"/>
      <c r="NGS377" s="15"/>
      <c r="NGT377" s="15"/>
      <c r="NGU377" s="10"/>
      <c r="NGV377" s="10"/>
      <c r="NGW377" s="21"/>
      <c r="NGX377" s="21"/>
      <c r="NHA377" s="21"/>
      <c r="NHB377" s="15"/>
      <c r="NHC377" s="15"/>
      <c r="NHD377" s="15"/>
      <c r="NHE377" s="15"/>
      <c r="NHF377" s="15"/>
      <c r="NHG377" s="15"/>
      <c r="NHH377" s="15"/>
      <c r="NHI377" s="15"/>
      <c r="NHJ377" s="15"/>
      <c r="NHK377" s="15"/>
      <c r="NHL377" s="10"/>
      <c r="NHM377" s="10"/>
      <c r="NHN377" s="21"/>
      <c r="NHO377" s="21"/>
      <c r="NHR377" s="21"/>
      <c r="NHS377" s="15"/>
      <c r="NHT377" s="15"/>
      <c r="NHU377" s="15"/>
      <c r="NHV377" s="15"/>
      <c r="NHW377" s="15"/>
      <c r="NHX377" s="15"/>
      <c r="NHY377" s="15"/>
      <c r="NHZ377" s="15"/>
      <c r="NIA377" s="15"/>
      <c r="NIB377" s="15"/>
      <c r="NIC377" s="10"/>
      <c r="NID377" s="10"/>
      <c r="NIE377" s="21"/>
      <c r="NIF377" s="21"/>
      <c r="NII377" s="21"/>
      <c r="NIJ377" s="15"/>
      <c r="NIK377" s="15"/>
      <c r="NIL377" s="15"/>
      <c r="NIM377" s="15"/>
      <c r="NIN377" s="15"/>
      <c r="NIO377" s="15"/>
      <c r="NIP377" s="15"/>
      <c r="NIQ377" s="15"/>
      <c r="NIR377" s="15"/>
      <c r="NIS377" s="15"/>
      <c r="NIT377" s="10"/>
      <c r="NIU377" s="10"/>
      <c r="NIV377" s="21"/>
      <c r="NIW377" s="21"/>
      <c r="NIZ377" s="21"/>
      <c r="NJA377" s="15"/>
      <c r="NJB377" s="15"/>
      <c r="NJC377" s="15"/>
      <c r="NJD377" s="15"/>
      <c r="NJE377" s="15"/>
      <c r="NJF377" s="15"/>
      <c r="NJG377" s="15"/>
      <c r="NJH377" s="15"/>
      <c r="NJI377" s="15"/>
      <c r="NJJ377" s="15"/>
      <c r="NJK377" s="10"/>
      <c r="NJL377" s="10"/>
      <c r="NJM377" s="21"/>
      <c r="NJN377" s="21"/>
      <c r="NJQ377" s="21"/>
      <c r="NJR377" s="15"/>
      <c r="NJS377" s="15"/>
      <c r="NJT377" s="15"/>
      <c r="NJU377" s="15"/>
      <c r="NJV377" s="15"/>
      <c r="NJW377" s="15"/>
      <c r="NJX377" s="15"/>
      <c r="NJY377" s="15"/>
      <c r="NJZ377" s="15"/>
      <c r="NKA377" s="15"/>
      <c r="NKB377" s="10"/>
      <c r="NKC377" s="10"/>
      <c r="NKD377" s="21"/>
      <c r="NKE377" s="21"/>
      <c r="NKH377" s="21"/>
      <c r="NKI377" s="15"/>
      <c r="NKJ377" s="15"/>
      <c r="NKK377" s="15"/>
      <c r="NKL377" s="15"/>
      <c r="NKM377" s="15"/>
      <c r="NKN377" s="15"/>
      <c r="NKO377" s="15"/>
      <c r="NKP377" s="15"/>
      <c r="NKQ377" s="15"/>
      <c r="NKR377" s="15"/>
      <c r="NKS377" s="10"/>
      <c r="NKT377" s="10"/>
      <c r="NKU377" s="21"/>
      <c r="NKV377" s="21"/>
      <c r="NKY377" s="21"/>
      <c r="NKZ377" s="15"/>
      <c r="NLA377" s="15"/>
      <c r="NLB377" s="15"/>
      <c r="NLC377" s="15"/>
      <c r="NLD377" s="15"/>
      <c r="NLE377" s="15"/>
      <c r="NLF377" s="15"/>
      <c r="NLG377" s="15"/>
      <c r="NLH377" s="15"/>
      <c r="NLI377" s="15"/>
      <c r="NLJ377" s="10"/>
      <c r="NLK377" s="10"/>
      <c r="NLL377" s="21"/>
      <c r="NLM377" s="21"/>
      <c r="NLP377" s="21"/>
      <c r="NLQ377" s="15"/>
      <c r="NLR377" s="15"/>
      <c r="NLS377" s="15"/>
      <c r="NLT377" s="15"/>
      <c r="NLU377" s="15"/>
      <c r="NLV377" s="15"/>
      <c r="NLW377" s="15"/>
      <c r="NLX377" s="15"/>
      <c r="NLY377" s="15"/>
      <c r="NLZ377" s="15"/>
      <c r="NMA377" s="10"/>
      <c r="NMB377" s="10"/>
      <c r="NMC377" s="21"/>
      <c r="NMD377" s="21"/>
      <c r="NMG377" s="21"/>
      <c r="NMH377" s="15"/>
      <c r="NMI377" s="15"/>
      <c r="NMJ377" s="15"/>
      <c r="NMK377" s="15"/>
      <c r="NML377" s="15"/>
      <c r="NMM377" s="15"/>
      <c r="NMN377" s="15"/>
      <c r="NMO377" s="15"/>
      <c r="NMP377" s="15"/>
      <c r="NMQ377" s="15"/>
      <c r="NMR377" s="10"/>
      <c r="NMS377" s="10"/>
      <c r="NMT377" s="21"/>
      <c r="NMU377" s="21"/>
      <c r="NMX377" s="21"/>
      <c r="NMY377" s="15"/>
      <c r="NMZ377" s="15"/>
      <c r="NNA377" s="15"/>
      <c r="NNB377" s="15"/>
      <c r="NNC377" s="15"/>
      <c r="NND377" s="15"/>
      <c r="NNE377" s="15"/>
      <c r="NNF377" s="15"/>
      <c r="NNG377" s="15"/>
      <c r="NNH377" s="15"/>
      <c r="NNI377" s="10"/>
      <c r="NNJ377" s="10"/>
      <c r="NNK377" s="21"/>
      <c r="NNL377" s="21"/>
      <c r="NNO377" s="21"/>
      <c r="NNP377" s="15"/>
      <c r="NNQ377" s="15"/>
      <c r="NNR377" s="15"/>
      <c r="NNS377" s="15"/>
      <c r="NNT377" s="15"/>
      <c r="NNU377" s="15"/>
      <c r="NNV377" s="15"/>
      <c r="NNW377" s="15"/>
      <c r="NNX377" s="15"/>
      <c r="NNY377" s="15"/>
      <c r="NNZ377" s="10"/>
      <c r="NOA377" s="10"/>
      <c r="NOB377" s="21"/>
      <c r="NOC377" s="21"/>
      <c r="NOF377" s="21"/>
      <c r="NOG377" s="15"/>
      <c r="NOH377" s="15"/>
      <c r="NOI377" s="15"/>
      <c r="NOJ377" s="15"/>
      <c r="NOK377" s="15"/>
      <c r="NOL377" s="15"/>
      <c r="NOM377" s="15"/>
      <c r="NON377" s="15"/>
      <c r="NOO377" s="15"/>
      <c r="NOP377" s="15"/>
      <c r="NOQ377" s="10"/>
      <c r="NOR377" s="10"/>
      <c r="NOS377" s="21"/>
      <c r="NOT377" s="21"/>
      <c r="NOW377" s="21"/>
      <c r="NOX377" s="15"/>
      <c r="NOY377" s="15"/>
      <c r="NOZ377" s="15"/>
      <c r="NPA377" s="15"/>
      <c r="NPB377" s="15"/>
      <c r="NPC377" s="15"/>
      <c r="NPD377" s="15"/>
      <c r="NPE377" s="15"/>
      <c r="NPF377" s="15"/>
      <c r="NPG377" s="15"/>
      <c r="NPH377" s="10"/>
      <c r="NPI377" s="10"/>
      <c r="NPJ377" s="21"/>
      <c r="NPK377" s="21"/>
      <c r="NPN377" s="21"/>
      <c r="NPO377" s="15"/>
      <c r="NPP377" s="15"/>
      <c r="NPQ377" s="15"/>
      <c r="NPR377" s="15"/>
      <c r="NPS377" s="15"/>
      <c r="NPT377" s="15"/>
      <c r="NPU377" s="15"/>
      <c r="NPV377" s="15"/>
      <c r="NPW377" s="15"/>
      <c r="NPX377" s="15"/>
      <c r="NPY377" s="10"/>
      <c r="NPZ377" s="10"/>
      <c r="NQA377" s="21"/>
      <c r="NQB377" s="21"/>
      <c r="NQE377" s="21"/>
      <c r="NQF377" s="15"/>
      <c r="NQG377" s="15"/>
      <c r="NQH377" s="15"/>
      <c r="NQI377" s="15"/>
      <c r="NQJ377" s="15"/>
      <c r="NQK377" s="15"/>
      <c r="NQL377" s="15"/>
      <c r="NQM377" s="15"/>
      <c r="NQN377" s="15"/>
      <c r="NQO377" s="15"/>
      <c r="NQP377" s="10"/>
      <c r="NQQ377" s="10"/>
      <c r="NQR377" s="21"/>
      <c r="NQS377" s="21"/>
      <c r="NQV377" s="21"/>
      <c r="NQW377" s="15"/>
      <c r="NQX377" s="15"/>
      <c r="NQY377" s="15"/>
      <c r="NQZ377" s="15"/>
      <c r="NRA377" s="15"/>
      <c r="NRB377" s="15"/>
      <c r="NRC377" s="15"/>
      <c r="NRD377" s="15"/>
      <c r="NRE377" s="15"/>
      <c r="NRF377" s="15"/>
      <c r="NRG377" s="10"/>
      <c r="NRH377" s="10"/>
      <c r="NRI377" s="21"/>
      <c r="NRJ377" s="21"/>
      <c r="NRM377" s="21"/>
      <c r="NRN377" s="15"/>
      <c r="NRO377" s="15"/>
      <c r="NRP377" s="15"/>
      <c r="NRQ377" s="15"/>
      <c r="NRR377" s="15"/>
      <c r="NRS377" s="15"/>
      <c r="NRT377" s="15"/>
      <c r="NRU377" s="15"/>
      <c r="NRV377" s="15"/>
      <c r="NRW377" s="15"/>
      <c r="NRX377" s="10"/>
      <c r="NRY377" s="10"/>
      <c r="NRZ377" s="21"/>
      <c r="NSA377" s="21"/>
      <c r="NSD377" s="21"/>
      <c r="NSE377" s="15"/>
      <c r="NSF377" s="15"/>
      <c r="NSG377" s="15"/>
      <c r="NSH377" s="15"/>
      <c r="NSI377" s="15"/>
      <c r="NSJ377" s="15"/>
      <c r="NSK377" s="15"/>
      <c r="NSL377" s="15"/>
      <c r="NSM377" s="15"/>
      <c r="NSN377" s="15"/>
      <c r="NSO377" s="10"/>
      <c r="NSP377" s="10"/>
      <c r="NSQ377" s="21"/>
      <c r="NSR377" s="21"/>
      <c r="NSU377" s="21"/>
      <c r="NSV377" s="15"/>
      <c r="NSW377" s="15"/>
      <c r="NSX377" s="15"/>
      <c r="NSY377" s="15"/>
      <c r="NSZ377" s="15"/>
      <c r="NTA377" s="15"/>
      <c r="NTB377" s="15"/>
      <c r="NTC377" s="15"/>
      <c r="NTD377" s="15"/>
      <c r="NTE377" s="15"/>
      <c r="NTF377" s="10"/>
      <c r="NTG377" s="10"/>
      <c r="NTH377" s="21"/>
      <c r="NTI377" s="21"/>
      <c r="NTL377" s="21"/>
      <c r="NTM377" s="15"/>
      <c r="NTN377" s="15"/>
      <c r="NTO377" s="15"/>
      <c r="NTP377" s="15"/>
      <c r="NTQ377" s="15"/>
      <c r="NTR377" s="15"/>
      <c r="NTS377" s="15"/>
      <c r="NTT377" s="15"/>
      <c r="NTU377" s="15"/>
      <c r="NTV377" s="15"/>
      <c r="NTW377" s="10"/>
      <c r="NTX377" s="10"/>
      <c r="NTY377" s="21"/>
      <c r="NTZ377" s="21"/>
      <c r="NUC377" s="21"/>
      <c r="NUD377" s="15"/>
      <c r="NUE377" s="15"/>
      <c r="NUF377" s="15"/>
      <c r="NUG377" s="15"/>
      <c r="NUH377" s="15"/>
      <c r="NUI377" s="15"/>
      <c r="NUJ377" s="15"/>
      <c r="NUK377" s="15"/>
      <c r="NUL377" s="15"/>
      <c r="NUM377" s="15"/>
      <c r="NUN377" s="10"/>
      <c r="NUO377" s="10"/>
      <c r="NUP377" s="21"/>
      <c r="NUQ377" s="21"/>
      <c r="NUT377" s="21"/>
      <c r="NUU377" s="15"/>
      <c r="NUV377" s="15"/>
      <c r="NUW377" s="15"/>
      <c r="NUX377" s="15"/>
      <c r="NUY377" s="15"/>
      <c r="NUZ377" s="15"/>
      <c r="NVA377" s="15"/>
      <c r="NVB377" s="15"/>
      <c r="NVC377" s="15"/>
      <c r="NVD377" s="15"/>
      <c r="NVE377" s="10"/>
      <c r="NVF377" s="10"/>
      <c r="NVG377" s="21"/>
      <c r="NVH377" s="21"/>
      <c r="NVK377" s="21"/>
      <c r="NVL377" s="15"/>
      <c r="NVM377" s="15"/>
      <c r="NVN377" s="15"/>
      <c r="NVO377" s="15"/>
      <c r="NVP377" s="15"/>
      <c r="NVQ377" s="15"/>
      <c r="NVR377" s="15"/>
      <c r="NVS377" s="15"/>
      <c r="NVT377" s="15"/>
      <c r="NVU377" s="15"/>
      <c r="NVV377" s="10"/>
      <c r="NVW377" s="10"/>
      <c r="NVX377" s="21"/>
      <c r="NVY377" s="21"/>
      <c r="NWB377" s="21"/>
      <c r="NWC377" s="15"/>
      <c r="NWD377" s="15"/>
      <c r="NWE377" s="15"/>
      <c r="NWF377" s="15"/>
      <c r="NWG377" s="15"/>
      <c r="NWH377" s="15"/>
      <c r="NWI377" s="15"/>
      <c r="NWJ377" s="15"/>
      <c r="NWK377" s="15"/>
      <c r="NWL377" s="15"/>
      <c r="NWM377" s="10"/>
      <c r="NWN377" s="10"/>
      <c r="NWO377" s="21"/>
      <c r="NWP377" s="21"/>
      <c r="NWS377" s="21"/>
      <c r="NWT377" s="15"/>
      <c r="NWU377" s="15"/>
      <c r="NWV377" s="15"/>
      <c r="NWW377" s="15"/>
      <c r="NWX377" s="15"/>
      <c r="NWY377" s="15"/>
      <c r="NWZ377" s="15"/>
      <c r="NXA377" s="15"/>
      <c r="NXB377" s="15"/>
      <c r="NXC377" s="15"/>
      <c r="NXD377" s="10"/>
      <c r="NXE377" s="10"/>
      <c r="NXF377" s="21"/>
      <c r="NXG377" s="21"/>
      <c r="NXJ377" s="21"/>
      <c r="NXK377" s="15"/>
      <c r="NXL377" s="15"/>
      <c r="NXM377" s="15"/>
      <c r="NXN377" s="15"/>
      <c r="NXO377" s="15"/>
      <c r="NXP377" s="15"/>
      <c r="NXQ377" s="15"/>
      <c r="NXR377" s="15"/>
      <c r="NXS377" s="15"/>
      <c r="NXT377" s="15"/>
      <c r="NXU377" s="10"/>
      <c r="NXV377" s="10"/>
      <c r="NXW377" s="21"/>
      <c r="NXX377" s="21"/>
      <c r="NYA377" s="21"/>
      <c r="NYB377" s="15"/>
      <c r="NYC377" s="15"/>
      <c r="NYD377" s="15"/>
      <c r="NYE377" s="15"/>
      <c r="NYF377" s="15"/>
      <c r="NYG377" s="15"/>
      <c r="NYH377" s="15"/>
      <c r="NYI377" s="15"/>
      <c r="NYJ377" s="15"/>
      <c r="NYK377" s="15"/>
      <c r="NYL377" s="10"/>
      <c r="NYM377" s="10"/>
      <c r="NYN377" s="21"/>
      <c r="NYO377" s="21"/>
      <c r="NYR377" s="21"/>
      <c r="NYS377" s="15"/>
      <c r="NYT377" s="15"/>
      <c r="NYU377" s="15"/>
      <c r="NYV377" s="15"/>
      <c r="NYW377" s="15"/>
      <c r="NYX377" s="15"/>
      <c r="NYY377" s="15"/>
      <c r="NYZ377" s="15"/>
      <c r="NZA377" s="15"/>
      <c r="NZB377" s="15"/>
      <c r="NZC377" s="10"/>
      <c r="NZD377" s="10"/>
      <c r="NZE377" s="21"/>
      <c r="NZF377" s="21"/>
      <c r="NZI377" s="21"/>
      <c r="NZJ377" s="15"/>
      <c r="NZK377" s="15"/>
      <c r="NZL377" s="15"/>
      <c r="NZM377" s="15"/>
      <c r="NZN377" s="15"/>
      <c r="NZO377" s="15"/>
      <c r="NZP377" s="15"/>
      <c r="NZQ377" s="15"/>
      <c r="NZR377" s="15"/>
      <c r="NZS377" s="15"/>
      <c r="NZT377" s="10"/>
      <c r="NZU377" s="10"/>
      <c r="NZV377" s="21"/>
      <c r="NZW377" s="21"/>
      <c r="NZZ377" s="21"/>
      <c r="OAA377" s="15"/>
      <c r="OAB377" s="15"/>
      <c r="OAC377" s="15"/>
      <c r="OAD377" s="15"/>
      <c r="OAE377" s="15"/>
      <c r="OAF377" s="15"/>
      <c r="OAG377" s="15"/>
      <c r="OAH377" s="15"/>
      <c r="OAI377" s="15"/>
      <c r="OAJ377" s="15"/>
      <c r="OAK377" s="10"/>
      <c r="OAL377" s="10"/>
      <c r="OAM377" s="21"/>
      <c r="OAN377" s="21"/>
      <c r="OAQ377" s="21"/>
      <c r="OAR377" s="15"/>
      <c r="OAS377" s="15"/>
      <c r="OAT377" s="15"/>
      <c r="OAU377" s="15"/>
      <c r="OAV377" s="15"/>
      <c r="OAW377" s="15"/>
      <c r="OAX377" s="15"/>
      <c r="OAY377" s="15"/>
      <c r="OAZ377" s="15"/>
      <c r="OBA377" s="15"/>
      <c r="OBB377" s="10"/>
      <c r="OBC377" s="10"/>
      <c r="OBD377" s="21"/>
      <c r="OBE377" s="21"/>
      <c r="OBH377" s="21"/>
      <c r="OBI377" s="15"/>
      <c r="OBJ377" s="15"/>
      <c r="OBK377" s="15"/>
      <c r="OBL377" s="15"/>
      <c r="OBM377" s="15"/>
      <c r="OBN377" s="15"/>
      <c r="OBO377" s="15"/>
      <c r="OBP377" s="15"/>
      <c r="OBQ377" s="15"/>
      <c r="OBR377" s="15"/>
      <c r="OBS377" s="10"/>
      <c r="OBT377" s="10"/>
      <c r="OBU377" s="21"/>
      <c r="OBV377" s="21"/>
      <c r="OBY377" s="21"/>
      <c r="OBZ377" s="15"/>
      <c r="OCA377" s="15"/>
      <c r="OCB377" s="15"/>
      <c r="OCC377" s="15"/>
      <c r="OCD377" s="15"/>
      <c r="OCE377" s="15"/>
      <c r="OCF377" s="15"/>
      <c r="OCG377" s="15"/>
      <c r="OCH377" s="15"/>
      <c r="OCI377" s="15"/>
      <c r="OCJ377" s="10"/>
      <c r="OCK377" s="10"/>
      <c r="OCL377" s="21"/>
      <c r="OCM377" s="21"/>
      <c r="OCP377" s="21"/>
      <c r="OCQ377" s="15"/>
      <c r="OCR377" s="15"/>
      <c r="OCS377" s="15"/>
      <c r="OCT377" s="15"/>
      <c r="OCU377" s="15"/>
      <c r="OCV377" s="15"/>
      <c r="OCW377" s="15"/>
      <c r="OCX377" s="15"/>
      <c r="OCY377" s="15"/>
      <c r="OCZ377" s="15"/>
      <c r="ODA377" s="10"/>
      <c r="ODB377" s="10"/>
      <c r="ODC377" s="21"/>
      <c r="ODD377" s="21"/>
      <c r="ODG377" s="21"/>
      <c r="ODH377" s="15"/>
      <c r="ODI377" s="15"/>
      <c r="ODJ377" s="15"/>
      <c r="ODK377" s="15"/>
      <c r="ODL377" s="15"/>
      <c r="ODM377" s="15"/>
      <c r="ODN377" s="15"/>
      <c r="ODO377" s="15"/>
      <c r="ODP377" s="15"/>
      <c r="ODQ377" s="15"/>
      <c r="ODR377" s="10"/>
      <c r="ODS377" s="10"/>
      <c r="ODT377" s="21"/>
      <c r="ODU377" s="21"/>
      <c r="ODX377" s="21"/>
      <c r="ODY377" s="15"/>
      <c r="ODZ377" s="15"/>
      <c r="OEA377" s="15"/>
      <c r="OEB377" s="15"/>
      <c r="OEC377" s="15"/>
      <c r="OED377" s="15"/>
      <c r="OEE377" s="15"/>
      <c r="OEF377" s="15"/>
      <c r="OEG377" s="15"/>
      <c r="OEH377" s="15"/>
      <c r="OEI377" s="10"/>
      <c r="OEJ377" s="10"/>
      <c r="OEK377" s="21"/>
      <c r="OEL377" s="21"/>
      <c r="OEO377" s="21"/>
      <c r="OEP377" s="15"/>
      <c r="OEQ377" s="15"/>
      <c r="OER377" s="15"/>
      <c r="OES377" s="15"/>
      <c r="OET377" s="15"/>
      <c r="OEU377" s="15"/>
      <c r="OEV377" s="15"/>
      <c r="OEW377" s="15"/>
      <c r="OEX377" s="15"/>
      <c r="OEY377" s="15"/>
      <c r="OEZ377" s="10"/>
      <c r="OFA377" s="10"/>
      <c r="OFB377" s="21"/>
      <c r="OFC377" s="21"/>
      <c r="OFF377" s="21"/>
      <c r="OFG377" s="15"/>
      <c r="OFH377" s="15"/>
      <c r="OFI377" s="15"/>
      <c r="OFJ377" s="15"/>
      <c r="OFK377" s="15"/>
      <c r="OFL377" s="15"/>
      <c r="OFM377" s="15"/>
      <c r="OFN377" s="15"/>
      <c r="OFO377" s="15"/>
      <c r="OFP377" s="15"/>
      <c r="OFQ377" s="10"/>
      <c r="OFR377" s="10"/>
      <c r="OFS377" s="21"/>
      <c r="OFT377" s="21"/>
      <c r="OFW377" s="21"/>
      <c r="OFX377" s="15"/>
      <c r="OFY377" s="15"/>
      <c r="OFZ377" s="15"/>
      <c r="OGA377" s="15"/>
      <c r="OGB377" s="15"/>
      <c r="OGC377" s="15"/>
      <c r="OGD377" s="15"/>
      <c r="OGE377" s="15"/>
      <c r="OGF377" s="15"/>
      <c r="OGG377" s="15"/>
      <c r="OGH377" s="10"/>
      <c r="OGI377" s="10"/>
      <c r="OGJ377" s="21"/>
      <c r="OGK377" s="21"/>
      <c r="OGN377" s="21"/>
      <c r="OGO377" s="15"/>
      <c r="OGP377" s="15"/>
      <c r="OGQ377" s="15"/>
      <c r="OGR377" s="15"/>
      <c r="OGS377" s="15"/>
      <c r="OGT377" s="15"/>
      <c r="OGU377" s="15"/>
      <c r="OGV377" s="15"/>
      <c r="OGW377" s="15"/>
      <c r="OGX377" s="15"/>
      <c r="OGY377" s="10"/>
      <c r="OGZ377" s="10"/>
      <c r="OHA377" s="21"/>
      <c r="OHB377" s="21"/>
      <c r="OHE377" s="21"/>
      <c r="OHF377" s="15"/>
      <c r="OHG377" s="15"/>
      <c r="OHH377" s="15"/>
      <c r="OHI377" s="15"/>
      <c r="OHJ377" s="15"/>
      <c r="OHK377" s="15"/>
      <c r="OHL377" s="15"/>
      <c r="OHM377" s="15"/>
      <c r="OHN377" s="15"/>
      <c r="OHO377" s="15"/>
      <c r="OHP377" s="10"/>
      <c r="OHQ377" s="10"/>
      <c r="OHR377" s="21"/>
      <c r="OHS377" s="21"/>
      <c r="OHV377" s="21"/>
      <c r="OHW377" s="15"/>
      <c r="OHX377" s="15"/>
      <c r="OHY377" s="15"/>
      <c r="OHZ377" s="15"/>
      <c r="OIA377" s="15"/>
      <c r="OIB377" s="15"/>
      <c r="OIC377" s="15"/>
      <c r="OID377" s="15"/>
      <c r="OIE377" s="15"/>
      <c r="OIF377" s="15"/>
      <c r="OIG377" s="10"/>
      <c r="OIH377" s="10"/>
      <c r="OII377" s="21"/>
      <c r="OIJ377" s="21"/>
      <c r="OIM377" s="21"/>
      <c r="OIN377" s="15"/>
      <c r="OIO377" s="15"/>
      <c r="OIP377" s="15"/>
      <c r="OIQ377" s="15"/>
      <c r="OIR377" s="15"/>
      <c r="OIS377" s="15"/>
      <c r="OIT377" s="15"/>
      <c r="OIU377" s="15"/>
      <c r="OIV377" s="15"/>
      <c r="OIW377" s="15"/>
      <c r="OIX377" s="10"/>
      <c r="OIY377" s="10"/>
      <c r="OIZ377" s="21"/>
      <c r="OJA377" s="21"/>
      <c r="OJD377" s="21"/>
      <c r="OJE377" s="15"/>
      <c r="OJF377" s="15"/>
      <c r="OJG377" s="15"/>
      <c r="OJH377" s="15"/>
      <c r="OJI377" s="15"/>
      <c r="OJJ377" s="15"/>
      <c r="OJK377" s="15"/>
      <c r="OJL377" s="15"/>
      <c r="OJM377" s="15"/>
      <c r="OJN377" s="15"/>
      <c r="OJO377" s="10"/>
      <c r="OJP377" s="10"/>
      <c r="OJQ377" s="21"/>
      <c r="OJR377" s="21"/>
      <c r="OJU377" s="21"/>
      <c r="OJV377" s="15"/>
      <c r="OJW377" s="15"/>
      <c r="OJX377" s="15"/>
      <c r="OJY377" s="15"/>
      <c r="OJZ377" s="15"/>
      <c r="OKA377" s="15"/>
      <c r="OKB377" s="15"/>
      <c r="OKC377" s="15"/>
      <c r="OKD377" s="15"/>
      <c r="OKE377" s="15"/>
      <c r="OKF377" s="10"/>
      <c r="OKG377" s="10"/>
      <c r="OKH377" s="21"/>
      <c r="OKI377" s="21"/>
      <c r="OKL377" s="21"/>
      <c r="OKM377" s="15"/>
      <c r="OKN377" s="15"/>
      <c r="OKO377" s="15"/>
      <c r="OKP377" s="15"/>
      <c r="OKQ377" s="15"/>
      <c r="OKR377" s="15"/>
      <c r="OKS377" s="15"/>
      <c r="OKT377" s="15"/>
      <c r="OKU377" s="15"/>
      <c r="OKV377" s="15"/>
      <c r="OKW377" s="10"/>
      <c r="OKX377" s="10"/>
      <c r="OKY377" s="21"/>
      <c r="OKZ377" s="21"/>
      <c r="OLC377" s="21"/>
      <c r="OLD377" s="15"/>
      <c r="OLE377" s="15"/>
      <c r="OLF377" s="15"/>
      <c r="OLG377" s="15"/>
      <c r="OLH377" s="15"/>
      <c r="OLI377" s="15"/>
      <c r="OLJ377" s="15"/>
      <c r="OLK377" s="15"/>
      <c r="OLL377" s="15"/>
      <c r="OLM377" s="15"/>
      <c r="OLN377" s="10"/>
      <c r="OLO377" s="10"/>
      <c r="OLP377" s="21"/>
      <c r="OLQ377" s="21"/>
      <c r="OLT377" s="21"/>
      <c r="OLU377" s="15"/>
      <c r="OLV377" s="15"/>
      <c r="OLW377" s="15"/>
      <c r="OLX377" s="15"/>
      <c r="OLY377" s="15"/>
      <c r="OLZ377" s="15"/>
      <c r="OMA377" s="15"/>
      <c r="OMB377" s="15"/>
      <c r="OMC377" s="15"/>
      <c r="OMD377" s="15"/>
      <c r="OME377" s="10"/>
      <c r="OMF377" s="10"/>
      <c r="OMG377" s="21"/>
      <c r="OMH377" s="21"/>
      <c r="OMK377" s="21"/>
      <c r="OML377" s="15"/>
      <c r="OMM377" s="15"/>
      <c r="OMN377" s="15"/>
      <c r="OMO377" s="15"/>
      <c r="OMP377" s="15"/>
      <c r="OMQ377" s="15"/>
      <c r="OMR377" s="15"/>
      <c r="OMS377" s="15"/>
      <c r="OMT377" s="15"/>
      <c r="OMU377" s="15"/>
      <c r="OMV377" s="10"/>
      <c r="OMW377" s="10"/>
      <c r="OMX377" s="21"/>
      <c r="OMY377" s="21"/>
      <c r="ONB377" s="21"/>
      <c r="ONC377" s="15"/>
      <c r="OND377" s="15"/>
      <c r="ONE377" s="15"/>
      <c r="ONF377" s="15"/>
      <c r="ONG377" s="15"/>
      <c r="ONH377" s="15"/>
      <c r="ONI377" s="15"/>
      <c r="ONJ377" s="15"/>
      <c r="ONK377" s="15"/>
      <c r="ONL377" s="15"/>
      <c r="ONM377" s="10"/>
      <c r="ONN377" s="10"/>
      <c r="ONO377" s="21"/>
      <c r="ONP377" s="21"/>
      <c r="ONS377" s="21"/>
      <c r="ONT377" s="15"/>
      <c r="ONU377" s="15"/>
      <c r="ONV377" s="15"/>
      <c r="ONW377" s="15"/>
      <c r="ONX377" s="15"/>
      <c r="ONY377" s="15"/>
      <c r="ONZ377" s="15"/>
      <c r="OOA377" s="15"/>
      <c r="OOB377" s="15"/>
      <c r="OOC377" s="15"/>
      <c r="OOD377" s="10"/>
      <c r="OOE377" s="10"/>
      <c r="OOF377" s="21"/>
      <c r="OOG377" s="21"/>
      <c r="OOJ377" s="21"/>
      <c r="OOK377" s="15"/>
      <c r="OOL377" s="15"/>
      <c r="OOM377" s="15"/>
      <c r="OON377" s="15"/>
      <c r="OOO377" s="15"/>
      <c r="OOP377" s="15"/>
      <c r="OOQ377" s="15"/>
      <c r="OOR377" s="15"/>
      <c r="OOS377" s="15"/>
      <c r="OOT377" s="15"/>
      <c r="OOU377" s="10"/>
      <c r="OOV377" s="10"/>
      <c r="OOW377" s="21"/>
      <c r="OOX377" s="21"/>
      <c r="OPA377" s="21"/>
      <c r="OPB377" s="15"/>
      <c r="OPC377" s="15"/>
      <c r="OPD377" s="15"/>
      <c r="OPE377" s="15"/>
      <c r="OPF377" s="15"/>
      <c r="OPG377" s="15"/>
      <c r="OPH377" s="15"/>
      <c r="OPI377" s="15"/>
      <c r="OPJ377" s="15"/>
      <c r="OPK377" s="15"/>
      <c r="OPL377" s="10"/>
      <c r="OPM377" s="10"/>
      <c r="OPN377" s="21"/>
      <c r="OPO377" s="21"/>
      <c r="OPR377" s="21"/>
      <c r="OPS377" s="15"/>
      <c r="OPT377" s="15"/>
      <c r="OPU377" s="15"/>
      <c r="OPV377" s="15"/>
      <c r="OPW377" s="15"/>
      <c r="OPX377" s="15"/>
      <c r="OPY377" s="15"/>
      <c r="OPZ377" s="15"/>
      <c r="OQA377" s="15"/>
      <c r="OQB377" s="15"/>
      <c r="OQC377" s="10"/>
      <c r="OQD377" s="10"/>
      <c r="OQE377" s="21"/>
      <c r="OQF377" s="21"/>
      <c r="OQI377" s="21"/>
      <c r="OQJ377" s="15"/>
      <c r="OQK377" s="15"/>
      <c r="OQL377" s="15"/>
      <c r="OQM377" s="15"/>
      <c r="OQN377" s="15"/>
      <c r="OQO377" s="15"/>
      <c r="OQP377" s="15"/>
      <c r="OQQ377" s="15"/>
      <c r="OQR377" s="15"/>
      <c r="OQS377" s="15"/>
      <c r="OQT377" s="10"/>
      <c r="OQU377" s="10"/>
      <c r="OQV377" s="21"/>
      <c r="OQW377" s="21"/>
      <c r="OQZ377" s="21"/>
      <c r="ORA377" s="15"/>
      <c r="ORB377" s="15"/>
      <c r="ORC377" s="15"/>
      <c r="ORD377" s="15"/>
      <c r="ORE377" s="15"/>
      <c r="ORF377" s="15"/>
      <c r="ORG377" s="15"/>
      <c r="ORH377" s="15"/>
      <c r="ORI377" s="15"/>
      <c r="ORJ377" s="15"/>
      <c r="ORK377" s="10"/>
      <c r="ORL377" s="10"/>
      <c r="ORM377" s="21"/>
      <c r="ORN377" s="21"/>
      <c r="ORQ377" s="21"/>
      <c r="ORR377" s="15"/>
      <c r="ORS377" s="15"/>
      <c r="ORT377" s="15"/>
      <c r="ORU377" s="15"/>
      <c r="ORV377" s="15"/>
      <c r="ORW377" s="15"/>
      <c r="ORX377" s="15"/>
      <c r="ORY377" s="15"/>
      <c r="ORZ377" s="15"/>
      <c r="OSA377" s="15"/>
      <c r="OSB377" s="10"/>
      <c r="OSC377" s="10"/>
      <c r="OSD377" s="21"/>
      <c r="OSE377" s="21"/>
      <c r="OSH377" s="21"/>
      <c r="OSI377" s="15"/>
      <c r="OSJ377" s="15"/>
      <c r="OSK377" s="15"/>
      <c r="OSL377" s="15"/>
      <c r="OSM377" s="15"/>
      <c r="OSN377" s="15"/>
      <c r="OSO377" s="15"/>
      <c r="OSP377" s="15"/>
      <c r="OSQ377" s="15"/>
      <c r="OSR377" s="15"/>
      <c r="OSS377" s="10"/>
      <c r="OST377" s="10"/>
      <c r="OSU377" s="21"/>
      <c r="OSV377" s="21"/>
      <c r="OSY377" s="21"/>
      <c r="OSZ377" s="15"/>
      <c r="OTA377" s="15"/>
      <c r="OTB377" s="15"/>
      <c r="OTC377" s="15"/>
      <c r="OTD377" s="15"/>
      <c r="OTE377" s="15"/>
      <c r="OTF377" s="15"/>
      <c r="OTG377" s="15"/>
      <c r="OTH377" s="15"/>
      <c r="OTI377" s="15"/>
      <c r="OTJ377" s="10"/>
      <c r="OTK377" s="10"/>
      <c r="OTL377" s="21"/>
      <c r="OTM377" s="21"/>
      <c r="OTP377" s="21"/>
      <c r="OTQ377" s="15"/>
      <c r="OTR377" s="15"/>
      <c r="OTS377" s="15"/>
      <c r="OTT377" s="15"/>
      <c r="OTU377" s="15"/>
      <c r="OTV377" s="15"/>
      <c r="OTW377" s="15"/>
      <c r="OTX377" s="15"/>
      <c r="OTY377" s="15"/>
      <c r="OTZ377" s="15"/>
      <c r="OUA377" s="10"/>
      <c r="OUB377" s="10"/>
      <c r="OUC377" s="21"/>
      <c r="OUD377" s="21"/>
      <c r="OUG377" s="21"/>
      <c r="OUH377" s="15"/>
      <c r="OUI377" s="15"/>
      <c r="OUJ377" s="15"/>
      <c r="OUK377" s="15"/>
      <c r="OUL377" s="15"/>
      <c r="OUM377" s="15"/>
      <c r="OUN377" s="15"/>
      <c r="OUO377" s="15"/>
      <c r="OUP377" s="15"/>
      <c r="OUQ377" s="15"/>
      <c r="OUR377" s="10"/>
      <c r="OUS377" s="10"/>
      <c r="OUT377" s="21"/>
      <c r="OUU377" s="21"/>
      <c r="OUX377" s="21"/>
      <c r="OUY377" s="15"/>
      <c r="OUZ377" s="15"/>
      <c r="OVA377" s="15"/>
      <c r="OVB377" s="15"/>
      <c r="OVC377" s="15"/>
      <c r="OVD377" s="15"/>
      <c r="OVE377" s="15"/>
      <c r="OVF377" s="15"/>
      <c r="OVG377" s="15"/>
      <c r="OVH377" s="15"/>
      <c r="OVI377" s="10"/>
      <c r="OVJ377" s="10"/>
      <c r="OVK377" s="21"/>
      <c r="OVL377" s="21"/>
      <c r="OVO377" s="21"/>
      <c r="OVP377" s="15"/>
      <c r="OVQ377" s="15"/>
      <c r="OVR377" s="15"/>
      <c r="OVS377" s="15"/>
      <c r="OVT377" s="15"/>
      <c r="OVU377" s="15"/>
      <c r="OVV377" s="15"/>
      <c r="OVW377" s="15"/>
      <c r="OVX377" s="15"/>
      <c r="OVY377" s="15"/>
      <c r="OVZ377" s="10"/>
      <c r="OWA377" s="10"/>
      <c r="OWB377" s="21"/>
      <c r="OWC377" s="21"/>
      <c r="OWF377" s="21"/>
      <c r="OWG377" s="15"/>
      <c r="OWH377" s="15"/>
      <c r="OWI377" s="15"/>
      <c r="OWJ377" s="15"/>
      <c r="OWK377" s="15"/>
      <c r="OWL377" s="15"/>
      <c r="OWM377" s="15"/>
      <c r="OWN377" s="15"/>
      <c r="OWO377" s="15"/>
      <c r="OWP377" s="15"/>
      <c r="OWQ377" s="10"/>
      <c r="OWR377" s="10"/>
      <c r="OWS377" s="21"/>
      <c r="OWT377" s="21"/>
      <c r="OWW377" s="21"/>
      <c r="OWX377" s="15"/>
      <c r="OWY377" s="15"/>
      <c r="OWZ377" s="15"/>
      <c r="OXA377" s="15"/>
      <c r="OXB377" s="15"/>
      <c r="OXC377" s="15"/>
      <c r="OXD377" s="15"/>
      <c r="OXE377" s="15"/>
      <c r="OXF377" s="15"/>
      <c r="OXG377" s="15"/>
      <c r="OXH377" s="10"/>
      <c r="OXI377" s="10"/>
      <c r="OXJ377" s="21"/>
      <c r="OXK377" s="21"/>
      <c r="OXN377" s="21"/>
      <c r="OXO377" s="15"/>
      <c r="OXP377" s="15"/>
      <c r="OXQ377" s="15"/>
      <c r="OXR377" s="15"/>
      <c r="OXS377" s="15"/>
      <c r="OXT377" s="15"/>
      <c r="OXU377" s="15"/>
      <c r="OXV377" s="15"/>
      <c r="OXW377" s="15"/>
      <c r="OXX377" s="15"/>
      <c r="OXY377" s="10"/>
      <c r="OXZ377" s="10"/>
      <c r="OYA377" s="21"/>
      <c r="OYB377" s="21"/>
      <c r="OYE377" s="21"/>
      <c r="OYF377" s="15"/>
      <c r="OYG377" s="15"/>
      <c r="OYH377" s="15"/>
      <c r="OYI377" s="15"/>
      <c r="OYJ377" s="15"/>
      <c r="OYK377" s="15"/>
      <c r="OYL377" s="15"/>
      <c r="OYM377" s="15"/>
      <c r="OYN377" s="15"/>
      <c r="OYO377" s="15"/>
      <c r="OYP377" s="10"/>
      <c r="OYQ377" s="10"/>
      <c r="OYR377" s="21"/>
      <c r="OYS377" s="21"/>
      <c r="OYV377" s="21"/>
      <c r="OYW377" s="15"/>
      <c r="OYX377" s="15"/>
      <c r="OYY377" s="15"/>
      <c r="OYZ377" s="15"/>
      <c r="OZA377" s="15"/>
      <c r="OZB377" s="15"/>
      <c r="OZC377" s="15"/>
      <c r="OZD377" s="15"/>
      <c r="OZE377" s="15"/>
      <c r="OZF377" s="15"/>
      <c r="OZG377" s="10"/>
      <c r="OZH377" s="10"/>
      <c r="OZI377" s="21"/>
      <c r="OZJ377" s="21"/>
      <c r="OZM377" s="21"/>
      <c r="OZN377" s="15"/>
      <c r="OZO377" s="15"/>
      <c r="OZP377" s="15"/>
      <c r="OZQ377" s="15"/>
      <c r="OZR377" s="15"/>
      <c r="OZS377" s="15"/>
      <c r="OZT377" s="15"/>
      <c r="OZU377" s="15"/>
      <c r="OZV377" s="15"/>
      <c r="OZW377" s="15"/>
      <c r="OZX377" s="10"/>
      <c r="OZY377" s="10"/>
      <c r="OZZ377" s="21"/>
      <c r="PAA377" s="21"/>
      <c r="PAD377" s="21"/>
      <c r="PAE377" s="15"/>
      <c r="PAF377" s="15"/>
      <c r="PAG377" s="15"/>
      <c r="PAH377" s="15"/>
      <c r="PAI377" s="15"/>
      <c r="PAJ377" s="15"/>
      <c r="PAK377" s="15"/>
      <c r="PAL377" s="15"/>
      <c r="PAM377" s="15"/>
      <c r="PAN377" s="15"/>
      <c r="PAO377" s="10"/>
      <c r="PAP377" s="10"/>
      <c r="PAQ377" s="21"/>
      <c r="PAR377" s="21"/>
      <c r="PAU377" s="21"/>
      <c r="PAV377" s="15"/>
      <c r="PAW377" s="15"/>
      <c r="PAX377" s="15"/>
      <c r="PAY377" s="15"/>
      <c r="PAZ377" s="15"/>
      <c r="PBA377" s="15"/>
      <c r="PBB377" s="15"/>
      <c r="PBC377" s="15"/>
      <c r="PBD377" s="15"/>
      <c r="PBE377" s="15"/>
      <c r="PBF377" s="10"/>
      <c r="PBG377" s="10"/>
      <c r="PBH377" s="21"/>
      <c r="PBI377" s="21"/>
      <c r="PBL377" s="21"/>
      <c r="PBM377" s="15"/>
      <c r="PBN377" s="15"/>
      <c r="PBO377" s="15"/>
      <c r="PBP377" s="15"/>
      <c r="PBQ377" s="15"/>
      <c r="PBR377" s="15"/>
      <c r="PBS377" s="15"/>
      <c r="PBT377" s="15"/>
      <c r="PBU377" s="15"/>
      <c r="PBV377" s="15"/>
      <c r="PBW377" s="10"/>
      <c r="PBX377" s="10"/>
      <c r="PBY377" s="21"/>
      <c r="PBZ377" s="21"/>
      <c r="PCC377" s="21"/>
      <c r="PCD377" s="15"/>
      <c r="PCE377" s="15"/>
      <c r="PCF377" s="15"/>
      <c r="PCG377" s="15"/>
      <c r="PCH377" s="15"/>
      <c r="PCI377" s="15"/>
      <c r="PCJ377" s="15"/>
      <c r="PCK377" s="15"/>
      <c r="PCL377" s="15"/>
      <c r="PCM377" s="15"/>
      <c r="PCN377" s="10"/>
      <c r="PCO377" s="10"/>
      <c r="PCP377" s="21"/>
      <c r="PCQ377" s="21"/>
      <c r="PCT377" s="21"/>
      <c r="PCU377" s="15"/>
      <c r="PCV377" s="15"/>
      <c r="PCW377" s="15"/>
      <c r="PCX377" s="15"/>
      <c r="PCY377" s="15"/>
      <c r="PCZ377" s="15"/>
      <c r="PDA377" s="15"/>
      <c r="PDB377" s="15"/>
      <c r="PDC377" s="15"/>
      <c r="PDD377" s="15"/>
      <c r="PDE377" s="10"/>
      <c r="PDF377" s="10"/>
      <c r="PDG377" s="21"/>
      <c r="PDH377" s="21"/>
      <c r="PDK377" s="21"/>
      <c r="PDL377" s="15"/>
      <c r="PDM377" s="15"/>
      <c r="PDN377" s="15"/>
      <c r="PDO377" s="15"/>
      <c r="PDP377" s="15"/>
      <c r="PDQ377" s="15"/>
      <c r="PDR377" s="15"/>
      <c r="PDS377" s="15"/>
      <c r="PDT377" s="15"/>
      <c r="PDU377" s="15"/>
      <c r="PDV377" s="10"/>
      <c r="PDW377" s="10"/>
      <c r="PDX377" s="21"/>
      <c r="PDY377" s="21"/>
      <c r="PEB377" s="21"/>
      <c r="PEC377" s="15"/>
      <c r="PED377" s="15"/>
      <c r="PEE377" s="15"/>
      <c r="PEF377" s="15"/>
      <c r="PEG377" s="15"/>
      <c r="PEH377" s="15"/>
      <c r="PEI377" s="15"/>
      <c r="PEJ377" s="15"/>
      <c r="PEK377" s="15"/>
      <c r="PEL377" s="15"/>
      <c r="PEM377" s="10"/>
      <c r="PEN377" s="10"/>
      <c r="PEO377" s="21"/>
      <c r="PEP377" s="21"/>
      <c r="PES377" s="21"/>
      <c r="PET377" s="15"/>
      <c r="PEU377" s="15"/>
      <c r="PEV377" s="15"/>
      <c r="PEW377" s="15"/>
      <c r="PEX377" s="15"/>
      <c r="PEY377" s="15"/>
      <c r="PEZ377" s="15"/>
      <c r="PFA377" s="15"/>
      <c r="PFB377" s="15"/>
      <c r="PFC377" s="15"/>
      <c r="PFD377" s="10"/>
      <c r="PFE377" s="10"/>
      <c r="PFF377" s="21"/>
      <c r="PFG377" s="21"/>
      <c r="PFJ377" s="21"/>
      <c r="PFK377" s="15"/>
      <c r="PFL377" s="15"/>
      <c r="PFM377" s="15"/>
      <c r="PFN377" s="15"/>
      <c r="PFO377" s="15"/>
      <c r="PFP377" s="15"/>
      <c r="PFQ377" s="15"/>
      <c r="PFR377" s="15"/>
      <c r="PFS377" s="15"/>
      <c r="PFT377" s="15"/>
      <c r="PFU377" s="10"/>
      <c r="PFV377" s="10"/>
      <c r="PFW377" s="21"/>
      <c r="PFX377" s="21"/>
      <c r="PGA377" s="21"/>
      <c r="PGB377" s="15"/>
      <c r="PGC377" s="15"/>
      <c r="PGD377" s="15"/>
      <c r="PGE377" s="15"/>
      <c r="PGF377" s="15"/>
      <c r="PGG377" s="15"/>
      <c r="PGH377" s="15"/>
      <c r="PGI377" s="15"/>
      <c r="PGJ377" s="15"/>
      <c r="PGK377" s="15"/>
      <c r="PGL377" s="10"/>
      <c r="PGM377" s="10"/>
      <c r="PGN377" s="21"/>
      <c r="PGO377" s="21"/>
      <c r="PGR377" s="21"/>
      <c r="PGS377" s="15"/>
      <c r="PGT377" s="15"/>
      <c r="PGU377" s="15"/>
      <c r="PGV377" s="15"/>
      <c r="PGW377" s="15"/>
      <c r="PGX377" s="15"/>
      <c r="PGY377" s="15"/>
      <c r="PGZ377" s="15"/>
      <c r="PHA377" s="15"/>
      <c r="PHB377" s="15"/>
      <c r="PHC377" s="10"/>
      <c r="PHD377" s="10"/>
      <c r="PHE377" s="21"/>
      <c r="PHF377" s="21"/>
      <c r="PHI377" s="21"/>
      <c r="PHJ377" s="15"/>
      <c r="PHK377" s="15"/>
      <c r="PHL377" s="15"/>
      <c r="PHM377" s="15"/>
      <c r="PHN377" s="15"/>
      <c r="PHO377" s="15"/>
      <c r="PHP377" s="15"/>
      <c r="PHQ377" s="15"/>
      <c r="PHR377" s="15"/>
      <c r="PHS377" s="15"/>
      <c r="PHT377" s="10"/>
      <c r="PHU377" s="10"/>
      <c r="PHV377" s="21"/>
      <c r="PHW377" s="21"/>
      <c r="PHZ377" s="21"/>
      <c r="PIA377" s="15"/>
      <c r="PIB377" s="15"/>
      <c r="PIC377" s="15"/>
      <c r="PID377" s="15"/>
      <c r="PIE377" s="15"/>
      <c r="PIF377" s="15"/>
      <c r="PIG377" s="15"/>
      <c r="PIH377" s="15"/>
      <c r="PII377" s="15"/>
      <c r="PIJ377" s="15"/>
      <c r="PIK377" s="10"/>
      <c r="PIL377" s="10"/>
      <c r="PIM377" s="21"/>
      <c r="PIN377" s="21"/>
      <c r="PIQ377" s="21"/>
      <c r="PIR377" s="15"/>
      <c r="PIS377" s="15"/>
      <c r="PIT377" s="15"/>
      <c r="PIU377" s="15"/>
      <c r="PIV377" s="15"/>
      <c r="PIW377" s="15"/>
      <c r="PIX377" s="15"/>
      <c r="PIY377" s="15"/>
      <c r="PIZ377" s="15"/>
      <c r="PJA377" s="15"/>
      <c r="PJB377" s="10"/>
      <c r="PJC377" s="10"/>
      <c r="PJD377" s="21"/>
      <c r="PJE377" s="21"/>
      <c r="PJH377" s="21"/>
      <c r="PJI377" s="15"/>
      <c r="PJJ377" s="15"/>
      <c r="PJK377" s="15"/>
      <c r="PJL377" s="15"/>
      <c r="PJM377" s="15"/>
      <c r="PJN377" s="15"/>
      <c r="PJO377" s="15"/>
      <c r="PJP377" s="15"/>
      <c r="PJQ377" s="15"/>
      <c r="PJR377" s="15"/>
      <c r="PJS377" s="10"/>
      <c r="PJT377" s="10"/>
      <c r="PJU377" s="21"/>
      <c r="PJV377" s="21"/>
      <c r="PJY377" s="21"/>
      <c r="PJZ377" s="15"/>
      <c r="PKA377" s="15"/>
      <c r="PKB377" s="15"/>
      <c r="PKC377" s="15"/>
      <c r="PKD377" s="15"/>
      <c r="PKE377" s="15"/>
      <c r="PKF377" s="15"/>
      <c r="PKG377" s="15"/>
      <c r="PKH377" s="15"/>
      <c r="PKI377" s="15"/>
      <c r="PKJ377" s="10"/>
      <c r="PKK377" s="10"/>
      <c r="PKL377" s="21"/>
      <c r="PKM377" s="21"/>
      <c r="PKP377" s="21"/>
      <c r="PKQ377" s="15"/>
      <c r="PKR377" s="15"/>
      <c r="PKS377" s="15"/>
      <c r="PKT377" s="15"/>
      <c r="PKU377" s="15"/>
      <c r="PKV377" s="15"/>
      <c r="PKW377" s="15"/>
      <c r="PKX377" s="15"/>
      <c r="PKY377" s="15"/>
      <c r="PKZ377" s="15"/>
      <c r="PLA377" s="10"/>
      <c r="PLB377" s="10"/>
      <c r="PLC377" s="21"/>
      <c r="PLD377" s="21"/>
      <c r="PLG377" s="21"/>
      <c r="PLH377" s="15"/>
      <c r="PLI377" s="15"/>
      <c r="PLJ377" s="15"/>
      <c r="PLK377" s="15"/>
      <c r="PLL377" s="15"/>
      <c r="PLM377" s="15"/>
      <c r="PLN377" s="15"/>
      <c r="PLO377" s="15"/>
      <c r="PLP377" s="15"/>
      <c r="PLQ377" s="15"/>
      <c r="PLR377" s="10"/>
      <c r="PLS377" s="10"/>
      <c r="PLT377" s="21"/>
      <c r="PLU377" s="21"/>
      <c r="PLX377" s="21"/>
      <c r="PLY377" s="15"/>
      <c r="PLZ377" s="15"/>
      <c r="PMA377" s="15"/>
      <c r="PMB377" s="15"/>
      <c r="PMC377" s="15"/>
      <c r="PMD377" s="15"/>
      <c r="PME377" s="15"/>
      <c r="PMF377" s="15"/>
      <c r="PMG377" s="15"/>
      <c r="PMH377" s="15"/>
      <c r="PMI377" s="10"/>
      <c r="PMJ377" s="10"/>
      <c r="PMK377" s="21"/>
      <c r="PML377" s="21"/>
      <c r="PMO377" s="21"/>
      <c r="PMP377" s="15"/>
      <c r="PMQ377" s="15"/>
      <c r="PMR377" s="15"/>
      <c r="PMS377" s="15"/>
      <c r="PMT377" s="15"/>
      <c r="PMU377" s="15"/>
      <c r="PMV377" s="15"/>
      <c r="PMW377" s="15"/>
      <c r="PMX377" s="15"/>
      <c r="PMY377" s="15"/>
      <c r="PMZ377" s="10"/>
      <c r="PNA377" s="10"/>
      <c r="PNB377" s="21"/>
      <c r="PNC377" s="21"/>
      <c r="PNF377" s="21"/>
      <c r="PNG377" s="15"/>
      <c r="PNH377" s="15"/>
      <c r="PNI377" s="15"/>
      <c r="PNJ377" s="15"/>
      <c r="PNK377" s="15"/>
      <c r="PNL377" s="15"/>
      <c r="PNM377" s="15"/>
      <c r="PNN377" s="15"/>
      <c r="PNO377" s="15"/>
      <c r="PNP377" s="15"/>
      <c r="PNQ377" s="10"/>
      <c r="PNR377" s="10"/>
      <c r="PNS377" s="21"/>
      <c r="PNT377" s="21"/>
      <c r="PNW377" s="21"/>
      <c r="PNX377" s="15"/>
      <c r="PNY377" s="15"/>
      <c r="PNZ377" s="15"/>
      <c r="POA377" s="15"/>
      <c r="POB377" s="15"/>
      <c r="POC377" s="15"/>
      <c r="POD377" s="15"/>
      <c r="POE377" s="15"/>
      <c r="POF377" s="15"/>
      <c r="POG377" s="15"/>
      <c r="POH377" s="10"/>
      <c r="POI377" s="10"/>
      <c r="POJ377" s="21"/>
      <c r="POK377" s="21"/>
      <c r="PON377" s="21"/>
      <c r="POO377" s="15"/>
      <c r="POP377" s="15"/>
      <c r="POQ377" s="15"/>
      <c r="POR377" s="15"/>
      <c r="POS377" s="15"/>
      <c r="POT377" s="15"/>
      <c r="POU377" s="15"/>
      <c r="POV377" s="15"/>
      <c r="POW377" s="15"/>
      <c r="POX377" s="15"/>
      <c r="POY377" s="10"/>
      <c r="POZ377" s="10"/>
      <c r="PPA377" s="21"/>
      <c r="PPB377" s="21"/>
      <c r="PPE377" s="21"/>
      <c r="PPF377" s="15"/>
      <c r="PPG377" s="15"/>
      <c r="PPH377" s="15"/>
      <c r="PPI377" s="15"/>
      <c r="PPJ377" s="15"/>
      <c r="PPK377" s="15"/>
      <c r="PPL377" s="15"/>
      <c r="PPM377" s="15"/>
      <c r="PPN377" s="15"/>
      <c r="PPO377" s="15"/>
      <c r="PPP377" s="10"/>
      <c r="PPQ377" s="10"/>
      <c r="PPR377" s="21"/>
      <c r="PPS377" s="21"/>
      <c r="PPV377" s="21"/>
      <c r="PPW377" s="15"/>
      <c r="PPX377" s="15"/>
      <c r="PPY377" s="15"/>
      <c r="PPZ377" s="15"/>
      <c r="PQA377" s="15"/>
      <c r="PQB377" s="15"/>
      <c r="PQC377" s="15"/>
      <c r="PQD377" s="15"/>
      <c r="PQE377" s="15"/>
      <c r="PQF377" s="15"/>
      <c r="PQG377" s="10"/>
      <c r="PQH377" s="10"/>
      <c r="PQI377" s="21"/>
      <c r="PQJ377" s="21"/>
      <c r="PQM377" s="21"/>
      <c r="PQN377" s="15"/>
      <c r="PQO377" s="15"/>
      <c r="PQP377" s="15"/>
      <c r="PQQ377" s="15"/>
      <c r="PQR377" s="15"/>
      <c r="PQS377" s="15"/>
      <c r="PQT377" s="15"/>
      <c r="PQU377" s="15"/>
      <c r="PQV377" s="15"/>
      <c r="PQW377" s="15"/>
      <c r="PQX377" s="10"/>
      <c r="PQY377" s="10"/>
      <c r="PQZ377" s="21"/>
      <c r="PRA377" s="21"/>
      <c r="PRD377" s="21"/>
      <c r="PRE377" s="15"/>
      <c r="PRF377" s="15"/>
      <c r="PRG377" s="15"/>
      <c r="PRH377" s="15"/>
      <c r="PRI377" s="15"/>
      <c r="PRJ377" s="15"/>
      <c r="PRK377" s="15"/>
      <c r="PRL377" s="15"/>
      <c r="PRM377" s="15"/>
      <c r="PRN377" s="15"/>
      <c r="PRO377" s="10"/>
      <c r="PRP377" s="10"/>
      <c r="PRQ377" s="21"/>
      <c r="PRR377" s="21"/>
      <c r="PRU377" s="21"/>
      <c r="PRV377" s="15"/>
      <c r="PRW377" s="15"/>
      <c r="PRX377" s="15"/>
      <c r="PRY377" s="15"/>
      <c r="PRZ377" s="15"/>
      <c r="PSA377" s="15"/>
      <c r="PSB377" s="15"/>
      <c r="PSC377" s="15"/>
      <c r="PSD377" s="15"/>
      <c r="PSE377" s="15"/>
      <c r="PSF377" s="10"/>
      <c r="PSG377" s="10"/>
      <c r="PSH377" s="21"/>
      <c r="PSI377" s="21"/>
      <c r="PSL377" s="21"/>
      <c r="PSM377" s="15"/>
      <c r="PSN377" s="15"/>
      <c r="PSO377" s="15"/>
      <c r="PSP377" s="15"/>
      <c r="PSQ377" s="15"/>
      <c r="PSR377" s="15"/>
      <c r="PSS377" s="15"/>
      <c r="PST377" s="15"/>
      <c r="PSU377" s="15"/>
      <c r="PSV377" s="15"/>
      <c r="PSW377" s="10"/>
      <c r="PSX377" s="10"/>
      <c r="PSY377" s="21"/>
      <c r="PSZ377" s="21"/>
      <c r="PTC377" s="21"/>
      <c r="PTD377" s="15"/>
      <c r="PTE377" s="15"/>
      <c r="PTF377" s="15"/>
      <c r="PTG377" s="15"/>
      <c r="PTH377" s="15"/>
      <c r="PTI377" s="15"/>
      <c r="PTJ377" s="15"/>
      <c r="PTK377" s="15"/>
      <c r="PTL377" s="15"/>
      <c r="PTM377" s="15"/>
      <c r="PTN377" s="10"/>
      <c r="PTO377" s="10"/>
      <c r="PTP377" s="21"/>
      <c r="PTQ377" s="21"/>
      <c r="PTT377" s="21"/>
      <c r="PTU377" s="15"/>
      <c r="PTV377" s="15"/>
      <c r="PTW377" s="15"/>
      <c r="PTX377" s="15"/>
      <c r="PTY377" s="15"/>
      <c r="PTZ377" s="15"/>
      <c r="PUA377" s="15"/>
      <c r="PUB377" s="15"/>
      <c r="PUC377" s="15"/>
      <c r="PUD377" s="15"/>
      <c r="PUE377" s="10"/>
      <c r="PUF377" s="10"/>
      <c r="PUG377" s="21"/>
      <c r="PUH377" s="21"/>
      <c r="PUK377" s="21"/>
      <c r="PUL377" s="15"/>
      <c r="PUM377" s="15"/>
      <c r="PUN377" s="15"/>
      <c r="PUO377" s="15"/>
      <c r="PUP377" s="15"/>
      <c r="PUQ377" s="15"/>
      <c r="PUR377" s="15"/>
      <c r="PUS377" s="15"/>
      <c r="PUT377" s="15"/>
      <c r="PUU377" s="15"/>
      <c r="PUV377" s="10"/>
      <c r="PUW377" s="10"/>
      <c r="PUX377" s="21"/>
      <c r="PUY377" s="21"/>
      <c r="PVB377" s="21"/>
      <c r="PVC377" s="15"/>
      <c r="PVD377" s="15"/>
      <c r="PVE377" s="15"/>
      <c r="PVF377" s="15"/>
      <c r="PVG377" s="15"/>
      <c r="PVH377" s="15"/>
      <c r="PVI377" s="15"/>
      <c r="PVJ377" s="15"/>
      <c r="PVK377" s="15"/>
      <c r="PVL377" s="15"/>
      <c r="PVM377" s="10"/>
      <c r="PVN377" s="10"/>
      <c r="PVO377" s="21"/>
      <c r="PVP377" s="21"/>
      <c r="PVS377" s="21"/>
      <c r="PVT377" s="15"/>
      <c r="PVU377" s="15"/>
      <c r="PVV377" s="15"/>
      <c r="PVW377" s="15"/>
      <c r="PVX377" s="15"/>
      <c r="PVY377" s="15"/>
      <c r="PVZ377" s="15"/>
      <c r="PWA377" s="15"/>
      <c r="PWB377" s="15"/>
      <c r="PWC377" s="15"/>
      <c r="PWD377" s="10"/>
      <c r="PWE377" s="10"/>
      <c r="PWF377" s="21"/>
      <c r="PWG377" s="21"/>
      <c r="PWJ377" s="21"/>
      <c r="PWK377" s="15"/>
      <c r="PWL377" s="15"/>
      <c r="PWM377" s="15"/>
      <c r="PWN377" s="15"/>
      <c r="PWO377" s="15"/>
      <c r="PWP377" s="15"/>
      <c r="PWQ377" s="15"/>
      <c r="PWR377" s="15"/>
      <c r="PWS377" s="15"/>
      <c r="PWT377" s="15"/>
      <c r="PWU377" s="10"/>
      <c r="PWV377" s="10"/>
      <c r="PWW377" s="21"/>
      <c r="PWX377" s="21"/>
      <c r="PXA377" s="21"/>
      <c r="PXB377" s="15"/>
      <c r="PXC377" s="15"/>
      <c r="PXD377" s="15"/>
      <c r="PXE377" s="15"/>
      <c r="PXF377" s="15"/>
      <c r="PXG377" s="15"/>
      <c r="PXH377" s="15"/>
      <c r="PXI377" s="15"/>
      <c r="PXJ377" s="15"/>
      <c r="PXK377" s="15"/>
      <c r="PXL377" s="10"/>
      <c r="PXM377" s="10"/>
      <c r="PXN377" s="21"/>
      <c r="PXO377" s="21"/>
      <c r="PXR377" s="21"/>
      <c r="PXS377" s="15"/>
      <c r="PXT377" s="15"/>
      <c r="PXU377" s="15"/>
      <c r="PXV377" s="15"/>
      <c r="PXW377" s="15"/>
      <c r="PXX377" s="15"/>
      <c r="PXY377" s="15"/>
      <c r="PXZ377" s="15"/>
      <c r="PYA377" s="15"/>
      <c r="PYB377" s="15"/>
      <c r="PYC377" s="10"/>
      <c r="PYD377" s="10"/>
      <c r="PYE377" s="21"/>
      <c r="PYF377" s="21"/>
      <c r="PYI377" s="21"/>
      <c r="PYJ377" s="15"/>
      <c r="PYK377" s="15"/>
      <c r="PYL377" s="15"/>
      <c r="PYM377" s="15"/>
      <c r="PYN377" s="15"/>
      <c r="PYO377" s="15"/>
      <c r="PYP377" s="15"/>
      <c r="PYQ377" s="15"/>
      <c r="PYR377" s="15"/>
      <c r="PYS377" s="15"/>
      <c r="PYT377" s="10"/>
      <c r="PYU377" s="10"/>
      <c r="PYV377" s="21"/>
      <c r="PYW377" s="21"/>
      <c r="PYZ377" s="21"/>
      <c r="PZA377" s="15"/>
      <c r="PZB377" s="15"/>
      <c r="PZC377" s="15"/>
      <c r="PZD377" s="15"/>
      <c r="PZE377" s="15"/>
      <c r="PZF377" s="15"/>
      <c r="PZG377" s="15"/>
      <c r="PZH377" s="15"/>
      <c r="PZI377" s="15"/>
      <c r="PZJ377" s="15"/>
      <c r="PZK377" s="10"/>
      <c r="PZL377" s="10"/>
      <c r="PZM377" s="21"/>
      <c r="PZN377" s="21"/>
      <c r="PZQ377" s="21"/>
      <c r="PZR377" s="15"/>
      <c r="PZS377" s="15"/>
      <c r="PZT377" s="15"/>
      <c r="PZU377" s="15"/>
      <c r="PZV377" s="15"/>
      <c r="PZW377" s="15"/>
      <c r="PZX377" s="15"/>
      <c r="PZY377" s="15"/>
      <c r="PZZ377" s="15"/>
      <c r="QAA377" s="15"/>
      <c r="QAB377" s="10"/>
      <c r="QAC377" s="10"/>
      <c r="QAD377" s="21"/>
      <c r="QAE377" s="21"/>
      <c r="QAH377" s="21"/>
      <c r="QAI377" s="15"/>
      <c r="QAJ377" s="15"/>
      <c r="QAK377" s="15"/>
      <c r="QAL377" s="15"/>
      <c r="QAM377" s="15"/>
      <c r="QAN377" s="15"/>
      <c r="QAO377" s="15"/>
      <c r="QAP377" s="15"/>
      <c r="QAQ377" s="15"/>
      <c r="QAR377" s="15"/>
      <c r="QAS377" s="10"/>
      <c r="QAT377" s="10"/>
      <c r="QAU377" s="21"/>
      <c r="QAV377" s="21"/>
      <c r="QAY377" s="21"/>
      <c r="QAZ377" s="15"/>
      <c r="QBA377" s="15"/>
      <c r="QBB377" s="15"/>
      <c r="QBC377" s="15"/>
      <c r="QBD377" s="15"/>
      <c r="QBE377" s="15"/>
      <c r="QBF377" s="15"/>
      <c r="QBG377" s="15"/>
      <c r="QBH377" s="15"/>
      <c r="QBI377" s="15"/>
      <c r="QBJ377" s="10"/>
      <c r="QBK377" s="10"/>
      <c r="QBL377" s="21"/>
      <c r="QBM377" s="21"/>
      <c r="QBP377" s="21"/>
      <c r="QBQ377" s="15"/>
      <c r="QBR377" s="15"/>
      <c r="QBS377" s="15"/>
      <c r="QBT377" s="15"/>
      <c r="QBU377" s="15"/>
      <c r="QBV377" s="15"/>
      <c r="QBW377" s="15"/>
      <c r="QBX377" s="15"/>
      <c r="QBY377" s="15"/>
      <c r="QBZ377" s="15"/>
      <c r="QCA377" s="10"/>
      <c r="QCB377" s="10"/>
      <c r="QCC377" s="21"/>
      <c r="QCD377" s="21"/>
      <c r="QCG377" s="21"/>
      <c r="QCH377" s="15"/>
      <c r="QCI377" s="15"/>
      <c r="QCJ377" s="15"/>
      <c r="QCK377" s="15"/>
      <c r="QCL377" s="15"/>
      <c r="QCM377" s="15"/>
      <c r="QCN377" s="15"/>
      <c r="QCO377" s="15"/>
      <c r="QCP377" s="15"/>
      <c r="QCQ377" s="15"/>
      <c r="QCR377" s="10"/>
      <c r="QCS377" s="10"/>
      <c r="QCT377" s="21"/>
      <c r="QCU377" s="21"/>
      <c r="QCX377" s="21"/>
      <c r="QCY377" s="15"/>
      <c r="QCZ377" s="15"/>
      <c r="QDA377" s="15"/>
      <c r="QDB377" s="15"/>
      <c r="QDC377" s="15"/>
      <c r="QDD377" s="15"/>
      <c r="QDE377" s="15"/>
      <c r="QDF377" s="15"/>
      <c r="QDG377" s="15"/>
      <c r="QDH377" s="15"/>
      <c r="QDI377" s="10"/>
      <c r="QDJ377" s="10"/>
      <c r="QDK377" s="21"/>
      <c r="QDL377" s="21"/>
      <c r="QDO377" s="21"/>
      <c r="QDP377" s="15"/>
      <c r="QDQ377" s="15"/>
      <c r="QDR377" s="15"/>
      <c r="QDS377" s="15"/>
      <c r="QDT377" s="15"/>
      <c r="QDU377" s="15"/>
      <c r="QDV377" s="15"/>
      <c r="QDW377" s="15"/>
      <c r="QDX377" s="15"/>
      <c r="QDY377" s="15"/>
      <c r="QDZ377" s="10"/>
      <c r="QEA377" s="10"/>
      <c r="QEB377" s="21"/>
      <c r="QEC377" s="21"/>
      <c r="QEF377" s="21"/>
      <c r="QEG377" s="15"/>
      <c r="QEH377" s="15"/>
      <c r="QEI377" s="15"/>
      <c r="QEJ377" s="15"/>
      <c r="QEK377" s="15"/>
      <c r="QEL377" s="15"/>
      <c r="QEM377" s="15"/>
      <c r="QEN377" s="15"/>
      <c r="QEO377" s="15"/>
      <c r="QEP377" s="15"/>
      <c r="QEQ377" s="10"/>
      <c r="QER377" s="10"/>
      <c r="QES377" s="21"/>
      <c r="QET377" s="21"/>
      <c r="QEW377" s="21"/>
      <c r="QEX377" s="15"/>
      <c r="QEY377" s="15"/>
      <c r="QEZ377" s="15"/>
      <c r="QFA377" s="15"/>
      <c r="QFB377" s="15"/>
      <c r="QFC377" s="15"/>
      <c r="QFD377" s="15"/>
      <c r="QFE377" s="15"/>
      <c r="QFF377" s="15"/>
      <c r="QFG377" s="15"/>
      <c r="QFH377" s="10"/>
      <c r="QFI377" s="10"/>
      <c r="QFJ377" s="21"/>
      <c r="QFK377" s="21"/>
      <c r="QFN377" s="21"/>
      <c r="QFO377" s="15"/>
      <c r="QFP377" s="15"/>
      <c r="QFQ377" s="15"/>
      <c r="QFR377" s="15"/>
      <c r="QFS377" s="15"/>
      <c r="QFT377" s="15"/>
      <c r="QFU377" s="15"/>
      <c r="QFV377" s="15"/>
      <c r="QFW377" s="15"/>
      <c r="QFX377" s="15"/>
      <c r="QFY377" s="10"/>
      <c r="QFZ377" s="10"/>
      <c r="QGA377" s="21"/>
      <c r="QGB377" s="21"/>
      <c r="QGE377" s="21"/>
      <c r="QGF377" s="15"/>
      <c r="QGG377" s="15"/>
      <c r="QGH377" s="15"/>
      <c r="QGI377" s="15"/>
      <c r="QGJ377" s="15"/>
      <c r="QGK377" s="15"/>
      <c r="QGL377" s="15"/>
      <c r="QGM377" s="15"/>
      <c r="QGN377" s="15"/>
      <c r="QGO377" s="15"/>
      <c r="QGP377" s="10"/>
      <c r="QGQ377" s="10"/>
      <c r="QGR377" s="21"/>
      <c r="QGS377" s="21"/>
      <c r="QGV377" s="21"/>
      <c r="QGW377" s="15"/>
      <c r="QGX377" s="15"/>
      <c r="QGY377" s="15"/>
      <c r="QGZ377" s="15"/>
      <c r="QHA377" s="15"/>
      <c r="QHB377" s="15"/>
      <c r="QHC377" s="15"/>
      <c r="QHD377" s="15"/>
      <c r="QHE377" s="15"/>
      <c r="QHF377" s="15"/>
      <c r="QHG377" s="10"/>
      <c r="QHH377" s="10"/>
      <c r="QHI377" s="21"/>
      <c r="QHJ377" s="21"/>
      <c r="QHM377" s="21"/>
      <c r="QHN377" s="15"/>
      <c r="QHO377" s="15"/>
      <c r="QHP377" s="15"/>
      <c r="QHQ377" s="15"/>
      <c r="QHR377" s="15"/>
      <c r="QHS377" s="15"/>
      <c r="QHT377" s="15"/>
      <c r="QHU377" s="15"/>
      <c r="QHV377" s="15"/>
      <c r="QHW377" s="15"/>
      <c r="QHX377" s="10"/>
      <c r="QHY377" s="10"/>
      <c r="QHZ377" s="21"/>
      <c r="QIA377" s="21"/>
      <c r="QID377" s="21"/>
      <c r="QIE377" s="15"/>
      <c r="QIF377" s="15"/>
      <c r="QIG377" s="15"/>
      <c r="QIH377" s="15"/>
      <c r="QII377" s="15"/>
      <c r="QIJ377" s="15"/>
      <c r="QIK377" s="15"/>
      <c r="QIL377" s="15"/>
      <c r="QIM377" s="15"/>
      <c r="QIN377" s="15"/>
      <c r="QIO377" s="10"/>
      <c r="QIP377" s="10"/>
      <c r="QIQ377" s="21"/>
      <c r="QIR377" s="21"/>
      <c r="QIU377" s="21"/>
      <c r="QIV377" s="15"/>
      <c r="QIW377" s="15"/>
      <c r="QIX377" s="15"/>
      <c r="QIY377" s="15"/>
      <c r="QIZ377" s="15"/>
      <c r="QJA377" s="15"/>
      <c r="QJB377" s="15"/>
      <c r="QJC377" s="15"/>
      <c r="QJD377" s="15"/>
      <c r="QJE377" s="15"/>
      <c r="QJF377" s="10"/>
      <c r="QJG377" s="10"/>
      <c r="QJH377" s="21"/>
      <c r="QJI377" s="21"/>
      <c r="QJL377" s="21"/>
      <c r="QJM377" s="15"/>
      <c r="QJN377" s="15"/>
      <c r="QJO377" s="15"/>
      <c r="QJP377" s="15"/>
      <c r="QJQ377" s="15"/>
      <c r="QJR377" s="15"/>
      <c r="QJS377" s="15"/>
      <c r="QJT377" s="15"/>
      <c r="QJU377" s="15"/>
      <c r="QJV377" s="15"/>
      <c r="QJW377" s="10"/>
      <c r="QJX377" s="10"/>
      <c r="QJY377" s="21"/>
      <c r="QJZ377" s="21"/>
      <c r="QKC377" s="21"/>
      <c r="QKD377" s="15"/>
      <c r="QKE377" s="15"/>
      <c r="QKF377" s="15"/>
      <c r="QKG377" s="15"/>
      <c r="QKH377" s="15"/>
      <c r="QKI377" s="15"/>
      <c r="QKJ377" s="15"/>
      <c r="QKK377" s="15"/>
      <c r="QKL377" s="15"/>
      <c r="QKM377" s="15"/>
      <c r="QKN377" s="10"/>
      <c r="QKO377" s="10"/>
      <c r="QKP377" s="21"/>
      <c r="QKQ377" s="21"/>
      <c r="QKT377" s="21"/>
      <c r="QKU377" s="15"/>
      <c r="QKV377" s="15"/>
      <c r="QKW377" s="15"/>
      <c r="QKX377" s="15"/>
      <c r="QKY377" s="15"/>
      <c r="QKZ377" s="15"/>
      <c r="QLA377" s="15"/>
      <c r="QLB377" s="15"/>
      <c r="QLC377" s="15"/>
      <c r="QLD377" s="15"/>
      <c r="QLE377" s="10"/>
      <c r="QLF377" s="10"/>
      <c r="QLG377" s="21"/>
      <c r="QLH377" s="21"/>
      <c r="QLK377" s="21"/>
      <c r="QLL377" s="15"/>
      <c r="QLM377" s="15"/>
      <c r="QLN377" s="15"/>
      <c r="QLO377" s="15"/>
      <c r="QLP377" s="15"/>
      <c r="QLQ377" s="15"/>
      <c r="QLR377" s="15"/>
      <c r="QLS377" s="15"/>
      <c r="QLT377" s="15"/>
      <c r="QLU377" s="15"/>
      <c r="QLV377" s="10"/>
      <c r="QLW377" s="10"/>
      <c r="QLX377" s="21"/>
      <c r="QLY377" s="21"/>
      <c r="QMB377" s="21"/>
      <c r="QMC377" s="15"/>
      <c r="QMD377" s="15"/>
      <c r="QME377" s="15"/>
      <c r="QMF377" s="15"/>
      <c r="QMG377" s="15"/>
      <c r="QMH377" s="15"/>
      <c r="QMI377" s="15"/>
      <c r="QMJ377" s="15"/>
      <c r="QMK377" s="15"/>
      <c r="QML377" s="15"/>
      <c r="QMM377" s="10"/>
      <c r="QMN377" s="10"/>
      <c r="QMO377" s="21"/>
      <c r="QMP377" s="21"/>
      <c r="QMS377" s="21"/>
      <c r="QMT377" s="15"/>
      <c r="QMU377" s="15"/>
      <c r="QMV377" s="15"/>
      <c r="QMW377" s="15"/>
      <c r="QMX377" s="15"/>
      <c r="QMY377" s="15"/>
      <c r="QMZ377" s="15"/>
      <c r="QNA377" s="15"/>
      <c r="QNB377" s="15"/>
      <c r="QNC377" s="15"/>
      <c r="QND377" s="10"/>
      <c r="QNE377" s="10"/>
      <c r="QNF377" s="21"/>
      <c r="QNG377" s="21"/>
      <c r="QNJ377" s="21"/>
      <c r="QNK377" s="15"/>
      <c r="QNL377" s="15"/>
      <c r="QNM377" s="15"/>
      <c r="QNN377" s="15"/>
      <c r="QNO377" s="15"/>
      <c r="QNP377" s="15"/>
      <c r="QNQ377" s="15"/>
      <c r="QNR377" s="15"/>
      <c r="QNS377" s="15"/>
      <c r="QNT377" s="15"/>
      <c r="QNU377" s="10"/>
      <c r="QNV377" s="10"/>
      <c r="QNW377" s="21"/>
      <c r="QNX377" s="21"/>
      <c r="QOA377" s="21"/>
      <c r="QOB377" s="15"/>
      <c r="QOC377" s="15"/>
      <c r="QOD377" s="15"/>
      <c r="QOE377" s="15"/>
      <c r="QOF377" s="15"/>
      <c r="QOG377" s="15"/>
      <c r="QOH377" s="15"/>
      <c r="QOI377" s="15"/>
      <c r="QOJ377" s="15"/>
      <c r="QOK377" s="15"/>
      <c r="QOL377" s="10"/>
      <c r="QOM377" s="10"/>
      <c r="QON377" s="21"/>
      <c r="QOO377" s="21"/>
      <c r="QOR377" s="21"/>
      <c r="QOS377" s="15"/>
      <c r="QOT377" s="15"/>
      <c r="QOU377" s="15"/>
      <c r="QOV377" s="15"/>
      <c r="QOW377" s="15"/>
      <c r="QOX377" s="15"/>
      <c r="QOY377" s="15"/>
      <c r="QOZ377" s="15"/>
      <c r="QPA377" s="15"/>
      <c r="QPB377" s="15"/>
      <c r="QPC377" s="10"/>
      <c r="QPD377" s="10"/>
      <c r="QPE377" s="21"/>
      <c r="QPF377" s="21"/>
      <c r="QPI377" s="21"/>
      <c r="QPJ377" s="15"/>
      <c r="QPK377" s="15"/>
      <c r="QPL377" s="15"/>
      <c r="QPM377" s="15"/>
      <c r="QPN377" s="15"/>
      <c r="QPO377" s="15"/>
      <c r="QPP377" s="15"/>
      <c r="QPQ377" s="15"/>
      <c r="QPR377" s="15"/>
      <c r="QPS377" s="15"/>
      <c r="QPT377" s="10"/>
      <c r="QPU377" s="10"/>
      <c r="QPV377" s="21"/>
      <c r="QPW377" s="21"/>
      <c r="QPZ377" s="21"/>
      <c r="QQA377" s="15"/>
      <c r="QQB377" s="15"/>
      <c r="QQC377" s="15"/>
      <c r="QQD377" s="15"/>
      <c r="QQE377" s="15"/>
      <c r="QQF377" s="15"/>
      <c r="QQG377" s="15"/>
      <c r="QQH377" s="15"/>
      <c r="QQI377" s="15"/>
      <c r="QQJ377" s="15"/>
      <c r="QQK377" s="10"/>
      <c r="QQL377" s="10"/>
      <c r="QQM377" s="21"/>
      <c r="QQN377" s="21"/>
      <c r="QQQ377" s="21"/>
      <c r="QQR377" s="15"/>
      <c r="QQS377" s="15"/>
      <c r="QQT377" s="15"/>
      <c r="QQU377" s="15"/>
      <c r="QQV377" s="15"/>
      <c r="QQW377" s="15"/>
      <c r="QQX377" s="15"/>
      <c r="QQY377" s="15"/>
      <c r="QQZ377" s="15"/>
      <c r="QRA377" s="15"/>
      <c r="QRB377" s="10"/>
      <c r="QRC377" s="10"/>
      <c r="QRD377" s="21"/>
      <c r="QRE377" s="21"/>
      <c r="QRH377" s="21"/>
      <c r="QRI377" s="15"/>
      <c r="QRJ377" s="15"/>
      <c r="QRK377" s="15"/>
      <c r="QRL377" s="15"/>
      <c r="QRM377" s="15"/>
      <c r="QRN377" s="15"/>
      <c r="QRO377" s="15"/>
      <c r="QRP377" s="15"/>
      <c r="QRQ377" s="15"/>
      <c r="QRR377" s="15"/>
      <c r="QRS377" s="10"/>
      <c r="QRT377" s="10"/>
      <c r="QRU377" s="21"/>
      <c r="QRV377" s="21"/>
      <c r="QRY377" s="21"/>
      <c r="QRZ377" s="15"/>
      <c r="QSA377" s="15"/>
      <c r="QSB377" s="15"/>
      <c r="QSC377" s="15"/>
      <c r="QSD377" s="15"/>
      <c r="QSE377" s="15"/>
      <c r="QSF377" s="15"/>
      <c r="QSG377" s="15"/>
      <c r="QSH377" s="15"/>
      <c r="QSI377" s="15"/>
      <c r="QSJ377" s="10"/>
      <c r="QSK377" s="10"/>
      <c r="QSL377" s="21"/>
      <c r="QSM377" s="21"/>
      <c r="QSP377" s="21"/>
      <c r="QSQ377" s="15"/>
      <c r="QSR377" s="15"/>
      <c r="QSS377" s="15"/>
      <c r="QST377" s="15"/>
      <c r="QSU377" s="15"/>
      <c r="QSV377" s="15"/>
      <c r="QSW377" s="15"/>
      <c r="QSX377" s="15"/>
      <c r="QSY377" s="15"/>
      <c r="QSZ377" s="15"/>
      <c r="QTA377" s="10"/>
      <c r="QTB377" s="10"/>
      <c r="QTC377" s="21"/>
      <c r="QTD377" s="21"/>
      <c r="QTG377" s="21"/>
      <c r="QTH377" s="15"/>
      <c r="QTI377" s="15"/>
      <c r="QTJ377" s="15"/>
      <c r="QTK377" s="15"/>
      <c r="QTL377" s="15"/>
      <c r="QTM377" s="15"/>
      <c r="QTN377" s="15"/>
      <c r="QTO377" s="15"/>
      <c r="QTP377" s="15"/>
      <c r="QTQ377" s="15"/>
      <c r="QTR377" s="10"/>
      <c r="QTS377" s="10"/>
      <c r="QTT377" s="21"/>
      <c r="QTU377" s="21"/>
      <c r="QTX377" s="21"/>
      <c r="QTY377" s="15"/>
      <c r="QTZ377" s="15"/>
      <c r="QUA377" s="15"/>
      <c r="QUB377" s="15"/>
      <c r="QUC377" s="15"/>
      <c r="QUD377" s="15"/>
      <c r="QUE377" s="15"/>
      <c r="QUF377" s="15"/>
      <c r="QUG377" s="15"/>
      <c r="QUH377" s="15"/>
      <c r="QUI377" s="10"/>
      <c r="QUJ377" s="10"/>
      <c r="QUK377" s="21"/>
      <c r="QUL377" s="21"/>
      <c r="QUO377" s="21"/>
      <c r="QUP377" s="15"/>
      <c r="QUQ377" s="15"/>
      <c r="QUR377" s="15"/>
      <c r="QUS377" s="15"/>
      <c r="QUT377" s="15"/>
      <c r="QUU377" s="15"/>
      <c r="QUV377" s="15"/>
      <c r="QUW377" s="15"/>
      <c r="QUX377" s="15"/>
      <c r="QUY377" s="15"/>
      <c r="QUZ377" s="10"/>
      <c r="QVA377" s="10"/>
      <c r="QVB377" s="21"/>
      <c r="QVC377" s="21"/>
      <c r="QVF377" s="21"/>
      <c r="QVG377" s="15"/>
      <c r="QVH377" s="15"/>
      <c r="QVI377" s="15"/>
      <c r="QVJ377" s="15"/>
      <c r="QVK377" s="15"/>
      <c r="QVL377" s="15"/>
      <c r="QVM377" s="15"/>
      <c r="QVN377" s="15"/>
      <c r="QVO377" s="15"/>
      <c r="QVP377" s="15"/>
      <c r="QVQ377" s="10"/>
      <c r="QVR377" s="10"/>
      <c r="QVS377" s="21"/>
      <c r="QVT377" s="21"/>
      <c r="QVW377" s="21"/>
      <c r="QVX377" s="15"/>
      <c r="QVY377" s="15"/>
      <c r="QVZ377" s="15"/>
      <c r="QWA377" s="15"/>
      <c r="QWB377" s="15"/>
      <c r="QWC377" s="15"/>
      <c r="QWD377" s="15"/>
      <c r="QWE377" s="15"/>
      <c r="QWF377" s="15"/>
      <c r="QWG377" s="15"/>
      <c r="QWH377" s="10"/>
      <c r="QWI377" s="10"/>
      <c r="QWJ377" s="21"/>
      <c r="QWK377" s="21"/>
      <c r="QWN377" s="21"/>
      <c r="QWO377" s="15"/>
      <c r="QWP377" s="15"/>
      <c r="QWQ377" s="15"/>
      <c r="QWR377" s="15"/>
      <c r="QWS377" s="15"/>
      <c r="QWT377" s="15"/>
      <c r="QWU377" s="15"/>
      <c r="QWV377" s="15"/>
      <c r="QWW377" s="15"/>
      <c r="QWX377" s="15"/>
      <c r="QWY377" s="10"/>
      <c r="QWZ377" s="10"/>
      <c r="QXA377" s="21"/>
      <c r="QXB377" s="21"/>
      <c r="QXE377" s="21"/>
      <c r="QXF377" s="15"/>
      <c r="QXG377" s="15"/>
      <c r="QXH377" s="15"/>
      <c r="QXI377" s="15"/>
      <c r="QXJ377" s="15"/>
      <c r="QXK377" s="15"/>
      <c r="QXL377" s="15"/>
      <c r="QXM377" s="15"/>
      <c r="QXN377" s="15"/>
      <c r="QXO377" s="15"/>
      <c r="QXP377" s="10"/>
      <c r="QXQ377" s="10"/>
      <c r="QXR377" s="21"/>
      <c r="QXS377" s="21"/>
      <c r="QXV377" s="21"/>
      <c r="QXW377" s="15"/>
      <c r="QXX377" s="15"/>
      <c r="QXY377" s="15"/>
      <c r="QXZ377" s="15"/>
      <c r="QYA377" s="15"/>
      <c r="QYB377" s="15"/>
      <c r="QYC377" s="15"/>
      <c r="QYD377" s="15"/>
      <c r="QYE377" s="15"/>
      <c r="QYF377" s="15"/>
      <c r="QYG377" s="10"/>
      <c r="QYH377" s="10"/>
      <c r="QYI377" s="21"/>
      <c r="QYJ377" s="21"/>
      <c r="QYM377" s="21"/>
      <c r="QYN377" s="15"/>
      <c r="QYO377" s="15"/>
      <c r="QYP377" s="15"/>
      <c r="QYQ377" s="15"/>
      <c r="QYR377" s="15"/>
      <c r="QYS377" s="15"/>
      <c r="QYT377" s="15"/>
      <c r="QYU377" s="15"/>
      <c r="QYV377" s="15"/>
      <c r="QYW377" s="15"/>
      <c r="QYX377" s="10"/>
      <c r="QYY377" s="10"/>
      <c r="QYZ377" s="21"/>
      <c r="QZA377" s="21"/>
      <c r="QZD377" s="21"/>
      <c r="QZE377" s="15"/>
      <c r="QZF377" s="15"/>
      <c r="QZG377" s="15"/>
      <c r="QZH377" s="15"/>
      <c r="QZI377" s="15"/>
      <c r="QZJ377" s="15"/>
      <c r="QZK377" s="15"/>
      <c r="QZL377" s="15"/>
      <c r="QZM377" s="15"/>
      <c r="QZN377" s="15"/>
      <c r="QZO377" s="10"/>
      <c r="QZP377" s="10"/>
      <c r="QZQ377" s="21"/>
      <c r="QZR377" s="21"/>
      <c r="QZU377" s="21"/>
      <c r="QZV377" s="15"/>
      <c r="QZW377" s="15"/>
      <c r="QZX377" s="15"/>
      <c r="QZY377" s="15"/>
      <c r="QZZ377" s="15"/>
      <c r="RAA377" s="15"/>
      <c r="RAB377" s="15"/>
      <c r="RAC377" s="15"/>
      <c r="RAD377" s="15"/>
      <c r="RAE377" s="15"/>
      <c r="RAF377" s="10"/>
      <c r="RAG377" s="10"/>
      <c r="RAH377" s="21"/>
      <c r="RAI377" s="21"/>
      <c r="RAL377" s="21"/>
      <c r="RAM377" s="15"/>
      <c r="RAN377" s="15"/>
      <c r="RAO377" s="15"/>
      <c r="RAP377" s="15"/>
      <c r="RAQ377" s="15"/>
      <c r="RAR377" s="15"/>
      <c r="RAS377" s="15"/>
      <c r="RAT377" s="15"/>
      <c r="RAU377" s="15"/>
      <c r="RAV377" s="15"/>
      <c r="RAW377" s="10"/>
      <c r="RAX377" s="10"/>
      <c r="RAY377" s="21"/>
      <c r="RAZ377" s="21"/>
      <c r="RBC377" s="21"/>
      <c r="RBD377" s="15"/>
      <c r="RBE377" s="15"/>
      <c r="RBF377" s="15"/>
      <c r="RBG377" s="15"/>
      <c r="RBH377" s="15"/>
      <c r="RBI377" s="15"/>
      <c r="RBJ377" s="15"/>
      <c r="RBK377" s="15"/>
      <c r="RBL377" s="15"/>
      <c r="RBM377" s="15"/>
      <c r="RBN377" s="10"/>
      <c r="RBO377" s="10"/>
      <c r="RBP377" s="21"/>
      <c r="RBQ377" s="21"/>
      <c r="RBT377" s="21"/>
      <c r="RBU377" s="15"/>
      <c r="RBV377" s="15"/>
      <c r="RBW377" s="15"/>
      <c r="RBX377" s="15"/>
      <c r="RBY377" s="15"/>
      <c r="RBZ377" s="15"/>
      <c r="RCA377" s="15"/>
      <c r="RCB377" s="15"/>
      <c r="RCC377" s="15"/>
      <c r="RCD377" s="15"/>
      <c r="RCE377" s="10"/>
      <c r="RCF377" s="10"/>
      <c r="RCG377" s="21"/>
      <c r="RCH377" s="21"/>
      <c r="RCK377" s="21"/>
      <c r="RCL377" s="15"/>
      <c r="RCM377" s="15"/>
      <c r="RCN377" s="15"/>
      <c r="RCO377" s="15"/>
      <c r="RCP377" s="15"/>
      <c r="RCQ377" s="15"/>
      <c r="RCR377" s="15"/>
      <c r="RCS377" s="15"/>
      <c r="RCT377" s="15"/>
      <c r="RCU377" s="15"/>
      <c r="RCV377" s="10"/>
      <c r="RCW377" s="10"/>
      <c r="RCX377" s="21"/>
      <c r="RCY377" s="21"/>
      <c r="RDB377" s="21"/>
      <c r="RDC377" s="15"/>
      <c r="RDD377" s="15"/>
      <c r="RDE377" s="15"/>
      <c r="RDF377" s="15"/>
      <c r="RDG377" s="15"/>
      <c r="RDH377" s="15"/>
      <c r="RDI377" s="15"/>
      <c r="RDJ377" s="15"/>
      <c r="RDK377" s="15"/>
      <c r="RDL377" s="15"/>
      <c r="RDM377" s="10"/>
      <c r="RDN377" s="10"/>
      <c r="RDO377" s="21"/>
      <c r="RDP377" s="21"/>
      <c r="RDS377" s="21"/>
      <c r="RDT377" s="15"/>
      <c r="RDU377" s="15"/>
      <c r="RDV377" s="15"/>
      <c r="RDW377" s="15"/>
      <c r="RDX377" s="15"/>
      <c r="RDY377" s="15"/>
      <c r="RDZ377" s="15"/>
      <c r="REA377" s="15"/>
      <c r="REB377" s="15"/>
      <c r="REC377" s="15"/>
      <c r="RED377" s="10"/>
      <c r="REE377" s="10"/>
      <c r="REF377" s="21"/>
      <c r="REG377" s="21"/>
      <c r="REJ377" s="21"/>
      <c r="REK377" s="15"/>
      <c r="REL377" s="15"/>
      <c r="REM377" s="15"/>
      <c r="REN377" s="15"/>
      <c r="REO377" s="15"/>
      <c r="REP377" s="15"/>
      <c r="REQ377" s="15"/>
      <c r="RER377" s="15"/>
      <c r="RES377" s="15"/>
      <c r="RET377" s="15"/>
      <c r="REU377" s="10"/>
      <c r="REV377" s="10"/>
      <c r="REW377" s="21"/>
      <c r="REX377" s="21"/>
      <c r="RFA377" s="21"/>
      <c r="RFB377" s="15"/>
      <c r="RFC377" s="15"/>
      <c r="RFD377" s="15"/>
      <c r="RFE377" s="15"/>
      <c r="RFF377" s="15"/>
      <c r="RFG377" s="15"/>
      <c r="RFH377" s="15"/>
      <c r="RFI377" s="15"/>
      <c r="RFJ377" s="15"/>
      <c r="RFK377" s="15"/>
      <c r="RFL377" s="10"/>
      <c r="RFM377" s="10"/>
      <c r="RFN377" s="21"/>
      <c r="RFO377" s="21"/>
      <c r="RFR377" s="21"/>
      <c r="RFS377" s="15"/>
      <c r="RFT377" s="15"/>
      <c r="RFU377" s="15"/>
      <c r="RFV377" s="15"/>
      <c r="RFW377" s="15"/>
      <c r="RFX377" s="15"/>
      <c r="RFY377" s="15"/>
      <c r="RFZ377" s="15"/>
      <c r="RGA377" s="15"/>
      <c r="RGB377" s="15"/>
      <c r="RGC377" s="10"/>
      <c r="RGD377" s="10"/>
      <c r="RGE377" s="21"/>
      <c r="RGF377" s="21"/>
      <c r="RGI377" s="21"/>
      <c r="RGJ377" s="15"/>
      <c r="RGK377" s="15"/>
      <c r="RGL377" s="15"/>
      <c r="RGM377" s="15"/>
      <c r="RGN377" s="15"/>
      <c r="RGO377" s="15"/>
      <c r="RGP377" s="15"/>
      <c r="RGQ377" s="15"/>
      <c r="RGR377" s="15"/>
      <c r="RGS377" s="15"/>
      <c r="RGT377" s="10"/>
      <c r="RGU377" s="10"/>
      <c r="RGV377" s="21"/>
      <c r="RGW377" s="21"/>
      <c r="RGZ377" s="21"/>
      <c r="RHA377" s="15"/>
      <c r="RHB377" s="15"/>
      <c r="RHC377" s="15"/>
      <c r="RHD377" s="15"/>
      <c r="RHE377" s="15"/>
      <c r="RHF377" s="15"/>
      <c r="RHG377" s="15"/>
      <c r="RHH377" s="15"/>
      <c r="RHI377" s="15"/>
      <c r="RHJ377" s="15"/>
      <c r="RHK377" s="10"/>
      <c r="RHL377" s="10"/>
      <c r="RHM377" s="21"/>
      <c r="RHN377" s="21"/>
      <c r="RHQ377" s="21"/>
      <c r="RHR377" s="15"/>
      <c r="RHS377" s="15"/>
      <c r="RHT377" s="15"/>
      <c r="RHU377" s="15"/>
      <c r="RHV377" s="15"/>
      <c r="RHW377" s="15"/>
      <c r="RHX377" s="15"/>
      <c r="RHY377" s="15"/>
      <c r="RHZ377" s="15"/>
      <c r="RIA377" s="15"/>
      <c r="RIB377" s="10"/>
      <c r="RIC377" s="10"/>
      <c r="RID377" s="21"/>
      <c r="RIE377" s="21"/>
      <c r="RIH377" s="21"/>
      <c r="RII377" s="15"/>
      <c r="RIJ377" s="15"/>
      <c r="RIK377" s="15"/>
      <c r="RIL377" s="15"/>
      <c r="RIM377" s="15"/>
      <c r="RIN377" s="15"/>
      <c r="RIO377" s="15"/>
      <c r="RIP377" s="15"/>
      <c r="RIQ377" s="15"/>
      <c r="RIR377" s="15"/>
      <c r="RIS377" s="10"/>
      <c r="RIT377" s="10"/>
      <c r="RIU377" s="21"/>
      <c r="RIV377" s="21"/>
      <c r="RIY377" s="21"/>
      <c r="RIZ377" s="15"/>
      <c r="RJA377" s="15"/>
      <c r="RJB377" s="15"/>
      <c r="RJC377" s="15"/>
      <c r="RJD377" s="15"/>
      <c r="RJE377" s="15"/>
      <c r="RJF377" s="15"/>
      <c r="RJG377" s="15"/>
      <c r="RJH377" s="15"/>
      <c r="RJI377" s="15"/>
      <c r="RJJ377" s="10"/>
      <c r="RJK377" s="10"/>
      <c r="RJL377" s="21"/>
      <c r="RJM377" s="21"/>
      <c r="RJP377" s="21"/>
      <c r="RJQ377" s="15"/>
      <c r="RJR377" s="15"/>
      <c r="RJS377" s="15"/>
      <c r="RJT377" s="15"/>
      <c r="RJU377" s="15"/>
      <c r="RJV377" s="15"/>
      <c r="RJW377" s="15"/>
      <c r="RJX377" s="15"/>
      <c r="RJY377" s="15"/>
      <c r="RJZ377" s="15"/>
      <c r="RKA377" s="10"/>
      <c r="RKB377" s="10"/>
      <c r="RKC377" s="21"/>
      <c r="RKD377" s="21"/>
      <c r="RKG377" s="21"/>
      <c r="RKH377" s="15"/>
      <c r="RKI377" s="15"/>
      <c r="RKJ377" s="15"/>
      <c r="RKK377" s="15"/>
      <c r="RKL377" s="15"/>
      <c r="RKM377" s="15"/>
      <c r="RKN377" s="15"/>
      <c r="RKO377" s="15"/>
      <c r="RKP377" s="15"/>
      <c r="RKQ377" s="15"/>
      <c r="RKR377" s="10"/>
      <c r="RKS377" s="10"/>
      <c r="RKT377" s="21"/>
      <c r="RKU377" s="21"/>
      <c r="RKX377" s="21"/>
      <c r="RKY377" s="15"/>
      <c r="RKZ377" s="15"/>
      <c r="RLA377" s="15"/>
      <c r="RLB377" s="15"/>
      <c r="RLC377" s="15"/>
      <c r="RLD377" s="15"/>
      <c r="RLE377" s="15"/>
      <c r="RLF377" s="15"/>
      <c r="RLG377" s="15"/>
      <c r="RLH377" s="15"/>
      <c r="RLI377" s="10"/>
      <c r="RLJ377" s="10"/>
      <c r="RLK377" s="21"/>
      <c r="RLL377" s="21"/>
      <c r="RLO377" s="21"/>
      <c r="RLP377" s="15"/>
      <c r="RLQ377" s="15"/>
      <c r="RLR377" s="15"/>
      <c r="RLS377" s="15"/>
      <c r="RLT377" s="15"/>
      <c r="RLU377" s="15"/>
      <c r="RLV377" s="15"/>
      <c r="RLW377" s="15"/>
      <c r="RLX377" s="15"/>
      <c r="RLY377" s="15"/>
      <c r="RLZ377" s="10"/>
      <c r="RMA377" s="10"/>
      <c r="RMB377" s="21"/>
      <c r="RMC377" s="21"/>
      <c r="RMF377" s="21"/>
      <c r="RMG377" s="15"/>
      <c r="RMH377" s="15"/>
      <c r="RMI377" s="15"/>
      <c r="RMJ377" s="15"/>
      <c r="RMK377" s="15"/>
      <c r="RML377" s="15"/>
      <c r="RMM377" s="15"/>
      <c r="RMN377" s="15"/>
      <c r="RMO377" s="15"/>
      <c r="RMP377" s="15"/>
      <c r="RMQ377" s="10"/>
      <c r="RMR377" s="10"/>
      <c r="RMS377" s="21"/>
      <c r="RMT377" s="21"/>
      <c r="RMW377" s="21"/>
      <c r="RMX377" s="15"/>
      <c r="RMY377" s="15"/>
      <c r="RMZ377" s="15"/>
      <c r="RNA377" s="15"/>
      <c r="RNB377" s="15"/>
      <c r="RNC377" s="15"/>
      <c r="RND377" s="15"/>
      <c r="RNE377" s="15"/>
      <c r="RNF377" s="15"/>
      <c r="RNG377" s="15"/>
      <c r="RNH377" s="10"/>
      <c r="RNI377" s="10"/>
      <c r="RNJ377" s="21"/>
      <c r="RNK377" s="21"/>
      <c r="RNN377" s="21"/>
      <c r="RNO377" s="15"/>
      <c r="RNP377" s="15"/>
      <c r="RNQ377" s="15"/>
      <c r="RNR377" s="15"/>
      <c r="RNS377" s="15"/>
      <c r="RNT377" s="15"/>
      <c r="RNU377" s="15"/>
      <c r="RNV377" s="15"/>
      <c r="RNW377" s="15"/>
      <c r="RNX377" s="15"/>
      <c r="RNY377" s="10"/>
      <c r="RNZ377" s="10"/>
      <c r="ROA377" s="21"/>
      <c r="ROB377" s="21"/>
      <c r="ROE377" s="21"/>
      <c r="ROF377" s="15"/>
      <c r="ROG377" s="15"/>
      <c r="ROH377" s="15"/>
      <c r="ROI377" s="15"/>
      <c r="ROJ377" s="15"/>
      <c r="ROK377" s="15"/>
      <c r="ROL377" s="15"/>
      <c r="ROM377" s="15"/>
      <c r="RON377" s="15"/>
      <c r="ROO377" s="15"/>
      <c r="ROP377" s="10"/>
      <c r="ROQ377" s="10"/>
      <c r="ROR377" s="21"/>
      <c r="ROS377" s="21"/>
      <c r="ROV377" s="21"/>
      <c r="ROW377" s="15"/>
      <c r="ROX377" s="15"/>
      <c r="ROY377" s="15"/>
      <c r="ROZ377" s="15"/>
      <c r="RPA377" s="15"/>
      <c r="RPB377" s="15"/>
      <c r="RPC377" s="15"/>
      <c r="RPD377" s="15"/>
      <c r="RPE377" s="15"/>
      <c r="RPF377" s="15"/>
      <c r="RPG377" s="10"/>
      <c r="RPH377" s="10"/>
      <c r="RPI377" s="21"/>
      <c r="RPJ377" s="21"/>
      <c r="RPM377" s="21"/>
      <c r="RPN377" s="15"/>
      <c r="RPO377" s="15"/>
      <c r="RPP377" s="15"/>
      <c r="RPQ377" s="15"/>
      <c r="RPR377" s="15"/>
      <c r="RPS377" s="15"/>
      <c r="RPT377" s="15"/>
      <c r="RPU377" s="15"/>
      <c r="RPV377" s="15"/>
      <c r="RPW377" s="15"/>
      <c r="RPX377" s="10"/>
      <c r="RPY377" s="10"/>
      <c r="RPZ377" s="21"/>
      <c r="RQA377" s="21"/>
      <c r="RQD377" s="21"/>
      <c r="RQE377" s="15"/>
      <c r="RQF377" s="15"/>
      <c r="RQG377" s="15"/>
      <c r="RQH377" s="15"/>
      <c r="RQI377" s="15"/>
      <c r="RQJ377" s="15"/>
      <c r="RQK377" s="15"/>
      <c r="RQL377" s="15"/>
      <c r="RQM377" s="15"/>
      <c r="RQN377" s="15"/>
      <c r="RQO377" s="10"/>
      <c r="RQP377" s="10"/>
      <c r="RQQ377" s="21"/>
      <c r="RQR377" s="21"/>
      <c r="RQU377" s="21"/>
      <c r="RQV377" s="15"/>
      <c r="RQW377" s="15"/>
      <c r="RQX377" s="15"/>
      <c r="RQY377" s="15"/>
      <c r="RQZ377" s="15"/>
      <c r="RRA377" s="15"/>
      <c r="RRB377" s="15"/>
      <c r="RRC377" s="15"/>
      <c r="RRD377" s="15"/>
      <c r="RRE377" s="15"/>
      <c r="RRF377" s="10"/>
      <c r="RRG377" s="10"/>
      <c r="RRH377" s="21"/>
      <c r="RRI377" s="21"/>
      <c r="RRL377" s="21"/>
      <c r="RRM377" s="15"/>
      <c r="RRN377" s="15"/>
      <c r="RRO377" s="15"/>
      <c r="RRP377" s="15"/>
      <c r="RRQ377" s="15"/>
      <c r="RRR377" s="15"/>
      <c r="RRS377" s="15"/>
      <c r="RRT377" s="15"/>
      <c r="RRU377" s="15"/>
      <c r="RRV377" s="15"/>
      <c r="RRW377" s="10"/>
      <c r="RRX377" s="10"/>
      <c r="RRY377" s="21"/>
      <c r="RRZ377" s="21"/>
      <c r="RSC377" s="21"/>
      <c r="RSD377" s="15"/>
      <c r="RSE377" s="15"/>
      <c r="RSF377" s="15"/>
      <c r="RSG377" s="15"/>
      <c r="RSH377" s="15"/>
      <c r="RSI377" s="15"/>
      <c r="RSJ377" s="15"/>
      <c r="RSK377" s="15"/>
      <c r="RSL377" s="15"/>
      <c r="RSM377" s="15"/>
      <c r="RSN377" s="10"/>
      <c r="RSO377" s="10"/>
      <c r="RSP377" s="21"/>
      <c r="RSQ377" s="21"/>
      <c r="RST377" s="21"/>
      <c r="RSU377" s="15"/>
      <c r="RSV377" s="15"/>
      <c r="RSW377" s="15"/>
      <c r="RSX377" s="15"/>
      <c r="RSY377" s="15"/>
      <c r="RSZ377" s="15"/>
      <c r="RTA377" s="15"/>
      <c r="RTB377" s="15"/>
      <c r="RTC377" s="15"/>
      <c r="RTD377" s="15"/>
      <c r="RTE377" s="10"/>
      <c r="RTF377" s="10"/>
      <c r="RTG377" s="21"/>
      <c r="RTH377" s="21"/>
      <c r="RTK377" s="21"/>
      <c r="RTL377" s="15"/>
      <c r="RTM377" s="15"/>
      <c r="RTN377" s="15"/>
      <c r="RTO377" s="15"/>
      <c r="RTP377" s="15"/>
      <c r="RTQ377" s="15"/>
      <c r="RTR377" s="15"/>
      <c r="RTS377" s="15"/>
      <c r="RTT377" s="15"/>
      <c r="RTU377" s="15"/>
      <c r="RTV377" s="10"/>
      <c r="RTW377" s="10"/>
      <c r="RTX377" s="21"/>
      <c r="RTY377" s="21"/>
      <c r="RUB377" s="21"/>
      <c r="RUC377" s="15"/>
      <c r="RUD377" s="15"/>
      <c r="RUE377" s="15"/>
      <c r="RUF377" s="15"/>
      <c r="RUG377" s="15"/>
      <c r="RUH377" s="15"/>
      <c r="RUI377" s="15"/>
      <c r="RUJ377" s="15"/>
      <c r="RUK377" s="15"/>
      <c r="RUL377" s="15"/>
      <c r="RUM377" s="10"/>
      <c r="RUN377" s="10"/>
      <c r="RUO377" s="21"/>
      <c r="RUP377" s="21"/>
      <c r="RUS377" s="21"/>
      <c r="RUT377" s="15"/>
      <c r="RUU377" s="15"/>
      <c r="RUV377" s="15"/>
      <c r="RUW377" s="15"/>
      <c r="RUX377" s="15"/>
      <c r="RUY377" s="15"/>
      <c r="RUZ377" s="15"/>
      <c r="RVA377" s="15"/>
      <c r="RVB377" s="15"/>
      <c r="RVC377" s="15"/>
      <c r="RVD377" s="10"/>
      <c r="RVE377" s="10"/>
      <c r="RVF377" s="21"/>
      <c r="RVG377" s="21"/>
      <c r="RVJ377" s="21"/>
      <c r="RVK377" s="15"/>
      <c r="RVL377" s="15"/>
      <c r="RVM377" s="15"/>
      <c r="RVN377" s="15"/>
      <c r="RVO377" s="15"/>
      <c r="RVP377" s="15"/>
      <c r="RVQ377" s="15"/>
      <c r="RVR377" s="15"/>
      <c r="RVS377" s="15"/>
      <c r="RVT377" s="15"/>
      <c r="RVU377" s="10"/>
      <c r="RVV377" s="10"/>
      <c r="RVW377" s="21"/>
      <c r="RVX377" s="21"/>
      <c r="RWA377" s="21"/>
      <c r="RWB377" s="15"/>
      <c r="RWC377" s="15"/>
      <c r="RWD377" s="15"/>
      <c r="RWE377" s="15"/>
      <c r="RWF377" s="15"/>
      <c r="RWG377" s="15"/>
      <c r="RWH377" s="15"/>
      <c r="RWI377" s="15"/>
      <c r="RWJ377" s="15"/>
      <c r="RWK377" s="15"/>
      <c r="RWL377" s="10"/>
      <c r="RWM377" s="10"/>
      <c r="RWN377" s="21"/>
      <c r="RWO377" s="21"/>
      <c r="RWR377" s="21"/>
      <c r="RWS377" s="15"/>
      <c r="RWT377" s="15"/>
      <c r="RWU377" s="15"/>
      <c r="RWV377" s="15"/>
      <c r="RWW377" s="15"/>
      <c r="RWX377" s="15"/>
      <c r="RWY377" s="15"/>
      <c r="RWZ377" s="15"/>
      <c r="RXA377" s="15"/>
      <c r="RXB377" s="15"/>
      <c r="RXC377" s="10"/>
      <c r="RXD377" s="10"/>
      <c r="RXE377" s="21"/>
      <c r="RXF377" s="21"/>
      <c r="RXI377" s="21"/>
      <c r="RXJ377" s="15"/>
      <c r="RXK377" s="15"/>
      <c r="RXL377" s="15"/>
      <c r="RXM377" s="15"/>
      <c r="RXN377" s="15"/>
      <c r="RXO377" s="15"/>
      <c r="RXP377" s="15"/>
      <c r="RXQ377" s="15"/>
      <c r="RXR377" s="15"/>
      <c r="RXS377" s="15"/>
      <c r="RXT377" s="10"/>
      <c r="RXU377" s="10"/>
      <c r="RXV377" s="21"/>
      <c r="RXW377" s="21"/>
      <c r="RXZ377" s="21"/>
      <c r="RYA377" s="15"/>
      <c r="RYB377" s="15"/>
      <c r="RYC377" s="15"/>
      <c r="RYD377" s="15"/>
      <c r="RYE377" s="15"/>
      <c r="RYF377" s="15"/>
      <c r="RYG377" s="15"/>
      <c r="RYH377" s="15"/>
      <c r="RYI377" s="15"/>
      <c r="RYJ377" s="15"/>
      <c r="RYK377" s="10"/>
      <c r="RYL377" s="10"/>
      <c r="RYM377" s="21"/>
      <c r="RYN377" s="21"/>
      <c r="RYQ377" s="21"/>
      <c r="RYR377" s="15"/>
      <c r="RYS377" s="15"/>
      <c r="RYT377" s="15"/>
      <c r="RYU377" s="15"/>
      <c r="RYV377" s="15"/>
      <c r="RYW377" s="15"/>
      <c r="RYX377" s="15"/>
      <c r="RYY377" s="15"/>
      <c r="RYZ377" s="15"/>
      <c r="RZA377" s="15"/>
      <c r="RZB377" s="10"/>
      <c r="RZC377" s="10"/>
      <c r="RZD377" s="21"/>
      <c r="RZE377" s="21"/>
      <c r="RZH377" s="21"/>
      <c r="RZI377" s="15"/>
      <c r="RZJ377" s="15"/>
      <c r="RZK377" s="15"/>
      <c r="RZL377" s="15"/>
      <c r="RZM377" s="15"/>
      <c r="RZN377" s="15"/>
      <c r="RZO377" s="15"/>
      <c r="RZP377" s="15"/>
      <c r="RZQ377" s="15"/>
      <c r="RZR377" s="15"/>
      <c r="RZS377" s="10"/>
      <c r="RZT377" s="10"/>
      <c r="RZU377" s="21"/>
      <c r="RZV377" s="21"/>
      <c r="RZY377" s="21"/>
      <c r="RZZ377" s="15"/>
      <c r="SAA377" s="15"/>
      <c r="SAB377" s="15"/>
      <c r="SAC377" s="15"/>
      <c r="SAD377" s="15"/>
      <c r="SAE377" s="15"/>
      <c r="SAF377" s="15"/>
      <c r="SAG377" s="15"/>
      <c r="SAH377" s="15"/>
      <c r="SAI377" s="15"/>
      <c r="SAJ377" s="10"/>
      <c r="SAK377" s="10"/>
      <c r="SAL377" s="21"/>
      <c r="SAM377" s="21"/>
      <c r="SAP377" s="21"/>
      <c r="SAQ377" s="15"/>
      <c r="SAR377" s="15"/>
      <c r="SAS377" s="15"/>
      <c r="SAT377" s="15"/>
      <c r="SAU377" s="15"/>
      <c r="SAV377" s="15"/>
      <c r="SAW377" s="15"/>
      <c r="SAX377" s="15"/>
      <c r="SAY377" s="15"/>
      <c r="SAZ377" s="15"/>
      <c r="SBA377" s="10"/>
      <c r="SBB377" s="10"/>
      <c r="SBC377" s="21"/>
      <c r="SBD377" s="21"/>
      <c r="SBG377" s="21"/>
      <c r="SBH377" s="15"/>
      <c r="SBI377" s="15"/>
      <c r="SBJ377" s="15"/>
      <c r="SBK377" s="15"/>
      <c r="SBL377" s="15"/>
      <c r="SBM377" s="15"/>
      <c r="SBN377" s="15"/>
      <c r="SBO377" s="15"/>
      <c r="SBP377" s="15"/>
      <c r="SBQ377" s="15"/>
      <c r="SBR377" s="10"/>
      <c r="SBS377" s="10"/>
      <c r="SBT377" s="21"/>
      <c r="SBU377" s="21"/>
      <c r="SBX377" s="21"/>
      <c r="SBY377" s="15"/>
      <c r="SBZ377" s="15"/>
      <c r="SCA377" s="15"/>
      <c r="SCB377" s="15"/>
      <c r="SCC377" s="15"/>
      <c r="SCD377" s="15"/>
      <c r="SCE377" s="15"/>
      <c r="SCF377" s="15"/>
      <c r="SCG377" s="15"/>
      <c r="SCH377" s="15"/>
      <c r="SCI377" s="10"/>
      <c r="SCJ377" s="10"/>
      <c r="SCK377" s="21"/>
      <c r="SCL377" s="21"/>
      <c r="SCO377" s="21"/>
      <c r="SCP377" s="15"/>
      <c r="SCQ377" s="15"/>
      <c r="SCR377" s="15"/>
      <c r="SCS377" s="15"/>
      <c r="SCT377" s="15"/>
      <c r="SCU377" s="15"/>
      <c r="SCV377" s="15"/>
      <c r="SCW377" s="15"/>
      <c r="SCX377" s="15"/>
      <c r="SCY377" s="15"/>
      <c r="SCZ377" s="10"/>
      <c r="SDA377" s="10"/>
      <c r="SDB377" s="21"/>
      <c r="SDC377" s="21"/>
      <c r="SDF377" s="21"/>
      <c r="SDG377" s="15"/>
      <c r="SDH377" s="15"/>
      <c r="SDI377" s="15"/>
      <c r="SDJ377" s="15"/>
      <c r="SDK377" s="15"/>
      <c r="SDL377" s="15"/>
      <c r="SDM377" s="15"/>
      <c r="SDN377" s="15"/>
      <c r="SDO377" s="15"/>
      <c r="SDP377" s="15"/>
      <c r="SDQ377" s="10"/>
      <c r="SDR377" s="10"/>
      <c r="SDS377" s="21"/>
      <c r="SDT377" s="21"/>
      <c r="SDW377" s="21"/>
      <c r="SDX377" s="15"/>
      <c r="SDY377" s="15"/>
      <c r="SDZ377" s="15"/>
      <c r="SEA377" s="15"/>
      <c r="SEB377" s="15"/>
      <c r="SEC377" s="15"/>
      <c r="SED377" s="15"/>
      <c r="SEE377" s="15"/>
      <c r="SEF377" s="15"/>
      <c r="SEG377" s="15"/>
      <c r="SEH377" s="10"/>
      <c r="SEI377" s="10"/>
      <c r="SEJ377" s="21"/>
      <c r="SEK377" s="21"/>
      <c r="SEN377" s="21"/>
      <c r="SEO377" s="15"/>
      <c r="SEP377" s="15"/>
      <c r="SEQ377" s="15"/>
      <c r="SER377" s="15"/>
      <c r="SES377" s="15"/>
      <c r="SET377" s="15"/>
      <c r="SEU377" s="15"/>
      <c r="SEV377" s="15"/>
      <c r="SEW377" s="15"/>
      <c r="SEX377" s="15"/>
      <c r="SEY377" s="10"/>
      <c r="SEZ377" s="10"/>
      <c r="SFA377" s="21"/>
      <c r="SFB377" s="21"/>
      <c r="SFE377" s="21"/>
      <c r="SFF377" s="15"/>
      <c r="SFG377" s="15"/>
      <c r="SFH377" s="15"/>
      <c r="SFI377" s="15"/>
      <c r="SFJ377" s="15"/>
      <c r="SFK377" s="15"/>
      <c r="SFL377" s="15"/>
      <c r="SFM377" s="15"/>
      <c r="SFN377" s="15"/>
      <c r="SFO377" s="15"/>
      <c r="SFP377" s="10"/>
      <c r="SFQ377" s="10"/>
      <c r="SFR377" s="21"/>
      <c r="SFS377" s="21"/>
      <c r="SFV377" s="21"/>
      <c r="SFW377" s="15"/>
      <c r="SFX377" s="15"/>
      <c r="SFY377" s="15"/>
      <c r="SFZ377" s="15"/>
      <c r="SGA377" s="15"/>
      <c r="SGB377" s="15"/>
      <c r="SGC377" s="15"/>
      <c r="SGD377" s="15"/>
      <c r="SGE377" s="15"/>
      <c r="SGF377" s="15"/>
      <c r="SGG377" s="10"/>
      <c r="SGH377" s="10"/>
      <c r="SGI377" s="21"/>
      <c r="SGJ377" s="21"/>
      <c r="SGM377" s="21"/>
      <c r="SGN377" s="15"/>
      <c r="SGO377" s="15"/>
      <c r="SGP377" s="15"/>
      <c r="SGQ377" s="15"/>
      <c r="SGR377" s="15"/>
      <c r="SGS377" s="15"/>
      <c r="SGT377" s="15"/>
      <c r="SGU377" s="15"/>
      <c r="SGV377" s="15"/>
      <c r="SGW377" s="15"/>
      <c r="SGX377" s="10"/>
      <c r="SGY377" s="10"/>
      <c r="SGZ377" s="21"/>
      <c r="SHA377" s="21"/>
      <c r="SHD377" s="21"/>
      <c r="SHE377" s="15"/>
      <c r="SHF377" s="15"/>
      <c r="SHG377" s="15"/>
      <c r="SHH377" s="15"/>
      <c r="SHI377" s="15"/>
      <c r="SHJ377" s="15"/>
      <c r="SHK377" s="15"/>
      <c r="SHL377" s="15"/>
      <c r="SHM377" s="15"/>
      <c r="SHN377" s="15"/>
      <c r="SHO377" s="10"/>
      <c r="SHP377" s="10"/>
      <c r="SHQ377" s="21"/>
      <c r="SHR377" s="21"/>
      <c r="SHU377" s="21"/>
      <c r="SHV377" s="15"/>
      <c r="SHW377" s="15"/>
      <c r="SHX377" s="15"/>
      <c r="SHY377" s="15"/>
      <c r="SHZ377" s="15"/>
      <c r="SIA377" s="15"/>
      <c r="SIB377" s="15"/>
      <c r="SIC377" s="15"/>
      <c r="SID377" s="15"/>
      <c r="SIE377" s="15"/>
      <c r="SIF377" s="10"/>
      <c r="SIG377" s="10"/>
      <c r="SIH377" s="21"/>
      <c r="SII377" s="21"/>
      <c r="SIL377" s="21"/>
      <c r="SIM377" s="15"/>
      <c r="SIN377" s="15"/>
      <c r="SIO377" s="15"/>
      <c r="SIP377" s="15"/>
      <c r="SIQ377" s="15"/>
      <c r="SIR377" s="15"/>
      <c r="SIS377" s="15"/>
      <c r="SIT377" s="15"/>
      <c r="SIU377" s="15"/>
      <c r="SIV377" s="15"/>
      <c r="SIW377" s="10"/>
      <c r="SIX377" s="10"/>
      <c r="SIY377" s="21"/>
      <c r="SIZ377" s="21"/>
      <c r="SJC377" s="21"/>
      <c r="SJD377" s="15"/>
      <c r="SJE377" s="15"/>
      <c r="SJF377" s="15"/>
      <c r="SJG377" s="15"/>
      <c r="SJH377" s="15"/>
      <c r="SJI377" s="15"/>
      <c r="SJJ377" s="15"/>
      <c r="SJK377" s="15"/>
      <c r="SJL377" s="15"/>
      <c r="SJM377" s="15"/>
      <c r="SJN377" s="10"/>
      <c r="SJO377" s="10"/>
      <c r="SJP377" s="21"/>
      <c r="SJQ377" s="21"/>
      <c r="SJT377" s="21"/>
      <c r="SJU377" s="15"/>
      <c r="SJV377" s="15"/>
      <c r="SJW377" s="15"/>
      <c r="SJX377" s="15"/>
      <c r="SJY377" s="15"/>
      <c r="SJZ377" s="15"/>
      <c r="SKA377" s="15"/>
      <c r="SKB377" s="15"/>
      <c r="SKC377" s="15"/>
      <c r="SKD377" s="15"/>
      <c r="SKE377" s="10"/>
      <c r="SKF377" s="10"/>
      <c r="SKG377" s="21"/>
      <c r="SKH377" s="21"/>
      <c r="SKK377" s="21"/>
      <c r="SKL377" s="15"/>
      <c r="SKM377" s="15"/>
      <c r="SKN377" s="15"/>
      <c r="SKO377" s="15"/>
      <c r="SKP377" s="15"/>
      <c r="SKQ377" s="15"/>
      <c r="SKR377" s="15"/>
      <c r="SKS377" s="15"/>
      <c r="SKT377" s="15"/>
      <c r="SKU377" s="15"/>
      <c r="SKV377" s="10"/>
      <c r="SKW377" s="10"/>
      <c r="SKX377" s="21"/>
      <c r="SKY377" s="21"/>
      <c r="SLB377" s="21"/>
      <c r="SLC377" s="15"/>
      <c r="SLD377" s="15"/>
      <c r="SLE377" s="15"/>
      <c r="SLF377" s="15"/>
      <c r="SLG377" s="15"/>
      <c r="SLH377" s="15"/>
      <c r="SLI377" s="15"/>
      <c r="SLJ377" s="15"/>
      <c r="SLK377" s="15"/>
      <c r="SLL377" s="15"/>
      <c r="SLM377" s="10"/>
      <c r="SLN377" s="10"/>
      <c r="SLO377" s="21"/>
      <c r="SLP377" s="21"/>
      <c r="SLS377" s="21"/>
      <c r="SLT377" s="15"/>
      <c r="SLU377" s="15"/>
      <c r="SLV377" s="15"/>
      <c r="SLW377" s="15"/>
      <c r="SLX377" s="15"/>
      <c r="SLY377" s="15"/>
      <c r="SLZ377" s="15"/>
      <c r="SMA377" s="15"/>
      <c r="SMB377" s="15"/>
      <c r="SMC377" s="15"/>
      <c r="SMD377" s="10"/>
      <c r="SME377" s="10"/>
      <c r="SMF377" s="21"/>
      <c r="SMG377" s="21"/>
      <c r="SMJ377" s="21"/>
      <c r="SMK377" s="15"/>
      <c r="SML377" s="15"/>
      <c r="SMM377" s="15"/>
      <c r="SMN377" s="15"/>
      <c r="SMO377" s="15"/>
      <c r="SMP377" s="15"/>
      <c r="SMQ377" s="15"/>
      <c r="SMR377" s="15"/>
      <c r="SMS377" s="15"/>
      <c r="SMT377" s="15"/>
      <c r="SMU377" s="10"/>
      <c r="SMV377" s="10"/>
      <c r="SMW377" s="21"/>
      <c r="SMX377" s="21"/>
      <c r="SNA377" s="21"/>
      <c r="SNB377" s="15"/>
      <c r="SNC377" s="15"/>
      <c r="SND377" s="15"/>
      <c r="SNE377" s="15"/>
      <c r="SNF377" s="15"/>
      <c r="SNG377" s="15"/>
      <c r="SNH377" s="15"/>
      <c r="SNI377" s="15"/>
      <c r="SNJ377" s="15"/>
      <c r="SNK377" s="15"/>
      <c r="SNL377" s="10"/>
      <c r="SNM377" s="10"/>
      <c r="SNN377" s="21"/>
      <c r="SNO377" s="21"/>
      <c r="SNR377" s="21"/>
      <c r="SNS377" s="15"/>
      <c r="SNT377" s="15"/>
      <c r="SNU377" s="15"/>
      <c r="SNV377" s="15"/>
      <c r="SNW377" s="15"/>
      <c r="SNX377" s="15"/>
      <c r="SNY377" s="15"/>
      <c r="SNZ377" s="15"/>
      <c r="SOA377" s="15"/>
      <c r="SOB377" s="15"/>
      <c r="SOC377" s="10"/>
      <c r="SOD377" s="10"/>
      <c r="SOE377" s="21"/>
      <c r="SOF377" s="21"/>
      <c r="SOI377" s="21"/>
      <c r="SOJ377" s="15"/>
      <c r="SOK377" s="15"/>
      <c r="SOL377" s="15"/>
      <c r="SOM377" s="15"/>
      <c r="SON377" s="15"/>
      <c r="SOO377" s="15"/>
      <c r="SOP377" s="15"/>
      <c r="SOQ377" s="15"/>
      <c r="SOR377" s="15"/>
      <c r="SOS377" s="15"/>
      <c r="SOT377" s="10"/>
      <c r="SOU377" s="10"/>
      <c r="SOV377" s="21"/>
      <c r="SOW377" s="21"/>
      <c r="SOZ377" s="21"/>
      <c r="SPA377" s="15"/>
      <c r="SPB377" s="15"/>
      <c r="SPC377" s="15"/>
      <c r="SPD377" s="15"/>
      <c r="SPE377" s="15"/>
      <c r="SPF377" s="15"/>
      <c r="SPG377" s="15"/>
      <c r="SPH377" s="15"/>
      <c r="SPI377" s="15"/>
      <c r="SPJ377" s="15"/>
      <c r="SPK377" s="10"/>
      <c r="SPL377" s="10"/>
      <c r="SPM377" s="21"/>
      <c r="SPN377" s="21"/>
      <c r="SPQ377" s="21"/>
      <c r="SPR377" s="15"/>
      <c r="SPS377" s="15"/>
      <c r="SPT377" s="15"/>
      <c r="SPU377" s="15"/>
      <c r="SPV377" s="15"/>
      <c r="SPW377" s="15"/>
      <c r="SPX377" s="15"/>
      <c r="SPY377" s="15"/>
      <c r="SPZ377" s="15"/>
      <c r="SQA377" s="15"/>
      <c r="SQB377" s="10"/>
      <c r="SQC377" s="10"/>
      <c r="SQD377" s="21"/>
      <c r="SQE377" s="21"/>
      <c r="SQH377" s="21"/>
      <c r="SQI377" s="15"/>
      <c r="SQJ377" s="15"/>
      <c r="SQK377" s="15"/>
      <c r="SQL377" s="15"/>
      <c r="SQM377" s="15"/>
      <c r="SQN377" s="15"/>
      <c r="SQO377" s="15"/>
      <c r="SQP377" s="15"/>
      <c r="SQQ377" s="15"/>
      <c r="SQR377" s="15"/>
      <c r="SQS377" s="10"/>
      <c r="SQT377" s="10"/>
      <c r="SQU377" s="21"/>
      <c r="SQV377" s="21"/>
      <c r="SQY377" s="21"/>
      <c r="SQZ377" s="15"/>
      <c r="SRA377" s="15"/>
      <c r="SRB377" s="15"/>
      <c r="SRC377" s="15"/>
      <c r="SRD377" s="15"/>
      <c r="SRE377" s="15"/>
      <c r="SRF377" s="15"/>
      <c r="SRG377" s="15"/>
      <c r="SRH377" s="15"/>
      <c r="SRI377" s="15"/>
      <c r="SRJ377" s="10"/>
      <c r="SRK377" s="10"/>
      <c r="SRL377" s="21"/>
      <c r="SRM377" s="21"/>
      <c r="SRP377" s="21"/>
      <c r="SRQ377" s="15"/>
      <c r="SRR377" s="15"/>
      <c r="SRS377" s="15"/>
      <c r="SRT377" s="15"/>
      <c r="SRU377" s="15"/>
      <c r="SRV377" s="15"/>
      <c r="SRW377" s="15"/>
      <c r="SRX377" s="15"/>
      <c r="SRY377" s="15"/>
      <c r="SRZ377" s="15"/>
      <c r="SSA377" s="10"/>
      <c r="SSB377" s="10"/>
      <c r="SSC377" s="21"/>
      <c r="SSD377" s="21"/>
      <c r="SSG377" s="21"/>
      <c r="SSH377" s="15"/>
      <c r="SSI377" s="15"/>
      <c r="SSJ377" s="15"/>
      <c r="SSK377" s="15"/>
      <c r="SSL377" s="15"/>
      <c r="SSM377" s="15"/>
      <c r="SSN377" s="15"/>
      <c r="SSO377" s="15"/>
      <c r="SSP377" s="15"/>
      <c r="SSQ377" s="15"/>
      <c r="SSR377" s="10"/>
      <c r="SSS377" s="10"/>
      <c r="SST377" s="21"/>
      <c r="SSU377" s="21"/>
      <c r="SSX377" s="21"/>
      <c r="SSY377" s="15"/>
      <c r="SSZ377" s="15"/>
      <c r="STA377" s="15"/>
      <c r="STB377" s="15"/>
      <c r="STC377" s="15"/>
      <c r="STD377" s="15"/>
      <c r="STE377" s="15"/>
      <c r="STF377" s="15"/>
      <c r="STG377" s="15"/>
      <c r="STH377" s="15"/>
      <c r="STI377" s="10"/>
      <c r="STJ377" s="10"/>
      <c r="STK377" s="21"/>
      <c r="STL377" s="21"/>
      <c r="STO377" s="21"/>
      <c r="STP377" s="15"/>
      <c r="STQ377" s="15"/>
      <c r="STR377" s="15"/>
      <c r="STS377" s="15"/>
      <c r="STT377" s="15"/>
      <c r="STU377" s="15"/>
      <c r="STV377" s="15"/>
      <c r="STW377" s="15"/>
      <c r="STX377" s="15"/>
      <c r="STY377" s="15"/>
      <c r="STZ377" s="10"/>
      <c r="SUA377" s="10"/>
      <c r="SUB377" s="21"/>
      <c r="SUC377" s="21"/>
      <c r="SUF377" s="21"/>
      <c r="SUG377" s="15"/>
      <c r="SUH377" s="15"/>
      <c r="SUI377" s="15"/>
      <c r="SUJ377" s="15"/>
      <c r="SUK377" s="15"/>
      <c r="SUL377" s="15"/>
      <c r="SUM377" s="15"/>
      <c r="SUN377" s="15"/>
      <c r="SUO377" s="15"/>
      <c r="SUP377" s="15"/>
      <c r="SUQ377" s="10"/>
      <c r="SUR377" s="10"/>
      <c r="SUS377" s="21"/>
      <c r="SUT377" s="21"/>
      <c r="SUW377" s="21"/>
      <c r="SUX377" s="15"/>
      <c r="SUY377" s="15"/>
      <c r="SUZ377" s="15"/>
      <c r="SVA377" s="15"/>
      <c r="SVB377" s="15"/>
      <c r="SVC377" s="15"/>
      <c r="SVD377" s="15"/>
      <c r="SVE377" s="15"/>
      <c r="SVF377" s="15"/>
      <c r="SVG377" s="15"/>
      <c r="SVH377" s="10"/>
      <c r="SVI377" s="10"/>
      <c r="SVJ377" s="21"/>
      <c r="SVK377" s="21"/>
      <c r="SVN377" s="21"/>
      <c r="SVO377" s="15"/>
      <c r="SVP377" s="15"/>
      <c r="SVQ377" s="15"/>
      <c r="SVR377" s="15"/>
      <c r="SVS377" s="15"/>
      <c r="SVT377" s="15"/>
      <c r="SVU377" s="15"/>
      <c r="SVV377" s="15"/>
      <c r="SVW377" s="15"/>
      <c r="SVX377" s="15"/>
      <c r="SVY377" s="10"/>
      <c r="SVZ377" s="10"/>
      <c r="SWA377" s="21"/>
      <c r="SWB377" s="21"/>
      <c r="SWE377" s="21"/>
      <c r="SWF377" s="15"/>
      <c r="SWG377" s="15"/>
      <c r="SWH377" s="15"/>
      <c r="SWI377" s="15"/>
      <c r="SWJ377" s="15"/>
      <c r="SWK377" s="15"/>
      <c r="SWL377" s="15"/>
      <c r="SWM377" s="15"/>
      <c r="SWN377" s="15"/>
      <c r="SWO377" s="15"/>
      <c r="SWP377" s="10"/>
      <c r="SWQ377" s="10"/>
      <c r="SWR377" s="21"/>
      <c r="SWS377" s="21"/>
      <c r="SWV377" s="21"/>
      <c r="SWW377" s="15"/>
      <c r="SWX377" s="15"/>
      <c r="SWY377" s="15"/>
      <c r="SWZ377" s="15"/>
      <c r="SXA377" s="15"/>
      <c r="SXB377" s="15"/>
      <c r="SXC377" s="15"/>
      <c r="SXD377" s="15"/>
      <c r="SXE377" s="15"/>
      <c r="SXF377" s="15"/>
      <c r="SXG377" s="10"/>
      <c r="SXH377" s="10"/>
      <c r="SXI377" s="21"/>
      <c r="SXJ377" s="21"/>
      <c r="SXM377" s="21"/>
      <c r="SXN377" s="15"/>
      <c r="SXO377" s="15"/>
      <c r="SXP377" s="15"/>
      <c r="SXQ377" s="15"/>
      <c r="SXR377" s="15"/>
      <c r="SXS377" s="15"/>
      <c r="SXT377" s="15"/>
      <c r="SXU377" s="15"/>
      <c r="SXV377" s="15"/>
      <c r="SXW377" s="15"/>
      <c r="SXX377" s="10"/>
      <c r="SXY377" s="10"/>
      <c r="SXZ377" s="21"/>
      <c r="SYA377" s="21"/>
      <c r="SYD377" s="21"/>
      <c r="SYE377" s="15"/>
      <c r="SYF377" s="15"/>
      <c r="SYG377" s="15"/>
      <c r="SYH377" s="15"/>
      <c r="SYI377" s="15"/>
      <c r="SYJ377" s="15"/>
      <c r="SYK377" s="15"/>
      <c r="SYL377" s="15"/>
      <c r="SYM377" s="15"/>
      <c r="SYN377" s="15"/>
      <c r="SYO377" s="10"/>
      <c r="SYP377" s="10"/>
      <c r="SYQ377" s="21"/>
      <c r="SYR377" s="21"/>
      <c r="SYU377" s="21"/>
      <c r="SYV377" s="15"/>
      <c r="SYW377" s="15"/>
      <c r="SYX377" s="15"/>
      <c r="SYY377" s="15"/>
      <c r="SYZ377" s="15"/>
      <c r="SZA377" s="15"/>
      <c r="SZB377" s="15"/>
      <c r="SZC377" s="15"/>
      <c r="SZD377" s="15"/>
      <c r="SZE377" s="15"/>
      <c r="SZF377" s="10"/>
      <c r="SZG377" s="10"/>
      <c r="SZH377" s="21"/>
      <c r="SZI377" s="21"/>
      <c r="SZL377" s="21"/>
      <c r="SZM377" s="15"/>
      <c r="SZN377" s="15"/>
      <c r="SZO377" s="15"/>
      <c r="SZP377" s="15"/>
      <c r="SZQ377" s="15"/>
      <c r="SZR377" s="15"/>
      <c r="SZS377" s="15"/>
      <c r="SZT377" s="15"/>
      <c r="SZU377" s="15"/>
      <c r="SZV377" s="15"/>
      <c r="SZW377" s="10"/>
      <c r="SZX377" s="10"/>
      <c r="SZY377" s="21"/>
      <c r="SZZ377" s="21"/>
      <c r="TAC377" s="21"/>
      <c r="TAD377" s="15"/>
      <c r="TAE377" s="15"/>
      <c r="TAF377" s="15"/>
      <c r="TAG377" s="15"/>
      <c r="TAH377" s="15"/>
      <c r="TAI377" s="15"/>
      <c r="TAJ377" s="15"/>
      <c r="TAK377" s="15"/>
      <c r="TAL377" s="15"/>
      <c r="TAM377" s="15"/>
      <c r="TAN377" s="10"/>
      <c r="TAO377" s="10"/>
      <c r="TAP377" s="21"/>
      <c r="TAQ377" s="21"/>
      <c r="TAT377" s="21"/>
      <c r="TAU377" s="15"/>
      <c r="TAV377" s="15"/>
      <c r="TAW377" s="15"/>
      <c r="TAX377" s="15"/>
      <c r="TAY377" s="15"/>
      <c r="TAZ377" s="15"/>
      <c r="TBA377" s="15"/>
      <c r="TBB377" s="15"/>
      <c r="TBC377" s="15"/>
      <c r="TBD377" s="15"/>
      <c r="TBE377" s="10"/>
      <c r="TBF377" s="10"/>
      <c r="TBG377" s="21"/>
      <c r="TBH377" s="21"/>
      <c r="TBK377" s="21"/>
      <c r="TBL377" s="15"/>
      <c r="TBM377" s="15"/>
      <c r="TBN377" s="15"/>
      <c r="TBO377" s="15"/>
      <c r="TBP377" s="15"/>
      <c r="TBQ377" s="15"/>
      <c r="TBR377" s="15"/>
      <c r="TBS377" s="15"/>
      <c r="TBT377" s="15"/>
      <c r="TBU377" s="15"/>
      <c r="TBV377" s="10"/>
      <c r="TBW377" s="10"/>
      <c r="TBX377" s="21"/>
      <c r="TBY377" s="21"/>
      <c r="TCB377" s="21"/>
      <c r="TCC377" s="15"/>
      <c r="TCD377" s="15"/>
      <c r="TCE377" s="15"/>
      <c r="TCF377" s="15"/>
      <c r="TCG377" s="15"/>
      <c r="TCH377" s="15"/>
      <c r="TCI377" s="15"/>
      <c r="TCJ377" s="15"/>
      <c r="TCK377" s="15"/>
      <c r="TCL377" s="15"/>
      <c r="TCM377" s="10"/>
      <c r="TCN377" s="10"/>
      <c r="TCO377" s="21"/>
      <c r="TCP377" s="21"/>
      <c r="TCS377" s="21"/>
      <c r="TCT377" s="15"/>
      <c r="TCU377" s="15"/>
      <c r="TCV377" s="15"/>
      <c r="TCW377" s="15"/>
      <c r="TCX377" s="15"/>
      <c r="TCY377" s="15"/>
      <c r="TCZ377" s="15"/>
      <c r="TDA377" s="15"/>
      <c r="TDB377" s="15"/>
      <c r="TDC377" s="15"/>
      <c r="TDD377" s="10"/>
      <c r="TDE377" s="10"/>
      <c r="TDF377" s="21"/>
      <c r="TDG377" s="21"/>
      <c r="TDJ377" s="21"/>
      <c r="TDK377" s="15"/>
      <c r="TDL377" s="15"/>
      <c r="TDM377" s="15"/>
      <c r="TDN377" s="15"/>
      <c r="TDO377" s="15"/>
      <c r="TDP377" s="15"/>
      <c r="TDQ377" s="15"/>
      <c r="TDR377" s="15"/>
      <c r="TDS377" s="15"/>
      <c r="TDT377" s="15"/>
      <c r="TDU377" s="10"/>
      <c r="TDV377" s="10"/>
      <c r="TDW377" s="21"/>
      <c r="TDX377" s="21"/>
      <c r="TEA377" s="21"/>
      <c r="TEB377" s="15"/>
      <c r="TEC377" s="15"/>
      <c r="TED377" s="15"/>
      <c r="TEE377" s="15"/>
      <c r="TEF377" s="15"/>
      <c r="TEG377" s="15"/>
      <c r="TEH377" s="15"/>
      <c r="TEI377" s="15"/>
      <c r="TEJ377" s="15"/>
      <c r="TEK377" s="15"/>
      <c r="TEL377" s="10"/>
      <c r="TEM377" s="10"/>
      <c r="TEN377" s="21"/>
      <c r="TEO377" s="21"/>
      <c r="TER377" s="21"/>
      <c r="TES377" s="15"/>
      <c r="TET377" s="15"/>
      <c r="TEU377" s="15"/>
      <c r="TEV377" s="15"/>
      <c r="TEW377" s="15"/>
      <c r="TEX377" s="15"/>
      <c r="TEY377" s="15"/>
      <c r="TEZ377" s="15"/>
      <c r="TFA377" s="15"/>
      <c r="TFB377" s="15"/>
      <c r="TFC377" s="10"/>
      <c r="TFD377" s="10"/>
      <c r="TFE377" s="21"/>
      <c r="TFF377" s="21"/>
      <c r="TFI377" s="21"/>
      <c r="TFJ377" s="15"/>
      <c r="TFK377" s="15"/>
      <c r="TFL377" s="15"/>
      <c r="TFM377" s="15"/>
      <c r="TFN377" s="15"/>
      <c r="TFO377" s="15"/>
      <c r="TFP377" s="15"/>
      <c r="TFQ377" s="15"/>
      <c r="TFR377" s="15"/>
      <c r="TFS377" s="15"/>
      <c r="TFT377" s="10"/>
      <c r="TFU377" s="10"/>
      <c r="TFV377" s="21"/>
      <c r="TFW377" s="21"/>
      <c r="TFZ377" s="21"/>
      <c r="TGA377" s="15"/>
      <c r="TGB377" s="15"/>
      <c r="TGC377" s="15"/>
      <c r="TGD377" s="15"/>
      <c r="TGE377" s="15"/>
      <c r="TGF377" s="15"/>
      <c r="TGG377" s="15"/>
      <c r="TGH377" s="15"/>
      <c r="TGI377" s="15"/>
      <c r="TGJ377" s="15"/>
      <c r="TGK377" s="10"/>
      <c r="TGL377" s="10"/>
      <c r="TGM377" s="21"/>
      <c r="TGN377" s="21"/>
      <c r="TGQ377" s="21"/>
      <c r="TGR377" s="15"/>
      <c r="TGS377" s="15"/>
      <c r="TGT377" s="15"/>
      <c r="TGU377" s="15"/>
      <c r="TGV377" s="15"/>
      <c r="TGW377" s="15"/>
      <c r="TGX377" s="15"/>
      <c r="TGY377" s="15"/>
      <c r="TGZ377" s="15"/>
      <c r="THA377" s="15"/>
      <c r="THB377" s="10"/>
      <c r="THC377" s="10"/>
      <c r="THD377" s="21"/>
      <c r="THE377" s="21"/>
      <c r="THH377" s="21"/>
      <c r="THI377" s="15"/>
      <c r="THJ377" s="15"/>
      <c r="THK377" s="15"/>
      <c r="THL377" s="15"/>
      <c r="THM377" s="15"/>
      <c r="THN377" s="15"/>
      <c r="THO377" s="15"/>
      <c r="THP377" s="15"/>
      <c r="THQ377" s="15"/>
      <c r="THR377" s="15"/>
      <c r="THS377" s="10"/>
      <c r="THT377" s="10"/>
      <c r="THU377" s="21"/>
      <c r="THV377" s="21"/>
      <c r="THY377" s="21"/>
      <c r="THZ377" s="15"/>
      <c r="TIA377" s="15"/>
      <c r="TIB377" s="15"/>
      <c r="TIC377" s="15"/>
      <c r="TID377" s="15"/>
      <c r="TIE377" s="15"/>
      <c r="TIF377" s="15"/>
      <c r="TIG377" s="15"/>
      <c r="TIH377" s="15"/>
      <c r="TII377" s="15"/>
      <c r="TIJ377" s="10"/>
      <c r="TIK377" s="10"/>
      <c r="TIL377" s="21"/>
      <c r="TIM377" s="21"/>
      <c r="TIP377" s="21"/>
      <c r="TIQ377" s="15"/>
      <c r="TIR377" s="15"/>
      <c r="TIS377" s="15"/>
      <c r="TIT377" s="15"/>
      <c r="TIU377" s="15"/>
      <c r="TIV377" s="15"/>
      <c r="TIW377" s="15"/>
      <c r="TIX377" s="15"/>
      <c r="TIY377" s="15"/>
      <c r="TIZ377" s="15"/>
      <c r="TJA377" s="10"/>
      <c r="TJB377" s="10"/>
      <c r="TJC377" s="21"/>
      <c r="TJD377" s="21"/>
      <c r="TJG377" s="21"/>
      <c r="TJH377" s="15"/>
      <c r="TJI377" s="15"/>
      <c r="TJJ377" s="15"/>
      <c r="TJK377" s="15"/>
      <c r="TJL377" s="15"/>
      <c r="TJM377" s="15"/>
      <c r="TJN377" s="15"/>
      <c r="TJO377" s="15"/>
      <c r="TJP377" s="15"/>
      <c r="TJQ377" s="15"/>
      <c r="TJR377" s="10"/>
      <c r="TJS377" s="10"/>
      <c r="TJT377" s="21"/>
      <c r="TJU377" s="21"/>
      <c r="TJX377" s="21"/>
      <c r="TJY377" s="15"/>
      <c r="TJZ377" s="15"/>
      <c r="TKA377" s="15"/>
      <c r="TKB377" s="15"/>
      <c r="TKC377" s="15"/>
      <c r="TKD377" s="15"/>
      <c r="TKE377" s="15"/>
      <c r="TKF377" s="15"/>
      <c r="TKG377" s="15"/>
      <c r="TKH377" s="15"/>
      <c r="TKI377" s="10"/>
      <c r="TKJ377" s="10"/>
      <c r="TKK377" s="21"/>
      <c r="TKL377" s="21"/>
      <c r="TKO377" s="21"/>
      <c r="TKP377" s="15"/>
      <c r="TKQ377" s="15"/>
      <c r="TKR377" s="15"/>
      <c r="TKS377" s="15"/>
      <c r="TKT377" s="15"/>
      <c r="TKU377" s="15"/>
      <c r="TKV377" s="15"/>
      <c r="TKW377" s="15"/>
      <c r="TKX377" s="15"/>
      <c r="TKY377" s="15"/>
      <c r="TKZ377" s="10"/>
      <c r="TLA377" s="10"/>
      <c r="TLB377" s="21"/>
      <c r="TLC377" s="21"/>
      <c r="TLF377" s="21"/>
      <c r="TLG377" s="15"/>
      <c r="TLH377" s="15"/>
      <c r="TLI377" s="15"/>
      <c r="TLJ377" s="15"/>
      <c r="TLK377" s="15"/>
      <c r="TLL377" s="15"/>
      <c r="TLM377" s="15"/>
      <c r="TLN377" s="15"/>
      <c r="TLO377" s="15"/>
      <c r="TLP377" s="15"/>
      <c r="TLQ377" s="10"/>
      <c r="TLR377" s="10"/>
      <c r="TLS377" s="21"/>
      <c r="TLT377" s="21"/>
      <c r="TLW377" s="21"/>
      <c r="TLX377" s="15"/>
      <c r="TLY377" s="15"/>
      <c r="TLZ377" s="15"/>
      <c r="TMA377" s="15"/>
      <c r="TMB377" s="15"/>
      <c r="TMC377" s="15"/>
      <c r="TMD377" s="15"/>
      <c r="TME377" s="15"/>
      <c r="TMF377" s="15"/>
      <c r="TMG377" s="15"/>
      <c r="TMH377" s="10"/>
      <c r="TMI377" s="10"/>
      <c r="TMJ377" s="21"/>
      <c r="TMK377" s="21"/>
      <c r="TMN377" s="21"/>
      <c r="TMO377" s="15"/>
      <c r="TMP377" s="15"/>
      <c r="TMQ377" s="15"/>
      <c r="TMR377" s="15"/>
      <c r="TMS377" s="15"/>
      <c r="TMT377" s="15"/>
      <c r="TMU377" s="15"/>
      <c r="TMV377" s="15"/>
      <c r="TMW377" s="15"/>
      <c r="TMX377" s="15"/>
      <c r="TMY377" s="10"/>
      <c r="TMZ377" s="10"/>
      <c r="TNA377" s="21"/>
      <c r="TNB377" s="21"/>
      <c r="TNE377" s="21"/>
      <c r="TNF377" s="15"/>
      <c r="TNG377" s="15"/>
      <c r="TNH377" s="15"/>
      <c r="TNI377" s="15"/>
      <c r="TNJ377" s="15"/>
      <c r="TNK377" s="15"/>
      <c r="TNL377" s="15"/>
      <c r="TNM377" s="15"/>
      <c r="TNN377" s="15"/>
      <c r="TNO377" s="15"/>
      <c r="TNP377" s="10"/>
      <c r="TNQ377" s="10"/>
      <c r="TNR377" s="21"/>
      <c r="TNS377" s="21"/>
      <c r="TNV377" s="21"/>
      <c r="TNW377" s="15"/>
      <c r="TNX377" s="15"/>
      <c r="TNY377" s="15"/>
      <c r="TNZ377" s="15"/>
      <c r="TOA377" s="15"/>
      <c r="TOB377" s="15"/>
      <c r="TOC377" s="15"/>
      <c r="TOD377" s="15"/>
      <c r="TOE377" s="15"/>
      <c r="TOF377" s="15"/>
      <c r="TOG377" s="10"/>
      <c r="TOH377" s="10"/>
      <c r="TOI377" s="21"/>
      <c r="TOJ377" s="21"/>
      <c r="TOM377" s="21"/>
      <c r="TON377" s="15"/>
      <c r="TOO377" s="15"/>
      <c r="TOP377" s="15"/>
      <c r="TOQ377" s="15"/>
      <c r="TOR377" s="15"/>
      <c r="TOS377" s="15"/>
      <c r="TOT377" s="15"/>
      <c r="TOU377" s="15"/>
      <c r="TOV377" s="15"/>
      <c r="TOW377" s="15"/>
      <c r="TOX377" s="10"/>
      <c r="TOY377" s="10"/>
      <c r="TOZ377" s="21"/>
      <c r="TPA377" s="21"/>
      <c r="TPD377" s="21"/>
      <c r="TPE377" s="15"/>
      <c r="TPF377" s="15"/>
      <c r="TPG377" s="15"/>
      <c r="TPH377" s="15"/>
      <c r="TPI377" s="15"/>
      <c r="TPJ377" s="15"/>
      <c r="TPK377" s="15"/>
      <c r="TPL377" s="15"/>
      <c r="TPM377" s="15"/>
      <c r="TPN377" s="15"/>
      <c r="TPO377" s="10"/>
      <c r="TPP377" s="10"/>
      <c r="TPQ377" s="21"/>
      <c r="TPR377" s="21"/>
      <c r="TPU377" s="21"/>
      <c r="TPV377" s="15"/>
      <c r="TPW377" s="15"/>
      <c r="TPX377" s="15"/>
      <c r="TPY377" s="15"/>
      <c r="TPZ377" s="15"/>
      <c r="TQA377" s="15"/>
      <c r="TQB377" s="15"/>
      <c r="TQC377" s="15"/>
      <c r="TQD377" s="15"/>
      <c r="TQE377" s="15"/>
      <c r="TQF377" s="10"/>
      <c r="TQG377" s="10"/>
      <c r="TQH377" s="21"/>
      <c r="TQI377" s="21"/>
      <c r="TQL377" s="21"/>
      <c r="TQM377" s="15"/>
      <c r="TQN377" s="15"/>
      <c r="TQO377" s="15"/>
      <c r="TQP377" s="15"/>
      <c r="TQQ377" s="15"/>
      <c r="TQR377" s="15"/>
      <c r="TQS377" s="15"/>
      <c r="TQT377" s="15"/>
      <c r="TQU377" s="15"/>
      <c r="TQV377" s="15"/>
      <c r="TQW377" s="10"/>
      <c r="TQX377" s="10"/>
      <c r="TQY377" s="21"/>
      <c r="TQZ377" s="21"/>
      <c r="TRC377" s="21"/>
      <c r="TRD377" s="15"/>
      <c r="TRE377" s="15"/>
      <c r="TRF377" s="15"/>
      <c r="TRG377" s="15"/>
      <c r="TRH377" s="15"/>
      <c r="TRI377" s="15"/>
      <c r="TRJ377" s="15"/>
      <c r="TRK377" s="15"/>
      <c r="TRL377" s="15"/>
      <c r="TRM377" s="15"/>
      <c r="TRN377" s="10"/>
      <c r="TRO377" s="10"/>
      <c r="TRP377" s="21"/>
      <c r="TRQ377" s="21"/>
      <c r="TRT377" s="21"/>
      <c r="TRU377" s="15"/>
      <c r="TRV377" s="15"/>
      <c r="TRW377" s="15"/>
      <c r="TRX377" s="15"/>
      <c r="TRY377" s="15"/>
      <c r="TRZ377" s="15"/>
      <c r="TSA377" s="15"/>
      <c r="TSB377" s="15"/>
      <c r="TSC377" s="15"/>
      <c r="TSD377" s="15"/>
      <c r="TSE377" s="10"/>
      <c r="TSF377" s="10"/>
      <c r="TSG377" s="21"/>
      <c r="TSH377" s="21"/>
      <c r="TSK377" s="21"/>
      <c r="TSL377" s="15"/>
      <c r="TSM377" s="15"/>
      <c r="TSN377" s="15"/>
      <c r="TSO377" s="15"/>
      <c r="TSP377" s="15"/>
      <c r="TSQ377" s="15"/>
      <c r="TSR377" s="15"/>
      <c r="TSS377" s="15"/>
      <c r="TST377" s="15"/>
      <c r="TSU377" s="15"/>
      <c r="TSV377" s="10"/>
      <c r="TSW377" s="10"/>
      <c r="TSX377" s="21"/>
      <c r="TSY377" s="21"/>
      <c r="TTB377" s="21"/>
      <c r="TTC377" s="15"/>
      <c r="TTD377" s="15"/>
      <c r="TTE377" s="15"/>
      <c r="TTF377" s="15"/>
      <c r="TTG377" s="15"/>
      <c r="TTH377" s="15"/>
      <c r="TTI377" s="15"/>
      <c r="TTJ377" s="15"/>
      <c r="TTK377" s="15"/>
      <c r="TTL377" s="15"/>
      <c r="TTM377" s="10"/>
      <c r="TTN377" s="10"/>
      <c r="TTO377" s="21"/>
      <c r="TTP377" s="21"/>
      <c r="TTS377" s="21"/>
      <c r="TTT377" s="15"/>
      <c r="TTU377" s="15"/>
      <c r="TTV377" s="15"/>
      <c r="TTW377" s="15"/>
      <c r="TTX377" s="15"/>
      <c r="TTY377" s="15"/>
      <c r="TTZ377" s="15"/>
      <c r="TUA377" s="15"/>
      <c r="TUB377" s="15"/>
      <c r="TUC377" s="15"/>
      <c r="TUD377" s="10"/>
      <c r="TUE377" s="10"/>
      <c r="TUF377" s="21"/>
      <c r="TUG377" s="21"/>
      <c r="TUJ377" s="21"/>
      <c r="TUK377" s="15"/>
      <c r="TUL377" s="15"/>
      <c r="TUM377" s="15"/>
      <c r="TUN377" s="15"/>
      <c r="TUO377" s="15"/>
      <c r="TUP377" s="15"/>
      <c r="TUQ377" s="15"/>
      <c r="TUR377" s="15"/>
      <c r="TUS377" s="15"/>
      <c r="TUT377" s="15"/>
      <c r="TUU377" s="10"/>
      <c r="TUV377" s="10"/>
      <c r="TUW377" s="21"/>
      <c r="TUX377" s="21"/>
      <c r="TVA377" s="21"/>
      <c r="TVB377" s="15"/>
      <c r="TVC377" s="15"/>
      <c r="TVD377" s="15"/>
      <c r="TVE377" s="15"/>
      <c r="TVF377" s="15"/>
      <c r="TVG377" s="15"/>
      <c r="TVH377" s="15"/>
      <c r="TVI377" s="15"/>
      <c r="TVJ377" s="15"/>
      <c r="TVK377" s="15"/>
      <c r="TVL377" s="10"/>
      <c r="TVM377" s="10"/>
      <c r="TVN377" s="21"/>
      <c r="TVO377" s="21"/>
      <c r="TVR377" s="21"/>
      <c r="TVS377" s="15"/>
      <c r="TVT377" s="15"/>
      <c r="TVU377" s="15"/>
      <c r="TVV377" s="15"/>
      <c r="TVW377" s="15"/>
      <c r="TVX377" s="15"/>
      <c r="TVY377" s="15"/>
      <c r="TVZ377" s="15"/>
      <c r="TWA377" s="15"/>
      <c r="TWB377" s="15"/>
      <c r="TWC377" s="10"/>
      <c r="TWD377" s="10"/>
      <c r="TWE377" s="21"/>
      <c r="TWF377" s="21"/>
      <c r="TWI377" s="21"/>
      <c r="TWJ377" s="15"/>
      <c r="TWK377" s="15"/>
      <c r="TWL377" s="15"/>
      <c r="TWM377" s="15"/>
      <c r="TWN377" s="15"/>
      <c r="TWO377" s="15"/>
      <c r="TWP377" s="15"/>
      <c r="TWQ377" s="15"/>
      <c r="TWR377" s="15"/>
      <c r="TWS377" s="15"/>
      <c r="TWT377" s="10"/>
      <c r="TWU377" s="10"/>
      <c r="TWV377" s="21"/>
      <c r="TWW377" s="21"/>
      <c r="TWZ377" s="21"/>
      <c r="TXA377" s="15"/>
      <c r="TXB377" s="15"/>
      <c r="TXC377" s="15"/>
      <c r="TXD377" s="15"/>
      <c r="TXE377" s="15"/>
      <c r="TXF377" s="15"/>
      <c r="TXG377" s="15"/>
      <c r="TXH377" s="15"/>
      <c r="TXI377" s="15"/>
      <c r="TXJ377" s="15"/>
      <c r="TXK377" s="10"/>
      <c r="TXL377" s="10"/>
      <c r="TXM377" s="21"/>
      <c r="TXN377" s="21"/>
      <c r="TXQ377" s="21"/>
      <c r="TXR377" s="15"/>
      <c r="TXS377" s="15"/>
      <c r="TXT377" s="15"/>
      <c r="TXU377" s="15"/>
      <c r="TXV377" s="15"/>
      <c r="TXW377" s="15"/>
      <c r="TXX377" s="15"/>
      <c r="TXY377" s="15"/>
      <c r="TXZ377" s="15"/>
      <c r="TYA377" s="15"/>
      <c r="TYB377" s="10"/>
      <c r="TYC377" s="10"/>
      <c r="TYD377" s="21"/>
      <c r="TYE377" s="21"/>
      <c r="TYH377" s="21"/>
      <c r="TYI377" s="15"/>
      <c r="TYJ377" s="15"/>
      <c r="TYK377" s="15"/>
      <c r="TYL377" s="15"/>
      <c r="TYM377" s="15"/>
      <c r="TYN377" s="15"/>
      <c r="TYO377" s="15"/>
      <c r="TYP377" s="15"/>
      <c r="TYQ377" s="15"/>
      <c r="TYR377" s="15"/>
      <c r="TYS377" s="10"/>
      <c r="TYT377" s="10"/>
      <c r="TYU377" s="21"/>
      <c r="TYV377" s="21"/>
      <c r="TYY377" s="21"/>
      <c r="TYZ377" s="15"/>
      <c r="TZA377" s="15"/>
      <c r="TZB377" s="15"/>
      <c r="TZC377" s="15"/>
      <c r="TZD377" s="15"/>
      <c r="TZE377" s="15"/>
      <c r="TZF377" s="15"/>
      <c r="TZG377" s="15"/>
      <c r="TZH377" s="15"/>
      <c r="TZI377" s="15"/>
      <c r="TZJ377" s="10"/>
      <c r="TZK377" s="10"/>
      <c r="TZL377" s="21"/>
      <c r="TZM377" s="21"/>
      <c r="TZP377" s="21"/>
      <c r="TZQ377" s="15"/>
      <c r="TZR377" s="15"/>
      <c r="TZS377" s="15"/>
      <c r="TZT377" s="15"/>
      <c r="TZU377" s="15"/>
      <c r="TZV377" s="15"/>
      <c r="TZW377" s="15"/>
      <c r="TZX377" s="15"/>
      <c r="TZY377" s="15"/>
      <c r="TZZ377" s="15"/>
      <c r="UAA377" s="10"/>
      <c r="UAB377" s="10"/>
      <c r="UAC377" s="21"/>
      <c r="UAD377" s="21"/>
      <c r="UAG377" s="21"/>
      <c r="UAH377" s="15"/>
      <c r="UAI377" s="15"/>
      <c r="UAJ377" s="15"/>
      <c r="UAK377" s="15"/>
      <c r="UAL377" s="15"/>
      <c r="UAM377" s="15"/>
      <c r="UAN377" s="15"/>
      <c r="UAO377" s="15"/>
      <c r="UAP377" s="15"/>
      <c r="UAQ377" s="15"/>
      <c r="UAR377" s="10"/>
      <c r="UAS377" s="10"/>
      <c r="UAT377" s="21"/>
      <c r="UAU377" s="21"/>
      <c r="UAX377" s="21"/>
      <c r="UAY377" s="15"/>
      <c r="UAZ377" s="15"/>
      <c r="UBA377" s="15"/>
      <c r="UBB377" s="15"/>
      <c r="UBC377" s="15"/>
      <c r="UBD377" s="15"/>
      <c r="UBE377" s="15"/>
      <c r="UBF377" s="15"/>
      <c r="UBG377" s="15"/>
      <c r="UBH377" s="15"/>
      <c r="UBI377" s="10"/>
      <c r="UBJ377" s="10"/>
      <c r="UBK377" s="21"/>
      <c r="UBL377" s="21"/>
      <c r="UBO377" s="21"/>
      <c r="UBP377" s="15"/>
      <c r="UBQ377" s="15"/>
      <c r="UBR377" s="15"/>
      <c r="UBS377" s="15"/>
      <c r="UBT377" s="15"/>
      <c r="UBU377" s="15"/>
      <c r="UBV377" s="15"/>
      <c r="UBW377" s="15"/>
      <c r="UBX377" s="15"/>
      <c r="UBY377" s="15"/>
      <c r="UBZ377" s="10"/>
      <c r="UCA377" s="10"/>
      <c r="UCB377" s="21"/>
      <c r="UCC377" s="21"/>
      <c r="UCF377" s="21"/>
      <c r="UCG377" s="15"/>
      <c r="UCH377" s="15"/>
      <c r="UCI377" s="15"/>
      <c r="UCJ377" s="15"/>
      <c r="UCK377" s="15"/>
      <c r="UCL377" s="15"/>
      <c r="UCM377" s="15"/>
      <c r="UCN377" s="15"/>
      <c r="UCO377" s="15"/>
      <c r="UCP377" s="15"/>
      <c r="UCQ377" s="10"/>
      <c r="UCR377" s="10"/>
      <c r="UCS377" s="21"/>
      <c r="UCT377" s="21"/>
      <c r="UCW377" s="21"/>
      <c r="UCX377" s="15"/>
      <c r="UCY377" s="15"/>
      <c r="UCZ377" s="15"/>
      <c r="UDA377" s="15"/>
      <c r="UDB377" s="15"/>
      <c r="UDC377" s="15"/>
      <c r="UDD377" s="15"/>
      <c r="UDE377" s="15"/>
      <c r="UDF377" s="15"/>
      <c r="UDG377" s="15"/>
      <c r="UDH377" s="10"/>
      <c r="UDI377" s="10"/>
      <c r="UDJ377" s="21"/>
      <c r="UDK377" s="21"/>
      <c r="UDN377" s="21"/>
      <c r="UDO377" s="15"/>
      <c r="UDP377" s="15"/>
      <c r="UDQ377" s="15"/>
      <c r="UDR377" s="15"/>
      <c r="UDS377" s="15"/>
      <c r="UDT377" s="15"/>
      <c r="UDU377" s="15"/>
      <c r="UDV377" s="15"/>
      <c r="UDW377" s="15"/>
      <c r="UDX377" s="15"/>
      <c r="UDY377" s="10"/>
      <c r="UDZ377" s="10"/>
      <c r="UEA377" s="21"/>
      <c r="UEB377" s="21"/>
      <c r="UEE377" s="21"/>
      <c r="UEF377" s="15"/>
      <c r="UEG377" s="15"/>
      <c r="UEH377" s="15"/>
      <c r="UEI377" s="15"/>
      <c r="UEJ377" s="15"/>
      <c r="UEK377" s="15"/>
      <c r="UEL377" s="15"/>
      <c r="UEM377" s="15"/>
      <c r="UEN377" s="15"/>
      <c r="UEO377" s="15"/>
      <c r="UEP377" s="10"/>
      <c r="UEQ377" s="10"/>
      <c r="UER377" s="21"/>
      <c r="UES377" s="21"/>
      <c r="UEV377" s="21"/>
      <c r="UEW377" s="15"/>
      <c r="UEX377" s="15"/>
      <c r="UEY377" s="15"/>
      <c r="UEZ377" s="15"/>
      <c r="UFA377" s="15"/>
      <c r="UFB377" s="15"/>
      <c r="UFC377" s="15"/>
      <c r="UFD377" s="15"/>
      <c r="UFE377" s="15"/>
      <c r="UFF377" s="15"/>
      <c r="UFG377" s="10"/>
      <c r="UFH377" s="10"/>
      <c r="UFI377" s="21"/>
      <c r="UFJ377" s="21"/>
      <c r="UFM377" s="21"/>
      <c r="UFN377" s="15"/>
      <c r="UFO377" s="15"/>
      <c r="UFP377" s="15"/>
      <c r="UFQ377" s="15"/>
      <c r="UFR377" s="15"/>
      <c r="UFS377" s="15"/>
      <c r="UFT377" s="15"/>
      <c r="UFU377" s="15"/>
      <c r="UFV377" s="15"/>
      <c r="UFW377" s="15"/>
      <c r="UFX377" s="10"/>
      <c r="UFY377" s="10"/>
      <c r="UFZ377" s="21"/>
      <c r="UGA377" s="21"/>
      <c r="UGD377" s="21"/>
      <c r="UGE377" s="15"/>
      <c r="UGF377" s="15"/>
      <c r="UGG377" s="15"/>
      <c r="UGH377" s="15"/>
      <c r="UGI377" s="15"/>
      <c r="UGJ377" s="15"/>
      <c r="UGK377" s="15"/>
      <c r="UGL377" s="15"/>
      <c r="UGM377" s="15"/>
      <c r="UGN377" s="15"/>
      <c r="UGO377" s="10"/>
      <c r="UGP377" s="10"/>
      <c r="UGQ377" s="21"/>
      <c r="UGR377" s="21"/>
      <c r="UGU377" s="21"/>
      <c r="UGV377" s="15"/>
      <c r="UGW377" s="15"/>
      <c r="UGX377" s="15"/>
      <c r="UGY377" s="15"/>
      <c r="UGZ377" s="15"/>
      <c r="UHA377" s="15"/>
      <c r="UHB377" s="15"/>
      <c r="UHC377" s="15"/>
      <c r="UHD377" s="15"/>
      <c r="UHE377" s="15"/>
      <c r="UHF377" s="10"/>
      <c r="UHG377" s="10"/>
      <c r="UHH377" s="21"/>
      <c r="UHI377" s="21"/>
      <c r="UHL377" s="21"/>
      <c r="UHM377" s="15"/>
      <c r="UHN377" s="15"/>
      <c r="UHO377" s="15"/>
      <c r="UHP377" s="15"/>
      <c r="UHQ377" s="15"/>
      <c r="UHR377" s="15"/>
      <c r="UHS377" s="15"/>
      <c r="UHT377" s="15"/>
      <c r="UHU377" s="15"/>
      <c r="UHV377" s="15"/>
      <c r="UHW377" s="10"/>
      <c r="UHX377" s="10"/>
      <c r="UHY377" s="21"/>
      <c r="UHZ377" s="21"/>
      <c r="UIC377" s="21"/>
      <c r="UID377" s="15"/>
      <c r="UIE377" s="15"/>
      <c r="UIF377" s="15"/>
      <c r="UIG377" s="15"/>
      <c r="UIH377" s="15"/>
      <c r="UII377" s="15"/>
      <c r="UIJ377" s="15"/>
      <c r="UIK377" s="15"/>
      <c r="UIL377" s="15"/>
      <c r="UIM377" s="15"/>
      <c r="UIN377" s="10"/>
      <c r="UIO377" s="10"/>
      <c r="UIP377" s="21"/>
      <c r="UIQ377" s="21"/>
      <c r="UIT377" s="21"/>
      <c r="UIU377" s="15"/>
      <c r="UIV377" s="15"/>
      <c r="UIW377" s="15"/>
      <c r="UIX377" s="15"/>
      <c r="UIY377" s="15"/>
      <c r="UIZ377" s="15"/>
      <c r="UJA377" s="15"/>
      <c r="UJB377" s="15"/>
      <c r="UJC377" s="15"/>
      <c r="UJD377" s="15"/>
      <c r="UJE377" s="10"/>
      <c r="UJF377" s="10"/>
      <c r="UJG377" s="21"/>
      <c r="UJH377" s="21"/>
      <c r="UJK377" s="21"/>
      <c r="UJL377" s="15"/>
      <c r="UJM377" s="15"/>
      <c r="UJN377" s="15"/>
      <c r="UJO377" s="15"/>
      <c r="UJP377" s="15"/>
      <c r="UJQ377" s="15"/>
      <c r="UJR377" s="15"/>
      <c r="UJS377" s="15"/>
      <c r="UJT377" s="15"/>
      <c r="UJU377" s="15"/>
      <c r="UJV377" s="10"/>
      <c r="UJW377" s="10"/>
      <c r="UJX377" s="21"/>
      <c r="UJY377" s="21"/>
      <c r="UKB377" s="21"/>
      <c r="UKC377" s="15"/>
      <c r="UKD377" s="15"/>
      <c r="UKE377" s="15"/>
      <c r="UKF377" s="15"/>
      <c r="UKG377" s="15"/>
      <c r="UKH377" s="15"/>
      <c r="UKI377" s="15"/>
      <c r="UKJ377" s="15"/>
      <c r="UKK377" s="15"/>
      <c r="UKL377" s="15"/>
      <c r="UKM377" s="10"/>
      <c r="UKN377" s="10"/>
      <c r="UKO377" s="21"/>
      <c r="UKP377" s="21"/>
      <c r="UKS377" s="21"/>
      <c r="UKT377" s="15"/>
      <c r="UKU377" s="15"/>
      <c r="UKV377" s="15"/>
      <c r="UKW377" s="15"/>
      <c r="UKX377" s="15"/>
      <c r="UKY377" s="15"/>
      <c r="UKZ377" s="15"/>
      <c r="ULA377" s="15"/>
      <c r="ULB377" s="15"/>
      <c r="ULC377" s="15"/>
      <c r="ULD377" s="10"/>
      <c r="ULE377" s="10"/>
      <c r="ULF377" s="21"/>
      <c r="ULG377" s="21"/>
      <c r="ULJ377" s="21"/>
      <c r="ULK377" s="15"/>
      <c r="ULL377" s="15"/>
      <c r="ULM377" s="15"/>
      <c r="ULN377" s="15"/>
      <c r="ULO377" s="15"/>
      <c r="ULP377" s="15"/>
      <c r="ULQ377" s="15"/>
      <c r="ULR377" s="15"/>
      <c r="ULS377" s="15"/>
      <c r="ULT377" s="15"/>
      <c r="ULU377" s="10"/>
      <c r="ULV377" s="10"/>
      <c r="ULW377" s="21"/>
      <c r="ULX377" s="21"/>
      <c r="UMA377" s="21"/>
      <c r="UMB377" s="15"/>
      <c r="UMC377" s="15"/>
      <c r="UMD377" s="15"/>
      <c r="UME377" s="15"/>
      <c r="UMF377" s="15"/>
      <c r="UMG377" s="15"/>
      <c r="UMH377" s="15"/>
      <c r="UMI377" s="15"/>
      <c r="UMJ377" s="15"/>
      <c r="UMK377" s="15"/>
      <c r="UML377" s="10"/>
      <c r="UMM377" s="10"/>
      <c r="UMN377" s="21"/>
      <c r="UMO377" s="21"/>
      <c r="UMR377" s="21"/>
      <c r="UMS377" s="15"/>
      <c r="UMT377" s="15"/>
      <c r="UMU377" s="15"/>
      <c r="UMV377" s="15"/>
      <c r="UMW377" s="15"/>
      <c r="UMX377" s="15"/>
      <c r="UMY377" s="15"/>
      <c r="UMZ377" s="15"/>
      <c r="UNA377" s="15"/>
      <c r="UNB377" s="15"/>
      <c r="UNC377" s="10"/>
      <c r="UND377" s="10"/>
      <c r="UNE377" s="21"/>
      <c r="UNF377" s="21"/>
      <c r="UNI377" s="21"/>
      <c r="UNJ377" s="15"/>
      <c r="UNK377" s="15"/>
      <c r="UNL377" s="15"/>
      <c r="UNM377" s="15"/>
      <c r="UNN377" s="15"/>
      <c r="UNO377" s="15"/>
      <c r="UNP377" s="15"/>
      <c r="UNQ377" s="15"/>
      <c r="UNR377" s="15"/>
      <c r="UNS377" s="15"/>
      <c r="UNT377" s="10"/>
      <c r="UNU377" s="10"/>
      <c r="UNV377" s="21"/>
      <c r="UNW377" s="21"/>
      <c r="UNZ377" s="21"/>
      <c r="UOA377" s="15"/>
      <c r="UOB377" s="15"/>
      <c r="UOC377" s="15"/>
      <c r="UOD377" s="15"/>
      <c r="UOE377" s="15"/>
      <c r="UOF377" s="15"/>
      <c r="UOG377" s="15"/>
      <c r="UOH377" s="15"/>
      <c r="UOI377" s="15"/>
      <c r="UOJ377" s="15"/>
      <c r="UOK377" s="10"/>
      <c r="UOL377" s="10"/>
      <c r="UOM377" s="21"/>
      <c r="UON377" s="21"/>
      <c r="UOQ377" s="21"/>
      <c r="UOR377" s="15"/>
      <c r="UOS377" s="15"/>
      <c r="UOT377" s="15"/>
      <c r="UOU377" s="15"/>
      <c r="UOV377" s="15"/>
      <c r="UOW377" s="15"/>
      <c r="UOX377" s="15"/>
      <c r="UOY377" s="15"/>
      <c r="UOZ377" s="15"/>
      <c r="UPA377" s="15"/>
      <c r="UPB377" s="10"/>
      <c r="UPC377" s="10"/>
      <c r="UPD377" s="21"/>
      <c r="UPE377" s="21"/>
      <c r="UPH377" s="21"/>
      <c r="UPI377" s="15"/>
      <c r="UPJ377" s="15"/>
      <c r="UPK377" s="15"/>
      <c r="UPL377" s="15"/>
      <c r="UPM377" s="15"/>
      <c r="UPN377" s="15"/>
      <c r="UPO377" s="15"/>
      <c r="UPP377" s="15"/>
      <c r="UPQ377" s="15"/>
      <c r="UPR377" s="15"/>
      <c r="UPS377" s="10"/>
      <c r="UPT377" s="10"/>
      <c r="UPU377" s="21"/>
      <c r="UPV377" s="21"/>
      <c r="UPY377" s="21"/>
      <c r="UPZ377" s="15"/>
      <c r="UQA377" s="15"/>
      <c r="UQB377" s="15"/>
      <c r="UQC377" s="15"/>
      <c r="UQD377" s="15"/>
      <c r="UQE377" s="15"/>
      <c r="UQF377" s="15"/>
      <c r="UQG377" s="15"/>
      <c r="UQH377" s="15"/>
      <c r="UQI377" s="15"/>
      <c r="UQJ377" s="10"/>
      <c r="UQK377" s="10"/>
      <c r="UQL377" s="21"/>
      <c r="UQM377" s="21"/>
      <c r="UQP377" s="21"/>
      <c r="UQQ377" s="15"/>
      <c r="UQR377" s="15"/>
      <c r="UQS377" s="15"/>
      <c r="UQT377" s="15"/>
      <c r="UQU377" s="15"/>
      <c r="UQV377" s="15"/>
      <c r="UQW377" s="15"/>
      <c r="UQX377" s="15"/>
      <c r="UQY377" s="15"/>
      <c r="UQZ377" s="15"/>
      <c r="URA377" s="10"/>
      <c r="URB377" s="10"/>
      <c r="URC377" s="21"/>
      <c r="URD377" s="21"/>
      <c r="URG377" s="21"/>
      <c r="URH377" s="15"/>
      <c r="URI377" s="15"/>
      <c r="URJ377" s="15"/>
      <c r="URK377" s="15"/>
      <c r="URL377" s="15"/>
      <c r="URM377" s="15"/>
      <c r="URN377" s="15"/>
      <c r="URO377" s="15"/>
      <c r="URP377" s="15"/>
      <c r="URQ377" s="15"/>
      <c r="URR377" s="10"/>
      <c r="URS377" s="10"/>
      <c r="URT377" s="21"/>
      <c r="URU377" s="21"/>
      <c r="URX377" s="21"/>
      <c r="URY377" s="15"/>
      <c r="URZ377" s="15"/>
      <c r="USA377" s="15"/>
      <c r="USB377" s="15"/>
      <c r="USC377" s="15"/>
      <c r="USD377" s="15"/>
      <c r="USE377" s="15"/>
      <c r="USF377" s="15"/>
      <c r="USG377" s="15"/>
      <c r="USH377" s="15"/>
      <c r="USI377" s="10"/>
      <c r="USJ377" s="10"/>
      <c r="USK377" s="21"/>
      <c r="USL377" s="21"/>
      <c r="USO377" s="21"/>
      <c r="USP377" s="15"/>
      <c r="USQ377" s="15"/>
      <c r="USR377" s="15"/>
      <c r="USS377" s="15"/>
      <c r="UST377" s="15"/>
      <c r="USU377" s="15"/>
      <c r="USV377" s="15"/>
      <c r="USW377" s="15"/>
      <c r="USX377" s="15"/>
      <c r="USY377" s="15"/>
      <c r="USZ377" s="10"/>
      <c r="UTA377" s="10"/>
      <c r="UTB377" s="21"/>
      <c r="UTC377" s="21"/>
      <c r="UTF377" s="21"/>
      <c r="UTG377" s="15"/>
      <c r="UTH377" s="15"/>
      <c r="UTI377" s="15"/>
      <c r="UTJ377" s="15"/>
      <c r="UTK377" s="15"/>
      <c r="UTL377" s="15"/>
      <c r="UTM377" s="15"/>
      <c r="UTN377" s="15"/>
      <c r="UTO377" s="15"/>
      <c r="UTP377" s="15"/>
      <c r="UTQ377" s="10"/>
      <c r="UTR377" s="10"/>
      <c r="UTS377" s="21"/>
      <c r="UTT377" s="21"/>
      <c r="UTW377" s="21"/>
      <c r="UTX377" s="15"/>
      <c r="UTY377" s="15"/>
      <c r="UTZ377" s="15"/>
      <c r="UUA377" s="15"/>
      <c r="UUB377" s="15"/>
      <c r="UUC377" s="15"/>
      <c r="UUD377" s="15"/>
      <c r="UUE377" s="15"/>
      <c r="UUF377" s="15"/>
      <c r="UUG377" s="15"/>
      <c r="UUH377" s="10"/>
      <c r="UUI377" s="10"/>
      <c r="UUJ377" s="21"/>
      <c r="UUK377" s="21"/>
      <c r="UUN377" s="21"/>
      <c r="UUO377" s="15"/>
      <c r="UUP377" s="15"/>
      <c r="UUQ377" s="15"/>
      <c r="UUR377" s="15"/>
      <c r="UUS377" s="15"/>
      <c r="UUT377" s="15"/>
      <c r="UUU377" s="15"/>
      <c r="UUV377" s="15"/>
      <c r="UUW377" s="15"/>
      <c r="UUX377" s="15"/>
      <c r="UUY377" s="10"/>
      <c r="UUZ377" s="10"/>
      <c r="UVA377" s="21"/>
      <c r="UVB377" s="21"/>
      <c r="UVE377" s="21"/>
      <c r="UVF377" s="15"/>
      <c r="UVG377" s="15"/>
      <c r="UVH377" s="15"/>
      <c r="UVI377" s="15"/>
      <c r="UVJ377" s="15"/>
      <c r="UVK377" s="15"/>
      <c r="UVL377" s="15"/>
      <c r="UVM377" s="15"/>
      <c r="UVN377" s="15"/>
      <c r="UVO377" s="15"/>
      <c r="UVP377" s="10"/>
      <c r="UVQ377" s="10"/>
      <c r="UVR377" s="21"/>
      <c r="UVS377" s="21"/>
      <c r="UVV377" s="21"/>
      <c r="UVW377" s="15"/>
      <c r="UVX377" s="15"/>
      <c r="UVY377" s="15"/>
      <c r="UVZ377" s="15"/>
      <c r="UWA377" s="15"/>
      <c r="UWB377" s="15"/>
      <c r="UWC377" s="15"/>
      <c r="UWD377" s="15"/>
      <c r="UWE377" s="15"/>
      <c r="UWF377" s="15"/>
      <c r="UWG377" s="10"/>
      <c r="UWH377" s="10"/>
      <c r="UWI377" s="21"/>
      <c r="UWJ377" s="21"/>
      <c r="UWM377" s="21"/>
      <c r="UWN377" s="15"/>
      <c r="UWO377" s="15"/>
      <c r="UWP377" s="15"/>
      <c r="UWQ377" s="15"/>
      <c r="UWR377" s="15"/>
      <c r="UWS377" s="15"/>
      <c r="UWT377" s="15"/>
      <c r="UWU377" s="15"/>
      <c r="UWV377" s="15"/>
      <c r="UWW377" s="15"/>
      <c r="UWX377" s="10"/>
      <c r="UWY377" s="10"/>
      <c r="UWZ377" s="21"/>
      <c r="UXA377" s="21"/>
      <c r="UXD377" s="21"/>
      <c r="UXE377" s="15"/>
      <c r="UXF377" s="15"/>
      <c r="UXG377" s="15"/>
      <c r="UXH377" s="15"/>
      <c r="UXI377" s="15"/>
      <c r="UXJ377" s="15"/>
      <c r="UXK377" s="15"/>
      <c r="UXL377" s="15"/>
      <c r="UXM377" s="15"/>
      <c r="UXN377" s="15"/>
      <c r="UXO377" s="10"/>
      <c r="UXP377" s="10"/>
      <c r="UXQ377" s="21"/>
      <c r="UXR377" s="21"/>
      <c r="UXU377" s="21"/>
      <c r="UXV377" s="15"/>
      <c r="UXW377" s="15"/>
      <c r="UXX377" s="15"/>
      <c r="UXY377" s="15"/>
      <c r="UXZ377" s="15"/>
      <c r="UYA377" s="15"/>
      <c r="UYB377" s="15"/>
      <c r="UYC377" s="15"/>
      <c r="UYD377" s="15"/>
      <c r="UYE377" s="15"/>
      <c r="UYF377" s="10"/>
      <c r="UYG377" s="10"/>
      <c r="UYH377" s="21"/>
      <c r="UYI377" s="21"/>
      <c r="UYL377" s="21"/>
      <c r="UYM377" s="15"/>
      <c r="UYN377" s="15"/>
      <c r="UYO377" s="15"/>
      <c r="UYP377" s="15"/>
      <c r="UYQ377" s="15"/>
      <c r="UYR377" s="15"/>
      <c r="UYS377" s="15"/>
      <c r="UYT377" s="15"/>
      <c r="UYU377" s="15"/>
      <c r="UYV377" s="15"/>
      <c r="UYW377" s="10"/>
      <c r="UYX377" s="10"/>
      <c r="UYY377" s="21"/>
      <c r="UYZ377" s="21"/>
      <c r="UZC377" s="21"/>
      <c r="UZD377" s="15"/>
      <c r="UZE377" s="15"/>
      <c r="UZF377" s="15"/>
      <c r="UZG377" s="15"/>
      <c r="UZH377" s="15"/>
      <c r="UZI377" s="15"/>
      <c r="UZJ377" s="15"/>
      <c r="UZK377" s="15"/>
      <c r="UZL377" s="15"/>
      <c r="UZM377" s="15"/>
      <c r="UZN377" s="10"/>
      <c r="UZO377" s="10"/>
      <c r="UZP377" s="21"/>
      <c r="UZQ377" s="21"/>
      <c r="UZT377" s="21"/>
      <c r="UZU377" s="15"/>
      <c r="UZV377" s="15"/>
      <c r="UZW377" s="15"/>
      <c r="UZX377" s="15"/>
      <c r="UZY377" s="15"/>
      <c r="UZZ377" s="15"/>
      <c r="VAA377" s="15"/>
      <c r="VAB377" s="15"/>
      <c r="VAC377" s="15"/>
      <c r="VAD377" s="15"/>
      <c r="VAE377" s="10"/>
      <c r="VAF377" s="10"/>
      <c r="VAG377" s="21"/>
      <c r="VAH377" s="21"/>
      <c r="VAK377" s="21"/>
      <c r="VAL377" s="15"/>
      <c r="VAM377" s="15"/>
      <c r="VAN377" s="15"/>
      <c r="VAO377" s="15"/>
      <c r="VAP377" s="15"/>
      <c r="VAQ377" s="15"/>
      <c r="VAR377" s="15"/>
      <c r="VAS377" s="15"/>
      <c r="VAT377" s="15"/>
      <c r="VAU377" s="15"/>
      <c r="VAV377" s="10"/>
      <c r="VAW377" s="10"/>
      <c r="VAX377" s="21"/>
      <c r="VAY377" s="21"/>
      <c r="VBB377" s="21"/>
      <c r="VBC377" s="15"/>
      <c r="VBD377" s="15"/>
      <c r="VBE377" s="15"/>
      <c r="VBF377" s="15"/>
      <c r="VBG377" s="15"/>
      <c r="VBH377" s="15"/>
      <c r="VBI377" s="15"/>
      <c r="VBJ377" s="15"/>
      <c r="VBK377" s="15"/>
      <c r="VBL377" s="15"/>
      <c r="VBM377" s="10"/>
      <c r="VBN377" s="10"/>
      <c r="VBO377" s="21"/>
      <c r="VBP377" s="21"/>
      <c r="VBS377" s="21"/>
      <c r="VBT377" s="15"/>
      <c r="VBU377" s="15"/>
      <c r="VBV377" s="15"/>
      <c r="VBW377" s="15"/>
      <c r="VBX377" s="15"/>
      <c r="VBY377" s="15"/>
      <c r="VBZ377" s="15"/>
      <c r="VCA377" s="15"/>
      <c r="VCB377" s="15"/>
      <c r="VCC377" s="15"/>
      <c r="VCD377" s="10"/>
      <c r="VCE377" s="10"/>
      <c r="VCF377" s="21"/>
      <c r="VCG377" s="21"/>
      <c r="VCJ377" s="21"/>
      <c r="VCK377" s="15"/>
      <c r="VCL377" s="15"/>
      <c r="VCM377" s="15"/>
      <c r="VCN377" s="15"/>
      <c r="VCO377" s="15"/>
      <c r="VCP377" s="15"/>
      <c r="VCQ377" s="15"/>
      <c r="VCR377" s="15"/>
      <c r="VCS377" s="15"/>
      <c r="VCT377" s="15"/>
      <c r="VCU377" s="10"/>
      <c r="VCV377" s="10"/>
      <c r="VCW377" s="21"/>
      <c r="VCX377" s="21"/>
      <c r="VDA377" s="21"/>
      <c r="VDB377" s="15"/>
      <c r="VDC377" s="15"/>
      <c r="VDD377" s="15"/>
      <c r="VDE377" s="15"/>
      <c r="VDF377" s="15"/>
      <c r="VDG377" s="15"/>
      <c r="VDH377" s="15"/>
      <c r="VDI377" s="15"/>
      <c r="VDJ377" s="15"/>
      <c r="VDK377" s="15"/>
      <c r="VDL377" s="10"/>
      <c r="VDM377" s="10"/>
      <c r="VDN377" s="21"/>
      <c r="VDO377" s="21"/>
      <c r="VDR377" s="21"/>
      <c r="VDS377" s="15"/>
      <c r="VDT377" s="15"/>
      <c r="VDU377" s="15"/>
      <c r="VDV377" s="15"/>
      <c r="VDW377" s="15"/>
      <c r="VDX377" s="15"/>
      <c r="VDY377" s="15"/>
      <c r="VDZ377" s="15"/>
      <c r="VEA377" s="15"/>
      <c r="VEB377" s="15"/>
      <c r="VEC377" s="10"/>
      <c r="VED377" s="10"/>
      <c r="VEE377" s="21"/>
      <c r="VEF377" s="21"/>
      <c r="VEI377" s="21"/>
      <c r="VEJ377" s="15"/>
      <c r="VEK377" s="15"/>
      <c r="VEL377" s="15"/>
      <c r="VEM377" s="15"/>
      <c r="VEN377" s="15"/>
      <c r="VEO377" s="15"/>
      <c r="VEP377" s="15"/>
      <c r="VEQ377" s="15"/>
      <c r="VER377" s="15"/>
      <c r="VES377" s="15"/>
      <c r="VET377" s="10"/>
      <c r="VEU377" s="10"/>
      <c r="VEV377" s="21"/>
      <c r="VEW377" s="21"/>
      <c r="VEZ377" s="21"/>
      <c r="VFA377" s="15"/>
      <c r="VFB377" s="15"/>
      <c r="VFC377" s="15"/>
      <c r="VFD377" s="15"/>
      <c r="VFE377" s="15"/>
      <c r="VFF377" s="15"/>
      <c r="VFG377" s="15"/>
      <c r="VFH377" s="15"/>
      <c r="VFI377" s="15"/>
      <c r="VFJ377" s="15"/>
      <c r="VFK377" s="10"/>
      <c r="VFL377" s="10"/>
      <c r="VFM377" s="21"/>
      <c r="VFN377" s="21"/>
      <c r="VFQ377" s="21"/>
      <c r="VFR377" s="15"/>
      <c r="VFS377" s="15"/>
      <c r="VFT377" s="15"/>
      <c r="VFU377" s="15"/>
      <c r="VFV377" s="15"/>
      <c r="VFW377" s="15"/>
      <c r="VFX377" s="15"/>
      <c r="VFY377" s="15"/>
      <c r="VFZ377" s="15"/>
      <c r="VGA377" s="15"/>
      <c r="VGB377" s="10"/>
      <c r="VGC377" s="10"/>
      <c r="VGD377" s="21"/>
      <c r="VGE377" s="21"/>
      <c r="VGH377" s="21"/>
      <c r="VGI377" s="15"/>
      <c r="VGJ377" s="15"/>
      <c r="VGK377" s="15"/>
      <c r="VGL377" s="15"/>
      <c r="VGM377" s="15"/>
      <c r="VGN377" s="15"/>
      <c r="VGO377" s="15"/>
      <c r="VGP377" s="15"/>
      <c r="VGQ377" s="15"/>
      <c r="VGR377" s="15"/>
      <c r="VGS377" s="10"/>
      <c r="VGT377" s="10"/>
      <c r="VGU377" s="21"/>
      <c r="VGV377" s="21"/>
      <c r="VGY377" s="21"/>
      <c r="VGZ377" s="15"/>
      <c r="VHA377" s="15"/>
      <c r="VHB377" s="15"/>
      <c r="VHC377" s="15"/>
      <c r="VHD377" s="15"/>
      <c r="VHE377" s="15"/>
      <c r="VHF377" s="15"/>
      <c r="VHG377" s="15"/>
      <c r="VHH377" s="15"/>
      <c r="VHI377" s="15"/>
      <c r="VHJ377" s="10"/>
      <c r="VHK377" s="10"/>
      <c r="VHL377" s="21"/>
      <c r="VHM377" s="21"/>
      <c r="VHP377" s="21"/>
      <c r="VHQ377" s="15"/>
      <c r="VHR377" s="15"/>
      <c r="VHS377" s="15"/>
      <c r="VHT377" s="15"/>
      <c r="VHU377" s="15"/>
      <c r="VHV377" s="15"/>
      <c r="VHW377" s="15"/>
      <c r="VHX377" s="15"/>
      <c r="VHY377" s="15"/>
      <c r="VHZ377" s="15"/>
      <c r="VIA377" s="10"/>
      <c r="VIB377" s="10"/>
      <c r="VIC377" s="21"/>
      <c r="VID377" s="21"/>
      <c r="VIG377" s="21"/>
      <c r="VIH377" s="15"/>
      <c r="VII377" s="15"/>
      <c r="VIJ377" s="15"/>
      <c r="VIK377" s="15"/>
      <c r="VIL377" s="15"/>
      <c r="VIM377" s="15"/>
      <c r="VIN377" s="15"/>
      <c r="VIO377" s="15"/>
      <c r="VIP377" s="15"/>
      <c r="VIQ377" s="15"/>
      <c r="VIR377" s="10"/>
      <c r="VIS377" s="10"/>
      <c r="VIT377" s="21"/>
      <c r="VIU377" s="21"/>
      <c r="VIX377" s="21"/>
      <c r="VIY377" s="15"/>
      <c r="VIZ377" s="15"/>
      <c r="VJA377" s="15"/>
      <c r="VJB377" s="15"/>
      <c r="VJC377" s="15"/>
      <c r="VJD377" s="15"/>
      <c r="VJE377" s="15"/>
      <c r="VJF377" s="15"/>
      <c r="VJG377" s="15"/>
      <c r="VJH377" s="15"/>
      <c r="VJI377" s="10"/>
      <c r="VJJ377" s="10"/>
      <c r="VJK377" s="21"/>
      <c r="VJL377" s="21"/>
      <c r="VJO377" s="21"/>
      <c r="VJP377" s="15"/>
      <c r="VJQ377" s="15"/>
      <c r="VJR377" s="15"/>
      <c r="VJS377" s="15"/>
      <c r="VJT377" s="15"/>
      <c r="VJU377" s="15"/>
      <c r="VJV377" s="15"/>
      <c r="VJW377" s="15"/>
      <c r="VJX377" s="15"/>
      <c r="VJY377" s="15"/>
      <c r="VJZ377" s="10"/>
      <c r="VKA377" s="10"/>
      <c r="VKB377" s="21"/>
      <c r="VKC377" s="21"/>
      <c r="VKF377" s="21"/>
      <c r="VKG377" s="15"/>
      <c r="VKH377" s="15"/>
      <c r="VKI377" s="15"/>
      <c r="VKJ377" s="15"/>
      <c r="VKK377" s="15"/>
      <c r="VKL377" s="15"/>
      <c r="VKM377" s="15"/>
      <c r="VKN377" s="15"/>
      <c r="VKO377" s="15"/>
      <c r="VKP377" s="15"/>
      <c r="VKQ377" s="10"/>
      <c r="VKR377" s="10"/>
      <c r="VKS377" s="21"/>
      <c r="VKT377" s="21"/>
      <c r="VKW377" s="21"/>
      <c r="VKX377" s="15"/>
      <c r="VKY377" s="15"/>
      <c r="VKZ377" s="15"/>
      <c r="VLA377" s="15"/>
      <c r="VLB377" s="15"/>
      <c r="VLC377" s="15"/>
      <c r="VLD377" s="15"/>
      <c r="VLE377" s="15"/>
      <c r="VLF377" s="15"/>
      <c r="VLG377" s="15"/>
      <c r="VLH377" s="10"/>
      <c r="VLI377" s="10"/>
      <c r="VLJ377" s="21"/>
      <c r="VLK377" s="21"/>
      <c r="VLN377" s="21"/>
      <c r="VLO377" s="15"/>
      <c r="VLP377" s="15"/>
      <c r="VLQ377" s="15"/>
      <c r="VLR377" s="15"/>
      <c r="VLS377" s="15"/>
      <c r="VLT377" s="15"/>
      <c r="VLU377" s="15"/>
      <c r="VLV377" s="15"/>
      <c r="VLW377" s="15"/>
      <c r="VLX377" s="15"/>
      <c r="VLY377" s="10"/>
      <c r="VLZ377" s="10"/>
      <c r="VMA377" s="21"/>
      <c r="VMB377" s="21"/>
      <c r="VME377" s="21"/>
      <c r="VMF377" s="15"/>
      <c r="VMG377" s="15"/>
      <c r="VMH377" s="15"/>
      <c r="VMI377" s="15"/>
      <c r="VMJ377" s="15"/>
      <c r="VMK377" s="15"/>
      <c r="VML377" s="15"/>
      <c r="VMM377" s="15"/>
      <c r="VMN377" s="15"/>
      <c r="VMO377" s="15"/>
      <c r="VMP377" s="10"/>
      <c r="VMQ377" s="10"/>
      <c r="VMR377" s="21"/>
      <c r="VMS377" s="21"/>
      <c r="VMV377" s="21"/>
      <c r="VMW377" s="15"/>
      <c r="VMX377" s="15"/>
      <c r="VMY377" s="15"/>
      <c r="VMZ377" s="15"/>
      <c r="VNA377" s="15"/>
      <c r="VNB377" s="15"/>
      <c r="VNC377" s="15"/>
      <c r="VND377" s="15"/>
      <c r="VNE377" s="15"/>
      <c r="VNF377" s="15"/>
      <c r="VNG377" s="10"/>
      <c r="VNH377" s="10"/>
      <c r="VNI377" s="21"/>
      <c r="VNJ377" s="21"/>
      <c r="VNM377" s="21"/>
      <c r="VNN377" s="15"/>
      <c r="VNO377" s="15"/>
      <c r="VNP377" s="15"/>
      <c r="VNQ377" s="15"/>
      <c r="VNR377" s="15"/>
      <c r="VNS377" s="15"/>
      <c r="VNT377" s="15"/>
      <c r="VNU377" s="15"/>
      <c r="VNV377" s="15"/>
      <c r="VNW377" s="15"/>
      <c r="VNX377" s="10"/>
      <c r="VNY377" s="10"/>
      <c r="VNZ377" s="21"/>
      <c r="VOA377" s="21"/>
      <c r="VOD377" s="21"/>
      <c r="VOE377" s="15"/>
      <c r="VOF377" s="15"/>
      <c r="VOG377" s="15"/>
      <c r="VOH377" s="15"/>
      <c r="VOI377" s="15"/>
      <c r="VOJ377" s="15"/>
      <c r="VOK377" s="15"/>
      <c r="VOL377" s="15"/>
      <c r="VOM377" s="15"/>
      <c r="VON377" s="15"/>
      <c r="VOO377" s="10"/>
      <c r="VOP377" s="10"/>
      <c r="VOQ377" s="21"/>
      <c r="VOR377" s="21"/>
      <c r="VOU377" s="21"/>
      <c r="VOV377" s="15"/>
      <c r="VOW377" s="15"/>
      <c r="VOX377" s="15"/>
      <c r="VOY377" s="15"/>
      <c r="VOZ377" s="15"/>
      <c r="VPA377" s="15"/>
      <c r="VPB377" s="15"/>
      <c r="VPC377" s="15"/>
      <c r="VPD377" s="15"/>
      <c r="VPE377" s="15"/>
      <c r="VPF377" s="10"/>
      <c r="VPG377" s="10"/>
      <c r="VPH377" s="21"/>
      <c r="VPI377" s="21"/>
      <c r="VPL377" s="21"/>
      <c r="VPM377" s="15"/>
      <c r="VPN377" s="15"/>
      <c r="VPO377" s="15"/>
      <c r="VPP377" s="15"/>
      <c r="VPQ377" s="15"/>
      <c r="VPR377" s="15"/>
      <c r="VPS377" s="15"/>
      <c r="VPT377" s="15"/>
      <c r="VPU377" s="15"/>
      <c r="VPV377" s="15"/>
      <c r="VPW377" s="10"/>
      <c r="VPX377" s="10"/>
      <c r="VPY377" s="21"/>
      <c r="VPZ377" s="21"/>
      <c r="VQC377" s="21"/>
      <c r="VQD377" s="15"/>
      <c r="VQE377" s="15"/>
      <c r="VQF377" s="15"/>
      <c r="VQG377" s="15"/>
      <c r="VQH377" s="15"/>
      <c r="VQI377" s="15"/>
      <c r="VQJ377" s="15"/>
      <c r="VQK377" s="15"/>
      <c r="VQL377" s="15"/>
      <c r="VQM377" s="15"/>
      <c r="VQN377" s="10"/>
      <c r="VQO377" s="10"/>
      <c r="VQP377" s="21"/>
      <c r="VQQ377" s="21"/>
      <c r="VQT377" s="21"/>
      <c r="VQU377" s="15"/>
      <c r="VQV377" s="15"/>
      <c r="VQW377" s="15"/>
      <c r="VQX377" s="15"/>
      <c r="VQY377" s="15"/>
      <c r="VQZ377" s="15"/>
      <c r="VRA377" s="15"/>
      <c r="VRB377" s="15"/>
      <c r="VRC377" s="15"/>
      <c r="VRD377" s="15"/>
      <c r="VRE377" s="10"/>
      <c r="VRF377" s="10"/>
      <c r="VRG377" s="21"/>
      <c r="VRH377" s="21"/>
      <c r="VRK377" s="21"/>
      <c r="VRL377" s="15"/>
      <c r="VRM377" s="15"/>
      <c r="VRN377" s="15"/>
      <c r="VRO377" s="15"/>
      <c r="VRP377" s="15"/>
      <c r="VRQ377" s="15"/>
      <c r="VRR377" s="15"/>
      <c r="VRS377" s="15"/>
      <c r="VRT377" s="15"/>
      <c r="VRU377" s="15"/>
      <c r="VRV377" s="10"/>
      <c r="VRW377" s="10"/>
      <c r="VRX377" s="21"/>
      <c r="VRY377" s="21"/>
      <c r="VSB377" s="21"/>
      <c r="VSC377" s="15"/>
      <c r="VSD377" s="15"/>
      <c r="VSE377" s="15"/>
      <c r="VSF377" s="15"/>
      <c r="VSG377" s="15"/>
      <c r="VSH377" s="15"/>
      <c r="VSI377" s="15"/>
      <c r="VSJ377" s="15"/>
      <c r="VSK377" s="15"/>
      <c r="VSL377" s="15"/>
      <c r="VSM377" s="10"/>
      <c r="VSN377" s="10"/>
      <c r="VSO377" s="21"/>
      <c r="VSP377" s="21"/>
      <c r="VSS377" s="21"/>
      <c r="VST377" s="15"/>
      <c r="VSU377" s="15"/>
      <c r="VSV377" s="15"/>
      <c r="VSW377" s="15"/>
      <c r="VSX377" s="15"/>
      <c r="VSY377" s="15"/>
      <c r="VSZ377" s="15"/>
      <c r="VTA377" s="15"/>
      <c r="VTB377" s="15"/>
      <c r="VTC377" s="15"/>
      <c r="VTD377" s="10"/>
      <c r="VTE377" s="10"/>
      <c r="VTF377" s="21"/>
      <c r="VTG377" s="21"/>
      <c r="VTJ377" s="21"/>
      <c r="VTK377" s="15"/>
      <c r="VTL377" s="15"/>
      <c r="VTM377" s="15"/>
      <c r="VTN377" s="15"/>
      <c r="VTO377" s="15"/>
      <c r="VTP377" s="15"/>
      <c r="VTQ377" s="15"/>
      <c r="VTR377" s="15"/>
      <c r="VTS377" s="15"/>
      <c r="VTT377" s="15"/>
      <c r="VTU377" s="10"/>
      <c r="VTV377" s="10"/>
      <c r="VTW377" s="21"/>
      <c r="VTX377" s="21"/>
      <c r="VUA377" s="21"/>
      <c r="VUB377" s="15"/>
      <c r="VUC377" s="15"/>
      <c r="VUD377" s="15"/>
      <c r="VUE377" s="15"/>
      <c r="VUF377" s="15"/>
      <c r="VUG377" s="15"/>
      <c r="VUH377" s="15"/>
      <c r="VUI377" s="15"/>
      <c r="VUJ377" s="15"/>
      <c r="VUK377" s="15"/>
      <c r="VUL377" s="10"/>
      <c r="VUM377" s="10"/>
      <c r="VUN377" s="21"/>
      <c r="VUO377" s="21"/>
      <c r="VUR377" s="21"/>
      <c r="VUS377" s="15"/>
      <c r="VUT377" s="15"/>
      <c r="VUU377" s="15"/>
      <c r="VUV377" s="15"/>
      <c r="VUW377" s="15"/>
      <c r="VUX377" s="15"/>
      <c r="VUY377" s="15"/>
      <c r="VUZ377" s="15"/>
      <c r="VVA377" s="15"/>
      <c r="VVB377" s="15"/>
      <c r="VVC377" s="10"/>
      <c r="VVD377" s="10"/>
      <c r="VVE377" s="21"/>
      <c r="VVF377" s="21"/>
      <c r="VVI377" s="21"/>
      <c r="VVJ377" s="15"/>
      <c r="VVK377" s="15"/>
      <c r="VVL377" s="15"/>
      <c r="VVM377" s="15"/>
      <c r="VVN377" s="15"/>
      <c r="VVO377" s="15"/>
      <c r="VVP377" s="15"/>
      <c r="VVQ377" s="15"/>
      <c r="VVR377" s="15"/>
      <c r="VVS377" s="15"/>
      <c r="VVT377" s="10"/>
      <c r="VVU377" s="10"/>
      <c r="VVV377" s="21"/>
      <c r="VVW377" s="21"/>
      <c r="VVZ377" s="21"/>
      <c r="VWA377" s="15"/>
      <c r="VWB377" s="15"/>
      <c r="VWC377" s="15"/>
      <c r="VWD377" s="15"/>
      <c r="VWE377" s="15"/>
      <c r="VWF377" s="15"/>
      <c r="VWG377" s="15"/>
      <c r="VWH377" s="15"/>
      <c r="VWI377" s="15"/>
      <c r="VWJ377" s="15"/>
      <c r="VWK377" s="10"/>
      <c r="VWL377" s="10"/>
      <c r="VWM377" s="21"/>
      <c r="VWN377" s="21"/>
      <c r="VWQ377" s="21"/>
      <c r="VWR377" s="15"/>
      <c r="VWS377" s="15"/>
      <c r="VWT377" s="15"/>
      <c r="VWU377" s="15"/>
      <c r="VWV377" s="15"/>
      <c r="VWW377" s="15"/>
      <c r="VWX377" s="15"/>
      <c r="VWY377" s="15"/>
      <c r="VWZ377" s="15"/>
      <c r="VXA377" s="15"/>
      <c r="VXB377" s="10"/>
      <c r="VXC377" s="10"/>
      <c r="VXD377" s="21"/>
      <c r="VXE377" s="21"/>
      <c r="VXH377" s="21"/>
      <c r="VXI377" s="15"/>
      <c r="VXJ377" s="15"/>
      <c r="VXK377" s="15"/>
      <c r="VXL377" s="15"/>
      <c r="VXM377" s="15"/>
      <c r="VXN377" s="15"/>
      <c r="VXO377" s="15"/>
      <c r="VXP377" s="15"/>
      <c r="VXQ377" s="15"/>
      <c r="VXR377" s="15"/>
      <c r="VXS377" s="10"/>
      <c r="VXT377" s="10"/>
      <c r="VXU377" s="21"/>
      <c r="VXV377" s="21"/>
      <c r="VXY377" s="21"/>
      <c r="VXZ377" s="15"/>
      <c r="VYA377" s="15"/>
      <c r="VYB377" s="15"/>
      <c r="VYC377" s="15"/>
      <c r="VYD377" s="15"/>
      <c r="VYE377" s="15"/>
      <c r="VYF377" s="15"/>
      <c r="VYG377" s="15"/>
      <c r="VYH377" s="15"/>
      <c r="VYI377" s="15"/>
      <c r="VYJ377" s="10"/>
      <c r="VYK377" s="10"/>
      <c r="VYL377" s="21"/>
      <c r="VYM377" s="21"/>
      <c r="VYP377" s="21"/>
      <c r="VYQ377" s="15"/>
      <c r="VYR377" s="15"/>
      <c r="VYS377" s="15"/>
      <c r="VYT377" s="15"/>
      <c r="VYU377" s="15"/>
      <c r="VYV377" s="15"/>
      <c r="VYW377" s="15"/>
      <c r="VYX377" s="15"/>
      <c r="VYY377" s="15"/>
      <c r="VYZ377" s="15"/>
      <c r="VZA377" s="10"/>
      <c r="VZB377" s="10"/>
      <c r="VZC377" s="21"/>
      <c r="VZD377" s="21"/>
      <c r="VZG377" s="21"/>
      <c r="VZH377" s="15"/>
      <c r="VZI377" s="15"/>
      <c r="VZJ377" s="15"/>
      <c r="VZK377" s="15"/>
      <c r="VZL377" s="15"/>
      <c r="VZM377" s="15"/>
      <c r="VZN377" s="15"/>
      <c r="VZO377" s="15"/>
      <c r="VZP377" s="15"/>
      <c r="VZQ377" s="15"/>
      <c r="VZR377" s="10"/>
      <c r="VZS377" s="10"/>
      <c r="VZT377" s="21"/>
      <c r="VZU377" s="21"/>
      <c r="VZX377" s="21"/>
      <c r="VZY377" s="15"/>
      <c r="VZZ377" s="15"/>
      <c r="WAA377" s="15"/>
      <c r="WAB377" s="15"/>
      <c r="WAC377" s="15"/>
      <c r="WAD377" s="15"/>
      <c r="WAE377" s="15"/>
      <c r="WAF377" s="15"/>
      <c r="WAG377" s="15"/>
      <c r="WAH377" s="15"/>
      <c r="WAI377" s="10"/>
      <c r="WAJ377" s="10"/>
      <c r="WAK377" s="21"/>
      <c r="WAL377" s="21"/>
      <c r="WAO377" s="21"/>
      <c r="WAP377" s="15"/>
      <c r="WAQ377" s="15"/>
      <c r="WAR377" s="15"/>
      <c r="WAS377" s="15"/>
      <c r="WAT377" s="15"/>
      <c r="WAU377" s="15"/>
      <c r="WAV377" s="15"/>
      <c r="WAW377" s="15"/>
      <c r="WAX377" s="15"/>
      <c r="WAY377" s="15"/>
      <c r="WAZ377" s="10"/>
      <c r="WBA377" s="10"/>
      <c r="WBB377" s="21"/>
      <c r="WBC377" s="21"/>
      <c r="WBF377" s="21"/>
      <c r="WBG377" s="15"/>
      <c r="WBH377" s="15"/>
      <c r="WBI377" s="15"/>
      <c r="WBJ377" s="15"/>
      <c r="WBK377" s="15"/>
      <c r="WBL377" s="15"/>
      <c r="WBM377" s="15"/>
      <c r="WBN377" s="15"/>
      <c r="WBO377" s="15"/>
      <c r="WBP377" s="15"/>
      <c r="WBQ377" s="10"/>
      <c r="WBR377" s="10"/>
      <c r="WBS377" s="21"/>
      <c r="WBT377" s="21"/>
      <c r="WBW377" s="21"/>
      <c r="WBX377" s="15"/>
      <c r="WBY377" s="15"/>
      <c r="WBZ377" s="15"/>
      <c r="WCA377" s="15"/>
      <c r="WCB377" s="15"/>
      <c r="WCC377" s="15"/>
      <c r="WCD377" s="15"/>
      <c r="WCE377" s="15"/>
      <c r="WCF377" s="15"/>
      <c r="WCG377" s="15"/>
      <c r="WCH377" s="10"/>
      <c r="WCI377" s="10"/>
      <c r="WCJ377" s="21"/>
      <c r="WCK377" s="21"/>
      <c r="WCN377" s="21"/>
      <c r="WCO377" s="15"/>
      <c r="WCP377" s="15"/>
      <c r="WCQ377" s="15"/>
      <c r="WCR377" s="15"/>
      <c r="WCS377" s="15"/>
      <c r="WCT377" s="15"/>
      <c r="WCU377" s="15"/>
      <c r="WCV377" s="15"/>
      <c r="WCW377" s="15"/>
      <c r="WCX377" s="15"/>
      <c r="WCY377" s="10"/>
      <c r="WCZ377" s="10"/>
      <c r="WDA377" s="21"/>
      <c r="WDB377" s="21"/>
      <c r="WDE377" s="21"/>
      <c r="WDF377" s="15"/>
      <c r="WDG377" s="15"/>
      <c r="WDH377" s="15"/>
      <c r="WDI377" s="15"/>
      <c r="WDJ377" s="15"/>
      <c r="WDK377" s="15"/>
      <c r="WDL377" s="15"/>
      <c r="WDM377" s="15"/>
      <c r="WDN377" s="15"/>
      <c r="WDO377" s="15"/>
      <c r="WDP377" s="10"/>
      <c r="WDQ377" s="10"/>
      <c r="WDR377" s="21"/>
      <c r="WDS377" s="21"/>
      <c r="WDV377" s="21"/>
      <c r="WDW377" s="15"/>
      <c r="WDX377" s="15"/>
      <c r="WDY377" s="15"/>
      <c r="WDZ377" s="15"/>
      <c r="WEA377" s="15"/>
      <c r="WEB377" s="15"/>
      <c r="WEC377" s="15"/>
      <c r="WED377" s="15"/>
      <c r="WEE377" s="15"/>
      <c r="WEF377" s="15"/>
      <c r="WEG377" s="10"/>
      <c r="WEH377" s="10"/>
      <c r="WEI377" s="21"/>
      <c r="WEJ377" s="21"/>
      <c r="WEM377" s="21"/>
      <c r="WEN377" s="15"/>
      <c r="WEO377" s="15"/>
      <c r="WEP377" s="15"/>
      <c r="WEQ377" s="15"/>
      <c r="WER377" s="15"/>
      <c r="WES377" s="15"/>
      <c r="WET377" s="15"/>
      <c r="WEU377" s="15"/>
      <c r="WEV377" s="15"/>
      <c r="WEW377" s="15"/>
      <c r="WEX377" s="10"/>
      <c r="WEY377" s="10"/>
      <c r="WEZ377" s="21"/>
      <c r="WFA377" s="21"/>
      <c r="WFD377" s="21"/>
      <c r="WFE377" s="15"/>
      <c r="WFF377" s="15"/>
      <c r="WFG377" s="15"/>
      <c r="WFH377" s="15"/>
      <c r="WFI377" s="15"/>
      <c r="WFJ377" s="15"/>
      <c r="WFK377" s="15"/>
      <c r="WFL377" s="15"/>
      <c r="WFM377" s="15"/>
      <c r="WFN377" s="15"/>
      <c r="WFO377" s="10"/>
      <c r="WFP377" s="10"/>
      <c r="WFQ377" s="21"/>
      <c r="WFR377" s="21"/>
      <c r="WFU377" s="21"/>
      <c r="WFV377" s="15"/>
      <c r="WFW377" s="15"/>
      <c r="WFX377" s="15"/>
      <c r="WFY377" s="15"/>
      <c r="WFZ377" s="15"/>
      <c r="WGA377" s="15"/>
      <c r="WGB377" s="15"/>
      <c r="WGC377" s="15"/>
      <c r="WGD377" s="15"/>
      <c r="WGE377" s="15"/>
      <c r="WGF377" s="10"/>
      <c r="WGG377" s="10"/>
      <c r="WGH377" s="21"/>
      <c r="WGI377" s="21"/>
      <c r="WGL377" s="21"/>
      <c r="WGM377" s="15"/>
      <c r="WGN377" s="15"/>
      <c r="WGO377" s="15"/>
      <c r="WGP377" s="15"/>
      <c r="WGQ377" s="15"/>
      <c r="WGR377" s="15"/>
      <c r="WGS377" s="15"/>
      <c r="WGT377" s="15"/>
      <c r="WGU377" s="15"/>
      <c r="WGV377" s="15"/>
      <c r="WGW377" s="10"/>
      <c r="WGX377" s="10"/>
      <c r="WGY377" s="21"/>
      <c r="WGZ377" s="21"/>
      <c r="WHC377" s="21"/>
      <c r="WHD377" s="15"/>
      <c r="WHE377" s="15"/>
      <c r="WHF377" s="15"/>
      <c r="WHG377" s="15"/>
      <c r="WHH377" s="15"/>
      <c r="WHI377" s="15"/>
      <c r="WHJ377" s="15"/>
      <c r="WHK377" s="15"/>
      <c r="WHL377" s="15"/>
      <c r="WHM377" s="15"/>
      <c r="WHN377" s="10"/>
      <c r="WHO377" s="10"/>
      <c r="WHP377" s="21"/>
      <c r="WHQ377" s="21"/>
      <c r="WHT377" s="21"/>
      <c r="WHU377" s="15"/>
      <c r="WHV377" s="15"/>
      <c r="WHW377" s="15"/>
      <c r="WHX377" s="15"/>
      <c r="WHY377" s="15"/>
      <c r="WHZ377" s="15"/>
      <c r="WIA377" s="15"/>
      <c r="WIB377" s="15"/>
      <c r="WIC377" s="15"/>
      <c r="WID377" s="15"/>
      <c r="WIE377" s="10"/>
      <c r="WIF377" s="10"/>
      <c r="WIG377" s="21"/>
      <c r="WIH377" s="21"/>
      <c r="WIK377" s="21"/>
      <c r="WIL377" s="15"/>
      <c r="WIM377" s="15"/>
      <c r="WIN377" s="15"/>
      <c r="WIO377" s="15"/>
      <c r="WIP377" s="15"/>
      <c r="WIQ377" s="15"/>
      <c r="WIR377" s="15"/>
      <c r="WIS377" s="15"/>
      <c r="WIT377" s="15"/>
      <c r="WIU377" s="15"/>
      <c r="WIV377" s="10"/>
      <c r="WIW377" s="10"/>
      <c r="WIX377" s="21"/>
      <c r="WIY377" s="21"/>
      <c r="WJB377" s="21"/>
      <c r="WJC377" s="15"/>
      <c r="WJD377" s="15"/>
      <c r="WJE377" s="15"/>
      <c r="WJF377" s="15"/>
      <c r="WJG377" s="15"/>
      <c r="WJH377" s="15"/>
      <c r="WJI377" s="15"/>
      <c r="WJJ377" s="15"/>
      <c r="WJK377" s="15"/>
      <c r="WJL377" s="15"/>
      <c r="WJM377" s="10"/>
      <c r="WJN377" s="10"/>
      <c r="WJO377" s="21"/>
      <c r="WJP377" s="21"/>
      <c r="WJS377" s="21"/>
      <c r="WJT377" s="15"/>
      <c r="WJU377" s="15"/>
      <c r="WJV377" s="15"/>
      <c r="WJW377" s="15"/>
      <c r="WJX377" s="15"/>
      <c r="WJY377" s="15"/>
      <c r="WJZ377" s="15"/>
      <c r="WKA377" s="15"/>
      <c r="WKB377" s="15"/>
      <c r="WKC377" s="15"/>
      <c r="WKD377" s="10"/>
      <c r="WKE377" s="10"/>
      <c r="WKF377" s="21"/>
      <c r="WKG377" s="21"/>
      <c r="WKJ377" s="21"/>
      <c r="WKK377" s="15"/>
      <c r="WKL377" s="15"/>
      <c r="WKM377" s="15"/>
      <c r="WKN377" s="15"/>
      <c r="WKO377" s="15"/>
      <c r="WKP377" s="15"/>
      <c r="WKQ377" s="15"/>
      <c r="WKR377" s="15"/>
      <c r="WKS377" s="15"/>
      <c r="WKT377" s="15"/>
      <c r="WKU377" s="10"/>
      <c r="WKV377" s="10"/>
      <c r="WKW377" s="21"/>
      <c r="WKX377" s="21"/>
      <c r="WLA377" s="21"/>
      <c r="WLB377" s="15"/>
      <c r="WLC377" s="15"/>
      <c r="WLD377" s="15"/>
      <c r="WLE377" s="15"/>
      <c r="WLF377" s="15"/>
      <c r="WLG377" s="15"/>
      <c r="WLH377" s="15"/>
      <c r="WLI377" s="15"/>
      <c r="WLJ377" s="15"/>
      <c r="WLK377" s="15"/>
      <c r="WLL377" s="10"/>
      <c r="WLM377" s="10"/>
      <c r="WLN377" s="21"/>
      <c r="WLO377" s="21"/>
      <c r="WLR377" s="21"/>
      <c r="WLS377" s="15"/>
      <c r="WLT377" s="15"/>
      <c r="WLU377" s="15"/>
      <c r="WLV377" s="15"/>
      <c r="WLW377" s="15"/>
      <c r="WLX377" s="15"/>
      <c r="WLY377" s="15"/>
      <c r="WLZ377" s="15"/>
      <c r="WMA377" s="15"/>
      <c r="WMB377" s="15"/>
      <c r="WMC377" s="10"/>
      <c r="WMD377" s="10"/>
      <c r="WME377" s="21"/>
      <c r="WMF377" s="21"/>
      <c r="WMI377" s="21"/>
      <c r="WMJ377" s="15"/>
      <c r="WMK377" s="15"/>
      <c r="WML377" s="15"/>
      <c r="WMM377" s="15"/>
      <c r="WMN377" s="15"/>
      <c r="WMO377" s="15"/>
      <c r="WMP377" s="15"/>
      <c r="WMQ377" s="15"/>
      <c r="WMR377" s="15"/>
      <c r="WMS377" s="15"/>
      <c r="WMT377" s="10"/>
      <c r="WMU377" s="10"/>
      <c r="WMV377" s="21"/>
      <c r="WMW377" s="21"/>
      <c r="WMZ377" s="21"/>
      <c r="WNA377" s="15"/>
      <c r="WNB377" s="15"/>
      <c r="WNC377" s="15"/>
      <c r="WND377" s="15"/>
      <c r="WNE377" s="15"/>
      <c r="WNF377" s="15"/>
      <c r="WNG377" s="15"/>
      <c r="WNH377" s="15"/>
      <c r="WNI377" s="15"/>
      <c r="WNJ377" s="15"/>
      <c r="WNK377" s="10"/>
      <c r="WNL377" s="10"/>
      <c r="WNM377" s="21"/>
      <c r="WNN377" s="21"/>
      <c r="WNQ377" s="21"/>
      <c r="WNR377" s="15"/>
      <c r="WNS377" s="15"/>
      <c r="WNT377" s="15"/>
      <c r="WNU377" s="15"/>
      <c r="WNV377" s="15"/>
      <c r="WNW377" s="15"/>
      <c r="WNX377" s="15"/>
      <c r="WNY377" s="15"/>
      <c r="WNZ377" s="15"/>
      <c r="WOA377" s="15"/>
      <c r="WOB377" s="10"/>
      <c r="WOC377" s="10"/>
      <c r="WOD377" s="21"/>
      <c r="WOE377" s="21"/>
      <c r="WOH377" s="21"/>
      <c r="WOI377" s="15"/>
      <c r="WOJ377" s="15"/>
      <c r="WOK377" s="15"/>
      <c r="WOL377" s="15"/>
      <c r="WOM377" s="15"/>
      <c r="WON377" s="15"/>
      <c r="WOO377" s="15"/>
      <c r="WOP377" s="15"/>
      <c r="WOQ377" s="15"/>
      <c r="WOR377" s="15"/>
      <c r="WOS377" s="10"/>
      <c r="WOT377" s="10"/>
      <c r="WOU377" s="21"/>
      <c r="WOV377" s="21"/>
      <c r="WOY377" s="21"/>
      <c r="WOZ377" s="15"/>
      <c r="WPA377" s="15"/>
      <c r="WPB377" s="15"/>
      <c r="WPC377" s="15"/>
      <c r="WPD377" s="15"/>
      <c r="WPE377" s="15"/>
      <c r="WPF377" s="15"/>
      <c r="WPG377" s="15"/>
      <c r="WPH377" s="15"/>
      <c r="WPI377" s="15"/>
      <c r="WPJ377" s="10"/>
      <c r="WPK377" s="10"/>
      <c r="WPL377" s="21"/>
      <c r="WPM377" s="21"/>
      <c r="WPP377" s="21"/>
      <c r="WPQ377" s="15"/>
      <c r="WPR377" s="15"/>
      <c r="WPS377" s="15"/>
      <c r="WPT377" s="15"/>
      <c r="WPU377" s="15"/>
      <c r="WPV377" s="15"/>
      <c r="WPW377" s="15"/>
      <c r="WPX377" s="15"/>
      <c r="WPY377" s="15"/>
      <c r="WPZ377" s="15"/>
      <c r="WQA377" s="10"/>
      <c r="WQB377" s="10"/>
      <c r="WQC377" s="21"/>
      <c r="WQD377" s="21"/>
      <c r="WQG377" s="21"/>
      <c r="WQH377" s="15"/>
      <c r="WQI377" s="15"/>
      <c r="WQJ377" s="15"/>
      <c r="WQK377" s="15"/>
      <c r="WQL377" s="15"/>
      <c r="WQM377" s="15"/>
      <c r="WQN377" s="15"/>
      <c r="WQO377" s="15"/>
      <c r="WQP377" s="15"/>
      <c r="WQQ377" s="15"/>
      <c r="WQR377" s="10"/>
      <c r="WQS377" s="10"/>
      <c r="WQT377" s="21"/>
      <c r="WQU377" s="21"/>
      <c r="WQX377" s="21"/>
      <c r="WQY377" s="15"/>
      <c r="WQZ377" s="15"/>
      <c r="WRA377" s="15"/>
      <c r="WRB377" s="15"/>
      <c r="WRC377" s="15"/>
      <c r="WRD377" s="15"/>
      <c r="WRE377" s="15"/>
      <c r="WRF377" s="15"/>
      <c r="WRG377" s="15"/>
      <c r="WRH377" s="15"/>
      <c r="WRI377" s="10"/>
      <c r="WRJ377" s="10"/>
      <c r="WRK377" s="21"/>
      <c r="WRL377" s="21"/>
      <c r="WRO377" s="21"/>
      <c r="WRP377" s="15"/>
      <c r="WRQ377" s="15"/>
      <c r="WRR377" s="15"/>
      <c r="WRS377" s="15"/>
      <c r="WRT377" s="15"/>
      <c r="WRU377" s="15"/>
      <c r="WRV377" s="15"/>
      <c r="WRW377" s="15"/>
      <c r="WRX377" s="15"/>
      <c r="WRY377" s="15"/>
      <c r="WRZ377" s="10"/>
      <c r="WSA377" s="10"/>
      <c r="WSB377" s="21"/>
      <c r="WSC377" s="21"/>
      <c r="WSF377" s="21"/>
      <c r="WSG377" s="15"/>
      <c r="WSH377" s="15"/>
      <c r="WSI377" s="15"/>
      <c r="WSJ377" s="15"/>
      <c r="WSK377" s="15"/>
      <c r="WSL377" s="15"/>
      <c r="WSM377" s="15"/>
      <c r="WSN377" s="15"/>
      <c r="WSO377" s="15"/>
      <c r="WSP377" s="15"/>
      <c r="WSQ377" s="10"/>
      <c r="WSR377" s="10"/>
      <c r="WSS377" s="21"/>
      <c r="WST377" s="21"/>
      <c r="WSW377" s="21"/>
      <c r="WSX377" s="15"/>
      <c r="WSY377" s="15"/>
      <c r="WSZ377" s="15"/>
      <c r="WTA377" s="15"/>
      <c r="WTB377" s="15"/>
      <c r="WTC377" s="15"/>
      <c r="WTD377" s="15"/>
      <c r="WTE377" s="15"/>
      <c r="WTF377" s="15"/>
      <c r="WTG377" s="15"/>
      <c r="WTH377" s="10"/>
      <c r="WTI377" s="10"/>
      <c r="WTJ377" s="21"/>
      <c r="WTK377" s="21"/>
      <c r="WTN377" s="21"/>
      <c r="WTO377" s="15"/>
      <c r="WTP377" s="15"/>
      <c r="WTQ377" s="15"/>
      <c r="WTR377" s="15"/>
      <c r="WTS377" s="15"/>
      <c r="WTT377" s="15"/>
      <c r="WTU377" s="15"/>
      <c r="WTV377" s="15"/>
      <c r="WTW377" s="15"/>
      <c r="WTX377" s="15"/>
      <c r="WTY377" s="10"/>
      <c r="WTZ377" s="10"/>
      <c r="WUA377" s="21"/>
      <c r="WUB377" s="21"/>
      <c r="WUE377" s="21"/>
      <c r="WUF377" s="15"/>
      <c r="WUG377" s="15"/>
      <c r="WUH377" s="15"/>
      <c r="WUI377" s="15"/>
      <c r="WUJ377" s="15"/>
      <c r="WUK377" s="15"/>
      <c r="WUL377" s="15"/>
      <c r="WUM377" s="15"/>
      <c r="WUN377" s="15"/>
      <c r="WUO377" s="15"/>
      <c r="WUP377" s="10"/>
      <c r="WUQ377" s="10"/>
      <c r="WUR377" s="21"/>
      <c r="WUS377" s="21"/>
      <c r="WUV377" s="21"/>
      <c r="WUW377" s="15"/>
      <c r="WUX377" s="15"/>
      <c r="WUY377" s="15"/>
      <c r="WUZ377" s="15"/>
      <c r="WVA377" s="15"/>
      <c r="WVB377" s="15"/>
      <c r="WVC377" s="15"/>
      <c r="WVD377" s="15"/>
      <c r="WVE377" s="15"/>
      <c r="WVF377" s="15"/>
      <c r="WVG377" s="10"/>
      <c r="WVH377" s="10"/>
      <c r="WVI377" s="21"/>
      <c r="WVJ377" s="21"/>
      <c r="WVM377" s="21"/>
      <c r="WVN377" s="15"/>
      <c r="WVO377" s="15"/>
      <c r="WVP377" s="15"/>
      <c r="WVQ377" s="15"/>
      <c r="WVR377" s="15"/>
      <c r="WVS377" s="15"/>
      <c r="WVT377" s="15"/>
      <c r="WVU377" s="15"/>
      <c r="WVV377" s="15"/>
      <c r="WVW377" s="15"/>
      <c r="WVX377" s="10"/>
      <c r="WVY377" s="10"/>
      <c r="WVZ377" s="21"/>
      <c r="WWA377" s="21"/>
      <c r="WWD377" s="21"/>
      <c r="WWE377" s="15"/>
      <c r="WWF377" s="15"/>
      <c r="WWG377" s="15"/>
      <c r="WWH377" s="15"/>
      <c r="WWI377" s="15"/>
      <c r="WWJ377" s="15"/>
      <c r="WWK377" s="15"/>
      <c r="WWL377" s="15"/>
      <c r="WWM377" s="15"/>
      <c r="WWN377" s="15"/>
      <c r="WWO377" s="10"/>
      <c r="WWP377" s="10"/>
      <c r="WWQ377" s="21"/>
      <c r="WWR377" s="21"/>
      <c r="WWU377" s="21"/>
      <c r="WWV377" s="15"/>
      <c r="WWW377" s="15"/>
      <c r="WWX377" s="15"/>
      <c r="WWY377" s="15"/>
      <c r="WWZ377" s="15"/>
      <c r="WXA377" s="15"/>
      <c r="WXB377" s="15"/>
      <c r="WXC377" s="15"/>
      <c r="WXD377" s="15"/>
      <c r="WXE377" s="15"/>
      <c r="WXF377" s="10"/>
      <c r="WXG377" s="10"/>
      <c r="WXH377" s="21"/>
      <c r="WXI377" s="21"/>
      <c r="WXL377" s="21"/>
      <c r="WXM377" s="15"/>
      <c r="WXN377" s="15"/>
      <c r="WXO377" s="15"/>
      <c r="WXP377" s="15"/>
      <c r="WXQ377" s="15"/>
      <c r="WXR377" s="15"/>
      <c r="WXS377" s="15"/>
      <c r="WXT377" s="15"/>
      <c r="WXU377" s="15"/>
      <c r="WXV377" s="15"/>
      <c r="WXW377" s="10"/>
      <c r="WXX377" s="10"/>
      <c r="WXY377" s="21"/>
      <c r="WXZ377" s="21"/>
      <c r="WYC377" s="21"/>
      <c r="WYD377" s="15"/>
      <c r="WYE377" s="15"/>
      <c r="WYF377" s="15"/>
      <c r="WYG377" s="15"/>
      <c r="WYH377" s="15"/>
      <c r="WYI377" s="15"/>
      <c r="WYJ377" s="15"/>
      <c r="WYK377" s="15"/>
      <c r="WYL377" s="15"/>
      <c r="WYM377" s="15"/>
      <c r="WYN377" s="10"/>
      <c r="WYO377" s="10"/>
      <c r="WYP377" s="21"/>
      <c r="WYQ377" s="21"/>
      <c r="WYT377" s="21"/>
      <c r="WYU377" s="15"/>
      <c r="WYV377" s="15"/>
      <c r="WYW377" s="15"/>
      <c r="WYX377" s="15"/>
      <c r="WYY377" s="15"/>
      <c r="WYZ377" s="15"/>
      <c r="WZA377" s="15"/>
      <c r="WZB377" s="15"/>
      <c r="WZC377" s="15"/>
      <c r="WZD377" s="15"/>
      <c r="WZE377" s="10"/>
      <c r="WZF377" s="10"/>
      <c r="WZG377" s="21"/>
      <c r="WZH377" s="21"/>
      <c r="WZK377" s="21"/>
      <c r="WZL377" s="15"/>
      <c r="WZM377" s="15"/>
      <c r="WZN377" s="15"/>
      <c r="WZO377" s="15"/>
      <c r="WZP377" s="15"/>
      <c r="WZQ377" s="15"/>
      <c r="WZR377" s="15"/>
      <c r="WZS377" s="15"/>
      <c r="WZT377" s="15"/>
      <c r="WZU377" s="15"/>
      <c r="WZV377" s="10"/>
      <c r="WZW377" s="10"/>
      <c r="WZX377" s="21"/>
      <c r="WZY377" s="21"/>
      <c r="XAB377" s="21"/>
      <c r="XAC377" s="15"/>
      <c r="XAD377" s="15"/>
      <c r="XAE377" s="15"/>
      <c r="XAF377" s="15"/>
      <c r="XAG377" s="15"/>
      <c r="XAH377" s="15"/>
      <c r="XAI377" s="15"/>
      <c r="XAJ377" s="15"/>
      <c r="XAK377" s="15"/>
      <c r="XAL377" s="15"/>
      <c r="XAM377" s="10"/>
      <c r="XAN377" s="10"/>
      <c r="XAO377" s="21"/>
      <c r="XAP377" s="21"/>
      <c r="XAS377" s="21"/>
      <c r="XAT377" s="15"/>
      <c r="XAU377" s="15"/>
      <c r="XAV377" s="15"/>
      <c r="XAW377" s="15"/>
      <c r="XAX377" s="15"/>
      <c r="XAY377" s="15"/>
      <c r="XAZ377" s="15"/>
      <c r="XBA377" s="15"/>
      <c r="XBB377" s="15"/>
      <c r="XBC377" s="15"/>
      <c r="XBD377" s="10"/>
      <c r="XBE377" s="10"/>
      <c r="XBF377" s="21"/>
      <c r="XBG377" s="21"/>
      <c r="XBJ377" s="21"/>
      <c r="XBK377" s="15"/>
      <c r="XBL377" s="15"/>
      <c r="XBM377" s="15"/>
      <c r="XBN377" s="15"/>
      <c r="XBO377" s="15"/>
      <c r="XBP377" s="15"/>
      <c r="XBQ377" s="15"/>
      <c r="XBR377" s="15"/>
      <c r="XBS377" s="15"/>
      <c r="XBT377" s="15"/>
      <c r="XBU377" s="10"/>
      <c r="XBV377" s="10"/>
      <c r="XBW377" s="21"/>
      <c r="XBX377" s="21"/>
      <c r="XCA377" s="21"/>
      <c r="XCB377" s="15"/>
      <c r="XCC377" s="15"/>
      <c r="XCD377" s="15"/>
      <c r="XCE377" s="15"/>
      <c r="XCF377" s="15"/>
      <c r="XCG377" s="15"/>
      <c r="XCH377" s="15"/>
      <c r="XCI377" s="15"/>
      <c r="XCJ377" s="15"/>
      <c r="XCK377" s="15"/>
      <c r="XCL377" s="10"/>
      <c r="XCM377" s="10"/>
      <c r="XCN377" s="21"/>
      <c r="XCO377" s="21"/>
      <c r="XCR377" s="21"/>
      <c r="XCS377" s="15"/>
      <c r="XCT377" s="15"/>
      <c r="XCU377" s="15"/>
      <c r="XCV377" s="15"/>
      <c r="XCW377" s="15"/>
      <c r="XCX377" s="15"/>
      <c r="XCY377" s="15"/>
      <c r="XCZ377" s="15"/>
      <c r="XDA377" s="15"/>
      <c r="XDB377" s="15"/>
      <c r="XDC377" s="10"/>
      <c r="XDD377" s="10"/>
      <c r="XDE377" s="21"/>
      <c r="XDF377" s="21"/>
      <c r="XDI377" s="21"/>
      <c r="XDJ377" s="15"/>
      <c r="XDK377" s="15"/>
      <c r="XDL377" s="15"/>
      <c r="XDM377" s="15"/>
      <c r="XDN377" s="15"/>
      <c r="XDO377" s="15"/>
      <c r="XDP377" s="15"/>
      <c r="XDQ377" s="15"/>
      <c r="XDR377" s="15"/>
      <c r="XDS377" s="15"/>
      <c r="XDT377" s="10"/>
      <c r="XDU377" s="10"/>
      <c r="XDV377" s="21"/>
      <c r="XDW377" s="21"/>
      <c r="XDZ377" s="21"/>
      <c r="XEA377" s="15"/>
      <c r="XEB377" s="15"/>
      <c r="XEC377" s="15"/>
      <c r="XED377" s="15"/>
      <c r="XEE377" s="15"/>
      <c r="XEF377" s="15"/>
      <c r="XEG377" s="15"/>
      <c r="XEH377" s="15"/>
      <c r="XEI377" s="15"/>
      <c r="XEJ377" s="15"/>
      <c r="XEK377" s="10"/>
      <c r="XEL377" s="10"/>
      <c r="XEM377" s="21"/>
      <c r="XEN377" s="21"/>
      <c r="XEQ377" s="21"/>
      <c r="XER377" s="15"/>
      <c r="XES377" s="15"/>
      <c r="XET377" s="15"/>
      <c r="XEU377" s="15"/>
      <c r="XEV377" s="15"/>
      <c r="XEW377" s="15"/>
      <c r="XEX377" s="15"/>
      <c r="XEY377" s="15"/>
      <c r="XEZ377" s="15"/>
      <c r="XFA377" s="15"/>
      <c r="XFB377" s="10"/>
      <c r="XFC377" s="10"/>
      <c r="XFD377" s="21"/>
    </row>
    <row r="378" spans="1:4094 4097:8191 8194:12288 12291:16384" ht="14.25" customHeight="1" x14ac:dyDescent="0.3">
      <c r="A378" s="44">
        <v>0</v>
      </c>
      <c r="B378" s="44">
        <v>2</v>
      </c>
      <c r="C378" s="44">
        <v>5</v>
      </c>
      <c r="D378" s="45" t="s">
        <v>775</v>
      </c>
      <c r="E378" s="45" t="s">
        <v>772</v>
      </c>
      <c r="F378" s="45" t="s">
        <v>777</v>
      </c>
      <c r="G378" s="45" t="s">
        <v>207</v>
      </c>
      <c r="H378" s="45" t="s">
        <v>354</v>
      </c>
      <c r="I378" s="44" t="s">
        <v>776</v>
      </c>
      <c r="J378" s="44">
        <v>99</v>
      </c>
      <c r="K378" s="46" t="s">
        <v>712</v>
      </c>
      <c r="L378" s="46" t="s">
        <v>694</v>
      </c>
      <c r="M378" s="47" t="s">
        <v>1426</v>
      </c>
      <c r="N378" s="47" t="s">
        <v>1735</v>
      </c>
      <c r="O378" s="48"/>
      <c r="P378" s="48"/>
      <c r="Q378" s="45"/>
      <c r="S378" s="1">
        <f t="shared" si="237"/>
        <v>0</v>
      </c>
      <c r="T378" s="1">
        <f t="shared" si="238"/>
        <v>0</v>
      </c>
      <c r="U378" s="1">
        <f t="shared" si="239"/>
        <v>0</v>
      </c>
      <c r="V378" s="1">
        <f t="shared" si="240"/>
        <v>0</v>
      </c>
      <c r="W378" s="1">
        <f t="shared" si="241"/>
        <v>0</v>
      </c>
      <c r="X378" s="1">
        <f t="shared" si="242"/>
        <v>0</v>
      </c>
      <c r="Y378" s="1">
        <f t="shared" si="243"/>
        <v>0</v>
      </c>
      <c r="Z378" s="1">
        <f t="shared" si="244"/>
        <v>0</v>
      </c>
      <c r="AA378" s="1">
        <f t="shared" si="245"/>
        <v>0</v>
      </c>
      <c r="AB378" s="1">
        <f t="shared" si="246"/>
        <v>0</v>
      </c>
      <c r="AD378" s="1">
        <f t="shared" si="247"/>
        <v>0</v>
      </c>
      <c r="AE378" s="1">
        <f t="shared" si="248"/>
        <v>0</v>
      </c>
      <c r="AF378" s="1">
        <f t="shared" si="233"/>
        <v>0</v>
      </c>
      <c r="AG378" s="1">
        <f t="shared" si="234"/>
        <v>0</v>
      </c>
      <c r="AH378" s="1">
        <f t="shared" si="235"/>
        <v>0</v>
      </c>
      <c r="AI378" s="1">
        <f t="shared" si="236"/>
        <v>1</v>
      </c>
    </row>
    <row r="379" spans="1:4094 4097:8191 8194:12288 12291:16384" ht="14.25" customHeight="1" x14ac:dyDescent="0.3">
      <c r="A379" s="44">
        <v>1</v>
      </c>
      <c r="B379" s="44">
        <v>2</v>
      </c>
      <c r="C379" s="44">
        <v>5</v>
      </c>
      <c r="D379" s="45" t="s">
        <v>775</v>
      </c>
      <c r="E379" s="45" t="s">
        <v>772</v>
      </c>
      <c r="F379" s="45" t="s">
        <v>1006</v>
      </c>
      <c r="G379" s="45" t="s">
        <v>190</v>
      </c>
      <c r="H379" s="45" t="s">
        <v>354</v>
      </c>
      <c r="I379" s="44" t="s">
        <v>1007</v>
      </c>
      <c r="J379" s="44">
        <v>99</v>
      </c>
      <c r="K379" s="46" t="s">
        <v>712</v>
      </c>
      <c r="L379" s="46" t="s">
        <v>694</v>
      </c>
      <c r="M379" s="47" t="s">
        <v>1426</v>
      </c>
      <c r="N379" s="47" t="s">
        <v>1735</v>
      </c>
      <c r="O379" s="48"/>
      <c r="P379" s="48"/>
      <c r="Q379" s="45"/>
      <c r="S379" s="1">
        <f t="shared" si="237"/>
        <v>0</v>
      </c>
      <c r="T379" s="1">
        <f t="shared" si="238"/>
        <v>0</v>
      </c>
      <c r="U379" s="1">
        <f t="shared" si="239"/>
        <v>0</v>
      </c>
      <c r="V379" s="1">
        <f t="shared" si="240"/>
        <v>0</v>
      </c>
      <c r="W379" s="1">
        <f t="shared" si="241"/>
        <v>0</v>
      </c>
      <c r="X379" s="1">
        <f t="shared" si="242"/>
        <v>0</v>
      </c>
      <c r="Y379" s="1">
        <f t="shared" si="243"/>
        <v>0</v>
      </c>
      <c r="Z379" s="1">
        <f t="shared" si="244"/>
        <v>0</v>
      </c>
      <c r="AA379" s="1">
        <f t="shared" si="245"/>
        <v>0</v>
      </c>
      <c r="AB379" s="1">
        <f t="shared" si="246"/>
        <v>0</v>
      </c>
      <c r="AD379" s="1">
        <f t="shared" si="247"/>
        <v>0</v>
      </c>
      <c r="AE379" s="1">
        <f t="shared" si="248"/>
        <v>0</v>
      </c>
      <c r="AF379" s="1">
        <f t="shared" si="233"/>
        <v>0</v>
      </c>
      <c r="AG379" s="1">
        <f t="shared" si="234"/>
        <v>0</v>
      </c>
      <c r="AH379" s="1">
        <f t="shared" si="235"/>
        <v>0</v>
      </c>
      <c r="AI379" s="1">
        <f t="shared" si="236"/>
        <v>0</v>
      </c>
    </row>
    <row r="380" spans="1:4094 4097:8191 8194:12288 12291:16384" ht="14.25" customHeight="1" x14ac:dyDescent="0.3">
      <c r="A380" s="15">
        <v>0</v>
      </c>
      <c r="B380" s="15">
        <v>2</v>
      </c>
      <c r="C380" s="15">
        <v>5</v>
      </c>
      <c r="D380" s="16" t="s">
        <v>916</v>
      </c>
      <c r="E380" s="16" t="s">
        <v>911</v>
      </c>
      <c r="F380" s="16" t="s">
        <v>929</v>
      </c>
      <c r="G380" s="16" t="s">
        <v>1350</v>
      </c>
      <c r="H380" s="16" t="s">
        <v>354</v>
      </c>
      <c r="I380" s="15" t="s">
        <v>770</v>
      </c>
      <c r="J380" s="15">
        <v>99</v>
      </c>
      <c r="K380" s="10" t="s">
        <v>703</v>
      </c>
      <c r="L380" s="10">
        <v>20</v>
      </c>
      <c r="M380" s="19" t="s">
        <v>1427</v>
      </c>
      <c r="N380" s="19"/>
      <c r="Q380" s="16"/>
      <c r="S380" s="1">
        <f t="shared" si="237"/>
        <v>0</v>
      </c>
      <c r="T380" s="1">
        <f t="shared" si="238"/>
        <v>0</v>
      </c>
      <c r="U380" s="1">
        <f t="shared" si="239"/>
        <v>0</v>
      </c>
      <c r="V380" s="1">
        <f t="shared" si="240"/>
        <v>0</v>
      </c>
      <c r="W380" s="1">
        <f t="shared" si="241"/>
        <v>0</v>
      </c>
      <c r="X380" s="1">
        <f t="shared" si="242"/>
        <v>0</v>
      </c>
      <c r="Y380" s="1">
        <f t="shared" si="243"/>
        <v>0</v>
      </c>
      <c r="Z380" s="1">
        <f t="shared" si="244"/>
        <v>0</v>
      </c>
      <c r="AA380" s="1">
        <f t="shared" si="245"/>
        <v>0</v>
      </c>
      <c r="AB380" s="1">
        <f t="shared" si="246"/>
        <v>0</v>
      </c>
      <c r="AD380" s="1">
        <f t="shared" si="247"/>
        <v>0</v>
      </c>
      <c r="AE380" s="1">
        <f t="shared" si="248"/>
        <v>0</v>
      </c>
      <c r="AF380" s="1">
        <f t="shared" si="233"/>
        <v>0</v>
      </c>
      <c r="AG380" s="1">
        <f t="shared" si="234"/>
        <v>0</v>
      </c>
      <c r="AH380" s="1">
        <f t="shared" si="235"/>
        <v>0</v>
      </c>
      <c r="AI380" s="1">
        <f t="shared" si="236"/>
        <v>1</v>
      </c>
    </row>
    <row r="381" spans="1:4094 4097:8191 8194:12288 12291:16384" ht="14.25" customHeight="1" x14ac:dyDescent="0.3">
      <c r="A381" s="31">
        <v>0</v>
      </c>
      <c r="B381" s="31">
        <v>2</v>
      </c>
      <c r="C381" s="31">
        <v>5</v>
      </c>
      <c r="D381" s="32" t="s">
        <v>1921</v>
      </c>
      <c r="E381" s="32"/>
      <c r="F381" s="32" t="s">
        <v>1922</v>
      </c>
      <c r="G381" s="32" t="s">
        <v>208</v>
      </c>
      <c r="H381" s="32" t="s">
        <v>354</v>
      </c>
      <c r="I381" s="31" t="s">
        <v>1923</v>
      </c>
      <c r="J381" s="31">
        <v>3</v>
      </c>
      <c r="K381" s="33" t="s">
        <v>703</v>
      </c>
      <c r="L381" s="33"/>
      <c r="M381" s="34"/>
      <c r="N381" s="34" t="s">
        <v>1727</v>
      </c>
      <c r="O381" s="35">
        <v>1</v>
      </c>
      <c r="P381" s="35">
        <v>1</v>
      </c>
      <c r="Q381" s="32" t="s">
        <v>1924</v>
      </c>
      <c r="S381" s="1">
        <f t="shared" si="237"/>
        <v>0</v>
      </c>
      <c r="T381" s="1">
        <f t="shared" si="238"/>
        <v>0</v>
      </c>
      <c r="U381" s="1">
        <f t="shared" si="239"/>
        <v>1</v>
      </c>
      <c r="V381" s="1">
        <f t="shared" si="240"/>
        <v>0</v>
      </c>
      <c r="W381" s="1">
        <f t="shared" si="241"/>
        <v>0</v>
      </c>
      <c r="X381" s="1">
        <f t="shared" si="242"/>
        <v>0</v>
      </c>
      <c r="Y381" s="1">
        <f t="shared" si="243"/>
        <v>0</v>
      </c>
      <c r="Z381" s="1">
        <f t="shared" si="244"/>
        <v>0</v>
      </c>
      <c r="AA381" s="1">
        <f t="shared" si="245"/>
        <v>0</v>
      </c>
      <c r="AB381" s="1">
        <f t="shared" si="246"/>
        <v>0</v>
      </c>
      <c r="AD381" s="1">
        <f t="shared" si="247"/>
        <v>1</v>
      </c>
      <c r="AE381" s="1">
        <f t="shared" si="248"/>
        <v>0</v>
      </c>
      <c r="AF381" s="1">
        <f t="shared" si="233"/>
        <v>1</v>
      </c>
      <c r="AG381" s="1">
        <f t="shared" si="234"/>
        <v>0</v>
      </c>
      <c r="AH381" s="1">
        <f t="shared" si="235"/>
        <v>1</v>
      </c>
      <c r="AI381" s="1">
        <f t="shared" si="236"/>
        <v>0</v>
      </c>
    </row>
    <row r="382" spans="1:4094 4097:8191 8194:12288 12291:16384" ht="14.25" customHeight="1" x14ac:dyDescent="0.3">
      <c r="A382" s="31">
        <v>0</v>
      </c>
      <c r="B382" s="31">
        <v>2</v>
      </c>
      <c r="C382" s="31">
        <v>5</v>
      </c>
      <c r="D382" s="32" t="s">
        <v>1270</v>
      </c>
      <c r="E382" s="32" t="s">
        <v>1271</v>
      </c>
      <c r="F382" s="32" t="s">
        <v>1272</v>
      </c>
      <c r="G382" s="32" t="s">
        <v>220</v>
      </c>
      <c r="H382" s="32" t="s">
        <v>354</v>
      </c>
      <c r="I382" s="31" t="s">
        <v>1723</v>
      </c>
      <c r="J382" s="31">
        <v>8</v>
      </c>
      <c r="K382" s="33" t="s">
        <v>713</v>
      </c>
      <c r="L382" s="33" t="s">
        <v>39</v>
      </c>
      <c r="M382" s="34" t="s">
        <v>39</v>
      </c>
      <c r="N382" s="34" t="s">
        <v>1727</v>
      </c>
      <c r="O382" s="35">
        <v>1</v>
      </c>
      <c r="P382" s="35">
        <v>1</v>
      </c>
      <c r="Q382" s="32"/>
      <c r="S382" s="1">
        <f t="shared" si="237"/>
        <v>0</v>
      </c>
      <c r="T382" s="1">
        <f t="shared" si="238"/>
        <v>0</v>
      </c>
      <c r="U382" s="1">
        <f t="shared" si="239"/>
        <v>0</v>
      </c>
      <c r="V382" s="1">
        <f t="shared" si="240"/>
        <v>0</v>
      </c>
      <c r="W382" s="1">
        <f t="shared" si="241"/>
        <v>0</v>
      </c>
      <c r="X382" s="1">
        <f t="shared" si="242"/>
        <v>0</v>
      </c>
      <c r="Y382" s="1">
        <f t="shared" si="243"/>
        <v>0</v>
      </c>
      <c r="Z382" s="1">
        <f t="shared" si="244"/>
        <v>1</v>
      </c>
      <c r="AA382" s="1">
        <f t="shared" si="245"/>
        <v>0</v>
      </c>
      <c r="AB382" s="1">
        <f t="shared" si="246"/>
        <v>0</v>
      </c>
      <c r="AD382" s="1">
        <f t="shared" si="247"/>
        <v>1</v>
      </c>
      <c r="AE382" s="1">
        <f t="shared" si="248"/>
        <v>0</v>
      </c>
      <c r="AF382" s="1">
        <f t="shared" si="233"/>
        <v>1</v>
      </c>
      <c r="AG382" s="1">
        <f t="shared" si="234"/>
        <v>0</v>
      </c>
      <c r="AH382" s="1">
        <f t="shared" si="235"/>
        <v>1</v>
      </c>
      <c r="AI382" s="1">
        <f t="shared" si="236"/>
        <v>0</v>
      </c>
    </row>
    <row r="383" spans="1:4094 4097:8191 8194:12288 12291:16384" ht="14.25" customHeight="1" x14ac:dyDescent="0.3">
      <c r="A383" s="31">
        <v>0</v>
      </c>
      <c r="B383" s="31">
        <v>2</v>
      </c>
      <c r="C383" s="31">
        <v>5</v>
      </c>
      <c r="D383" s="32" t="s">
        <v>1082</v>
      </c>
      <c r="E383" s="32" t="s">
        <v>155</v>
      </c>
      <c r="F383" s="32" t="s">
        <v>1066</v>
      </c>
      <c r="G383" s="32" t="s">
        <v>321</v>
      </c>
      <c r="H383" s="32" t="s">
        <v>354</v>
      </c>
      <c r="I383" s="31" t="s">
        <v>1067</v>
      </c>
      <c r="J383" s="31">
        <v>99</v>
      </c>
      <c r="K383" s="33" t="s">
        <v>713</v>
      </c>
      <c r="L383" s="33" t="s">
        <v>694</v>
      </c>
      <c r="M383" s="34" t="s">
        <v>1428</v>
      </c>
      <c r="N383" s="34" t="s">
        <v>1756</v>
      </c>
      <c r="O383" s="35">
        <v>1</v>
      </c>
      <c r="P383" s="35"/>
      <c r="Q383" s="32"/>
      <c r="S383" s="1">
        <f t="shared" si="237"/>
        <v>0</v>
      </c>
      <c r="T383" s="1">
        <f t="shared" si="238"/>
        <v>0</v>
      </c>
      <c r="U383" s="1">
        <f t="shared" si="239"/>
        <v>0</v>
      </c>
      <c r="V383" s="1">
        <f t="shared" si="240"/>
        <v>0</v>
      </c>
      <c r="W383" s="1">
        <f t="shared" si="241"/>
        <v>0</v>
      </c>
      <c r="X383" s="1">
        <f t="shared" si="242"/>
        <v>0</v>
      </c>
      <c r="Y383" s="1">
        <f t="shared" si="243"/>
        <v>0</v>
      </c>
      <c r="Z383" s="1">
        <f t="shared" si="244"/>
        <v>0</v>
      </c>
      <c r="AA383" s="1">
        <f t="shared" si="245"/>
        <v>0</v>
      </c>
      <c r="AB383" s="1">
        <f t="shared" si="246"/>
        <v>0</v>
      </c>
      <c r="AD383" s="1">
        <f t="shared" si="247"/>
        <v>0</v>
      </c>
      <c r="AE383" s="1">
        <f t="shared" si="248"/>
        <v>1</v>
      </c>
      <c r="AF383" s="1">
        <f t="shared" si="233"/>
        <v>0</v>
      </c>
      <c r="AG383" s="1">
        <f t="shared" si="234"/>
        <v>1</v>
      </c>
      <c r="AH383" s="1">
        <f t="shared" si="235"/>
        <v>0</v>
      </c>
      <c r="AI383" s="1">
        <f t="shared" si="236"/>
        <v>1</v>
      </c>
    </row>
    <row r="384" spans="1:4094 4097:8191 8194:12288 12291:16384" ht="14.25" customHeight="1" x14ac:dyDescent="0.3">
      <c r="A384" s="31">
        <v>0</v>
      </c>
      <c r="B384" s="31">
        <v>2</v>
      </c>
      <c r="C384" s="31">
        <v>5</v>
      </c>
      <c r="D384" s="32" t="s">
        <v>796</v>
      </c>
      <c r="E384" s="32" t="s">
        <v>772</v>
      </c>
      <c r="F384" s="32" t="s">
        <v>932</v>
      </c>
      <c r="G384" s="32" t="s">
        <v>220</v>
      </c>
      <c r="H384" s="32" t="s">
        <v>354</v>
      </c>
      <c r="I384" s="31" t="s">
        <v>797</v>
      </c>
      <c r="J384" s="31">
        <v>8</v>
      </c>
      <c r="K384" s="33" t="s">
        <v>703</v>
      </c>
      <c r="L384" s="33">
        <v>20</v>
      </c>
      <c r="M384" s="34" t="s">
        <v>1419</v>
      </c>
      <c r="N384" s="34" t="s">
        <v>1825</v>
      </c>
      <c r="O384" s="35">
        <v>1</v>
      </c>
      <c r="P384" s="35"/>
      <c r="Q384" s="32"/>
      <c r="S384" s="1">
        <f t="shared" ref="S384:S386" si="261">IF(J384=$S$7,1,0)</f>
        <v>0</v>
      </c>
      <c r="T384" s="1">
        <f t="shared" ref="T384:T386" si="262">IF(J384=$T$7,1,0)</f>
        <v>0</v>
      </c>
      <c r="U384" s="1">
        <f t="shared" ref="U384:U386" si="263">IF(J384=$U$7,1,0)</f>
        <v>0</v>
      </c>
      <c r="V384" s="1">
        <f t="shared" ref="V384:V386" si="264">IF(J384=$V$7,1,0)</f>
        <v>0</v>
      </c>
      <c r="W384" s="1">
        <f t="shared" ref="W384:W386" si="265">IF(J384=$W$7,1,0)</f>
        <v>0</v>
      </c>
      <c r="X384" s="1">
        <f t="shared" ref="X384:X386" si="266">IF(J384=$X$7,1,0)</f>
        <v>0</v>
      </c>
      <c r="Y384" s="1">
        <f t="shared" ref="Y384:Y386" si="267">IF(J384=$Y$7,1,0)</f>
        <v>0</v>
      </c>
      <c r="Z384" s="1">
        <f t="shared" ref="Z384:Z386" si="268">IF(J384=$Z$7,1,0)</f>
        <v>1</v>
      </c>
      <c r="AA384" s="1">
        <f t="shared" ref="AA384:AA386" si="269">IF(J384=$AA$7,1,0)</f>
        <v>0</v>
      </c>
      <c r="AB384" s="1">
        <f t="shared" ref="AB384:AB386" si="270">IF(J384=$AB$7,1,0)</f>
        <v>0</v>
      </c>
      <c r="AD384" s="1">
        <f t="shared" ref="AD384:AD386" si="271">+O384*P384</f>
        <v>0</v>
      </c>
      <c r="AE384" s="1">
        <f t="shared" ref="AE384:AE386" si="272">O384*(1-P384)</f>
        <v>1</v>
      </c>
      <c r="AF384" s="1">
        <f t="shared" si="233"/>
        <v>0</v>
      </c>
      <c r="AG384" s="1">
        <f t="shared" si="234"/>
        <v>1</v>
      </c>
      <c r="AH384" s="1">
        <f t="shared" si="235"/>
        <v>0</v>
      </c>
      <c r="AI384" s="1">
        <f t="shared" si="236"/>
        <v>1</v>
      </c>
    </row>
    <row r="385" spans="1:35" ht="14.25" customHeight="1" x14ac:dyDescent="0.3">
      <c r="A385" s="49">
        <v>0</v>
      </c>
      <c r="B385" s="49">
        <v>2</v>
      </c>
      <c r="C385" s="49">
        <v>5</v>
      </c>
      <c r="D385" s="50" t="s">
        <v>79</v>
      </c>
      <c r="E385" s="50" t="s">
        <v>159</v>
      </c>
      <c r="F385" s="50" t="s">
        <v>268</v>
      </c>
      <c r="G385" s="50" t="s">
        <v>213</v>
      </c>
      <c r="H385" s="50" t="s">
        <v>354</v>
      </c>
      <c r="I385" s="49" t="s">
        <v>425</v>
      </c>
      <c r="J385" s="49">
        <v>1</v>
      </c>
      <c r="K385" s="51" t="s">
        <v>955</v>
      </c>
      <c r="L385" s="51" t="s">
        <v>704</v>
      </c>
      <c r="M385" s="52" t="s">
        <v>727</v>
      </c>
      <c r="N385" s="52" t="s">
        <v>1743</v>
      </c>
      <c r="O385" s="53">
        <v>1</v>
      </c>
      <c r="P385" s="53"/>
      <c r="Q385" s="50"/>
      <c r="S385" s="1">
        <f t="shared" si="261"/>
        <v>1</v>
      </c>
      <c r="T385" s="1">
        <f t="shared" si="262"/>
        <v>0</v>
      </c>
      <c r="U385" s="1">
        <f t="shared" si="263"/>
        <v>0</v>
      </c>
      <c r="V385" s="1">
        <f t="shared" si="264"/>
        <v>0</v>
      </c>
      <c r="W385" s="1">
        <f t="shared" si="265"/>
        <v>0</v>
      </c>
      <c r="X385" s="1">
        <f t="shared" si="266"/>
        <v>0</v>
      </c>
      <c r="Y385" s="1">
        <f t="shared" si="267"/>
        <v>0</v>
      </c>
      <c r="Z385" s="1">
        <f t="shared" si="268"/>
        <v>0</v>
      </c>
      <c r="AA385" s="1">
        <f t="shared" si="269"/>
        <v>0</v>
      </c>
      <c r="AB385" s="1">
        <f t="shared" si="270"/>
        <v>0</v>
      </c>
      <c r="AD385" s="1">
        <f t="shared" si="271"/>
        <v>0</v>
      </c>
      <c r="AE385" s="1">
        <f t="shared" si="272"/>
        <v>1</v>
      </c>
      <c r="AF385" s="1">
        <f t="shared" si="233"/>
        <v>0</v>
      </c>
      <c r="AG385" s="1">
        <f t="shared" si="234"/>
        <v>1</v>
      </c>
      <c r="AH385" s="1">
        <f t="shared" si="235"/>
        <v>0</v>
      </c>
      <c r="AI385" s="1">
        <f t="shared" si="236"/>
        <v>1</v>
      </c>
    </row>
    <row r="386" spans="1:35" ht="14.25" customHeight="1" x14ac:dyDescent="0.3">
      <c r="A386" s="31">
        <v>0</v>
      </c>
      <c r="B386" s="31">
        <v>2</v>
      </c>
      <c r="C386" s="31">
        <v>5</v>
      </c>
      <c r="D386" s="32" t="s">
        <v>1642</v>
      </c>
      <c r="E386" s="32" t="s">
        <v>1654</v>
      </c>
      <c r="F386" s="32" t="s">
        <v>1551</v>
      </c>
      <c r="G386" s="32" t="s">
        <v>262</v>
      </c>
      <c r="H386" s="32" t="s">
        <v>354</v>
      </c>
      <c r="I386" s="31" t="s">
        <v>1552</v>
      </c>
      <c r="J386" s="31">
        <v>99</v>
      </c>
      <c r="K386" s="33" t="s">
        <v>955</v>
      </c>
      <c r="L386" s="33">
        <v>40</v>
      </c>
      <c r="M386" s="34" t="s">
        <v>39</v>
      </c>
      <c r="N386" s="34" t="s">
        <v>1825</v>
      </c>
      <c r="O386" s="35">
        <v>1</v>
      </c>
      <c r="P386" s="35"/>
      <c r="Q386" s="32"/>
      <c r="S386" s="1">
        <f t="shared" si="261"/>
        <v>0</v>
      </c>
      <c r="T386" s="1">
        <f t="shared" si="262"/>
        <v>0</v>
      </c>
      <c r="U386" s="1">
        <f t="shared" si="263"/>
        <v>0</v>
      </c>
      <c r="V386" s="1">
        <f t="shared" si="264"/>
        <v>0</v>
      </c>
      <c r="W386" s="1">
        <f t="shared" si="265"/>
        <v>0</v>
      </c>
      <c r="X386" s="1">
        <f t="shared" si="266"/>
        <v>0</v>
      </c>
      <c r="Y386" s="1">
        <f t="shared" si="267"/>
        <v>0</v>
      </c>
      <c r="Z386" s="1">
        <f t="shared" si="268"/>
        <v>0</v>
      </c>
      <c r="AA386" s="1">
        <f t="shared" si="269"/>
        <v>0</v>
      </c>
      <c r="AB386" s="1">
        <f t="shared" si="270"/>
        <v>0</v>
      </c>
      <c r="AD386" s="1">
        <f t="shared" si="271"/>
        <v>0</v>
      </c>
      <c r="AE386" s="1">
        <f t="shared" si="272"/>
        <v>1</v>
      </c>
      <c r="AF386" s="1">
        <f t="shared" si="233"/>
        <v>0</v>
      </c>
      <c r="AG386" s="1">
        <f t="shared" si="234"/>
        <v>1</v>
      </c>
      <c r="AH386" s="1">
        <f t="shared" si="235"/>
        <v>0</v>
      </c>
      <c r="AI386" s="1">
        <f t="shared" si="236"/>
        <v>1</v>
      </c>
    </row>
    <row r="387" spans="1:35" ht="14.25" customHeight="1" x14ac:dyDescent="0.3">
      <c r="A387" s="31">
        <v>0</v>
      </c>
      <c r="B387" s="31">
        <v>2</v>
      </c>
      <c r="C387" s="31">
        <v>5</v>
      </c>
      <c r="D387" s="32" t="s">
        <v>1297</v>
      </c>
      <c r="E387" s="32" t="s">
        <v>27</v>
      </c>
      <c r="F387" s="32" t="s">
        <v>1298</v>
      </c>
      <c r="G387" s="32" t="s">
        <v>1299</v>
      </c>
      <c r="H387" s="32" t="s">
        <v>354</v>
      </c>
      <c r="I387" s="31" t="s">
        <v>1300</v>
      </c>
      <c r="J387" s="31">
        <v>99</v>
      </c>
      <c r="K387" s="33" t="s">
        <v>955</v>
      </c>
      <c r="L387" s="33" t="s">
        <v>39</v>
      </c>
      <c r="M387" s="34" t="s">
        <v>39</v>
      </c>
      <c r="N387" s="34" t="s">
        <v>1727</v>
      </c>
      <c r="O387" s="35">
        <v>1</v>
      </c>
      <c r="P387" s="35">
        <v>1</v>
      </c>
      <c r="Q387" s="36"/>
      <c r="S387" s="1">
        <f t="shared" si="237"/>
        <v>0</v>
      </c>
      <c r="T387" s="1">
        <f t="shared" si="238"/>
        <v>0</v>
      </c>
      <c r="U387" s="1">
        <f t="shared" si="239"/>
        <v>0</v>
      </c>
      <c r="V387" s="1">
        <f t="shared" si="240"/>
        <v>0</v>
      </c>
      <c r="W387" s="1">
        <f t="shared" si="241"/>
        <v>0</v>
      </c>
      <c r="X387" s="1">
        <f t="shared" si="242"/>
        <v>0</v>
      </c>
      <c r="Y387" s="1">
        <f t="shared" si="243"/>
        <v>0</v>
      </c>
      <c r="Z387" s="1">
        <f t="shared" si="244"/>
        <v>0</v>
      </c>
      <c r="AA387" s="1">
        <f t="shared" si="245"/>
        <v>0</v>
      </c>
      <c r="AB387" s="1">
        <f t="shared" si="246"/>
        <v>0</v>
      </c>
      <c r="AD387" s="1">
        <f t="shared" si="247"/>
        <v>1</v>
      </c>
      <c r="AE387" s="1">
        <f t="shared" si="248"/>
        <v>0</v>
      </c>
      <c r="AF387" s="1">
        <f t="shared" si="233"/>
        <v>1</v>
      </c>
      <c r="AG387" s="1">
        <f t="shared" si="234"/>
        <v>0</v>
      </c>
      <c r="AH387" s="1">
        <f t="shared" si="235"/>
        <v>1</v>
      </c>
      <c r="AI387" s="1">
        <f t="shared" si="236"/>
        <v>0</v>
      </c>
    </row>
    <row r="388" spans="1:35" ht="14.25" customHeight="1" x14ac:dyDescent="0.3">
      <c r="A388" s="44">
        <v>0</v>
      </c>
      <c r="B388" s="44">
        <v>2</v>
      </c>
      <c r="C388" s="44">
        <v>5</v>
      </c>
      <c r="D388" s="45" t="s">
        <v>1603</v>
      </c>
      <c r="E388" s="45" t="s">
        <v>159</v>
      </c>
      <c r="F388" s="45" t="s">
        <v>1675</v>
      </c>
      <c r="G388" s="45" t="s">
        <v>1468</v>
      </c>
      <c r="H388" s="45" t="s">
        <v>354</v>
      </c>
      <c r="I388" s="44" t="s">
        <v>1469</v>
      </c>
      <c r="J388" s="44">
        <v>99</v>
      </c>
      <c r="K388" s="46" t="s">
        <v>713</v>
      </c>
      <c r="L388" s="46" t="s">
        <v>696</v>
      </c>
      <c r="M388" s="47" t="s">
        <v>1470</v>
      </c>
      <c r="N388" s="47" t="s">
        <v>1747</v>
      </c>
      <c r="O388" s="48"/>
      <c r="P388" s="48"/>
      <c r="Q388" s="45"/>
      <c r="S388" s="1">
        <f t="shared" si="237"/>
        <v>0</v>
      </c>
      <c r="T388" s="1">
        <f t="shared" si="238"/>
        <v>0</v>
      </c>
      <c r="U388" s="1">
        <f t="shared" si="239"/>
        <v>0</v>
      </c>
      <c r="V388" s="1">
        <f t="shared" si="240"/>
        <v>0</v>
      </c>
      <c r="W388" s="1">
        <f t="shared" si="241"/>
        <v>0</v>
      </c>
      <c r="X388" s="1">
        <f t="shared" si="242"/>
        <v>0</v>
      </c>
      <c r="Y388" s="1">
        <f t="shared" si="243"/>
        <v>0</v>
      </c>
      <c r="Z388" s="1">
        <f t="shared" si="244"/>
        <v>0</v>
      </c>
      <c r="AA388" s="1">
        <f t="shared" si="245"/>
        <v>0</v>
      </c>
      <c r="AB388" s="1">
        <f t="shared" si="246"/>
        <v>0</v>
      </c>
      <c r="AD388" s="1">
        <f t="shared" si="247"/>
        <v>0</v>
      </c>
      <c r="AE388" s="1">
        <f t="shared" si="248"/>
        <v>0</v>
      </c>
      <c r="AF388" s="1">
        <f t="shared" ref="AF388:AF391" si="273">+O388*P388*(1-A388)</f>
        <v>0</v>
      </c>
      <c r="AG388" s="1">
        <f t="shared" ref="AG388:AG391" si="274">O388*(1-P388)*(1-A388)</f>
        <v>0</v>
      </c>
      <c r="AH388" s="1">
        <f t="shared" ref="AH388:AH391" si="275">+P388*(1-A388)</f>
        <v>0</v>
      </c>
      <c r="AI388" s="1">
        <f t="shared" ref="AI388:AI391" si="276">+(1-A388)*(1-P388)</f>
        <v>1</v>
      </c>
    </row>
    <row r="389" spans="1:35" ht="14.25" customHeight="1" x14ac:dyDescent="0.3">
      <c r="A389" s="31">
        <v>0</v>
      </c>
      <c r="B389" s="31">
        <v>2</v>
      </c>
      <c r="C389" s="31">
        <v>5</v>
      </c>
      <c r="D389" s="32" t="s">
        <v>2045</v>
      </c>
      <c r="E389" s="32" t="s">
        <v>2046</v>
      </c>
      <c r="F389" s="32" t="s">
        <v>2047</v>
      </c>
      <c r="G389" s="32" t="s">
        <v>2050</v>
      </c>
      <c r="H389" s="32" t="s">
        <v>354</v>
      </c>
      <c r="I389" s="31" t="s">
        <v>2048</v>
      </c>
      <c r="J389" s="31"/>
      <c r="K389" s="33" t="s">
        <v>1822</v>
      </c>
      <c r="L389" s="33"/>
      <c r="M389" s="34"/>
      <c r="N389" s="34" t="s">
        <v>1727</v>
      </c>
      <c r="O389" s="35">
        <v>1</v>
      </c>
      <c r="P389" s="35">
        <v>1</v>
      </c>
      <c r="Q389" s="32" t="s">
        <v>2049</v>
      </c>
      <c r="S389" s="1">
        <f t="shared" si="237"/>
        <v>0</v>
      </c>
      <c r="T389" s="1">
        <f t="shared" si="238"/>
        <v>0</v>
      </c>
      <c r="U389" s="1">
        <f t="shared" si="239"/>
        <v>0</v>
      </c>
      <c r="V389" s="1">
        <f t="shared" si="240"/>
        <v>0</v>
      </c>
      <c r="W389" s="1">
        <f t="shared" si="241"/>
        <v>0</v>
      </c>
      <c r="X389" s="1">
        <f t="shared" si="242"/>
        <v>0</v>
      </c>
      <c r="Y389" s="1">
        <f t="shared" si="243"/>
        <v>0</v>
      </c>
      <c r="Z389" s="1">
        <f t="shared" si="244"/>
        <v>0</v>
      </c>
      <c r="AA389" s="1">
        <f t="shared" si="245"/>
        <v>0</v>
      </c>
      <c r="AB389" s="1">
        <f t="shared" si="246"/>
        <v>0</v>
      </c>
      <c r="AD389" s="1">
        <f t="shared" si="247"/>
        <v>1</v>
      </c>
      <c r="AE389" s="1">
        <f t="shared" si="248"/>
        <v>0</v>
      </c>
      <c r="AF389" s="1">
        <f t="shared" si="273"/>
        <v>1</v>
      </c>
      <c r="AG389" s="1">
        <f t="shared" si="274"/>
        <v>0</v>
      </c>
      <c r="AH389" s="1">
        <f t="shared" si="275"/>
        <v>1</v>
      </c>
      <c r="AI389" s="1">
        <f t="shared" si="276"/>
        <v>0</v>
      </c>
    </row>
    <row r="390" spans="1:35" ht="14.25" customHeight="1" x14ac:dyDescent="0.3">
      <c r="A390" s="31">
        <v>0</v>
      </c>
      <c r="B390" s="31">
        <v>2</v>
      </c>
      <c r="C390" s="31">
        <v>5</v>
      </c>
      <c r="D390" s="32" t="s">
        <v>1778</v>
      </c>
      <c r="E390" s="32" t="s">
        <v>155</v>
      </c>
      <c r="F390" s="32" t="s">
        <v>1779</v>
      </c>
      <c r="G390" s="32" t="s">
        <v>656</v>
      </c>
      <c r="H390" s="32" t="s">
        <v>354</v>
      </c>
      <c r="I390" s="31" t="s">
        <v>1780</v>
      </c>
      <c r="J390" s="31"/>
      <c r="K390" s="33" t="s">
        <v>703</v>
      </c>
      <c r="L390" s="33">
        <v>40</v>
      </c>
      <c r="M390" s="34" t="s">
        <v>1781</v>
      </c>
      <c r="N390" s="34" t="s">
        <v>1743</v>
      </c>
      <c r="O390" s="35">
        <v>1</v>
      </c>
      <c r="P390" s="35"/>
      <c r="Q390" s="32"/>
      <c r="S390" s="1">
        <f t="shared" si="237"/>
        <v>0</v>
      </c>
      <c r="T390" s="1">
        <f t="shared" si="238"/>
        <v>0</v>
      </c>
      <c r="U390" s="1">
        <f t="shared" si="239"/>
        <v>0</v>
      </c>
      <c r="V390" s="1">
        <f t="shared" si="240"/>
        <v>0</v>
      </c>
      <c r="W390" s="1">
        <f t="shared" si="241"/>
        <v>0</v>
      </c>
      <c r="X390" s="1">
        <f t="shared" si="242"/>
        <v>0</v>
      </c>
      <c r="Y390" s="1">
        <f t="shared" si="243"/>
        <v>0</v>
      </c>
      <c r="Z390" s="1">
        <f t="shared" si="244"/>
        <v>0</v>
      </c>
      <c r="AA390" s="1">
        <f t="shared" si="245"/>
        <v>0</v>
      </c>
      <c r="AB390" s="1">
        <f t="shared" si="246"/>
        <v>0</v>
      </c>
      <c r="AD390" s="1">
        <f t="shared" si="247"/>
        <v>0</v>
      </c>
      <c r="AE390" s="1">
        <f t="shared" si="248"/>
        <v>1</v>
      </c>
      <c r="AF390" s="1">
        <f t="shared" si="273"/>
        <v>0</v>
      </c>
      <c r="AG390" s="1">
        <f t="shared" si="274"/>
        <v>1</v>
      </c>
      <c r="AH390" s="1">
        <f t="shared" si="275"/>
        <v>0</v>
      </c>
      <c r="AI390" s="1">
        <f t="shared" si="276"/>
        <v>1</v>
      </c>
    </row>
    <row r="391" spans="1:35" ht="14.25" customHeight="1" x14ac:dyDescent="0.3">
      <c r="A391" s="44">
        <v>0</v>
      </c>
      <c r="B391" s="44">
        <v>2</v>
      </c>
      <c r="C391" s="44">
        <v>5</v>
      </c>
      <c r="D391" s="45" t="s">
        <v>837</v>
      </c>
      <c r="E391" s="45" t="s">
        <v>831</v>
      </c>
      <c r="F391" s="45" t="s">
        <v>941</v>
      </c>
      <c r="G391" s="45" t="s">
        <v>180</v>
      </c>
      <c r="H391" s="45" t="s">
        <v>354</v>
      </c>
      <c r="I391" s="44" t="s">
        <v>1109</v>
      </c>
      <c r="J391" s="44">
        <v>10</v>
      </c>
      <c r="K391" s="46" t="s">
        <v>712</v>
      </c>
      <c r="L391" s="46" t="s">
        <v>693</v>
      </c>
      <c r="M391" s="47" t="s">
        <v>1429</v>
      </c>
      <c r="N391" s="47" t="s">
        <v>1741</v>
      </c>
      <c r="O391" s="48"/>
      <c r="P391" s="48"/>
      <c r="Q391" s="45"/>
      <c r="S391" s="1">
        <f t="shared" ref="S391" si="277">IF(J391=$S$7,1,0)</f>
        <v>0</v>
      </c>
      <c r="T391" s="1">
        <f t="shared" ref="T391" si="278">IF(J391=$T$7,1,0)</f>
        <v>0</v>
      </c>
      <c r="U391" s="1">
        <f t="shared" ref="U391" si="279">IF(J391=$U$7,1,0)</f>
        <v>0</v>
      </c>
      <c r="V391" s="1">
        <f t="shared" ref="V391" si="280">IF(J391=$V$7,1,0)</f>
        <v>0</v>
      </c>
      <c r="W391" s="1">
        <f t="shared" ref="W391" si="281">IF(J391=$W$7,1,0)</f>
        <v>0</v>
      </c>
      <c r="X391" s="1">
        <f t="shared" ref="X391" si="282">IF(J391=$X$7,1,0)</f>
        <v>0</v>
      </c>
      <c r="Y391" s="1">
        <f t="shared" ref="Y391" si="283">IF(J391=$Y$7,1,0)</f>
        <v>0</v>
      </c>
      <c r="Z391" s="1">
        <f t="shared" ref="Z391" si="284">IF(J391=$Z$7,1,0)</f>
        <v>0</v>
      </c>
      <c r="AA391" s="1">
        <f t="shared" ref="AA391" si="285">IF(J391=$AA$7,1,0)</f>
        <v>0</v>
      </c>
      <c r="AB391" s="1">
        <f t="shared" ref="AB391" si="286">IF(J391=$AB$7,1,0)</f>
        <v>1</v>
      </c>
      <c r="AD391" s="1">
        <f t="shared" ref="AD391" si="287">+O391*P391</f>
        <v>0</v>
      </c>
      <c r="AE391" s="1">
        <f t="shared" ref="AE391" si="288">O391*(1-P391)</f>
        <v>0</v>
      </c>
      <c r="AF391" s="1">
        <f t="shared" si="273"/>
        <v>0</v>
      </c>
      <c r="AG391" s="1">
        <f t="shared" si="274"/>
        <v>0</v>
      </c>
      <c r="AH391" s="1">
        <f t="shared" si="275"/>
        <v>0</v>
      </c>
      <c r="AI391" s="1">
        <f t="shared" si="276"/>
        <v>1</v>
      </c>
    </row>
    <row r="392" spans="1:35" ht="14.25" customHeight="1" x14ac:dyDescent="0.3">
      <c r="A392" s="57">
        <v>0</v>
      </c>
      <c r="B392" s="57">
        <v>2</v>
      </c>
      <c r="C392" s="57">
        <v>6</v>
      </c>
      <c r="D392" s="58" t="s">
        <v>1543</v>
      </c>
      <c r="E392" s="58" t="s">
        <v>27</v>
      </c>
      <c r="F392" s="58" t="s">
        <v>1545</v>
      </c>
      <c r="G392" s="58" t="s">
        <v>1534</v>
      </c>
      <c r="H392" s="58" t="s">
        <v>354</v>
      </c>
      <c r="I392" s="57" t="s">
        <v>1544</v>
      </c>
      <c r="J392" s="57">
        <v>5</v>
      </c>
      <c r="K392" s="59" t="s">
        <v>955</v>
      </c>
      <c r="L392" s="59" t="s">
        <v>39</v>
      </c>
      <c r="M392" s="60" t="s">
        <v>39</v>
      </c>
      <c r="N392" s="61"/>
      <c r="O392" s="62"/>
      <c r="P392" s="62"/>
      <c r="Q392" s="66" t="s">
        <v>1900</v>
      </c>
      <c r="S392" s="1">
        <f t="shared" si="237"/>
        <v>0</v>
      </c>
      <c r="T392" s="1">
        <f t="shared" si="238"/>
        <v>0</v>
      </c>
      <c r="U392" s="1">
        <f t="shared" si="239"/>
        <v>0</v>
      </c>
      <c r="V392" s="1">
        <f t="shared" si="240"/>
        <v>0</v>
      </c>
      <c r="W392" s="1">
        <f t="shared" si="241"/>
        <v>1</v>
      </c>
      <c r="X392" s="1">
        <f t="shared" si="242"/>
        <v>0</v>
      </c>
      <c r="Y392" s="1">
        <f t="shared" si="243"/>
        <v>0</v>
      </c>
      <c r="Z392" s="1">
        <f t="shared" si="244"/>
        <v>0</v>
      </c>
      <c r="AA392" s="1">
        <f t="shared" si="245"/>
        <v>0</v>
      </c>
      <c r="AB392" s="1">
        <f t="shared" si="246"/>
        <v>0</v>
      </c>
      <c r="AD392" s="1">
        <f t="shared" si="247"/>
        <v>0</v>
      </c>
      <c r="AE392" s="1">
        <f t="shared" si="248"/>
        <v>0</v>
      </c>
      <c r="AF392" s="1">
        <f t="shared" si="233"/>
        <v>0</v>
      </c>
      <c r="AG392" s="1">
        <f t="shared" si="234"/>
        <v>0</v>
      </c>
      <c r="AH392" s="1">
        <f t="shared" si="235"/>
        <v>0</v>
      </c>
      <c r="AI392" s="1">
        <f t="shared" si="236"/>
        <v>1</v>
      </c>
    </row>
    <row r="393" spans="1:35" ht="14.25" customHeight="1" x14ac:dyDescent="0.3">
      <c r="A393" s="44">
        <v>0</v>
      </c>
      <c r="B393" s="44">
        <v>2</v>
      </c>
      <c r="C393" s="44">
        <v>6</v>
      </c>
      <c r="D393" s="45" t="s">
        <v>519</v>
      </c>
      <c r="E393" s="45" t="s">
        <v>31</v>
      </c>
      <c r="F393" s="45" t="s">
        <v>672</v>
      </c>
      <c r="G393" s="45" t="s">
        <v>200</v>
      </c>
      <c r="H393" s="45" t="s">
        <v>354</v>
      </c>
      <c r="I393" s="44" t="s">
        <v>520</v>
      </c>
      <c r="J393" s="44">
        <v>2</v>
      </c>
      <c r="K393" s="46" t="s">
        <v>954</v>
      </c>
      <c r="L393" s="46" t="s">
        <v>694</v>
      </c>
      <c r="M393" s="47" t="s">
        <v>1430</v>
      </c>
      <c r="N393" s="47" t="s">
        <v>1735</v>
      </c>
      <c r="O393" s="48"/>
      <c r="P393" s="48"/>
      <c r="Q393" s="45"/>
      <c r="S393" s="1">
        <f t="shared" si="237"/>
        <v>0</v>
      </c>
      <c r="T393" s="1">
        <f t="shared" si="238"/>
        <v>1</v>
      </c>
      <c r="U393" s="1">
        <f t="shared" si="239"/>
        <v>0</v>
      </c>
      <c r="V393" s="1">
        <f t="shared" si="240"/>
        <v>0</v>
      </c>
      <c r="W393" s="1">
        <f t="shared" si="241"/>
        <v>0</v>
      </c>
      <c r="X393" s="1">
        <f t="shared" si="242"/>
        <v>0</v>
      </c>
      <c r="Y393" s="1">
        <f t="shared" si="243"/>
        <v>0</v>
      </c>
      <c r="Z393" s="1">
        <f t="shared" si="244"/>
        <v>0</v>
      </c>
      <c r="AA393" s="1">
        <f t="shared" si="245"/>
        <v>0</v>
      </c>
      <c r="AB393" s="1">
        <f t="shared" si="246"/>
        <v>0</v>
      </c>
      <c r="AD393" s="1">
        <f t="shared" si="247"/>
        <v>0</v>
      </c>
      <c r="AE393" s="1">
        <f t="shared" si="248"/>
        <v>0</v>
      </c>
      <c r="AF393" s="1">
        <f t="shared" si="233"/>
        <v>0</v>
      </c>
      <c r="AG393" s="1">
        <f t="shared" si="234"/>
        <v>0</v>
      </c>
      <c r="AH393" s="1">
        <f t="shared" si="235"/>
        <v>0</v>
      </c>
      <c r="AI393" s="1">
        <f t="shared" si="236"/>
        <v>1</v>
      </c>
    </row>
    <row r="394" spans="1:35" ht="14.25" customHeight="1" x14ac:dyDescent="0.3">
      <c r="A394" s="31">
        <v>0</v>
      </c>
      <c r="B394" s="31">
        <v>2</v>
      </c>
      <c r="C394" s="31">
        <v>6</v>
      </c>
      <c r="D394" s="32" t="s">
        <v>53</v>
      </c>
      <c r="E394" s="32" t="s">
        <v>31</v>
      </c>
      <c r="F394" s="32" t="s">
        <v>210</v>
      </c>
      <c r="G394" s="32" t="s">
        <v>211</v>
      </c>
      <c r="H394" s="32" t="s">
        <v>354</v>
      </c>
      <c r="I394" s="31" t="s">
        <v>392</v>
      </c>
      <c r="J394" s="31">
        <v>1</v>
      </c>
      <c r="K394" s="33" t="s">
        <v>712</v>
      </c>
      <c r="L394" s="33" t="s">
        <v>704</v>
      </c>
      <c r="M394" s="34" t="s">
        <v>728</v>
      </c>
      <c r="N394" s="34" t="s">
        <v>1743</v>
      </c>
      <c r="O394" s="35">
        <v>1</v>
      </c>
      <c r="P394" s="35"/>
      <c r="Q394" s="32"/>
      <c r="S394" s="1">
        <f t="shared" si="237"/>
        <v>1</v>
      </c>
      <c r="T394" s="1">
        <f t="shared" si="238"/>
        <v>0</v>
      </c>
      <c r="U394" s="1">
        <f t="shared" si="239"/>
        <v>0</v>
      </c>
      <c r="V394" s="1">
        <f t="shared" si="240"/>
        <v>0</v>
      </c>
      <c r="W394" s="1">
        <f t="shared" si="241"/>
        <v>0</v>
      </c>
      <c r="X394" s="1">
        <f t="shared" si="242"/>
        <v>0</v>
      </c>
      <c r="Y394" s="1">
        <f t="shared" si="243"/>
        <v>0</v>
      </c>
      <c r="Z394" s="1">
        <f t="shared" si="244"/>
        <v>0</v>
      </c>
      <c r="AA394" s="1">
        <f t="shared" si="245"/>
        <v>0</v>
      </c>
      <c r="AB394" s="1">
        <f t="shared" si="246"/>
        <v>0</v>
      </c>
      <c r="AD394" s="1">
        <f t="shared" si="247"/>
        <v>0</v>
      </c>
      <c r="AE394" s="1">
        <f t="shared" si="248"/>
        <v>1</v>
      </c>
      <c r="AF394" s="1">
        <f t="shared" si="233"/>
        <v>0</v>
      </c>
      <c r="AG394" s="1">
        <f t="shared" si="234"/>
        <v>1</v>
      </c>
      <c r="AH394" s="1">
        <f t="shared" si="235"/>
        <v>0</v>
      </c>
      <c r="AI394" s="1">
        <f t="shared" si="236"/>
        <v>1</v>
      </c>
    </row>
    <row r="395" spans="1:35" ht="14.25" customHeight="1" x14ac:dyDescent="0.3">
      <c r="A395" s="31">
        <v>0</v>
      </c>
      <c r="B395" s="31">
        <v>2</v>
      </c>
      <c r="C395" s="31">
        <v>6</v>
      </c>
      <c r="D395" s="32" t="s">
        <v>1862</v>
      </c>
      <c r="E395" s="32" t="s">
        <v>1863</v>
      </c>
      <c r="F395" s="32" t="s">
        <v>1864</v>
      </c>
      <c r="G395" s="32"/>
      <c r="H395" s="32" t="s">
        <v>354</v>
      </c>
      <c r="I395" s="31" t="s">
        <v>1865</v>
      </c>
      <c r="J395" s="31">
        <v>99</v>
      </c>
      <c r="K395" s="33" t="s">
        <v>703</v>
      </c>
      <c r="L395" s="33">
        <v>25</v>
      </c>
      <c r="M395" s="34" t="s">
        <v>1866</v>
      </c>
      <c r="N395" s="34" t="s">
        <v>1743</v>
      </c>
      <c r="O395" s="35">
        <v>1</v>
      </c>
      <c r="P395" s="35"/>
      <c r="Q395" s="32" t="s">
        <v>2051</v>
      </c>
      <c r="S395" s="1">
        <f t="shared" si="237"/>
        <v>0</v>
      </c>
      <c r="T395" s="1">
        <f t="shared" si="238"/>
        <v>0</v>
      </c>
      <c r="U395" s="1">
        <f t="shared" si="239"/>
        <v>0</v>
      </c>
      <c r="V395" s="1">
        <f t="shared" si="240"/>
        <v>0</v>
      </c>
      <c r="W395" s="1">
        <f t="shared" si="241"/>
        <v>0</v>
      </c>
      <c r="X395" s="1">
        <f t="shared" si="242"/>
        <v>0</v>
      </c>
      <c r="Y395" s="1">
        <f t="shared" si="243"/>
        <v>0</v>
      </c>
      <c r="Z395" s="1">
        <f t="shared" si="244"/>
        <v>0</v>
      </c>
      <c r="AA395" s="1">
        <f t="shared" si="245"/>
        <v>0</v>
      </c>
      <c r="AB395" s="1">
        <f t="shared" si="246"/>
        <v>0</v>
      </c>
      <c r="AD395" s="1">
        <f t="shared" si="247"/>
        <v>0</v>
      </c>
      <c r="AE395" s="1">
        <f t="shared" si="248"/>
        <v>1</v>
      </c>
      <c r="AF395" s="1">
        <f t="shared" si="233"/>
        <v>0</v>
      </c>
      <c r="AG395" s="1">
        <f t="shared" si="234"/>
        <v>1</v>
      </c>
      <c r="AH395" s="1">
        <f t="shared" si="235"/>
        <v>0</v>
      </c>
      <c r="AI395" s="1">
        <f t="shared" si="236"/>
        <v>1</v>
      </c>
    </row>
    <row r="396" spans="1:35" ht="14.25" customHeight="1" x14ac:dyDescent="0.3">
      <c r="A396" s="44">
        <v>0</v>
      </c>
      <c r="B396" s="44">
        <v>2</v>
      </c>
      <c r="C396" s="44">
        <v>6</v>
      </c>
      <c r="D396" s="45" t="s">
        <v>80</v>
      </c>
      <c r="E396" s="45" t="s">
        <v>31</v>
      </c>
      <c r="F396" s="45" t="s">
        <v>270</v>
      </c>
      <c r="G396" s="45" t="s">
        <v>224</v>
      </c>
      <c r="H396" s="45" t="s">
        <v>354</v>
      </c>
      <c r="I396" s="44" t="s">
        <v>678</v>
      </c>
      <c r="J396" s="44">
        <v>99</v>
      </c>
      <c r="K396" s="46" t="s">
        <v>955</v>
      </c>
      <c r="L396" s="46" t="s">
        <v>694</v>
      </c>
      <c r="M396" s="47" t="s">
        <v>1431</v>
      </c>
      <c r="N396" s="47" t="s">
        <v>1809</v>
      </c>
      <c r="O396" s="48"/>
      <c r="P396" s="48"/>
      <c r="Q396" s="45"/>
      <c r="S396" s="1">
        <f t="shared" si="237"/>
        <v>0</v>
      </c>
      <c r="T396" s="1">
        <f t="shared" si="238"/>
        <v>0</v>
      </c>
      <c r="U396" s="1">
        <f t="shared" si="239"/>
        <v>0</v>
      </c>
      <c r="V396" s="1">
        <f t="shared" si="240"/>
        <v>0</v>
      </c>
      <c r="W396" s="1">
        <f t="shared" si="241"/>
        <v>0</v>
      </c>
      <c r="X396" s="1">
        <f t="shared" si="242"/>
        <v>0</v>
      </c>
      <c r="Y396" s="1">
        <f t="shared" si="243"/>
        <v>0</v>
      </c>
      <c r="Z396" s="1">
        <f t="shared" si="244"/>
        <v>0</v>
      </c>
      <c r="AA396" s="1">
        <f t="shared" si="245"/>
        <v>0</v>
      </c>
      <c r="AB396" s="1">
        <f t="shared" si="246"/>
        <v>0</v>
      </c>
      <c r="AD396" s="1">
        <f t="shared" si="247"/>
        <v>0</v>
      </c>
      <c r="AE396" s="1">
        <f t="shared" si="248"/>
        <v>0</v>
      </c>
      <c r="AF396" s="1">
        <f t="shared" si="233"/>
        <v>0</v>
      </c>
      <c r="AG396" s="1">
        <f t="shared" si="234"/>
        <v>0</v>
      </c>
      <c r="AH396" s="1">
        <f t="shared" si="235"/>
        <v>0</v>
      </c>
      <c r="AI396" s="1">
        <f t="shared" si="236"/>
        <v>1</v>
      </c>
    </row>
    <row r="397" spans="1:35" ht="14.25" customHeight="1" x14ac:dyDescent="0.3">
      <c r="A397" s="44">
        <v>0</v>
      </c>
      <c r="B397" s="44">
        <v>2</v>
      </c>
      <c r="C397" s="44">
        <v>6</v>
      </c>
      <c r="D397" s="45" t="s">
        <v>639</v>
      </c>
      <c r="E397" s="45" t="s">
        <v>31</v>
      </c>
      <c r="F397" s="45" t="s">
        <v>640</v>
      </c>
      <c r="G397" s="45" t="s">
        <v>240</v>
      </c>
      <c r="H397" s="45" t="s">
        <v>354</v>
      </c>
      <c r="I397" s="44" t="s">
        <v>641</v>
      </c>
      <c r="J397" s="44">
        <v>1</v>
      </c>
      <c r="K397" s="46" t="s">
        <v>713</v>
      </c>
      <c r="L397" s="46" t="s">
        <v>694</v>
      </c>
      <c r="M397" s="47" t="s">
        <v>1432</v>
      </c>
      <c r="N397" s="47" t="s">
        <v>1735</v>
      </c>
      <c r="O397" s="48"/>
      <c r="P397" s="48"/>
      <c r="Q397" s="45"/>
      <c r="S397" s="1">
        <f t="shared" si="237"/>
        <v>1</v>
      </c>
      <c r="T397" s="1">
        <f t="shared" si="238"/>
        <v>0</v>
      </c>
      <c r="U397" s="1">
        <f t="shared" si="239"/>
        <v>0</v>
      </c>
      <c r="V397" s="1">
        <f t="shared" si="240"/>
        <v>0</v>
      </c>
      <c r="W397" s="1">
        <f t="shared" si="241"/>
        <v>0</v>
      </c>
      <c r="X397" s="1">
        <f t="shared" si="242"/>
        <v>0</v>
      </c>
      <c r="Y397" s="1">
        <f t="shared" si="243"/>
        <v>0</v>
      </c>
      <c r="Z397" s="1">
        <f t="shared" si="244"/>
        <v>0</v>
      </c>
      <c r="AA397" s="1">
        <f t="shared" si="245"/>
        <v>0</v>
      </c>
      <c r="AB397" s="1">
        <f t="shared" si="246"/>
        <v>0</v>
      </c>
      <c r="AD397" s="1">
        <f t="shared" si="247"/>
        <v>0</v>
      </c>
      <c r="AE397" s="1">
        <f t="shared" si="248"/>
        <v>0</v>
      </c>
      <c r="AF397" s="1">
        <f t="shared" si="233"/>
        <v>0</v>
      </c>
      <c r="AG397" s="1">
        <f t="shared" si="234"/>
        <v>0</v>
      </c>
      <c r="AH397" s="1">
        <f t="shared" si="235"/>
        <v>0</v>
      </c>
      <c r="AI397" s="1">
        <f t="shared" si="236"/>
        <v>1</v>
      </c>
    </row>
    <row r="398" spans="1:35" ht="14.25" customHeight="1" x14ac:dyDescent="0.3">
      <c r="A398" s="44">
        <v>0</v>
      </c>
      <c r="B398" s="44">
        <v>2</v>
      </c>
      <c r="C398" s="44">
        <v>6</v>
      </c>
      <c r="D398" s="45" t="s">
        <v>1135</v>
      </c>
      <c r="E398" s="45" t="s">
        <v>31</v>
      </c>
      <c r="F398" s="45" t="s">
        <v>672</v>
      </c>
      <c r="G398" s="45" t="s">
        <v>200</v>
      </c>
      <c r="H398" s="45" t="s">
        <v>354</v>
      </c>
      <c r="I398" s="44" t="s">
        <v>520</v>
      </c>
      <c r="J398" s="44">
        <v>2</v>
      </c>
      <c r="K398" s="46" t="s">
        <v>712</v>
      </c>
      <c r="L398" s="46" t="s">
        <v>694</v>
      </c>
      <c r="M398" s="47" t="s">
        <v>728</v>
      </c>
      <c r="N398" s="47" t="s">
        <v>1735</v>
      </c>
      <c r="O398" s="48"/>
      <c r="P398" s="48"/>
      <c r="Q398" s="45"/>
      <c r="S398" s="1">
        <f t="shared" si="237"/>
        <v>0</v>
      </c>
      <c r="T398" s="1">
        <f t="shared" si="238"/>
        <v>1</v>
      </c>
      <c r="U398" s="1">
        <f t="shared" si="239"/>
        <v>0</v>
      </c>
      <c r="V398" s="1">
        <f t="shared" si="240"/>
        <v>0</v>
      </c>
      <c r="W398" s="1">
        <f t="shared" si="241"/>
        <v>0</v>
      </c>
      <c r="X398" s="1">
        <f t="shared" si="242"/>
        <v>0</v>
      </c>
      <c r="Y398" s="1">
        <f t="shared" si="243"/>
        <v>0</v>
      </c>
      <c r="Z398" s="1">
        <f t="shared" si="244"/>
        <v>0</v>
      </c>
      <c r="AA398" s="1">
        <f t="shared" si="245"/>
        <v>0</v>
      </c>
      <c r="AB398" s="1">
        <f t="shared" si="246"/>
        <v>0</v>
      </c>
      <c r="AD398" s="1">
        <f t="shared" si="247"/>
        <v>0</v>
      </c>
      <c r="AE398" s="1">
        <f t="shared" si="248"/>
        <v>0</v>
      </c>
      <c r="AF398" s="1">
        <f t="shared" si="233"/>
        <v>0</v>
      </c>
      <c r="AG398" s="1">
        <f t="shared" si="234"/>
        <v>0</v>
      </c>
      <c r="AH398" s="1">
        <f t="shared" si="235"/>
        <v>0</v>
      </c>
      <c r="AI398" s="1">
        <f t="shared" si="236"/>
        <v>1</v>
      </c>
    </row>
    <row r="399" spans="1:35" ht="14.25" customHeight="1" x14ac:dyDescent="0.3">
      <c r="A399" s="44">
        <v>0</v>
      </c>
      <c r="B399" s="44">
        <v>2</v>
      </c>
      <c r="C399" s="44">
        <v>6</v>
      </c>
      <c r="D399" s="45" t="s">
        <v>1083</v>
      </c>
      <c r="E399" s="45" t="s">
        <v>159</v>
      </c>
      <c r="F399" s="45" t="s">
        <v>198</v>
      </c>
      <c r="G399" s="45" t="s">
        <v>199</v>
      </c>
      <c r="H399" s="45" t="s">
        <v>354</v>
      </c>
      <c r="I399" s="44" t="s">
        <v>388</v>
      </c>
      <c r="J399" s="44">
        <v>99</v>
      </c>
      <c r="K399" s="46" t="s">
        <v>712</v>
      </c>
      <c r="L399" s="46" t="s">
        <v>716</v>
      </c>
      <c r="M399" s="47" t="s">
        <v>730</v>
      </c>
      <c r="N399" s="47" t="s">
        <v>1734</v>
      </c>
      <c r="O399" s="48"/>
      <c r="P399" s="48"/>
      <c r="Q399" s="45"/>
      <c r="S399" s="1">
        <f t="shared" si="237"/>
        <v>0</v>
      </c>
      <c r="T399" s="1">
        <f t="shared" si="238"/>
        <v>0</v>
      </c>
      <c r="U399" s="1">
        <f t="shared" si="239"/>
        <v>0</v>
      </c>
      <c r="V399" s="1">
        <f t="shared" si="240"/>
        <v>0</v>
      </c>
      <c r="W399" s="1">
        <f t="shared" si="241"/>
        <v>0</v>
      </c>
      <c r="X399" s="1">
        <f t="shared" si="242"/>
        <v>0</v>
      </c>
      <c r="Y399" s="1">
        <f t="shared" si="243"/>
        <v>0</v>
      </c>
      <c r="Z399" s="1">
        <f t="shared" si="244"/>
        <v>0</v>
      </c>
      <c r="AA399" s="1">
        <f t="shared" si="245"/>
        <v>0</v>
      </c>
      <c r="AB399" s="1">
        <f t="shared" si="246"/>
        <v>0</v>
      </c>
      <c r="AD399" s="1">
        <f t="shared" si="247"/>
        <v>0</v>
      </c>
      <c r="AE399" s="1">
        <f t="shared" si="248"/>
        <v>0</v>
      </c>
      <c r="AF399" s="1">
        <f t="shared" si="233"/>
        <v>0</v>
      </c>
      <c r="AG399" s="1">
        <f t="shared" si="234"/>
        <v>0</v>
      </c>
      <c r="AH399" s="1">
        <f t="shared" si="235"/>
        <v>0</v>
      </c>
      <c r="AI399" s="1">
        <f t="shared" si="236"/>
        <v>1</v>
      </c>
    </row>
    <row r="400" spans="1:35" ht="14.25" customHeight="1" x14ac:dyDescent="0.3">
      <c r="A400" s="31">
        <v>0</v>
      </c>
      <c r="B400" s="31">
        <v>2</v>
      </c>
      <c r="C400" s="31">
        <v>7</v>
      </c>
      <c r="D400" s="32" t="s">
        <v>509</v>
      </c>
      <c r="E400" s="32" t="s">
        <v>156</v>
      </c>
      <c r="F400" s="32" t="s">
        <v>510</v>
      </c>
      <c r="G400" s="32" t="s">
        <v>39</v>
      </c>
      <c r="H400" s="32" t="s">
        <v>354</v>
      </c>
      <c r="I400" s="31" t="s">
        <v>942</v>
      </c>
      <c r="J400" s="31">
        <v>7</v>
      </c>
      <c r="K400" s="33" t="s">
        <v>955</v>
      </c>
      <c r="L400" s="33" t="s">
        <v>39</v>
      </c>
      <c r="M400" s="34" t="s">
        <v>39</v>
      </c>
      <c r="N400" s="34" t="s">
        <v>1727</v>
      </c>
      <c r="O400" s="35">
        <v>1</v>
      </c>
      <c r="P400" s="35">
        <v>1</v>
      </c>
      <c r="Q400" s="32"/>
      <c r="S400" s="1">
        <f t="shared" si="237"/>
        <v>0</v>
      </c>
      <c r="T400" s="1">
        <f t="shared" si="238"/>
        <v>0</v>
      </c>
      <c r="U400" s="1">
        <f t="shared" si="239"/>
        <v>0</v>
      </c>
      <c r="V400" s="1">
        <f t="shared" si="240"/>
        <v>0</v>
      </c>
      <c r="W400" s="1">
        <f t="shared" si="241"/>
        <v>0</v>
      </c>
      <c r="X400" s="1">
        <f t="shared" si="242"/>
        <v>0</v>
      </c>
      <c r="Y400" s="1">
        <f t="shared" si="243"/>
        <v>1</v>
      </c>
      <c r="Z400" s="1">
        <f t="shared" si="244"/>
        <v>0</v>
      </c>
      <c r="AA400" s="1">
        <f t="shared" si="245"/>
        <v>0</v>
      </c>
      <c r="AB400" s="1">
        <f t="shared" si="246"/>
        <v>0</v>
      </c>
      <c r="AD400" s="1">
        <f t="shared" si="247"/>
        <v>1</v>
      </c>
      <c r="AE400" s="1">
        <f t="shared" si="248"/>
        <v>0</v>
      </c>
      <c r="AF400" s="1">
        <f t="shared" si="233"/>
        <v>1</v>
      </c>
      <c r="AG400" s="1">
        <f t="shared" si="234"/>
        <v>0</v>
      </c>
      <c r="AH400" s="1">
        <f t="shared" si="235"/>
        <v>1</v>
      </c>
      <c r="AI400" s="1">
        <f t="shared" si="236"/>
        <v>0</v>
      </c>
    </row>
    <row r="401" spans="1:35" ht="14.25" customHeight="1" x14ac:dyDescent="0.3">
      <c r="A401" s="31">
        <v>0</v>
      </c>
      <c r="B401" s="31">
        <v>2</v>
      </c>
      <c r="C401" s="31">
        <v>7</v>
      </c>
      <c r="D401" s="32" t="s">
        <v>70</v>
      </c>
      <c r="E401" s="32" t="s">
        <v>28</v>
      </c>
      <c r="F401" s="32" t="s">
        <v>673</v>
      </c>
      <c r="G401" s="32" t="s">
        <v>258</v>
      </c>
      <c r="H401" s="32" t="s">
        <v>354</v>
      </c>
      <c r="I401" s="31" t="s">
        <v>417</v>
      </c>
      <c r="J401" s="31">
        <v>8</v>
      </c>
      <c r="K401" s="33" t="s">
        <v>713</v>
      </c>
      <c r="L401" s="33" t="s">
        <v>713</v>
      </c>
      <c r="M401" s="34" t="s">
        <v>731</v>
      </c>
      <c r="N401" s="34" t="s">
        <v>1743</v>
      </c>
      <c r="O401" s="35">
        <v>1</v>
      </c>
      <c r="P401" s="35"/>
      <c r="Q401" s="32"/>
      <c r="S401" s="1">
        <f t="shared" si="237"/>
        <v>0</v>
      </c>
      <c r="T401" s="1">
        <f t="shared" si="238"/>
        <v>0</v>
      </c>
      <c r="U401" s="1">
        <f t="shared" si="239"/>
        <v>0</v>
      </c>
      <c r="V401" s="1">
        <f t="shared" si="240"/>
        <v>0</v>
      </c>
      <c r="W401" s="1">
        <f t="shared" si="241"/>
        <v>0</v>
      </c>
      <c r="X401" s="1">
        <f t="shared" si="242"/>
        <v>0</v>
      </c>
      <c r="Y401" s="1">
        <f t="shared" si="243"/>
        <v>0</v>
      </c>
      <c r="Z401" s="1">
        <f t="shared" si="244"/>
        <v>1</v>
      </c>
      <c r="AA401" s="1">
        <f t="shared" si="245"/>
        <v>0</v>
      </c>
      <c r="AB401" s="1">
        <f t="shared" si="246"/>
        <v>0</v>
      </c>
      <c r="AD401" s="1">
        <f t="shared" si="247"/>
        <v>0</v>
      </c>
      <c r="AE401" s="1">
        <f t="shared" si="248"/>
        <v>1</v>
      </c>
      <c r="AF401" s="1">
        <f t="shared" si="233"/>
        <v>0</v>
      </c>
      <c r="AG401" s="1">
        <f t="shared" si="234"/>
        <v>1</v>
      </c>
      <c r="AH401" s="1">
        <f t="shared" si="235"/>
        <v>0</v>
      </c>
      <c r="AI401" s="1">
        <f t="shared" si="236"/>
        <v>1</v>
      </c>
    </row>
    <row r="402" spans="1:35" ht="14.25" customHeight="1" x14ac:dyDescent="0.3">
      <c r="A402" s="31">
        <v>0</v>
      </c>
      <c r="B402" s="31">
        <v>2</v>
      </c>
      <c r="C402" s="31">
        <v>7</v>
      </c>
      <c r="D402" s="32" t="s">
        <v>654</v>
      </c>
      <c r="E402" s="32" t="s">
        <v>156</v>
      </c>
      <c r="F402" s="32" t="s">
        <v>585</v>
      </c>
      <c r="G402" s="32" t="s">
        <v>249</v>
      </c>
      <c r="H402" s="32" t="s">
        <v>354</v>
      </c>
      <c r="I402" s="31" t="s">
        <v>679</v>
      </c>
      <c r="J402" s="31">
        <v>7</v>
      </c>
      <c r="K402" s="33" t="s">
        <v>955</v>
      </c>
      <c r="L402" s="33" t="s">
        <v>39</v>
      </c>
      <c r="M402" s="34" t="s">
        <v>39</v>
      </c>
      <c r="N402" s="34" t="s">
        <v>1727</v>
      </c>
      <c r="O402" s="35">
        <v>1</v>
      </c>
      <c r="P402" s="35">
        <v>1</v>
      </c>
      <c r="Q402" s="32"/>
      <c r="S402" s="1">
        <f t="shared" si="237"/>
        <v>0</v>
      </c>
      <c r="T402" s="1">
        <f t="shared" si="238"/>
        <v>0</v>
      </c>
      <c r="U402" s="1">
        <f t="shared" si="239"/>
        <v>0</v>
      </c>
      <c r="V402" s="1">
        <f t="shared" si="240"/>
        <v>0</v>
      </c>
      <c r="W402" s="1">
        <f t="shared" si="241"/>
        <v>0</v>
      </c>
      <c r="X402" s="1">
        <f t="shared" si="242"/>
        <v>0</v>
      </c>
      <c r="Y402" s="1">
        <f t="shared" si="243"/>
        <v>1</v>
      </c>
      <c r="Z402" s="1">
        <f t="shared" si="244"/>
        <v>0</v>
      </c>
      <c r="AA402" s="1">
        <f t="shared" si="245"/>
        <v>0</v>
      </c>
      <c r="AB402" s="1">
        <f t="shared" si="246"/>
        <v>0</v>
      </c>
      <c r="AD402" s="1">
        <f t="shared" si="247"/>
        <v>1</v>
      </c>
      <c r="AE402" s="1">
        <f t="shared" si="248"/>
        <v>0</v>
      </c>
      <c r="AF402" s="1">
        <f t="shared" si="233"/>
        <v>1</v>
      </c>
      <c r="AG402" s="1">
        <f t="shared" si="234"/>
        <v>0</v>
      </c>
      <c r="AH402" s="1">
        <f t="shared" si="235"/>
        <v>1</v>
      </c>
      <c r="AI402" s="1">
        <f t="shared" si="236"/>
        <v>0</v>
      </c>
    </row>
    <row r="403" spans="1:35" ht="14.25" customHeight="1" x14ac:dyDescent="0.3">
      <c r="A403" s="44">
        <v>0</v>
      </c>
      <c r="B403" s="44">
        <v>2</v>
      </c>
      <c r="C403" s="44">
        <v>7</v>
      </c>
      <c r="D403" s="45" t="s">
        <v>1634</v>
      </c>
      <c r="E403" s="45" t="s">
        <v>156</v>
      </c>
      <c r="F403" s="45" t="s">
        <v>1657</v>
      </c>
      <c r="G403" s="45" t="s">
        <v>213</v>
      </c>
      <c r="H403" s="45" t="s">
        <v>354</v>
      </c>
      <c r="I403" s="44" t="s">
        <v>594</v>
      </c>
      <c r="J403" s="44">
        <v>1</v>
      </c>
      <c r="K403" s="46" t="s">
        <v>712</v>
      </c>
      <c r="L403" s="46" t="s">
        <v>722</v>
      </c>
      <c r="M403" s="47" t="s">
        <v>1433</v>
      </c>
      <c r="N403" s="47" t="s">
        <v>1735</v>
      </c>
      <c r="O403" s="48"/>
      <c r="P403" s="48"/>
      <c r="Q403" s="45"/>
      <c r="S403" s="1">
        <f t="shared" si="237"/>
        <v>1</v>
      </c>
      <c r="T403" s="1">
        <f t="shared" si="238"/>
        <v>0</v>
      </c>
      <c r="U403" s="1">
        <f t="shared" si="239"/>
        <v>0</v>
      </c>
      <c r="V403" s="1">
        <f t="shared" si="240"/>
        <v>0</v>
      </c>
      <c r="W403" s="1">
        <f t="shared" si="241"/>
        <v>0</v>
      </c>
      <c r="X403" s="1">
        <f t="shared" si="242"/>
        <v>0</v>
      </c>
      <c r="Y403" s="1">
        <f t="shared" si="243"/>
        <v>0</v>
      </c>
      <c r="Z403" s="1">
        <f t="shared" si="244"/>
        <v>0</v>
      </c>
      <c r="AA403" s="1">
        <f t="shared" si="245"/>
        <v>0</v>
      </c>
      <c r="AB403" s="1">
        <f t="shared" si="246"/>
        <v>0</v>
      </c>
      <c r="AD403" s="1">
        <f t="shared" si="247"/>
        <v>0</v>
      </c>
      <c r="AE403" s="1">
        <f t="shared" si="248"/>
        <v>0</v>
      </c>
      <c r="AF403" s="1">
        <f t="shared" si="233"/>
        <v>0</v>
      </c>
      <c r="AG403" s="1">
        <f t="shared" si="234"/>
        <v>0</v>
      </c>
      <c r="AH403" s="1">
        <f t="shared" si="235"/>
        <v>0</v>
      </c>
      <c r="AI403" s="1">
        <f t="shared" si="236"/>
        <v>1</v>
      </c>
    </row>
    <row r="404" spans="1:35" ht="14.25" customHeight="1" x14ac:dyDescent="0.3">
      <c r="A404" s="44">
        <v>0</v>
      </c>
      <c r="B404" s="44">
        <v>2</v>
      </c>
      <c r="C404" s="44">
        <v>7</v>
      </c>
      <c r="D404" s="45" t="s">
        <v>1070</v>
      </c>
      <c r="E404" s="45" t="s">
        <v>1046</v>
      </c>
      <c r="F404" s="45" t="s">
        <v>1071</v>
      </c>
      <c r="G404" s="45" t="s">
        <v>213</v>
      </c>
      <c r="H404" s="45" t="s">
        <v>354</v>
      </c>
      <c r="I404" s="44" t="s">
        <v>1072</v>
      </c>
      <c r="J404" s="44">
        <v>1</v>
      </c>
      <c r="K404" s="46" t="s">
        <v>955</v>
      </c>
      <c r="L404" s="46" t="s">
        <v>722</v>
      </c>
      <c r="M404" s="47" t="s">
        <v>1434</v>
      </c>
      <c r="N404" s="47" t="s">
        <v>1735</v>
      </c>
      <c r="O404" s="48"/>
      <c r="P404" s="48"/>
      <c r="Q404" s="45" t="s">
        <v>1918</v>
      </c>
      <c r="S404" s="1">
        <f t="shared" si="237"/>
        <v>1</v>
      </c>
      <c r="T404" s="1">
        <f t="shared" si="238"/>
        <v>0</v>
      </c>
      <c r="U404" s="1">
        <f t="shared" si="239"/>
        <v>0</v>
      </c>
      <c r="V404" s="1">
        <f t="shared" si="240"/>
        <v>0</v>
      </c>
      <c r="W404" s="1">
        <f t="shared" si="241"/>
        <v>0</v>
      </c>
      <c r="X404" s="1">
        <f t="shared" si="242"/>
        <v>0</v>
      </c>
      <c r="Y404" s="1">
        <f t="shared" si="243"/>
        <v>0</v>
      </c>
      <c r="Z404" s="1">
        <f t="shared" si="244"/>
        <v>0</v>
      </c>
      <c r="AA404" s="1">
        <f t="shared" si="245"/>
        <v>0</v>
      </c>
      <c r="AB404" s="1">
        <f t="shared" si="246"/>
        <v>0</v>
      </c>
      <c r="AD404" s="1">
        <f t="shared" si="247"/>
        <v>0</v>
      </c>
      <c r="AE404" s="1">
        <f t="shared" si="248"/>
        <v>0</v>
      </c>
      <c r="AF404" s="1">
        <f t="shared" si="233"/>
        <v>0</v>
      </c>
      <c r="AG404" s="1">
        <f t="shared" si="234"/>
        <v>0</v>
      </c>
      <c r="AH404" s="1">
        <f t="shared" si="235"/>
        <v>0</v>
      </c>
      <c r="AI404" s="1">
        <f t="shared" si="236"/>
        <v>1</v>
      </c>
    </row>
    <row r="405" spans="1:35" ht="14.25" customHeight="1" x14ac:dyDescent="0.3">
      <c r="A405" s="31">
        <v>0</v>
      </c>
      <c r="B405" s="31">
        <v>2</v>
      </c>
      <c r="C405" s="31">
        <v>7</v>
      </c>
      <c r="D405" s="32" t="s">
        <v>1017</v>
      </c>
      <c r="E405" s="32" t="s">
        <v>156</v>
      </c>
      <c r="F405" s="32" t="s">
        <v>1088</v>
      </c>
      <c r="G405" s="32" t="s">
        <v>1098</v>
      </c>
      <c r="H405" s="32" t="s">
        <v>354</v>
      </c>
      <c r="I405" s="31" t="s">
        <v>1018</v>
      </c>
      <c r="J405" s="31">
        <v>99</v>
      </c>
      <c r="K405" s="33" t="s">
        <v>713</v>
      </c>
      <c r="L405" s="33" t="s">
        <v>722</v>
      </c>
      <c r="M405" s="34" t="s">
        <v>1434</v>
      </c>
      <c r="N405" s="34" t="s">
        <v>1748</v>
      </c>
      <c r="O405" s="35">
        <v>1</v>
      </c>
      <c r="P405" s="35"/>
      <c r="Q405" s="32"/>
      <c r="S405" s="1">
        <f t="shared" si="237"/>
        <v>0</v>
      </c>
      <c r="T405" s="1">
        <f t="shared" si="238"/>
        <v>0</v>
      </c>
      <c r="U405" s="1">
        <f t="shared" si="239"/>
        <v>0</v>
      </c>
      <c r="V405" s="1">
        <f t="shared" si="240"/>
        <v>0</v>
      </c>
      <c r="W405" s="1">
        <f t="shared" si="241"/>
        <v>0</v>
      </c>
      <c r="X405" s="1">
        <f t="shared" si="242"/>
        <v>0</v>
      </c>
      <c r="Y405" s="1">
        <f t="shared" si="243"/>
        <v>0</v>
      </c>
      <c r="Z405" s="1">
        <f t="shared" si="244"/>
        <v>0</v>
      </c>
      <c r="AA405" s="1">
        <f t="shared" si="245"/>
        <v>0</v>
      </c>
      <c r="AB405" s="1">
        <f t="shared" si="246"/>
        <v>0</v>
      </c>
      <c r="AD405" s="1">
        <f t="shared" si="247"/>
        <v>0</v>
      </c>
      <c r="AE405" s="1">
        <f t="shared" si="248"/>
        <v>1</v>
      </c>
      <c r="AF405" s="1">
        <f t="shared" si="233"/>
        <v>0</v>
      </c>
      <c r="AG405" s="1">
        <f t="shared" si="234"/>
        <v>1</v>
      </c>
      <c r="AH405" s="1">
        <f t="shared" si="235"/>
        <v>0</v>
      </c>
      <c r="AI405" s="1">
        <f t="shared" si="236"/>
        <v>1</v>
      </c>
    </row>
    <row r="406" spans="1:35" ht="14.25" customHeight="1" x14ac:dyDescent="0.3">
      <c r="A406" s="31">
        <v>0</v>
      </c>
      <c r="B406" s="31">
        <v>2</v>
      </c>
      <c r="C406" s="31">
        <v>7</v>
      </c>
      <c r="D406" s="32" t="s">
        <v>1205</v>
      </c>
      <c r="E406" s="32" t="s">
        <v>1332</v>
      </c>
      <c r="F406" s="32" t="s">
        <v>1206</v>
      </c>
      <c r="G406" s="32" t="s">
        <v>39</v>
      </c>
      <c r="H406" s="32" t="s">
        <v>354</v>
      </c>
      <c r="I406" s="31" t="s">
        <v>1685</v>
      </c>
      <c r="J406" s="31">
        <v>99</v>
      </c>
      <c r="K406" s="33" t="s">
        <v>955</v>
      </c>
      <c r="L406" s="33" t="s">
        <v>729</v>
      </c>
      <c r="M406" s="34" t="s">
        <v>1435</v>
      </c>
      <c r="N406" s="34" t="s">
        <v>1748</v>
      </c>
      <c r="O406" s="35">
        <v>1</v>
      </c>
      <c r="P406" s="35"/>
      <c r="Q406" s="32"/>
      <c r="S406" s="1">
        <f t="shared" si="237"/>
        <v>0</v>
      </c>
      <c r="T406" s="1">
        <f t="shared" si="238"/>
        <v>0</v>
      </c>
      <c r="U406" s="1">
        <f t="shared" si="239"/>
        <v>0</v>
      </c>
      <c r="V406" s="1">
        <f t="shared" si="240"/>
        <v>0</v>
      </c>
      <c r="W406" s="1">
        <f t="shared" si="241"/>
        <v>0</v>
      </c>
      <c r="X406" s="1">
        <f t="shared" si="242"/>
        <v>0</v>
      </c>
      <c r="Y406" s="1">
        <f t="shared" si="243"/>
        <v>0</v>
      </c>
      <c r="Z406" s="1">
        <f t="shared" si="244"/>
        <v>0</v>
      </c>
      <c r="AA406" s="1">
        <f t="shared" si="245"/>
        <v>0</v>
      </c>
      <c r="AB406" s="1">
        <f t="shared" si="246"/>
        <v>0</v>
      </c>
      <c r="AD406" s="1">
        <f t="shared" si="247"/>
        <v>0</v>
      </c>
      <c r="AE406" s="1">
        <f t="shared" si="248"/>
        <v>1</v>
      </c>
      <c r="AF406" s="1">
        <f t="shared" si="233"/>
        <v>0</v>
      </c>
      <c r="AG406" s="1">
        <f t="shared" si="234"/>
        <v>1</v>
      </c>
      <c r="AH406" s="1">
        <f t="shared" si="235"/>
        <v>0</v>
      </c>
      <c r="AI406" s="1">
        <f t="shared" si="236"/>
        <v>1</v>
      </c>
    </row>
    <row r="407" spans="1:35" ht="14.25" customHeight="1" x14ac:dyDescent="0.3">
      <c r="A407" s="31">
        <v>0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644</v>
      </c>
      <c r="G407" s="32" t="s">
        <v>535</v>
      </c>
      <c r="H407" s="32" t="s">
        <v>354</v>
      </c>
      <c r="I407" s="31" t="s">
        <v>394</v>
      </c>
      <c r="J407" s="31">
        <v>6</v>
      </c>
      <c r="K407" s="33" t="s">
        <v>712</v>
      </c>
      <c r="L407" s="33" t="s">
        <v>713</v>
      </c>
      <c r="M407" s="34" t="s">
        <v>731</v>
      </c>
      <c r="N407" s="34" t="s">
        <v>1761</v>
      </c>
      <c r="O407" s="35">
        <v>1</v>
      </c>
      <c r="P407" s="35"/>
      <c r="Q407" s="32"/>
      <c r="S407" s="1">
        <f t="shared" si="237"/>
        <v>0</v>
      </c>
      <c r="T407" s="1">
        <f t="shared" si="238"/>
        <v>0</v>
      </c>
      <c r="U407" s="1">
        <f t="shared" si="239"/>
        <v>0</v>
      </c>
      <c r="V407" s="1">
        <f t="shared" si="240"/>
        <v>0</v>
      </c>
      <c r="W407" s="1">
        <f t="shared" si="241"/>
        <v>0</v>
      </c>
      <c r="X407" s="1">
        <f t="shared" si="242"/>
        <v>1</v>
      </c>
      <c r="Y407" s="1">
        <f t="shared" si="243"/>
        <v>0</v>
      </c>
      <c r="Z407" s="1">
        <f t="shared" si="244"/>
        <v>0</v>
      </c>
      <c r="AA407" s="1">
        <f t="shared" si="245"/>
        <v>0</v>
      </c>
      <c r="AB407" s="1">
        <f t="shared" si="246"/>
        <v>0</v>
      </c>
      <c r="AD407" s="1">
        <f t="shared" si="247"/>
        <v>0</v>
      </c>
      <c r="AE407" s="1">
        <f t="shared" si="248"/>
        <v>1</v>
      </c>
      <c r="AF407" s="1">
        <f t="shared" si="233"/>
        <v>0</v>
      </c>
      <c r="AG407" s="1">
        <f t="shared" si="234"/>
        <v>1</v>
      </c>
      <c r="AH407" s="1">
        <f t="shared" si="235"/>
        <v>0</v>
      </c>
      <c r="AI407" s="1">
        <f t="shared" si="236"/>
        <v>1</v>
      </c>
    </row>
    <row r="408" spans="1:35" ht="14.25" customHeight="1" x14ac:dyDescent="0.3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216</v>
      </c>
      <c r="G408" s="32" t="s">
        <v>39</v>
      </c>
      <c r="H408" s="32" t="s">
        <v>354</v>
      </c>
      <c r="I408" s="31" t="s">
        <v>30</v>
      </c>
      <c r="J408" s="31">
        <v>99</v>
      </c>
      <c r="K408" s="33" t="s">
        <v>712</v>
      </c>
      <c r="L408" s="33" t="s">
        <v>713</v>
      </c>
      <c r="M408" s="34" t="s">
        <v>731</v>
      </c>
      <c r="N408" s="34" t="s">
        <v>1761</v>
      </c>
      <c r="O408" s="35">
        <v>1</v>
      </c>
      <c r="P408" s="35"/>
      <c r="Q408" s="32"/>
      <c r="S408" s="1">
        <f t="shared" si="237"/>
        <v>0</v>
      </c>
      <c r="T408" s="1">
        <f t="shared" si="238"/>
        <v>0</v>
      </c>
      <c r="U408" s="1">
        <f t="shared" si="239"/>
        <v>0</v>
      </c>
      <c r="V408" s="1">
        <f t="shared" si="240"/>
        <v>0</v>
      </c>
      <c r="W408" s="1">
        <f t="shared" si="241"/>
        <v>0</v>
      </c>
      <c r="X408" s="1">
        <f t="shared" si="242"/>
        <v>0</v>
      </c>
      <c r="Y408" s="1">
        <f t="shared" si="243"/>
        <v>0</v>
      </c>
      <c r="Z408" s="1">
        <f t="shared" si="244"/>
        <v>0</v>
      </c>
      <c r="AA408" s="1">
        <f t="shared" si="245"/>
        <v>0</v>
      </c>
      <c r="AB408" s="1">
        <f t="shared" si="246"/>
        <v>0</v>
      </c>
      <c r="AD408" s="1">
        <f t="shared" si="247"/>
        <v>0</v>
      </c>
      <c r="AE408" s="1">
        <f t="shared" si="248"/>
        <v>1</v>
      </c>
      <c r="AF408" s="1">
        <f t="shared" ref="AF408:AF473" si="289">+O408*P408*(1-A408)</f>
        <v>0</v>
      </c>
      <c r="AG408" s="1">
        <f t="shared" ref="AG408:AG473" si="290">O408*(1-P408)*(1-A408)</f>
        <v>0</v>
      </c>
      <c r="AH408" s="1">
        <f t="shared" ref="AH408:AH473" si="291">+P408*(1-A408)</f>
        <v>0</v>
      </c>
      <c r="AI408" s="1">
        <f t="shared" ref="AI408:AI473" si="292">+(1-A408)*(1-P408)</f>
        <v>0</v>
      </c>
    </row>
    <row r="409" spans="1:35" ht="14.25" customHeight="1" x14ac:dyDescent="0.3">
      <c r="A409" s="31">
        <v>1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215</v>
      </c>
      <c r="G409" s="32" t="s">
        <v>39</v>
      </c>
      <c r="H409" s="32" t="s">
        <v>354</v>
      </c>
      <c r="I409" s="31" t="s">
        <v>394</v>
      </c>
      <c r="J409" s="31">
        <v>99</v>
      </c>
      <c r="K409" s="33" t="s">
        <v>712</v>
      </c>
      <c r="L409" s="33" t="s">
        <v>713</v>
      </c>
      <c r="M409" s="34" t="s">
        <v>731</v>
      </c>
      <c r="N409" s="34" t="s">
        <v>1761</v>
      </c>
      <c r="O409" s="35">
        <v>1</v>
      </c>
      <c r="P409" s="35"/>
      <c r="Q409" s="32"/>
      <c r="S409" s="1">
        <f t="shared" si="237"/>
        <v>0</v>
      </c>
      <c r="T409" s="1">
        <f t="shared" si="238"/>
        <v>0</v>
      </c>
      <c r="U409" s="1">
        <f t="shared" si="239"/>
        <v>0</v>
      </c>
      <c r="V409" s="1">
        <f t="shared" si="240"/>
        <v>0</v>
      </c>
      <c r="W409" s="1">
        <f t="shared" si="241"/>
        <v>0</v>
      </c>
      <c r="X409" s="1">
        <f t="shared" si="242"/>
        <v>0</v>
      </c>
      <c r="Y409" s="1">
        <f t="shared" si="243"/>
        <v>0</v>
      </c>
      <c r="Z409" s="1">
        <f t="shared" si="244"/>
        <v>0</v>
      </c>
      <c r="AA409" s="1">
        <f t="shared" si="245"/>
        <v>0</v>
      </c>
      <c r="AB409" s="1">
        <f t="shared" si="246"/>
        <v>0</v>
      </c>
      <c r="AD409" s="1">
        <f t="shared" si="247"/>
        <v>0</v>
      </c>
      <c r="AE409" s="1">
        <f t="shared" si="248"/>
        <v>1</v>
      </c>
      <c r="AF409" s="1">
        <f t="shared" si="289"/>
        <v>0</v>
      </c>
      <c r="AG409" s="1">
        <f t="shared" si="290"/>
        <v>0</v>
      </c>
      <c r="AH409" s="1">
        <f t="shared" si="291"/>
        <v>0</v>
      </c>
      <c r="AI409" s="1">
        <f t="shared" si="292"/>
        <v>0</v>
      </c>
    </row>
    <row r="410" spans="1:35" ht="14.25" customHeight="1" x14ac:dyDescent="0.3">
      <c r="A410" s="31">
        <v>1</v>
      </c>
      <c r="B410" s="31">
        <v>2</v>
      </c>
      <c r="C410" s="31">
        <v>7</v>
      </c>
      <c r="D410" s="32" t="s">
        <v>55</v>
      </c>
      <c r="E410" s="32" t="s">
        <v>28</v>
      </c>
      <c r="F410" s="32" t="s">
        <v>217</v>
      </c>
      <c r="G410" s="32" t="s">
        <v>218</v>
      </c>
      <c r="H410" s="32" t="s">
        <v>354</v>
      </c>
      <c r="I410" s="31" t="s">
        <v>395</v>
      </c>
      <c r="J410" s="31">
        <v>99</v>
      </c>
      <c r="K410" s="33" t="s">
        <v>712</v>
      </c>
      <c r="L410" s="33" t="s">
        <v>713</v>
      </c>
      <c r="M410" s="34" t="s">
        <v>731</v>
      </c>
      <c r="N410" s="34" t="s">
        <v>1761</v>
      </c>
      <c r="O410" s="35">
        <v>1</v>
      </c>
      <c r="P410" s="35"/>
      <c r="Q410" s="32"/>
      <c r="S410" s="1">
        <f t="shared" si="237"/>
        <v>0</v>
      </c>
      <c r="T410" s="1">
        <f t="shared" si="238"/>
        <v>0</v>
      </c>
      <c r="U410" s="1">
        <f t="shared" si="239"/>
        <v>0</v>
      </c>
      <c r="V410" s="1">
        <f t="shared" si="240"/>
        <v>0</v>
      </c>
      <c r="W410" s="1">
        <f t="shared" si="241"/>
        <v>0</v>
      </c>
      <c r="X410" s="1">
        <f t="shared" si="242"/>
        <v>0</v>
      </c>
      <c r="Y410" s="1">
        <f t="shared" si="243"/>
        <v>0</v>
      </c>
      <c r="Z410" s="1">
        <f t="shared" si="244"/>
        <v>0</v>
      </c>
      <c r="AA410" s="1">
        <f t="shared" si="245"/>
        <v>0</v>
      </c>
      <c r="AB410" s="1">
        <f t="shared" si="246"/>
        <v>0</v>
      </c>
      <c r="AD410" s="1">
        <f t="shared" si="247"/>
        <v>0</v>
      </c>
      <c r="AE410" s="1">
        <f t="shared" si="248"/>
        <v>1</v>
      </c>
      <c r="AF410" s="1">
        <f t="shared" si="289"/>
        <v>0</v>
      </c>
      <c r="AG410" s="1">
        <f t="shared" si="290"/>
        <v>0</v>
      </c>
      <c r="AH410" s="1">
        <f t="shared" si="291"/>
        <v>0</v>
      </c>
      <c r="AI410" s="1">
        <f t="shared" si="292"/>
        <v>0</v>
      </c>
    </row>
    <row r="411" spans="1:35" ht="14.25" customHeight="1" x14ac:dyDescent="0.3">
      <c r="A411" s="31">
        <v>0</v>
      </c>
      <c r="B411" s="31">
        <v>2</v>
      </c>
      <c r="C411" s="31">
        <v>7</v>
      </c>
      <c r="D411" s="36" t="s">
        <v>2053</v>
      </c>
      <c r="E411" s="36" t="s">
        <v>156</v>
      </c>
      <c r="F411" s="36" t="s">
        <v>2054</v>
      </c>
      <c r="G411" s="36" t="s">
        <v>220</v>
      </c>
      <c r="H411" s="36" t="s">
        <v>354</v>
      </c>
      <c r="I411" s="37" t="s">
        <v>2055</v>
      </c>
      <c r="J411" s="31">
        <v>99</v>
      </c>
      <c r="K411" s="33" t="s">
        <v>703</v>
      </c>
      <c r="L411" s="33">
        <v>10</v>
      </c>
      <c r="M411" s="34" t="s">
        <v>2056</v>
      </c>
      <c r="N411" s="34" t="s">
        <v>1748</v>
      </c>
      <c r="O411" s="35">
        <v>1</v>
      </c>
      <c r="P411" s="35"/>
      <c r="Q411" s="32"/>
      <c r="S411" s="1">
        <f t="shared" si="237"/>
        <v>0</v>
      </c>
      <c r="T411" s="1">
        <f t="shared" si="238"/>
        <v>0</v>
      </c>
      <c r="U411" s="1">
        <f t="shared" si="239"/>
        <v>0</v>
      </c>
      <c r="V411" s="1">
        <f t="shared" si="240"/>
        <v>0</v>
      </c>
      <c r="W411" s="1">
        <f t="shared" si="241"/>
        <v>0</v>
      </c>
      <c r="X411" s="1">
        <f t="shared" si="242"/>
        <v>0</v>
      </c>
      <c r="Y411" s="1">
        <f t="shared" si="243"/>
        <v>0</v>
      </c>
      <c r="Z411" s="1">
        <f t="shared" si="244"/>
        <v>0</v>
      </c>
      <c r="AA411" s="1">
        <f t="shared" si="245"/>
        <v>0</v>
      </c>
      <c r="AB411" s="1">
        <f t="shared" si="246"/>
        <v>0</v>
      </c>
      <c r="AD411" s="1">
        <f t="shared" si="247"/>
        <v>0</v>
      </c>
      <c r="AE411" s="1">
        <f t="shared" si="248"/>
        <v>1</v>
      </c>
      <c r="AF411" s="1">
        <f t="shared" si="289"/>
        <v>0</v>
      </c>
      <c r="AG411" s="1">
        <f t="shared" si="290"/>
        <v>1</v>
      </c>
      <c r="AH411" s="1">
        <f t="shared" si="291"/>
        <v>0</v>
      </c>
      <c r="AI411" s="1">
        <f t="shared" si="292"/>
        <v>1</v>
      </c>
    </row>
    <row r="412" spans="1:35" ht="14.25" customHeight="1" x14ac:dyDescent="0.3">
      <c r="A412" s="44">
        <v>0</v>
      </c>
      <c r="B412" s="44">
        <v>2</v>
      </c>
      <c r="C412" s="44">
        <v>7</v>
      </c>
      <c r="D412" s="45" t="s">
        <v>68</v>
      </c>
      <c r="E412" s="45" t="s">
        <v>28</v>
      </c>
      <c r="F412" s="45" t="s">
        <v>253</v>
      </c>
      <c r="G412" s="45" t="s">
        <v>254</v>
      </c>
      <c r="H412" s="45" t="s">
        <v>354</v>
      </c>
      <c r="I412" s="44" t="s">
        <v>414</v>
      </c>
      <c r="J412" s="44">
        <v>99</v>
      </c>
      <c r="K412" s="46" t="s">
        <v>713</v>
      </c>
      <c r="L412" s="46" t="s">
        <v>713</v>
      </c>
      <c r="M412" s="47" t="s">
        <v>731</v>
      </c>
      <c r="N412" s="47" t="s">
        <v>1802</v>
      </c>
      <c r="O412" s="48"/>
      <c r="P412" s="48"/>
      <c r="Q412" s="45"/>
      <c r="S412" s="1">
        <f t="shared" ref="S412:S418" si="293">IF(J412=$S$7,1,0)</f>
        <v>0</v>
      </c>
      <c r="T412" s="1">
        <f t="shared" ref="T412:T418" si="294">IF(J412=$T$7,1,0)</f>
        <v>0</v>
      </c>
      <c r="U412" s="1">
        <f t="shared" ref="U412:U418" si="295">IF(J412=$U$7,1,0)</f>
        <v>0</v>
      </c>
      <c r="V412" s="1">
        <f t="shared" ref="V412:V418" si="296">IF(J412=$V$7,1,0)</f>
        <v>0</v>
      </c>
      <c r="W412" s="1">
        <f t="shared" ref="W412:W418" si="297">IF(J412=$W$7,1,0)</f>
        <v>0</v>
      </c>
      <c r="X412" s="1">
        <f t="shared" ref="X412:X418" si="298">IF(J412=$X$7,1,0)</f>
        <v>0</v>
      </c>
      <c r="Y412" s="1">
        <f t="shared" ref="Y412:Y418" si="299">IF(J412=$Y$7,1,0)</f>
        <v>0</v>
      </c>
      <c r="Z412" s="1">
        <f t="shared" ref="Z412:Z418" si="300">IF(J412=$Z$7,1,0)</f>
        <v>0</v>
      </c>
      <c r="AA412" s="1">
        <f t="shared" ref="AA412:AA418" si="301">IF(J412=$AA$7,1,0)</f>
        <v>0</v>
      </c>
      <c r="AB412" s="1">
        <f t="shared" ref="AB412:AB418" si="302">IF(J412=$AB$7,1,0)</f>
        <v>0</v>
      </c>
      <c r="AD412" s="1">
        <f t="shared" ref="AD412:AD418" si="303">+O412*P412</f>
        <v>0</v>
      </c>
      <c r="AE412" s="1">
        <f t="shared" ref="AE412:AE418" si="304">O412*(1-P412)</f>
        <v>0</v>
      </c>
      <c r="AF412" s="1">
        <f t="shared" ref="AF412:AF418" si="305">+O412*P412*(1-A412)</f>
        <v>0</v>
      </c>
      <c r="AG412" s="1">
        <f t="shared" ref="AG412:AG418" si="306">O412*(1-P412)*(1-A412)</f>
        <v>0</v>
      </c>
      <c r="AH412" s="1">
        <f t="shared" ref="AH412:AH418" si="307">+P412*(1-A412)</f>
        <v>0</v>
      </c>
      <c r="AI412" s="1">
        <f t="shared" ref="AI412:AI418" si="308">+(1-A412)*(1-P412)</f>
        <v>1</v>
      </c>
    </row>
    <row r="413" spans="1:35" ht="14.25" customHeight="1" x14ac:dyDescent="0.3">
      <c r="A413" s="31">
        <v>0</v>
      </c>
      <c r="B413" s="31">
        <v>2</v>
      </c>
      <c r="C413" s="31">
        <v>7</v>
      </c>
      <c r="D413" s="32" t="s">
        <v>2017</v>
      </c>
      <c r="E413" s="32" t="s">
        <v>28</v>
      </c>
      <c r="F413" s="32" t="s">
        <v>2019</v>
      </c>
      <c r="G413" s="32" t="s">
        <v>1104</v>
      </c>
      <c r="H413" s="32" t="s">
        <v>354</v>
      </c>
      <c r="I413" s="31" t="s">
        <v>2020</v>
      </c>
      <c r="J413" s="31">
        <v>1</v>
      </c>
      <c r="K413" s="33" t="s">
        <v>703</v>
      </c>
      <c r="L413" s="33"/>
      <c r="M413" s="34"/>
      <c r="N413" s="34" t="s">
        <v>1727</v>
      </c>
      <c r="O413" s="35">
        <v>1</v>
      </c>
      <c r="P413" s="35">
        <v>1</v>
      </c>
      <c r="Q413" s="32" t="s">
        <v>2022</v>
      </c>
      <c r="S413" s="1">
        <f t="shared" si="293"/>
        <v>1</v>
      </c>
      <c r="T413" s="1">
        <f t="shared" si="294"/>
        <v>0</v>
      </c>
      <c r="U413" s="1">
        <f t="shared" si="295"/>
        <v>0</v>
      </c>
      <c r="V413" s="1">
        <f t="shared" si="296"/>
        <v>0</v>
      </c>
      <c r="W413" s="1">
        <f t="shared" si="297"/>
        <v>0</v>
      </c>
      <c r="X413" s="1">
        <f t="shared" si="298"/>
        <v>0</v>
      </c>
      <c r="Y413" s="1">
        <f t="shared" si="299"/>
        <v>0</v>
      </c>
      <c r="Z413" s="1">
        <f t="shared" si="300"/>
        <v>0</v>
      </c>
      <c r="AA413" s="1">
        <f t="shared" si="301"/>
        <v>0</v>
      </c>
      <c r="AB413" s="1">
        <f t="shared" si="302"/>
        <v>0</v>
      </c>
      <c r="AD413" s="1">
        <f t="shared" si="303"/>
        <v>1</v>
      </c>
      <c r="AE413" s="1">
        <f t="shared" si="304"/>
        <v>0</v>
      </c>
      <c r="AF413" s="1">
        <f t="shared" si="305"/>
        <v>1</v>
      </c>
      <c r="AG413" s="1">
        <f t="shared" si="306"/>
        <v>0</v>
      </c>
      <c r="AH413" s="1">
        <f t="shared" si="307"/>
        <v>1</v>
      </c>
      <c r="AI413" s="1">
        <f t="shared" si="308"/>
        <v>0</v>
      </c>
    </row>
    <row r="414" spans="1:35" ht="14.25" customHeight="1" x14ac:dyDescent="0.3">
      <c r="A414" s="31">
        <v>1</v>
      </c>
      <c r="B414" s="31">
        <v>2</v>
      </c>
      <c r="C414" s="31">
        <v>7</v>
      </c>
      <c r="D414" s="32" t="s">
        <v>2017</v>
      </c>
      <c r="E414" s="32" t="s">
        <v>28</v>
      </c>
      <c r="F414" s="32" t="s">
        <v>2018</v>
      </c>
      <c r="G414" s="36" t="s">
        <v>2024</v>
      </c>
      <c r="H414" s="32" t="s">
        <v>354</v>
      </c>
      <c r="I414" s="31" t="s">
        <v>2021</v>
      </c>
      <c r="J414" s="31">
        <v>8</v>
      </c>
      <c r="K414" s="33" t="s">
        <v>703</v>
      </c>
      <c r="L414" s="33"/>
      <c r="M414" s="34"/>
      <c r="N414" s="34" t="s">
        <v>1727</v>
      </c>
      <c r="O414" s="35">
        <v>1</v>
      </c>
      <c r="P414" s="35">
        <v>1</v>
      </c>
      <c r="Q414" s="32" t="s">
        <v>2023</v>
      </c>
      <c r="S414" s="1">
        <f t="shared" si="293"/>
        <v>0</v>
      </c>
      <c r="T414" s="1">
        <f t="shared" si="294"/>
        <v>0</v>
      </c>
      <c r="U414" s="1">
        <f t="shared" si="295"/>
        <v>0</v>
      </c>
      <c r="V414" s="1">
        <f t="shared" si="296"/>
        <v>0</v>
      </c>
      <c r="W414" s="1">
        <f t="shared" si="297"/>
        <v>0</v>
      </c>
      <c r="X414" s="1">
        <f t="shared" si="298"/>
        <v>0</v>
      </c>
      <c r="Y414" s="1">
        <f t="shared" si="299"/>
        <v>0</v>
      </c>
      <c r="Z414" s="1">
        <f t="shared" si="300"/>
        <v>1</v>
      </c>
      <c r="AA414" s="1">
        <f t="shared" si="301"/>
        <v>0</v>
      </c>
      <c r="AB414" s="1">
        <f t="shared" si="302"/>
        <v>0</v>
      </c>
      <c r="AD414" s="1">
        <f t="shared" si="303"/>
        <v>1</v>
      </c>
      <c r="AE414" s="1">
        <f t="shared" si="304"/>
        <v>0</v>
      </c>
      <c r="AF414" s="1">
        <f t="shared" si="305"/>
        <v>0</v>
      </c>
      <c r="AG414" s="1">
        <f t="shared" si="306"/>
        <v>0</v>
      </c>
      <c r="AH414" s="1">
        <f t="shared" si="307"/>
        <v>0</v>
      </c>
      <c r="AI414" s="1">
        <f t="shared" si="308"/>
        <v>0</v>
      </c>
    </row>
    <row r="415" spans="1:35" ht="14.25" customHeight="1" x14ac:dyDescent="0.3">
      <c r="A415" s="31">
        <v>0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255</v>
      </c>
      <c r="G415" s="36" t="s">
        <v>207</v>
      </c>
      <c r="H415" s="32" t="s">
        <v>354</v>
      </c>
      <c r="I415" s="31" t="s">
        <v>415</v>
      </c>
      <c r="J415" s="31">
        <v>99</v>
      </c>
      <c r="K415" s="33" t="s">
        <v>955</v>
      </c>
      <c r="L415" s="33" t="s">
        <v>713</v>
      </c>
      <c r="M415" s="34" t="s">
        <v>731</v>
      </c>
      <c r="N415" s="34" t="s">
        <v>1733</v>
      </c>
      <c r="O415" s="35">
        <v>1</v>
      </c>
      <c r="P415" s="35">
        <v>1</v>
      </c>
      <c r="Q415" s="32"/>
      <c r="S415" s="1">
        <f t="shared" si="293"/>
        <v>0</v>
      </c>
      <c r="T415" s="1">
        <f t="shared" si="294"/>
        <v>0</v>
      </c>
      <c r="U415" s="1">
        <f t="shared" si="295"/>
        <v>0</v>
      </c>
      <c r="V415" s="1">
        <f t="shared" si="296"/>
        <v>0</v>
      </c>
      <c r="W415" s="1">
        <f t="shared" si="297"/>
        <v>0</v>
      </c>
      <c r="X415" s="1">
        <f t="shared" si="298"/>
        <v>0</v>
      </c>
      <c r="Y415" s="1">
        <f t="shared" si="299"/>
        <v>0</v>
      </c>
      <c r="Z415" s="1">
        <f t="shared" si="300"/>
        <v>0</v>
      </c>
      <c r="AA415" s="1">
        <f t="shared" si="301"/>
        <v>0</v>
      </c>
      <c r="AB415" s="1">
        <f t="shared" si="302"/>
        <v>0</v>
      </c>
      <c r="AD415" s="1">
        <f t="shared" si="303"/>
        <v>1</v>
      </c>
      <c r="AE415" s="1">
        <f t="shared" si="304"/>
        <v>0</v>
      </c>
      <c r="AF415" s="1">
        <f t="shared" si="305"/>
        <v>1</v>
      </c>
      <c r="AG415" s="1">
        <f t="shared" si="306"/>
        <v>0</v>
      </c>
      <c r="AH415" s="1">
        <f t="shared" si="307"/>
        <v>1</v>
      </c>
      <c r="AI415" s="1">
        <f t="shared" si="308"/>
        <v>0</v>
      </c>
    </row>
    <row r="416" spans="1:35" ht="14.25" customHeight="1" x14ac:dyDescent="0.3">
      <c r="A416" s="31">
        <v>1</v>
      </c>
      <c r="B416" s="31">
        <v>2</v>
      </c>
      <c r="C416" s="31">
        <v>7</v>
      </c>
      <c r="D416" s="32" t="s">
        <v>69</v>
      </c>
      <c r="E416" s="32" t="s">
        <v>28</v>
      </c>
      <c r="F416" s="32" t="s">
        <v>1874</v>
      </c>
      <c r="G416" s="36" t="s">
        <v>256</v>
      </c>
      <c r="H416" s="32" t="s">
        <v>354</v>
      </c>
      <c r="I416" s="31" t="s">
        <v>416</v>
      </c>
      <c r="J416" s="31">
        <v>99</v>
      </c>
      <c r="K416" s="33" t="s">
        <v>955</v>
      </c>
      <c r="L416" s="33" t="s">
        <v>713</v>
      </c>
      <c r="M416" s="34" t="s">
        <v>731</v>
      </c>
      <c r="N416" s="34" t="s">
        <v>1733</v>
      </c>
      <c r="O416" s="35">
        <v>1</v>
      </c>
      <c r="P416" s="35">
        <v>1</v>
      </c>
      <c r="Q416" s="32"/>
      <c r="S416" s="1">
        <f t="shared" si="293"/>
        <v>0</v>
      </c>
      <c r="T416" s="1">
        <f t="shared" si="294"/>
        <v>0</v>
      </c>
      <c r="U416" s="1">
        <f t="shared" si="295"/>
        <v>0</v>
      </c>
      <c r="V416" s="1">
        <f t="shared" si="296"/>
        <v>0</v>
      </c>
      <c r="W416" s="1">
        <f t="shared" si="297"/>
        <v>0</v>
      </c>
      <c r="X416" s="1">
        <f t="shared" si="298"/>
        <v>0</v>
      </c>
      <c r="Y416" s="1">
        <f t="shared" si="299"/>
        <v>0</v>
      </c>
      <c r="Z416" s="1">
        <f t="shared" si="300"/>
        <v>0</v>
      </c>
      <c r="AA416" s="1">
        <f t="shared" si="301"/>
        <v>0</v>
      </c>
      <c r="AB416" s="1">
        <f t="shared" si="302"/>
        <v>0</v>
      </c>
      <c r="AD416" s="1">
        <f t="shared" si="303"/>
        <v>1</v>
      </c>
      <c r="AE416" s="1">
        <f t="shared" si="304"/>
        <v>0</v>
      </c>
      <c r="AF416" s="1">
        <f t="shared" si="305"/>
        <v>0</v>
      </c>
      <c r="AG416" s="1">
        <f t="shared" si="306"/>
        <v>0</v>
      </c>
      <c r="AH416" s="1">
        <f t="shared" si="307"/>
        <v>0</v>
      </c>
      <c r="AI416" s="1">
        <f t="shared" si="308"/>
        <v>0</v>
      </c>
    </row>
    <row r="417" spans="1:35" ht="14.25" customHeight="1" x14ac:dyDescent="0.3">
      <c r="A417" s="31">
        <v>1</v>
      </c>
      <c r="B417" s="31">
        <v>2</v>
      </c>
      <c r="C417" s="31">
        <v>7</v>
      </c>
      <c r="D417" s="32" t="s">
        <v>69</v>
      </c>
      <c r="E417" s="32" t="s">
        <v>28</v>
      </c>
      <c r="F417" s="32" t="s">
        <v>570</v>
      </c>
      <c r="G417" s="36" t="s">
        <v>571</v>
      </c>
      <c r="H417" s="32" t="s">
        <v>354</v>
      </c>
      <c r="I417" s="31" t="s">
        <v>580</v>
      </c>
      <c r="J417" s="31">
        <v>99</v>
      </c>
      <c r="K417" s="33" t="s">
        <v>955</v>
      </c>
      <c r="L417" s="33" t="s">
        <v>713</v>
      </c>
      <c r="M417" s="34" t="s">
        <v>731</v>
      </c>
      <c r="N417" s="34" t="s">
        <v>1733</v>
      </c>
      <c r="O417" s="35">
        <v>1</v>
      </c>
      <c r="P417" s="35">
        <v>1</v>
      </c>
      <c r="Q417" s="32"/>
      <c r="S417" s="1">
        <f t="shared" si="293"/>
        <v>0</v>
      </c>
      <c r="T417" s="1">
        <f t="shared" si="294"/>
        <v>0</v>
      </c>
      <c r="U417" s="1">
        <f t="shared" si="295"/>
        <v>0</v>
      </c>
      <c r="V417" s="1">
        <f t="shared" si="296"/>
        <v>0</v>
      </c>
      <c r="W417" s="1">
        <f t="shared" si="297"/>
        <v>0</v>
      </c>
      <c r="X417" s="1">
        <f t="shared" si="298"/>
        <v>0</v>
      </c>
      <c r="Y417" s="1">
        <f t="shared" si="299"/>
        <v>0</v>
      </c>
      <c r="Z417" s="1">
        <f t="shared" si="300"/>
        <v>0</v>
      </c>
      <c r="AA417" s="1">
        <f t="shared" si="301"/>
        <v>0</v>
      </c>
      <c r="AB417" s="1">
        <f t="shared" si="302"/>
        <v>0</v>
      </c>
      <c r="AD417" s="1">
        <f t="shared" si="303"/>
        <v>1</v>
      </c>
      <c r="AE417" s="1">
        <f t="shared" si="304"/>
        <v>0</v>
      </c>
      <c r="AF417" s="1">
        <f t="shared" si="305"/>
        <v>0</v>
      </c>
      <c r="AG417" s="1">
        <f t="shared" si="306"/>
        <v>0</v>
      </c>
      <c r="AH417" s="1">
        <f t="shared" si="307"/>
        <v>0</v>
      </c>
      <c r="AI417" s="1">
        <f t="shared" si="308"/>
        <v>0</v>
      </c>
    </row>
    <row r="418" spans="1:35" ht="14.25" customHeight="1" x14ac:dyDescent="0.3">
      <c r="A418" s="44">
        <v>0</v>
      </c>
      <c r="B418" s="44">
        <v>2</v>
      </c>
      <c r="C418" s="44">
        <v>7</v>
      </c>
      <c r="D418" s="45" t="s">
        <v>71</v>
      </c>
      <c r="E418" s="45" t="s">
        <v>28</v>
      </c>
      <c r="F418" s="45" t="s">
        <v>1349</v>
      </c>
      <c r="G418" s="45" t="s">
        <v>259</v>
      </c>
      <c r="H418" s="45" t="s">
        <v>354</v>
      </c>
      <c r="I418" s="44" t="s">
        <v>418</v>
      </c>
      <c r="J418" s="44">
        <v>99</v>
      </c>
      <c r="K418" s="46" t="s">
        <v>713</v>
      </c>
      <c r="L418" s="46" t="s">
        <v>713</v>
      </c>
      <c r="M418" s="47" t="s">
        <v>731</v>
      </c>
      <c r="N418" s="47" t="s">
        <v>1802</v>
      </c>
      <c r="O418" s="48"/>
      <c r="P418" s="48"/>
      <c r="Q418" s="45"/>
      <c r="S418" s="1">
        <f t="shared" si="293"/>
        <v>0</v>
      </c>
      <c r="T418" s="1">
        <f t="shared" si="294"/>
        <v>0</v>
      </c>
      <c r="U418" s="1">
        <f t="shared" si="295"/>
        <v>0</v>
      </c>
      <c r="V418" s="1">
        <f t="shared" si="296"/>
        <v>0</v>
      </c>
      <c r="W418" s="1">
        <f t="shared" si="297"/>
        <v>0</v>
      </c>
      <c r="X418" s="1">
        <f t="shared" si="298"/>
        <v>0</v>
      </c>
      <c r="Y418" s="1">
        <f t="shared" si="299"/>
        <v>0</v>
      </c>
      <c r="Z418" s="1">
        <f t="shared" si="300"/>
        <v>0</v>
      </c>
      <c r="AA418" s="1">
        <f t="shared" si="301"/>
        <v>0</v>
      </c>
      <c r="AB418" s="1">
        <f t="shared" si="302"/>
        <v>0</v>
      </c>
      <c r="AD418" s="1">
        <f t="shared" si="303"/>
        <v>0</v>
      </c>
      <c r="AE418" s="1">
        <f t="shared" si="304"/>
        <v>0</v>
      </c>
      <c r="AF418" s="1">
        <f t="shared" si="305"/>
        <v>0</v>
      </c>
      <c r="AG418" s="1">
        <f t="shared" si="306"/>
        <v>0</v>
      </c>
      <c r="AH418" s="1">
        <f t="shared" si="307"/>
        <v>0</v>
      </c>
      <c r="AI418" s="1">
        <f t="shared" si="308"/>
        <v>1</v>
      </c>
    </row>
    <row r="419" spans="1:35" ht="14.25" customHeight="1" x14ac:dyDescent="0.3">
      <c r="A419" s="44">
        <v>0</v>
      </c>
      <c r="B419" s="44">
        <v>2</v>
      </c>
      <c r="C419" s="44">
        <v>7</v>
      </c>
      <c r="D419" s="45" t="s">
        <v>1062</v>
      </c>
      <c r="E419" s="45" t="s">
        <v>28</v>
      </c>
      <c r="F419" s="45" t="s">
        <v>1063</v>
      </c>
      <c r="G419" s="45" t="s">
        <v>1064</v>
      </c>
      <c r="H419" s="45" t="s">
        <v>354</v>
      </c>
      <c r="I419" s="44" t="s">
        <v>1065</v>
      </c>
      <c r="J419" s="44">
        <v>99</v>
      </c>
      <c r="K419" s="46" t="s">
        <v>713</v>
      </c>
      <c r="L419" s="46" t="s">
        <v>713</v>
      </c>
      <c r="M419" s="47" t="s">
        <v>731</v>
      </c>
      <c r="N419" s="47" t="s">
        <v>1802</v>
      </c>
      <c r="O419" s="48"/>
      <c r="P419" s="48"/>
      <c r="Q419" s="45"/>
      <c r="S419" s="1">
        <f t="shared" ref="S419:S484" si="309">IF(J419=$S$7,1,0)</f>
        <v>0</v>
      </c>
      <c r="T419" s="1">
        <f t="shared" ref="T419:T484" si="310">IF(J419=$T$7,1,0)</f>
        <v>0</v>
      </c>
      <c r="U419" s="1">
        <f t="shared" ref="U419:U484" si="311">IF(J419=$U$7,1,0)</f>
        <v>0</v>
      </c>
      <c r="V419" s="1">
        <f t="shared" ref="V419:V484" si="312">IF(J419=$V$7,1,0)</f>
        <v>0</v>
      </c>
      <c r="W419" s="1">
        <f t="shared" ref="W419:W484" si="313">IF(J419=$W$7,1,0)</f>
        <v>0</v>
      </c>
      <c r="X419" s="1">
        <f t="shared" ref="X419:X484" si="314">IF(J419=$X$7,1,0)</f>
        <v>0</v>
      </c>
      <c r="Y419" s="1">
        <f t="shared" ref="Y419:Y484" si="315">IF(J419=$Y$7,1,0)</f>
        <v>0</v>
      </c>
      <c r="Z419" s="1">
        <f t="shared" ref="Z419:Z484" si="316">IF(J419=$Z$7,1,0)</f>
        <v>0</v>
      </c>
      <c r="AA419" s="1">
        <f t="shared" ref="AA419:AA484" si="317">IF(J419=$AA$7,1,0)</f>
        <v>0</v>
      </c>
      <c r="AB419" s="1">
        <f t="shared" ref="AB419:AB484" si="318">IF(J419=$AB$7,1,0)</f>
        <v>0</v>
      </c>
      <c r="AD419" s="1">
        <f t="shared" ref="AD419:AD484" si="319">+O419*P419</f>
        <v>0</v>
      </c>
      <c r="AE419" s="1">
        <f t="shared" ref="AE419:AE484" si="320">O419*(1-P419)</f>
        <v>0</v>
      </c>
      <c r="AF419" s="1">
        <f t="shared" si="289"/>
        <v>0</v>
      </c>
      <c r="AG419" s="1">
        <f t="shared" si="290"/>
        <v>0</v>
      </c>
      <c r="AH419" s="1">
        <f t="shared" si="291"/>
        <v>0</v>
      </c>
      <c r="AI419" s="1">
        <f t="shared" si="292"/>
        <v>1</v>
      </c>
    </row>
    <row r="420" spans="1:35" ht="14.25" customHeight="1" x14ac:dyDescent="0.3">
      <c r="A420" s="31">
        <v>0</v>
      </c>
      <c r="B420" s="31">
        <v>2</v>
      </c>
      <c r="C420" s="31">
        <v>7</v>
      </c>
      <c r="D420" s="32" t="s">
        <v>1806</v>
      </c>
      <c r="E420" s="32" t="s">
        <v>156</v>
      </c>
      <c r="F420" s="32" t="s">
        <v>1807</v>
      </c>
      <c r="G420" s="32"/>
      <c r="H420" s="32" t="s">
        <v>354</v>
      </c>
      <c r="I420" s="31" t="s">
        <v>1808</v>
      </c>
      <c r="J420" s="31">
        <v>99</v>
      </c>
      <c r="K420" s="33" t="s">
        <v>703</v>
      </c>
      <c r="L420" s="33"/>
      <c r="M420" s="34"/>
      <c r="N420" s="34" t="s">
        <v>1727</v>
      </c>
      <c r="O420" s="35">
        <v>1</v>
      </c>
      <c r="P420" s="35">
        <v>1</v>
      </c>
      <c r="Q420" s="32"/>
      <c r="S420" s="1">
        <f t="shared" si="309"/>
        <v>0</v>
      </c>
      <c r="T420" s="1">
        <f t="shared" si="310"/>
        <v>0</v>
      </c>
      <c r="U420" s="1">
        <f t="shared" si="311"/>
        <v>0</v>
      </c>
      <c r="V420" s="1">
        <f t="shared" si="312"/>
        <v>0</v>
      </c>
      <c r="W420" s="1">
        <f t="shared" si="313"/>
        <v>0</v>
      </c>
      <c r="X420" s="1">
        <f t="shared" si="314"/>
        <v>0</v>
      </c>
      <c r="Y420" s="1">
        <f t="shared" si="315"/>
        <v>0</v>
      </c>
      <c r="Z420" s="1">
        <f t="shared" si="316"/>
        <v>0</v>
      </c>
      <c r="AA420" s="1">
        <f t="shared" si="317"/>
        <v>0</v>
      </c>
      <c r="AB420" s="1">
        <f t="shared" si="318"/>
        <v>0</v>
      </c>
      <c r="AD420" s="1">
        <f t="shared" si="319"/>
        <v>1</v>
      </c>
      <c r="AE420" s="1">
        <f t="shared" si="320"/>
        <v>0</v>
      </c>
      <c r="AF420" s="1">
        <f t="shared" si="289"/>
        <v>1</v>
      </c>
      <c r="AG420" s="1">
        <f t="shared" si="290"/>
        <v>0</v>
      </c>
      <c r="AH420" s="1">
        <f t="shared" si="291"/>
        <v>1</v>
      </c>
      <c r="AI420" s="1">
        <f t="shared" si="292"/>
        <v>0</v>
      </c>
    </row>
    <row r="421" spans="1:35" ht="14.25" customHeight="1" x14ac:dyDescent="0.3">
      <c r="A421" s="31">
        <v>0</v>
      </c>
      <c r="B421" s="31">
        <v>2</v>
      </c>
      <c r="C421" s="31">
        <v>7</v>
      </c>
      <c r="D421" s="32" t="s">
        <v>1178</v>
      </c>
      <c r="E421" s="32" t="s">
        <v>156</v>
      </c>
      <c r="F421" s="32" t="s">
        <v>1179</v>
      </c>
      <c r="G421" s="32" t="s">
        <v>293</v>
      </c>
      <c r="H421" s="32" t="s">
        <v>354</v>
      </c>
      <c r="I421" s="31" t="s">
        <v>1180</v>
      </c>
      <c r="J421" s="31">
        <v>99</v>
      </c>
      <c r="K421" s="33" t="s">
        <v>713</v>
      </c>
      <c r="L421" s="33" t="s">
        <v>722</v>
      </c>
      <c r="M421" s="34" t="s">
        <v>1434</v>
      </c>
      <c r="N421" s="34" t="s">
        <v>1748</v>
      </c>
      <c r="O421" s="35">
        <v>1</v>
      </c>
      <c r="P421" s="35"/>
      <c r="Q421" s="32"/>
      <c r="S421" s="1">
        <f t="shared" si="309"/>
        <v>0</v>
      </c>
      <c r="T421" s="1">
        <f t="shared" si="310"/>
        <v>0</v>
      </c>
      <c r="U421" s="1">
        <f t="shared" si="311"/>
        <v>0</v>
      </c>
      <c r="V421" s="1">
        <f t="shared" si="312"/>
        <v>0</v>
      </c>
      <c r="W421" s="1">
        <f t="shared" si="313"/>
        <v>0</v>
      </c>
      <c r="X421" s="1">
        <f t="shared" si="314"/>
        <v>0</v>
      </c>
      <c r="Y421" s="1">
        <f t="shared" si="315"/>
        <v>0</v>
      </c>
      <c r="Z421" s="1">
        <f t="shared" si="316"/>
        <v>0</v>
      </c>
      <c r="AA421" s="1">
        <f t="shared" si="317"/>
        <v>0</v>
      </c>
      <c r="AB421" s="1">
        <f t="shared" si="318"/>
        <v>0</v>
      </c>
      <c r="AD421" s="1">
        <f t="shared" si="319"/>
        <v>0</v>
      </c>
      <c r="AE421" s="1">
        <f t="shared" si="320"/>
        <v>1</v>
      </c>
      <c r="AF421" s="1">
        <f t="shared" si="289"/>
        <v>0</v>
      </c>
      <c r="AG421" s="1">
        <f t="shared" si="290"/>
        <v>1</v>
      </c>
      <c r="AH421" s="1">
        <f t="shared" si="291"/>
        <v>0</v>
      </c>
      <c r="AI421" s="1">
        <f t="shared" si="292"/>
        <v>1</v>
      </c>
    </row>
    <row r="422" spans="1:35" ht="14.25" customHeight="1" x14ac:dyDescent="0.3">
      <c r="A422" s="31">
        <v>0</v>
      </c>
      <c r="B422" s="31">
        <v>2</v>
      </c>
      <c r="C422" s="31">
        <v>7</v>
      </c>
      <c r="D422" s="32" t="s">
        <v>1153</v>
      </c>
      <c r="E422" s="32" t="s">
        <v>1154</v>
      </c>
      <c r="F422" s="36" t="s">
        <v>1878</v>
      </c>
      <c r="G422" s="32" t="s">
        <v>628</v>
      </c>
      <c r="H422" s="32" t="s">
        <v>354</v>
      </c>
      <c r="I422" s="31" t="s">
        <v>1155</v>
      </c>
      <c r="J422" s="31">
        <v>99</v>
      </c>
      <c r="K422" s="33" t="s">
        <v>713</v>
      </c>
      <c r="L422" s="33" t="s">
        <v>713</v>
      </c>
      <c r="M422" s="34" t="s">
        <v>731</v>
      </c>
      <c r="N422" s="34" t="s">
        <v>1743</v>
      </c>
      <c r="O422" s="35">
        <v>1</v>
      </c>
      <c r="P422" s="35"/>
      <c r="Q422" s="36" t="s">
        <v>1898</v>
      </c>
      <c r="S422" s="1">
        <f t="shared" si="309"/>
        <v>0</v>
      </c>
      <c r="T422" s="1">
        <f t="shared" si="310"/>
        <v>0</v>
      </c>
      <c r="U422" s="1">
        <f t="shared" si="311"/>
        <v>0</v>
      </c>
      <c r="V422" s="1">
        <f t="shared" si="312"/>
        <v>0</v>
      </c>
      <c r="W422" s="1">
        <f t="shared" si="313"/>
        <v>0</v>
      </c>
      <c r="X422" s="1">
        <f t="shared" si="314"/>
        <v>0</v>
      </c>
      <c r="Y422" s="1">
        <f t="shared" si="315"/>
        <v>0</v>
      </c>
      <c r="Z422" s="1">
        <f t="shared" si="316"/>
        <v>0</v>
      </c>
      <c r="AA422" s="1">
        <f t="shared" si="317"/>
        <v>0</v>
      </c>
      <c r="AB422" s="1">
        <f t="shared" si="318"/>
        <v>0</v>
      </c>
      <c r="AD422" s="1">
        <f t="shared" si="319"/>
        <v>0</v>
      </c>
      <c r="AE422" s="1">
        <f t="shared" si="320"/>
        <v>1</v>
      </c>
      <c r="AF422" s="1">
        <f t="shared" si="289"/>
        <v>0</v>
      </c>
      <c r="AG422" s="1">
        <f t="shared" si="290"/>
        <v>1</v>
      </c>
      <c r="AH422" s="1">
        <f t="shared" si="291"/>
        <v>0</v>
      </c>
      <c r="AI422" s="1">
        <f t="shared" si="292"/>
        <v>1</v>
      </c>
    </row>
    <row r="423" spans="1:35" ht="14.25" customHeight="1" x14ac:dyDescent="0.3">
      <c r="A423" s="31">
        <v>0</v>
      </c>
      <c r="B423" s="31">
        <v>2</v>
      </c>
      <c r="C423" s="31">
        <v>7</v>
      </c>
      <c r="D423" s="32" t="s">
        <v>542</v>
      </c>
      <c r="E423" s="32" t="s">
        <v>158</v>
      </c>
      <c r="F423" s="32" t="s">
        <v>195</v>
      </c>
      <c r="G423" s="32" t="s">
        <v>196</v>
      </c>
      <c r="H423" s="32" t="s">
        <v>354</v>
      </c>
      <c r="I423" s="31" t="s">
        <v>550</v>
      </c>
      <c r="J423" s="31">
        <v>99</v>
      </c>
      <c r="K423" s="33" t="s">
        <v>955</v>
      </c>
      <c r="L423" s="33" t="s">
        <v>696</v>
      </c>
      <c r="M423" s="34" t="s">
        <v>1436</v>
      </c>
      <c r="N423" s="34" t="s">
        <v>1748</v>
      </c>
      <c r="O423" s="35">
        <v>1</v>
      </c>
      <c r="P423" s="35"/>
      <c r="Q423" s="32"/>
      <c r="S423" s="1">
        <f t="shared" si="309"/>
        <v>0</v>
      </c>
      <c r="T423" s="1">
        <f t="shared" si="310"/>
        <v>0</v>
      </c>
      <c r="U423" s="1">
        <f t="shared" si="311"/>
        <v>0</v>
      </c>
      <c r="V423" s="1">
        <f t="shared" si="312"/>
        <v>0</v>
      </c>
      <c r="W423" s="1">
        <f t="shared" si="313"/>
        <v>0</v>
      </c>
      <c r="X423" s="1">
        <f t="shared" si="314"/>
        <v>0</v>
      </c>
      <c r="Y423" s="1">
        <f t="shared" si="315"/>
        <v>0</v>
      </c>
      <c r="Z423" s="1">
        <f t="shared" si="316"/>
        <v>0</v>
      </c>
      <c r="AA423" s="1">
        <f t="shared" si="317"/>
        <v>0</v>
      </c>
      <c r="AB423" s="1">
        <f t="shared" si="318"/>
        <v>0</v>
      </c>
      <c r="AD423" s="1">
        <f t="shared" si="319"/>
        <v>0</v>
      </c>
      <c r="AE423" s="1">
        <f t="shared" si="320"/>
        <v>1</v>
      </c>
      <c r="AF423" s="1">
        <f t="shared" si="289"/>
        <v>0</v>
      </c>
      <c r="AG423" s="1">
        <f t="shared" si="290"/>
        <v>1</v>
      </c>
      <c r="AH423" s="1">
        <f t="shared" si="291"/>
        <v>0</v>
      </c>
      <c r="AI423" s="1">
        <f t="shared" si="292"/>
        <v>1</v>
      </c>
    </row>
    <row r="424" spans="1:35" ht="14.25" customHeight="1" x14ac:dyDescent="0.3">
      <c r="A424" s="44">
        <v>0</v>
      </c>
      <c r="B424" s="44">
        <v>2</v>
      </c>
      <c r="C424" s="44">
        <v>7</v>
      </c>
      <c r="D424" s="45" t="s">
        <v>46</v>
      </c>
      <c r="E424" s="45" t="s">
        <v>156</v>
      </c>
      <c r="F424" s="45" t="s">
        <v>183</v>
      </c>
      <c r="G424" s="45" t="s">
        <v>179</v>
      </c>
      <c r="H424" s="45" t="s">
        <v>354</v>
      </c>
      <c r="I424" s="44" t="s">
        <v>382</v>
      </c>
      <c r="J424" s="44">
        <v>10</v>
      </c>
      <c r="K424" s="46" t="s">
        <v>955</v>
      </c>
      <c r="L424" s="46" t="s">
        <v>722</v>
      </c>
      <c r="M424" s="47" t="s">
        <v>1434</v>
      </c>
      <c r="N424" s="47" t="s">
        <v>1809</v>
      </c>
      <c r="O424" s="48"/>
      <c r="P424" s="48"/>
      <c r="Q424" s="45"/>
      <c r="S424" s="1">
        <f t="shared" si="309"/>
        <v>0</v>
      </c>
      <c r="T424" s="1">
        <f t="shared" si="310"/>
        <v>0</v>
      </c>
      <c r="U424" s="1">
        <f t="shared" si="311"/>
        <v>0</v>
      </c>
      <c r="V424" s="1">
        <f t="shared" si="312"/>
        <v>0</v>
      </c>
      <c r="W424" s="1">
        <f t="shared" si="313"/>
        <v>0</v>
      </c>
      <c r="X424" s="1">
        <f t="shared" si="314"/>
        <v>0</v>
      </c>
      <c r="Y424" s="1">
        <f t="shared" si="315"/>
        <v>0</v>
      </c>
      <c r="Z424" s="1">
        <f t="shared" si="316"/>
        <v>0</v>
      </c>
      <c r="AA424" s="1">
        <f t="shared" si="317"/>
        <v>0</v>
      </c>
      <c r="AB424" s="1">
        <f t="shared" si="318"/>
        <v>1</v>
      </c>
      <c r="AD424" s="1">
        <f t="shared" si="319"/>
        <v>0</v>
      </c>
      <c r="AE424" s="1">
        <f t="shared" si="320"/>
        <v>0</v>
      </c>
      <c r="AF424" s="1">
        <f t="shared" si="289"/>
        <v>0</v>
      </c>
      <c r="AG424" s="1">
        <f t="shared" si="290"/>
        <v>0</v>
      </c>
      <c r="AH424" s="1">
        <f t="shared" si="291"/>
        <v>0</v>
      </c>
      <c r="AI424" s="1">
        <f t="shared" si="292"/>
        <v>1</v>
      </c>
    </row>
    <row r="425" spans="1:35" ht="14.25" customHeight="1" x14ac:dyDescent="0.3">
      <c r="A425" s="44">
        <v>0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248</v>
      </c>
      <c r="G425" s="45" t="s">
        <v>249</v>
      </c>
      <c r="H425" s="45" t="s">
        <v>354</v>
      </c>
      <c r="I425" s="44" t="s">
        <v>411</v>
      </c>
      <c r="J425" s="44">
        <v>7</v>
      </c>
      <c r="K425" s="46" t="s">
        <v>713</v>
      </c>
      <c r="L425" s="46" t="s">
        <v>713</v>
      </c>
      <c r="M425" s="47" t="s">
        <v>731</v>
      </c>
      <c r="N425" s="47" t="s">
        <v>1734</v>
      </c>
      <c r="O425" s="48"/>
      <c r="P425" s="48"/>
      <c r="Q425" s="45"/>
      <c r="S425" s="1">
        <f t="shared" si="309"/>
        <v>0</v>
      </c>
      <c r="T425" s="1">
        <f t="shared" si="310"/>
        <v>0</v>
      </c>
      <c r="U425" s="1">
        <f t="shared" si="311"/>
        <v>0</v>
      </c>
      <c r="V425" s="1">
        <f t="shared" si="312"/>
        <v>0</v>
      </c>
      <c r="W425" s="1">
        <f t="shared" si="313"/>
        <v>0</v>
      </c>
      <c r="X425" s="1">
        <f t="shared" si="314"/>
        <v>0</v>
      </c>
      <c r="Y425" s="1">
        <f t="shared" si="315"/>
        <v>1</v>
      </c>
      <c r="Z425" s="1">
        <f t="shared" si="316"/>
        <v>0</v>
      </c>
      <c r="AA425" s="1">
        <f t="shared" si="317"/>
        <v>0</v>
      </c>
      <c r="AB425" s="1">
        <f t="shared" si="318"/>
        <v>0</v>
      </c>
      <c r="AD425" s="1">
        <f t="shared" si="319"/>
        <v>0</v>
      </c>
      <c r="AE425" s="1">
        <f t="shared" si="320"/>
        <v>0</v>
      </c>
      <c r="AF425" s="1">
        <f t="shared" si="289"/>
        <v>0</v>
      </c>
      <c r="AG425" s="1">
        <f t="shared" si="290"/>
        <v>0</v>
      </c>
      <c r="AH425" s="1">
        <f t="shared" si="291"/>
        <v>0</v>
      </c>
      <c r="AI425" s="1">
        <f t="shared" si="292"/>
        <v>1</v>
      </c>
    </row>
    <row r="426" spans="1:35" ht="14.25" customHeight="1" x14ac:dyDescent="0.3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1039</v>
      </c>
      <c r="G426" s="45" t="s">
        <v>539</v>
      </c>
      <c r="H426" s="45" t="s">
        <v>354</v>
      </c>
      <c r="I426" s="44" t="s">
        <v>30</v>
      </c>
      <c r="J426" s="44">
        <v>1</v>
      </c>
      <c r="K426" s="46" t="s">
        <v>713</v>
      </c>
      <c r="L426" s="46" t="s">
        <v>713</v>
      </c>
      <c r="M426" s="47" t="s">
        <v>731</v>
      </c>
      <c r="N426" s="47" t="s">
        <v>1734</v>
      </c>
      <c r="O426" s="48"/>
      <c r="P426" s="48"/>
      <c r="Q426" s="45"/>
      <c r="S426" s="1">
        <f t="shared" si="309"/>
        <v>1</v>
      </c>
      <c r="T426" s="1">
        <f t="shared" si="310"/>
        <v>0</v>
      </c>
      <c r="U426" s="1">
        <f t="shared" si="311"/>
        <v>0</v>
      </c>
      <c r="V426" s="1">
        <f t="shared" si="312"/>
        <v>0</v>
      </c>
      <c r="W426" s="1">
        <f t="shared" si="313"/>
        <v>0</v>
      </c>
      <c r="X426" s="1">
        <f t="shared" si="314"/>
        <v>0</v>
      </c>
      <c r="Y426" s="1">
        <f t="shared" si="315"/>
        <v>0</v>
      </c>
      <c r="Z426" s="1">
        <f t="shared" si="316"/>
        <v>0</v>
      </c>
      <c r="AA426" s="1">
        <f t="shared" si="317"/>
        <v>0</v>
      </c>
      <c r="AB426" s="1">
        <f t="shared" si="318"/>
        <v>0</v>
      </c>
      <c r="AD426" s="1">
        <f t="shared" si="319"/>
        <v>0</v>
      </c>
      <c r="AE426" s="1">
        <f t="shared" si="320"/>
        <v>0</v>
      </c>
      <c r="AF426" s="1">
        <f t="shared" si="289"/>
        <v>0</v>
      </c>
      <c r="AG426" s="1">
        <f t="shared" si="290"/>
        <v>0</v>
      </c>
      <c r="AH426" s="1">
        <f t="shared" si="291"/>
        <v>0</v>
      </c>
      <c r="AI426" s="1">
        <f t="shared" si="292"/>
        <v>0</v>
      </c>
    </row>
    <row r="427" spans="1:35" ht="14.25" customHeight="1" x14ac:dyDescent="0.3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250</v>
      </c>
      <c r="G427" s="45" t="s">
        <v>200</v>
      </c>
      <c r="H427" s="45" t="s">
        <v>354</v>
      </c>
      <c r="I427" s="44" t="s">
        <v>412</v>
      </c>
      <c r="J427" s="44">
        <v>2</v>
      </c>
      <c r="K427" s="46" t="s">
        <v>713</v>
      </c>
      <c r="L427" s="46" t="s">
        <v>713</v>
      </c>
      <c r="M427" s="47" t="s">
        <v>731</v>
      </c>
      <c r="N427" s="47" t="s">
        <v>1734</v>
      </c>
      <c r="O427" s="48"/>
      <c r="P427" s="48"/>
      <c r="Q427" s="45"/>
      <c r="S427" s="1">
        <f t="shared" si="309"/>
        <v>0</v>
      </c>
      <c r="T427" s="1">
        <f t="shared" si="310"/>
        <v>1</v>
      </c>
      <c r="U427" s="1">
        <f t="shared" si="311"/>
        <v>0</v>
      </c>
      <c r="V427" s="1">
        <f t="shared" si="312"/>
        <v>0</v>
      </c>
      <c r="W427" s="1">
        <f t="shared" si="313"/>
        <v>0</v>
      </c>
      <c r="X427" s="1">
        <f t="shared" si="314"/>
        <v>0</v>
      </c>
      <c r="Y427" s="1">
        <f t="shared" si="315"/>
        <v>0</v>
      </c>
      <c r="Z427" s="1">
        <f t="shared" si="316"/>
        <v>0</v>
      </c>
      <c r="AA427" s="1">
        <f t="shared" si="317"/>
        <v>0</v>
      </c>
      <c r="AB427" s="1">
        <f t="shared" si="318"/>
        <v>0</v>
      </c>
      <c r="AD427" s="1">
        <f t="shared" si="319"/>
        <v>0</v>
      </c>
      <c r="AE427" s="1">
        <f t="shared" si="320"/>
        <v>0</v>
      </c>
      <c r="AF427" s="1">
        <f t="shared" si="289"/>
        <v>0</v>
      </c>
      <c r="AG427" s="1">
        <f t="shared" si="290"/>
        <v>0</v>
      </c>
      <c r="AH427" s="1">
        <f t="shared" si="291"/>
        <v>0</v>
      </c>
      <c r="AI427" s="1">
        <f t="shared" si="292"/>
        <v>0</v>
      </c>
    </row>
    <row r="428" spans="1:35" ht="14.25" customHeight="1" x14ac:dyDescent="0.3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247</v>
      </c>
      <c r="G428" s="45" t="s">
        <v>1351</v>
      </c>
      <c r="H428" s="45" t="s">
        <v>354</v>
      </c>
      <c r="I428" s="44" t="s">
        <v>30</v>
      </c>
      <c r="J428" s="44">
        <v>1</v>
      </c>
      <c r="K428" s="46" t="s">
        <v>713</v>
      </c>
      <c r="L428" s="46" t="s">
        <v>713</v>
      </c>
      <c r="M428" s="47" t="s">
        <v>731</v>
      </c>
      <c r="N428" s="47" t="s">
        <v>1734</v>
      </c>
      <c r="O428" s="48"/>
      <c r="P428" s="48"/>
      <c r="Q428" s="45" t="s">
        <v>1917</v>
      </c>
      <c r="S428" s="1">
        <f t="shared" si="309"/>
        <v>1</v>
      </c>
      <c r="T428" s="1">
        <f t="shared" si="310"/>
        <v>0</v>
      </c>
      <c r="U428" s="1">
        <f t="shared" si="311"/>
        <v>0</v>
      </c>
      <c r="V428" s="1">
        <f t="shared" si="312"/>
        <v>0</v>
      </c>
      <c r="W428" s="1">
        <f t="shared" si="313"/>
        <v>0</v>
      </c>
      <c r="X428" s="1">
        <f t="shared" si="314"/>
        <v>0</v>
      </c>
      <c r="Y428" s="1">
        <f t="shared" si="315"/>
        <v>0</v>
      </c>
      <c r="Z428" s="1">
        <f t="shared" si="316"/>
        <v>0</v>
      </c>
      <c r="AA428" s="1">
        <f t="shared" si="317"/>
        <v>0</v>
      </c>
      <c r="AB428" s="1">
        <f t="shared" si="318"/>
        <v>0</v>
      </c>
      <c r="AD428" s="1">
        <f t="shared" si="319"/>
        <v>0</v>
      </c>
      <c r="AE428" s="1">
        <f t="shared" si="320"/>
        <v>0</v>
      </c>
      <c r="AF428" s="1">
        <f t="shared" si="289"/>
        <v>0</v>
      </c>
      <c r="AG428" s="1">
        <f t="shared" si="290"/>
        <v>0</v>
      </c>
      <c r="AH428" s="1">
        <f t="shared" si="291"/>
        <v>0</v>
      </c>
      <c r="AI428" s="1">
        <f t="shared" si="292"/>
        <v>0</v>
      </c>
    </row>
    <row r="429" spans="1:35" ht="14.25" customHeight="1" x14ac:dyDescent="0.3">
      <c r="A429" s="44">
        <v>1</v>
      </c>
      <c r="B429" s="44">
        <v>2</v>
      </c>
      <c r="C429" s="44">
        <v>7</v>
      </c>
      <c r="D429" s="45" t="s">
        <v>67</v>
      </c>
      <c r="E429" s="45" t="s">
        <v>28</v>
      </c>
      <c r="F429" s="45" t="s">
        <v>252</v>
      </c>
      <c r="G429" s="45" t="s">
        <v>194</v>
      </c>
      <c r="H429" s="45" t="s">
        <v>354</v>
      </c>
      <c r="I429" s="44" t="s">
        <v>413</v>
      </c>
      <c r="J429" s="44">
        <v>9</v>
      </c>
      <c r="K429" s="46" t="s">
        <v>713</v>
      </c>
      <c r="L429" s="46" t="s">
        <v>713</v>
      </c>
      <c r="M429" s="47" t="s">
        <v>731</v>
      </c>
      <c r="N429" s="47" t="s">
        <v>1734</v>
      </c>
      <c r="O429" s="48"/>
      <c r="P429" s="48"/>
      <c r="Q429" s="45"/>
      <c r="S429" s="1">
        <f t="shared" si="309"/>
        <v>0</v>
      </c>
      <c r="T429" s="1">
        <f t="shared" si="310"/>
        <v>0</v>
      </c>
      <c r="U429" s="1">
        <f t="shared" si="311"/>
        <v>0</v>
      </c>
      <c r="V429" s="1">
        <f t="shared" si="312"/>
        <v>0</v>
      </c>
      <c r="W429" s="1">
        <f t="shared" si="313"/>
        <v>0</v>
      </c>
      <c r="X429" s="1">
        <f t="shared" si="314"/>
        <v>0</v>
      </c>
      <c r="Y429" s="1">
        <f t="shared" si="315"/>
        <v>0</v>
      </c>
      <c r="Z429" s="1">
        <f t="shared" si="316"/>
        <v>0</v>
      </c>
      <c r="AA429" s="1">
        <f t="shared" si="317"/>
        <v>1</v>
      </c>
      <c r="AB429" s="1">
        <f t="shared" si="318"/>
        <v>0</v>
      </c>
      <c r="AD429" s="1">
        <f t="shared" si="319"/>
        <v>0</v>
      </c>
      <c r="AE429" s="1">
        <f t="shared" si="320"/>
        <v>0</v>
      </c>
      <c r="AF429" s="1">
        <f t="shared" si="289"/>
        <v>0</v>
      </c>
      <c r="AG429" s="1">
        <f t="shared" si="290"/>
        <v>0</v>
      </c>
      <c r="AH429" s="1">
        <f t="shared" si="291"/>
        <v>0</v>
      </c>
      <c r="AI429" s="1">
        <f t="shared" si="292"/>
        <v>0</v>
      </c>
    </row>
    <row r="430" spans="1:35" ht="14.25" customHeight="1" x14ac:dyDescent="0.3">
      <c r="A430" s="44">
        <v>0</v>
      </c>
      <c r="B430" s="44">
        <v>2</v>
      </c>
      <c r="C430" s="44">
        <v>7</v>
      </c>
      <c r="D430" s="45" t="s">
        <v>1023</v>
      </c>
      <c r="E430" s="45" t="s">
        <v>28</v>
      </c>
      <c r="F430" s="45" t="s">
        <v>1024</v>
      </c>
      <c r="G430" s="45" t="s">
        <v>194</v>
      </c>
      <c r="H430" s="45" t="s">
        <v>354</v>
      </c>
      <c r="I430" s="44" t="s">
        <v>1025</v>
      </c>
      <c r="J430" s="44">
        <v>9</v>
      </c>
      <c r="K430" s="46" t="s">
        <v>712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309"/>
        <v>0</v>
      </c>
      <c r="T430" s="1">
        <f t="shared" si="310"/>
        <v>0</v>
      </c>
      <c r="U430" s="1">
        <f t="shared" si="311"/>
        <v>0</v>
      </c>
      <c r="V430" s="1">
        <f t="shared" si="312"/>
        <v>0</v>
      </c>
      <c r="W430" s="1">
        <f t="shared" si="313"/>
        <v>0</v>
      </c>
      <c r="X430" s="1">
        <f t="shared" si="314"/>
        <v>0</v>
      </c>
      <c r="Y430" s="1">
        <f t="shared" si="315"/>
        <v>0</v>
      </c>
      <c r="Z430" s="1">
        <f t="shared" si="316"/>
        <v>0</v>
      </c>
      <c r="AA430" s="1">
        <f t="shared" si="317"/>
        <v>1</v>
      </c>
      <c r="AB430" s="1">
        <f t="shared" si="318"/>
        <v>0</v>
      </c>
      <c r="AD430" s="1">
        <f t="shared" si="319"/>
        <v>0</v>
      </c>
      <c r="AE430" s="1">
        <f t="shared" si="320"/>
        <v>0</v>
      </c>
      <c r="AF430" s="1">
        <f t="shared" si="289"/>
        <v>0</v>
      </c>
      <c r="AG430" s="1">
        <f t="shared" si="290"/>
        <v>0</v>
      </c>
      <c r="AH430" s="1">
        <f t="shared" si="291"/>
        <v>0</v>
      </c>
      <c r="AI430" s="1">
        <f t="shared" si="292"/>
        <v>1</v>
      </c>
    </row>
    <row r="431" spans="1:35" ht="14.25" customHeight="1" x14ac:dyDescent="0.3">
      <c r="A431" s="31">
        <v>0</v>
      </c>
      <c r="B431" s="31">
        <v>2</v>
      </c>
      <c r="C431" s="31">
        <v>7</v>
      </c>
      <c r="D431" s="32" t="s">
        <v>1833</v>
      </c>
      <c r="E431" s="32" t="s">
        <v>1834</v>
      </c>
      <c r="F431" s="32" t="s">
        <v>1835</v>
      </c>
      <c r="G431" s="32" t="s">
        <v>207</v>
      </c>
      <c r="H431" s="32" t="s">
        <v>354</v>
      </c>
      <c r="I431" s="31" t="s">
        <v>30</v>
      </c>
      <c r="J431" s="31"/>
      <c r="K431" s="33" t="s">
        <v>703</v>
      </c>
      <c r="L431" s="33">
        <v>20</v>
      </c>
      <c r="M431" s="34" t="s">
        <v>1836</v>
      </c>
      <c r="N431" s="34" t="s">
        <v>1743</v>
      </c>
      <c r="O431" s="35">
        <v>1</v>
      </c>
      <c r="P431" s="35"/>
      <c r="Q431" s="32"/>
      <c r="S431" s="1">
        <f t="shared" si="309"/>
        <v>0</v>
      </c>
      <c r="T431" s="1">
        <f t="shared" si="310"/>
        <v>0</v>
      </c>
      <c r="U431" s="1">
        <f t="shared" si="311"/>
        <v>0</v>
      </c>
      <c r="V431" s="1">
        <f t="shared" si="312"/>
        <v>0</v>
      </c>
      <c r="W431" s="1">
        <f t="shared" si="313"/>
        <v>0</v>
      </c>
      <c r="X431" s="1">
        <f t="shared" si="314"/>
        <v>0</v>
      </c>
      <c r="Y431" s="1">
        <f t="shared" si="315"/>
        <v>0</v>
      </c>
      <c r="Z431" s="1">
        <f t="shared" si="316"/>
        <v>0</v>
      </c>
      <c r="AA431" s="1">
        <f t="shared" si="317"/>
        <v>0</v>
      </c>
      <c r="AB431" s="1">
        <f t="shared" si="318"/>
        <v>0</v>
      </c>
      <c r="AD431" s="1">
        <f t="shared" si="319"/>
        <v>0</v>
      </c>
      <c r="AE431" s="1">
        <f t="shared" si="320"/>
        <v>1</v>
      </c>
      <c r="AF431" s="1">
        <f t="shared" si="289"/>
        <v>0</v>
      </c>
      <c r="AG431" s="1">
        <f t="shared" si="290"/>
        <v>1</v>
      </c>
      <c r="AH431" s="1">
        <f t="shared" si="291"/>
        <v>0</v>
      </c>
      <c r="AI431" s="1">
        <f t="shared" si="292"/>
        <v>1</v>
      </c>
    </row>
    <row r="432" spans="1:35" ht="14.25" customHeight="1" x14ac:dyDescent="0.3">
      <c r="A432" s="49">
        <v>0</v>
      </c>
      <c r="B432" s="49">
        <v>2</v>
      </c>
      <c r="C432" s="49">
        <v>7</v>
      </c>
      <c r="D432" s="50" t="s">
        <v>1079</v>
      </c>
      <c r="E432" s="50" t="s">
        <v>544</v>
      </c>
      <c r="F432" s="50" t="s">
        <v>1060</v>
      </c>
      <c r="G432" s="50" t="s">
        <v>238</v>
      </c>
      <c r="H432" s="50" t="s">
        <v>354</v>
      </c>
      <c r="I432" s="49" t="s">
        <v>1061</v>
      </c>
      <c r="J432" s="49">
        <v>99</v>
      </c>
      <c r="K432" s="51" t="s">
        <v>955</v>
      </c>
      <c r="L432" s="51" t="s">
        <v>722</v>
      </c>
      <c r="M432" s="52" t="s">
        <v>1437</v>
      </c>
      <c r="N432" s="52" t="s">
        <v>1743</v>
      </c>
      <c r="O432" s="53">
        <v>1</v>
      </c>
      <c r="P432" s="53"/>
      <c r="Q432" s="50"/>
      <c r="S432" s="1">
        <f t="shared" ref="S432:S436" si="321">IF(J432=$S$7,1,0)</f>
        <v>0</v>
      </c>
      <c r="T432" s="1">
        <f t="shared" ref="T432:T436" si="322">IF(J432=$T$7,1,0)</f>
        <v>0</v>
      </c>
      <c r="U432" s="1">
        <f t="shared" ref="U432:U436" si="323">IF(J432=$U$7,1,0)</f>
        <v>0</v>
      </c>
      <c r="V432" s="1">
        <f t="shared" ref="V432:V436" si="324">IF(J432=$V$7,1,0)</f>
        <v>0</v>
      </c>
      <c r="W432" s="1">
        <f t="shared" ref="W432:W436" si="325">IF(J432=$W$7,1,0)</f>
        <v>0</v>
      </c>
      <c r="X432" s="1">
        <f t="shared" ref="X432:X436" si="326">IF(J432=$X$7,1,0)</f>
        <v>0</v>
      </c>
      <c r="Y432" s="1">
        <f t="shared" ref="Y432:Y436" si="327">IF(J432=$Y$7,1,0)</f>
        <v>0</v>
      </c>
      <c r="Z432" s="1">
        <f t="shared" ref="Z432:Z436" si="328">IF(J432=$Z$7,1,0)</f>
        <v>0</v>
      </c>
      <c r="AA432" s="1">
        <f t="shared" ref="AA432:AA436" si="329">IF(J432=$AA$7,1,0)</f>
        <v>0</v>
      </c>
      <c r="AB432" s="1">
        <f t="shared" ref="AB432:AB436" si="330">IF(J432=$AB$7,1,0)</f>
        <v>0</v>
      </c>
      <c r="AD432" s="1">
        <f t="shared" ref="AD432:AD436" si="331">+O432*P432</f>
        <v>0</v>
      </c>
      <c r="AE432" s="1">
        <f t="shared" ref="AE432:AE436" si="332">O432*(1-P432)</f>
        <v>1</v>
      </c>
      <c r="AF432" s="1">
        <f t="shared" ref="AF432:AF436" si="333">+O432*P432*(1-A432)</f>
        <v>0</v>
      </c>
      <c r="AG432" s="1">
        <f t="shared" ref="AG432:AG436" si="334">O432*(1-P432)*(1-A432)</f>
        <v>1</v>
      </c>
      <c r="AH432" s="1">
        <f t="shared" ref="AH432:AH436" si="335">+P432*(1-A432)</f>
        <v>0</v>
      </c>
      <c r="AI432" s="1">
        <f t="shared" ref="AI432:AI436" si="336">+(1-A432)*(1-P432)</f>
        <v>1</v>
      </c>
    </row>
    <row r="433" spans="1:35" ht="14.25" customHeight="1" x14ac:dyDescent="0.3">
      <c r="A433" s="31">
        <v>0</v>
      </c>
      <c r="B433" s="31">
        <v>2</v>
      </c>
      <c r="C433" s="31">
        <v>7</v>
      </c>
      <c r="D433" s="32" t="s">
        <v>1226</v>
      </c>
      <c r="E433" s="32" t="s">
        <v>156</v>
      </c>
      <c r="F433" s="32" t="s">
        <v>1227</v>
      </c>
      <c r="G433" s="32" t="s">
        <v>251</v>
      </c>
      <c r="H433" s="32" t="s">
        <v>354</v>
      </c>
      <c r="I433" s="31" t="s">
        <v>1228</v>
      </c>
      <c r="J433" s="31">
        <v>99</v>
      </c>
      <c r="K433" s="33" t="s">
        <v>713</v>
      </c>
      <c r="L433" s="33">
        <v>10</v>
      </c>
      <c r="M433" s="34" t="s">
        <v>1746</v>
      </c>
      <c r="N433" s="34" t="s">
        <v>1727</v>
      </c>
      <c r="O433" s="35">
        <v>1</v>
      </c>
      <c r="P433" s="35">
        <v>1</v>
      </c>
      <c r="Q433" s="32"/>
      <c r="S433" s="1">
        <f t="shared" si="321"/>
        <v>0</v>
      </c>
      <c r="T433" s="1">
        <f t="shared" si="322"/>
        <v>0</v>
      </c>
      <c r="U433" s="1">
        <f t="shared" si="323"/>
        <v>0</v>
      </c>
      <c r="V433" s="1">
        <f t="shared" si="324"/>
        <v>0</v>
      </c>
      <c r="W433" s="1">
        <f t="shared" si="325"/>
        <v>0</v>
      </c>
      <c r="X433" s="1">
        <f t="shared" si="326"/>
        <v>0</v>
      </c>
      <c r="Y433" s="1">
        <f t="shared" si="327"/>
        <v>0</v>
      </c>
      <c r="Z433" s="1">
        <f t="shared" si="328"/>
        <v>0</v>
      </c>
      <c r="AA433" s="1">
        <f t="shared" si="329"/>
        <v>0</v>
      </c>
      <c r="AB433" s="1">
        <f t="shared" si="330"/>
        <v>0</v>
      </c>
      <c r="AD433" s="1">
        <f t="shared" si="331"/>
        <v>1</v>
      </c>
      <c r="AE433" s="1">
        <f t="shared" si="332"/>
        <v>0</v>
      </c>
      <c r="AF433" s="1">
        <f t="shared" si="333"/>
        <v>1</v>
      </c>
      <c r="AG433" s="1">
        <f t="shared" si="334"/>
        <v>0</v>
      </c>
      <c r="AH433" s="1">
        <f t="shared" si="335"/>
        <v>1</v>
      </c>
      <c r="AI433" s="1">
        <f t="shared" si="336"/>
        <v>0</v>
      </c>
    </row>
    <row r="434" spans="1:35" ht="14.25" customHeight="1" x14ac:dyDescent="0.3">
      <c r="A434" s="31">
        <v>0</v>
      </c>
      <c r="B434" s="31">
        <v>2</v>
      </c>
      <c r="C434" s="31">
        <v>7</v>
      </c>
      <c r="D434" s="36" t="s">
        <v>1803</v>
      </c>
      <c r="E434" s="36" t="s">
        <v>28</v>
      </c>
      <c r="F434" s="36" t="s">
        <v>1804</v>
      </c>
      <c r="G434" s="36" t="s">
        <v>180</v>
      </c>
      <c r="H434" s="36" t="s">
        <v>354</v>
      </c>
      <c r="I434" s="37" t="s">
        <v>1805</v>
      </c>
      <c r="J434" s="31">
        <v>10</v>
      </c>
      <c r="K434" s="33" t="s">
        <v>703</v>
      </c>
      <c r="L434" s="33">
        <v>10</v>
      </c>
      <c r="M434" s="34"/>
      <c r="N434" s="34" t="s">
        <v>1727</v>
      </c>
      <c r="O434" s="35">
        <v>1</v>
      </c>
      <c r="P434" s="35">
        <v>1</v>
      </c>
      <c r="Q434" s="36"/>
      <c r="S434" s="1">
        <f t="shared" si="321"/>
        <v>0</v>
      </c>
      <c r="T434" s="1">
        <f t="shared" si="322"/>
        <v>0</v>
      </c>
      <c r="U434" s="1">
        <f t="shared" si="323"/>
        <v>0</v>
      </c>
      <c r="V434" s="1">
        <f t="shared" si="324"/>
        <v>0</v>
      </c>
      <c r="W434" s="1">
        <f t="shared" si="325"/>
        <v>0</v>
      </c>
      <c r="X434" s="1">
        <f t="shared" si="326"/>
        <v>0</v>
      </c>
      <c r="Y434" s="1">
        <f t="shared" si="327"/>
        <v>0</v>
      </c>
      <c r="Z434" s="1">
        <f t="shared" si="328"/>
        <v>0</v>
      </c>
      <c r="AA434" s="1">
        <f t="shared" si="329"/>
        <v>0</v>
      </c>
      <c r="AB434" s="1">
        <f t="shared" si="330"/>
        <v>1</v>
      </c>
      <c r="AD434" s="1">
        <f t="shared" si="331"/>
        <v>1</v>
      </c>
      <c r="AE434" s="1">
        <f t="shared" si="332"/>
        <v>0</v>
      </c>
      <c r="AF434" s="1">
        <f t="shared" si="333"/>
        <v>1</v>
      </c>
      <c r="AG434" s="1">
        <f t="shared" si="334"/>
        <v>0</v>
      </c>
      <c r="AH434" s="1">
        <f t="shared" si="335"/>
        <v>1</v>
      </c>
      <c r="AI434" s="1">
        <f t="shared" si="336"/>
        <v>0</v>
      </c>
    </row>
    <row r="435" spans="1:35" ht="14.25" customHeight="1" x14ac:dyDescent="0.3">
      <c r="A435" s="37">
        <v>0</v>
      </c>
      <c r="B435" s="37">
        <v>2</v>
      </c>
      <c r="C435" s="37">
        <v>7</v>
      </c>
      <c r="D435" s="36" t="s">
        <v>1585</v>
      </c>
      <c r="E435" s="36" t="s">
        <v>1651</v>
      </c>
      <c r="F435" s="36" t="s">
        <v>1586</v>
      </c>
      <c r="G435" s="36" t="s">
        <v>656</v>
      </c>
      <c r="H435" s="36" t="s">
        <v>354</v>
      </c>
      <c r="I435" s="37" t="s">
        <v>1587</v>
      </c>
      <c r="J435" s="37">
        <v>99</v>
      </c>
      <c r="K435" s="33" t="s">
        <v>713</v>
      </c>
      <c r="L435" s="33" t="s">
        <v>39</v>
      </c>
      <c r="M435" s="34" t="s">
        <v>39</v>
      </c>
      <c r="N435" s="34" t="s">
        <v>1727</v>
      </c>
      <c r="O435" s="35">
        <v>1</v>
      </c>
      <c r="P435" s="35">
        <v>1</v>
      </c>
      <c r="Q435" s="36"/>
      <c r="S435" s="1">
        <f t="shared" si="321"/>
        <v>0</v>
      </c>
      <c r="T435" s="1">
        <f t="shared" si="322"/>
        <v>0</v>
      </c>
      <c r="U435" s="1">
        <f t="shared" si="323"/>
        <v>0</v>
      </c>
      <c r="V435" s="1">
        <f t="shared" si="324"/>
        <v>0</v>
      </c>
      <c r="W435" s="1">
        <f t="shared" si="325"/>
        <v>0</v>
      </c>
      <c r="X435" s="1">
        <f t="shared" si="326"/>
        <v>0</v>
      </c>
      <c r="Y435" s="1">
        <f t="shared" si="327"/>
        <v>0</v>
      </c>
      <c r="Z435" s="1">
        <f t="shared" si="328"/>
        <v>0</v>
      </c>
      <c r="AA435" s="1">
        <f t="shared" si="329"/>
        <v>0</v>
      </c>
      <c r="AB435" s="1">
        <f t="shared" si="330"/>
        <v>0</v>
      </c>
      <c r="AD435" s="1">
        <f t="shared" si="331"/>
        <v>1</v>
      </c>
      <c r="AE435" s="1">
        <f t="shared" si="332"/>
        <v>0</v>
      </c>
      <c r="AF435" s="1">
        <f t="shared" si="333"/>
        <v>1</v>
      </c>
      <c r="AG435" s="1">
        <f t="shared" si="334"/>
        <v>0</v>
      </c>
      <c r="AH435" s="1">
        <f t="shared" si="335"/>
        <v>1</v>
      </c>
      <c r="AI435" s="1">
        <f t="shared" si="336"/>
        <v>0</v>
      </c>
    </row>
    <row r="436" spans="1:35" ht="14.25" customHeight="1" x14ac:dyDescent="0.3">
      <c r="A436" s="44">
        <v>0</v>
      </c>
      <c r="B436" s="44">
        <v>2</v>
      </c>
      <c r="C436" s="44">
        <v>7</v>
      </c>
      <c r="D436" s="45" t="s">
        <v>1537</v>
      </c>
      <c r="E436" s="45" t="s">
        <v>28</v>
      </c>
      <c r="F436" s="45" t="s">
        <v>1662</v>
      </c>
      <c r="G436" s="45" t="s">
        <v>287</v>
      </c>
      <c r="H436" s="45" t="s">
        <v>354</v>
      </c>
      <c r="I436" s="44" t="s">
        <v>1688</v>
      </c>
      <c r="J436" s="44">
        <v>99</v>
      </c>
      <c r="K436" s="46" t="s">
        <v>713</v>
      </c>
      <c r="L436" s="46" t="s">
        <v>713</v>
      </c>
      <c r="M436" s="47" t="s">
        <v>731</v>
      </c>
      <c r="N436" s="47" t="s">
        <v>1735</v>
      </c>
      <c r="O436" s="48"/>
      <c r="P436" s="48"/>
      <c r="Q436" s="45"/>
      <c r="S436" s="1">
        <f t="shared" si="321"/>
        <v>0</v>
      </c>
      <c r="T436" s="1">
        <f t="shared" si="322"/>
        <v>0</v>
      </c>
      <c r="U436" s="1">
        <f t="shared" si="323"/>
        <v>0</v>
      </c>
      <c r="V436" s="1">
        <f t="shared" si="324"/>
        <v>0</v>
      </c>
      <c r="W436" s="1">
        <f t="shared" si="325"/>
        <v>0</v>
      </c>
      <c r="X436" s="1">
        <f t="shared" si="326"/>
        <v>0</v>
      </c>
      <c r="Y436" s="1">
        <f t="shared" si="327"/>
        <v>0</v>
      </c>
      <c r="Z436" s="1">
        <f t="shared" si="328"/>
        <v>0</v>
      </c>
      <c r="AA436" s="1">
        <f t="shared" si="329"/>
        <v>0</v>
      </c>
      <c r="AB436" s="1">
        <f t="shared" si="330"/>
        <v>0</v>
      </c>
      <c r="AD436" s="1">
        <f t="shared" si="331"/>
        <v>0</v>
      </c>
      <c r="AE436" s="1">
        <f t="shared" si="332"/>
        <v>0</v>
      </c>
      <c r="AF436" s="1">
        <f t="shared" si="333"/>
        <v>0</v>
      </c>
      <c r="AG436" s="1">
        <f t="shared" si="334"/>
        <v>0</v>
      </c>
      <c r="AH436" s="1">
        <f t="shared" si="335"/>
        <v>0</v>
      </c>
      <c r="AI436" s="1">
        <f t="shared" si="336"/>
        <v>1</v>
      </c>
    </row>
    <row r="437" spans="1:35" ht="14.25" customHeight="1" x14ac:dyDescent="0.3">
      <c r="A437" s="44">
        <v>0</v>
      </c>
      <c r="B437" s="44">
        <v>2</v>
      </c>
      <c r="C437" s="44">
        <v>7</v>
      </c>
      <c r="D437" s="45" t="s">
        <v>1328</v>
      </c>
      <c r="E437" s="45" t="s">
        <v>28</v>
      </c>
      <c r="F437" s="45" t="s">
        <v>572</v>
      </c>
      <c r="G437" s="45" t="s">
        <v>181</v>
      </c>
      <c r="H437" s="45" t="s">
        <v>354</v>
      </c>
      <c r="I437" s="44" t="s">
        <v>430</v>
      </c>
      <c r="J437" s="44">
        <v>7</v>
      </c>
      <c r="K437" s="46" t="s">
        <v>712</v>
      </c>
      <c r="L437" s="46" t="s">
        <v>713</v>
      </c>
      <c r="M437" s="47" t="s">
        <v>731</v>
      </c>
      <c r="N437" s="47" t="s">
        <v>1735</v>
      </c>
      <c r="O437" s="48"/>
      <c r="P437" s="48"/>
      <c r="Q437" s="45"/>
      <c r="S437" s="1">
        <f t="shared" si="309"/>
        <v>0</v>
      </c>
      <c r="T437" s="1">
        <f t="shared" si="310"/>
        <v>0</v>
      </c>
      <c r="U437" s="1">
        <f t="shared" si="311"/>
        <v>0</v>
      </c>
      <c r="V437" s="1">
        <f t="shared" si="312"/>
        <v>0</v>
      </c>
      <c r="W437" s="1">
        <f t="shared" si="313"/>
        <v>0</v>
      </c>
      <c r="X437" s="1">
        <f t="shared" si="314"/>
        <v>0</v>
      </c>
      <c r="Y437" s="1">
        <f t="shared" si="315"/>
        <v>1</v>
      </c>
      <c r="Z437" s="1">
        <f t="shared" si="316"/>
        <v>0</v>
      </c>
      <c r="AA437" s="1">
        <f t="shared" si="317"/>
        <v>0</v>
      </c>
      <c r="AB437" s="1">
        <f t="shared" si="318"/>
        <v>0</v>
      </c>
      <c r="AD437" s="1">
        <f t="shared" si="319"/>
        <v>0</v>
      </c>
      <c r="AE437" s="1">
        <f t="shared" si="320"/>
        <v>0</v>
      </c>
      <c r="AF437" s="1">
        <f t="shared" si="289"/>
        <v>0</v>
      </c>
      <c r="AG437" s="1">
        <f t="shared" si="290"/>
        <v>0</v>
      </c>
      <c r="AH437" s="1">
        <f t="shared" si="291"/>
        <v>0</v>
      </c>
      <c r="AI437" s="1">
        <f t="shared" si="292"/>
        <v>1</v>
      </c>
    </row>
    <row r="438" spans="1:35" ht="14.25" customHeight="1" x14ac:dyDescent="0.3">
      <c r="A438" s="44">
        <v>0</v>
      </c>
      <c r="B438" s="44">
        <v>2</v>
      </c>
      <c r="C438" s="44">
        <v>7</v>
      </c>
      <c r="D438" s="45" t="s">
        <v>72</v>
      </c>
      <c r="E438" s="45" t="s">
        <v>28</v>
      </c>
      <c r="F438" s="65" t="s">
        <v>1875</v>
      </c>
      <c r="G438" s="45" t="s">
        <v>235</v>
      </c>
      <c r="H438" s="45" t="s">
        <v>354</v>
      </c>
      <c r="I438" s="44" t="s">
        <v>680</v>
      </c>
      <c r="J438" s="44">
        <v>99</v>
      </c>
      <c r="K438" s="46" t="s">
        <v>713</v>
      </c>
      <c r="L438" s="46" t="s">
        <v>713</v>
      </c>
      <c r="M438" s="47" t="s">
        <v>731</v>
      </c>
      <c r="N438" s="47" t="s">
        <v>1735</v>
      </c>
      <c r="O438" s="48"/>
      <c r="P438" s="48"/>
      <c r="Q438" s="45"/>
      <c r="S438" s="1">
        <f t="shared" si="309"/>
        <v>0</v>
      </c>
      <c r="T438" s="1">
        <f t="shared" si="310"/>
        <v>0</v>
      </c>
      <c r="U438" s="1">
        <f t="shared" si="311"/>
        <v>0</v>
      </c>
      <c r="V438" s="1">
        <f t="shared" si="312"/>
        <v>0</v>
      </c>
      <c r="W438" s="1">
        <f t="shared" si="313"/>
        <v>0</v>
      </c>
      <c r="X438" s="1">
        <f t="shared" si="314"/>
        <v>0</v>
      </c>
      <c r="Y438" s="1">
        <f t="shared" si="315"/>
        <v>0</v>
      </c>
      <c r="Z438" s="1">
        <f t="shared" si="316"/>
        <v>0</v>
      </c>
      <c r="AA438" s="1">
        <f t="shared" si="317"/>
        <v>0</v>
      </c>
      <c r="AB438" s="1">
        <f t="shared" si="318"/>
        <v>0</v>
      </c>
      <c r="AD438" s="1">
        <f t="shared" si="319"/>
        <v>0</v>
      </c>
      <c r="AE438" s="1">
        <f t="shared" si="320"/>
        <v>0</v>
      </c>
      <c r="AF438" s="1">
        <f t="shared" si="289"/>
        <v>0</v>
      </c>
      <c r="AG438" s="1">
        <f t="shared" si="290"/>
        <v>0</v>
      </c>
      <c r="AH438" s="1">
        <f t="shared" si="291"/>
        <v>0</v>
      </c>
      <c r="AI438" s="1">
        <f t="shared" si="292"/>
        <v>1</v>
      </c>
    </row>
    <row r="439" spans="1:35" ht="14.25" customHeight="1" x14ac:dyDescent="0.3">
      <c r="A439" s="44">
        <v>1</v>
      </c>
      <c r="B439" s="44">
        <v>2</v>
      </c>
      <c r="C439" s="44">
        <v>7</v>
      </c>
      <c r="D439" s="45" t="s">
        <v>72</v>
      </c>
      <c r="E439" s="45" t="s">
        <v>28</v>
      </c>
      <c r="F439" s="45" t="s">
        <v>261</v>
      </c>
      <c r="G439" s="45" t="s">
        <v>220</v>
      </c>
      <c r="H439" s="45" t="s">
        <v>354</v>
      </c>
      <c r="I439" s="44" t="s">
        <v>420</v>
      </c>
      <c r="J439" s="44">
        <v>8</v>
      </c>
      <c r="K439" s="46" t="s">
        <v>713</v>
      </c>
      <c r="L439" s="46" t="s">
        <v>713</v>
      </c>
      <c r="M439" s="47" t="s">
        <v>731</v>
      </c>
      <c r="N439" s="47" t="s">
        <v>1735</v>
      </c>
      <c r="O439" s="48"/>
      <c r="P439" s="48"/>
      <c r="Q439" s="45"/>
      <c r="S439" s="1">
        <f t="shared" si="309"/>
        <v>0</v>
      </c>
      <c r="T439" s="1">
        <f t="shared" si="310"/>
        <v>0</v>
      </c>
      <c r="U439" s="1">
        <f t="shared" si="311"/>
        <v>0</v>
      </c>
      <c r="V439" s="1">
        <f t="shared" si="312"/>
        <v>0</v>
      </c>
      <c r="W439" s="1">
        <f t="shared" si="313"/>
        <v>0</v>
      </c>
      <c r="X439" s="1">
        <f t="shared" si="314"/>
        <v>0</v>
      </c>
      <c r="Y439" s="1">
        <f t="shared" si="315"/>
        <v>0</v>
      </c>
      <c r="Z439" s="1">
        <f t="shared" si="316"/>
        <v>1</v>
      </c>
      <c r="AA439" s="1">
        <f t="shared" si="317"/>
        <v>0</v>
      </c>
      <c r="AB439" s="1">
        <f t="shared" si="318"/>
        <v>0</v>
      </c>
      <c r="AD439" s="1">
        <f t="shared" si="319"/>
        <v>0</v>
      </c>
      <c r="AE439" s="1">
        <f t="shared" si="320"/>
        <v>0</v>
      </c>
      <c r="AF439" s="1">
        <f t="shared" si="289"/>
        <v>0</v>
      </c>
      <c r="AG439" s="1">
        <f t="shared" si="290"/>
        <v>0</v>
      </c>
      <c r="AH439" s="1">
        <f t="shared" si="291"/>
        <v>0</v>
      </c>
      <c r="AI439" s="1">
        <f t="shared" si="292"/>
        <v>0</v>
      </c>
    </row>
    <row r="440" spans="1:35" ht="14.25" customHeight="1" x14ac:dyDescent="0.3">
      <c r="A440" s="44">
        <v>1</v>
      </c>
      <c r="B440" s="44">
        <v>2</v>
      </c>
      <c r="C440" s="44">
        <v>7</v>
      </c>
      <c r="D440" s="45" t="s">
        <v>72</v>
      </c>
      <c r="E440" s="45" t="s">
        <v>28</v>
      </c>
      <c r="F440" s="45" t="s">
        <v>260</v>
      </c>
      <c r="G440" s="45" t="s">
        <v>178</v>
      </c>
      <c r="H440" s="45" t="s">
        <v>354</v>
      </c>
      <c r="I440" s="44" t="s">
        <v>419</v>
      </c>
      <c r="J440" s="44">
        <v>1</v>
      </c>
      <c r="K440" s="46" t="s">
        <v>713</v>
      </c>
      <c r="L440" s="46" t="s">
        <v>713</v>
      </c>
      <c r="M440" s="47" t="s">
        <v>731</v>
      </c>
      <c r="N440" s="47" t="s">
        <v>1735</v>
      </c>
      <c r="O440" s="48"/>
      <c r="P440" s="48"/>
      <c r="Q440" s="45"/>
      <c r="S440" s="1">
        <f t="shared" si="309"/>
        <v>1</v>
      </c>
      <c r="T440" s="1">
        <f t="shared" si="310"/>
        <v>0</v>
      </c>
      <c r="U440" s="1">
        <f t="shared" si="311"/>
        <v>0</v>
      </c>
      <c r="V440" s="1">
        <f t="shared" si="312"/>
        <v>0</v>
      </c>
      <c r="W440" s="1">
        <f t="shared" si="313"/>
        <v>0</v>
      </c>
      <c r="X440" s="1">
        <f t="shared" si="314"/>
        <v>0</v>
      </c>
      <c r="Y440" s="1">
        <f t="shared" si="315"/>
        <v>0</v>
      </c>
      <c r="Z440" s="1">
        <f t="shared" si="316"/>
        <v>0</v>
      </c>
      <c r="AA440" s="1">
        <f t="shared" si="317"/>
        <v>0</v>
      </c>
      <c r="AB440" s="1">
        <f t="shared" si="318"/>
        <v>0</v>
      </c>
      <c r="AD440" s="1">
        <f t="shared" si="319"/>
        <v>0</v>
      </c>
      <c r="AE440" s="1">
        <f t="shared" si="320"/>
        <v>0</v>
      </c>
      <c r="AF440" s="1">
        <f t="shared" si="289"/>
        <v>0</v>
      </c>
      <c r="AG440" s="1">
        <f t="shared" si="290"/>
        <v>0</v>
      </c>
      <c r="AH440" s="1">
        <f t="shared" si="291"/>
        <v>0</v>
      </c>
      <c r="AI440" s="1">
        <f t="shared" si="292"/>
        <v>0</v>
      </c>
    </row>
    <row r="441" spans="1:35" ht="14.25" customHeight="1" x14ac:dyDescent="0.3">
      <c r="A441" s="15">
        <v>0</v>
      </c>
      <c r="B441" s="15">
        <v>2</v>
      </c>
      <c r="C441" s="15">
        <v>7</v>
      </c>
      <c r="D441" s="16" t="s">
        <v>778</v>
      </c>
      <c r="E441" s="16" t="s">
        <v>28</v>
      </c>
      <c r="F441" s="16" t="s">
        <v>779</v>
      </c>
      <c r="G441" s="16" t="s">
        <v>279</v>
      </c>
      <c r="H441" s="16" t="s">
        <v>354</v>
      </c>
      <c r="I441" s="15" t="s">
        <v>780</v>
      </c>
      <c r="J441" s="15">
        <v>99</v>
      </c>
      <c r="K441" s="10" t="s">
        <v>713</v>
      </c>
      <c r="L441" s="10" t="s">
        <v>713</v>
      </c>
      <c r="M441" s="19" t="s">
        <v>731</v>
      </c>
      <c r="N441" s="17"/>
      <c r="Q441" s="16"/>
      <c r="S441" s="1">
        <f t="shared" si="309"/>
        <v>0</v>
      </c>
      <c r="T441" s="1">
        <f t="shared" si="310"/>
        <v>0</v>
      </c>
      <c r="U441" s="1">
        <f t="shared" si="311"/>
        <v>0</v>
      </c>
      <c r="V441" s="1">
        <f t="shared" si="312"/>
        <v>0</v>
      </c>
      <c r="W441" s="1">
        <f t="shared" si="313"/>
        <v>0</v>
      </c>
      <c r="X441" s="1">
        <f t="shared" si="314"/>
        <v>0</v>
      </c>
      <c r="Y441" s="1">
        <f t="shared" si="315"/>
        <v>0</v>
      </c>
      <c r="Z441" s="1">
        <f t="shared" si="316"/>
        <v>0</v>
      </c>
      <c r="AA441" s="1">
        <f t="shared" si="317"/>
        <v>0</v>
      </c>
      <c r="AB441" s="1">
        <f t="shared" si="318"/>
        <v>0</v>
      </c>
      <c r="AD441" s="1">
        <f t="shared" si="319"/>
        <v>0</v>
      </c>
      <c r="AE441" s="1">
        <f t="shared" si="320"/>
        <v>0</v>
      </c>
      <c r="AF441" s="1">
        <f t="shared" si="289"/>
        <v>0</v>
      </c>
      <c r="AG441" s="1">
        <f t="shared" si="290"/>
        <v>0</v>
      </c>
      <c r="AH441" s="1">
        <f t="shared" si="291"/>
        <v>0</v>
      </c>
      <c r="AI441" s="1">
        <f t="shared" si="292"/>
        <v>1</v>
      </c>
    </row>
    <row r="442" spans="1:35" ht="14.25" customHeight="1" x14ac:dyDescent="0.3">
      <c r="A442" s="15">
        <v>0</v>
      </c>
      <c r="B442" s="15">
        <v>2</v>
      </c>
      <c r="C442" s="15">
        <v>7</v>
      </c>
      <c r="D442" s="16" t="s">
        <v>85</v>
      </c>
      <c r="E442" s="16" t="s">
        <v>28</v>
      </c>
      <c r="F442" s="16" t="s">
        <v>278</v>
      </c>
      <c r="G442" s="16" t="s">
        <v>279</v>
      </c>
      <c r="H442" s="16" t="s">
        <v>354</v>
      </c>
      <c r="I442" s="15" t="s">
        <v>434</v>
      </c>
      <c r="J442" s="15">
        <v>99</v>
      </c>
      <c r="K442" s="10" t="s">
        <v>713</v>
      </c>
      <c r="L442" s="10" t="s">
        <v>713</v>
      </c>
      <c r="M442" s="19" t="s">
        <v>731</v>
      </c>
      <c r="N442" s="17"/>
      <c r="Q442" s="16"/>
      <c r="S442" s="1">
        <f t="shared" si="309"/>
        <v>0</v>
      </c>
      <c r="T442" s="1">
        <f t="shared" si="310"/>
        <v>0</v>
      </c>
      <c r="U442" s="1">
        <f t="shared" si="311"/>
        <v>0</v>
      </c>
      <c r="V442" s="1">
        <f t="shared" si="312"/>
        <v>0</v>
      </c>
      <c r="W442" s="1">
        <f t="shared" si="313"/>
        <v>0</v>
      </c>
      <c r="X442" s="1">
        <f t="shared" si="314"/>
        <v>0</v>
      </c>
      <c r="Y442" s="1">
        <f t="shared" si="315"/>
        <v>0</v>
      </c>
      <c r="Z442" s="1">
        <f t="shared" si="316"/>
        <v>0</v>
      </c>
      <c r="AA442" s="1">
        <f t="shared" si="317"/>
        <v>0</v>
      </c>
      <c r="AB442" s="1">
        <f t="shared" si="318"/>
        <v>0</v>
      </c>
      <c r="AD442" s="1">
        <f t="shared" si="319"/>
        <v>0</v>
      </c>
      <c r="AE442" s="1">
        <f t="shared" si="320"/>
        <v>0</v>
      </c>
      <c r="AF442" s="1">
        <f t="shared" si="289"/>
        <v>0</v>
      </c>
      <c r="AG442" s="1">
        <f t="shared" si="290"/>
        <v>0</v>
      </c>
      <c r="AH442" s="1">
        <f t="shared" si="291"/>
        <v>0</v>
      </c>
      <c r="AI442" s="1">
        <f t="shared" si="292"/>
        <v>1</v>
      </c>
    </row>
    <row r="443" spans="1:35" ht="14.25" customHeight="1" x14ac:dyDescent="0.3">
      <c r="A443" s="37">
        <v>0</v>
      </c>
      <c r="B443" s="37">
        <v>2</v>
      </c>
      <c r="C443" s="37">
        <v>7</v>
      </c>
      <c r="D443" s="36" t="s">
        <v>1937</v>
      </c>
      <c r="E443" s="36" t="s">
        <v>28</v>
      </c>
      <c r="F443" s="36" t="s">
        <v>1938</v>
      </c>
      <c r="G443" s="36" t="s">
        <v>185</v>
      </c>
      <c r="H443" s="36" t="s">
        <v>354</v>
      </c>
      <c r="I443" s="37" t="s">
        <v>1939</v>
      </c>
      <c r="J443" s="37">
        <v>99</v>
      </c>
      <c r="K443" s="33" t="s">
        <v>703</v>
      </c>
      <c r="L443" s="33">
        <v>4</v>
      </c>
      <c r="M443" s="34" t="s">
        <v>731</v>
      </c>
      <c r="N443" s="34" t="s">
        <v>1743</v>
      </c>
      <c r="O443" s="35">
        <v>1</v>
      </c>
      <c r="P443" s="35"/>
      <c r="Q443" s="36" t="s">
        <v>1940</v>
      </c>
      <c r="S443" s="1">
        <f t="shared" si="309"/>
        <v>0</v>
      </c>
      <c r="T443" s="1">
        <f t="shared" si="310"/>
        <v>0</v>
      </c>
      <c r="U443" s="1">
        <f t="shared" si="311"/>
        <v>0</v>
      </c>
      <c r="V443" s="1">
        <f t="shared" si="312"/>
        <v>0</v>
      </c>
      <c r="W443" s="1">
        <f t="shared" si="313"/>
        <v>0</v>
      </c>
      <c r="X443" s="1">
        <f t="shared" si="314"/>
        <v>0</v>
      </c>
      <c r="Y443" s="1">
        <f t="shared" si="315"/>
        <v>0</v>
      </c>
      <c r="Z443" s="1">
        <f t="shared" si="316"/>
        <v>0</v>
      </c>
      <c r="AA443" s="1">
        <f t="shared" si="317"/>
        <v>0</v>
      </c>
      <c r="AB443" s="1">
        <f t="shared" si="318"/>
        <v>0</v>
      </c>
      <c r="AD443" s="1">
        <f t="shared" si="319"/>
        <v>0</v>
      </c>
      <c r="AE443" s="1">
        <f t="shared" si="320"/>
        <v>1</v>
      </c>
      <c r="AF443" s="1">
        <f t="shared" si="289"/>
        <v>0</v>
      </c>
      <c r="AG443" s="1">
        <f t="shared" si="290"/>
        <v>1</v>
      </c>
      <c r="AH443" s="1">
        <f t="shared" si="291"/>
        <v>0</v>
      </c>
      <c r="AI443" s="1">
        <f t="shared" si="292"/>
        <v>1</v>
      </c>
    </row>
    <row r="444" spans="1:35" ht="14.25" customHeight="1" x14ac:dyDescent="0.3">
      <c r="A444" s="44">
        <v>0</v>
      </c>
      <c r="B444" s="44">
        <v>2</v>
      </c>
      <c r="C444" s="44">
        <v>7</v>
      </c>
      <c r="D444" s="45" t="s">
        <v>553</v>
      </c>
      <c r="E444" s="45" t="s">
        <v>28</v>
      </c>
      <c r="F444" s="65" t="s">
        <v>1876</v>
      </c>
      <c r="G444" s="45" t="s">
        <v>556</v>
      </c>
      <c r="H444" s="45" t="s">
        <v>354</v>
      </c>
      <c r="I444" s="44" t="s">
        <v>557</v>
      </c>
      <c r="J444" s="44">
        <v>99</v>
      </c>
      <c r="K444" s="46" t="s">
        <v>713</v>
      </c>
      <c r="L444" s="46" t="s">
        <v>713</v>
      </c>
      <c r="M444" s="47" t="s">
        <v>731</v>
      </c>
      <c r="N444" s="47" t="s">
        <v>1802</v>
      </c>
      <c r="O444" s="48"/>
      <c r="P444" s="48"/>
      <c r="Q444" s="45"/>
      <c r="S444" s="1">
        <f t="shared" si="309"/>
        <v>0</v>
      </c>
      <c r="T444" s="1">
        <f t="shared" si="310"/>
        <v>0</v>
      </c>
      <c r="U444" s="1">
        <f t="shared" si="311"/>
        <v>0</v>
      </c>
      <c r="V444" s="1">
        <f t="shared" si="312"/>
        <v>0</v>
      </c>
      <c r="W444" s="1">
        <f t="shared" si="313"/>
        <v>0</v>
      </c>
      <c r="X444" s="1">
        <f t="shared" si="314"/>
        <v>0</v>
      </c>
      <c r="Y444" s="1">
        <f t="shared" si="315"/>
        <v>0</v>
      </c>
      <c r="Z444" s="1">
        <f t="shared" si="316"/>
        <v>0</v>
      </c>
      <c r="AA444" s="1">
        <f t="shared" si="317"/>
        <v>0</v>
      </c>
      <c r="AB444" s="1">
        <f t="shared" si="318"/>
        <v>0</v>
      </c>
      <c r="AD444" s="1">
        <f t="shared" si="319"/>
        <v>0</v>
      </c>
      <c r="AE444" s="1">
        <f t="shared" si="320"/>
        <v>0</v>
      </c>
      <c r="AF444" s="1">
        <f t="shared" si="289"/>
        <v>0</v>
      </c>
      <c r="AG444" s="1">
        <f t="shared" si="290"/>
        <v>0</v>
      </c>
      <c r="AH444" s="1">
        <f t="shared" si="291"/>
        <v>0</v>
      </c>
      <c r="AI444" s="1">
        <f t="shared" si="292"/>
        <v>1</v>
      </c>
    </row>
    <row r="445" spans="1:35" ht="14.25" customHeight="1" x14ac:dyDescent="0.3">
      <c r="A445" s="44">
        <v>1</v>
      </c>
      <c r="B445" s="44">
        <v>2</v>
      </c>
      <c r="C445" s="44">
        <v>7</v>
      </c>
      <c r="D445" s="45" t="s">
        <v>553</v>
      </c>
      <c r="E445" s="45" t="s">
        <v>28</v>
      </c>
      <c r="F445" s="65" t="s">
        <v>1877</v>
      </c>
      <c r="G445" s="45" t="s">
        <v>554</v>
      </c>
      <c r="H445" s="45" t="s">
        <v>354</v>
      </c>
      <c r="I445" s="44" t="s">
        <v>555</v>
      </c>
      <c r="J445" s="44">
        <v>99</v>
      </c>
      <c r="K445" s="46" t="s">
        <v>713</v>
      </c>
      <c r="L445" s="46" t="s">
        <v>713</v>
      </c>
      <c r="M445" s="47" t="s">
        <v>731</v>
      </c>
      <c r="N445" s="47" t="s">
        <v>1802</v>
      </c>
      <c r="O445" s="48"/>
      <c r="P445" s="48"/>
      <c r="Q445" s="45"/>
      <c r="S445" s="1">
        <f t="shared" si="309"/>
        <v>0</v>
      </c>
      <c r="T445" s="1">
        <f t="shared" si="310"/>
        <v>0</v>
      </c>
      <c r="U445" s="1">
        <f t="shared" si="311"/>
        <v>0</v>
      </c>
      <c r="V445" s="1">
        <f t="shared" si="312"/>
        <v>0</v>
      </c>
      <c r="W445" s="1">
        <f t="shared" si="313"/>
        <v>0</v>
      </c>
      <c r="X445" s="1">
        <f t="shared" si="314"/>
        <v>0</v>
      </c>
      <c r="Y445" s="1">
        <f t="shared" si="315"/>
        <v>0</v>
      </c>
      <c r="Z445" s="1">
        <f t="shared" si="316"/>
        <v>0</v>
      </c>
      <c r="AA445" s="1">
        <f t="shared" si="317"/>
        <v>0</v>
      </c>
      <c r="AB445" s="1">
        <f t="shared" si="318"/>
        <v>0</v>
      </c>
      <c r="AD445" s="1">
        <f t="shared" si="319"/>
        <v>0</v>
      </c>
      <c r="AE445" s="1">
        <f t="shared" si="320"/>
        <v>0</v>
      </c>
      <c r="AF445" s="1">
        <f t="shared" si="289"/>
        <v>0</v>
      </c>
      <c r="AG445" s="1">
        <f t="shared" si="290"/>
        <v>0</v>
      </c>
      <c r="AH445" s="1">
        <f t="shared" si="291"/>
        <v>0</v>
      </c>
      <c r="AI445" s="1">
        <f t="shared" si="292"/>
        <v>0</v>
      </c>
    </row>
    <row r="446" spans="1:35" ht="14.25" customHeight="1" x14ac:dyDescent="0.3">
      <c r="A446" s="44">
        <v>0</v>
      </c>
      <c r="B446" s="44">
        <v>2</v>
      </c>
      <c r="C446" s="44">
        <v>7</v>
      </c>
      <c r="D446" s="45" t="s">
        <v>1185</v>
      </c>
      <c r="E446" s="45" t="s">
        <v>28</v>
      </c>
      <c r="F446" s="45" t="s">
        <v>1678</v>
      </c>
      <c r="G446" s="45" t="s">
        <v>235</v>
      </c>
      <c r="H446" s="45" t="s">
        <v>354</v>
      </c>
      <c r="I446" s="44" t="s">
        <v>1366</v>
      </c>
      <c r="J446" s="44">
        <v>99</v>
      </c>
      <c r="K446" s="46" t="s">
        <v>712</v>
      </c>
      <c r="L446" s="46" t="s">
        <v>713</v>
      </c>
      <c r="M446" s="47" t="s">
        <v>731</v>
      </c>
      <c r="N446" s="47" t="s">
        <v>1735</v>
      </c>
      <c r="O446" s="48"/>
      <c r="P446" s="48"/>
      <c r="Q446" s="45"/>
      <c r="S446" s="1">
        <f t="shared" si="309"/>
        <v>0</v>
      </c>
      <c r="T446" s="1">
        <f t="shared" si="310"/>
        <v>0</v>
      </c>
      <c r="U446" s="1">
        <f t="shared" si="311"/>
        <v>0</v>
      </c>
      <c r="V446" s="1">
        <f t="shared" si="312"/>
        <v>0</v>
      </c>
      <c r="W446" s="1">
        <f t="shared" si="313"/>
        <v>0</v>
      </c>
      <c r="X446" s="1">
        <f t="shared" si="314"/>
        <v>0</v>
      </c>
      <c r="Y446" s="1">
        <f t="shared" si="315"/>
        <v>0</v>
      </c>
      <c r="Z446" s="1">
        <f t="shared" si="316"/>
        <v>0</v>
      </c>
      <c r="AA446" s="1">
        <f t="shared" si="317"/>
        <v>0</v>
      </c>
      <c r="AB446" s="1">
        <f t="shared" si="318"/>
        <v>0</v>
      </c>
      <c r="AD446" s="1">
        <f t="shared" si="319"/>
        <v>0</v>
      </c>
      <c r="AE446" s="1">
        <f t="shared" si="320"/>
        <v>0</v>
      </c>
      <c r="AF446" s="1">
        <f t="shared" si="289"/>
        <v>0</v>
      </c>
      <c r="AG446" s="1">
        <f t="shared" si="290"/>
        <v>0</v>
      </c>
      <c r="AH446" s="1">
        <f t="shared" si="291"/>
        <v>0</v>
      </c>
      <c r="AI446" s="1">
        <f t="shared" si="292"/>
        <v>1</v>
      </c>
    </row>
    <row r="447" spans="1:35" ht="14.25" customHeight="1" x14ac:dyDescent="0.3">
      <c r="A447" s="44">
        <v>1</v>
      </c>
      <c r="B447" s="44">
        <v>2</v>
      </c>
      <c r="C447" s="44">
        <v>7</v>
      </c>
      <c r="D447" s="45" t="s">
        <v>1185</v>
      </c>
      <c r="E447" s="45" t="s">
        <v>28</v>
      </c>
      <c r="F447" s="45" t="s">
        <v>1679</v>
      </c>
      <c r="G447" s="45" t="s">
        <v>1352</v>
      </c>
      <c r="H447" s="45" t="s">
        <v>354</v>
      </c>
      <c r="I447" s="44" t="s">
        <v>1367</v>
      </c>
      <c r="J447" s="44">
        <v>99</v>
      </c>
      <c r="K447" s="46" t="s">
        <v>712</v>
      </c>
      <c r="L447" s="46" t="s">
        <v>713</v>
      </c>
      <c r="M447" s="47" t="s">
        <v>731</v>
      </c>
      <c r="N447" s="47" t="s">
        <v>1735</v>
      </c>
      <c r="O447" s="48"/>
      <c r="P447" s="48"/>
      <c r="Q447" s="45"/>
      <c r="S447" s="1">
        <f t="shared" si="309"/>
        <v>0</v>
      </c>
      <c r="T447" s="1">
        <f t="shared" si="310"/>
        <v>0</v>
      </c>
      <c r="U447" s="1">
        <f t="shared" si="311"/>
        <v>0</v>
      </c>
      <c r="V447" s="1">
        <f t="shared" si="312"/>
        <v>0</v>
      </c>
      <c r="W447" s="1">
        <f t="shared" si="313"/>
        <v>0</v>
      </c>
      <c r="X447" s="1">
        <f t="shared" si="314"/>
        <v>0</v>
      </c>
      <c r="Y447" s="1">
        <f t="shared" si="315"/>
        <v>0</v>
      </c>
      <c r="Z447" s="1">
        <f t="shared" si="316"/>
        <v>0</v>
      </c>
      <c r="AA447" s="1">
        <f t="shared" si="317"/>
        <v>0</v>
      </c>
      <c r="AB447" s="1">
        <f t="shared" si="318"/>
        <v>0</v>
      </c>
      <c r="AD447" s="1">
        <f t="shared" si="319"/>
        <v>0</v>
      </c>
      <c r="AE447" s="1">
        <f t="shared" si="320"/>
        <v>0</v>
      </c>
      <c r="AF447" s="1">
        <f t="shared" si="289"/>
        <v>0</v>
      </c>
      <c r="AG447" s="1">
        <f t="shared" si="290"/>
        <v>0</v>
      </c>
      <c r="AH447" s="1">
        <f t="shared" si="291"/>
        <v>0</v>
      </c>
      <c r="AI447" s="1">
        <f t="shared" si="292"/>
        <v>0</v>
      </c>
    </row>
    <row r="448" spans="1:35" ht="14.25" customHeight="1" x14ac:dyDescent="0.3">
      <c r="A448" s="31">
        <v>0</v>
      </c>
      <c r="B448" s="31">
        <v>2</v>
      </c>
      <c r="C448" s="31">
        <v>7</v>
      </c>
      <c r="D448" s="32" t="s">
        <v>1253</v>
      </c>
      <c r="E448" s="32" t="s">
        <v>28</v>
      </c>
      <c r="F448" s="32" t="s">
        <v>1252</v>
      </c>
      <c r="G448" s="32" t="s">
        <v>1237</v>
      </c>
      <c r="H448" s="32" t="s">
        <v>354</v>
      </c>
      <c r="I448" s="31" t="s">
        <v>1254</v>
      </c>
      <c r="J448" s="31">
        <v>99</v>
      </c>
      <c r="K448" s="33" t="s">
        <v>703</v>
      </c>
      <c r="L448" s="33" t="s">
        <v>713</v>
      </c>
      <c r="M448" s="34" t="s">
        <v>731</v>
      </c>
      <c r="N448" s="34" t="s">
        <v>1743</v>
      </c>
      <c r="O448" s="35">
        <v>1</v>
      </c>
      <c r="P448" s="35"/>
      <c r="Q448" s="32"/>
      <c r="S448" s="1">
        <f t="shared" si="309"/>
        <v>0</v>
      </c>
      <c r="T448" s="1">
        <f t="shared" si="310"/>
        <v>0</v>
      </c>
      <c r="U448" s="1">
        <f t="shared" si="311"/>
        <v>0</v>
      </c>
      <c r="V448" s="1">
        <f t="shared" si="312"/>
        <v>0</v>
      </c>
      <c r="W448" s="1">
        <f t="shared" si="313"/>
        <v>0</v>
      </c>
      <c r="X448" s="1">
        <f t="shared" si="314"/>
        <v>0</v>
      </c>
      <c r="Y448" s="1">
        <f t="shared" si="315"/>
        <v>0</v>
      </c>
      <c r="Z448" s="1">
        <f t="shared" si="316"/>
        <v>0</v>
      </c>
      <c r="AA448" s="1">
        <f t="shared" si="317"/>
        <v>0</v>
      </c>
      <c r="AB448" s="1">
        <f t="shared" si="318"/>
        <v>0</v>
      </c>
      <c r="AD448" s="1">
        <f t="shared" si="319"/>
        <v>0</v>
      </c>
      <c r="AE448" s="1">
        <f t="shared" si="320"/>
        <v>1</v>
      </c>
      <c r="AF448" s="1">
        <f t="shared" si="289"/>
        <v>0</v>
      </c>
      <c r="AG448" s="1">
        <f t="shared" si="290"/>
        <v>1</v>
      </c>
      <c r="AH448" s="1">
        <f t="shared" si="291"/>
        <v>0</v>
      </c>
      <c r="AI448" s="1">
        <f t="shared" si="292"/>
        <v>1</v>
      </c>
    </row>
    <row r="449" spans="1:35" ht="14.25" customHeight="1" x14ac:dyDescent="0.3">
      <c r="A449" s="31">
        <v>1</v>
      </c>
      <c r="B449" s="31">
        <v>2</v>
      </c>
      <c r="C449" s="31">
        <v>7</v>
      </c>
      <c r="D449" s="32" t="s">
        <v>1253</v>
      </c>
      <c r="E449" s="32" t="s">
        <v>28</v>
      </c>
      <c r="F449" s="32" t="s">
        <v>1251</v>
      </c>
      <c r="G449" s="32" t="s">
        <v>39</v>
      </c>
      <c r="H449" s="32" t="s">
        <v>354</v>
      </c>
      <c r="I449" s="31" t="s">
        <v>1255</v>
      </c>
      <c r="J449" s="31">
        <v>9</v>
      </c>
      <c r="K449" s="33" t="s">
        <v>703</v>
      </c>
      <c r="L449" s="33" t="s">
        <v>713</v>
      </c>
      <c r="M449" s="34" t="s">
        <v>731</v>
      </c>
      <c r="N449" s="34" t="s">
        <v>1743</v>
      </c>
      <c r="O449" s="35">
        <v>1</v>
      </c>
      <c r="P449" s="35"/>
      <c r="Q449" s="32"/>
      <c r="S449" s="1">
        <f t="shared" si="309"/>
        <v>0</v>
      </c>
      <c r="T449" s="1">
        <f t="shared" si="310"/>
        <v>0</v>
      </c>
      <c r="U449" s="1">
        <f t="shared" si="311"/>
        <v>0</v>
      </c>
      <c r="V449" s="1">
        <f t="shared" si="312"/>
        <v>0</v>
      </c>
      <c r="W449" s="1">
        <f t="shared" si="313"/>
        <v>0</v>
      </c>
      <c r="X449" s="1">
        <f t="shared" si="314"/>
        <v>0</v>
      </c>
      <c r="Y449" s="1">
        <f t="shared" si="315"/>
        <v>0</v>
      </c>
      <c r="Z449" s="1">
        <f t="shared" si="316"/>
        <v>0</v>
      </c>
      <c r="AA449" s="1">
        <f t="shared" si="317"/>
        <v>1</v>
      </c>
      <c r="AB449" s="1">
        <f t="shared" si="318"/>
        <v>0</v>
      </c>
      <c r="AD449" s="1">
        <f t="shared" si="319"/>
        <v>0</v>
      </c>
      <c r="AE449" s="1">
        <f t="shared" si="320"/>
        <v>1</v>
      </c>
      <c r="AF449" s="1">
        <f t="shared" si="289"/>
        <v>0</v>
      </c>
      <c r="AG449" s="1">
        <f t="shared" si="290"/>
        <v>0</v>
      </c>
      <c r="AH449" s="1">
        <f t="shared" si="291"/>
        <v>0</v>
      </c>
      <c r="AI449" s="1">
        <f t="shared" si="292"/>
        <v>0</v>
      </c>
    </row>
    <row r="450" spans="1:35" ht="14.25" customHeight="1" x14ac:dyDescent="0.3">
      <c r="A450" s="31">
        <v>1</v>
      </c>
      <c r="B450" s="31">
        <v>2</v>
      </c>
      <c r="C450" s="31">
        <v>7</v>
      </c>
      <c r="D450" s="32" t="s">
        <v>1253</v>
      </c>
      <c r="E450" s="32" t="s">
        <v>28</v>
      </c>
      <c r="F450" s="36" t="s">
        <v>1824</v>
      </c>
      <c r="G450" s="36" t="s">
        <v>258</v>
      </c>
      <c r="H450" s="32" t="s">
        <v>354</v>
      </c>
      <c r="I450" s="37" t="s">
        <v>30</v>
      </c>
      <c r="J450" s="31">
        <v>8</v>
      </c>
      <c r="K450" s="33" t="s">
        <v>703</v>
      </c>
      <c r="L450" s="33" t="s">
        <v>713</v>
      </c>
      <c r="M450" s="34" t="s">
        <v>731</v>
      </c>
      <c r="N450" s="34" t="s">
        <v>1743</v>
      </c>
      <c r="O450" s="35">
        <v>1</v>
      </c>
      <c r="P450" s="35"/>
      <c r="Q450" s="32"/>
      <c r="S450" s="1">
        <f t="shared" si="309"/>
        <v>0</v>
      </c>
      <c r="T450" s="1">
        <f t="shared" si="310"/>
        <v>0</v>
      </c>
      <c r="U450" s="1">
        <f t="shared" si="311"/>
        <v>0</v>
      </c>
      <c r="V450" s="1">
        <f t="shared" si="312"/>
        <v>0</v>
      </c>
      <c r="W450" s="1">
        <f t="shared" si="313"/>
        <v>0</v>
      </c>
      <c r="X450" s="1">
        <f t="shared" si="314"/>
        <v>0</v>
      </c>
      <c r="Y450" s="1">
        <f t="shared" si="315"/>
        <v>0</v>
      </c>
      <c r="Z450" s="1">
        <f t="shared" si="316"/>
        <v>1</v>
      </c>
      <c r="AA450" s="1">
        <f t="shared" si="317"/>
        <v>0</v>
      </c>
      <c r="AB450" s="1">
        <f t="shared" si="318"/>
        <v>0</v>
      </c>
      <c r="AD450" s="1">
        <f t="shared" si="319"/>
        <v>0</v>
      </c>
      <c r="AE450" s="1">
        <f t="shared" si="320"/>
        <v>1</v>
      </c>
      <c r="AF450" s="1">
        <f t="shared" si="289"/>
        <v>0</v>
      </c>
      <c r="AG450" s="1">
        <f t="shared" si="290"/>
        <v>0</v>
      </c>
      <c r="AH450" s="1">
        <f t="shared" si="291"/>
        <v>0</v>
      </c>
      <c r="AI450" s="1">
        <f t="shared" si="292"/>
        <v>0</v>
      </c>
    </row>
    <row r="451" spans="1:35" ht="14.25" customHeight="1" x14ac:dyDescent="0.3">
      <c r="A451" s="31">
        <v>0</v>
      </c>
      <c r="B451" s="31">
        <v>2</v>
      </c>
      <c r="C451" s="31">
        <v>7</v>
      </c>
      <c r="D451" s="32" t="s">
        <v>51</v>
      </c>
      <c r="E451" s="32" t="s">
        <v>28</v>
      </c>
      <c r="F451" s="32" t="s">
        <v>674</v>
      </c>
      <c r="G451" s="32" t="s">
        <v>185</v>
      </c>
      <c r="H451" s="32" t="s">
        <v>354</v>
      </c>
      <c r="I451" s="31" t="s">
        <v>390</v>
      </c>
      <c r="J451" s="31">
        <v>99</v>
      </c>
      <c r="K451" s="33" t="s">
        <v>712</v>
      </c>
      <c r="L451" s="33" t="s">
        <v>713</v>
      </c>
      <c r="M451" s="34" t="s">
        <v>731</v>
      </c>
      <c r="N451" s="34" t="s">
        <v>1749</v>
      </c>
      <c r="O451" s="35">
        <v>1</v>
      </c>
      <c r="P451" s="35"/>
      <c r="Q451" s="32"/>
      <c r="S451" s="1">
        <f t="shared" si="309"/>
        <v>0</v>
      </c>
      <c r="T451" s="1">
        <f t="shared" si="310"/>
        <v>0</v>
      </c>
      <c r="U451" s="1">
        <f t="shared" si="311"/>
        <v>0</v>
      </c>
      <c r="V451" s="1">
        <f t="shared" si="312"/>
        <v>0</v>
      </c>
      <c r="W451" s="1">
        <f t="shared" si="313"/>
        <v>0</v>
      </c>
      <c r="X451" s="1">
        <f t="shared" si="314"/>
        <v>0</v>
      </c>
      <c r="Y451" s="1">
        <f t="shared" si="315"/>
        <v>0</v>
      </c>
      <c r="Z451" s="1">
        <f t="shared" si="316"/>
        <v>0</v>
      </c>
      <c r="AA451" s="1">
        <f t="shared" si="317"/>
        <v>0</v>
      </c>
      <c r="AB451" s="1">
        <f t="shared" si="318"/>
        <v>0</v>
      </c>
      <c r="AD451" s="1">
        <f t="shared" si="319"/>
        <v>0</v>
      </c>
      <c r="AE451" s="1">
        <f t="shared" si="320"/>
        <v>1</v>
      </c>
      <c r="AF451" s="1">
        <f t="shared" si="289"/>
        <v>0</v>
      </c>
      <c r="AG451" s="1">
        <f t="shared" si="290"/>
        <v>1</v>
      </c>
      <c r="AH451" s="1">
        <f t="shared" si="291"/>
        <v>0</v>
      </c>
      <c r="AI451" s="1">
        <f t="shared" si="292"/>
        <v>1</v>
      </c>
    </row>
    <row r="452" spans="1:35" ht="14.25" customHeight="1" x14ac:dyDescent="0.3">
      <c r="A452" s="44">
        <v>0</v>
      </c>
      <c r="B452" s="44">
        <v>2</v>
      </c>
      <c r="C452" s="44">
        <v>7</v>
      </c>
      <c r="D452" s="45" t="s">
        <v>1081</v>
      </c>
      <c r="E452" s="45" t="s">
        <v>28</v>
      </c>
      <c r="F452" s="45" t="s">
        <v>998</v>
      </c>
      <c r="G452" s="45" t="s">
        <v>240</v>
      </c>
      <c r="H452" s="45" t="s">
        <v>354</v>
      </c>
      <c r="I452" s="44" t="s">
        <v>1106</v>
      </c>
      <c r="J452" s="44">
        <v>1</v>
      </c>
      <c r="K452" s="46" t="s">
        <v>712</v>
      </c>
      <c r="L452" s="46" t="s">
        <v>713</v>
      </c>
      <c r="M452" s="47" t="s">
        <v>731</v>
      </c>
      <c r="N452" s="47" t="s">
        <v>1735</v>
      </c>
      <c r="O452" s="48"/>
      <c r="P452" s="48"/>
      <c r="Q452" s="45"/>
      <c r="S452" s="1">
        <f t="shared" si="309"/>
        <v>1</v>
      </c>
      <c r="T452" s="1">
        <f t="shared" si="310"/>
        <v>0</v>
      </c>
      <c r="U452" s="1">
        <f t="shared" si="311"/>
        <v>0</v>
      </c>
      <c r="V452" s="1">
        <f t="shared" si="312"/>
        <v>0</v>
      </c>
      <c r="W452" s="1">
        <f t="shared" si="313"/>
        <v>0</v>
      </c>
      <c r="X452" s="1">
        <f t="shared" si="314"/>
        <v>0</v>
      </c>
      <c r="Y452" s="1">
        <f t="shared" si="315"/>
        <v>0</v>
      </c>
      <c r="Z452" s="1">
        <f t="shared" si="316"/>
        <v>0</v>
      </c>
      <c r="AA452" s="1">
        <f t="shared" si="317"/>
        <v>0</v>
      </c>
      <c r="AB452" s="1">
        <f t="shared" si="318"/>
        <v>0</v>
      </c>
      <c r="AD452" s="1">
        <f t="shared" si="319"/>
        <v>0</v>
      </c>
      <c r="AE452" s="1">
        <f t="shared" si="320"/>
        <v>0</v>
      </c>
      <c r="AF452" s="1">
        <f t="shared" si="289"/>
        <v>0</v>
      </c>
      <c r="AG452" s="1">
        <f t="shared" si="290"/>
        <v>0</v>
      </c>
      <c r="AH452" s="1">
        <f t="shared" si="291"/>
        <v>0</v>
      </c>
      <c r="AI452" s="1">
        <f t="shared" si="292"/>
        <v>1</v>
      </c>
    </row>
    <row r="453" spans="1:35" ht="14.25" customHeight="1" x14ac:dyDescent="0.3">
      <c r="A453" s="44">
        <v>1</v>
      </c>
      <c r="B453" s="44">
        <v>2</v>
      </c>
      <c r="C453" s="44">
        <v>7</v>
      </c>
      <c r="D453" s="45" t="s">
        <v>1081</v>
      </c>
      <c r="E453" s="45" t="s">
        <v>28</v>
      </c>
      <c r="F453" s="45" t="s">
        <v>999</v>
      </c>
      <c r="G453" s="45" t="s">
        <v>1099</v>
      </c>
      <c r="H453" s="45" t="s">
        <v>354</v>
      </c>
      <c r="I453" s="44" t="s">
        <v>1107</v>
      </c>
      <c r="J453" s="44">
        <v>1</v>
      </c>
      <c r="K453" s="46" t="s">
        <v>712</v>
      </c>
      <c r="L453" s="46" t="s">
        <v>713</v>
      </c>
      <c r="M453" s="47" t="s">
        <v>731</v>
      </c>
      <c r="N453" s="47" t="s">
        <v>1735</v>
      </c>
      <c r="O453" s="48"/>
      <c r="P453" s="48"/>
      <c r="Q453" s="45"/>
      <c r="S453" s="1">
        <f t="shared" si="309"/>
        <v>1</v>
      </c>
      <c r="T453" s="1">
        <f t="shared" si="310"/>
        <v>0</v>
      </c>
      <c r="U453" s="1">
        <f t="shared" si="311"/>
        <v>0</v>
      </c>
      <c r="V453" s="1">
        <f t="shared" si="312"/>
        <v>0</v>
      </c>
      <c r="W453" s="1">
        <f t="shared" si="313"/>
        <v>0</v>
      </c>
      <c r="X453" s="1">
        <f t="shared" si="314"/>
        <v>0</v>
      </c>
      <c r="Y453" s="1">
        <f t="shared" si="315"/>
        <v>0</v>
      </c>
      <c r="Z453" s="1">
        <f t="shared" si="316"/>
        <v>0</v>
      </c>
      <c r="AA453" s="1">
        <f t="shared" si="317"/>
        <v>0</v>
      </c>
      <c r="AB453" s="1">
        <f t="shared" si="318"/>
        <v>0</v>
      </c>
      <c r="AD453" s="1">
        <f t="shared" si="319"/>
        <v>0</v>
      </c>
      <c r="AE453" s="1">
        <f t="shared" si="320"/>
        <v>0</v>
      </c>
      <c r="AF453" s="1">
        <f t="shared" si="289"/>
        <v>0</v>
      </c>
      <c r="AG453" s="1">
        <f t="shared" si="290"/>
        <v>0</v>
      </c>
      <c r="AH453" s="1">
        <f t="shared" si="291"/>
        <v>0</v>
      </c>
      <c r="AI453" s="1">
        <f t="shared" si="292"/>
        <v>0</v>
      </c>
    </row>
    <row r="454" spans="1:35" ht="14.25" customHeight="1" x14ac:dyDescent="0.3">
      <c r="A454" s="31">
        <v>0</v>
      </c>
      <c r="B454" s="31">
        <v>2</v>
      </c>
      <c r="C454" s="31">
        <v>7</v>
      </c>
      <c r="D454" s="32" t="s">
        <v>1638</v>
      </c>
      <c r="E454" s="32" t="s">
        <v>156</v>
      </c>
      <c r="F454" s="32" t="s">
        <v>1491</v>
      </c>
      <c r="G454" s="32" t="s">
        <v>1492</v>
      </c>
      <c r="H454" s="32" t="s">
        <v>354</v>
      </c>
      <c r="I454" s="31" t="s">
        <v>1493</v>
      </c>
      <c r="J454" s="31">
        <v>99</v>
      </c>
      <c r="K454" s="33" t="s">
        <v>955</v>
      </c>
      <c r="L454" s="33" t="s">
        <v>722</v>
      </c>
      <c r="M454" s="34" t="s">
        <v>732</v>
      </c>
      <c r="N454" s="34" t="s">
        <v>1748</v>
      </c>
      <c r="O454" s="35">
        <v>1</v>
      </c>
      <c r="P454" s="35"/>
      <c r="Q454" s="32"/>
      <c r="S454" s="1">
        <f t="shared" si="309"/>
        <v>0</v>
      </c>
      <c r="T454" s="1">
        <f t="shared" si="310"/>
        <v>0</v>
      </c>
      <c r="U454" s="1">
        <f t="shared" si="311"/>
        <v>0</v>
      </c>
      <c r="V454" s="1">
        <f t="shared" si="312"/>
        <v>0</v>
      </c>
      <c r="W454" s="1">
        <f t="shared" si="313"/>
        <v>0</v>
      </c>
      <c r="X454" s="1">
        <f t="shared" si="314"/>
        <v>0</v>
      </c>
      <c r="Y454" s="1">
        <f t="shared" si="315"/>
        <v>0</v>
      </c>
      <c r="Z454" s="1">
        <f t="shared" si="316"/>
        <v>0</v>
      </c>
      <c r="AA454" s="1">
        <f t="shared" si="317"/>
        <v>0</v>
      </c>
      <c r="AB454" s="1">
        <f t="shared" si="318"/>
        <v>0</v>
      </c>
      <c r="AD454" s="1">
        <f t="shared" si="319"/>
        <v>0</v>
      </c>
      <c r="AE454" s="1">
        <f t="shared" si="320"/>
        <v>1</v>
      </c>
      <c r="AF454" s="1">
        <f t="shared" si="289"/>
        <v>0</v>
      </c>
      <c r="AG454" s="1">
        <f t="shared" si="290"/>
        <v>1</v>
      </c>
      <c r="AH454" s="1">
        <f t="shared" si="291"/>
        <v>0</v>
      </c>
      <c r="AI454" s="1">
        <f t="shared" si="292"/>
        <v>1</v>
      </c>
    </row>
    <row r="455" spans="1:35" ht="14.25" customHeight="1" x14ac:dyDescent="0.3">
      <c r="A455" s="44">
        <v>0</v>
      </c>
      <c r="B455" s="44">
        <v>2</v>
      </c>
      <c r="C455" s="44">
        <v>7</v>
      </c>
      <c r="D455" s="45" t="s">
        <v>82</v>
      </c>
      <c r="E455" s="45" t="s">
        <v>28</v>
      </c>
      <c r="F455" s="45" t="s">
        <v>274</v>
      </c>
      <c r="G455" s="45" t="s">
        <v>275</v>
      </c>
      <c r="H455" s="45" t="s">
        <v>354</v>
      </c>
      <c r="I455" s="44" t="s">
        <v>429</v>
      </c>
      <c r="J455" s="44">
        <v>7</v>
      </c>
      <c r="K455" s="46" t="s">
        <v>955</v>
      </c>
      <c r="L455" s="46" t="s">
        <v>954</v>
      </c>
      <c r="M455" s="47" t="s">
        <v>968</v>
      </c>
      <c r="N455" s="47" t="s">
        <v>1809</v>
      </c>
      <c r="O455" s="48"/>
      <c r="P455" s="48"/>
      <c r="Q455" s="45"/>
      <c r="S455" s="1">
        <f t="shared" si="309"/>
        <v>0</v>
      </c>
      <c r="T455" s="1">
        <f t="shared" si="310"/>
        <v>0</v>
      </c>
      <c r="U455" s="1">
        <f t="shared" si="311"/>
        <v>0</v>
      </c>
      <c r="V455" s="1">
        <f t="shared" si="312"/>
        <v>0</v>
      </c>
      <c r="W455" s="1">
        <f t="shared" si="313"/>
        <v>0</v>
      </c>
      <c r="X455" s="1">
        <f t="shared" si="314"/>
        <v>0</v>
      </c>
      <c r="Y455" s="1">
        <f t="shared" si="315"/>
        <v>1</v>
      </c>
      <c r="Z455" s="1">
        <f t="shared" si="316"/>
        <v>0</v>
      </c>
      <c r="AA455" s="1">
        <f t="shared" si="317"/>
        <v>0</v>
      </c>
      <c r="AB455" s="1">
        <f t="shared" si="318"/>
        <v>0</v>
      </c>
      <c r="AD455" s="1">
        <f t="shared" si="319"/>
        <v>0</v>
      </c>
      <c r="AE455" s="1">
        <f t="shared" si="320"/>
        <v>0</v>
      </c>
      <c r="AF455" s="1">
        <f t="shared" si="289"/>
        <v>0</v>
      </c>
      <c r="AG455" s="1">
        <f t="shared" si="290"/>
        <v>0</v>
      </c>
      <c r="AH455" s="1">
        <f t="shared" si="291"/>
        <v>0</v>
      </c>
      <c r="AI455" s="1">
        <f t="shared" si="292"/>
        <v>1</v>
      </c>
    </row>
    <row r="456" spans="1:35" ht="14.25" customHeight="1" x14ac:dyDescent="0.3">
      <c r="A456" s="44">
        <v>0</v>
      </c>
      <c r="B456" s="44">
        <v>2</v>
      </c>
      <c r="C456" s="44">
        <v>7</v>
      </c>
      <c r="D456" s="45" t="s">
        <v>76</v>
      </c>
      <c r="E456" s="45" t="s">
        <v>28</v>
      </c>
      <c r="F456" s="45" t="s">
        <v>1681</v>
      </c>
      <c r="G456" s="45" t="s">
        <v>190</v>
      </c>
      <c r="H456" s="45" t="s">
        <v>354</v>
      </c>
      <c r="I456" s="44" t="s">
        <v>423</v>
      </c>
      <c r="J456" s="44">
        <v>99</v>
      </c>
      <c r="K456" s="46" t="s">
        <v>954</v>
      </c>
      <c r="L456" s="46" t="s">
        <v>713</v>
      </c>
      <c r="M456" s="47" t="s">
        <v>731</v>
      </c>
      <c r="N456" s="47" t="s">
        <v>1735</v>
      </c>
      <c r="O456" s="48"/>
      <c r="P456" s="48"/>
      <c r="Q456" s="45"/>
      <c r="S456" s="1">
        <f t="shared" si="309"/>
        <v>0</v>
      </c>
      <c r="T456" s="1">
        <f t="shared" si="310"/>
        <v>0</v>
      </c>
      <c r="U456" s="1">
        <f t="shared" si="311"/>
        <v>0</v>
      </c>
      <c r="V456" s="1">
        <f t="shared" si="312"/>
        <v>0</v>
      </c>
      <c r="W456" s="1">
        <f t="shared" si="313"/>
        <v>0</v>
      </c>
      <c r="X456" s="1">
        <f t="shared" si="314"/>
        <v>0</v>
      </c>
      <c r="Y456" s="1">
        <f t="shared" si="315"/>
        <v>0</v>
      </c>
      <c r="Z456" s="1">
        <f t="shared" si="316"/>
        <v>0</v>
      </c>
      <c r="AA456" s="1">
        <f t="shared" si="317"/>
        <v>0</v>
      </c>
      <c r="AB456" s="1">
        <f t="shared" si="318"/>
        <v>0</v>
      </c>
      <c r="AD456" s="1">
        <f t="shared" si="319"/>
        <v>0</v>
      </c>
      <c r="AE456" s="1">
        <f t="shared" si="320"/>
        <v>0</v>
      </c>
      <c r="AF456" s="1">
        <f t="shared" si="289"/>
        <v>0</v>
      </c>
      <c r="AG456" s="1">
        <f t="shared" si="290"/>
        <v>0</v>
      </c>
      <c r="AH456" s="1">
        <f t="shared" si="291"/>
        <v>0</v>
      </c>
      <c r="AI456" s="1">
        <f t="shared" si="292"/>
        <v>1</v>
      </c>
    </row>
    <row r="457" spans="1:35" ht="14.25" customHeight="1" x14ac:dyDescent="0.3">
      <c r="A457" s="31">
        <v>0</v>
      </c>
      <c r="B457" s="31">
        <v>2</v>
      </c>
      <c r="C457" s="31">
        <v>7</v>
      </c>
      <c r="D457" s="36" t="s">
        <v>2033</v>
      </c>
      <c r="E457" s="32" t="s">
        <v>2037</v>
      </c>
      <c r="F457" s="36" t="s">
        <v>2034</v>
      </c>
      <c r="G457" s="36" t="s">
        <v>2035</v>
      </c>
      <c r="H457" s="36" t="s">
        <v>354</v>
      </c>
      <c r="I457" s="37" t="s">
        <v>2036</v>
      </c>
      <c r="J457" s="31">
        <v>99</v>
      </c>
      <c r="K457" s="33" t="s">
        <v>703</v>
      </c>
      <c r="L457" s="33">
        <v>20</v>
      </c>
      <c r="M457" s="34" t="s">
        <v>2039</v>
      </c>
      <c r="N457" s="34" t="s">
        <v>1748</v>
      </c>
      <c r="O457" s="35">
        <v>1</v>
      </c>
      <c r="P457" s="35"/>
      <c r="Q457" s="36" t="s">
        <v>2038</v>
      </c>
      <c r="S457" s="1">
        <f t="shared" si="309"/>
        <v>0</v>
      </c>
      <c r="T457" s="1">
        <f t="shared" si="310"/>
        <v>0</v>
      </c>
      <c r="U457" s="1">
        <f t="shared" si="311"/>
        <v>0</v>
      </c>
      <c r="V457" s="1">
        <f t="shared" si="312"/>
        <v>0</v>
      </c>
      <c r="W457" s="1">
        <f t="shared" si="313"/>
        <v>0</v>
      </c>
      <c r="X457" s="1">
        <f t="shared" si="314"/>
        <v>0</v>
      </c>
      <c r="Y457" s="1">
        <f t="shared" si="315"/>
        <v>0</v>
      </c>
      <c r="Z457" s="1">
        <f t="shared" si="316"/>
        <v>0</v>
      </c>
      <c r="AA457" s="1">
        <f t="shared" si="317"/>
        <v>0</v>
      </c>
      <c r="AB457" s="1">
        <f t="shared" si="318"/>
        <v>0</v>
      </c>
      <c r="AD457" s="1">
        <f t="shared" ref="AD457:AD460" si="337">+O457*P457</f>
        <v>0</v>
      </c>
      <c r="AE457" s="1">
        <f t="shared" ref="AE457:AE460" si="338">O457*(1-P457)</f>
        <v>1</v>
      </c>
      <c r="AF457" s="1">
        <f t="shared" ref="AF457:AF460" si="339">+O457*P457*(1-A457)</f>
        <v>0</v>
      </c>
      <c r="AG457" s="1">
        <f t="shared" ref="AG457:AG460" si="340">O457*(1-P457)*(1-A457)</f>
        <v>1</v>
      </c>
      <c r="AH457" s="1">
        <f t="shared" ref="AH457:AH460" si="341">+P457*(1-A457)</f>
        <v>0</v>
      </c>
      <c r="AI457" s="1">
        <f t="shared" ref="AI457:AI460" si="342">+(1-A457)*(1-P457)</f>
        <v>1</v>
      </c>
    </row>
    <row r="458" spans="1:35" ht="14.25" customHeight="1" x14ac:dyDescent="0.3">
      <c r="A458" s="31">
        <v>0</v>
      </c>
      <c r="B458" s="31">
        <v>2</v>
      </c>
      <c r="C458" s="31">
        <v>7</v>
      </c>
      <c r="D458" s="32" t="s">
        <v>1640</v>
      </c>
      <c r="E458" s="32" t="s">
        <v>163</v>
      </c>
      <c r="F458" s="32" t="s">
        <v>244</v>
      </c>
      <c r="G458" s="32" t="s">
        <v>218</v>
      </c>
      <c r="H458" s="32" t="s">
        <v>354</v>
      </c>
      <c r="I458" s="31" t="s">
        <v>408</v>
      </c>
      <c r="J458" s="31">
        <v>99</v>
      </c>
      <c r="K458" s="33" t="s">
        <v>713</v>
      </c>
      <c r="L458" s="33" t="s">
        <v>722</v>
      </c>
      <c r="M458" s="34" t="s">
        <v>732</v>
      </c>
      <c r="N458" s="34" t="s">
        <v>1727</v>
      </c>
      <c r="O458" s="35">
        <v>1</v>
      </c>
      <c r="P458" s="35">
        <v>1</v>
      </c>
      <c r="Q458" s="32"/>
      <c r="S458" s="1">
        <f t="shared" si="309"/>
        <v>0</v>
      </c>
      <c r="T458" s="1">
        <f t="shared" si="310"/>
        <v>0</v>
      </c>
      <c r="U458" s="1">
        <f t="shared" si="311"/>
        <v>0</v>
      </c>
      <c r="V458" s="1">
        <f t="shared" si="312"/>
        <v>0</v>
      </c>
      <c r="W458" s="1">
        <f t="shared" si="313"/>
        <v>0</v>
      </c>
      <c r="X458" s="1">
        <f t="shared" si="314"/>
        <v>0</v>
      </c>
      <c r="Y458" s="1">
        <f t="shared" si="315"/>
        <v>0</v>
      </c>
      <c r="Z458" s="1">
        <f t="shared" si="316"/>
        <v>0</v>
      </c>
      <c r="AA458" s="1">
        <f t="shared" si="317"/>
        <v>0</v>
      </c>
      <c r="AB458" s="1">
        <f t="shared" si="318"/>
        <v>0</v>
      </c>
      <c r="AD458" s="1">
        <f t="shared" si="337"/>
        <v>1</v>
      </c>
      <c r="AE458" s="1">
        <f t="shared" si="338"/>
        <v>0</v>
      </c>
      <c r="AF458" s="1">
        <f t="shared" si="339"/>
        <v>1</v>
      </c>
      <c r="AG458" s="1">
        <f t="shared" si="340"/>
        <v>0</v>
      </c>
      <c r="AH458" s="1">
        <f t="shared" si="341"/>
        <v>1</v>
      </c>
      <c r="AI458" s="1">
        <f t="shared" si="342"/>
        <v>0</v>
      </c>
    </row>
    <row r="459" spans="1:35" ht="14.25" customHeight="1" x14ac:dyDescent="0.3">
      <c r="A459" s="31">
        <v>0</v>
      </c>
      <c r="B459" s="31">
        <v>2</v>
      </c>
      <c r="C459" s="31">
        <v>7</v>
      </c>
      <c r="D459" s="32" t="s">
        <v>1538</v>
      </c>
      <c r="E459" s="32" t="s">
        <v>156</v>
      </c>
      <c r="F459" s="32" t="s">
        <v>1539</v>
      </c>
      <c r="G459" s="32" t="s">
        <v>39</v>
      </c>
      <c r="H459" s="32" t="s">
        <v>354</v>
      </c>
      <c r="I459" s="31" t="s">
        <v>1540</v>
      </c>
      <c r="J459" s="31">
        <v>99</v>
      </c>
      <c r="K459" s="33" t="s">
        <v>713</v>
      </c>
      <c r="L459" s="33" t="s">
        <v>722</v>
      </c>
      <c r="M459" s="34" t="s">
        <v>732</v>
      </c>
      <c r="N459" s="34" t="s">
        <v>1748</v>
      </c>
      <c r="O459" s="35">
        <v>1</v>
      </c>
      <c r="P459" s="35"/>
      <c r="Q459" s="32"/>
      <c r="S459" s="1">
        <f t="shared" si="309"/>
        <v>0</v>
      </c>
      <c r="T459" s="1">
        <f t="shared" si="310"/>
        <v>0</v>
      </c>
      <c r="U459" s="1">
        <f t="shared" si="311"/>
        <v>0</v>
      </c>
      <c r="V459" s="1">
        <f t="shared" si="312"/>
        <v>0</v>
      </c>
      <c r="W459" s="1">
        <f t="shared" si="313"/>
        <v>0</v>
      </c>
      <c r="X459" s="1">
        <f t="shared" si="314"/>
        <v>0</v>
      </c>
      <c r="Y459" s="1">
        <f t="shared" si="315"/>
        <v>0</v>
      </c>
      <c r="Z459" s="1">
        <f t="shared" si="316"/>
        <v>0</v>
      </c>
      <c r="AA459" s="1">
        <f t="shared" si="317"/>
        <v>0</v>
      </c>
      <c r="AB459" s="1">
        <f t="shared" si="318"/>
        <v>0</v>
      </c>
      <c r="AD459" s="1">
        <f t="shared" si="337"/>
        <v>0</v>
      </c>
      <c r="AE459" s="1">
        <f t="shared" si="338"/>
        <v>1</v>
      </c>
      <c r="AF459" s="1">
        <f t="shared" si="339"/>
        <v>0</v>
      </c>
      <c r="AG459" s="1">
        <f t="shared" si="340"/>
        <v>1</v>
      </c>
      <c r="AH459" s="1">
        <f t="shared" si="341"/>
        <v>0</v>
      </c>
      <c r="AI459" s="1">
        <f t="shared" si="342"/>
        <v>1</v>
      </c>
    </row>
    <row r="460" spans="1:35" ht="14.25" customHeight="1" x14ac:dyDescent="0.3">
      <c r="A460" s="44">
        <v>0</v>
      </c>
      <c r="B460" s="44">
        <v>2</v>
      </c>
      <c r="C460" s="44">
        <v>7</v>
      </c>
      <c r="D460" s="45" t="s">
        <v>1262</v>
      </c>
      <c r="E460" s="45" t="s">
        <v>1524</v>
      </c>
      <c r="F460" s="45" t="s">
        <v>1355</v>
      </c>
      <c r="G460" s="45" t="s">
        <v>186</v>
      </c>
      <c r="H460" s="45" t="s">
        <v>354</v>
      </c>
      <c r="I460" s="44" t="s">
        <v>1368</v>
      </c>
      <c r="J460" s="44">
        <v>1</v>
      </c>
      <c r="K460" s="46" t="s">
        <v>713</v>
      </c>
      <c r="L460" s="46" t="s">
        <v>716</v>
      </c>
      <c r="M460" s="47" t="s">
        <v>1438</v>
      </c>
      <c r="N460" s="47" t="s">
        <v>1735</v>
      </c>
      <c r="O460" s="48"/>
      <c r="P460" s="48"/>
      <c r="Q460" s="45"/>
      <c r="S460" s="1">
        <f t="shared" si="309"/>
        <v>1</v>
      </c>
      <c r="T460" s="1">
        <f t="shared" si="310"/>
        <v>0</v>
      </c>
      <c r="U460" s="1">
        <f t="shared" si="311"/>
        <v>0</v>
      </c>
      <c r="V460" s="1">
        <f t="shared" si="312"/>
        <v>0</v>
      </c>
      <c r="W460" s="1">
        <f t="shared" si="313"/>
        <v>0</v>
      </c>
      <c r="X460" s="1">
        <f t="shared" si="314"/>
        <v>0</v>
      </c>
      <c r="Y460" s="1">
        <f t="shared" si="315"/>
        <v>0</v>
      </c>
      <c r="Z460" s="1">
        <f t="shared" si="316"/>
        <v>0</v>
      </c>
      <c r="AA460" s="1">
        <f t="shared" si="317"/>
        <v>0</v>
      </c>
      <c r="AB460" s="1">
        <f t="shared" si="318"/>
        <v>0</v>
      </c>
      <c r="AD460" s="1">
        <f t="shared" si="337"/>
        <v>0</v>
      </c>
      <c r="AE460" s="1">
        <f t="shared" si="338"/>
        <v>0</v>
      </c>
      <c r="AF460" s="1">
        <f t="shared" si="339"/>
        <v>0</v>
      </c>
      <c r="AG460" s="1">
        <f t="shared" si="340"/>
        <v>0</v>
      </c>
      <c r="AH460" s="1">
        <f t="shared" si="341"/>
        <v>0</v>
      </c>
      <c r="AI460" s="1">
        <f t="shared" si="342"/>
        <v>1</v>
      </c>
    </row>
    <row r="461" spans="1:35" ht="14.25" customHeight="1" x14ac:dyDescent="0.3">
      <c r="A461" s="31">
        <v>0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974</v>
      </c>
      <c r="G461" s="32" t="s">
        <v>1101</v>
      </c>
      <c r="H461" s="32" t="s">
        <v>354</v>
      </c>
      <c r="I461" s="31" t="s">
        <v>1108</v>
      </c>
      <c r="J461" s="31">
        <v>99</v>
      </c>
      <c r="K461" s="33" t="s">
        <v>713</v>
      </c>
      <c r="L461" s="33" t="s">
        <v>713</v>
      </c>
      <c r="M461" s="34" t="s">
        <v>731</v>
      </c>
      <c r="N461" s="34" t="s">
        <v>1743</v>
      </c>
      <c r="O461" s="35">
        <v>1</v>
      </c>
      <c r="P461" s="35"/>
      <c r="Q461" s="32"/>
      <c r="S461" s="1">
        <f t="shared" si="309"/>
        <v>0</v>
      </c>
      <c r="T461" s="1">
        <f t="shared" si="310"/>
        <v>0</v>
      </c>
      <c r="U461" s="1">
        <f t="shared" si="311"/>
        <v>0</v>
      </c>
      <c r="V461" s="1">
        <f t="shared" si="312"/>
        <v>0</v>
      </c>
      <c r="W461" s="1">
        <f t="shared" si="313"/>
        <v>0</v>
      </c>
      <c r="X461" s="1">
        <f t="shared" si="314"/>
        <v>0</v>
      </c>
      <c r="Y461" s="1">
        <f t="shared" si="315"/>
        <v>0</v>
      </c>
      <c r="Z461" s="1">
        <f t="shared" si="316"/>
        <v>0</v>
      </c>
      <c r="AA461" s="1">
        <f t="shared" si="317"/>
        <v>0</v>
      </c>
      <c r="AB461" s="1">
        <f t="shared" si="318"/>
        <v>0</v>
      </c>
      <c r="AD461" s="1">
        <f t="shared" si="319"/>
        <v>0</v>
      </c>
      <c r="AE461" s="1">
        <f t="shared" si="320"/>
        <v>1</v>
      </c>
      <c r="AF461" s="1">
        <f t="shared" si="289"/>
        <v>0</v>
      </c>
      <c r="AG461" s="1">
        <f t="shared" si="290"/>
        <v>1</v>
      </c>
      <c r="AH461" s="1">
        <f t="shared" si="291"/>
        <v>0</v>
      </c>
      <c r="AI461" s="1">
        <f t="shared" si="292"/>
        <v>1</v>
      </c>
    </row>
    <row r="462" spans="1:35" ht="14.25" customHeight="1" x14ac:dyDescent="0.3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245</v>
      </c>
      <c r="G462" s="32" t="s">
        <v>224</v>
      </c>
      <c r="H462" s="32" t="s">
        <v>354</v>
      </c>
      <c r="I462" s="31" t="s">
        <v>409</v>
      </c>
      <c r="J462" s="31">
        <v>99</v>
      </c>
      <c r="K462" s="33" t="s">
        <v>713</v>
      </c>
      <c r="L462" s="33" t="s">
        <v>713</v>
      </c>
      <c r="M462" s="34" t="s">
        <v>731</v>
      </c>
      <c r="N462" s="34" t="s">
        <v>1743</v>
      </c>
      <c r="O462" s="35">
        <v>1</v>
      </c>
      <c r="P462" s="35"/>
      <c r="Q462" s="32"/>
      <c r="S462" s="1">
        <f t="shared" si="309"/>
        <v>0</v>
      </c>
      <c r="T462" s="1">
        <f t="shared" si="310"/>
        <v>0</v>
      </c>
      <c r="U462" s="1">
        <f t="shared" si="311"/>
        <v>0</v>
      </c>
      <c r="V462" s="1">
        <f t="shared" si="312"/>
        <v>0</v>
      </c>
      <c r="W462" s="1">
        <f t="shared" si="313"/>
        <v>0</v>
      </c>
      <c r="X462" s="1">
        <f t="shared" si="314"/>
        <v>0</v>
      </c>
      <c r="Y462" s="1">
        <f t="shared" si="315"/>
        <v>0</v>
      </c>
      <c r="Z462" s="1">
        <f t="shared" si="316"/>
        <v>0</v>
      </c>
      <c r="AA462" s="1">
        <f t="shared" si="317"/>
        <v>0</v>
      </c>
      <c r="AB462" s="1">
        <f t="shared" si="318"/>
        <v>0</v>
      </c>
      <c r="AD462" s="1">
        <f t="shared" si="319"/>
        <v>0</v>
      </c>
      <c r="AE462" s="1">
        <f t="shared" si="320"/>
        <v>1</v>
      </c>
      <c r="AF462" s="1">
        <f t="shared" si="289"/>
        <v>0</v>
      </c>
      <c r="AG462" s="1">
        <f t="shared" si="290"/>
        <v>0</v>
      </c>
      <c r="AH462" s="1">
        <f t="shared" si="291"/>
        <v>0</v>
      </c>
      <c r="AI462" s="1">
        <f t="shared" si="292"/>
        <v>0</v>
      </c>
    </row>
    <row r="463" spans="1:35" ht="14.25" customHeight="1" x14ac:dyDescent="0.3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246</v>
      </c>
      <c r="G463" s="32" t="s">
        <v>220</v>
      </c>
      <c r="H463" s="32" t="s">
        <v>354</v>
      </c>
      <c r="I463" s="31" t="s">
        <v>410</v>
      </c>
      <c r="J463" s="31">
        <v>8</v>
      </c>
      <c r="K463" s="33" t="s">
        <v>713</v>
      </c>
      <c r="L463" s="33" t="s">
        <v>713</v>
      </c>
      <c r="M463" s="34" t="s">
        <v>731</v>
      </c>
      <c r="N463" s="34" t="s">
        <v>1743</v>
      </c>
      <c r="O463" s="35">
        <v>1</v>
      </c>
      <c r="P463" s="35"/>
      <c r="Q463" s="32" t="s">
        <v>2016</v>
      </c>
      <c r="S463" s="1">
        <f t="shared" si="309"/>
        <v>0</v>
      </c>
      <c r="T463" s="1">
        <f t="shared" si="310"/>
        <v>0</v>
      </c>
      <c r="U463" s="1">
        <f t="shared" si="311"/>
        <v>0</v>
      </c>
      <c r="V463" s="1">
        <f t="shared" si="312"/>
        <v>0</v>
      </c>
      <c r="W463" s="1">
        <f t="shared" si="313"/>
        <v>0</v>
      </c>
      <c r="X463" s="1">
        <f t="shared" si="314"/>
        <v>0</v>
      </c>
      <c r="Y463" s="1">
        <f t="shared" si="315"/>
        <v>0</v>
      </c>
      <c r="Z463" s="1">
        <f t="shared" si="316"/>
        <v>1</v>
      </c>
      <c r="AA463" s="1">
        <f t="shared" si="317"/>
        <v>0</v>
      </c>
      <c r="AB463" s="1">
        <f t="shared" si="318"/>
        <v>0</v>
      </c>
      <c r="AD463" s="1">
        <f t="shared" si="319"/>
        <v>0</v>
      </c>
      <c r="AE463" s="1">
        <f t="shared" si="320"/>
        <v>1</v>
      </c>
      <c r="AF463" s="1">
        <f t="shared" si="289"/>
        <v>0</v>
      </c>
      <c r="AG463" s="1">
        <f t="shared" si="290"/>
        <v>0</v>
      </c>
      <c r="AH463" s="1">
        <f t="shared" si="291"/>
        <v>0</v>
      </c>
      <c r="AI463" s="1">
        <f t="shared" si="292"/>
        <v>0</v>
      </c>
    </row>
    <row r="464" spans="1:35" ht="14.25" customHeight="1" x14ac:dyDescent="0.3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1034</v>
      </c>
      <c r="G464" s="32" t="s">
        <v>39</v>
      </c>
      <c r="H464" s="32" t="s">
        <v>354</v>
      </c>
      <c r="I464" s="31" t="s">
        <v>1035</v>
      </c>
      <c r="J464" s="31">
        <v>1</v>
      </c>
      <c r="K464" s="33" t="s">
        <v>713</v>
      </c>
      <c r="L464" s="33" t="s">
        <v>713</v>
      </c>
      <c r="M464" s="34" t="s">
        <v>731</v>
      </c>
      <c r="N464" s="34" t="s">
        <v>1743</v>
      </c>
      <c r="O464" s="35">
        <v>1</v>
      </c>
      <c r="P464" s="35"/>
      <c r="Q464" s="32"/>
      <c r="S464" s="1">
        <f t="shared" si="309"/>
        <v>1</v>
      </c>
      <c r="T464" s="1">
        <f t="shared" si="310"/>
        <v>0</v>
      </c>
      <c r="U464" s="1">
        <f t="shared" si="311"/>
        <v>0</v>
      </c>
      <c r="V464" s="1">
        <f t="shared" si="312"/>
        <v>0</v>
      </c>
      <c r="W464" s="1">
        <f t="shared" si="313"/>
        <v>0</v>
      </c>
      <c r="X464" s="1">
        <f t="shared" si="314"/>
        <v>0</v>
      </c>
      <c r="Y464" s="1">
        <f t="shared" si="315"/>
        <v>0</v>
      </c>
      <c r="Z464" s="1">
        <f t="shared" si="316"/>
        <v>0</v>
      </c>
      <c r="AA464" s="1">
        <f t="shared" si="317"/>
        <v>0</v>
      </c>
      <c r="AB464" s="1">
        <f t="shared" si="318"/>
        <v>0</v>
      </c>
      <c r="AD464" s="1">
        <f t="shared" si="319"/>
        <v>0</v>
      </c>
      <c r="AE464" s="1">
        <f t="shared" si="320"/>
        <v>1</v>
      </c>
      <c r="AF464" s="1">
        <f t="shared" si="289"/>
        <v>0</v>
      </c>
      <c r="AG464" s="1">
        <f t="shared" si="290"/>
        <v>0</v>
      </c>
      <c r="AH464" s="1">
        <f t="shared" si="291"/>
        <v>0</v>
      </c>
      <c r="AI464" s="1">
        <f t="shared" si="292"/>
        <v>0</v>
      </c>
    </row>
    <row r="465" spans="1:35" ht="14.25" customHeight="1" x14ac:dyDescent="0.3">
      <c r="A465" s="31">
        <v>1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1036</v>
      </c>
      <c r="G465" s="32" t="s">
        <v>302</v>
      </c>
      <c r="H465" s="32" t="s">
        <v>354</v>
      </c>
      <c r="I465" s="31" t="s">
        <v>1037</v>
      </c>
      <c r="J465" s="31">
        <v>1</v>
      </c>
      <c r="K465" s="33" t="s">
        <v>713</v>
      </c>
      <c r="L465" s="33" t="s">
        <v>713</v>
      </c>
      <c r="M465" s="34" t="s">
        <v>731</v>
      </c>
      <c r="N465" s="34" t="s">
        <v>1743</v>
      </c>
      <c r="O465" s="35">
        <v>1</v>
      </c>
      <c r="P465" s="35"/>
      <c r="Q465" s="32"/>
      <c r="S465" s="1">
        <f t="shared" si="309"/>
        <v>1</v>
      </c>
      <c r="T465" s="1">
        <f t="shared" si="310"/>
        <v>0</v>
      </c>
      <c r="U465" s="1">
        <f t="shared" si="311"/>
        <v>0</v>
      </c>
      <c r="V465" s="1">
        <f t="shared" si="312"/>
        <v>0</v>
      </c>
      <c r="W465" s="1">
        <f t="shared" si="313"/>
        <v>0</v>
      </c>
      <c r="X465" s="1">
        <f t="shared" si="314"/>
        <v>0</v>
      </c>
      <c r="Y465" s="1">
        <f t="shared" si="315"/>
        <v>0</v>
      </c>
      <c r="Z465" s="1">
        <f t="shared" si="316"/>
        <v>0</v>
      </c>
      <c r="AA465" s="1">
        <f t="shared" si="317"/>
        <v>0</v>
      </c>
      <c r="AB465" s="1">
        <f t="shared" si="318"/>
        <v>0</v>
      </c>
      <c r="AD465" s="1">
        <f t="shared" ref="AD465:AD466" si="343">+O465*P465</f>
        <v>0</v>
      </c>
      <c r="AE465" s="1">
        <f t="shared" ref="AE465:AE466" si="344">O465*(1-P465)</f>
        <v>1</v>
      </c>
      <c r="AF465" s="1">
        <f t="shared" si="289"/>
        <v>0</v>
      </c>
      <c r="AG465" s="1">
        <f t="shared" si="290"/>
        <v>0</v>
      </c>
      <c r="AH465" s="1">
        <f t="shared" si="291"/>
        <v>0</v>
      </c>
      <c r="AI465" s="1">
        <f t="shared" si="292"/>
        <v>0</v>
      </c>
    </row>
    <row r="466" spans="1:35" ht="14.25" customHeight="1" x14ac:dyDescent="0.3">
      <c r="A466" s="31">
        <v>0</v>
      </c>
      <c r="B466" s="31">
        <v>2</v>
      </c>
      <c r="C466" s="31">
        <v>7</v>
      </c>
      <c r="D466" s="32" t="s">
        <v>1573</v>
      </c>
      <c r="E466" s="32" t="s">
        <v>156</v>
      </c>
      <c r="F466" s="32" t="s">
        <v>1574</v>
      </c>
      <c r="G466" s="32" t="s">
        <v>207</v>
      </c>
      <c r="H466" s="32" t="s">
        <v>354</v>
      </c>
      <c r="I466" s="31" t="s">
        <v>1575</v>
      </c>
      <c r="J466" s="31">
        <v>99</v>
      </c>
      <c r="K466" s="33" t="s">
        <v>712</v>
      </c>
      <c r="L466" s="33" t="s">
        <v>722</v>
      </c>
      <c r="M466" s="34" t="s">
        <v>732</v>
      </c>
      <c r="N466" s="34" t="s">
        <v>1946</v>
      </c>
      <c r="O466" s="35">
        <v>1</v>
      </c>
      <c r="P466" s="35"/>
      <c r="Q466" s="32"/>
      <c r="S466" s="1">
        <f t="shared" si="309"/>
        <v>0</v>
      </c>
      <c r="T466" s="1">
        <f t="shared" si="310"/>
        <v>0</v>
      </c>
      <c r="U466" s="1">
        <f t="shared" si="311"/>
        <v>0</v>
      </c>
      <c r="V466" s="1">
        <f t="shared" si="312"/>
        <v>0</v>
      </c>
      <c r="W466" s="1">
        <f t="shared" si="313"/>
        <v>0</v>
      </c>
      <c r="X466" s="1">
        <f t="shared" si="314"/>
        <v>0</v>
      </c>
      <c r="Y466" s="1">
        <f t="shared" si="315"/>
        <v>0</v>
      </c>
      <c r="Z466" s="1">
        <f t="shared" si="316"/>
        <v>0</v>
      </c>
      <c r="AA466" s="1">
        <f t="shared" si="317"/>
        <v>0</v>
      </c>
      <c r="AB466" s="1">
        <f t="shared" si="318"/>
        <v>0</v>
      </c>
      <c r="AD466" s="1">
        <f t="shared" si="343"/>
        <v>0</v>
      </c>
      <c r="AE466" s="1">
        <f t="shared" si="344"/>
        <v>1</v>
      </c>
      <c r="AF466" s="1">
        <f t="shared" si="289"/>
        <v>0</v>
      </c>
      <c r="AG466" s="1">
        <f t="shared" si="290"/>
        <v>1</v>
      </c>
      <c r="AH466" s="1">
        <f t="shared" si="291"/>
        <v>0</v>
      </c>
      <c r="AI466" s="1">
        <f t="shared" si="292"/>
        <v>1</v>
      </c>
    </row>
    <row r="467" spans="1:35" ht="14.25" customHeight="1" x14ac:dyDescent="0.3">
      <c r="A467" s="44">
        <v>0</v>
      </c>
      <c r="B467" s="44">
        <v>2</v>
      </c>
      <c r="C467" s="44">
        <v>7</v>
      </c>
      <c r="D467" s="45" t="s">
        <v>1132</v>
      </c>
      <c r="E467" s="45" t="s">
        <v>28</v>
      </c>
      <c r="F467" s="45" t="s">
        <v>1133</v>
      </c>
      <c r="G467" s="45" t="s">
        <v>220</v>
      </c>
      <c r="H467" s="45" t="s">
        <v>354</v>
      </c>
      <c r="I467" s="44" t="s">
        <v>1134</v>
      </c>
      <c r="J467" s="44">
        <v>8</v>
      </c>
      <c r="K467" s="46" t="s">
        <v>955</v>
      </c>
      <c r="L467" s="46" t="s">
        <v>713</v>
      </c>
      <c r="M467" s="47" t="s">
        <v>731</v>
      </c>
      <c r="N467" s="47" t="s">
        <v>1802</v>
      </c>
      <c r="O467" s="48"/>
      <c r="P467" s="48"/>
      <c r="Q467" s="45"/>
      <c r="S467" s="1">
        <f t="shared" si="309"/>
        <v>0</v>
      </c>
      <c r="T467" s="1">
        <f t="shared" si="310"/>
        <v>0</v>
      </c>
      <c r="U467" s="1">
        <f t="shared" si="311"/>
        <v>0</v>
      </c>
      <c r="V467" s="1">
        <f t="shared" si="312"/>
        <v>0</v>
      </c>
      <c r="W467" s="1">
        <f t="shared" si="313"/>
        <v>0</v>
      </c>
      <c r="X467" s="1">
        <f t="shared" si="314"/>
        <v>0</v>
      </c>
      <c r="Y467" s="1">
        <f t="shared" si="315"/>
        <v>0</v>
      </c>
      <c r="Z467" s="1">
        <f t="shared" si="316"/>
        <v>1</v>
      </c>
      <c r="AA467" s="1">
        <f t="shared" si="317"/>
        <v>0</v>
      </c>
      <c r="AB467" s="1">
        <f t="shared" si="318"/>
        <v>0</v>
      </c>
      <c r="AD467" s="1">
        <f t="shared" si="319"/>
        <v>0</v>
      </c>
      <c r="AE467" s="1">
        <f t="shared" si="320"/>
        <v>0</v>
      </c>
      <c r="AF467" s="1">
        <f t="shared" si="289"/>
        <v>0</v>
      </c>
      <c r="AG467" s="1">
        <f t="shared" si="290"/>
        <v>0</v>
      </c>
      <c r="AH467" s="1">
        <f t="shared" si="291"/>
        <v>0</v>
      </c>
      <c r="AI467" s="1">
        <f t="shared" si="292"/>
        <v>1</v>
      </c>
    </row>
    <row r="468" spans="1:35" ht="14.25" customHeight="1" x14ac:dyDescent="0.3">
      <c r="A468" s="44">
        <v>0</v>
      </c>
      <c r="B468" s="44">
        <v>2</v>
      </c>
      <c r="C468" s="44">
        <v>7</v>
      </c>
      <c r="D468" s="45" t="s">
        <v>73</v>
      </c>
      <c r="E468" s="45" t="s">
        <v>28</v>
      </c>
      <c r="F468" s="45" t="s">
        <v>264</v>
      </c>
      <c r="G468" s="45" t="s">
        <v>194</v>
      </c>
      <c r="H468" s="45" t="s">
        <v>354</v>
      </c>
      <c r="I468" s="44" t="s">
        <v>421</v>
      </c>
      <c r="J468" s="44">
        <v>9</v>
      </c>
      <c r="K468" s="46" t="s">
        <v>712</v>
      </c>
      <c r="L468" s="46" t="s">
        <v>713</v>
      </c>
      <c r="M468" s="47" t="s">
        <v>731</v>
      </c>
      <c r="N468" s="47" t="s">
        <v>1735</v>
      </c>
      <c r="O468" s="48"/>
      <c r="P468" s="48"/>
      <c r="Q468" s="45"/>
      <c r="S468" s="1">
        <f t="shared" si="309"/>
        <v>0</v>
      </c>
      <c r="T468" s="1">
        <f t="shared" si="310"/>
        <v>0</v>
      </c>
      <c r="U468" s="1">
        <f t="shared" si="311"/>
        <v>0</v>
      </c>
      <c r="V468" s="1">
        <f t="shared" si="312"/>
        <v>0</v>
      </c>
      <c r="W468" s="1">
        <f t="shared" si="313"/>
        <v>0</v>
      </c>
      <c r="X468" s="1">
        <f t="shared" si="314"/>
        <v>0</v>
      </c>
      <c r="Y468" s="1">
        <f t="shared" si="315"/>
        <v>0</v>
      </c>
      <c r="Z468" s="1">
        <f t="shared" si="316"/>
        <v>0</v>
      </c>
      <c r="AA468" s="1">
        <f t="shared" si="317"/>
        <v>1</v>
      </c>
      <c r="AB468" s="1">
        <f t="shared" si="318"/>
        <v>0</v>
      </c>
      <c r="AD468" s="1">
        <f t="shared" si="319"/>
        <v>0</v>
      </c>
      <c r="AE468" s="1">
        <f t="shared" si="320"/>
        <v>0</v>
      </c>
      <c r="AF468" s="1">
        <f t="shared" si="289"/>
        <v>0</v>
      </c>
      <c r="AG468" s="1">
        <f t="shared" si="290"/>
        <v>0</v>
      </c>
      <c r="AH468" s="1">
        <f t="shared" si="291"/>
        <v>0</v>
      </c>
      <c r="AI468" s="1">
        <f t="shared" si="292"/>
        <v>1</v>
      </c>
    </row>
    <row r="469" spans="1:35" ht="14.25" customHeight="1" x14ac:dyDescent="0.3">
      <c r="A469" s="31">
        <v>0</v>
      </c>
      <c r="B469" s="31">
        <v>2</v>
      </c>
      <c r="C469" s="31">
        <v>7</v>
      </c>
      <c r="D469" s="32" t="s">
        <v>59</v>
      </c>
      <c r="E469" s="32" t="s">
        <v>163</v>
      </c>
      <c r="F469" s="32" t="s">
        <v>225</v>
      </c>
      <c r="G469" s="32" t="s">
        <v>226</v>
      </c>
      <c r="H469" s="32" t="s">
        <v>354</v>
      </c>
      <c r="I469" s="31" t="s">
        <v>398</v>
      </c>
      <c r="J469" s="31">
        <v>99</v>
      </c>
      <c r="K469" s="33" t="s">
        <v>713</v>
      </c>
      <c r="L469" s="33" t="s">
        <v>722</v>
      </c>
      <c r="M469" s="34" t="s">
        <v>732</v>
      </c>
      <c r="N469" s="34" t="s">
        <v>1750</v>
      </c>
      <c r="O469" s="35">
        <v>1</v>
      </c>
      <c r="P469" s="35"/>
      <c r="Q469" s="32"/>
      <c r="S469" s="1">
        <f t="shared" si="309"/>
        <v>0</v>
      </c>
      <c r="T469" s="1">
        <f t="shared" si="310"/>
        <v>0</v>
      </c>
      <c r="U469" s="1">
        <f t="shared" si="311"/>
        <v>0</v>
      </c>
      <c r="V469" s="1">
        <f t="shared" si="312"/>
        <v>0</v>
      </c>
      <c r="W469" s="1">
        <f t="shared" si="313"/>
        <v>0</v>
      </c>
      <c r="X469" s="1">
        <f t="shared" si="314"/>
        <v>0</v>
      </c>
      <c r="Y469" s="1">
        <f t="shared" si="315"/>
        <v>0</v>
      </c>
      <c r="Z469" s="1">
        <f t="shared" si="316"/>
        <v>0</v>
      </c>
      <c r="AA469" s="1">
        <f t="shared" si="317"/>
        <v>0</v>
      </c>
      <c r="AB469" s="1">
        <f t="shared" si="318"/>
        <v>0</v>
      </c>
      <c r="AD469" s="1">
        <f t="shared" si="319"/>
        <v>0</v>
      </c>
      <c r="AE469" s="1">
        <f t="shared" si="320"/>
        <v>1</v>
      </c>
      <c r="AF469" s="1">
        <f t="shared" si="289"/>
        <v>0</v>
      </c>
      <c r="AG469" s="1">
        <f t="shared" si="290"/>
        <v>1</v>
      </c>
      <c r="AH469" s="1">
        <f t="shared" si="291"/>
        <v>0</v>
      </c>
      <c r="AI469" s="1">
        <f t="shared" si="292"/>
        <v>1</v>
      </c>
    </row>
    <row r="470" spans="1:35" ht="14.25" customHeight="1" x14ac:dyDescent="0.3">
      <c r="A470" s="31">
        <v>0</v>
      </c>
      <c r="B470" s="31">
        <v>2</v>
      </c>
      <c r="C470" s="31">
        <v>7</v>
      </c>
      <c r="D470" s="32" t="s">
        <v>1075</v>
      </c>
      <c r="E470" s="32" t="s">
        <v>156</v>
      </c>
      <c r="F470" s="32" t="s">
        <v>1076</v>
      </c>
      <c r="G470" s="32" t="s">
        <v>220</v>
      </c>
      <c r="H470" s="32" t="s">
        <v>354</v>
      </c>
      <c r="I470" s="31" t="s">
        <v>1077</v>
      </c>
      <c r="J470" s="31">
        <v>8</v>
      </c>
      <c r="K470" s="33" t="s">
        <v>712</v>
      </c>
      <c r="L470" s="33" t="s">
        <v>722</v>
      </c>
      <c r="M470" s="34" t="s">
        <v>732</v>
      </c>
      <c r="N470" s="34" t="s">
        <v>1748</v>
      </c>
      <c r="O470" s="35">
        <v>1</v>
      </c>
      <c r="P470" s="35"/>
      <c r="Q470" s="32"/>
      <c r="S470" s="1">
        <f t="shared" si="309"/>
        <v>0</v>
      </c>
      <c r="T470" s="1">
        <f t="shared" si="310"/>
        <v>0</v>
      </c>
      <c r="U470" s="1">
        <f t="shared" si="311"/>
        <v>0</v>
      </c>
      <c r="V470" s="1">
        <f t="shared" si="312"/>
        <v>0</v>
      </c>
      <c r="W470" s="1">
        <f t="shared" si="313"/>
        <v>0</v>
      </c>
      <c r="X470" s="1">
        <f t="shared" si="314"/>
        <v>0</v>
      </c>
      <c r="Y470" s="1">
        <f t="shared" si="315"/>
        <v>0</v>
      </c>
      <c r="Z470" s="1">
        <f t="shared" si="316"/>
        <v>1</v>
      </c>
      <c r="AA470" s="1">
        <f t="shared" si="317"/>
        <v>0</v>
      </c>
      <c r="AB470" s="1">
        <f t="shared" si="318"/>
        <v>0</v>
      </c>
      <c r="AD470" s="1">
        <f t="shared" si="319"/>
        <v>0</v>
      </c>
      <c r="AE470" s="1">
        <f t="shared" si="320"/>
        <v>1</v>
      </c>
      <c r="AF470" s="1">
        <f t="shared" si="289"/>
        <v>0</v>
      </c>
      <c r="AG470" s="1">
        <f t="shared" si="290"/>
        <v>1</v>
      </c>
      <c r="AH470" s="1">
        <f t="shared" si="291"/>
        <v>0</v>
      </c>
      <c r="AI470" s="1">
        <f t="shared" si="292"/>
        <v>1</v>
      </c>
    </row>
    <row r="471" spans="1:35" ht="14.25" customHeight="1" x14ac:dyDescent="0.3">
      <c r="A471" s="31">
        <v>0</v>
      </c>
      <c r="B471" s="31">
        <v>2</v>
      </c>
      <c r="C471" s="31">
        <v>7</v>
      </c>
      <c r="D471" s="32" t="s">
        <v>81</v>
      </c>
      <c r="E471" s="32" t="s">
        <v>156</v>
      </c>
      <c r="F471" s="32" t="s">
        <v>273</v>
      </c>
      <c r="G471" s="32" t="s">
        <v>254</v>
      </c>
      <c r="H471" s="32" t="s">
        <v>354</v>
      </c>
      <c r="I471" s="31" t="s">
        <v>428</v>
      </c>
      <c r="J471" s="31">
        <v>99</v>
      </c>
      <c r="K471" s="33" t="s">
        <v>713</v>
      </c>
      <c r="L471" s="33" t="s">
        <v>733</v>
      </c>
      <c r="M471" s="34" t="s">
        <v>734</v>
      </c>
      <c r="N471" s="34" t="s">
        <v>1756</v>
      </c>
      <c r="O471" s="35">
        <v>1</v>
      </c>
      <c r="P471" s="35"/>
      <c r="Q471" s="32"/>
      <c r="S471" s="1">
        <f t="shared" si="309"/>
        <v>0</v>
      </c>
      <c r="T471" s="1">
        <f t="shared" si="310"/>
        <v>0</v>
      </c>
      <c r="U471" s="1">
        <f t="shared" si="311"/>
        <v>0</v>
      </c>
      <c r="V471" s="1">
        <f t="shared" si="312"/>
        <v>0</v>
      </c>
      <c r="W471" s="1">
        <f t="shared" si="313"/>
        <v>0</v>
      </c>
      <c r="X471" s="1">
        <f t="shared" si="314"/>
        <v>0</v>
      </c>
      <c r="Y471" s="1">
        <f t="shared" si="315"/>
        <v>0</v>
      </c>
      <c r="Z471" s="1">
        <f t="shared" si="316"/>
        <v>0</v>
      </c>
      <c r="AA471" s="1">
        <f t="shared" si="317"/>
        <v>0</v>
      </c>
      <c r="AB471" s="1">
        <f t="shared" si="318"/>
        <v>0</v>
      </c>
      <c r="AD471" s="1">
        <f t="shared" si="319"/>
        <v>0</v>
      </c>
      <c r="AE471" s="1">
        <f t="shared" si="320"/>
        <v>1</v>
      </c>
      <c r="AF471" s="1">
        <f t="shared" si="289"/>
        <v>0</v>
      </c>
      <c r="AG471" s="1">
        <f t="shared" si="290"/>
        <v>1</v>
      </c>
      <c r="AH471" s="1">
        <f t="shared" si="291"/>
        <v>0</v>
      </c>
      <c r="AI471" s="1">
        <f t="shared" si="292"/>
        <v>1</v>
      </c>
    </row>
    <row r="472" spans="1:35" ht="14.25" customHeight="1" x14ac:dyDescent="0.3">
      <c r="A472" s="37">
        <v>0</v>
      </c>
      <c r="B472" s="37">
        <v>2</v>
      </c>
      <c r="C472" s="37">
        <v>7</v>
      </c>
      <c r="D472" s="36" t="s">
        <v>1775</v>
      </c>
      <c r="E472" s="36" t="s">
        <v>1776</v>
      </c>
      <c r="F472" s="36" t="s">
        <v>1777</v>
      </c>
      <c r="G472" s="36" t="s">
        <v>190</v>
      </c>
      <c r="H472" s="36" t="s">
        <v>354</v>
      </c>
      <c r="I472" s="37"/>
      <c r="J472" s="37"/>
      <c r="K472" s="33" t="s">
        <v>703</v>
      </c>
      <c r="L472" s="33"/>
      <c r="M472" s="34"/>
      <c r="N472" s="34" t="s">
        <v>1727</v>
      </c>
      <c r="O472" s="35">
        <v>1</v>
      </c>
      <c r="P472" s="35">
        <v>1</v>
      </c>
      <c r="Q472" s="36"/>
      <c r="S472" s="1">
        <f t="shared" si="309"/>
        <v>0</v>
      </c>
      <c r="T472" s="1">
        <f t="shared" si="310"/>
        <v>0</v>
      </c>
      <c r="U472" s="1">
        <f t="shared" si="311"/>
        <v>0</v>
      </c>
      <c r="V472" s="1">
        <f t="shared" si="312"/>
        <v>0</v>
      </c>
      <c r="W472" s="1">
        <f t="shared" si="313"/>
        <v>0</v>
      </c>
      <c r="X472" s="1">
        <f t="shared" si="314"/>
        <v>0</v>
      </c>
      <c r="Y472" s="1">
        <f t="shared" si="315"/>
        <v>0</v>
      </c>
      <c r="Z472" s="1">
        <f t="shared" si="316"/>
        <v>0</v>
      </c>
      <c r="AA472" s="1">
        <f t="shared" si="317"/>
        <v>0</v>
      </c>
      <c r="AB472" s="1">
        <f t="shared" si="318"/>
        <v>0</v>
      </c>
      <c r="AD472" s="1">
        <f t="shared" si="319"/>
        <v>1</v>
      </c>
      <c r="AE472" s="1">
        <f t="shared" si="320"/>
        <v>0</v>
      </c>
      <c r="AF472" s="1">
        <f t="shared" si="289"/>
        <v>1</v>
      </c>
      <c r="AG472" s="1">
        <f t="shared" si="290"/>
        <v>0</v>
      </c>
      <c r="AH472" s="1">
        <f t="shared" si="291"/>
        <v>1</v>
      </c>
      <c r="AI472" s="1">
        <f t="shared" si="292"/>
        <v>0</v>
      </c>
    </row>
    <row r="473" spans="1:35" ht="14.25" customHeight="1" x14ac:dyDescent="0.3">
      <c r="A473" s="44">
        <v>0</v>
      </c>
      <c r="B473" s="44">
        <v>2</v>
      </c>
      <c r="C473" s="44">
        <v>7</v>
      </c>
      <c r="D473" s="45" t="s">
        <v>514</v>
      </c>
      <c r="E473" s="45" t="s">
        <v>156</v>
      </c>
      <c r="F473" s="45" t="s">
        <v>574</v>
      </c>
      <c r="G473" s="45" t="s">
        <v>321</v>
      </c>
      <c r="H473" s="45" t="s">
        <v>354</v>
      </c>
      <c r="I473" s="44" t="s">
        <v>581</v>
      </c>
      <c r="J473" s="44">
        <v>99</v>
      </c>
      <c r="K473" s="46" t="s">
        <v>954</v>
      </c>
      <c r="L473" s="46" t="s">
        <v>722</v>
      </c>
      <c r="M473" s="47" t="s">
        <v>732</v>
      </c>
      <c r="N473" s="47" t="s">
        <v>1738</v>
      </c>
      <c r="O473" s="48"/>
      <c r="P473" s="48"/>
      <c r="Q473" s="45"/>
      <c r="S473" s="1">
        <f t="shared" si="309"/>
        <v>0</v>
      </c>
      <c r="T473" s="1">
        <f t="shared" si="310"/>
        <v>0</v>
      </c>
      <c r="U473" s="1">
        <f t="shared" si="311"/>
        <v>0</v>
      </c>
      <c r="V473" s="1">
        <f t="shared" si="312"/>
        <v>0</v>
      </c>
      <c r="W473" s="1">
        <f t="shared" si="313"/>
        <v>0</v>
      </c>
      <c r="X473" s="1">
        <f t="shared" si="314"/>
        <v>0</v>
      </c>
      <c r="Y473" s="1">
        <f t="shared" si="315"/>
        <v>0</v>
      </c>
      <c r="Z473" s="1">
        <f t="shared" si="316"/>
        <v>0</v>
      </c>
      <c r="AA473" s="1">
        <f t="shared" si="317"/>
        <v>0</v>
      </c>
      <c r="AB473" s="1">
        <f t="shared" si="318"/>
        <v>0</v>
      </c>
      <c r="AD473" s="1">
        <f t="shared" si="319"/>
        <v>0</v>
      </c>
      <c r="AE473" s="1">
        <f t="shared" si="320"/>
        <v>0</v>
      </c>
      <c r="AF473" s="1">
        <f t="shared" si="289"/>
        <v>0</v>
      </c>
      <c r="AG473" s="1">
        <f t="shared" si="290"/>
        <v>0</v>
      </c>
      <c r="AH473" s="1">
        <f t="shared" si="291"/>
        <v>0</v>
      </c>
      <c r="AI473" s="1">
        <f t="shared" si="292"/>
        <v>1</v>
      </c>
    </row>
    <row r="474" spans="1:35" ht="14.25" customHeight="1" x14ac:dyDescent="0.3">
      <c r="A474" s="44">
        <v>0</v>
      </c>
      <c r="B474" s="44">
        <v>2</v>
      </c>
      <c r="C474" s="44">
        <v>7</v>
      </c>
      <c r="D474" s="45" t="s">
        <v>74</v>
      </c>
      <c r="E474" s="45" t="s">
        <v>156</v>
      </c>
      <c r="F474" s="45" t="s">
        <v>675</v>
      </c>
      <c r="G474" s="45" t="s">
        <v>265</v>
      </c>
      <c r="H474" s="45" t="s">
        <v>354</v>
      </c>
      <c r="I474" s="44" t="s">
        <v>422</v>
      </c>
      <c r="J474" s="44">
        <v>99</v>
      </c>
      <c r="K474" s="46" t="s">
        <v>712</v>
      </c>
      <c r="L474" s="46" t="s">
        <v>729</v>
      </c>
      <c r="M474" s="47" t="s">
        <v>732</v>
      </c>
      <c r="N474" s="47" t="s">
        <v>1735</v>
      </c>
      <c r="O474" s="48"/>
      <c r="P474" s="48"/>
      <c r="Q474" s="45"/>
      <c r="S474" s="1">
        <f t="shared" ref="S474:S479" si="345">IF(J474=$S$7,1,0)</f>
        <v>0</v>
      </c>
      <c r="T474" s="1">
        <f t="shared" ref="T474:T479" si="346">IF(J474=$T$7,1,0)</f>
        <v>0</v>
      </c>
      <c r="U474" s="1">
        <f t="shared" ref="U474:U479" si="347">IF(J474=$U$7,1,0)</f>
        <v>0</v>
      </c>
      <c r="V474" s="1">
        <f t="shared" ref="V474:V479" si="348">IF(J474=$V$7,1,0)</f>
        <v>0</v>
      </c>
      <c r="W474" s="1">
        <f t="shared" ref="W474:W479" si="349">IF(J474=$W$7,1,0)</f>
        <v>0</v>
      </c>
      <c r="X474" s="1">
        <f t="shared" ref="X474:X479" si="350">IF(J474=$X$7,1,0)</f>
        <v>0</v>
      </c>
      <c r="Y474" s="1">
        <f t="shared" ref="Y474:Y479" si="351">IF(J474=$Y$7,1,0)</f>
        <v>0</v>
      </c>
      <c r="Z474" s="1">
        <f t="shared" ref="Z474:Z479" si="352">IF(J474=$Z$7,1,0)</f>
        <v>0</v>
      </c>
      <c r="AA474" s="1">
        <f t="shared" ref="AA474:AA479" si="353">IF(J474=$AA$7,1,0)</f>
        <v>0</v>
      </c>
      <c r="AB474" s="1">
        <f t="shared" ref="AB474:AB479" si="354">IF(J474=$AB$7,1,0)</f>
        <v>0</v>
      </c>
      <c r="AD474" s="1">
        <f t="shared" ref="AD474:AD479" si="355">+O474*P474</f>
        <v>0</v>
      </c>
      <c r="AE474" s="1">
        <f t="shared" ref="AE474:AE479" si="356">O474*(1-P474)</f>
        <v>0</v>
      </c>
      <c r="AF474" s="1">
        <f t="shared" ref="AF474:AF479" si="357">+O474*P474*(1-A474)</f>
        <v>0</v>
      </c>
      <c r="AG474" s="1">
        <f t="shared" ref="AG474:AG479" si="358">O474*(1-P474)*(1-A474)</f>
        <v>0</v>
      </c>
      <c r="AH474" s="1">
        <f t="shared" ref="AH474:AH479" si="359">+P474*(1-A474)</f>
        <v>0</v>
      </c>
      <c r="AI474" s="1">
        <f t="shared" ref="AI474:AI479" si="360">+(1-A474)*(1-P474)</f>
        <v>1</v>
      </c>
    </row>
    <row r="475" spans="1:35" ht="14.25" customHeight="1" x14ac:dyDescent="0.3">
      <c r="A475" s="31">
        <v>0</v>
      </c>
      <c r="B475" s="31">
        <v>2</v>
      </c>
      <c r="C475" s="31">
        <v>7</v>
      </c>
      <c r="D475" s="32" t="s">
        <v>2006</v>
      </c>
      <c r="E475" s="32" t="s">
        <v>156</v>
      </c>
      <c r="F475" s="32" t="s">
        <v>2007</v>
      </c>
      <c r="G475" s="32" t="s">
        <v>283</v>
      </c>
      <c r="H475" s="32" t="s">
        <v>354</v>
      </c>
      <c r="I475" s="31" t="s">
        <v>2008</v>
      </c>
      <c r="J475" s="31">
        <v>99</v>
      </c>
      <c r="K475" s="33" t="s">
        <v>703</v>
      </c>
      <c r="L475" s="33" t="s">
        <v>722</v>
      </c>
      <c r="M475" s="34" t="s">
        <v>732</v>
      </c>
      <c r="N475" s="34" t="s">
        <v>1727</v>
      </c>
      <c r="O475" s="35">
        <v>1</v>
      </c>
      <c r="P475" s="35">
        <v>1</v>
      </c>
      <c r="Q475" s="32"/>
      <c r="S475" s="1">
        <f t="shared" si="345"/>
        <v>0</v>
      </c>
      <c r="T475" s="1">
        <f t="shared" si="346"/>
        <v>0</v>
      </c>
      <c r="U475" s="1">
        <f t="shared" si="347"/>
        <v>0</v>
      </c>
      <c r="V475" s="1">
        <f t="shared" si="348"/>
        <v>0</v>
      </c>
      <c r="W475" s="1">
        <f t="shared" si="349"/>
        <v>0</v>
      </c>
      <c r="X475" s="1">
        <f t="shared" si="350"/>
        <v>0</v>
      </c>
      <c r="Y475" s="1">
        <f t="shared" si="351"/>
        <v>0</v>
      </c>
      <c r="Z475" s="1">
        <f t="shared" si="352"/>
        <v>0</v>
      </c>
      <c r="AA475" s="1">
        <f t="shared" si="353"/>
        <v>0</v>
      </c>
      <c r="AB475" s="1">
        <f t="shared" si="354"/>
        <v>0</v>
      </c>
      <c r="AD475" s="1">
        <f t="shared" si="355"/>
        <v>1</v>
      </c>
      <c r="AE475" s="1">
        <f t="shared" si="356"/>
        <v>0</v>
      </c>
      <c r="AF475" s="1">
        <f t="shared" si="357"/>
        <v>1</v>
      </c>
      <c r="AG475" s="1">
        <f t="shared" si="358"/>
        <v>0</v>
      </c>
      <c r="AH475" s="1">
        <f t="shared" si="359"/>
        <v>1</v>
      </c>
      <c r="AI475" s="1">
        <f t="shared" si="360"/>
        <v>0</v>
      </c>
    </row>
    <row r="476" spans="1:35" ht="14.25" customHeight="1" x14ac:dyDescent="0.3">
      <c r="A476" s="31">
        <v>1</v>
      </c>
      <c r="B476" s="31">
        <v>2</v>
      </c>
      <c r="C476" s="31">
        <v>7</v>
      </c>
      <c r="D476" s="32" t="s">
        <v>2006</v>
      </c>
      <c r="E476" s="32" t="s">
        <v>156</v>
      </c>
      <c r="F476" s="32" t="s">
        <v>2009</v>
      </c>
      <c r="G476" s="32" t="s">
        <v>2010</v>
      </c>
      <c r="H476" s="32" t="s">
        <v>354</v>
      </c>
      <c r="I476" s="31" t="s">
        <v>2011</v>
      </c>
      <c r="J476" s="31">
        <v>99</v>
      </c>
      <c r="K476" s="33" t="s">
        <v>703</v>
      </c>
      <c r="L476" s="33" t="s">
        <v>722</v>
      </c>
      <c r="M476" s="34" t="s">
        <v>732</v>
      </c>
      <c r="N476" s="34" t="s">
        <v>1727</v>
      </c>
      <c r="O476" s="35">
        <v>1</v>
      </c>
      <c r="P476" s="35">
        <v>1</v>
      </c>
      <c r="Q476" s="32"/>
      <c r="S476" s="1">
        <f t="shared" si="345"/>
        <v>0</v>
      </c>
      <c r="T476" s="1">
        <f t="shared" si="346"/>
        <v>0</v>
      </c>
      <c r="U476" s="1">
        <f t="shared" si="347"/>
        <v>0</v>
      </c>
      <c r="V476" s="1">
        <f t="shared" si="348"/>
        <v>0</v>
      </c>
      <c r="W476" s="1">
        <f t="shared" si="349"/>
        <v>0</v>
      </c>
      <c r="X476" s="1">
        <f t="shared" si="350"/>
        <v>0</v>
      </c>
      <c r="Y476" s="1">
        <f t="shared" si="351"/>
        <v>0</v>
      </c>
      <c r="Z476" s="1">
        <f t="shared" si="352"/>
        <v>0</v>
      </c>
      <c r="AA476" s="1">
        <f t="shared" si="353"/>
        <v>0</v>
      </c>
      <c r="AB476" s="1">
        <f t="shared" si="354"/>
        <v>0</v>
      </c>
      <c r="AD476" s="1">
        <f t="shared" si="355"/>
        <v>1</v>
      </c>
      <c r="AE476" s="1">
        <f t="shared" si="356"/>
        <v>0</v>
      </c>
      <c r="AF476" s="1">
        <f t="shared" si="357"/>
        <v>0</v>
      </c>
      <c r="AG476" s="1">
        <f t="shared" si="358"/>
        <v>0</v>
      </c>
      <c r="AH476" s="1">
        <f t="shared" si="359"/>
        <v>0</v>
      </c>
      <c r="AI476" s="1">
        <f t="shared" si="360"/>
        <v>0</v>
      </c>
    </row>
    <row r="477" spans="1:35" ht="14.25" customHeight="1" x14ac:dyDescent="0.3">
      <c r="A477" s="15">
        <v>0</v>
      </c>
      <c r="B477" s="15">
        <v>2</v>
      </c>
      <c r="C477" s="15">
        <v>7</v>
      </c>
      <c r="D477" s="20" t="s">
        <v>1858</v>
      </c>
      <c r="E477" s="16" t="s">
        <v>156</v>
      </c>
      <c r="F477" s="20" t="s">
        <v>1859</v>
      </c>
      <c r="G477" s="20" t="s">
        <v>283</v>
      </c>
      <c r="H477" s="20" t="s">
        <v>354</v>
      </c>
      <c r="I477" s="21" t="s">
        <v>1860</v>
      </c>
      <c r="J477" s="15">
        <v>99</v>
      </c>
      <c r="K477" s="10" t="s">
        <v>703</v>
      </c>
      <c r="L477" s="10" t="s">
        <v>722</v>
      </c>
      <c r="M477" s="19" t="s">
        <v>732</v>
      </c>
      <c r="N477" s="19"/>
      <c r="Q477" s="20"/>
      <c r="S477" s="1">
        <f t="shared" si="345"/>
        <v>0</v>
      </c>
      <c r="T477" s="1">
        <f t="shared" si="346"/>
        <v>0</v>
      </c>
      <c r="U477" s="1">
        <f t="shared" si="347"/>
        <v>0</v>
      </c>
      <c r="V477" s="1">
        <f t="shared" si="348"/>
        <v>0</v>
      </c>
      <c r="W477" s="1">
        <f t="shared" si="349"/>
        <v>0</v>
      </c>
      <c r="X477" s="1">
        <f t="shared" si="350"/>
        <v>0</v>
      </c>
      <c r="Y477" s="1">
        <f t="shared" si="351"/>
        <v>0</v>
      </c>
      <c r="Z477" s="1">
        <f t="shared" si="352"/>
        <v>0</v>
      </c>
      <c r="AA477" s="1">
        <f t="shared" si="353"/>
        <v>0</v>
      </c>
      <c r="AB477" s="1">
        <f t="shared" si="354"/>
        <v>0</v>
      </c>
      <c r="AD477" s="1">
        <f t="shared" si="355"/>
        <v>0</v>
      </c>
      <c r="AE477" s="1">
        <f t="shared" si="356"/>
        <v>0</v>
      </c>
      <c r="AF477" s="1">
        <f t="shared" si="357"/>
        <v>0</v>
      </c>
      <c r="AG477" s="1">
        <f t="shared" si="358"/>
        <v>0</v>
      </c>
      <c r="AH477" s="1">
        <f t="shared" si="359"/>
        <v>0</v>
      </c>
      <c r="AI477" s="1">
        <f t="shared" si="360"/>
        <v>1</v>
      </c>
    </row>
    <row r="478" spans="1:35" ht="14.25" customHeight="1" x14ac:dyDescent="0.3">
      <c r="A478" s="31">
        <v>0</v>
      </c>
      <c r="B478" s="31">
        <v>2</v>
      </c>
      <c r="C478" s="31">
        <v>7</v>
      </c>
      <c r="D478" s="32" t="s">
        <v>60</v>
      </c>
      <c r="E478" s="32" t="s">
        <v>163</v>
      </c>
      <c r="F478" s="32" t="s">
        <v>227</v>
      </c>
      <c r="G478" s="32" t="s">
        <v>190</v>
      </c>
      <c r="H478" s="32" t="s">
        <v>354</v>
      </c>
      <c r="I478" s="31" t="s">
        <v>399</v>
      </c>
      <c r="J478" s="31">
        <v>99</v>
      </c>
      <c r="K478" s="33" t="s">
        <v>713</v>
      </c>
      <c r="L478" s="33" t="s">
        <v>722</v>
      </c>
      <c r="M478" s="34" t="s">
        <v>732</v>
      </c>
      <c r="N478" s="34" t="s">
        <v>1748</v>
      </c>
      <c r="O478" s="35">
        <v>1</v>
      </c>
      <c r="P478" s="35"/>
      <c r="Q478" s="32"/>
      <c r="S478" s="1">
        <f t="shared" si="345"/>
        <v>0</v>
      </c>
      <c r="T478" s="1">
        <f t="shared" si="346"/>
        <v>0</v>
      </c>
      <c r="U478" s="1">
        <f t="shared" si="347"/>
        <v>0</v>
      </c>
      <c r="V478" s="1">
        <f t="shared" si="348"/>
        <v>0</v>
      </c>
      <c r="W478" s="1">
        <f t="shared" si="349"/>
        <v>0</v>
      </c>
      <c r="X478" s="1">
        <f t="shared" si="350"/>
        <v>0</v>
      </c>
      <c r="Y478" s="1">
        <f t="shared" si="351"/>
        <v>0</v>
      </c>
      <c r="Z478" s="1">
        <f t="shared" si="352"/>
        <v>0</v>
      </c>
      <c r="AA478" s="1">
        <f t="shared" si="353"/>
        <v>0</v>
      </c>
      <c r="AB478" s="1">
        <f t="shared" si="354"/>
        <v>0</v>
      </c>
      <c r="AD478" s="1">
        <f t="shared" si="355"/>
        <v>0</v>
      </c>
      <c r="AE478" s="1">
        <f t="shared" si="356"/>
        <v>1</v>
      </c>
      <c r="AF478" s="1">
        <f t="shared" si="357"/>
        <v>0</v>
      </c>
      <c r="AG478" s="1">
        <f t="shared" si="358"/>
        <v>1</v>
      </c>
      <c r="AH478" s="1">
        <f t="shared" si="359"/>
        <v>0</v>
      </c>
      <c r="AI478" s="1">
        <f t="shared" si="360"/>
        <v>1</v>
      </c>
    </row>
    <row r="479" spans="1:35" ht="14.25" customHeight="1" x14ac:dyDescent="0.3">
      <c r="A479" s="31">
        <v>0</v>
      </c>
      <c r="B479" s="31">
        <v>2</v>
      </c>
      <c r="C479" s="31">
        <v>7</v>
      </c>
      <c r="D479" s="32" t="s">
        <v>1329</v>
      </c>
      <c r="E479" s="32" t="s">
        <v>156</v>
      </c>
      <c r="F479" s="32" t="s">
        <v>1143</v>
      </c>
      <c r="G479" s="32" t="s">
        <v>192</v>
      </c>
      <c r="H479" s="32" t="s">
        <v>354</v>
      </c>
      <c r="I479" s="31" t="s">
        <v>1369</v>
      </c>
      <c r="J479" s="31">
        <v>99</v>
      </c>
      <c r="K479" s="33" t="s">
        <v>712</v>
      </c>
      <c r="L479" s="33" t="s">
        <v>39</v>
      </c>
      <c r="M479" s="34" t="s">
        <v>39</v>
      </c>
      <c r="N479" s="34" t="s">
        <v>1727</v>
      </c>
      <c r="O479" s="35">
        <v>1</v>
      </c>
      <c r="P479" s="35">
        <v>1</v>
      </c>
      <c r="Q479" s="32"/>
      <c r="S479" s="1">
        <f t="shared" si="345"/>
        <v>0</v>
      </c>
      <c r="T479" s="1">
        <f t="shared" si="346"/>
        <v>0</v>
      </c>
      <c r="U479" s="1">
        <f t="shared" si="347"/>
        <v>0</v>
      </c>
      <c r="V479" s="1">
        <f t="shared" si="348"/>
        <v>0</v>
      </c>
      <c r="W479" s="1">
        <f t="shared" si="349"/>
        <v>0</v>
      </c>
      <c r="X479" s="1">
        <f t="shared" si="350"/>
        <v>0</v>
      </c>
      <c r="Y479" s="1">
        <f t="shared" si="351"/>
        <v>0</v>
      </c>
      <c r="Z479" s="1">
        <f t="shared" si="352"/>
        <v>0</v>
      </c>
      <c r="AA479" s="1">
        <f t="shared" si="353"/>
        <v>0</v>
      </c>
      <c r="AB479" s="1">
        <f t="shared" si="354"/>
        <v>0</v>
      </c>
      <c r="AD479" s="1">
        <f t="shared" si="355"/>
        <v>1</v>
      </c>
      <c r="AE479" s="1">
        <f t="shared" si="356"/>
        <v>0</v>
      </c>
      <c r="AF479" s="1">
        <f t="shared" si="357"/>
        <v>1</v>
      </c>
      <c r="AG479" s="1">
        <f t="shared" si="358"/>
        <v>0</v>
      </c>
      <c r="AH479" s="1">
        <f t="shared" si="359"/>
        <v>1</v>
      </c>
      <c r="AI479" s="1">
        <f t="shared" si="360"/>
        <v>0</v>
      </c>
    </row>
    <row r="480" spans="1:35" ht="14.25" customHeight="1" x14ac:dyDescent="0.3">
      <c r="A480" s="31">
        <v>0</v>
      </c>
      <c r="B480" s="31">
        <v>2</v>
      </c>
      <c r="C480" s="31">
        <v>7</v>
      </c>
      <c r="D480" s="32" t="s">
        <v>589</v>
      </c>
      <c r="E480" s="32" t="s">
        <v>1337</v>
      </c>
      <c r="F480" s="32" t="s">
        <v>676</v>
      </c>
      <c r="G480" s="32" t="s">
        <v>240</v>
      </c>
      <c r="H480" s="32" t="s">
        <v>354</v>
      </c>
      <c r="I480" s="31" t="s">
        <v>405</v>
      </c>
      <c r="J480" s="31">
        <v>1</v>
      </c>
      <c r="K480" s="33" t="s">
        <v>713</v>
      </c>
      <c r="L480" s="33" t="s">
        <v>1711</v>
      </c>
      <c r="M480" s="34" t="s">
        <v>1439</v>
      </c>
      <c r="N480" s="34" t="s">
        <v>1748</v>
      </c>
      <c r="O480" s="35">
        <v>1</v>
      </c>
      <c r="P480" s="35"/>
      <c r="Q480" s="32"/>
      <c r="S480" s="1">
        <f t="shared" si="309"/>
        <v>1</v>
      </c>
      <c r="T480" s="1">
        <f t="shared" si="310"/>
        <v>0</v>
      </c>
      <c r="U480" s="1">
        <f t="shared" si="311"/>
        <v>0</v>
      </c>
      <c r="V480" s="1">
        <f t="shared" si="312"/>
        <v>0</v>
      </c>
      <c r="W480" s="1">
        <f t="shared" si="313"/>
        <v>0</v>
      </c>
      <c r="X480" s="1">
        <f t="shared" si="314"/>
        <v>0</v>
      </c>
      <c r="Y480" s="1">
        <f t="shared" si="315"/>
        <v>0</v>
      </c>
      <c r="Z480" s="1">
        <f t="shared" si="316"/>
        <v>0</v>
      </c>
      <c r="AA480" s="1">
        <f t="shared" si="317"/>
        <v>0</v>
      </c>
      <c r="AB480" s="1">
        <f t="shared" si="318"/>
        <v>0</v>
      </c>
      <c r="AD480" s="1">
        <f t="shared" ref="AD480" si="361">+O480*P480</f>
        <v>0</v>
      </c>
      <c r="AE480" s="1">
        <f t="shared" ref="AE480" si="362">O480*(1-P480)</f>
        <v>1</v>
      </c>
      <c r="AF480" s="1">
        <f t="shared" ref="AF480:AF495" si="363">+O480*P480*(1-A480)</f>
        <v>0</v>
      </c>
      <c r="AG480" s="1">
        <f t="shared" ref="AG480:AG495" si="364">O480*(1-P480)*(1-A480)</f>
        <v>1</v>
      </c>
      <c r="AH480" s="1">
        <f t="shared" ref="AH480:AH495" si="365">+P480*(1-A480)</f>
        <v>0</v>
      </c>
      <c r="AI480" s="1">
        <f t="shared" ref="AI480:AI495" si="366">+(1-A480)*(1-P480)</f>
        <v>1</v>
      </c>
    </row>
    <row r="481" spans="1:35" ht="14.25" customHeight="1" x14ac:dyDescent="0.3">
      <c r="A481" s="31">
        <v>1</v>
      </c>
      <c r="B481" s="31">
        <v>2</v>
      </c>
      <c r="C481" s="31">
        <v>7</v>
      </c>
      <c r="D481" s="32" t="s">
        <v>589</v>
      </c>
      <c r="E481" s="32" t="s">
        <v>1337</v>
      </c>
      <c r="F481" s="32" t="s">
        <v>239</v>
      </c>
      <c r="G481" s="32" t="s">
        <v>178</v>
      </c>
      <c r="H481" s="32" t="s">
        <v>354</v>
      </c>
      <c r="I481" s="31" t="s">
        <v>404</v>
      </c>
      <c r="J481" s="31">
        <v>1</v>
      </c>
      <c r="K481" s="33" t="s">
        <v>713</v>
      </c>
      <c r="L481" s="33" t="s">
        <v>1711</v>
      </c>
      <c r="M481" s="34" t="s">
        <v>1439</v>
      </c>
      <c r="N481" s="34" t="s">
        <v>1748</v>
      </c>
      <c r="O481" s="35">
        <v>1</v>
      </c>
      <c r="P481" s="35"/>
      <c r="Q481" s="36" t="s">
        <v>1911</v>
      </c>
      <c r="S481" s="1">
        <f t="shared" si="309"/>
        <v>1</v>
      </c>
      <c r="T481" s="1">
        <f t="shared" si="310"/>
        <v>0</v>
      </c>
      <c r="U481" s="1">
        <f t="shared" si="311"/>
        <v>0</v>
      </c>
      <c r="V481" s="1">
        <f t="shared" si="312"/>
        <v>0</v>
      </c>
      <c r="W481" s="1">
        <f t="shared" si="313"/>
        <v>0</v>
      </c>
      <c r="X481" s="1">
        <f t="shared" si="314"/>
        <v>0</v>
      </c>
      <c r="Y481" s="1">
        <f t="shared" si="315"/>
        <v>0</v>
      </c>
      <c r="Z481" s="1">
        <f t="shared" si="316"/>
        <v>0</v>
      </c>
      <c r="AA481" s="1">
        <f t="shared" si="317"/>
        <v>0</v>
      </c>
      <c r="AB481" s="1">
        <f t="shared" si="318"/>
        <v>0</v>
      </c>
      <c r="AD481" s="1">
        <f t="shared" si="319"/>
        <v>0</v>
      </c>
      <c r="AE481" s="1">
        <f t="shared" si="320"/>
        <v>1</v>
      </c>
      <c r="AF481" s="1">
        <f t="shared" si="363"/>
        <v>0</v>
      </c>
      <c r="AG481" s="1">
        <f t="shared" si="364"/>
        <v>0</v>
      </c>
      <c r="AH481" s="1">
        <f t="shared" si="365"/>
        <v>0</v>
      </c>
      <c r="AI481" s="1">
        <f t="shared" si="366"/>
        <v>0</v>
      </c>
    </row>
    <row r="482" spans="1:35" ht="14.25" customHeight="1" x14ac:dyDescent="0.3">
      <c r="A482" s="31">
        <v>0</v>
      </c>
      <c r="B482" s="31">
        <v>2</v>
      </c>
      <c r="C482" s="31">
        <v>7</v>
      </c>
      <c r="D482" s="32" t="s">
        <v>1330</v>
      </c>
      <c r="E482" s="32" t="s">
        <v>156</v>
      </c>
      <c r="F482" s="32" t="s">
        <v>1356</v>
      </c>
      <c r="G482" s="32" t="s">
        <v>258</v>
      </c>
      <c r="H482" s="32" t="s">
        <v>354</v>
      </c>
      <c r="I482" s="31" t="s">
        <v>1239</v>
      </c>
      <c r="J482" s="31">
        <v>8</v>
      </c>
      <c r="K482" s="33" t="s">
        <v>955</v>
      </c>
      <c r="L482" s="33" t="s">
        <v>722</v>
      </c>
      <c r="M482" s="34" t="s">
        <v>732</v>
      </c>
      <c r="N482" s="34" t="s">
        <v>1748</v>
      </c>
      <c r="O482" s="35">
        <v>1</v>
      </c>
      <c r="P482" s="35"/>
      <c r="Q482" s="32"/>
      <c r="S482" s="1">
        <f t="shared" si="309"/>
        <v>0</v>
      </c>
      <c r="T482" s="1">
        <f t="shared" si="310"/>
        <v>0</v>
      </c>
      <c r="U482" s="1">
        <f t="shared" si="311"/>
        <v>0</v>
      </c>
      <c r="V482" s="1">
        <f t="shared" si="312"/>
        <v>0</v>
      </c>
      <c r="W482" s="1">
        <f t="shared" si="313"/>
        <v>0</v>
      </c>
      <c r="X482" s="1">
        <f t="shared" si="314"/>
        <v>0</v>
      </c>
      <c r="Y482" s="1">
        <f t="shared" si="315"/>
        <v>0</v>
      </c>
      <c r="Z482" s="1">
        <f t="shared" si="316"/>
        <v>1</v>
      </c>
      <c r="AA482" s="1">
        <f t="shared" si="317"/>
        <v>0</v>
      </c>
      <c r="AB482" s="1">
        <f t="shared" si="318"/>
        <v>0</v>
      </c>
      <c r="AD482" s="1">
        <f t="shared" si="319"/>
        <v>0</v>
      </c>
      <c r="AE482" s="1">
        <f t="shared" si="320"/>
        <v>1</v>
      </c>
      <c r="AF482" s="1">
        <f t="shared" si="363"/>
        <v>0</v>
      </c>
      <c r="AG482" s="1">
        <f t="shared" si="364"/>
        <v>1</v>
      </c>
      <c r="AH482" s="1">
        <f t="shared" si="365"/>
        <v>0</v>
      </c>
      <c r="AI482" s="1">
        <f t="shared" si="366"/>
        <v>1</v>
      </c>
    </row>
    <row r="483" spans="1:35" ht="14.25" customHeight="1" x14ac:dyDescent="0.3">
      <c r="A483" s="31">
        <v>1</v>
      </c>
      <c r="B483" s="31">
        <v>2</v>
      </c>
      <c r="C483" s="31">
        <v>7</v>
      </c>
      <c r="D483" s="32" t="s">
        <v>1330</v>
      </c>
      <c r="E483" s="32" t="s">
        <v>156</v>
      </c>
      <c r="F483" s="32" t="s">
        <v>1218</v>
      </c>
      <c r="G483" s="32" t="s">
        <v>218</v>
      </c>
      <c r="H483" s="32" t="s">
        <v>354</v>
      </c>
      <c r="I483" s="31" t="s">
        <v>1239</v>
      </c>
      <c r="J483" s="31">
        <v>99</v>
      </c>
      <c r="K483" s="33" t="s">
        <v>955</v>
      </c>
      <c r="L483" s="33" t="s">
        <v>722</v>
      </c>
      <c r="M483" s="34" t="s">
        <v>732</v>
      </c>
      <c r="N483" s="34" t="s">
        <v>1748</v>
      </c>
      <c r="O483" s="35">
        <v>1</v>
      </c>
      <c r="P483" s="35"/>
      <c r="Q483" s="32"/>
      <c r="S483" s="1">
        <f t="shared" si="309"/>
        <v>0</v>
      </c>
      <c r="T483" s="1">
        <f t="shared" si="310"/>
        <v>0</v>
      </c>
      <c r="U483" s="1">
        <f t="shared" si="311"/>
        <v>0</v>
      </c>
      <c r="V483" s="1">
        <f t="shared" si="312"/>
        <v>0</v>
      </c>
      <c r="W483" s="1">
        <f t="shared" si="313"/>
        <v>0</v>
      </c>
      <c r="X483" s="1">
        <f t="shared" si="314"/>
        <v>0</v>
      </c>
      <c r="Y483" s="1">
        <f t="shared" si="315"/>
        <v>0</v>
      </c>
      <c r="Z483" s="1">
        <f t="shared" si="316"/>
        <v>0</v>
      </c>
      <c r="AA483" s="1">
        <f t="shared" si="317"/>
        <v>0</v>
      </c>
      <c r="AB483" s="1">
        <f t="shared" si="318"/>
        <v>0</v>
      </c>
      <c r="AD483" s="1">
        <f t="shared" si="319"/>
        <v>0</v>
      </c>
      <c r="AE483" s="1">
        <f t="shared" si="320"/>
        <v>1</v>
      </c>
      <c r="AF483" s="1">
        <f t="shared" si="363"/>
        <v>0</v>
      </c>
      <c r="AG483" s="1">
        <f t="shared" si="364"/>
        <v>0</v>
      </c>
      <c r="AH483" s="1">
        <f t="shared" si="365"/>
        <v>0</v>
      </c>
      <c r="AI483" s="1">
        <f t="shared" si="366"/>
        <v>0</v>
      </c>
    </row>
    <row r="484" spans="1:35" ht="14.25" customHeight="1" x14ac:dyDescent="0.3">
      <c r="A484" s="44">
        <v>0</v>
      </c>
      <c r="B484" s="44">
        <v>2</v>
      </c>
      <c r="C484" s="44">
        <v>7</v>
      </c>
      <c r="D484" s="45" t="s">
        <v>1248</v>
      </c>
      <c r="E484" s="45" t="s">
        <v>156</v>
      </c>
      <c r="F484" s="45" t="s">
        <v>1250</v>
      </c>
      <c r="G484" s="45" t="s">
        <v>220</v>
      </c>
      <c r="H484" s="45" t="s">
        <v>354</v>
      </c>
      <c r="I484" s="44" t="s">
        <v>1370</v>
      </c>
      <c r="J484" s="44">
        <v>8</v>
      </c>
      <c r="K484" s="46" t="s">
        <v>954</v>
      </c>
      <c r="L484" s="46" t="s">
        <v>722</v>
      </c>
      <c r="M484" s="47" t="s">
        <v>732</v>
      </c>
      <c r="N484" s="47" t="s">
        <v>1735</v>
      </c>
      <c r="O484" s="48"/>
      <c r="P484" s="48"/>
      <c r="Q484" s="45"/>
      <c r="S484" s="1">
        <f t="shared" si="309"/>
        <v>0</v>
      </c>
      <c r="T484" s="1">
        <f t="shared" si="310"/>
        <v>0</v>
      </c>
      <c r="U484" s="1">
        <f t="shared" si="311"/>
        <v>0</v>
      </c>
      <c r="V484" s="1">
        <f t="shared" si="312"/>
        <v>0</v>
      </c>
      <c r="W484" s="1">
        <f t="shared" si="313"/>
        <v>0</v>
      </c>
      <c r="X484" s="1">
        <f t="shared" si="314"/>
        <v>0</v>
      </c>
      <c r="Y484" s="1">
        <f t="shared" si="315"/>
        <v>0</v>
      </c>
      <c r="Z484" s="1">
        <f t="shared" si="316"/>
        <v>1</v>
      </c>
      <c r="AA484" s="1">
        <f t="shared" si="317"/>
        <v>0</v>
      </c>
      <c r="AB484" s="1">
        <f t="shared" si="318"/>
        <v>0</v>
      </c>
      <c r="AD484" s="1">
        <f t="shared" si="319"/>
        <v>0</v>
      </c>
      <c r="AE484" s="1">
        <f t="shared" si="320"/>
        <v>0</v>
      </c>
      <c r="AF484" s="1">
        <f t="shared" si="363"/>
        <v>0</v>
      </c>
      <c r="AG484" s="1">
        <f t="shared" si="364"/>
        <v>0</v>
      </c>
      <c r="AH484" s="1">
        <f t="shared" si="365"/>
        <v>0</v>
      </c>
      <c r="AI484" s="1">
        <f t="shared" si="366"/>
        <v>1</v>
      </c>
    </row>
    <row r="485" spans="1:35" ht="14.25" customHeight="1" x14ac:dyDescent="0.3">
      <c r="A485" s="44">
        <v>1</v>
      </c>
      <c r="B485" s="44">
        <v>2</v>
      </c>
      <c r="C485" s="44">
        <v>7</v>
      </c>
      <c r="D485" s="45" t="s">
        <v>1248</v>
      </c>
      <c r="E485" s="45" t="s">
        <v>156</v>
      </c>
      <c r="F485" s="45" t="s">
        <v>1357</v>
      </c>
      <c r="G485" s="45" t="s">
        <v>39</v>
      </c>
      <c r="H485" s="45" t="s">
        <v>355</v>
      </c>
      <c r="I485" s="44" t="s">
        <v>1249</v>
      </c>
      <c r="J485" s="44">
        <v>99</v>
      </c>
      <c r="K485" s="46" t="s">
        <v>954</v>
      </c>
      <c r="L485" s="46" t="s">
        <v>722</v>
      </c>
      <c r="M485" s="47" t="s">
        <v>732</v>
      </c>
      <c r="N485" s="47" t="s">
        <v>1735</v>
      </c>
      <c r="O485" s="48"/>
      <c r="P485" s="48"/>
      <c r="Q485" s="65" t="s">
        <v>1904</v>
      </c>
      <c r="S485" s="1">
        <f t="shared" ref="S485:S495" si="367">IF(J485=$S$7,1,0)</f>
        <v>0</v>
      </c>
      <c r="T485" s="1">
        <f t="shared" ref="T485:T495" si="368">IF(J485=$T$7,1,0)</f>
        <v>0</v>
      </c>
      <c r="U485" s="1">
        <f t="shared" ref="U485:U495" si="369">IF(J485=$U$7,1,0)</f>
        <v>0</v>
      </c>
      <c r="V485" s="1">
        <f t="shared" ref="V485:V495" si="370">IF(J485=$V$7,1,0)</f>
        <v>0</v>
      </c>
      <c r="W485" s="1">
        <f t="shared" ref="W485:W495" si="371">IF(J485=$W$7,1,0)</f>
        <v>0</v>
      </c>
      <c r="X485" s="1">
        <f t="shared" ref="X485:X495" si="372">IF(J485=$X$7,1,0)</f>
        <v>0</v>
      </c>
      <c r="Y485" s="1">
        <f t="shared" ref="Y485:Y495" si="373">IF(J485=$Y$7,1,0)</f>
        <v>0</v>
      </c>
      <c r="Z485" s="1">
        <f t="shared" ref="Z485:Z495" si="374">IF(J485=$Z$7,1,0)</f>
        <v>0</v>
      </c>
      <c r="AA485" s="1">
        <f t="shared" ref="AA485:AA495" si="375">IF(J485=$AA$7,1,0)</f>
        <v>0</v>
      </c>
      <c r="AB485" s="1">
        <f t="shared" ref="AB485:AB495" si="376">IF(J485=$AB$7,1,0)</f>
        <v>0</v>
      </c>
      <c r="AD485" s="1">
        <f>+O485*P485</f>
        <v>0</v>
      </c>
      <c r="AE485" s="1">
        <f>O485*(1-P485)</f>
        <v>0</v>
      </c>
      <c r="AF485" s="1">
        <f t="shared" si="363"/>
        <v>0</v>
      </c>
      <c r="AG485" s="1">
        <f t="shared" si="364"/>
        <v>0</v>
      </c>
      <c r="AH485" s="1">
        <f t="shared" si="365"/>
        <v>0</v>
      </c>
      <c r="AI485" s="1">
        <f t="shared" si="366"/>
        <v>0</v>
      </c>
    </row>
    <row r="486" spans="1:35" ht="14.25" customHeight="1" x14ac:dyDescent="0.3">
      <c r="A486" s="44">
        <v>1</v>
      </c>
      <c r="B486" s="44">
        <v>2</v>
      </c>
      <c r="C486" s="44">
        <v>7</v>
      </c>
      <c r="D486" s="45" t="s">
        <v>1248</v>
      </c>
      <c r="E486" s="45" t="s">
        <v>156</v>
      </c>
      <c r="F486" s="45" t="s">
        <v>1523</v>
      </c>
      <c r="G486" s="45" t="s">
        <v>235</v>
      </c>
      <c r="H486" s="45" t="s">
        <v>354</v>
      </c>
      <c r="I486" s="44" t="s">
        <v>1691</v>
      </c>
      <c r="J486" s="44">
        <v>99</v>
      </c>
      <c r="K486" s="46" t="s">
        <v>954</v>
      </c>
      <c r="L486" s="46" t="s">
        <v>722</v>
      </c>
      <c r="M486" s="47" t="s">
        <v>732</v>
      </c>
      <c r="N486" s="47" t="s">
        <v>1735</v>
      </c>
      <c r="O486" s="48"/>
      <c r="P486" s="48"/>
      <c r="Q486" s="45"/>
      <c r="S486" s="1">
        <f t="shared" si="367"/>
        <v>0</v>
      </c>
      <c r="T486" s="1">
        <f t="shared" si="368"/>
        <v>0</v>
      </c>
      <c r="U486" s="1">
        <f t="shared" si="369"/>
        <v>0</v>
      </c>
      <c r="V486" s="1">
        <f t="shared" si="370"/>
        <v>0</v>
      </c>
      <c r="W486" s="1">
        <f t="shared" si="371"/>
        <v>0</v>
      </c>
      <c r="X486" s="1">
        <f t="shared" si="372"/>
        <v>0</v>
      </c>
      <c r="Y486" s="1">
        <f t="shared" si="373"/>
        <v>0</v>
      </c>
      <c r="Z486" s="1">
        <f t="shared" si="374"/>
        <v>0</v>
      </c>
      <c r="AA486" s="1">
        <f t="shared" si="375"/>
        <v>0</v>
      </c>
      <c r="AB486" s="1">
        <f t="shared" si="376"/>
        <v>0</v>
      </c>
      <c r="AD486" s="1">
        <f>+O486*P486</f>
        <v>0</v>
      </c>
      <c r="AE486" s="1">
        <f>O486*(1-P486)</f>
        <v>0</v>
      </c>
      <c r="AF486" s="1">
        <f t="shared" si="363"/>
        <v>0</v>
      </c>
      <c r="AG486" s="1">
        <f t="shared" si="364"/>
        <v>0</v>
      </c>
      <c r="AH486" s="1">
        <f t="shared" si="365"/>
        <v>0</v>
      </c>
      <c r="AI486" s="1">
        <f t="shared" si="366"/>
        <v>0</v>
      </c>
    </row>
    <row r="487" spans="1:35" ht="14.25" customHeight="1" x14ac:dyDescent="0.3">
      <c r="A487" s="31">
        <v>0</v>
      </c>
      <c r="B487" s="31">
        <v>2</v>
      </c>
      <c r="C487" s="31">
        <v>7</v>
      </c>
      <c r="D487" s="32" t="s">
        <v>1850</v>
      </c>
      <c r="E487" s="32" t="s">
        <v>1851</v>
      </c>
      <c r="F487" s="32" t="s">
        <v>1852</v>
      </c>
      <c r="G487" s="32" t="s">
        <v>265</v>
      </c>
      <c r="H487" s="32" t="s">
        <v>354</v>
      </c>
      <c r="I487" s="31" t="s">
        <v>1853</v>
      </c>
      <c r="J487" s="31">
        <v>99</v>
      </c>
      <c r="K487" s="33" t="s">
        <v>703</v>
      </c>
      <c r="L487" s="33"/>
      <c r="M487" s="34"/>
      <c r="N487" s="34" t="s">
        <v>1727</v>
      </c>
      <c r="O487" s="35">
        <v>1</v>
      </c>
      <c r="P487" s="35">
        <v>1</v>
      </c>
      <c r="Q487" s="32"/>
      <c r="S487" s="1">
        <f t="shared" si="367"/>
        <v>0</v>
      </c>
      <c r="T487" s="1">
        <f t="shared" si="368"/>
        <v>0</v>
      </c>
      <c r="U487" s="1">
        <f t="shared" si="369"/>
        <v>0</v>
      </c>
      <c r="V487" s="1">
        <f t="shared" si="370"/>
        <v>0</v>
      </c>
      <c r="W487" s="1">
        <f t="shared" si="371"/>
        <v>0</v>
      </c>
      <c r="X487" s="1">
        <f t="shared" si="372"/>
        <v>0</v>
      </c>
      <c r="Y487" s="1">
        <f t="shared" si="373"/>
        <v>0</v>
      </c>
      <c r="Z487" s="1">
        <f t="shared" si="374"/>
        <v>0</v>
      </c>
      <c r="AA487" s="1">
        <f t="shared" si="375"/>
        <v>0</v>
      </c>
      <c r="AB487" s="1">
        <f t="shared" si="376"/>
        <v>0</v>
      </c>
      <c r="AD487" s="1">
        <f>+O487*P487</f>
        <v>1</v>
      </c>
      <c r="AE487" s="1">
        <f>O487*(1-P487)</f>
        <v>0</v>
      </c>
      <c r="AF487" s="1">
        <f t="shared" si="363"/>
        <v>1</v>
      </c>
      <c r="AG487" s="1">
        <f t="shared" si="364"/>
        <v>0</v>
      </c>
      <c r="AH487" s="1">
        <f t="shared" si="365"/>
        <v>1</v>
      </c>
      <c r="AI487" s="1">
        <f t="shared" si="366"/>
        <v>0</v>
      </c>
    </row>
    <row r="488" spans="1:35" ht="14.25" customHeight="1" x14ac:dyDescent="0.3">
      <c r="A488" s="44">
        <v>0</v>
      </c>
      <c r="B488" s="44">
        <v>2</v>
      </c>
      <c r="C488" s="44">
        <v>7</v>
      </c>
      <c r="D488" s="45" t="s">
        <v>1243</v>
      </c>
      <c r="E488" s="45" t="s">
        <v>28</v>
      </c>
      <c r="F488" s="45" t="s">
        <v>1236</v>
      </c>
      <c r="G488" s="45" t="s">
        <v>1237</v>
      </c>
      <c r="H488" s="45" t="s">
        <v>354</v>
      </c>
      <c r="I488" s="44" t="s">
        <v>1238</v>
      </c>
      <c r="J488" s="44">
        <v>99</v>
      </c>
      <c r="K488" s="46" t="s">
        <v>712</v>
      </c>
      <c r="L488" s="46" t="s">
        <v>713</v>
      </c>
      <c r="M488" s="47" t="s">
        <v>731</v>
      </c>
      <c r="N488" s="47" t="s">
        <v>1735</v>
      </c>
      <c r="O488" s="48"/>
      <c r="P488" s="48"/>
      <c r="Q488" s="45"/>
      <c r="S488" s="1">
        <f t="shared" si="367"/>
        <v>0</v>
      </c>
      <c r="T488" s="1">
        <f t="shared" si="368"/>
        <v>0</v>
      </c>
      <c r="U488" s="1">
        <f t="shared" si="369"/>
        <v>0</v>
      </c>
      <c r="V488" s="1">
        <f t="shared" si="370"/>
        <v>0</v>
      </c>
      <c r="W488" s="1">
        <f t="shared" si="371"/>
        <v>0</v>
      </c>
      <c r="X488" s="1">
        <f t="shared" si="372"/>
        <v>0</v>
      </c>
      <c r="Y488" s="1">
        <f t="shared" si="373"/>
        <v>0</v>
      </c>
      <c r="Z488" s="1">
        <f t="shared" si="374"/>
        <v>0</v>
      </c>
      <c r="AA488" s="1">
        <f t="shared" si="375"/>
        <v>0</v>
      </c>
      <c r="AB488" s="1">
        <f t="shared" si="376"/>
        <v>0</v>
      </c>
      <c r="AD488" s="1">
        <f t="shared" ref="AD488:AD495" si="377">+O488*P488</f>
        <v>0</v>
      </c>
      <c r="AE488" s="1">
        <f t="shared" ref="AE488:AE495" si="378">O488*(1-P488)</f>
        <v>0</v>
      </c>
      <c r="AF488" s="1">
        <f t="shared" si="363"/>
        <v>0</v>
      </c>
      <c r="AG488" s="1">
        <f t="shared" si="364"/>
        <v>0</v>
      </c>
      <c r="AH488" s="1">
        <f t="shared" si="365"/>
        <v>0</v>
      </c>
      <c r="AI488" s="1">
        <f t="shared" si="366"/>
        <v>1</v>
      </c>
    </row>
    <row r="489" spans="1:35" ht="14.25" customHeight="1" x14ac:dyDescent="0.3">
      <c r="A489" s="44">
        <v>1</v>
      </c>
      <c r="B489" s="44">
        <v>2</v>
      </c>
      <c r="C489" s="44">
        <v>7</v>
      </c>
      <c r="D489" s="45" t="s">
        <v>1240</v>
      </c>
      <c r="E489" s="45" t="s">
        <v>28</v>
      </c>
      <c r="F489" s="45" t="s">
        <v>1241</v>
      </c>
      <c r="G489" s="45" t="s">
        <v>523</v>
      </c>
      <c r="H489" s="45" t="s">
        <v>354</v>
      </c>
      <c r="I489" s="44" t="s">
        <v>1242</v>
      </c>
      <c r="J489" s="44">
        <v>99</v>
      </c>
      <c r="K489" s="46" t="s">
        <v>712</v>
      </c>
      <c r="L489" s="46" t="s">
        <v>713</v>
      </c>
      <c r="M489" s="47" t="s">
        <v>731</v>
      </c>
      <c r="N489" s="47" t="s">
        <v>1735</v>
      </c>
      <c r="O489" s="48"/>
      <c r="P489" s="48"/>
      <c r="Q489" s="45"/>
      <c r="S489" s="1">
        <f t="shared" si="367"/>
        <v>0</v>
      </c>
      <c r="T489" s="1">
        <f t="shared" si="368"/>
        <v>0</v>
      </c>
      <c r="U489" s="1">
        <f t="shared" si="369"/>
        <v>0</v>
      </c>
      <c r="V489" s="1">
        <f t="shared" si="370"/>
        <v>0</v>
      </c>
      <c r="W489" s="1">
        <f t="shared" si="371"/>
        <v>0</v>
      </c>
      <c r="X489" s="1">
        <f t="shared" si="372"/>
        <v>0</v>
      </c>
      <c r="Y489" s="1">
        <f t="shared" si="373"/>
        <v>0</v>
      </c>
      <c r="Z489" s="1">
        <f t="shared" si="374"/>
        <v>0</v>
      </c>
      <c r="AA489" s="1">
        <f t="shared" si="375"/>
        <v>0</v>
      </c>
      <c r="AB489" s="1">
        <f t="shared" si="376"/>
        <v>0</v>
      </c>
      <c r="AD489" s="1">
        <f t="shared" si="377"/>
        <v>0</v>
      </c>
      <c r="AE489" s="1">
        <f t="shared" si="378"/>
        <v>0</v>
      </c>
      <c r="AF489" s="1">
        <f t="shared" si="363"/>
        <v>0</v>
      </c>
      <c r="AG489" s="1">
        <f t="shared" si="364"/>
        <v>0</v>
      </c>
      <c r="AH489" s="1">
        <f t="shared" si="365"/>
        <v>0</v>
      </c>
      <c r="AI489" s="1">
        <f t="shared" si="366"/>
        <v>0</v>
      </c>
    </row>
    <row r="490" spans="1:35" ht="14.25" customHeight="1" x14ac:dyDescent="0.3">
      <c r="A490" s="31">
        <v>0</v>
      </c>
      <c r="B490" s="31">
        <v>2</v>
      </c>
      <c r="C490" s="31">
        <v>7</v>
      </c>
      <c r="D490" s="32" t="s">
        <v>1846</v>
      </c>
      <c r="E490" s="32" t="s">
        <v>1168</v>
      </c>
      <c r="F490" s="32" t="s">
        <v>1847</v>
      </c>
      <c r="G490" s="32"/>
      <c r="H490" s="32" t="s">
        <v>354</v>
      </c>
      <c r="I490" s="31" t="s">
        <v>1848</v>
      </c>
      <c r="J490" s="31">
        <v>6</v>
      </c>
      <c r="K490" s="33" t="s">
        <v>703</v>
      </c>
      <c r="L490" s="33"/>
      <c r="M490" s="34"/>
      <c r="N490" s="34" t="s">
        <v>1748</v>
      </c>
      <c r="O490" s="35">
        <v>1</v>
      </c>
      <c r="P490" s="35"/>
      <c r="Q490" s="32"/>
      <c r="S490" s="1">
        <f t="shared" si="367"/>
        <v>0</v>
      </c>
      <c r="T490" s="1">
        <f t="shared" si="368"/>
        <v>0</v>
      </c>
      <c r="U490" s="1">
        <f t="shared" si="369"/>
        <v>0</v>
      </c>
      <c r="V490" s="1">
        <f t="shared" si="370"/>
        <v>0</v>
      </c>
      <c r="W490" s="1">
        <f t="shared" si="371"/>
        <v>0</v>
      </c>
      <c r="X490" s="1">
        <f t="shared" si="372"/>
        <v>1</v>
      </c>
      <c r="Y490" s="1">
        <f t="shared" si="373"/>
        <v>0</v>
      </c>
      <c r="Z490" s="1">
        <f t="shared" si="374"/>
        <v>0</v>
      </c>
      <c r="AA490" s="1">
        <f t="shared" si="375"/>
        <v>0</v>
      </c>
      <c r="AB490" s="1">
        <f t="shared" si="376"/>
        <v>0</v>
      </c>
      <c r="AD490" s="1">
        <f t="shared" si="377"/>
        <v>0</v>
      </c>
      <c r="AE490" s="1">
        <f t="shared" si="378"/>
        <v>1</v>
      </c>
      <c r="AF490" s="1">
        <f t="shared" si="363"/>
        <v>0</v>
      </c>
      <c r="AG490" s="1">
        <f t="shared" si="364"/>
        <v>1</v>
      </c>
      <c r="AH490" s="1">
        <f t="shared" si="365"/>
        <v>0</v>
      </c>
      <c r="AI490" s="1">
        <f t="shared" si="366"/>
        <v>1</v>
      </c>
    </row>
    <row r="491" spans="1:35" ht="14.25" customHeight="1" x14ac:dyDescent="0.3">
      <c r="A491" s="44">
        <v>0</v>
      </c>
      <c r="B491" s="44">
        <v>2</v>
      </c>
      <c r="C491" s="44">
        <v>7</v>
      </c>
      <c r="D491" s="45" t="s">
        <v>1458</v>
      </c>
      <c r="E491" s="45" t="s">
        <v>28</v>
      </c>
      <c r="F491" s="45" t="s">
        <v>1459</v>
      </c>
      <c r="G491" s="45" t="s">
        <v>1460</v>
      </c>
      <c r="H491" s="45" t="s">
        <v>354</v>
      </c>
      <c r="I491" s="44" t="s">
        <v>1461</v>
      </c>
      <c r="J491" s="44">
        <v>99</v>
      </c>
      <c r="K491" s="46" t="s">
        <v>712</v>
      </c>
      <c r="L491" s="46" t="s">
        <v>713</v>
      </c>
      <c r="M491" s="47" t="s">
        <v>731</v>
      </c>
      <c r="N491" s="47" t="s">
        <v>1735</v>
      </c>
      <c r="O491" s="48"/>
      <c r="P491" s="48"/>
      <c r="Q491" s="45" t="s">
        <v>1931</v>
      </c>
      <c r="S491" s="1">
        <f t="shared" si="367"/>
        <v>0</v>
      </c>
      <c r="T491" s="1">
        <f t="shared" si="368"/>
        <v>0</v>
      </c>
      <c r="U491" s="1">
        <f t="shared" si="369"/>
        <v>0</v>
      </c>
      <c r="V491" s="1">
        <f t="shared" si="370"/>
        <v>0</v>
      </c>
      <c r="W491" s="1">
        <f t="shared" si="371"/>
        <v>0</v>
      </c>
      <c r="X491" s="1">
        <f t="shared" si="372"/>
        <v>0</v>
      </c>
      <c r="Y491" s="1">
        <f t="shared" si="373"/>
        <v>0</v>
      </c>
      <c r="Z491" s="1">
        <f t="shared" si="374"/>
        <v>0</v>
      </c>
      <c r="AA491" s="1">
        <f t="shared" si="375"/>
        <v>0</v>
      </c>
      <c r="AB491" s="1">
        <f t="shared" si="376"/>
        <v>0</v>
      </c>
      <c r="AD491" s="1">
        <f t="shared" si="377"/>
        <v>0</v>
      </c>
      <c r="AE491" s="1">
        <f t="shared" si="378"/>
        <v>0</v>
      </c>
      <c r="AF491" s="1">
        <f t="shared" si="363"/>
        <v>0</v>
      </c>
      <c r="AG491" s="1">
        <f t="shared" si="364"/>
        <v>0</v>
      </c>
      <c r="AH491" s="1">
        <f t="shared" si="365"/>
        <v>0</v>
      </c>
      <c r="AI491" s="1">
        <f t="shared" si="366"/>
        <v>1</v>
      </c>
    </row>
    <row r="492" spans="1:35" ht="14.25" customHeight="1" x14ac:dyDescent="0.3">
      <c r="A492" s="31">
        <v>0</v>
      </c>
      <c r="B492" s="31">
        <v>2</v>
      </c>
      <c r="C492" s="31">
        <v>7</v>
      </c>
      <c r="D492" s="32" t="s">
        <v>43</v>
      </c>
      <c r="E492" s="32" t="s">
        <v>541</v>
      </c>
      <c r="F492" s="32" t="s">
        <v>575</v>
      </c>
      <c r="G492" s="32" t="s">
        <v>235</v>
      </c>
      <c r="H492" s="32" t="s">
        <v>354</v>
      </c>
      <c r="I492" s="31" t="s">
        <v>582</v>
      </c>
      <c r="J492" s="31">
        <v>99</v>
      </c>
      <c r="K492" s="33" t="s">
        <v>712</v>
      </c>
      <c r="L492" s="33" t="s">
        <v>729</v>
      </c>
      <c r="M492" s="34" t="s">
        <v>1440</v>
      </c>
      <c r="N492" s="34" t="s">
        <v>1748</v>
      </c>
      <c r="O492" s="35">
        <v>1</v>
      </c>
      <c r="P492" s="35"/>
      <c r="Q492" s="32"/>
      <c r="S492" s="1">
        <f t="shared" si="367"/>
        <v>0</v>
      </c>
      <c r="T492" s="1">
        <f t="shared" si="368"/>
        <v>0</v>
      </c>
      <c r="U492" s="1">
        <f t="shared" si="369"/>
        <v>0</v>
      </c>
      <c r="V492" s="1">
        <f t="shared" si="370"/>
        <v>0</v>
      </c>
      <c r="W492" s="1">
        <f t="shared" si="371"/>
        <v>0</v>
      </c>
      <c r="X492" s="1">
        <f t="shared" si="372"/>
        <v>0</v>
      </c>
      <c r="Y492" s="1">
        <f t="shared" si="373"/>
        <v>0</v>
      </c>
      <c r="Z492" s="1">
        <f t="shared" si="374"/>
        <v>0</v>
      </c>
      <c r="AA492" s="1">
        <f t="shared" si="375"/>
        <v>0</v>
      </c>
      <c r="AB492" s="1">
        <f t="shared" si="376"/>
        <v>0</v>
      </c>
      <c r="AD492" s="1">
        <f t="shared" si="377"/>
        <v>0</v>
      </c>
      <c r="AE492" s="1">
        <f t="shared" si="378"/>
        <v>1</v>
      </c>
      <c r="AF492" s="1">
        <f t="shared" si="363"/>
        <v>0</v>
      </c>
      <c r="AG492" s="1">
        <f t="shared" si="364"/>
        <v>1</v>
      </c>
      <c r="AH492" s="1">
        <f t="shared" si="365"/>
        <v>0</v>
      </c>
      <c r="AI492" s="1">
        <f t="shared" si="366"/>
        <v>1</v>
      </c>
    </row>
    <row r="493" spans="1:35" ht="14.25" customHeight="1" x14ac:dyDescent="0.3">
      <c r="A493" s="31">
        <v>1</v>
      </c>
      <c r="B493" s="31">
        <v>2</v>
      </c>
      <c r="C493" s="31">
        <v>7</v>
      </c>
      <c r="D493" s="32" t="s">
        <v>43</v>
      </c>
      <c r="E493" s="32" t="s">
        <v>541</v>
      </c>
      <c r="F493" s="32" t="s">
        <v>271</v>
      </c>
      <c r="G493" s="32" t="s">
        <v>180</v>
      </c>
      <c r="H493" s="32" t="s">
        <v>354</v>
      </c>
      <c r="I493" s="31" t="s">
        <v>426</v>
      </c>
      <c r="J493" s="31">
        <v>10</v>
      </c>
      <c r="K493" s="33" t="s">
        <v>712</v>
      </c>
      <c r="L493" s="33" t="s">
        <v>729</v>
      </c>
      <c r="M493" s="34" t="s">
        <v>1440</v>
      </c>
      <c r="N493" s="34" t="s">
        <v>1748</v>
      </c>
      <c r="O493" s="35">
        <v>1</v>
      </c>
      <c r="P493" s="35"/>
      <c r="Q493" s="32"/>
      <c r="S493" s="1">
        <f t="shared" si="367"/>
        <v>0</v>
      </c>
      <c r="T493" s="1">
        <f t="shared" si="368"/>
        <v>0</v>
      </c>
      <c r="U493" s="1">
        <f t="shared" si="369"/>
        <v>0</v>
      </c>
      <c r="V493" s="1">
        <f t="shared" si="370"/>
        <v>0</v>
      </c>
      <c r="W493" s="1">
        <f t="shared" si="371"/>
        <v>0</v>
      </c>
      <c r="X493" s="1">
        <f t="shared" si="372"/>
        <v>0</v>
      </c>
      <c r="Y493" s="1">
        <f t="shared" si="373"/>
        <v>0</v>
      </c>
      <c r="Z493" s="1">
        <f t="shared" si="374"/>
        <v>0</v>
      </c>
      <c r="AA493" s="1">
        <f t="shared" si="375"/>
        <v>0</v>
      </c>
      <c r="AB493" s="1">
        <f t="shared" si="376"/>
        <v>1</v>
      </c>
      <c r="AD493" s="1">
        <f t="shared" si="377"/>
        <v>0</v>
      </c>
      <c r="AE493" s="1">
        <f t="shared" si="378"/>
        <v>1</v>
      </c>
      <c r="AF493" s="1">
        <f t="shared" si="363"/>
        <v>0</v>
      </c>
      <c r="AG493" s="1">
        <f t="shared" si="364"/>
        <v>0</v>
      </c>
      <c r="AH493" s="1">
        <f t="shared" si="365"/>
        <v>0</v>
      </c>
      <c r="AI493" s="1">
        <f t="shared" si="366"/>
        <v>0</v>
      </c>
    </row>
    <row r="494" spans="1:35" ht="14.25" customHeight="1" x14ac:dyDescent="0.3">
      <c r="A494" s="31">
        <v>1</v>
      </c>
      <c r="B494" s="31">
        <v>2</v>
      </c>
      <c r="C494" s="31">
        <v>7</v>
      </c>
      <c r="D494" s="32" t="s">
        <v>43</v>
      </c>
      <c r="E494" s="32" t="s">
        <v>541</v>
      </c>
      <c r="F494" s="32" t="s">
        <v>272</v>
      </c>
      <c r="G494" s="32" t="s">
        <v>39</v>
      </c>
      <c r="H494" s="32" t="s">
        <v>354</v>
      </c>
      <c r="I494" s="31" t="s">
        <v>427</v>
      </c>
      <c r="J494" s="31">
        <v>5</v>
      </c>
      <c r="K494" s="33" t="s">
        <v>712</v>
      </c>
      <c r="L494" s="33" t="s">
        <v>729</v>
      </c>
      <c r="M494" s="34" t="s">
        <v>1440</v>
      </c>
      <c r="N494" s="34" t="s">
        <v>1748</v>
      </c>
      <c r="O494" s="35">
        <v>1</v>
      </c>
      <c r="P494" s="35"/>
      <c r="Q494" s="32"/>
      <c r="S494" s="1">
        <f t="shared" si="367"/>
        <v>0</v>
      </c>
      <c r="T494" s="1">
        <f t="shared" si="368"/>
        <v>0</v>
      </c>
      <c r="U494" s="1">
        <f t="shared" si="369"/>
        <v>0</v>
      </c>
      <c r="V494" s="1">
        <f t="shared" si="370"/>
        <v>0</v>
      </c>
      <c r="W494" s="1">
        <f t="shared" si="371"/>
        <v>1</v>
      </c>
      <c r="X494" s="1">
        <f t="shared" si="372"/>
        <v>0</v>
      </c>
      <c r="Y494" s="1">
        <f t="shared" si="373"/>
        <v>0</v>
      </c>
      <c r="Z494" s="1">
        <f t="shared" si="374"/>
        <v>0</v>
      </c>
      <c r="AA494" s="1">
        <f t="shared" si="375"/>
        <v>0</v>
      </c>
      <c r="AB494" s="1">
        <f t="shared" si="376"/>
        <v>0</v>
      </c>
      <c r="AD494" s="1">
        <f t="shared" si="377"/>
        <v>0</v>
      </c>
      <c r="AE494" s="1">
        <f t="shared" si="378"/>
        <v>1</v>
      </c>
      <c r="AF494" s="1">
        <f t="shared" si="363"/>
        <v>0</v>
      </c>
      <c r="AG494" s="1">
        <f t="shared" si="364"/>
        <v>0</v>
      </c>
      <c r="AH494" s="1">
        <f t="shared" si="365"/>
        <v>0</v>
      </c>
      <c r="AI494" s="1">
        <f t="shared" si="366"/>
        <v>0</v>
      </c>
    </row>
    <row r="495" spans="1:35" ht="14.25" customHeight="1" x14ac:dyDescent="0.3">
      <c r="A495" s="31">
        <v>1</v>
      </c>
      <c r="B495" s="31">
        <v>2</v>
      </c>
      <c r="C495" s="31">
        <v>7</v>
      </c>
      <c r="D495" s="32" t="s">
        <v>43</v>
      </c>
      <c r="E495" s="32" t="s">
        <v>541</v>
      </c>
      <c r="F495" s="32" t="s">
        <v>276</v>
      </c>
      <c r="G495" s="32" t="s">
        <v>194</v>
      </c>
      <c r="H495" s="32" t="s">
        <v>354</v>
      </c>
      <c r="I495" s="31" t="s">
        <v>431</v>
      </c>
      <c r="J495" s="31">
        <v>9</v>
      </c>
      <c r="K495" s="33" t="s">
        <v>712</v>
      </c>
      <c r="L495" s="33" t="s">
        <v>729</v>
      </c>
      <c r="M495" s="34" t="s">
        <v>1440</v>
      </c>
      <c r="N495" s="34" t="s">
        <v>1748</v>
      </c>
      <c r="O495" s="35">
        <v>1</v>
      </c>
      <c r="P495" s="35"/>
      <c r="Q495" s="32"/>
      <c r="S495" s="1">
        <f t="shared" si="367"/>
        <v>0</v>
      </c>
      <c r="T495" s="1">
        <f t="shared" si="368"/>
        <v>0</v>
      </c>
      <c r="U495" s="1">
        <f t="shared" si="369"/>
        <v>0</v>
      </c>
      <c r="V495" s="1">
        <f t="shared" si="370"/>
        <v>0</v>
      </c>
      <c r="W495" s="1">
        <f t="shared" si="371"/>
        <v>0</v>
      </c>
      <c r="X495" s="1">
        <f t="shared" si="372"/>
        <v>0</v>
      </c>
      <c r="Y495" s="1">
        <f t="shared" si="373"/>
        <v>0</v>
      </c>
      <c r="Z495" s="1">
        <f t="shared" si="374"/>
        <v>0</v>
      </c>
      <c r="AA495" s="1">
        <f t="shared" si="375"/>
        <v>1</v>
      </c>
      <c r="AB495" s="1">
        <f t="shared" si="376"/>
        <v>0</v>
      </c>
      <c r="AD495" s="1">
        <f t="shared" si="377"/>
        <v>0</v>
      </c>
      <c r="AE495" s="1">
        <f t="shared" si="378"/>
        <v>1</v>
      </c>
      <c r="AF495" s="1">
        <f t="shared" si="363"/>
        <v>0</v>
      </c>
      <c r="AG495" s="1">
        <f t="shared" si="364"/>
        <v>0</v>
      </c>
      <c r="AH495" s="1">
        <f t="shared" si="365"/>
        <v>0</v>
      </c>
      <c r="AI495" s="1">
        <f t="shared" si="366"/>
        <v>0</v>
      </c>
    </row>
    <row r="496" spans="1:35" ht="14.25" customHeight="1" x14ac:dyDescent="0.3">
      <c r="A496" s="44">
        <v>0</v>
      </c>
      <c r="B496" s="44">
        <v>2</v>
      </c>
      <c r="C496" s="44">
        <v>7</v>
      </c>
      <c r="D496" s="45" t="s">
        <v>1561</v>
      </c>
      <c r="E496" s="45" t="s">
        <v>28</v>
      </c>
      <c r="F496" s="45" t="s">
        <v>1562</v>
      </c>
      <c r="G496" s="45" t="s">
        <v>238</v>
      </c>
      <c r="H496" s="45" t="s">
        <v>354</v>
      </c>
      <c r="I496" s="44" t="s">
        <v>1695</v>
      </c>
      <c r="J496" s="44">
        <v>4</v>
      </c>
      <c r="K496" s="46" t="s">
        <v>713</v>
      </c>
      <c r="L496" s="46" t="s">
        <v>713</v>
      </c>
      <c r="M496" s="47" t="s">
        <v>731</v>
      </c>
      <c r="N496" s="47" t="s">
        <v>1735</v>
      </c>
      <c r="O496" s="48"/>
      <c r="P496" s="48"/>
      <c r="Q496" s="45"/>
      <c r="S496" s="1">
        <f t="shared" ref="S496:S497" si="379">IF(J496=$S$7,1,0)</f>
        <v>0</v>
      </c>
      <c r="T496" s="1">
        <f t="shared" ref="T496:T497" si="380">IF(J496=$T$7,1,0)</f>
        <v>0</v>
      </c>
      <c r="U496" s="1">
        <f t="shared" ref="U496:U497" si="381">IF(J496=$U$7,1,0)</f>
        <v>0</v>
      </c>
      <c r="V496" s="1">
        <f t="shared" ref="V496:V497" si="382">IF(J496=$V$7,1,0)</f>
        <v>1</v>
      </c>
      <c r="W496" s="1">
        <f t="shared" ref="W496:W497" si="383">IF(J496=$W$7,1,0)</f>
        <v>0</v>
      </c>
      <c r="X496" s="1">
        <f t="shared" ref="X496:X497" si="384">IF(J496=$X$7,1,0)</f>
        <v>0</v>
      </c>
      <c r="Y496" s="1">
        <f t="shared" ref="Y496:Y497" si="385">IF(J496=$Y$7,1,0)</f>
        <v>0</v>
      </c>
      <c r="Z496" s="1">
        <f t="shared" ref="Z496:Z497" si="386">IF(J496=$Z$7,1,0)</f>
        <v>0</v>
      </c>
      <c r="AA496" s="1">
        <f t="shared" ref="AA496:AA497" si="387">IF(J496=$AA$7,1,0)</f>
        <v>0</v>
      </c>
      <c r="AB496" s="1">
        <f t="shared" ref="AB496:AB497" si="388">IF(J496=$AB$7,1,0)</f>
        <v>0</v>
      </c>
      <c r="AD496" s="1">
        <f t="shared" ref="AD496:AD497" si="389">+O496*P496</f>
        <v>0</v>
      </c>
      <c r="AE496" s="1">
        <f t="shared" ref="AE496:AE497" si="390">O496*(1-P496)</f>
        <v>0</v>
      </c>
      <c r="AF496" s="1">
        <f t="shared" ref="AF496:AF497" si="391">+O496*P496*(1-A496)</f>
        <v>0</v>
      </c>
      <c r="AG496" s="1">
        <f t="shared" ref="AG496:AG497" si="392">O496*(1-P496)*(1-A496)</f>
        <v>0</v>
      </c>
      <c r="AH496" s="1">
        <f t="shared" ref="AH496:AH497" si="393">+P496*(1-A496)</f>
        <v>0</v>
      </c>
      <c r="AI496" s="1">
        <f t="shared" ref="AI496:AI497" si="394">+(1-A496)*(1-P496)</f>
        <v>1</v>
      </c>
    </row>
    <row r="497" spans="1:35" ht="14.25" customHeight="1" x14ac:dyDescent="0.3">
      <c r="A497" s="44">
        <v>0</v>
      </c>
      <c r="B497" s="44">
        <v>2</v>
      </c>
      <c r="C497" s="44">
        <v>7</v>
      </c>
      <c r="D497" s="45" t="s">
        <v>63</v>
      </c>
      <c r="E497" s="45" t="s">
        <v>44</v>
      </c>
      <c r="F497" s="45" t="s">
        <v>236</v>
      </c>
      <c r="G497" s="45" t="s">
        <v>200</v>
      </c>
      <c r="H497" s="45" t="s">
        <v>354</v>
      </c>
      <c r="I497" s="44" t="s">
        <v>402</v>
      </c>
      <c r="J497" s="44">
        <v>2</v>
      </c>
      <c r="K497" s="46" t="s">
        <v>713</v>
      </c>
      <c r="L497" s="46" t="s">
        <v>722</v>
      </c>
      <c r="M497" s="47" t="s">
        <v>735</v>
      </c>
      <c r="N497" s="47" t="s">
        <v>1735</v>
      </c>
      <c r="O497" s="48"/>
      <c r="P497" s="48"/>
      <c r="Q497" s="45"/>
      <c r="S497" s="1">
        <f t="shared" si="379"/>
        <v>0</v>
      </c>
      <c r="T497" s="1">
        <f t="shared" si="380"/>
        <v>1</v>
      </c>
      <c r="U497" s="1">
        <f t="shared" si="381"/>
        <v>0</v>
      </c>
      <c r="V497" s="1">
        <f t="shared" si="382"/>
        <v>0</v>
      </c>
      <c r="W497" s="1">
        <f t="shared" si="383"/>
        <v>0</v>
      </c>
      <c r="X497" s="1">
        <f t="shared" si="384"/>
        <v>0</v>
      </c>
      <c r="Y497" s="1">
        <f t="shared" si="385"/>
        <v>0</v>
      </c>
      <c r="Z497" s="1">
        <f t="shared" si="386"/>
        <v>0</v>
      </c>
      <c r="AA497" s="1">
        <f t="shared" si="387"/>
        <v>0</v>
      </c>
      <c r="AB497" s="1">
        <f t="shared" si="388"/>
        <v>0</v>
      </c>
      <c r="AD497" s="1">
        <f t="shared" si="389"/>
        <v>0</v>
      </c>
      <c r="AE497" s="1">
        <f t="shared" si="390"/>
        <v>0</v>
      </c>
      <c r="AF497" s="1">
        <f t="shared" si="391"/>
        <v>0</v>
      </c>
      <c r="AG497" s="1">
        <f t="shared" si="392"/>
        <v>0</v>
      </c>
      <c r="AH497" s="1">
        <f t="shared" si="393"/>
        <v>0</v>
      </c>
      <c r="AI497" s="1">
        <f t="shared" si="394"/>
        <v>1</v>
      </c>
    </row>
    <row r="498" spans="1:35" ht="14.25" customHeight="1" x14ac:dyDescent="0.3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35" ht="14.25" customHeight="1" x14ac:dyDescent="0.3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35" ht="14.25" customHeight="1" x14ac:dyDescent="0.3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35" ht="14.25" customHeight="1" x14ac:dyDescent="0.3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35" ht="14.25" customHeight="1" x14ac:dyDescent="0.3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35" ht="14.25" customHeight="1" x14ac:dyDescent="0.3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35" ht="14.25" customHeight="1" x14ac:dyDescent="0.3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35" ht="14.25" customHeight="1" x14ac:dyDescent="0.3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3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3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3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3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3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3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3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3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3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3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3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3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3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3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3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3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3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3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3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3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3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3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3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3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3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3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3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3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3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3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3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3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3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3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3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3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3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3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3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3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3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3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3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3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3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3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3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3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3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3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3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3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3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3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3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3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3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3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3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3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3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3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3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3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3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3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3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3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3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3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3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3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3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3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3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3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3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3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3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3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3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3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3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3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3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3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3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3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3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3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3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3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3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3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3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3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3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3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3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3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3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3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3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3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3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3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3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3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3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3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3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3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3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3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3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3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3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3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3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3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3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3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3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3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3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3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3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3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3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3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3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3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3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3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3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3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3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3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3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3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3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3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3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3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3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3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3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3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3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3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3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3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3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3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3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3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3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3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3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3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3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3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3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3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3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3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3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3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3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3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3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3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3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3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3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3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3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3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3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3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3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3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3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3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3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3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3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3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3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3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3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3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3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3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3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3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3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3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3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3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3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3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3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3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3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3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3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3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3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3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3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3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3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3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3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3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3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3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3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3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3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3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3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3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3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3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3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3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3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3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3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3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3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3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3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3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3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3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3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3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3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3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3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3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3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3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3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3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3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3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3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3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3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3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3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3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3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3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3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3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3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3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3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3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3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3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3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3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3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3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3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3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3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3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3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3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3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3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3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3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3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3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3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3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9"/>
      <c r="N789" s="17"/>
      <c r="Q789" s="16"/>
    </row>
    <row r="790" spans="1:17" ht="14.25" customHeight="1" x14ac:dyDescent="0.3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9"/>
      <c r="N790" s="17"/>
      <c r="Q790" s="16"/>
    </row>
    <row r="791" spans="1:17" ht="14.25" customHeight="1" x14ac:dyDescent="0.3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9"/>
      <c r="N791" s="17"/>
      <c r="Q791" s="16"/>
    </row>
    <row r="792" spans="1:17" ht="14.25" customHeight="1" x14ac:dyDescent="0.3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9"/>
      <c r="N792" s="17"/>
      <c r="Q792" s="16"/>
    </row>
    <row r="793" spans="1:17" ht="14.25" customHeight="1" x14ac:dyDescent="0.3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7"/>
      <c r="N793" s="17"/>
      <c r="Q793" s="16"/>
    </row>
    <row r="794" spans="1:17" ht="14.25" customHeight="1" x14ac:dyDescent="0.3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7"/>
      <c r="N794" s="17"/>
      <c r="Q794" s="16"/>
    </row>
    <row r="795" spans="1:17" ht="14.25" customHeight="1" x14ac:dyDescent="0.3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7"/>
      <c r="N795" s="17"/>
      <c r="Q795" s="16"/>
    </row>
    <row r="796" spans="1:17" ht="14.25" customHeight="1" x14ac:dyDescent="0.3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7"/>
      <c r="N796" s="17"/>
      <c r="Q796" s="16"/>
    </row>
  </sheetData>
  <autoFilter ref="A7:Q497" xr:uid="{AEE30112-88BB-441D-AEFC-A7A733AB1798}">
    <sortState xmlns:xlrd2="http://schemas.microsoft.com/office/spreadsheetml/2017/richdata2" ref="A8:Q497">
      <sortCondition ref="B8:B497"/>
      <sortCondition ref="C8:C497"/>
      <sortCondition ref="D8:D497"/>
      <sortCondition ref="A8:A497"/>
    </sortState>
  </autoFilter>
  <sortState xmlns:xlrd2="http://schemas.microsoft.com/office/spreadsheetml/2017/richdata2" ref="A8:Q497">
    <sortCondition ref="B8:B497"/>
    <sortCondition ref="C8:C497"/>
    <sortCondition ref="D8:D497"/>
    <sortCondition ref="A8:A49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2026-07-25T10:25:12Z</dcterms:modified>
</cp:coreProperties>
</file>