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6D685BD-91D9-420E-8AE3-97B23423E34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S242" i="6"/>
  <c r="T242" i="6"/>
  <c r="U242" i="6"/>
  <c r="V242" i="6"/>
  <c r="W242" i="6"/>
  <c r="X242" i="6"/>
  <c r="Y242" i="6"/>
  <c r="Z242" i="6"/>
  <c r="AA242" i="6"/>
  <c r="AB242" i="6"/>
  <c r="AD242" i="6"/>
  <c r="AE242" i="6"/>
  <c r="AF242" i="6"/>
  <c r="AG242" i="6"/>
  <c r="AH242" i="6"/>
  <c r="AI242" i="6"/>
  <c r="S243" i="6"/>
  <c r="T243" i="6"/>
  <c r="U243" i="6"/>
  <c r="V243" i="6"/>
  <c r="W243" i="6"/>
  <c r="X243" i="6"/>
  <c r="Y243" i="6"/>
  <c r="Z243" i="6"/>
  <c r="AA243" i="6"/>
  <c r="AB243" i="6"/>
  <c r="AD243" i="6"/>
  <c r="AE243" i="6"/>
  <c r="AF243" i="6"/>
  <c r="AG243" i="6"/>
  <c r="AH243" i="6"/>
  <c r="AI243" i="6"/>
  <c r="S244" i="6"/>
  <c r="T244" i="6"/>
  <c r="U244" i="6"/>
  <c r="V244" i="6"/>
  <c r="W244" i="6"/>
  <c r="X244" i="6"/>
  <c r="Y244" i="6"/>
  <c r="Z244" i="6"/>
  <c r="AA244" i="6"/>
  <c r="AB244" i="6"/>
  <c r="AD244" i="6"/>
  <c r="AE244" i="6"/>
  <c r="AF244" i="6"/>
  <c r="AG244" i="6"/>
  <c r="AH244" i="6"/>
  <c r="AI244" i="6"/>
  <c r="S245" i="6"/>
  <c r="T245" i="6"/>
  <c r="U245" i="6"/>
  <c r="V245" i="6"/>
  <c r="W245" i="6"/>
  <c r="X245" i="6"/>
  <c r="Y245" i="6"/>
  <c r="Z245" i="6"/>
  <c r="AA245" i="6"/>
  <c r="AB245" i="6"/>
  <c r="AD245" i="6"/>
  <c r="AE245" i="6"/>
  <c r="AF245" i="6"/>
  <c r="AG245" i="6"/>
  <c r="AH245" i="6"/>
  <c r="AI245" i="6"/>
  <c r="S246" i="6"/>
  <c r="T246" i="6"/>
  <c r="U246" i="6"/>
  <c r="V246" i="6"/>
  <c r="W246" i="6"/>
  <c r="X246" i="6"/>
  <c r="Y246" i="6"/>
  <c r="Z246" i="6"/>
  <c r="AA246" i="6"/>
  <c r="AB246" i="6"/>
  <c r="AD246" i="6"/>
  <c r="AE246" i="6"/>
  <c r="AF246" i="6"/>
  <c r="AG246" i="6"/>
  <c r="AH246" i="6"/>
  <c r="AI246" i="6"/>
  <c r="S247" i="6"/>
  <c r="T247" i="6"/>
  <c r="U247" i="6"/>
  <c r="V247" i="6"/>
  <c r="W247" i="6"/>
  <c r="X247" i="6"/>
  <c r="Y247" i="6"/>
  <c r="Z247" i="6"/>
  <c r="AA247" i="6"/>
  <c r="AB247" i="6"/>
  <c r="AD247" i="6"/>
  <c r="AE247" i="6"/>
  <c r="AF247" i="6"/>
  <c r="AG247" i="6"/>
  <c r="AH247" i="6"/>
  <c r="AI247" i="6"/>
  <c r="S248" i="6"/>
  <c r="T248" i="6"/>
  <c r="U248" i="6"/>
  <c r="V248" i="6"/>
  <c r="W248" i="6"/>
  <c r="X248" i="6"/>
  <c r="Y248" i="6"/>
  <c r="Z248" i="6"/>
  <c r="AA248" i="6"/>
  <c r="AB248" i="6"/>
  <c r="AD248" i="6"/>
  <c r="AE248" i="6"/>
  <c r="AF248" i="6"/>
  <c r="AG248" i="6"/>
  <c r="AH248" i="6"/>
  <c r="AI248" i="6"/>
  <c r="S249" i="6"/>
  <c r="T249" i="6"/>
  <c r="U249" i="6"/>
  <c r="V249" i="6"/>
  <c r="W249" i="6"/>
  <c r="X249" i="6"/>
  <c r="Y249" i="6"/>
  <c r="Z249" i="6"/>
  <c r="AA249" i="6"/>
  <c r="AB249" i="6"/>
  <c r="AD249" i="6"/>
  <c r="AE249" i="6"/>
  <c r="AF249" i="6"/>
  <c r="AG249" i="6"/>
  <c r="AH249" i="6"/>
  <c r="AI249" i="6"/>
  <c r="S250" i="6"/>
  <c r="T250" i="6"/>
  <c r="U250" i="6"/>
  <c r="V250" i="6"/>
  <c r="W250" i="6"/>
  <c r="X250" i="6"/>
  <c r="Y250" i="6"/>
  <c r="Z250" i="6"/>
  <c r="AA250" i="6"/>
  <c r="AB250" i="6"/>
  <c r="AD250" i="6"/>
  <c r="AE250" i="6"/>
  <c r="AF250" i="6"/>
  <c r="AG250" i="6"/>
  <c r="AH250" i="6"/>
  <c r="AI250" i="6"/>
  <c r="S251" i="6"/>
  <c r="T251" i="6"/>
  <c r="U251" i="6"/>
  <c r="V251" i="6"/>
  <c r="W251" i="6"/>
  <c r="X251" i="6"/>
  <c r="Y251" i="6"/>
  <c r="Z251" i="6"/>
  <c r="AA251" i="6"/>
  <c r="AB251" i="6"/>
  <c r="AD251" i="6"/>
  <c r="AE251" i="6"/>
  <c r="AF251" i="6"/>
  <c r="AG251" i="6"/>
  <c r="AH251" i="6"/>
  <c r="AI251" i="6"/>
  <c r="S252" i="6"/>
  <c r="T252" i="6"/>
  <c r="U252" i="6"/>
  <c r="V252" i="6"/>
  <c r="W252" i="6"/>
  <c r="X252" i="6"/>
  <c r="Y252" i="6"/>
  <c r="Z252" i="6"/>
  <c r="AA252" i="6"/>
  <c r="AB252" i="6"/>
  <c r="AD252" i="6"/>
  <c r="AE252" i="6"/>
  <c r="AF252" i="6"/>
  <c r="AG252" i="6"/>
  <c r="AH252" i="6"/>
  <c r="AI252" i="6"/>
  <c r="S253" i="6"/>
  <c r="T253" i="6"/>
  <c r="U253" i="6"/>
  <c r="V253" i="6"/>
  <c r="W253" i="6"/>
  <c r="X253" i="6"/>
  <c r="Y253" i="6"/>
  <c r="Z253" i="6"/>
  <c r="AA253" i="6"/>
  <c r="AB253" i="6"/>
  <c r="AD253" i="6"/>
  <c r="AE253" i="6"/>
  <c r="AF253" i="6"/>
  <c r="AG253" i="6"/>
  <c r="AH253" i="6"/>
  <c r="AI253" i="6"/>
  <c r="S254" i="6"/>
  <c r="T254" i="6"/>
  <c r="U254" i="6"/>
  <c r="V254" i="6"/>
  <c r="W254" i="6"/>
  <c r="X254" i="6"/>
  <c r="Y254" i="6"/>
  <c r="Z254" i="6"/>
  <c r="AA254" i="6"/>
  <c r="AB254" i="6"/>
  <c r="AD254" i="6"/>
  <c r="AE254" i="6"/>
  <c r="AF254" i="6"/>
  <c r="AG254" i="6"/>
  <c r="AH254" i="6"/>
  <c r="AI254" i="6"/>
  <c r="S255" i="6"/>
  <c r="T255" i="6"/>
  <c r="U255" i="6"/>
  <c r="V255" i="6"/>
  <c r="W255" i="6"/>
  <c r="X255" i="6"/>
  <c r="Y255" i="6"/>
  <c r="Z255" i="6"/>
  <c r="AA255" i="6"/>
  <c r="AB255" i="6"/>
  <c r="AD255" i="6"/>
  <c r="AE255" i="6"/>
  <c r="AF255" i="6"/>
  <c r="AG255" i="6"/>
  <c r="AH255" i="6"/>
  <c r="AI255" i="6"/>
  <c r="S256" i="6"/>
  <c r="T256" i="6"/>
  <c r="U256" i="6"/>
  <c r="V256" i="6"/>
  <c r="W256" i="6"/>
  <c r="X256" i="6"/>
  <c r="Y256" i="6"/>
  <c r="Z256" i="6"/>
  <c r="AA256" i="6"/>
  <c r="AB256" i="6"/>
  <c r="AD256" i="6"/>
  <c r="AE256" i="6"/>
  <c r="AF256" i="6"/>
  <c r="AG256" i="6"/>
  <c r="AH256" i="6"/>
  <c r="AI256" i="6"/>
  <c r="S257" i="6"/>
  <c r="T257" i="6"/>
  <c r="U257" i="6"/>
  <c r="V257" i="6"/>
  <c r="W257" i="6"/>
  <c r="X257" i="6"/>
  <c r="Y257" i="6"/>
  <c r="Z257" i="6"/>
  <c r="AA257" i="6"/>
  <c r="AB257" i="6"/>
  <c r="AD257" i="6"/>
  <c r="AE257" i="6"/>
  <c r="AF257" i="6"/>
  <c r="AG257" i="6"/>
  <c r="AH257" i="6"/>
  <c r="AI257" i="6"/>
  <c r="S258" i="6"/>
  <c r="T258" i="6"/>
  <c r="U258" i="6"/>
  <c r="V258" i="6"/>
  <c r="W258" i="6"/>
  <c r="X258" i="6"/>
  <c r="Y258" i="6"/>
  <c r="Z258" i="6"/>
  <c r="AA258" i="6"/>
  <c r="AB258" i="6"/>
  <c r="AD258" i="6"/>
  <c r="AE258" i="6"/>
  <c r="AF258" i="6"/>
  <c r="AG258" i="6"/>
  <c r="AH258" i="6"/>
  <c r="AI258" i="6"/>
  <c r="S259" i="6"/>
  <c r="T259" i="6"/>
  <c r="U259" i="6"/>
  <c r="V259" i="6"/>
  <c r="W259" i="6"/>
  <c r="X259" i="6"/>
  <c r="Y259" i="6"/>
  <c r="Z259" i="6"/>
  <c r="AA259" i="6"/>
  <c r="AB259" i="6"/>
  <c r="AD259" i="6"/>
  <c r="AE259" i="6"/>
  <c r="AF259" i="6"/>
  <c r="AG259" i="6"/>
  <c r="AH259" i="6"/>
  <c r="AI259" i="6"/>
  <c r="S260" i="6"/>
  <c r="T260" i="6"/>
  <c r="U260" i="6"/>
  <c r="V260" i="6"/>
  <c r="W260" i="6"/>
  <c r="X260" i="6"/>
  <c r="Y260" i="6"/>
  <c r="Z260" i="6"/>
  <c r="AA260" i="6"/>
  <c r="AB260" i="6"/>
  <c r="AD260" i="6"/>
  <c r="AE260" i="6"/>
  <c r="AF260" i="6"/>
  <c r="AG260" i="6"/>
  <c r="AH260" i="6"/>
  <c r="AI260" i="6"/>
  <c r="S261" i="6"/>
  <c r="T261" i="6"/>
  <c r="U261" i="6"/>
  <c r="V261" i="6"/>
  <c r="W261" i="6"/>
  <c r="X261" i="6"/>
  <c r="Y261" i="6"/>
  <c r="Z261" i="6"/>
  <c r="AA261" i="6"/>
  <c r="AB261" i="6"/>
  <c r="AD261" i="6"/>
  <c r="AE261" i="6"/>
  <c r="AF261" i="6"/>
  <c r="AG261" i="6"/>
  <c r="AH261" i="6"/>
  <c r="AI261" i="6"/>
  <c r="S262" i="6"/>
  <c r="T262" i="6"/>
  <c r="U262" i="6"/>
  <c r="V262" i="6"/>
  <c r="W262" i="6"/>
  <c r="X262" i="6"/>
  <c r="Y262" i="6"/>
  <c r="Z262" i="6"/>
  <c r="AA262" i="6"/>
  <c r="AB262" i="6"/>
  <c r="AD262" i="6"/>
  <c r="AE262" i="6"/>
  <c r="AF262" i="6"/>
  <c r="AG262" i="6"/>
  <c r="AH262" i="6"/>
  <c r="AI262" i="6"/>
  <c r="S263" i="6"/>
  <c r="T263" i="6"/>
  <c r="U263" i="6"/>
  <c r="V263" i="6"/>
  <c r="W263" i="6"/>
  <c r="X263" i="6"/>
  <c r="Y263" i="6"/>
  <c r="Z263" i="6"/>
  <c r="AA263" i="6"/>
  <c r="AB263" i="6"/>
  <c r="AD263" i="6"/>
  <c r="AE263" i="6"/>
  <c r="AF263" i="6"/>
  <c r="AG263" i="6"/>
  <c r="AH263" i="6"/>
  <c r="AI263" i="6"/>
  <c r="S264" i="6"/>
  <c r="T264" i="6"/>
  <c r="U264" i="6"/>
  <c r="V264" i="6"/>
  <c r="W264" i="6"/>
  <c r="X264" i="6"/>
  <c r="Y264" i="6"/>
  <c r="Z264" i="6"/>
  <c r="AA264" i="6"/>
  <c r="AB264" i="6"/>
  <c r="AD264" i="6"/>
  <c r="AE264" i="6"/>
  <c r="AF264" i="6"/>
  <c r="AG264" i="6"/>
  <c r="AH264" i="6"/>
  <c r="AI264" i="6"/>
  <c r="S265" i="6"/>
  <c r="T265" i="6"/>
  <c r="U265" i="6"/>
  <c r="V265" i="6"/>
  <c r="W265" i="6"/>
  <c r="X265" i="6"/>
  <c r="Y265" i="6"/>
  <c r="Z265" i="6"/>
  <c r="AA265" i="6"/>
  <c r="AB265" i="6"/>
  <c r="AD265" i="6"/>
  <c r="AE265" i="6"/>
  <c r="AF265" i="6"/>
  <c r="AG265" i="6"/>
  <c r="AH265" i="6"/>
  <c r="AI265" i="6"/>
  <c r="S266" i="6"/>
  <c r="T266" i="6"/>
  <c r="U266" i="6"/>
  <c r="V266" i="6"/>
  <c r="W266" i="6"/>
  <c r="X266" i="6"/>
  <c r="Y266" i="6"/>
  <c r="Z266" i="6"/>
  <c r="AA266" i="6"/>
  <c r="AB266" i="6"/>
  <c r="AD266" i="6"/>
  <c r="AE266" i="6"/>
  <c r="AF266" i="6"/>
  <c r="AG266" i="6"/>
  <c r="AH266" i="6"/>
  <c r="AI266" i="6"/>
  <c r="S267" i="6"/>
  <c r="T267" i="6"/>
  <c r="U267" i="6"/>
  <c r="V267" i="6"/>
  <c r="W267" i="6"/>
  <c r="X267" i="6"/>
  <c r="Y267" i="6"/>
  <c r="Z267" i="6"/>
  <c r="AA267" i="6"/>
  <c r="AB267" i="6"/>
  <c r="AD267" i="6"/>
  <c r="AE267" i="6"/>
  <c r="AF267" i="6"/>
  <c r="AG267" i="6"/>
  <c r="AH267" i="6"/>
  <c r="AI267" i="6"/>
  <c r="S268" i="6"/>
  <c r="T268" i="6"/>
  <c r="U268" i="6"/>
  <c r="V268" i="6"/>
  <c r="W268" i="6"/>
  <c r="X268" i="6"/>
  <c r="Y268" i="6"/>
  <c r="Z268" i="6"/>
  <c r="AA268" i="6"/>
  <c r="AB268" i="6"/>
  <c r="AD268" i="6"/>
  <c r="AE268" i="6"/>
  <c r="AF268" i="6"/>
  <c r="AG268" i="6"/>
  <c r="AH268" i="6"/>
  <c r="AI268" i="6"/>
  <c r="S269" i="6"/>
  <c r="T269" i="6"/>
  <c r="U269" i="6"/>
  <c r="V269" i="6"/>
  <c r="W269" i="6"/>
  <c r="X269" i="6"/>
  <c r="Y269" i="6"/>
  <c r="Z269" i="6"/>
  <c r="AA269" i="6"/>
  <c r="AB269" i="6"/>
  <c r="AD269" i="6"/>
  <c r="AE269" i="6"/>
  <c r="AF269" i="6"/>
  <c r="AG269" i="6"/>
  <c r="AH269" i="6"/>
  <c r="AI269" i="6"/>
  <c r="S270" i="6"/>
  <c r="T270" i="6"/>
  <c r="U270" i="6"/>
  <c r="V270" i="6"/>
  <c r="W270" i="6"/>
  <c r="X270" i="6"/>
  <c r="Y270" i="6"/>
  <c r="Z270" i="6"/>
  <c r="AA270" i="6"/>
  <c r="AB270" i="6"/>
  <c r="AD270" i="6"/>
  <c r="AE270" i="6"/>
  <c r="AF270" i="6"/>
  <c r="AG270" i="6"/>
  <c r="AH270" i="6"/>
  <c r="AI270" i="6"/>
  <c r="S271" i="6"/>
  <c r="T271" i="6"/>
  <c r="U271" i="6"/>
  <c r="V271" i="6"/>
  <c r="W271" i="6"/>
  <c r="X271" i="6"/>
  <c r="Y271" i="6"/>
  <c r="Z271" i="6"/>
  <c r="AA271" i="6"/>
  <c r="AB271" i="6"/>
  <c r="AD271" i="6"/>
  <c r="AE271" i="6"/>
  <c r="AF271" i="6"/>
  <c r="AG271" i="6"/>
  <c r="AH271" i="6"/>
  <c r="AI271" i="6"/>
  <c r="S272" i="6"/>
  <c r="T272" i="6"/>
  <c r="U272" i="6"/>
  <c r="V272" i="6"/>
  <c r="W272" i="6"/>
  <c r="X272" i="6"/>
  <c r="Y272" i="6"/>
  <c r="Z272" i="6"/>
  <c r="AA272" i="6"/>
  <c r="AB272" i="6"/>
  <c r="AD272" i="6"/>
  <c r="AE272" i="6"/>
  <c r="AF272" i="6"/>
  <c r="AG272" i="6"/>
  <c r="AH272" i="6"/>
  <c r="AI272" i="6"/>
  <c r="S273" i="6"/>
  <c r="T273" i="6"/>
  <c r="U273" i="6"/>
  <c r="V273" i="6"/>
  <c r="W273" i="6"/>
  <c r="X273" i="6"/>
  <c r="Y273" i="6"/>
  <c r="Z273" i="6"/>
  <c r="AA273" i="6"/>
  <c r="AB273" i="6"/>
  <c r="AD273" i="6"/>
  <c r="AE273" i="6"/>
  <c r="AF273" i="6"/>
  <c r="AG273" i="6"/>
  <c r="AH273" i="6"/>
  <c r="AI273" i="6"/>
  <c r="S274" i="6"/>
  <c r="T274" i="6"/>
  <c r="U274" i="6"/>
  <c r="V274" i="6"/>
  <c r="W274" i="6"/>
  <c r="X274" i="6"/>
  <c r="Y274" i="6"/>
  <c r="Z274" i="6"/>
  <c r="AA274" i="6"/>
  <c r="AB274" i="6"/>
  <c r="AD274" i="6"/>
  <c r="AE274" i="6"/>
  <c r="AF274" i="6"/>
  <c r="AG274" i="6"/>
  <c r="AH274" i="6"/>
  <c r="AI274" i="6"/>
  <c r="S275" i="6"/>
  <c r="T275" i="6"/>
  <c r="U275" i="6"/>
  <c r="V275" i="6"/>
  <c r="W275" i="6"/>
  <c r="X275" i="6"/>
  <c r="Y275" i="6"/>
  <c r="Z275" i="6"/>
  <c r="AA275" i="6"/>
  <c r="AB275" i="6"/>
  <c r="AD275" i="6"/>
  <c r="AE275" i="6"/>
  <c r="AF275" i="6"/>
  <c r="AG275" i="6"/>
  <c r="AH275" i="6"/>
  <c r="AI275" i="6"/>
  <c r="S276" i="6"/>
  <c r="T276" i="6"/>
  <c r="U276" i="6"/>
  <c r="V276" i="6"/>
  <c r="W276" i="6"/>
  <c r="X276" i="6"/>
  <c r="Y276" i="6"/>
  <c r="Z276" i="6"/>
  <c r="AA276" i="6"/>
  <c r="AB276" i="6"/>
  <c r="AD276" i="6"/>
  <c r="AE276" i="6"/>
  <c r="AF276" i="6"/>
  <c r="AG276" i="6"/>
  <c r="AH276" i="6"/>
  <c r="AI276" i="6"/>
  <c r="S277" i="6"/>
  <c r="T277" i="6"/>
  <c r="U277" i="6"/>
  <c r="V277" i="6"/>
  <c r="W277" i="6"/>
  <c r="X277" i="6"/>
  <c r="Y277" i="6"/>
  <c r="Z277" i="6"/>
  <c r="AA277" i="6"/>
  <c r="AB277" i="6"/>
  <c r="AD277" i="6"/>
  <c r="AE277" i="6"/>
  <c r="AF277" i="6"/>
  <c r="AG277" i="6"/>
  <c r="AH277" i="6"/>
  <c r="AI277" i="6"/>
  <c r="S278" i="6"/>
  <c r="T278" i="6"/>
  <c r="U278" i="6"/>
  <c r="V278" i="6"/>
  <c r="W278" i="6"/>
  <c r="X278" i="6"/>
  <c r="Y278" i="6"/>
  <c r="Z278" i="6"/>
  <c r="AA278" i="6"/>
  <c r="AB278" i="6"/>
  <c r="AD278" i="6"/>
  <c r="AE278" i="6"/>
  <c r="AF278" i="6"/>
  <c r="AG278" i="6"/>
  <c r="AH278" i="6"/>
  <c r="AI278" i="6"/>
  <c r="S279" i="6"/>
  <c r="T279" i="6"/>
  <c r="U279" i="6"/>
  <c r="V279" i="6"/>
  <c r="W279" i="6"/>
  <c r="X279" i="6"/>
  <c r="Y279" i="6"/>
  <c r="Z279" i="6"/>
  <c r="AA279" i="6"/>
  <c r="AB279" i="6"/>
  <c r="AD279" i="6"/>
  <c r="AE279" i="6"/>
  <c r="AF279" i="6"/>
  <c r="AG279" i="6"/>
  <c r="AH279" i="6"/>
  <c r="AI279" i="6"/>
  <c r="S280" i="6"/>
  <c r="T280" i="6"/>
  <c r="U280" i="6"/>
  <c r="V280" i="6"/>
  <c r="W280" i="6"/>
  <c r="X280" i="6"/>
  <c r="Y280" i="6"/>
  <c r="Z280" i="6"/>
  <c r="AA280" i="6"/>
  <c r="AB280" i="6"/>
  <c r="AD280" i="6"/>
  <c r="AE280" i="6"/>
  <c r="AF280" i="6"/>
  <c r="AG280" i="6"/>
  <c r="AH280" i="6"/>
  <c r="AI280" i="6"/>
  <c r="S281" i="6"/>
  <c r="T281" i="6"/>
  <c r="U281" i="6"/>
  <c r="V281" i="6"/>
  <c r="W281" i="6"/>
  <c r="X281" i="6"/>
  <c r="Y281" i="6"/>
  <c r="Z281" i="6"/>
  <c r="AA281" i="6"/>
  <c r="AB281" i="6"/>
  <c r="AD281" i="6"/>
  <c r="AE281" i="6"/>
  <c r="AF281" i="6"/>
  <c r="AG281" i="6"/>
  <c r="AH281" i="6"/>
  <c r="AI281" i="6"/>
  <c r="S282" i="6"/>
  <c r="T282" i="6"/>
  <c r="U282" i="6"/>
  <c r="V282" i="6"/>
  <c r="W282" i="6"/>
  <c r="X282" i="6"/>
  <c r="Y282" i="6"/>
  <c r="Z282" i="6"/>
  <c r="AA282" i="6"/>
  <c r="AB282" i="6"/>
  <c r="AD282" i="6"/>
  <c r="AE282" i="6"/>
  <c r="AF282" i="6"/>
  <c r="AG282" i="6"/>
  <c r="AH282" i="6"/>
  <c r="AI282" i="6"/>
  <c r="S283" i="6"/>
  <c r="T283" i="6"/>
  <c r="U283" i="6"/>
  <c r="V283" i="6"/>
  <c r="W283" i="6"/>
  <c r="X283" i="6"/>
  <c r="Y283" i="6"/>
  <c r="Z283" i="6"/>
  <c r="AA283" i="6"/>
  <c r="AB283" i="6"/>
  <c r="AD283" i="6"/>
  <c r="AE283" i="6"/>
  <c r="AF283" i="6"/>
  <c r="AG283" i="6"/>
  <c r="AH283" i="6"/>
  <c r="AI283" i="6"/>
  <c r="S284" i="6"/>
  <c r="T284" i="6"/>
  <c r="U284" i="6"/>
  <c r="V284" i="6"/>
  <c r="W284" i="6"/>
  <c r="X284" i="6"/>
  <c r="Y284" i="6"/>
  <c r="Z284" i="6"/>
  <c r="AA284" i="6"/>
  <c r="AB284" i="6"/>
  <c r="AD284" i="6"/>
  <c r="AE284" i="6"/>
  <c r="AF284" i="6"/>
  <c r="AG284" i="6"/>
  <c r="AH284" i="6"/>
  <c r="AI284" i="6"/>
  <c r="S285" i="6"/>
  <c r="T285" i="6"/>
  <c r="U285" i="6"/>
  <c r="V285" i="6"/>
  <c r="W285" i="6"/>
  <c r="X285" i="6"/>
  <c r="Y285" i="6"/>
  <c r="Z285" i="6"/>
  <c r="AA285" i="6"/>
  <c r="AB285" i="6"/>
  <c r="AD285" i="6"/>
  <c r="AE285" i="6"/>
  <c r="AF285" i="6"/>
  <c r="AG285" i="6"/>
  <c r="AH285" i="6"/>
  <c r="AI285" i="6"/>
  <c r="S286" i="6"/>
  <c r="T286" i="6"/>
  <c r="U286" i="6"/>
  <c r="V286" i="6"/>
  <c r="W286" i="6"/>
  <c r="X286" i="6"/>
  <c r="Y286" i="6"/>
  <c r="Z286" i="6"/>
  <c r="AA286" i="6"/>
  <c r="AB286" i="6"/>
  <c r="AD286" i="6"/>
  <c r="AE286" i="6"/>
  <c r="AF286" i="6"/>
  <c r="AG286" i="6"/>
  <c r="AH286" i="6"/>
  <c r="AI286" i="6"/>
  <c r="S287" i="6"/>
  <c r="T287" i="6"/>
  <c r="U287" i="6"/>
  <c r="V287" i="6"/>
  <c r="W287" i="6"/>
  <c r="X287" i="6"/>
  <c r="Y287" i="6"/>
  <c r="Z287" i="6"/>
  <c r="AA287" i="6"/>
  <c r="AB287" i="6"/>
  <c r="AD287" i="6"/>
  <c r="AE287" i="6"/>
  <c r="AF287" i="6"/>
  <c r="AG287" i="6"/>
  <c r="AH287" i="6"/>
  <c r="AI287" i="6"/>
  <c r="S288" i="6"/>
  <c r="T288" i="6"/>
  <c r="U288" i="6"/>
  <c r="V288" i="6"/>
  <c r="W288" i="6"/>
  <c r="X288" i="6"/>
  <c r="Y288" i="6"/>
  <c r="Z288" i="6"/>
  <c r="AA288" i="6"/>
  <c r="AB288" i="6"/>
  <c r="AD288" i="6"/>
  <c r="AE288" i="6"/>
  <c r="AF288" i="6"/>
  <c r="AG288" i="6"/>
  <c r="AH288" i="6"/>
  <c r="AI288" i="6"/>
  <c r="S289" i="6"/>
  <c r="T289" i="6"/>
  <c r="U289" i="6"/>
  <c r="V289" i="6"/>
  <c r="W289" i="6"/>
  <c r="X289" i="6"/>
  <c r="Y289" i="6"/>
  <c r="Z289" i="6"/>
  <c r="AA289" i="6"/>
  <c r="AB289" i="6"/>
  <c r="AD289" i="6"/>
  <c r="AE289" i="6"/>
  <c r="AF289" i="6"/>
  <c r="AG289" i="6"/>
  <c r="AH289" i="6"/>
  <c r="AI289" i="6"/>
  <c r="S290" i="6"/>
  <c r="T290" i="6"/>
  <c r="U290" i="6"/>
  <c r="V290" i="6"/>
  <c r="W290" i="6"/>
  <c r="X290" i="6"/>
  <c r="Y290" i="6"/>
  <c r="Z290" i="6"/>
  <c r="AA290" i="6"/>
  <c r="AB290" i="6"/>
  <c r="AD290" i="6"/>
  <c r="AE290" i="6"/>
  <c r="AF290" i="6"/>
  <c r="AG290" i="6"/>
  <c r="AH290" i="6"/>
  <c r="AI290" i="6"/>
  <c r="S291" i="6"/>
  <c r="T291" i="6"/>
  <c r="U291" i="6"/>
  <c r="V291" i="6"/>
  <c r="W291" i="6"/>
  <c r="X291" i="6"/>
  <c r="Y291" i="6"/>
  <c r="Z291" i="6"/>
  <c r="AA291" i="6"/>
  <c r="AB291" i="6"/>
  <c r="AD291" i="6"/>
  <c r="AE291" i="6"/>
  <c r="AF291" i="6"/>
  <c r="AG291" i="6"/>
  <c r="AH291" i="6"/>
  <c r="AI291" i="6"/>
  <c r="S292" i="6"/>
  <c r="T292" i="6"/>
  <c r="U292" i="6"/>
  <c r="V292" i="6"/>
  <c r="W292" i="6"/>
  <c r="X292" i="6"/>
  <c r="Y292" i="6"/>
  <c r="Z292" i="6"/>
  <c r="AA292" i="6"/>
  <c r="AB292" i="6"/>
  <c r="AD292" i="6"/>
  <c r="AE292" i="6"/>
  <c r="AF292" i="6"/>
  <c r="AG292" i="6"/>
  <c r="AH292" i="6"/>
  <c r="AI292" i="6"/>
  <c r="S293" i="6"/>
  <c r="T293" i="6"/>
  <c r="U293" i="6"/>
  <c r="V293" i="6"/>
  <c r="W293" i="6"/>
  <c r="X293" i="6"/>
  <c r="Y293" i="6"/>
  <c r="Z293" i="6"/>
  <c r="AA293" i="6"/>
  <c r="AB293" i="6"/>
  <c r="AD293" i="6"/>
  <c r="AE293" i="6"/>
  <c r="AF293" i="6"/>
  <c r="AG293" i="6"/>
  <c r="AH293" i="6"/>
  <c r="AI293" i="6"/>
  <c r="S294" i="6"/>
  <c r="T294" i="6"/>
  <c r="U294" i="6"/>
  <c r="V294" i="6"/>
  <c r="W294" i="6"/>
  <c r="X294" i="6"/>
  <c r="Y294" i="6"/>
  <c r="Z294" i="6"/>
  <c r="AA294" i="6"/>
  <c r="AB294" i="6"/>
  <c r="AD294" i="6"/>
  <c r="AE294" i="6"/>
  <c r="AF294" i="6"/>
  <c r="AG294" i="6"/>
  <c r="AH294" i="6"/>
  <c r="AI294" i="6"/>
  <c r="S295" i="6"/>
  <c r="T295" i="6"/>
  <c r="U295" i="6"/>
  <c r="V295" i="6"/>
  <c r="W295" i="6"/>
  <c r="X295" i="6"/>
  <c r="Y295" i="6"/>
  <c r="Z295" i="6"/>
  <c r="AA295" i="6"/>
  <c r="AB295" i="6"/>
  <c r="AD295" i="6"/>
  <c r="AE295" i="6"/>
  <c r="AF295" i="6"/>
  <c r="AG295" i="6"/>
  <c r="AH295" i="6"/>
  <c r="AI295" i="6"/>
  <c r="S296" i="6"/>
  <c r="T296" i="6"/>
  <c r="U296" i="6"/>
  <c r="V296" i="6"/>
  <c r="W296" i="6"/>
  <c r="X296" i="6"/>
  <c r="Y296" i="6"/>
  <c r="Z296" i="6"/>
  <c r="AA296" i="6"/>
  <c r="AB296" i="6"/>
  <c r="AD296" i="6"/>
  <c r="AE296" i="6"/>
  <c r="AF296" i="6"/>
  <c r="AG296" i="6"/>
  <c r="AH296" i="6"/>
  <c r="AI296" i="6"/>
  <c r="S297" i="6"/>
  <c r="T297" i="6"/>
  <c r="U297" i="6"/>
  <c r="V297" i="6"/>
  <c r="W297" i="6"/>
  <c r="X297" i="6"/>
  <c r="Y297" i="6"/>
  <c r="Z297" i="6"/>
  <c r="AA297" i="6"/>
  <c r="AB297" i="6"/>
  <c r="AD297" i="6"/>
  <c r="AE297" i="6"/>
  <c r="AF297" i="6"/>
  <c r="AG297" i="6"/>
  <c r="AH297" i="6"/>
  <c r="AI297" i="6"/>
  <c r="S298" i="6"/>
  <c r="T298" i="6"/>
  <c r="U298" i="6"/>
  <c r="V298" i="6"/>
  <c r="W298" i="6"/>
  <c r="X298" i="6"/>
  <c r="Y298" i="6"/>
  <c r="Z298" i="6"/>
  <c r="AA298" i="6"/>
  <c r="AB298" i="6"/>
  <c r="AD298" i="6"/>
  <c r="AE298" i="6"/>
  <c r="AF298" i="6"/>
  <c r="AG298" i="6"/>
  <c r="AH298" i="6"/>
  <c r="AI298" i="6"/>
  <c r="S299" i="6"/>
  <c r="T299" i="6"/>
  <c r="U299" i="6"/>
  <c r="V299" i="6"/>
  <c r="W299" i="6"/>
  <c r="X299" i="6"/>
  <c r="Y299" i="6"/>
  <c r="Z299" i="6"/>
  <c r="AA299" i="6"/>
  <c r="AB299" i="6"/>
  <c r="AD299" i="6"/>
  <c r="AE299" i="6"/>
  <c r="AF299" i="6"/>
  <c r="AG299" i="6"/>
  <c r="AH299" i="6"/>
  <c r="AI299" i="6"/>
  <c r="S300" i="6"/>
  <c r="T300" i="6"/>
  <c r="U300" i="6"/>
  <c r="V300" i="6"/>
  <c r="W300" i="6"/>
  <c r="X300" i="6"/>
  <c r="Y300" i="6"/>
  <c r="Z300" i="6"/>
  <c r="AA300" i="6"/>
  <c r="AB300" i="6"/>
  <c r="AD300" i="6"/>
  <c r="AE300" i="6"/>
  <c r="AF300" i="6"/>
  <c r="AG300" i="6"/>
  <c r="AH300" i="6"/>
  <c r="AI300" i="6"/>
  <c r="S301" i="6"/>
  <c r="T301" i="6"/>
  <c r="U301" i="6"/>
  <c r="V301" i="6"/>
  <c r="W301" i="6"/>
  <c r="X301" i="6"/>
  <c r="Y301" i="6"/>
  <c r="Z301" i="6"/>
  <c r="AA301" i="6"/>
  <c r="AB301" i="6"/>
  <c r="AD301" i="6"/>
  <c r="AE301" i="6"/>
  <c r="AF301" i="6"/>
  <c r="AG301" i="6"/>
  <c r="AH301" i="6"/>
  <c r="AI301" i="6"/>
  <c r="S302" i="6"/>
  <c r="T302" i="6"/>
  <c r="U302" i="6"/>
  <c r="V302" i="6"/>
  <c r="W302" i="6"/>
  <c r="X302" i="6"/>
  <c r="Y302" i="6"/>
  <c r="Z302" i="6"/>
  <c r="AA302" i="6"/>
  <c r="AB302" i="6"/>
  <c r="AD302" i="6"/>
  <c r="AE302" i="6"/>
  <c r="AF302" i="6"/>
  <c r="AG302" i="6"/>
  <c r="AH302" i="6"/>
  <c r="AI302" i="6"/>
  <c r="S303" i="6"/>
  <c r="T303" i="6"/>
  <c r="U303" i="6"/>
  <c r="V303" i="6"/>
  <c r="W303" i="6"/>
  <c r="X303" i="6"/>
  <c r="Y303" i="6"/>
  <c r="Z303" i="6"/>
  <c r="AA303" i="6"/>
  <c r="AB303" i="6"/>
  <c r="AD303" i="6"/>
  <c r="AE303" i="6"/>
  <c r="AF303" i="6"/>
  <c r="AG303" i="6"/>
  <c r="AH303" i="6"/>
  <c r="AI303" i="6"/>
  <c r="S304" i="6"/>
  <c r="T304" i="6"/>
  <c r="U304" i="6"/>
  <c r="V304" i="6"/>
  <c r="W304" i="6"/>
  <c r="X304" i="6"/>
  <c r="Y304" i="6"/>
  <c r="Z304" i="6"/>
  <c r="AA304" i="6"/>
  <c r="AB304" i="6"/>
  <c r="AD304" i="6"/>
  <c r="AE304" i="6"/>
  <c r="AF304" i="6"/>
  <c r="AG304" i="6"/>
  <c r="AH304" i="6"/>
  <c r="AI304" i="6"/>
  <c r="S305" i="6"/>
  <c r="T305" i="6"/>
  <c r="U305" i="6"/>
  <c r="V305" i="6"/>
  <c r="W305" i="6"/>
  <c r="X305" i="6"/>
  <c r="Y305" i="6"/>
  <c r="Z305" i="6"/>
  <c r="AA305" i="6"/>
  <c r="AB305" i="6"/>
  <c r="AD305" i="6"/>
  <c r="AE305" i="6"/>
  <c r="AF305" i="6"/>
  <c r="AG305" i="6"/>
  <c r="AH305" i="6"/>
  <c r="AI305" i="6"/>
  <c r="S306" i="6"/>
  <c r="T306" i="6"/>
  <c r="U306" i="6"/>
  <c r="V306" i="6"/>
  <c r="W306" i="6"/>
  <c r="X306" i="6"/>
  <c r="Y306" i="6"/>
  <c r="Z306" i="6"/>
  <c r="AA306" i="6"/>
  <c r="AB306" i="6"/>
  <c r="AD306" i="6"/>
  <c r="AE306" i="6"/>
  <c r="AF306" i="6"/>
  <c r="AG306" i="6"/>
  <c r="AH306" i="6"/>
  <c r="AI306" i="6"/>
  <c r="S307" i="6"/>
  <c r="T307" i="6"/>
  <c r="U307" i="6"/>
  <c r="V307" i="6"/>
  <c r="W307" i="6"/>
  <c r="X307" i="6"/>
  <c r="Y307" i="6"/>
  <c r="Z307" i="6"/>
  <c r="AA307" i="6"/>
  <c r="AB307" i="6"/>
  <c r="AD307" i="6"/>
  <c r="AE307" i="6"/>
  <c r="AF307" i="6"/>
  <c r="AG307" i="6"/>
  <c r="AH307" i="6"/>
  <c r="AI307" i="6"/>
  <c r="S308" i="6"/>
  <c r="T308" i="6"/>
  <c r="U308" i="6"/>
  <c r="V308" i="6"/>
  <c r="W308" i="6"/>
  <c r="X308" i="6"/>
  <c r="Y308" i="6"/>
  <c r="Z308" i="6"/>
  <c r="AA308" i="6"/>
  <c r="AB308" i="6"/>
  <c r="AD308" i="6"/>
  <c r="AE308" i="6"/>
  <c r="AF308" i="6"/>
  <c r="AG308" i="6"/>
  <c r="AH308" i="6"/>
  <c r="AI308" i="6"/>
  <c r="S309" i="6"/>
  <c r="T309" i="6"/>
  <c r="U309" i="6"/>
  <c r="V309" i="6"/>
  <c r="W309" i="6"/>
  <c r="X309" i="6"/>
  <c r="Y309" i="6"/>
  <c r="Z309" i="6"/>
  <c r="AA309" i="6"/>
  <c r="AB309" i="6"/>
  <c r="AD309" i="6"/>
  <c r="AE309" i="6"/>
  <c r="AF309" i="6"/>
  <c r="AG309" i="6"/>
  <c r="AH309" i="6"/>
  <c r="AI309" i="6"/>
  <c r="S310" i="6"/>
  <c r="T310" i="6"/>
  <c r="U310" i="6"/>
  <c r="V310" i="6"/>
  <c r="W310" i="6"/>
  <c r="X310" i="6"/>
  <c r="Y310" i="6"/>
  <c r="Z310" i="6"/>
  <c r="AA310" i="6"/>
  <c r="AB310" i="6"/>
  <c r="AD310" i="6"/>
  <c r="AE310" i="6"/>
  <c r="AF310" i="6"/>
  <c r="AG310" i="6"/>
  <c r="AH310" i="6"/>
  <c r="AI310" i="6"/>
  <c r="S311" i="6"/>
  <c r="T311" i="6"/>
  <c r="U311" i="6"/>
  <c r="V311" i="6"/>
  <c r="W311" i="6"/>
  <c r="X311" i="6"/>
  <c r="Y311" i="6"/>
  <c r="Z311" i="6"/>
  <c r="AA311" i="6"/>
  <c r="AB311" i="6"/>
  <c r="AD311" i="6"/>
  <c r="AE311" i="6"/>
  <c r="AF311" i="6"/>
  <c r="AG311" i="6"/>
  <c r="AH311" i="6"/>
  <c r="AI311" i="6"/>
  <c r="S312" i="6"/>
  <c r="T312" i="6"/>
  <c r="U312" i="6"/>
  <c r="V312" i="6"/>
  <c r="W312" i="6"/>
  <c r="X312" i="6"/>
  <c r="Y312" i="6"/>
  <c r="Z312" i="6"/>
  <c r="AA312" i="6"/>
  <c r="AB312" i="6"/>
  <c r="AD312" i="6"/>
  <c r="AE312" i="6"/>
  <c r="AF312" i="6"/>
  <c r="AG312" i="6"/>
  <c r="AH312" i="6"/>
  <c r="AI312" i="6"/>
  <c r="S313" i="6"/>
  <c r="T313" i="6"/>
  <c r="U313" i="6"/>
  <c r="V313" i="6"/>
  <c r="W313" i="6"/>
  <c r="X313" i="6"/>
  <c r="Y313" i="6"/>
  <c r="Z313" i="6"/>
  <c r="AA313" i="6"/>
  <c r="AB313" i="6"/>
  <c r="AD313" i="6"/>
  <c r="AE313" i="6"/>
  <c r="AF313" i="6"/>
  <c r="AG313" i="6"/>
  <c r="AH313" i="6"/>
  <c r="AI313" i="6"/>
  <c r="S314" i="6"/>
  <c r="T314" i="6"/>
  <c r="U314" i="6"/>
  <c r="V314" i="6"/>
  <c r="W314" i="6"/>
  <c r="X314" i="6"/>
  <c r="Y314" i="6"/>
  <c r="Z314" i="6"/>
  <c r="AA314" i="6"/>
  <c r="AB314" i="6"/>
  <c r="AD314" i="6"/>
  <c r="AE314" i="6"/>
  <c r="AF314" i="6"/>
  <c r="AG314" i="6"/>
  <c r="AH314" i="6"/>
  <c r="AI314" i="6"/>
  <c r="S315" i="6"/>
  <c r="T315" i="6"/>
  <c r="U315" i="6"/>
  <c r="V315" i="6"/>
  <c r="W315" i="6"/>
  <c r="X315" i="6"/>
  <c r="Y315" i="6"/>
  <c r="Z315" i="6"/>
  <c r="AA315" i="6"/>
  <c r="AB315" i="6"/>
  <c r="AD315" i="6"/>
  <c r="AE315" i="6"/>
  <c r="AF315" i="6"/>
  <c r="AG315" i="6"/>
  <c r="AH315" i="6"/>
  <c r="AI315" i="6"/>
  <c r="S316" i="6"/>
  <c r="T316" i="6"/>
  <c r="U316" i="6"/>
  <c r="V316" i="6"/>
  <c r="W316" i="6"/>
  <c r="X316" i="6"/>
  <c r="Y316" i="6"/>
  <c r="Z316" i="6"/>
  <c r="AA316" i="6"/>
  <c r="AB316" i="6"/>
  <c r="AD316" i="6"/>
  <c r="AE316" i="6"/>
  <c r="AF316" i="6"/>
  <c r="AG316" i="6"/>
  <c r="AH316" i="6"/>
  <c r="AI316" i="6"/>
  <c r="S317" i="6"/>
  <c r="T317" i="6"/>
  <c r="U317" i="6"/>
  <c r="V317" i="6"/>
  <c r="W317" i="6"/>
  <c r="X317" i="6"/>
  <c r="Y317" i="6"/>
  <c r="Z317" i="6"/>
  <c r="AA317" i="6"/>
  <c r="AB317" i="6"/>
  <c r="AD317" i="6"/>
  <c r="AE317" i="6"/>
  <c r="AF317" i="6"/>
  <c r="AG317" i="6"/>
  <c r="AH317" i="6"/>
  <c r="AI317" i="6"/>
  <c r="S318" i="6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S319" i="6"/>
  <c r="T319" i="6"/>
  <c r="U319" i="6"/>
  <c r="V319" i="6"/>
  <c r="W319" i="6"/>
  <c r="X319" i="6"/>
  <c r="Y319" i="6"/>
  <c r="Z319" i="6"/>
  <c r="AA319" i="6"/>
  <c r="AB319" i="6"/>
  <c r="AD319" i="6"/>
  <c r="AE319" i="6"/>
  <c r="AF319" i="6"/>
  <c r="AG319" i="6"/>
  <c r="AH319" i="6"/>
  <c r="AI319" i="6"/>
  <c r="S320" i="6"/>
  <c r="T320" i="6"/>
  <c r="U320" i="6"/>
  <c r="V320" i="6"/>
  <c r="W320" i="6"/>
  <c r="X320" i="6"/>
  <c r="Y320" i="6"/>
  <c r="Z320" i="6"/>
  <c r="AA320" i="6"/>
  <c r="AB320" i="6"/>
  <c r="AD320" i="6"/>
  <c r="AE320" i="6"/>
  <c r="AF320" i="6"/>
  <c r="AG320" i="6"/>
  <c r="AH320" i="6"/>
  <c r="AI320" i="6"/>
  <c r="S321" i="6"/>
  <c r="T321" i="6"/>
  <c r="U321" i="6"/>
  <c r="V321" i="6"/>
  <c r="W321" i="6"/>
  <c r="X321" i="6"/>
  <c r="Y321" i="6"/>
  <c r="Z321" i="6"/>
  <c r="AA321" i="6"/>
  <c r="AB321" i="6"/>
  <c r="AD321" i="6"/>
  <c r="AE321" i="6"/>
  <c r="AF321" i="6"/>
  <c r="AG321" i="6"/>
  <c r="AH321" i="6"/>
  <c r="AI321" i="6"/>
  <c r="S322" i="6"/>
  <c r="T322" i="6"/>
  <c r="U322" i="6"/>
  <c r="V322" i="6"/>
  <c r="W322" i="6"/>
  <c r="X322" i="6"/>
  <c r="Y322" i="6"/>
  <c r="Z322" i="6"/>
  <c r="AA322" i="6"/>
  <c r="AB322" i="6"/>
  <c r="AD322" i="6"/>
  <c r="AE322" i="6"/>
  <c r="AF322" i="6"/>
  <c r="AG322" i="6"/>
  <c r="AH322" i="6"/>
  <c r="AI322" i="6"/>
  <c r="S323" i="6"/>
  <c r="T323" i="6"/>
  <c r="U323" i="6"/>
  <c r="V323" i="6"/>
  <c r="W323" i="6"/>
  <c r="X323" i="6"/>
  <c r="Y323" i="6"/>
  <c r="Z323" i="6"/>
  <c r="AA323" i="6"/>
  <c r="AB323" i="6"/>
  <c r="AD323" i="6"/>
  <c r="AE323" i="6"/>
  <c r="AF323" i="6"/>
  <c r="AG323" i="6"/>
  <c r="AH323" i="6"/>
  <c r="AI323" i="6"/>
  <c r="S324" i="6"/>
  <c r="T324" i="6"/>
  <c r="U324" i="6"/>
  <c r="V324" i="6"/>
  <c r="W324" i="6"/>
  <c r="X324" i="6"/>
  <c r="Y324" i="6"/>
  <c r="Z324" i="6"/>
  <c r="AA324" i="6"/>
  <c r="AB324" i="6"/>
  <c r="AD324" i="6"/>
  <c r="AE324" i="6"/>
  <c r="AF324" i="6"/>
  <c r="AG324" i="6"/>
  <c r="AH324" i="6"/>
  <c r="AI324" i="6"/>
  <c r="S325" i="6"/>
  <c r="T325" i="6"/>
  <c r="U325" i="6"/>
  <c r="V325" i="6"/>
  <c r="W325" i="6"/>
  <c r="X325" i="6"/>
  <c r="Y325" i="6"/>
  <c r="Z325" i="6"/>
  <c r="AA325" i="6"/>
  <c r="AB325" i="6"/>
  <c r="AD325" i="6"/>
  <c r="AE325" i="6"/>
  <c r="AF325" i="6"/>
  <c r="AG325" i="6"/>
  <c r="AH325" i="6"/>
  <c r="AI325" i="6"/>
  <c r="S326" i="6"/>
  <c r="T326" i="6"/>
  <c r="U326" i="6"/>
  <c r="V326" i="6"/>
  <c r="W326" i="6"/>
  <c r="X326" i="6"/>
  <c r="Y326" i="6"/>
  <c r="Z326" i="6"/>
  <c r="AA326" i="6"/>
  <c r="AB326" i="6"/>
  <c r="AD326" i="6"/>
  <c r="AE326" i="6"/>
  <c r="AF326" i="6"/>
  <c r="AG326" i="6"/>
  <c r="AH326" i="6"/>
  <c r="AI326" i="6"/>
  <c r="S327" i="6"/>
  <c r="T327" i="6"/>
  <c r="U327" i="6"/>
  <c r="V327" i="6"/>
  <c r="W327" i="6"/>
  <c r="X327" i="6"/>
  <c r="Y327" i="6"/>
  <c r="Z327" i="6"/>
  <c r="AA327" i="6"/>
  <c r="AB327" i="6"/>
  <c r="AD327" i="6"/>
  <c r="AE327" i="6"/>
  <c r="AF327" i="6"/>
  <c r="AG327" i="6"/>
  <c r="AH327" i="6"/>
  <c r="AI327" i="6"/>
  <c r="S328" i="6"/>
  <c r="T328" i="6"/>
  <c r="U328" i="6"/>
  <c r="V328" i="6"/>
  <c r="W328" i="6"/>
  <c r="X328" i="6"/>
  <c r="Y328" i="6"/>
  <c r="Z328" i="6"/>
  <c r="AA328" i="6"/>
  <c r="AB328" i="6"/>
  <c r="AD328" i="6"/>
  <c r="AE328" i="6"/>
  <c r="AF328" i="6"/>
  <c r="AG328" i="6"/>
  <c r="AH328" i="6"/>
  <c r="AI328" i="6"/>
  <c r="S329" i="6"/>
  <c r="T329" i="6"/>
  <c r="U329" i="6"/>
  <c r="V329" i="6"/>
  <c r="W329" i="6"/>
  <c r="X329" i="6"/>
  <c r="Y329" i="6"/>
  <c r="Z329" i="6"/>
  <c r="AA329" i="6"/>
  <c r="AB329" i="6"/>
  <c r="AD329" i="6"/>
  <c r="AE329" i="6"/>
  <c r="AF329" i="6"/>
  <c r="AG329" i="6"/>
  <c r="AH329" i="6"/>
  <c r="AI329" i="6"/>
  <c r="S330" i="6"/>
  <c r="T330" i="6"/>
  <c r="U330" i="6"/>
  <c r="V330" i="6"/>
  <c r="W330" i="6"/>
  <c r="X330" i="6"/>
  <c r="Y330" i="6"/>
  <c r="Z330" i="6"/>
  <c r="AA330" i="6"/>
  <c r="AB330" i="6"/>
  <c r="AD330" i="6"/>
  <c r="AE330" i="6"/>
  <c r="AF330" i="6"/>
  <c r="AG330" i="6"/>
  <c r="AH330" i="6"/>
  <c r="AI330" i="6"/>
  <c r="S331" i="6"/>
  <c r="T331" i="6"/>
  <c r="U331" i="6"/>
  <c r="V331" i="6"/>
  <c r="W331" i="6"/>
  <c r="X331" i="6"/>
  <c r="Y331" i="6"/>
  <c r="Z331" i="6"/>
  <c r="AA331" i="6"/>
  <c r="AB331" i="6"/>
  <c r="AD331" i="6"/>
  <c r="AE331" i="6"/>
  <c r="AF331" i="6"/>
  <c r="AG331" i="6"/>
  <c r="AH331" i="6"/>
  <c r="AI331" i="6"/>
  <c r="S332" i="6"/>
  <c r="T332" i="6"/>
  <c r="U332" i="6"/>
  <c r="V332" i="6"/>
  <c r="W332" i="6"/>
  <c r="X332" i="6"/>
  <c r="Y332" i="6"/>
  <c r="Z332" i="6"/>
  <c r="AA332" i="6"/>
  <c r="AB332" i="6"/>
  <c r="AD332" i="6"/>
  <c r="AE332" i="6"/>
  <c r="AF332" i="6"/>
  <c r="AG332" i="6"/>
  <c r="AH332" i="6"/>
  <c r="AI332" i="6"/>
  <c r="S333" i="6"/>
  <c r="T333" i="6"/>
  <c r="U333" i="6"/>
  <c r="V333" i="6"/>
  <c r="W333" i="6"/>
  <c r="X333" i="6"/>
  <c r="Y333" i="6"/>
  <c r="Z333" i="6"/>
  <c r="AA333" i="6"/>
  <c r="AB333" i="6"/>
  <c r="AD333" i="6"/>
  <c r="AE333" i="6"/>
  <c r="AF333" i="6"/>
  <c r="AG333" i="6"/>
  <c r="AH333" i="6"/>
  <c r="AI333" i="6"/>
  <c r="S334" i="6"/>
  <c r="T334" i="6"/>
  <c r="U334" i="6"/>
  <c r="V334" i="6"/>
  <c r="W334" i="6"/>
  <c r="X334" i="6"/>
  <c r="Y334" i="6"/>
  <c r="Z334" i="6"/>
  <c r="AA334" i="6"/>
  <c r="AB334" i="6"/>
  <c r="AD334" i="6"/>
  <c r="AE334" i="6"/>
  <c r="AF334" i="6"/>
  <c r="AG334" i="6"/>
  <c r="AH334" i="6"/>
  <c r="AI334" i="6"/>
  <c r="S335" i="6"/>
  <c r="T335" i="6"/>
  <c r="U335" i="6"/>
  <c r="V335" i="6"/>
  <c r="W335" i="6"/>
  <c r="X335" i="6"/>
  <c r="Y335" i="6"/>
  <c r="Z335" i="6"/>
  <c r="AA335" i="6"/>
  <c r="AB335" i="6"/>
  <c r="AD335" i="6"/>
  <c r="AE335" i="6"/>
  <c r="AF335" i="6"/>
  <c r="AG335" i="6"/>
  <c r="AH335" i="6"/>
  <c r="AI335" i="6"/>
  <c r="S336" i="6"/>
  <c r="T336" i="6"/>
  <c r="U336" i="6"/>
  <c r="V336" i="6"/>
  <c r="W336" i="6"/>
  <c r="X336" i="6"/>
  <c r="Y336" i="6"/>
  <c r="Z336" i="6"/>
  <c r="AA336" i="6"/>
  <c r="AB336" i="6"/>
  <c r="AD336" i="6"/>
  <c r="AE336" i="6"/>
  <c r="AF336" i="6"/>
  <c r="AG336" i="6"/>
  <c r="AH336" i="6"/>
  <c r="AI336" i="6"/>
  <c r="S337" i="6"/>
  <c r="T337" i="6"/>
  <c r="U337" i="6"/>
  <c r="V337" i="6"/>
  <c r="W337" i="6"/>
  <c r="X337" i="6"/>
  <c r="Y337" i="6"/>
  <c r="Z337" i="6"/>
  <c r="AA337" i="6"/>
  <c r="AB337" i="6"/>
  <c r="AD337" i="6"/>
  <c r="AE337" i="6"/>
  <c r="AF337" i="6"/>
  <c r="AG337" i="6"/>
  <c r="AH337" i="6"/>
  <c r="AI337" i="6"/>
  <c r="S338" i="6"/>
  <c r="T338" i="6"/>
  <c r="U338" i="6"/>
  <c r="V338" i="6"/>
  <c r="W338" i="6"/>
  <c r="X338" i="6"/>
  <c r="Y338" i="6"/>
  <c r="Z338" i="6"/>
  <c r="AA338" i="6"/>
  <c r="AB338" i="6"/>
  <c r="AD338" i="6"/>
  <c r="AE338" i="6"/>
  <c r="AF338" i="6"/>
  <c r="AG338" i="6"/>
  <c r="AH338" i="6"/>
  <c r="AI338" i="6"/>
  <c r="S339" i="6"/>
  <c r="T339" i="6"/>
  <c r="U339" i="6"/>
  <c r="V339" i="6"/>
  <c r="W339" i="6"/>
  <c r="X339" i="6"/>
  <c r="Y339" i="6"/>
  <c r="Z339" i="6"/>
  <c r="AA339" i="6"/>
  <c r="AB339" i="6"/>
  <c r="AD339" i="6"/>
  <c r="AE339" i="6"/>
  <c r="AF339" i="6"/>
  <c r="AG339" i="6"/>
  <c r="AH339" i="6"/>
  <c r="AI339" i="6"/>
  <c r="S340" i="6"/>
  <c r="T340" i="6"/>
  <c r="U340" i="6"/>
  <c r="V340" i="6"/>
  <c r="W340" i="6"/>
  <c r="X340" i="6"/>
  <c r="Y340" i="6"/>
  <c r="Z340" i="6"/>
  <c r="AA340" i="6"/>
  <c r="AB340" i="6"/>
  <c r="AD340" i="6"/>
  <c r="AE340" i="6"/>
  <c r="AF340" i="6"/>
  <c r="AG340" i="6"/>
  <c r="AH340" i="6"/>
  <c r="AI340" i="6"/>
  <c r="S341" i="6"/>
  <c r="T341" i="6"/>
  <c r="U341" i="6"/>
  <c r="V341" i="6"/>
  <c r="W341" i="6"/>
  <c r="X341" i="6"/>
  <c r="Y341" i="6"/>
  <c r="Z341" i="6"/>
  <c r="AA341" i="6"/>
  <c r="AB341" i="6"/>
  <c r="AD341" i="6"/>
  <c r="AE341" i="6"/>
  <c r="AF341" i="6"/>
  <c r="AG341" i="6"/>
  <c r="AH341" i="6"/>
  <c r="AI341" i="6"/>
  <c r="S342" i="6"/>
  <c r="T342" i="6"/>
  <c r="U342" i="6"/>
  <c r="V342" i="6"/>
  <c r="W342" i="6"/>
  <c r="X342" i="6"/>
  <c r="Y342" i="6"/>
  <c r="Z342" i="6"/>
  <c r="AA342" i="6"/>
  <c r="AB342" i="6"/>
  <c r="AD342" i="6"/>
  <c r="AE342" i="6"/>
  <c r="AF342" i="6"/>
  <c r="AG342" i="6"/>
  <c r="AH342" i="6"/>
  <c r="AI342" i="6"/>
  <c r="S343" i="6"/>
  <c r="T343" i="6"/>
  <c r="U343" i="6"/>
  <c r="V343" i="6"/>
  <c r="W343" i="6"/>
  <c r="X343" i="6"/>
  <c r="Y343" i="6"/>
  <c r="Z343" i="6"/>
  <c r="AA343" i="6"/>
  <c r="AB343" i="6"/>
  <c r="AD343" i="6"/>
  <c r="AE343" i="6"/>
  <c r="AF343" i="6"/>
  <c r="AG343" i="6"/>
  <c r="AH343" i="6"/>
  <c r="AI343" i="6"/>
  <c r="S344" i="6"/>
  <c r="T344" i="6"/>
  <c r="U344" i="6"/>
  <c r="V344" i="6"/>
  <c r="W344" i="6"/>
  <c r="X344" i="6"/>
  <c r="Y344" i="6"/>
  <c r="Z344" i="6"/>
  <c r="AA344" i="6"/>
  <c r="AB344" i="6"/>
  <c r="AD344" i="6"/>
  <c r="AE344" i="6"/>
  <c r="AF344" i="6"/>
  <c r="AG344" i="6"/>
  <c r="AH344" i="6"/>
  <c r="AI344" i="6"/>
  <c r="S345" i="6"/>
  <c r="T345" i="6"/>
  <c r="U345" i="6"/>
  <c r="V345" i="6"/>
  <c r="W345" i="6"/>
  <c r="X345" i="6"/>
  <c r="Y345" i="6"/>
  <c r="Z345" i="6"/>
  <c r="AA345" i="6"/>
  <c r="AB345" i="6"/>
  <c r="AD345" i="6"/>
  <c r="AE345" i="6"/>
  <c r="AF345" i="6"/>
  <c r="AG345" i="6"/>
  <c r="AH345" i="6"/>
  <c r="AI345" i="6"/>
  <c r="S346" i="6"/>
  <c r="T346" i="6"/>
  <c r="U346" i="6"/>
  <c r="V346" i="6"/>
  <c r="W346" i="6"/>
  <c r="X346" i="6"/>
  <c r="Y346" i="6"/>
  <c r="Z346" i="6"/>
  <c r="AA346" i="6"/>
  <c r="AB346" i="6"/>
  <c r="AD346" i="6"/>
  <c r="AE346" i="6"/>
  <c r="AF346" i="6"/>
  <c r="AG346" i="6"/>
  <c r="AH346" i="6"/>
  <c r="AI346" i="6"/>
  <c r="S347" i="6"/>
  <c r="T347" i="6"/>
  <c r="U347" i="6"/>
  <c r="V347" i="6"/>
  <c r="W347" i="6"/>
  <c r="X347" i="6"/>
  <c r="Y347" i="6"/>
  <c r="Z347" i="6"/>
  <c r="AA347" i="6"/>
  <c r="AB347" i="6"/>
  <c r="AD347" i="6"/>
  <c r="AE347" i="6"/>
  <c r="AF347" i="6"/>
  <c r="AG347" i="6"/>
  <c r="AH347" i="6"/>
  <c r="AI347" i="6"/>
  <c r="S348" i="6"/>
  <c r="T348" i="6"/>
  <c r="U348" i="6"/>
  <c r="V348" i="6"/>
  <c r="W348" i="6"/>
  <c r="X348" i="6"/>
  <c r="Y348" i="6"/>
  <c r="Z348" i="6"/>
  <c r="AA348" i="6"/>
  <c r="AB348" i="6"/>
  <c r="AD348" i="6"/>
  <c r="AE348" i="6"/>
  <c r="AF348" i="6"/>
  <c r="AG348" i="6"/>
  <c r="AH348" i="6"/>
  <c r="AI348" i="6"/>
  <c r="S349" i="6"/>
  <c r="T349" i="6"/>
  <c r="U349" i="6"/>
  <c r="V349" i="6"/>
  <c r="W349" i="6"/>
  <c r="X349" i="6"/>
  <c r="Y349" i="6"/>
  <c r="Z349" i="6"/>
  <c r="AA349" i="6"/>
  <c r="AB349" i="6"/>
  <c r="AD349" i="6"/>
  <c r="AE349" i="6"/>
  <c r="AF349" i="6"/>
  <c r="AG349" i="6"/>
  <c r="AH349" i="6"/>
  <c r="AI349" i="6"/>
  <c r="S350" i="6"/>
  <c r="T350" i="6"/>
  <c r="U350" i="6"/>
  <c r="V350" i="6"/>
  <c r="W350" i="6"/>
  <c r="X350" i="6"/>
  <c r="Y350" i="6"/>
  <c r="Z350" i="6"/>
  <c r="AA350" i="6"/>
  <c r="AB350" i="6"/>
  <c r="AD350" i="6"/>
  <c r="AE350" i="6"/>
  <c r="AF350" i="6"/>
  <c r="AG350" i="6"/>
  <c r="AH350" i="6"/>
  <c r="AI350" i="6"/>
  <c r="S351" i="6"/>
  <c r="T351" i="6"/>
  <c r="U351" i="6"/>
  <c r="V351" i="6"/>
  <c r="W351" i="6"/>
  <c r="X351" i="6"/>
  <c r="Y351" i="6"/>
  <c r="Z351" i="6"/>
  <c r="AA351" i="6"/>
  <c r="AB351" i="6"/>
  <c r="AD351" i="6"/>
  <c r="AE351" i="6"/>
  <c r="AF351" i="6"/>
  <c r="AG351" i="6"/>
  <c r="AH351" i="6"/>
  <c r="AI351" i="6"/>
  <c r="S352" i="6"/>
  <c r="T352" i="6"/>
  <c r="U352" i="6"/>
  <c r="V352" i="6"/>
  <c r="W352" i="6"/>
  <c r="X352" i="6"/>
  <c r="Y352" i="6"/>
  <c r="Z352" i="6"/>
  <c r="AA352" i="6"/>
  <c r="AB352" i="6"/>
  <c r="AD352" i="6"/>
  <c r="AE352" i="6"/>
  <c r="AF352" i="6"/>
  <c r="AG352" i="6"/>
  <c r="AH352" i="6"/>
  <c r="AI352" i="6"/>
  <c r="S353" i="6"/>
  <c r="T353" i="6"/>
  <c r="U353" i="6"/>
  <c r="V353" i="6"/>
  <c r="W353" i="6"/>
  <c r="X353" i="6"/>
  <c r="Y353" i="6"/>
  <c r="Z353" i="6"/>
  <c r="AA353" i="6"/>
  <c r="AB353" i="6"/>
  <c r="AD353" i="6"/>
  <c r="AE353" i="6"/>
  <c r="AF353" i="6"/>
  <c r="AG353" i="6"/>
  <c r="AH353" i="6"/>
  <c r="AI353" i="6"/>
  <c r="S354" i="6"/>
  <c r="T354" i="6"/>
  <c r="U354" i="6"/>
  <c r="V354" i="6"/>
  <c r="W354" i="6"/>
  <c r="X354" i="6"/>
  <c r="Y354" i="6"/>
  <c r="Z354" i="6"/>
  <c r="AA354" i="6"/>
  <c r="AB354" i="6"/>
  <c r="AD354" i="6"/>
  <c r="AE354" i="6"/>
  <c r="AF354" i="6"/>
  <c r="AG354" i="6"/>
  <c r="AH354" i="6"/>
  <c r="AI354" i="6"/>
  <c r="S355" i="6"/>
  <c r="T355" i="6"/>
  <c r="U355" i="6"/>
  <c r="V355" i="6"/>
  <c r="W355" i="6"/>
  <c r="X355" i="6"/>
  <c r="Y355" i="6"/>
  <c r="Z355" i="6"/>
  <c r="AA355" i="6"/>
  <c r="AB355" i="6"/>
  <c r="AD355" i="6"/>
  <c r="AE355" i="6"/>
  <c r="AF355" i="6"/>
  <c r="AG355" i="6"/>
  <c r="AH355" i="6"/>
  <c r="AI355" i="6"/>
  <c r="S356" i="6"/>
  <c r="T356" i="6"/>
  <c r="U356" i="6"/>
  <c r="V356" i="6"/>
  <c r="W356" i="6"/>
  <c r="X356" i="6"/>
  <c r="Y356" i="6"/>
  <c r="Z356" i="6"/>
  <c r="AA356" i="6"/>
  <c r="AB356" i="6"/>
  <c r="AD356" i="6"/>
  <c r="AE356" i="6"/>
  <c r="AF356" i="6"/>
  <c r="AG356" i="6"/>
  <c r="AH356" i="6"/>
  <c r="AI356" i="6"/>
  <c r="S357" i="6"/>
  <c r="T357" i="6"/>
  <c r="U357" i="6"/>
  <c r="V357" i="6"/>
  <c r="W357" i="6"/>
  <c r="X357" i="6"/>
  <c r="Y357" i="6"/>
  <c r="Z357" i="6"/>
  <c r="AA357" i="6"/>
  <c r="AB357" i="6"/>
  <c r="AD357" i="6"/>
  <c r="AE357" i="6"/>
  <c r="AF357" i="6"/>
  <c r="AG357" i="6"/>
  <c r="AH357" i="6"/>
  <c r="AI357" i="6"/>
  <c r="S358" i="6"/>
  <c r="T358" i="6"/>
  <c r="U358" i="6"/>
  <c r="V358" i="6"/>
  <c r="W358" i="6"/>
  <c r="X358" i="6"/>
  <c r="Y358" i="6"/>
  <c r="Z358" i="6"/>
  <c r="AA358" i="6"/>
  <c r="AB358" i="6"/>
  <c r="AD358" i="6"/>
  <c r="AE358" i="6"/>
  <c r="AF358" i="6"/>
  <c r="AG358" i="6"/>
  <c r="AH358" i="6"/>
  <c r="AI358" i="6"/>
  <c r="S359" i="6"/>
  <c r="T359" i="6"/>
  <c r="U359" i="6"/>
  <c r="V359" i="6"/>
  <c r="W359" i="6"/>
  <c r="X359" i="6"/>
  <c r="Y359" i="6"/>
  <c r="Z359" i="6"/>
  <c r="AA359" i="6"/>
  <c r="AB359" i="6"/>
  <c r="AD359" i="6"/>
  <c r="AE359" i="6"/>
  <c r="AF359" i="6"/>
  <c r="AG359" i="6"/>
  <c r="AH359" i="6"/>
  <c r="AI359" i="6"/>
  <c r="S360" i="6"/>
  <c r="T360" i="6"/>
  <c r="U360" i="6"/>
  <c r="V360" i="6"/>
  <c r="W360" i="6"/>
  <c r="X360" i="6"/>
  <c r="Y360" i="6"/>
  <c r="Z360" i="6"/>
  <c r="AA360" i="6"/>
  <c r="AB360" i="6"/>
  <c r="AD360" i="6"/>
  <c r="AE360" i="6"/>
  <c r="AF360" i="6"/>
  <c r="AG360" i="6"/>
  <c r="AH360" i="6"/>
  <c r="AI360" i="6"/>
  <c r="S361" i="6"/>
  <c r="T361" i="6"/>
  <c r="U361" i="6"/>
  <c r="V361" i="6"/>
  <c r="W361" i="6"/>
  <c r="X361" i="6"/>
  <c r="Y361" i="6"/>
  <c r="Z361" i="6"/>
  <c r="AA361" i="6"/>
  <c r="AB361" i="6"/>
  <c r="AD361" i="6"/>
  <c r="AE361" i="6"/>
  <c r="AF361" i="6"/>
  <c r="AG361" i="6"/>
  <c r="AH361" i="6"/>
  <c r="AI361" i="6"/>
  <c r="S362" i="6"/>
  <c r="T362" i="6"/>
  <c r="U362" i="6"/>
  <c r="V362" i="6"/>
  <c r="W362" i="6"/>
  <c r="X362" i="6"/>
  <c r="Y362" i="6"/>
  <c r="Z362" i="6"/>
  <c r="AA362" i="6"/>
  <c r="AB362" i="6"/>
  <c r="AD362" i="6"/>
  <c r="AE362" i="6"/>
  <c r="AF362" i="6"/>
  <c r="AG362" i="6"/>
  <c r="AH362" i="6"/>
  <c r="AI362" i="6"/>
  <c r="S363" i="6"/>
  <c r="T363" i="6"/>
  <c r="U363" i="6"/>
  <c r="V363" i="6"/>
  <c r="W363" i="6"/>
  <c r="X363" i="6"/>
  <c r="Y363" i="6"/>
  <c r="Z363" i="6"/>
  <c r="AA363" i="6"/>
  <c r="AB363" i="6"/>
  <c r="AD363" i="6"/>
  <c r="AE363" i="6"/>
  <c r="AF363" i="6"/>
  <c r="AG363" i="6"/>
  <c r="AH363" i="6"/>
  <c r="AI363" i="6"/>
  <c r="S364" i="6"/>
  <c r="T364" i="6"/>
  <c r="U364" i="6"/>
  <c r="V364" i="6"/>
  <c r="W364" i="6"/>
  <c r="X364" i="6"/>
  <c r="Y364" i="6"/>
  <c r="Z364" i="6"/>
  <c r="AA364" i="6"/>
  <c r="AB364" i="6"/>
  <c r="AD364" i="6"/>
  <c r="AE364" i="6"/>
  <c r="AF364" i="6"/>
  <c r="AG364" i="6"/>
  <c r="AH364" i="6"/>
  <c r="AI364" i="6"/>
  <c r="S365" i="6"/>
  <c r="T365" i="6"/>
  <c r="U365" i="6"/>
  <c r="V365" i="6"/>
  <c r="W365" i="6"/>
  <c r="X365" i="6"/>
  <c r="Y365" i="6"/>
  <c r="Z365" i="6"/>
  <c r="AA365" i="6"/>
  <c r="AB365" i="6"/>
  <c r="AD365" i="6"/>
  <c r="AE365" i="6"/>
  <c r="AF365" i="6"/>
  <c r="AG365" i="6"/>
  <c r="AH365" i="6"/>
  <c r="AI365" i="6"/>
  <c r="S366" i="6"/>
  <c r="T366" i="6"/>
  <c r="U366" i="6"/>
  <c r="V366" i="6"/>
  <c r="W366" i="6"/>
  <c r="X366" i="6"/>
  <c r="Y366" i="6"/>
  <c r="Z366" i="6"/>
  <c r="AA366" i="6"/>
  <c r="AB366" i="6"/>
  <c r="AD366" i="6"/>
  <c r="AE366" i="6"/>
  <c r="AF366" i="6"/>
  <c r="AG366" i="6"/>
  <c r="AH366" i="6"/>
  <c r="AI366" i="6"/>
  <c r="S367" i="6"/>
  <c r="T367" i="6"/>
  <c r="U367" i="6"/>
  <c r="V367" i="6"/>
  <c r="W367" i="6"/>
  <c r="X367" i="6"/>
  <c r="Y367" i="6"/>
  <c r="Z367" i="6"/>
  <c r="AA367" i="6"/>
  <c r="AB367" i="6"/>
  <c r="AD367" i="6"/>
  <c r="AE367" i="6"/>
  <c r="AF367" i="6"/>
  <c r="AG367" i="6"/>
  <c r="AH367" i="6"/>
  <c r="AI367" i="6"/>
  <c r="S368" i="6"/>
  <c r="T368" i="6"/>
  <c r="U368" i="6"/>
  <c r="V368" i="6"/>
  <c r="W368" i="6"/>
  <c r="X368" i="6"/>
  <c r="Y368" i="6"/>
  <c r="Z368" i="6"/>
  <c r="AA368" i="6"/>
  <c r="AB368" i="6"/>
  <c r="AD368" i="6"/>
  <c r="AE368" i="6"/>
  <c r="AF368" i="6"/>
  <c r="AG368" i="6"/>
  <c r="AH368" i="6"/>
  <c r="AI368" i="6"/>
  <c r="S369" i="6"/>
  <c r="T369" i="6"/>
  <c r="U369" i="6"/>
  <c r="V369" i="6"/>
  <c r="W369" i="6"/>
  <c r="X369" i="6"/>
  <c r="Y369" i="6"/>
  <c r="Z369" i="6"/>
  <c r="AA369" i="6"/>
  <c r="AB369" i="6"/>
  <c r="AD369" i="6"/>
  <c r="AE369" i="6"/>
  <c r="AF369" i="6"/>
  <c r="AG369" i="6"/>
  <c r="AH369" i="6"/>
  <c r="AI369" i="6"/>
  <c r="S370" i="6"/>
  <c r="T370" i="6"/>
  <c r="U370" i="6"/>
  <c r="V370" i="6"/>
  <c r="W370" i="6"/>
  <c r="X370" i="6"/>
  <c r="Y370" i="6"/>
  <c r="Z370" i="6"/>
  <c r="AA370" i="6"/>
  <c r="AB370" i="6"/>
  <c r="AD370" i="6"/>
  <c r="AE370" i="6"/>
  <c r="AF370" i="6"/>
  <c r="AG370" i="6"/>
  <c r="AH370" i="6"/>
  <c r="AI370" i="6"/>
  <c r="S371" i="6"/>
  <c r="T371" i="6"/>
  <c r="U371" i="6"/>
  <c r="V371" i="6"/>
  <c r="W371" i="6"/>
  <c r="X371" i="6"/>
  <c r="Y371" i="6"/>
  <c r="Z371" i="6"/>
  <c r="AA371" i="6"/>
  <c r="AB371" i="6"/>
  <c r="AD371" i="6"/>
  <c r="AE371" i="6"/>
  <c r="AF371" i="6"/>
  <c r="AG371" i="6"/>
  <c r="AH371" i="6"/>
  <c r="AI371" i="6"/>
  <c r="S372" i="6"/>
  <c r="T372" i="6"/>
  <c r="U372" i="6"/>
  <c r="V372" i="6"/>
  <c r="W372" i="6"/>
  <c r="X372" i="6"/>
  <c r="Y372" i="6"/>
  <c r="Z372" i="6"/>
  <c r="AA372" i="6"/>
  <c r="AB372" i="6"/>
  <c r="AD372" i="6"/>
  <c r="AE372" i="6"/>
  <c r="AF372" i="6"/>
  <c r="AG372" i="6"/>
  <c r="AH372" i="6"/>
  <c r="AI372" i="6"/>
  <c r="S373" i="6"/>
  <c r="T373" i="6"/>
  <c r="U373" i="6"/>
  <c r="V373" i="6"/>
  <c r="W373" i="6"/>
  <c r="X373" i="6"/>
  <c r="Y373" i="6"/>
  <c r="Z373" i="6"/>
  <c r="AA373" i="6"/>
  <c r="AB373" i="6"/>
  <c r="AD373" i="6"/>
  <c r="AE373" i="6"/>
  <c r="AF373" i="6"/>
  <c r="AG373" i="6"/>
  <c r="AH373" i="6"/>
  <c r="AI373" i="6"/>
  <c r="S374" i="6"/>
  <c r="T374" i="6"/>
  <c r="U374" i="6"/>
  <c r="V374" i="6"/>
  <c r="W374" i="6"/>
  <c r="X374" i="6"/>
  <c r="Y374" i="6"/>
  <c r="Z374" i="6"/>
  <c r="AA374" i="6"/>
  <c r="AB374" i="6"/>
  <c r="AD374" i="6"/>
  <c r="AE374" i="6"/>
  <c r="AF374" i="6"/>
  <c r="AG374" i="6"/>
  <c r="AH374" i="6"/>
  <c r="AI374" i="6"/>
  <c r="S375" i="6"/>
  <c r="T375" i="6"/>
  <c r="U375" i="6"/>
  <c r="V375" i="6"/>
  <c r="W375" i="6"/>
  <c r="X375" i="6"/>
  <c r="Y375" i="6"/>
  <c r="Z375" i="6"/>
  <c r="AA375" i="6"/>
  <c r="AB375" i="6"/>
  <c r="AD375" i="6"/>
  <c r="AE375" i="6"/>
  <c r="AF375" i="6"/>
  <c r="AG375" i="6"/>
  <c r="AH375" i="6"/>
  <c r="AI375" i="6"/>
  <c r="S376" i="6"/>
  <c r="T376" i="6"/>
  <c r="U376" i="6"/>
  <c r="V376" i="6"/>
  <c r="W376" i="6"/>
  <c r="X376" i="6"/>
  <c r="Y376" i="6"/>
  <c r="Z376" i="6"/>
  <c r="AA376" i="6"/>
  <c r="AB376" i="6"/>
  <c r="AD376" i="6"/>
  <c r="AE376" i="6"/>
  <c r="AF376" i="6"/>
  <c r="AG376" i="6"/>
  <c r="AH376" i="6"/>
  <c r="AI376" i="6"/>
  <c r="S377" i="6"/>
  <c r="T377" i="6"/>
  <c r="U377" i="6"/>
  <c r="V377" i="6"/>
  <c r="W377" i="6"/>
  <c r="X377" i="6"/>
  <c r="Y377" i="6"/>
  <c r="Z377" i="6"/>
  <c r="AA377" i="6"/>
  <c r="AB377" i="6"/>
  <c r="AD377" i="6"/>
  <c r="AE377" i="6"/>
  <c r="AF377" i="6"/>
  <c r="AG377" i="6"/>
  <c r="AH377" i="6"/>
  <c r="AI377" i="6"/>
  <c r="S378" i="6"/>
  <c r="T378" i="6"/>
  <c r="U378" i="6"/>
  <c r="V378" i="6"/>
  <c r="W378" i="6"/>
  <c r="X378" i="6"/>
  <c r="Y378" i="6"/>
  <c r="Z378" i="6"/>
  <c r="AA378" i="6"/>
  <c r="AB378" i="6"/>
  <c r="AD378" i="6"/>
  <c r="AE378" i="6"/>
  <c r="AF378" i="6"/>
  <c r="AG378" i="6"/>
  <c r="AH378" i="6"/>
  <c r="AI378" i="6"/>
  <c r="S379" i="6"/>
  <c r="T379" i="6"/>
  <c r="U379" i="6"/>
  <c r="V379" i="6"/>
  <c r="W379" i="6"/>
  <c r="X379" i="6"/>
  <c r="Y379" i="6"/>
  <c r="Z379" i="6"/>
  <c r="AA379" i="6"/>
  <c r="AB379" i="6"/>
  <c r="AD379" i="6"/>
  <c r="AE379" i="6"/>
  <c r="AF379" i="6"/>
  <c r="AG379" i="6"/>
  <c r="AH379" i="6"/>
  <c r="AI379" i="6"/>
  <c r="S380" i="6"/>
  <c r="T380" i="6"/>
  <c r="U380" i="6"/>
  <c r="V380" i="6"/>
  <c r="W380" i="6"/>
  <c r="X380" i="6"/>
  <c r="Y380" i="6"/>
  <c r="Z380" i="6"/>
  <c r="AA380" i="6"/>
  <c r="AB380" i="6"/>
  <c r="AD380" i="6"/>
  <c r="AE380" i="6"/>
  <c r="AF380" i="6"/>
  <c r="AG380" i="6"/>
  <c r="AH380" i="6"/>
  <c r="AI380" i="6"/>
  <c r="S381" i="6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385" i="6"/>
  <c r="T385" i="6"/>
  <c r="U385" i="6"/>
  <c r="V385" i="6"/>
  <c r="W385" i="6"/>
  <c r="X385" i="6"/>
  <c r="Y385" i="6"/>
  <c r="Z385" i="6"/>
  <c r="AA385" i="6"/>
  <c r="AB385" i="6"/>
  <c r="AD385" i="6"/>
  <c r="AE385" i="6"/>
  <c r="AF385" i="6"/>
  <c r="AG385" i="6"/>
  <c r="AH385" i="6"/>
  <c r="AI385" i="6"/>
  <c r="S386" i="6"/>
  <c r="T386" i="6"/>
  <c r="U386" i="6"/>
  <c r="V386" i="6"/>
  <c r="W386" i="6"/>
  <c r="X386" i="6"/>
  <c r="Y386" i="6"/>
  <c r="Z386" i="6"/>
  <c r="AA386" i="6"/>
  <c r="AB386" i="6"/>
  <c r="AD386" i="6"/>
  <c r="AE386" i="6"/>
  <c r="AF386" i="6"/>
  <c r="AG386" i="6"/>
  <c r="AH386" i="6"/>
  <c r="AI386" i="6"/>
  <c r="S387" i="6"/>
  <c r="T387" i="6"/>
  <c r="U387" i="6"/>
  <c r="V387" i="6"/>
  <c r="W387" i="6"/>
  <c r="X387" i="6"/>
  <c r="Y387" i="6"/>
  <c r="Z387" i="6"/>
  <c r="AA387" i="6"/>
  <c r="AB387" i="6"/>
  <c r="AD387" i="6"/>
  <c r="AE387" i="6"/>
  <c r="AF387" i="6"/>
  <c r="AG387" i="6"/>
  <c r="AH387" i="6"/>
  <c r="AI387" i="6"/>
  <c r="S388" i="6"/>
  <c r="T388" i="6"/>
  <c r="U388" i="6"/>
  <c r="V388" i="6"/>
  <c r="W388" i="6"/>
  <c r="X388" i="6"/>
  <c r="Y388" i="6"/>
  <c r="Z388" i="6"/>
  <c r="AA388" i="6"/>
  <c r="AB388" i="6"/>
  <c r="AD388" i="6"/>
  <c r="AE388" i="6"/>
  <c r="AF388" i="6"/>
  <c r="AG388" i="6"/>
  <c r="AH388" i="6"/>
  <c r="AI388" i="6"/>
  <c r="S389" i="6"/>
  <c r="T389" i="6"/>
  <c r="U389" i="6"/>
  <c r="V389" i="6"/>
  <c r="W389" i="6"/>
  <c r="X389" i="6"/>
  <c r="Y389" i="6"/>
  <c r="Z389" i="6"/>
  <c r="AA389" i="6"/>
  <c r="AB389" i="6"/>
  <c r="AD389" i="6"/>
  <c r="AE389" i="6"/>
  <c r="AF389" i="6"/>
  <c r="AG389" i="6"/>
  <c r="AH389" i="6"/>
  <c r="AI389" i="6"/>
  <c r="S390" i="6"/>
  <c r="T390" i="6"/>
  <c r="U390" i="6"/>
  <c r="V390" i="6"/>
  <c r="W390" i="6"/>
  <c r="X390" i="6"/>
  <c r="Y390" i="6"/>
  <c r="Z390" i="6"/>
  <c r="AA390" i="6"/>
  <c r="AB390" i="6"/>
  <c r="AD390" i="6"/>
  <c r="AE390" i="6"/>
  <c r="AF390" i="6"/>
  <c r="AG390" i="6"/>
  <c r="AH390" i="6"/>
  <c r="AI390" i="6"/>
  <c r="S391" i="6"/>
  <c r="T391" i="6"/>
  <c r="U391" i="6"/>
  <c r="V391" i="6"/>
  <c r="W391" i="6"/>
  <c r="X391" i="6"/>
  <c r="Y391" i="6"/>
  <c r="Z391" i="6"/>
  <c r="AA391" i="6"/>
  <c r="AB391" i="6"/>
  <c r="AD391" i="6"/>
  <c r="AE391" i="6"/>
  <c r="AF391" i="6"/>
  <c r="AG391" i="6"/>
  <c r="AH391" i="6"/>
  <c r="AI391" i="6"/>
  <c r="S392" i="6"/>
  <c r="T392" i="6"/>
  <c r="U392" i="6"/>
  <c r="V392" i="6"/>
  <c r="W392" i="6"/>
  <c r="X392" i="6"/>
  <c r="Y392" i="6"/>
  <c r="Z392" i="6"/>
  <c r="AA392" i="6"/>
  <c r="AB392" i="6"/>
  <c r="AD392" i="6"/>
  <c r="AE392" i="6"/>
  <c r="AF392" i="6"/>
  <c r="AG392" i="6"/>
  <c r="AH392" i="6"/>
  <c r="AI392" i="6"/>
  <c r="S393" i="6"/>
  <c r="T393" i="6"/>
  <c r="U393" i="6"/>
  <c r="V393" i="6"/>
  <c r="W393" i="6"/>
  <c r="X393" i="6"/>
  <c r="Y393" i="6"/>
  <c r="Z393" i="6"/>
  <c r="AA393" i="6"/>
  <c r="AB393" i="6"/>
  <c r="AD393" i="6"/>
  <c r="AE393" i="6"/>
  <c r="AF393" i="6"/>
  <c r="AG393" i="6"/>
  <c r="AH393" i="6"/>
  <c r="AI393" i="6"/>
  <c r="S394" i="6"/>
  <c r="T394" i="6"/>
  <c r="U394" i="6"/>
  <c r="V394" i="6"/>
  <c r="W394" i="6"/>
  <c r="X394" i="6"/>
  <c r="Y394" i="6"/>
  <c r="Z394" i="6"/>
  <c r="AA394" i="6"/>
  <c r="AB394" i="6"/>
  <c r="AD394" i="6"/>
  <c r="AE394" i="6"/>
  <c r="AF394" i="6"/>
  <c r="AG394" i="6"/>
  <c r="AH394" i="6"/>
  <c r="AI394" i="6"/>
  <c r="S395" i="6"/>
  <c r="T395" i="6"/>
  <c r="U395" i="6"/>
  <c r="V395" i="6"/>
  <c r="W395" i="6"/>
  <c r="X395" i="6"/>
  <c r="Y395" i="6"/>
  <c r="Z395" i="6"/>
  <c r="AA395" i="6"/>
  <c r="AB395" i="6"/>
  <c r="AD395" i="6"/>
  <c r="AE395" i="6"/>
  <c r="AF395" i="6"/>
  <c r="AG395" i="6"/>
  <c r="AH395" i="6"/>
  <c r="AI395" i="6"/>
  <c r="S396" i="6"/>
  <c r="T396" i="6"/>
  <c r="U396" i="6"/>
  <c r="V396" i="6"/>
  <c r="W396" i="6"/>
  <c r="X396" i="6"/>
  <c r="Y396" i="6"/>
  <c r="Z396" i="6"/>
  <c r="AA396" i="6"/>
  <c r="AB396" i="6"/>
  <c r="AD396" i="6"/>
  <c r="AE396" i="6"/>
  <c r="AF396" i="6"/>
  <c r="AG396" i="6"/>
  <c r="AH396" i="6"/>
  <c r="AI396" i="6"/>
  <c r="S397" i="6"/>
  <c r="T397" i="6"/>
  <c r="U397" i="6"/>
  <c r="V397" i="6"/>
  <c r="W397" i="6"/>
  <c r="X397" i="6"/>
  <c r="Y397" i="6"/>
  <c r="Z397" i="6"/>
  <c r="AA397" i="6"/>
  <c r="AB397" i="6"/>
  <c r="AD397" i="6"/>
  <c r="AE397" i="6"/>
  <c r="AF397" i="6"/>
  <c r="AG397" i="6"/>
  <c r="AH397" i="6"/>
  <c r="AI397" i="6"/>
  <c r="S398" i="6"/>
  <c r="T398" i="6"/>
  <c r="U398" i="6"/>
  <c r="V398" i="6"/>
  <c r="W398" i="6"/>
  <c r="X398" i="6"/>
  <c r="Y398" i="6"/>
  <c r="Z398" i="6"/>
  <c r="AA398" i="6"/>
  <c r="AB398" i="6"/>
  <c r="AD398" i="6"/>
  <c r="AE398" i="6"/>
  <c r="AF398" i="6"/>
  <c r="AG398" i="6"/>
  <c r="AH398" i="6"/>
  <c r="AI398" i="6"/>
  <c r="S399" i="6"/>
  <c r="T399" i="6"/>
  <c r="U399" i="6"/>
  <c r="V399" i="6"/>
  <c r="W399" i="6"/>
  <c r="X399" i="6"/>
  <c r="Y399" i="6"/>
  <c r="Z399" i="6"/>
  <c r="AA399" i="6"/>
  <c r="AB399" i="6"/>
  <c r="AD399" i="6"/>
  <c r="AE399" i="6"/>
  <c r="AF399" i="6"/>
  <c r="AG399" i="6"/>
  <c r="AH399" i="6"/>
  <c r="AI399" i="6"/>
  <c r="S400" i="6"/>
  <c r="T400" i="6"/>
  <c r="U400" i="6"/>
  <c r="V400" i="6"/>
  <c r="W400" i="6"/>
  <c r="X400" i="6"/>
  <c r="Y400" i="6"/>
  <c r="Z400" i="6"/>
  <c r="AA400" i="6"/>
  <c r="AB400" i="6"/>
  <c r="AD400" i="6"/>
  <c r="AE400" i="6"/>
  <c r="AF400" i="6"/>
  <c r="AG400" i="6"/>
  <c r="AH400" i="6"/>
  <c r="AI400" i="6"/>
  <c r="S401" i="6"/>
  <c r="T401" i="6"/>
  <c r="U401" i="6"/>
  <c r="V401" i="6"/>
  <c r="W401" i="6"/>
  <c r="X401" i="6"/>
  <c r="Y401" i="6"/>
  <c r="Z401" i="6"/>
  <c r="AA401" i="6"/>
  <c r="AB401" i="6"/>
  <c r="AD401" i="6"/>
  <c r="AE401" i="6"/>
  <c r="AF401" i="6"/>
  <c r="AG401" i="6"/>
  <c r="AH401" i="6"/>
  <c r="AI401" i="6"/>
  <c r="S402" i="6"/>
  <c r="T402" i="6"/>
  <c r="U402" i="6"/>
  <c r="V402" i="6"/>
  <c r="W402" i="6"/>
  <c r="X402" i="6"/>
  <c r="Y402" i="6"/>
  <c r="Z402" i="6"/>
  <c r="AA402" i="6"/>
  <c r="AB402" i="6"/>
  <c r="AD402" i="6"/>
  <c r="AE402" i="6"/>
  <c r="AF402" i="6"/>
  <c r="AG402" i="6"/>
  <c r="AH402" i="6"/>
  <c r="AI402" i="6"/>
  <c r="S403" i="6"/>
  <c r="T403" i="6"/>
  <c r="U403" i="6"/>
  <c r="V403" i="6"/>
  <c r="W403" i="6"/>
  <c r="X403" i="6"/>
  <c r="Y403" i="6"/>
  <c r="Z403" i="6"/>
  <c r="AA403" i="6"/>
  <c r="AB403" i="6"/>
  <c r="AD403" i="6"/>
  <c r="AE403" i="6"/>
  <c r="AF403" i="6"/>
  <c r="AG403" i="6"/>
  <c r="AH403" i="6"/>
  <c r="AI403" i="6"/>
  <c r="S404" i="6"/>
  <c r="T404" i="6"/>
  <c r="U404" i="6"/>
  <c r="V404" i="6"/>
  <c r="W404" i="6"/>
  <c r="X404" i="6"/>
  <c r="Y404" i="6"/>
  <c r="Z404" i="6"/>
  <c r="AA404" i="6"/>
  <c r="AB404" i="6"/>
  <c r="AD404" i="6"/>
  <c r="AE404" i="6"/>
  <c r="AF404" i="6"/>
  <c r="AG404" i="6"/>
  <c r="AH404" i="6"/>
  <c r="AI404" i="6"/>
  <c r="S405" i="6"/>
  <c r="T405" i="6"/>
  <c r="U405" i="6"/>
  <c r="V405" i="6"/>
  <c r="W405" i="6"/>
  <c r="X405" i="6"/>
  <c r="Y405" i="6"/>
  <c r="Z405" i="6"/>
  <c r="AA405" i="6"/>
  <c r="AB405" i="6"/>
  <c r="AD405" i="6"/>
  <c r="AE405" i="6"/>
  <c r="AF405" i="6"/>
  <c r="AG405" i="6"/>
  <c r="AH405" i="6"/>
  <c r="AI405" i="6"/>
  <c r="S406" i="6"/>
  <c r="T406" i="6"/>
  <c r="U406" i="6"/>
  <c r="V406" i="6"/>
  <c r="W406" i="6"/>
  <c r="X406" i="6"/>
  <c r="Y406" i="6"/>
  <c r="Z406" i="6"/>
  <c r="AA406" i="6"/>
  <c r="AB406" i="6"/>
  <c r="AD406" i="6"/>
  <c r="AE406" i="6"/>
  <c r="AF406" i="6"/>
  <c r="AG406" i="6"/>
  <c r="AH406" i="6"/>
  <c r="AI406" i="6"/>
  <c r="S407" i="6"/>
  <c r="T407" i="6"/>
  <c r="U407" i="6"/>
  <c r="V407" i="6"/>
  <c r="W407" i="6"/>
  <c r="X407" i="6"/>
  <c r="Y407" i="6"/>
  <c r="Z407" i="6"/>
  <c r="AA407" i="6"/>
  <c r="AB407" i="6"/>
  <c r="AD407" i="6"/>
  <c r="AE407" i="6"/>
  <c r="AF407" i="6"/>
  <c r="AG407" i="6"/>
  <c r="AH407" i="6"/>
  <c r="AI407" i="6"/>
  <c r="S408" i="6"/>
  <c r="T408" i="6"/>
  <c r="U408" i="6"/>
  <c r="V408" i="6"/>
  <c r="W408" i="6"/>
  <c r="X408" i="6"/>
  <c r="Y408" i="6"/>
  <c r="Z408" i="6"/>
  <c r="AA408" i="6"/>
  <c r="AB408" i="6"/>
  <c r="AD408" i="6"/>
  <c r="AE408" i="6"/>
  <c r="AF408" i="6"/>
  <c r="AG408" i="6"/>
  <c r="AH408" i="6"/>
  <c r="AI408" i="6"/>
  <c r="S409" i="6"/>
  <c r="T409" i="6"/>
  <c r="U409" i="6"/>
  <c r="V409" i="6"/>
  <c r="W409" i="6"/>
  <c r="X409" i="6"/>
  <c r="Y409" i="6"/>
  <c r="Z409" i="6"/>
  <c r="AA409" i="6"/>
  <c r="AB409" i="6"/>
  <c r="AD409" i="6"/>
  <c r="AE409" i="6"/>
  <c r="AF409" i="6"/>
  <c r="AG409" i="6"/>
  <c r="AH409" i="6"/>
  <c r="AI409" i="6"/>
  <c r="S410" i="6"/>
  <c r="T410" i="6"/>
  <c r="U410" i="6"/>
  <c r="V410" i="6"/>
  <c r="W410" i="6"/>
  <c r="X410" i="6"/>
  <c r="Y410" i="6"/>
  <c r="Z410" i="6"/>
  <c r="AA410" i="6"/>
  <c r="AB410" i="6"/>
  <c r="AD410" i="6"/>
  <c r="AE410" i="6"/>
  <c r="AF410" i="6"/>
  <c r="AG410" i="6"/>
  <c r="AH410" i="6"/>
  <c r="AI410" i="6"/>
  <c r="S411" i="6"/>
  <c r="T411" i="6"/>
  <c r="U411" i="6"/>
  <c r="V411" i="6"/>
  <c r="W411" i="6"/>
  <c r="X411" i="6"/>
  <c r="Y411" i="6"/>
  <c r="Z411" i="6"/>
  <c r="AA411" i="6"/>
  <c r="AB411" i="6"/>
  <c r="AD411" i="6"/>
  <c r="AE411" i="6"/>
  <c r="AF411" i="6"/>
  <c r="AG411" i="6"/>
  <c r="AH411" i="6"/>
  <c r="AI411" i="6"/>
  <c r="S412" i="6"/>
  <c r="T412" i="6"/>
  <c r="U412" i="6"/>
  <c r="V412" i="6"/>
  <c r="W412" i="6"/>
  <c r="X412" i="6"/>
  <c r="Y412" i="6"/>
  <c r="Z412" i="6"/>
  <c r="AA412" i="6"/>
  <c r="AB412" i="6"/>
  <c r="AD412" i="6"/>
  <c r="AE412" i="6"/>
  <c r="AF412" i="6"/>
  <c r="AG412" i="6"/>
  <c r="AH412" i="6"/>
  <c r="AI412" i="6"/>
  <c r="S413" i="6"/>
  <c r="T413" i="6"/>
  <c r="U413" i="6"/>
  <c r="V413" i="6"/>
  <c r="W413" i="6"/>
  <c r="X413" i="6"/>
  <c r="Y413" i="6"/>
  <c r="Z413" i="6"/>
  <c r="AA413" i="6"/>
  <c r="AB413" i="6"/>
  <c r="AD413" i="6"/>
  <c r="AE413" i="6"/>
  <c r="AF413" i="6"/>
  <c r="AG413" i="6"/>
  <c r="AH413" i="6"/>
  <c r="AI413" i="6"/>
  <c r="S414" i="6"/>
  <c r="T414" i="6"/>
  <c r="U414" i="6"/>
  <c r="V414" i="6"/>
  <c r="W414" i="6"/>
  <c r="X414" i="6"/>
  <c r="Y414" i="6"/>
  <c r="Z414" i="6"/>
  <c r="AA414" i="6"/>
  <c r="AB414" i="6"/>
  <c r="AD414" i="6"/>
  <c r="AE414" i="6"/>
  <c r="AF414" i="6"/>
  <c r="AG414" i="6"/>
  <c r="AH414" i="6"/>
  <c r="AI414" i="6"/>
  <c r="S415" i="6"/>
  <c r="T415" i="6"/>
  <c r="U415" i="6"/>
  <c r="V415" i="6"/>
  <c r="W415" i="6"/>
  <c r="X415" i="6"/>
  <c r="Y415" i="6"/>
  <c r="Z415" i="6"/>
  <c r="AA415" i="6"/>
  <c r="AB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97" i="6" l="1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419" i="6"/>
  <c r="T418" i="6"/>
  <c r="T417" i="6"/>
  <c r="T416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482" i="6" l="1"/>
  <c r="U486" i="6"/>
  <c r="U488" i="6"/>
  <c r="U490" i="6"/>
  <c r="U492" i="6"/>
  <c r="U493" i="6"/>
  <c r="U494" i="6"/>
  <c r="U496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3" i="6"/>
  <c r="U484" i="6"/>
  <c r="U485" i="6"/>
  <c r="U487" i="6"/>
  <c r="U489" i="6"/>
  <c r="U491" i="6"/>
  <c r="U495" i="6"/>
  <c r="U497" i="6"/>
  <c r="V7" i="6"/>
  <c r="U9" i="6"/>
  <c r="U11" i="6"/>
  <c r="U10" i="6"/>
  <c r="U8" i="6"/>
  <c r="U12" i="6"/>
  <c r="F5" i="6"/>
  <c r="G5" i="6"/>
  <c r="E5" i="6"/>
  <c r="H4" i="6"/>
  <c r="H3" i="6"/>
  <c r="T5" i="6"/>
  <c r="V416" i="6" l="1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12" i="6"/>
  <c r="V9" i="6"/>
  <c r="W7" i="6"/>
  <c r="V10" i="6"/>
  <c r="V11" i="6"/>
  <c r="V8" i="6"/>
  <c r="U5" i="6"/>
  <c r="H5" i="6"/>
  <c r="W482" i="6" l="1"/>
  <c r="W485" i="6"/>
  <c r="W487" i="6"/>
  <c r="W489" i="6"/>
  <c r="W490" i="6"/>
  <c r="W492" i="6"/>
  <c r="W494" i="6"/>
  <c r="W495" i="6"/>
  <c r="W497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3" i="6"/>
  <c r="W484" i="6"/>
  <c r="W486" i="6"/>
  <c r="W488" i="6"/>
  <c r="W491" i="6"/>
  <c r="W493" i="6"/>
  <c r="W496" i="6"/>
  <c r="W12" i="6"/>
  <c r="W8" i="6"/>
  <c r="V5" i="6"/>
  <c r="X7" i="6"/>
  <c r="W10" i="6"/>
  <c r="W9" i="6"/>
  <c r="W11" i="6"/>
  <c r="X495" i="6" l="1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6" i="6"/>
  <c r="X497" i="6"/>
  <c r="W5" i="6"/>
  <c r="X10" i="6"/>
  <c r="Y7" i="6"/>
  <c r="X9" i="6"/>
  <c r="X11" i="6"/>
  <c r="X12" i="6"/>
  <c r="X8" i="6"/>
  <c r="Y416" i="6" l="1"/>
  <c r="Y417" i="6"/>
  <c r="Y418" i="6"/>
  <c r="Y419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12" i="6"/>
  <c r="Y9" i="6"/>
  <c r="Y8" i="6"/>
  <c r="Y10" i="6"/>
  <c r="Y11" i="6"/>
  <c r="Z7" i="6"/>
  <c r="X5" i="6"/>
  <c r="Z416" i="6" l="1"/>
  <c r="Z417" i="6"/>
  <c r="Z418" i="6"/>
  <c r="Z419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12" i="6"/>
  <c r="Z8" i="6"/>
  <c r="Y5" i="6"/>
  <c r="AA7" i="6"/>
  <c r="Z10" i="6"/>
  <c r="Z9" i="6"/>
  <c r="Z11" i="6"/>
  <c r="AA481" i="6" l="1"/>
  <c r="AA485" i="6"/>
  <c r="AA489" i="6"/>
  <c r="AA491" i="6"/>
  <c r="AA493" i="6"/>
  <c r="AA495" i="6"/>
  <c r="AA497" i="6"/>
  <c r="AA482" i="6"/>
  <c r="AA486" i="6"/>
  <c r="AA488" i="6"/>
  <c r="AA490" i="6"/>
  <c r="AA492" i="6"/>
  <c r="AA496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3" i="6"/>
  <c r="AA484" i="6"/>
  <c r="AA487" i="6"/>
  <c r="AA494" i="6"/>
  <c r="AA11" i="6"/>
  <c r="Z5" i="6"/>
  <c r="AA8" i="6"/>
  <c r="AA10" i="6"/>
  <c r="AA12" i="6"/>
  <c r="AA9" i="6"/>
  <c r="AB7" i="6"/>
  <c r="AB491" i="6" l="1"/>
  <c r="AB495" i="6"/>
  <c r="AB489" i="6"/>
  <c r="AB493" i="6"/>
  <c r="AB496" i="6"/>
  <c r="AB497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90" i="6"/>
  <c r="AB492" i="6"/>
  <c r="AB49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<sst xmlns="http://schemas.openxmlformats.org/spreadsheetml/2006/main" count="4773" uniqueCount="2094">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</sst>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483" activePane="bottomLeft" state="frozen"/>
      <selection pane="bottomLeft" activeCell="V505" sqref="V505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123</v>
      </c>
      <c r="F3" s="5">
        <f>+AD6</f>
        <v>115</v>
      </c>
      <c r="G3" s="5">
        <f>+AF6</f>
        <v>110</v>
      </c>
      <c r="H3" s="5">
        <f>+E3-G3</f>
        <v>13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203</v>
      </c>
      <c r="G4" s="7">
        <f>+AG6</f>
        <v>184</v>
      </c>
      <c r="H4" s="5">
        <f>+E4-G4</f>
        <v>144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451</v>
      </c>
      <c r="F5" s="8">
        <f>+F3+F4</f>
        <v>318</v>
      </c>
      <c r="G5" s="8">
        <f>+G3+G4</f>
        <v>294</v>
      </c>
      <c r="H5" s="8">
        <f>+H3+H4</f>
        <v>157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115</v>
      </c>
      <c r="AE6" s="1">
        <f t="shared" si="1"/>
        <v>203</v>
      </c>
      <c r="AF6" s="1">
        <f t="shared" si="1"/>
        <v>110</v>
      </c>
      <c r="AG6" s="1">
        <f t="shared" si="1"/>
        <v>184</v>
      </c>
      <c r="AH6" s="1">
        <f t="shared" si="1"/>
        <v>123</v>
      </c>
      <c r="AI6" s="1">
        <f t="shared" si="1"/>
        <v>328</v>
      </c>
    </row>
    <row r="7" spans="1:35" s="69" customFormat="1" ht="14.25" customHeight="1" x14ac:dyDescent="0.25">
      <c r="A7" s="27" t="s">
        <v>1355</v>
      </c>
      <c r="B7" s="27" t="s">
        <v>1356</v>
      </c>
      <c r="C7" s="27" t="s">
        <v>1357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1358</v>
      </c>
      <c r="K7" s="27" t="s">
        <v>1617</v>
      </c>
      <c r="L7" s="27" t="s">
        <v>17</v>
      </c>
      <c r="M7" s="29" t="s">
        <v>1359</v>
      </c>
      <c r="N7" s="28" t="s">
        <v>0</v>
      </c>
      <c r="O7" s="18" t="s">
        <v>1</v>
      </c>
      <c r="P7" s="18" t="s">
        <v>2</v>
      </c>
      <c r="Q7" s="29" t="s">
        <v>1865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1727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1575</v>
      </c>
      <c r="E9" s="32" t="s">
        <v>170</v>
      </c>
      <c r="F9" s="32" t="s">
        <v>1525</v>
      </c>
      <c r="G9" s="32" t="s">
        <v>39</v>
      </c>
      <c r="H9" s="32" t="s">
        <v>361</v>
      </c>
      <c r="I9" s="31" t="s">
        <v>1526</v>
      </c>
      <c r="J9" s="31">
        <v>99</v>
      </c>
      <c r="K9" s="33" t="s">
        <v>951</v>
      </c>
      <c r="L9" s="33" t="s">
        <v>1685</v>
      </c>
      <c r="M9" s="34" t="s">
        <v>1363</v>
      </c>
      <c r="N9" s="34" t="s">
        <v>1711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1686</v>
      </c>
      <c r="M10" s="47" t="s">
        <v>1360</v>
      </c>
      <c r="N10" s="47" t="s">
        <v>1731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1361</v>
      </c>
      <c r="N11" s="34" t="s">
        <v>1809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1689</v>
      </c>
      <c r="M12" s="47" t="s">
        <v>1106</v>
      </c>
      <c r="N12" s="47" t="s">
        <v>1720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1690</v>
      </c>
      <c r="M13" s="47" t="s">
        <v>1106</v>
      </c>
      <c r="N13" s="47" t="s">
        <v>1720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6" si="19">+O13*P13*(1-A13)</f>
        <v>0</v>
      </c>
      <c r="AG13" s="1">
        <f t="shared" ref="AG13:AG76" si="20">O13*(1-P13)*(1-A13)</f>
        <v>0</v>
      </c>
      <c r="AH13" s="1">
        <f t="shared" ref="AH13:AH76" si="21">+P13*(1-A13)</f>
        <v>0</v>
      </c>
      <c r="AI13" s="1">
        <f t="shared" ref="AI13:AI76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1277</v>
      </c>
      <c r="G14" s="32" t="s">
        <v>239</v>
      </c>
      <c r="H14" s="32" t="s">
        <v>352</v>
      </c>
      <c r="I14" s="31" t="s">
        <v>1344</v>
      </c>
      <c r="J14" s="31">
        <v>1</v>
      </c>
      <c r="K14" s="33" t="s">
        <v>947</v>
      </c>
      <c r="L14" s="33" t="s">
        <v>1692</v>
      </c>
      <c r="M14" s="34" t="s">
        <v>1362</v>
      </c>
      <c r="N14" s="34" t="s">
        <v>1732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1690</v>
      </c>
      <c r="M15" s="47" t="s">
        <v>1106</v>
      </c>
      <c r="N15" s="47" t="s">
        <v>1731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1682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1698</v>
      </c>
      <c r="M17" s="47" t="s">
        <v>1363</v>
      </c>
      <c r="N17" s="47" t="s">
        <v>1725</v>
      </c>
      <c r="O17" s="48"/>
      <c r="P17" s="48"/>
      <c r="Q17" s="45"/>
      <c r="S17" s="1">
        <f t="shared" ref="S17:S80" si="23">IF(J17=$S$7,1,0)</f>
        <v>0</v>
      </c>
      <c r="T17" s="1">
        <f t="shared" ref="T17:T80" si="24">IF(J17=$T$7,1,0)</f>
        <v>0</v>
      </c>
      <c r="U17" s="1">
        <f t="shared" ref="U17:U80" si="25">IF(J17=$U$7,1,0)</f>
        <v>0</v>
      </c>
      <c r="V17" s="1">
        <f t="shared" ref="V17:V80" si="26">IF(J17=$V$7,1,0)</f>
        <v>0</v>
      </c>
      <c r="W17" s="1">
        <f t="shared" ref="W17:W80" si="27">IF(J17=$W$7,1,0)</f>
        <v>0</v>
      </c>
      <c r="X17" s="1">
        <f t="shared" ref="X17:X80" si="28">IF(J17=$X$7,1,0)</f>
        <v>0</v>
      </c>
      <c r="Y17" s="1">
        <f t="shared" ref="Y17:Y80" si="29">IF(J17=$Y$7,1,0)</f>
        <v>0</v>
      </c>
      <c r="Z17" s="1">
        <f t="shared" ref="Z17:Z80" si="30">IF(J17=$Z$7,1,0)</f>
        <v>0</v>
      </c>
      <c r="AA17" s="1">
        <f t="shared" ref="AA17:AA80" si="31">IF(J17=$AA$7,1,0)</f>
        <v>0</v>
      </c>
      <c r="AB17" s="1">
        <f t="shared" ref="AB17:AB80" si="32">IF(J17=$AB$7,1,0)</f>
        <v>0</v>
      </c>
      <c r="AD17" s="1">
        <f t="shared" ref="AD17:AD80" si="33">+O17*P17</f>
        <v>0</v>
      </c>
      <c r="AE17" s="1">
        <f t="shared" ref="AE17:AE80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1363</v>
      </c>
      <c r="N18" s="47" t="s">
        <v>1786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1833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954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1877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0</v>
      </c>
      <c r="AE20" s="1">
        <f t="shared" si="34"/>
        <v>0</v>
      </c>
      <c r="AF20" s="1">
        <f t="shared" si="19"/>
        <v>0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1711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1717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1690</v>
      </c>
      <c r="M23" s="34" t="s">
        <v>1106</v>
      </c>
      <c r="N23" s="34" t="s">
        <v>1727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1572</v>
      </c>
      <c r="E24" s="32" t="s">
        <v>170</v>
      </c>
      <c r="F24" s="32" t="s">
        <v>1573</v>
      </c>
      <c r="G24" s="32" t="s">
        <v>212</v>
      </c>
      <c r="H24" s="32" t="s">
        <v>352</v>
      </c>
      <c r="I24" s="31" t="s">
        <v>1574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1711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1733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1699</v>
      </c>
      <c r="M27" s="47" t="s">
        <v>1364</v>
      </c>
      <c r="N27" s="47" t="s">
        <v>1720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1717</v>
      </c>
      <c r="O28" s="35">
        <v>1</v>
      </c>
      <c r="P28" s="35">
        <v>1</v>
      </c>
      <c r="Q28" s="32" t="s">
        <v>1896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1694</v>
      </c>
      <c r="M29" s="34" t="s">
        <v>1544</v>
      </c>
      <c r="N29" s="34" t="s">
        <v>1740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1717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1365</v>
      </c>
      <c r="N31" s="47" t="s">
        <v>1718</v>
      </c>
      <c r="O31" s="48"/>
      <c r="P31" s="48"/>
      <c r="Q31" s="65" t="s">
        <v>1890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1690</v>
      </c>
      <c r="M32" s="34" t="s">
        <v>1366</v>
      </c>
      <c r="N32" s="34" t="s">
        <v>1740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1533</v>
      </c>
      <c r="E33" s="36" t="s">
        <v>1230</v>
      </c>
      <c r="F33" s="36" t="s">
        <v>1534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1773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1446</v>
      </c>
      <c r="E34" s="36" t="s">
        <v>1448</v>
      </c>
      <c r="F34" s="36" t="s">
        <v>1447</v>
      </c>
      <c r="G34" s="36"/>
      <c r="H34" s="36" t="s">
        <v>1122</v>
      </c>
      <c r="I34" s="37" t="s">
        <v>1449</v>
      </c>
      <c r="J34" s="31">
        <v>99</v>
      </c>
      <c r="K34" s="33" t="s">
        <v>699</v>
      </c>
      <c r="L34" s="33"/>
      <c r="M34" s="34"/>
      <c r="N34" s="34" t="s">
        <v>1711</v>
      </c>
      <c r="O34" s="35">
        <v>1</v>
      </c>
      <c r="P34" s="35">
        <v>1</v>
      </c>
      <c r="Q34" s="36" t="s">
        <v>1904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1367</v>
      </c>
      <c r="N35" s="47" t="s">
        <v>1731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1852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1786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1746</v>
      </c>
      <c r="E37" s="36" t="s">
        <v>154</v>
      </c>
      <c r="F37" s="36" t="s">
        <v>1747</v>
      </c>
      <c r="G37" s="36"/>
      <c r="H37" s="36" t="s">
        <v>1748</v>
      </c>
      <c r="I37" s="37" t="s">
        <v>1749</v>
      </c>
      <c r="J37" s="31">
        <v>18</v>
      </c>
      <c r="K37" s="33" t="s">
        <v>699</v>
      </c>
      <c r="L37" s="33">
        <v>55</v>
      </c>
      <c r="M37" s="34" t="s">
        <v>1461</v>
      </c>
      <c r="N37" s="34" t="s">
        <v>1717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1687</v>
      </c>
      <c r="M38" s="34" t="s">
        <v>1366</v>
      </c>
      <c r="N38" s="34" t="s">
        <v>1732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1735</v>
      </c>
      <c r="E39" s="36" t="s">
        <v>1736</v>
      </c>
      <c r="F39" s="36" t="s">
        <v>1737</v>
      </c>
      <c r="G39" s="36" t="s">
        <v>319</v>
      </c>
      <c r="H39" s="36" t="s">
        <v>352</v>
      </c>
      <c r="I39" s="37" t="s">
        <v>1738</v>
      </c>
      <c r="J39" s="31">
        <v>99</v>
      </c>
      <c r="K39" s="33" t="s">
        <v>699</v>
      </c>
      <c r="L39" s="33"/>
      <c r="M39" s="34"/>
      <c r="N39" s="34" t="s">
        <v>1717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1684</v>
      </c>
      <c r="M40" s="47" t="s">
        <v>1361</v>
      </c>
      <c r="N40" s="47" t="s">
        <v>1721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1496</v>
      </c>
      <c r="E41" s="36" t="s">
        <v>174</v>
      </c>
      <c r="F41" s="36" t="s">
        <v>1644</v>
      </c>
      <c r="G41" s="36" t="s">
        <v>1498</v>
      </c>
      <c r="H41" s="36" t="s">
        <v>352</v>
      </c>
      <c r="I41" s="37" t="s">
        <v>1497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1711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1688</v>
      </c>
      <c r="M42" s="34" t="s">
        <v>1368</v>
      </c>
      <c r="N42" s="34" t="s">
        <v>1809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1799</v>
      </c>
      <c r="E43" s="45" t="s">
        <v>174</v>
      </c>
      <c r="F43" s="45" t="s">
        <v>1800</v>
      </c>
      <c r="G43" s="45" t="s">
        <v>193</v>
      </c>
      <c r="H43" s="45" t="s">
        <v>352</v>
      </c>
      <c r="I43" s="44" t="s">
        <v>1801</v>
      </c>
      <c r="J43" s="44">
        <v>9</v>
      </c>
      <c r="K43" s="46" t="s">
        <v>699</v>
      </c>
      <c r="L43" s="46">
        <v>60</v>
      </c>
      <c r="M43" s="47" t="s">
        <v>1802</v>
      </c>
      <c r="N43" s="47" t="s">
        <v>1793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1863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1722</v>
      </c>
      <c r="O44" s="48"/>
      <c r="P44" s="48"/>
      <c r="Q44" s="65" t="s">
        <v>1891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1717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1683</v>
      </c>
      <c r="M46" s="47" t="s">
        <v>1106</v>
      </c>
      <c r="N46" s="47" t="s">
        <v>1786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1619</v>
      </c>
      <c r="E47" s="32" t="s">
        <v>173</v>
      </c>
      <c r="F47" s="32" t="s">
        <v>1645</v>
      </c>
      <c r="G47" s="32" t="s">
        <v>250</v>
      </c>
      <c r="H47" s="32" t="s">
        <v>352</v>
      </c>
      <c r="I47" s="31" t="s">
        <v>1547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1711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1515</v>
      </c>
      <c r="E48" s="32" t="s">
        <v>1633</v>
      </c>
      <c r="F48" s="32" t="s">
        <v>1516</v>
      </c>
      <c r="G48" s="32" t="s">
        <v>199</v>
      </c>
      <c r="H48" s="32" t="s">
        <v>352</v>
      </c>
      <c r="I48" s="31" t="s">
        <v>1517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1773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1451</v>
      </c>
      <c r="E49" s="45" t="s">
        <v>1634</v>
      </c>
      <c r="F49" s="45" t="s">
        <v>1450</v>
      </c>
      <c r="G49" s="45" t="s">
        <v>219</v>
      </c>
      <c r="H49" s="45" t="s">
        <v>352</v>
      </c>
      <c r="I49" s="44" t="s">
        <v>1671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1721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1930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1455</v>
      </c>
      <c r="E51" s="32"/>
      <c r="F51" s="32" t="s">
        <v>1456</v>
      </c>
      <c r="G51" s="32" t="s">
        <v>1457</v>
      </c>
      <c r="H51" s="32" t="s">
        <v>352</v>
      </c>
      <c r="I51" s="31" t="s">
        <v>1458</v>
      </c>
      <c r="J51" s="31">
        <v>99</v>
      </c>
      <c r="K51" s="33" t="s">
        <v>699</v>
      </c>
      <c r="L51" s="33">
        <v>35</v>
      </c>
      <c r="M51" s="34" t="s">
        <v>1463</v>
      </c>
      <c r="N51" s="34" t="s">
        <v>1732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1981</v>
      </c>
      <c r="E52" s="32" t="s">
        <v>174</v>
      </c>
      <c r="F52" s="32" t="s">
        <v>1982</v>
      </c>
      <c r="G52" s="32" t="s">
        <v>1983</v>
      </c>
      <c r="H52" s="32" t="s">
        <v>352</v>
      </c>
      <c r="I52" s="31" t="s">
        <v>1984</v>
      </c>
      <c r="J52" s="31">
        <v>99</v>
      </c>
      <c r="K52" s="33" t="s">
        <v>699</v>
      </c>
      <c r="L52" s="33"/>
      <c r="M52" s="34"/>
      <c r="N52" s="34" t="s">
        <v>1717</v>
      </c>
      <c r="O52" s="35">
        <v>1</v>
      </c>
      <c r="P52" s="35">
        <v>1</v>
      </c>
      <c r="Q52" s="32" t="s">
        <v>1985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1786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1773</v>
      </c>
      <c r="O54" s="35">
        <v>1</v>
      </c>
      <c r="P54" s="35"/>
      <c r="Q54" s="32" t="s">
        <v>1894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1623</v>
      </c>
      <c r="E55" s="32" t="s">
        <v>174</v>
      </c>
      <c r="F55" s="32" t="s">
        <v>1649</v>
      </c>
      <c r="G55" s="32" t="s">
        <v>1650</v>
      </c>
      <c r="H55" s="32" t="s">
        <v>352</v>
      </c>
      <c r="I55" s="31" t="s">
        <v>1462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1739</v>
      </c>
      <c r="O55" s="35">
        <v>1</v>
      </c>
      <c r="P55" s="35"/>
      <c r="Q55" s="32" t="s">
        <v>2032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1684</v>
      </c>
      <c r="M56" s="47" t="s">
        <v>1369</v>
      </c>
      <c r="N56" s="47" t="s">
        <v>1719</v>
      </c>
      <c r="O56" s="48"/>
      <c r="P56" s="48"/>
      <c r="Q56" s="45"/>
      <c r="S56" s="1">
        <f t="shared" si="23"/>
        <v>1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1174</v>
      </c>
      <c r="E57" s="16" t="s">
        <v>173</v>
      </c>
      <c r="F57" s="16" t="s">
        <v>1175</v>
      </c>
      <c r="G57" s="16" t="s">
        <v>39</v>
      </c>
      <c r="H57" s="16" t="s">
        <v>1177</v>
      </c>
      <c r="I57" s="15" t="s">
        <v>1176</v>
      </c>
      <c r="J57" s="15">
        <v>17</v>
      </c>
      <c r="K57" s="10" t="s">
        <v>699</v>
      </c>
      <c r="L57" s="10" t="s">
        <v>1370</v>
      </c>
      <c r="M57" s="19" t="s">
        <v>1371</v>
      </c>
      <c r="N57" s="17"/>
      <c r="Q57" s="16" t="s">
        <v>1870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0</v>
      </c>
      <c r="AF57" s="1">
        <f t="shared" si="19"/>
        <v>0</v>
      </c>
      <c r="AG57" s="1">
        <f t="shared" si="20"/>
        <v>0</v>
      </c>
      <c r="AH57" s="1">
        <f t="shared" si="21"/>
        <v>0</v>
      </c>
      <c r="AI57" s="1">
        <f t="shared" si="22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1185</v>
      </c>
      <c r="E58" s="16" t="s">
        <v>173</v>
      </c>
      <c r="F58" s="16" t="s">
        <v>1186</v>
      </c>
      <c r="G58" s="16" t="s">
        <v>39</v>
      </c>
      <c r="H58" s="16" t="s">
        <v>1187</v>
      </c>
      <c r="I58" s="15" t="s">
        <v>1188</v>
      </c>
      <c r="J58" s="15">
        <v>18</v>
      </c>
      <c r="K58" s="10" t="s">
        <v>944</v>
      </c>
      <c r="L58" s="10" t="s">
        <v>691</v>
      </c>
      <c r="M58" s="19" t="s">
        <v>957</v>
      </c>
      <c r="N58" s="17"/>
      <c r="Q58" s="16" t="s">
        <v>1869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1016</v>
      </c>
      <c r="E59" s="16" t="s">
        <v>174</v>
      </c>
      <c r="F59" s="16" t="s">
        <v>1018</v>
      </c>
      <c r="G59" s="16" t="s">
        <v>39</v>
      </c>
      <c r="H59" s="16" t="s">
        <v>363</v>
      </c>
      <c r="I59" s="15" t="s">
        <v>1017</v>
      </c>
      <c r="J59" s="15">
        <v>18</v>
      </c>
      <c r="K59" s="10" t="s">
        <v>698</v>
      </c>
      <c r="L59" s="10" t="s">
        <v>1125</v>
      </c>
      <c r="M59" s="19" t="s">
        <v>687</v>
      </c>
      <c r="N59" s="17"/>
      <c r="Q59" s="16"/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1576</v>
      </c>
      <c r="E60" s="32" t="s">
        <v>174</v>
      </c>
      <c r="F60" s="32" t="s">
        <v>1577</v>
      </c>
      <c r="G60" s="32" t="s">
        <v>1578</v>
      </c>
      <c r="H60" s="32" t="s">
        <v>352</v>
      </c>
      <c r="I60" s="31" t="s">
        <v>1471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1711</v>
      </c>
      <c r="O60" s="35">
        <v>1</v>
      </c>
      <c r="P60" s="35">
        <v>1</v>
      </c>
      <c r="Q60" s="32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1604</v>
      </c>
      <c r="E61" s="32" t="s">
        <v>169</v>
      </c>
      <c r="F61" s="32" t="s">
        <v>1605</v>
      </c>
      <c r="G61" s="32" t="s">
        <v>39</v>
      </c>
      <c r="H61" s="32" t="s">
        <v>353</v>
      </c>
      <c r="I61" s="31" t="s">
        <v>1606</v>
      </c>
      <c r="J61" s="31">
        <v>11</v>
      </c>
      <c r="K61" s="33" t="s">
        <v>944</v>
      </c>
      <c r="L61" s="33" t="s">
        <v>39</v>
      </c>
      <c r="M61" s="34" t="s">
        <v>39</v>
      </c>
      <c r="N61" s="34" t="s">
        <v>1711</v>
      </c>
      <c r="O61" s="35">
        <v>1</v>
      </c>
      <c r="P61" s="35">
        <v>1</v>
      </c>
      <c r="Q61" s="36" t="s">
        <v>1889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1601</v>
      </c>
      <c r="E62" s="32" t="s">
        <v>173</v>
      </c>
      <c r="F62" s="32" t="s">
        <v>1602</v>
      </c>
      <c r="G62" s="32" t="s">
        <v>1467</v>
      </c>
      <c r="H62" s="32" t="s">
        <v>352</v>
      </c>
      <c r="I62" s="31" t="s">
        <v>1603</v>
      </c>
      <c r="J62" s="31">
        <v>99</v>
      </c>
      <c r="K62" s="33" t="s">
        <v>949</v>
      </c>
      <c r="L62" s="33" t="s">
        <v>39</v>
      </c>
      <c r="M62" s="34" t="s">
        <v>39</v>
      </c>
      <c r="N62" s="34" t="s">
        <v>1711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943</v>
      </c>
      <c r="L63" s="33" t="s">
        <v>39</v>
      </c>
      <c r="M63" s="34" t="s">
        <v>39</v>
      </c>
      <c r="N63" s="34" t="s">
        <v>1711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790</v>
      </c>
      <c r="E64" s="32" t="s">
        <v>173</v>
      </c>
      <c r="F64" s="32" t="s">
        <v>792</v>
      </c>
      <c r="G64" s="32" t="s">
        <v>39</v>
      </c>
      <c r="H64" s="32" t="s">
        <v>791</v>
      </c>
      <c r="I64" s="31" t="s">
        <v>793</v>
      </c>
      <c r="J64" s="31">
        <v>14</v>
      </c>
      <c r="K64" s="33" t="s">
        <v>951</v>
      </c>
      <c r="L64" s="33" t="s">
        <v>1690</v>
      </c>
      <c r="M64" s="34" t="s">
        <v>1363</v>
      </c>
      <c r="N64" s="34" t="s">
        <v>1733</v>
      </c>
      <c r="O64" s="35">
        <v>1</v>
      </c>
      <c r="P64" s="35"/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0</v>
      </c>
      <c r="AE64" s="1">
        <f t="shared" si="34"/>
        <v>1</v>
      </c>
      <c r="AF64" s="1">
        <f t="shared" si="19"/>
        <v>0</v>
      </c>
      <c r="AG64" s="1">
        <f t="shared" si="20"/>
        <v>1</v>
      </c>
      <c r="AH64" s="1">
        <f t="shared" si="21"/>
        <v>0</v>
      </c>
      <c r="AI64" s="1">
        <f t="shared" si="22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1306</v>
      </c>
      <c r="E65" s="16" t="s">
        <v>174</v>
      </c>
      <c r="F65" s="16" t="s">
        <v>1330</v>
      </c>
      <c r="G65" s="16" t="s">
        <v>39</v>
      </c>
      <c r="H65" s="16" t="s">
        <v>361</v>
      </c>
      <c r="I65" s="15" t="s">
        <v>1126</v>
      </c>
      <c r="J65" s="15">
        <v>14</v>
      </c>
      <c r="K65" s="10" t="s">
        <v>718</v>
      </c>
      <c r="L65" s="10" t="s">
        <v>1683</v>
      </c>
      <c r="M65" s="19" t="s">
        <v>959</v>
      </c>
      <c r="N65" s="17"/>
      <c r="Q65" s="16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1499</v>
      </c>
      <c r="E66" s="45" t="s">
        <v>169</v>
      </c>
      <c r="F66" s="45" t="s">
        <v>1501</v>
      </c>
      <c r="G66" s="45" t="s">
        <v>1149</v>
      </c>
      <c r="H66" s="45" t="s">
        <v>352</v>
      </c>
      <c r="I66" s="44" t="s">
        <v>1500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1793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1121</v>
      </c>
      <c r="E67" s="32" t="s">
        <v>174</v>
      </c>
      <c r="F67" s="32" t="s">
        <v>1124</v>
      </c>
      <c r="G67" s="32" t="s">
        <v>39</v>
      </c>
      <c r="H67" s="32" t="s">
        <v>1122</v>
      </c>
      <c r="I67" s="31" t="s">
        <v>1123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1733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2071</v>
      </c>
      <c r="G68" s="32" t="s">
        <v>2072</v>
      </c>
      <c r="H68" s="32" t="s">
        <v>352</v>
      </c>
      <c r="I68" s="31"/>
      <c r="J68" s="31">
        <v>1</v>
      </c>
      <c r="K68" s="33" t="s">
        <v>947</v>
      </c>
      <c r="L68" s="33" t="s">
        <v>39</v>
      </c>
      <c r="M68" s="34" t="s">
        <v>39</v>
      </c>
      <c r="N68" s="34" t="s">
        <v>1717</v>
      </c>
      <c r="O68" s="35">
        <v>1</v>
      </c>
      <c r="P68" s="35">
        <v>1</v>
      </c>
      <c r="Q68" s="32" t="s">
        <v>2073</v>
      </c>
      <c r="S68" s="1">
        <f t="shared" si="23"/>
        <v>1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1</v>
      </c>
      <c r="AE68" s="1">
        <f t="shared" si="34"/>
        <v>0</v>
      </c>
      <c r="AF68" s="1">
        <f t="shared" si="19"/>
        <v>1</v>
      </c>
      <c r="AG68" s="1">
        <f t="shared" si="20"/>
        <v>0</v>
      </c>
      <c r="AH68" s="1">
        <f t="shared" si="21"/>
        <v>1</v>
      </c>
      <c r="AI68" s="1">
        <f t="shared" si="22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1431</v>
      </c>
      <c r="E69" s="32" t="s">
        <v>174</v>
      </c>
      <c r="F69" s="32" t="s">
        <v>1428</v>
      </c>
      <c r="G69" s="32" t="s">
        <v>39</v>
      </c>
      <c r="H69" s="32" t="s">
        <v>352</v>
      </c>
      <c r="I69" s="31" t="s">
        <v>1429</v>
      </c>
      <c r="J69" s="31">
        <v>99</v>
      </c>
      <c r="K69" s="33" t="s">
        <v>698</v>
      </c>
      <c r="L69" s="33" t="s">
        <v>685</v>
      </c>
      <c r="M69" s="34" t="s">
        <v>1430</v>
      </c>
      <c r="N69" s="34" t="s">
        <v>1711</v>
      </c>
      <c r="O69" s="35">
        <v>1</v>
      </c>
      <c r="P69" s="35">
        <v>1</v>
      </c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806</v>
      </c>
      <c r="E70" s="39" t="s">
        <v>174</v>
      </c>
      <c r="F70" s="39" t="s">
        <v>924</v>
      </c>
      <c r="G70" s="39" t="s">
        <v>212</v>
      </c>
      <c r="H70" s="39" t="s">
        <v>352</v>
      </c>
      <c r="I70" s="38" t="s">
        <v>807</v>
      </c>
      <c r="J70" s="38">
        <v>1</v>
      </c>
      <c r="K70" s="40" t="s">
        <v>943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1307</v>
      </c>
      <c r="E71" s="32" t="s">
        <v>174</v>
      </c>
      <c r="F71" s="32" t="s">
        <v>1113</v>
      </c>
      <c r="G71" s="32" t="s">
        <v>39</v>
      </c>
      <c r="H71" s="32" t="s">
        <v>1112</v>
      </c>
      <c r="I71" s="31" t="s">
        <v>1111</v>
      </c>
      <c r="J71" s="31">
        <v>15</v>
      </c>
      <c r="K71" s="33" t="s">
        <v>944</v>
      </c>
      <c r="L71" s="33">
        <v>75</v>
      </c>
      <c r="M71" s="34" t="s">
        <v>1372</v>
      </c>
      <c r="N71" s="34" t="s">
        <v>1717</v>
      </c>
      <c r="O71" s="35">
        <v>1</v>
      </c>
      <c r="P71" s="35">
        <v>1</v>
      </c>
      <c r="Q71" s="32" t="s">
        <v>1967</v>
      </c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19"/>
        <v>1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1034</v>
      </c>
      <c r="E72" s="32" t="s">
        <v>173</v>
      </c>
      <c r="F72" s="32" t="s">
        <v>1035</v>
      </c>
      <c r="G72" s="32" t="s">
        <v>624</v>
      </c>
      <c r="H72" s="32" t="s">
        <v>352</v>
      </c>
      <c r="I72" s="31" t="s">
        <v>1036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1717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2037</v>
      </c>
      <c r="E73" s="32" t="s">
        <v>1963</v>
      </c>
      <c r="F73" s="32" t="s">
        <v>2038</v>
      </c>
      <c r="G73" s="32" t="s">
        <v>283</v>
      </c>
      <c r="H73" s="32" t="s">
        <v>352</v>
      </c>
      <c r="I73" s="31" t="s">
        <v>2039</v>
      </c>
      <c r="J73" s="31">
        <v>10</v>
      </c>
      <c r="K73" s="33" t="s">
        <v>699</v>
      </c>
      <c r="L73" s="33"/>
      <c r="M73" s="34"/>
      <c r="N73" s="34" t="s">
        <v>1717</v>
      </c>
      <c r="O73" s="35">
        <v>1</v>
      </c>
      <c r="P73" s="35">
        <v>1</v>
      </c>
      <c r="Q73" s="36" t="s">
        <v>2040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1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1993</v>
      </c>
      <c r="E74" s="32" t="s">
        <v>174</v>
      </c>
      <c r="F74" s="36" t="s">
        <v>1994</v>
      </c>
      <c r="G74" s="36" t="s">
        <v>219</v>
      </c>
      <c r="H74" s="36" t="s">
        <v>352</v>
      </c>
      <c r="I74" s="37" t="s">
        <v>1995</v>
      </c>
      <c r="J74" s="31">
        <v>8</v>
      </c>
      <c r="K74" s="33" t="s">
        <v>699</v>
      </c>
      <c r="L74" s="33"/>
      <c r="M74" s="34"/>
      <c r="N74" s="34" t="s">
        <v>1717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1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947</v>
      </c>
      <c r="L75" s="46" t="s">
        <v>1696</v>
      </c>
      <c r="M75" s="47" t="s">
        <v>1363</v>
      </c>
      <c r="N75" s="47" t="s">
        <v>1722</v>
      </c>
      <c r="O75" s="48"/>
      <c r="P75" s="48"/>
      <c r="Q75" s="4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1826</v>
      </c>
      <c r="E76" s="32" t="s">
        <v>173</v>
      </c>
      <c r="F76" s="32" t="s">
        <v>1827</v>
      </c>
      <c r="G76" s="32"/>
      <c r="H76" s="32" t="s">
        <v>1828</v>
      </c>
      <c r="I76" s="31" t="s">
        <v>1829</v>
      </c>
      <c r="J76" s="31">
        <v>14</v>
      </c>
      <c r="K76" s="33" t="s">
        <v>699</v>
      </c>
      <c r="L76" s="33">
        <v>75</v>
      </c>
      <c r="M76" s="34" t="s">
        <v>958</v>
      </c>
      <c r="N76" s="34" t="s">
        <v>1727</v>
      </c>
      <c r="O76" s="35">
        <v>1</v>
      </c>
      <c r="P76" s="35"/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1708</v>
      </c>
      <c r="E77" s="32" t="s">
        <v>174</v>
      </c>
      <c r="F77" s="36" t="s">
        <v>1709</v>
      </c>
      <c r="G77" s="36" t="s">
        <v>206</v>
      </c>
      <c r="H77" s="36" t="s">
        <v>352</v>
      </c>
      <c r="I77" s="37" t="s">
        <v>1710</v>
      </c>
      <c r="J77" s="31">
        <v>99</v>
      </c>
      <c r="K77" s="33" t="s">
        <v>699</v>
      </c>
      <c r="L77" s="33"/>
      <c r="M77" s="34"/>
      <c r="N77" s="34" t="s">
        <v>1711</v>
      </c>
      <c r="O77" s="35">
        <v>1</v>
      </c>
      <c r="P77" s="35">
        <v>1</v>
      </c>
      <c r="Q77" s="36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ref="AF77:AF140" si="35">+O77*P77*(1-A77)</f>
        <v>1</v>
      </c>
      <c r="AG77" s="1">
        <f t="shared" ref="AG77:AG140" si="36">O77*(1-P77)*(1-A77)</f>
        <v>0</v>
      </c>
      <c r="AH77" s="1">
        <f t="shared" ref="AH77:AH140" si="37">+P77*(1-A77)</f>
        <v>1</v>
      </c>
      <c r="AI77" s="1">
        <f t="shared" ref="AI77:AI140" si="38">+(1-A77)*(1-P77)</f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1045</v>
      </c>
      <c r="E78" s="32" t="s">
        <v>174</v>
      </c>
      <c r="F78" s="36" t="s">
        <v>1084</v>
      </c>
      <c r="G78" s="36" t="s">
        <v>39</v>
      </c>
      <c r="H78" s="36" t="s">
        <v>1046</v>
      </c>
      <c r="I78" s="37" t="s">
        <v>1145</v>
      </c>
      <c r="J78" s="31">
        <v>13</v>
      </c>
      <c r="K78" s="33" t="s">
        <v>698</v>
      </c>
      <c r="L78" s="33" t="s">
        <v>685</v>
      </c>
      <c r="M78" s="34" t="s">
        <v>1425</v>
      </c>
      <c r="N78" s="34" t="s">
        <v>1733</v>
      </c>
      <c r="O78" s="35">
        <v>1</v>
      </c>
      <c r="P78" s="35"/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1579</v>
      </c>
      <c r="E79" s="32" t="s">
        <v>174</v>
      </c>
      <c r="F79" s="36" t="s">
        <v>1580</v>
      </c>
      <c r="G79" s="36" t="s">
        <v>234</v>
      </c>
      <c r="H79" s="36" t="s">
        <v>352</v>
      </c>
      <c r="I79" s="37" t="s">
        <v>1581</v>
      </c>
      <c r="J79" s="31">
        <v>99</v>
      </c>
      <c r="K79" s="33" t="s">
        <v>943</v>
      </c>
      <c r="L79" s="33">
        <v>45</v>
      </c>
      <c r="M79" s="34" t="s">
        <v>39</v>
      </c>
      <c r="N79" s="34" t="s">
        <v>1773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1309</v>
      </c>
      <c r="E80" s="32" t="s">
        <v>173</v>
      </c>
      <c r="F80" s="36" t="s">
        <v>1252</v>
      </c>
      <c r="G80" s="36" t="s">
        <v>206</v>
      </c>
      <c r="H80" s="36" t="s">
        <v>352</v>
      </c>
      <c r="I80" s="37" t="s">
        <v>1253</v>
      </c>
      <c r="J80" s="31">
        <v>99</v>
      </c>
      <c r="K80" s="33" t="s">
        <v>949</v>
      </c>
      <c r="L80" s="33" t="s">
        <v>39</v>
      </c>
      <c r="M80" s="34" t="s">
        <v>39</v>
      </c>
      <c r="N80" s="34" t="s">
        <v>1711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1783</v>
      </c>
      <c r="E81" s="32" t="s">
        <v>169</v>
      </c>
      <c r="F81" s="36" t="s">
        <v>1781</v>
      </c>
      <c r="G81" s="36" t="s">
        <v>231</v>
      </c>
      <c r="H81" s="36" t="s">
        <v>352</v>
      </c>
      <c r="I81" s="37" t="s">
        <v>1782</v>
      </c>
      <c r="J81" s="31">
        <v>99</v>
      </c>
      <c r="K81" s="33" t="s">
        <v>699</v>
      </c>
      <c r="L81" s="33"/>
      <c r="M81" s="34"/>
      <c r="N81" s="34" t="s">
        <v>1711</v>
      </c>
      <c r="O81" s="35">
        <v>1</v>
      </c>
      <c r="P81" s="35">
        <v>1</v>
      </c>
      <c r="Q81" s="36"/>
      <c r="S81" s="1">
        <f t="shared" ref="S81:S144" si="39">IF(J81=$S$7,1,0)</f>
        <v>0</v>
      </c>
      <c r="T81" s="1">
        <f t="shared" ref="T81:T144" si="40">IF(J81=$T$7,1,0)</f>
        <v>0</v>
      </c>
      <c r="U81" s="1">
        <f t="shared" ref="U81:U144" si="41">IF(J81=$U$7,1,0)</f>
        <v>0</v>
      </c>
      <c r="V81" s="1">
        <f t="shared" ref="V81:V144" si="42">IF(J81=$V$7,1,0)</f>
        <v>0</v>
      </c>
      <c r="W81" s="1">
        <f t="shared" ref="W81:W144" si="43">IF(J81=$W$7,1,0)</f>
        <v>0</v>
      </c>
      <c r="X81" s="1">
        <f t="shared" ref="X81:X144" si="44">IF(J81=$X$7,1,0)</f>
        <v>0</v>
      </c>
      <c r="Y81" s="1">
        <f t="shared" ref="Y81:Y144" si="45">IF(J81=$Y$7,1,0)</f>
        <v>0</v>
      </c>
      <c r="Z81" s="1">
        <f t="shared" ref="Z81:Z144" si="46">IF(J81=$Z$7,1,0)</f>
        <v>0</v>
      </c>
      <c r="AA81" s="1">
        <f t="shared" ref="AA81:AA144" si="47">IF(J81=$AA$7,1,0)</f>
        <v>0</v>
      </c>
      <c r="AB81" s="1">
        <f t="shared" ref="AB81:AB144" si="48">IF(J81=$AB$7,1,0)</f>
        <v>0</v>
      </c>
      <c r="AD81" s="1">
        <f t="shared" ref="AD81:AD144" si="49">+O81*P81</f>
        <v>1</v>
      </c>
      <c r="AE81" s="1">
        <f t="shared" ref="AE81:AE144" si="50">O81*(1-P81)</f>
        <v>0</v>
      </c>
      <c r="AF81" s="1">
        <f t="shared" si="35"/>
        <v>1</v>
      </c>
      <c r="AG81" s="1">
        <f t="shared" si="36"/>
        <v>0</v>
      </c>
      <c r="AH81" s="1">
        <f t="shared" si="37"/>
        <v>1</v>
      </c>
      <c r="AI81" s="1">
        <f t="shared" si="38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1142</v>
      </c>
      <c r="E82" s="32" t="s">
        <v>169</v>
      </c>
      <c r="F82" s="36" t="s">
        <v>1143</v>
      </c>
      <c r="G82" s="36" t="s">
        <v>39</v>
      </c>
      <c r="H82" s="36" t="s">
        <v>1343</v>
      </c>
      <c r="I82" s="37" t="s">
        <v>1144</v>
      </c>
      <c r="J82" s="31">
        <v>11</v>
      </c>
      <c r="K82" s="33" t="s">
        <v>698</v>
      </c>
      <c r="L82" s="33" t="s">
        <v>1683</v>
      </c>
      <c r="M82" s="34" t="s">
        <v>1373</v>
      </c>
      <c r="N82" s="34" t="s">
        <v>1733</v>
      </c>
      <c r="O82" s="35">
        <v>1</v>
      </c>
      <c r="P82" s="35"/>
      <c r="Q82" s="36"/>
      <c r="S82" s="1">
        <f t="shared" si="39"/>
        <v>0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D82" s="1">
        <f t="shared" si="49"/>
        <v>0</v>
      </c>
      <c r="AE82" s="1">
        <f t="shared" si="50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1809</v>
      </c>
      <c r="O83" s="35">
        <v>1</v>
      </c>
      <c r="P83" s="35"/>
      <c r="Q83" s="36" t="s">
        <v>1866</v>
      </c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997</v>
      </c>
      <c r="E84" s="32" t="s">
        <v>171</v>
      </c>
      <c r="F84" s="36" t="s">
        <v>998</v>
      </c>
      <c r="G84" s="36" t="s">
        <v>999</v>
      </c>
      <c r="H84" s="36" t="s">
        <v>352</v>
      </c>
      <c r="I84" s="37" t="s">
        <v>1000</v>
      </c>
      <c r="J84" s="31">
        <v>99</v>
      </c>
      <c r="K84" s="33" t="s">
        <v>943</v>
      </c>
      <c r="L84" s="33" t="s">
        <v>39</v>
      </c>
      <c r="M84" s="34" t="s">
        <v>39</v>
      </c>
      <c r="N84" s="34" t="s">
        <v>1717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</row>
    <row r="85" spans="1:35" s="1" customFormat="1" ht="14.25" customHeight="1" x14ac:dyDescent="0.25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944</v>
      </c>
      <c r="L85" s="33" t="s">
        <v>683</v>
      </c>
      <c r="M85" s="34" t="s">
        <v>687</v>
      </c>
      <c r="N85" s="34" t="s">
        <v>1727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1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s="1" customFormat="1" ht="14.25" customHeight="1" x14ac:dyDescent="0.25">
      <c r="A86" s="38">
        <v>0</v>
      </c>
      <c r="B86" s="38">
        <v>1</v>
      </c>
      <c r="C86" s="38">
        <v>3</v>
      </c>
      <c r="D86" s="39" t="s">
        <v>2090</v>
      </c>
      <c r="E86" s="39" t="s">
        <v>169</v>
      </c>
      <c r="F86" s="54" t="s">
        <v>2091</v>
      </c>
      <c r="G86" s="39" t="s">
        <v>206</v>
      </c>
      <c r="H86" s="39" t="s">
        <v>352</v>
      </c>
      <c r="I86" s="38" t="s">
        <v>2092</v>
      </c>
      <c r="J86" s="38">
        <v>99</v>
      </c>
      <c r="K86" s="40" t="s">
        <v>699</v>
      </c>
      <c r="L86" s="40"/>
      <c r="M86" s="41"/>
      <c r="N86" s="42"/>
      <c r="O86" s="43"/>
      <c r="P86" s="43">
        <v>1</v>
      </c>
      <c r="Q86" s="54" t="s">
        <v>2093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0</v>
      </c>
      <c r="AF86" s="1">
        <f t="shared" si="35"/>
        <v>0</v>
      </c>
      <c r="AG86" s="1">
        <f t="shared" si="36"/>
        <v>0</v>
      </c>
      <c r="AH86" s="1">
        <f t="shared" si="37"/>
        <v>1</v>
      </c>
      <c r="AI86" s="1">
        <f t="shared" si="38"/>
        <v>0</v>
      </c>
    </row>
    <row r="87" spans="1:35" s="1" customFormat="1" ht="14.25" customHeight="1" x14ac:dyDescent="0.25">
      <c r="A87" s="15">
        <v>0</v>
      </c>
      <c r="B87" s="15">
        <v>1</v>
      </c>
      <c r="C87" s="15">
        <v>3</v>
      </c>
      <c r="D87" s="16" t="s">
        <v>1770</v>
      </c>
      <c r="E87" s="16" t="s">
        <v>171</v>
      </c>
      <c r="F87" s="16" t="s">
        <v>1772</v>
      </c>
      <c r="G87" s="16"/>
      <c r="H87" s="16" t="s">
        <v>362</v>
      </c>
      <c r="I87" s="15" t="s">
        <v>1771</v>
      </c>
      <c r="J87" s="15">
        <v>17</v>
      </c>
      <c r="K87" s="10" t="s">
        <v>699</v>
      </c>
      <c r="L87" s="10" t="s">
        <v>1726</v>
      </c>
      <c r="M87" s="19" t="s">
        <v>687</v>
      </c>
      <c r="N87" s="17"/>
      <c r="Q87" s="20" t="s">
        <v>1898</v>
      </c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0</v>
      </c>
      <c r="AF87" s="1">
        <f t="shared" si="35"/>
        <v>0</v>
      </c>
      <c r="AG87" s="1">
        <f t="shared" si="36"/>
        <v>0</v>
      </c>
      <c r="AH87" s="1">
        <f t="shared" si="37"/>
        <v>0</v>
      </c>
      <c r="AI87" s="1">
        <f t="shared" si="38"/>
        <v>1</v>
      </c>
    </row>
    <row r="88" spans="1:35" s="1" customFormat="1" ht="14.25" customHeight="1" x14ac:dyDescent="0.25">
      <c r="A88" s="31">
        <v>0</v>
      </c>
      <c r="B88" s="31">
        <v>1</v>
      </c>
      <c r="C88" s="31">
        <v>3</v>
      </c>
      <c r="D88" s="32" t="s">
        <v>1794</v>
      </c>
      <c r="E88" s="32" t="s">
        <v>171</v>
      </c>
      <c r="F88" s="32" t="s">
        <v>1795</v>
      </c>
      <c r="G88" s="32" t="s">
        <v>1796</v>
      </c>
      <c r="H88" s="32" t="s">
        <v>352</v>
      </c>
      <c r="I88" s="31" t="s">
        <v>1797</v>
      </c>
      <c r="J88" s="31">
        <v>1</v>
      </c>
      <c r="K88" s="33" t="s">
        <v>699</v>
      </c>
      <c r="L88" s="33">
        <v>60</v>
      </c>
      <c r="M88" s="34" t="s">
        <v>1798</v>
      </c>
      <c r="N88" s="34" t="s">
        <v>1833</v>
      </c>
      <c r="O88" s="35">
        <v>1</v>
      </c>
      <c r="P88" s="35"/>
      <c r="Q88" s="32"/>
      <c r="S88" s="1">
        <f t="shared" si="39"/>
        <v>1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35"/>
        <v>0</v>
      </c>
      <c r="AG88" s="1">
        <f t="shared" si="36"/>
        <v>1</v>
      </c>
      <c r="AH88" s="1">
        <f t="shared" si="37"/>
        <v>0</v>
      </c>
      <c r="AI88" s="1">
        <f t="shared" si="38"/>
        <v>1</v>
      </c>
    </row>
    <row r="89" spans="1:35" s="1" customFormat="1" ht="14.25" customHeight="1" x14ac:dyDescent="0.25">
      <c r="A89" s="31">
        <v>0</v>
      </c>
      <c r="B89" s="31">
        <v>1</v>
      </c>
      <c r="C89" s="31">
        <v>3</v>
      </c>
      <c r="D89" s="36" t="s">
        <v>2047</v>
      </c>
      <c r="E89" s="36" t="s">
        <v>175</v>
      </c>
      <c r="F89" s="36" t="s">
        <v>2045</v>
      </c>
      <c r="G89" s="36" t="s">
        <v>219</v>
      </c>
      <c r="H89" s="36" t="s">
        <v>352</v>
      </c>
      <c r="I89" s="37" t="s">
        <v>2046</v>
      </c>
      <c r="J89" s="31">
        <v>8</v>
      </c>
      <c r="K89" s="33" t="s">
        <v>699</v>
      </c>
      <c r="L89" s="33"/>
      <c r="M89" s="34"/>
      <c r="N89" s="34" t="s">
        <v>1717</v>
      </c>
      <c r="O89" s="35">
        <v>1</v>
      </c>
      <c r="P89" s="35">
        <v>1</v>
      </c>
      <c r="Q89" s="36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1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35"/>
        <v>1</v>
      </c>
      <c r="AG89" s="1">
        <f t="shared" si="36"/>
        <v>0</v>
      </c>
      <c r="AH89" s="1">
        <f t="shared" si="37"/>
        <v>1</v>
      </c>
      <c r="AI89" s="1">
        <f t="shared" si="38"/>
        <v>0</v>
      </c>
    </row>
    <row r="90" spans="1:35" s="1" customFormat="1" ht="14.25" customHeight="1" x14ac:dyDescent="0.25">
      <c r="A90" s="31">
        <v>0</v>
      </c>
      <c r="B90" s="31">
        <v>1</v>
      </c>
      <c r="C90" s="31">
        <v>3</v>
      </c>
      <c r="D90" s="36" t="s">
        <v>1582</v>
      </c>
      <c r="E90" s="32" t="s">
        <v>174</v>
      </c>
      <c r="F90" s="36" t="s">
        <v>317</v>
      </c>
      <c r="G90" s="36" t="s">
        <v>268</v>
      </c>
      <c r="H90" s="36" t="s">
        <v>352</v>
      </c>
      <c r="I90" s="37" t="s">
        <v>463</v>
      </c>
      <c r="J90" s="31">
        <v>8</v>
      </c>
      <c r="K90" s="33" t="s">
        <v>698</v>
      </c>
      <c r="L90" s="33" t="s">
        <v>685</v>
      </c>
      <c r="M90" s="34" t="s">
        <v>687</v>
      </c>
      <c r="N90" s="34" t="s">
        <v>1739</v>
      </c>
      <c r="O90" s="35">
        <v>1</v>
      </c>
      <c r="P90" s="35"/>
      <c r="Q90" s="36"/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1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35"/>
        <v>0</v>
      </c>
      <c r="AG90" s="1">
        <f t="shared" si="36"/>
        <v>1</v>
      </c>
      <c r="AH90" s="1">
        <f t="shared" si="37"/>
        <v>0</v>
      </c>
      <c r="AI90" s="1">
        <f t="shared" si="38"/>
        <v>1</v>
      </c>
    </row>
    <row r="91" spans="1:35" s="1" customFormat="1" ht="14.25" customHeight="1" x14ac:dyDescent="0.25">
      <c r="A91" s="38">
        <v>0</v>
      </c>
      <c r="B91" s="38">
        <v>1</v>
      </c>
      <c r="C91" s="38">
        <v>3</v>
      </c>
      <c r="D91" s="39" t="s">
        <v>135</v>
      </c>
      <c r="E91" s="39" t="s">
        <v>171</v>
      </c>
      <c r="F91" s="54" t="s">
        <v>1864</v>
      </c>
      <c r="G91" s="39" t="s">
        <v>239</v>
      </c>
      <c r="H91" s="39" t="s">
        <v>352</v>
      </c>
      <c r="I91" s="38" t="s">
        <v>481</v>
      </c>
      <c r="J91" s="38">
        <v>1</v>
      </c>
      <c r="K91" s="40" t="s">
        <v>943</v>
      </c>
      <c r="L91" s="40" t="s">
        <v>685</v>
      </c>
      <c r="M91" s="41" t="s">
        <v>687</v>
      </c>
      <c r="N91" s="42"/>
      <c r="O91" s="43"/>
      <c r="P91" s="43">
        <v>1</v>
      </c>
      <c r="Q91" s="39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0</v>
      </c>
      <c r="AF91" s="1">
        <f t="shared" si="35"/>
        <v>0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s="1" customFormat="1" ht="14.25" customHeight="1" x14ac:dyDescent="0.25">
      <c r="A92" s="44">
        <v>0</v>
      </c>
      <c r="B92" s="44">
        <v>1</v>
      </c>
      <c r="C92" s="44">
        <v>3</v>
      </c>
      <c r="D92" s="45" t="s">
        <v>781</v>
      </c>
      <c r="E92" s="45" t="s">
        <v>606</v>
      </c>
      <c r="F92" s="45" t="s">
        <v>783</v>
      </c>
      <c r="G92" s="45" t="s">
        <v>213</v>
      </c>
      <c r="H92" s="45" t="s">
        <v>352</v>
      </c>
      <c r="I92" s="44" t="s">
        <v>782</v>
      </c>
      <c r="J92" s="44">
        <v>99</v>
      </c>
      <c r="K92" s="46" t="s">
        <v>718</v>
      </c>
      <c r="L92" s="46" t="s">
        <v>1683</v>
      </c>
      <c r="M92" s="47" t="s">
        <v>1374</v>
      </c>
      <c r="N92" s="47" t="s">
        <v>1731</v>
      </c>
      <c r="O92" s="48"/>
      <c r="P92" s="48"/>
      <c r="Q92" s="45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0</v>
      </c>
      <c r="AF92" s="1">
        <f t="shared" si="35"/>
        <v>0</v>
      </c>
      <c r="AG92" s="1">
        <f t="shared" si="36"/>
        <v>0</v>
      </c>
      <c r="AH92" s="1">
        <f t="shared" si="37"/>
        <v>0</v>
      </c>
      <c r="AI92" s="1">
        <f t="shared" si="38"/>
        <v>1</v>
      </c>
    </row>
    <row r="93" spans="1:35" s="1" customFormat="1" ht="14.25" customHeight="1" x14ac:dyDescent="0.25">
      <c r="A93" s="31">
        <v>0</v>
      </c>
      <c r="B93" s="31">
        <v>1</v>
      </c>
      <c r="C93" s="31">
        <v>3</v>
      </c>
      <c r="D93" s="32" t="s">
        <v>77</v>
      </c>
      <c r="E93" s="32" t="s">
        <v>171</v>
      </c>
      <c r="F93" s="32" t="s">
        <v>266</v>
      </c>
      <c r="G93" s="32" t="s">
        <v>262</v>
      </c>
      <c r="H93" s="32" t="s">
        <v>352</v>
      </c>
      <c r="I93" s="31" t="s">
        <v>422</v>
      </c>
      <c r="J93" s="31">
        <v>1</v>
      </c>
      <c r="K93" s="33" t="s">
        <v>943</v>
      </c>
      <c r="L93" s="33" t="s">
        <v>1683</v>
      </c>
      <c r="M93" s="34" t="s">
        <v>957</v>
      </c>
      <c r="N93" s="34" t="s">
        <v>1727</v>
      </c>
      <c r="O93" s="35">
        <v>1</v>
      </c>
      <c r="P93" s="35"/>
      <c r="Q93" s="32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35"/>
        <v>0</v>
      </c>
      <c r="AG93" s="1">
        <f t="shared" si="36"/>
        <v>1</v>
      </c>
      <c r="AH93" s="1">
        <f t="shared" si="37"/>
        <v>0</v>
      </c>
      <c r="AI93" s="1">
        <f t="shared" si="38"/>
        <v>1</v>
      </c>
    </row>
    <row r="94" spans="1:35" s="1" customFormat="1" ht="14.25" customHeight="1" x14ac:dyDescent="0.25">
      <c r="A94" s="15">
        <v>0</v>
      </c>
      <c r="B94" s="15">
        <v>1</v>
      </c>
      <c r="C94" s="15">
        <v>3</v>
      </c>
      <c r="D94" s="20" t="s">
        <v>1935</v>
      </c>
      <c r="E94" s="20" t="s">
        <v>1963</v>
      </c>
      <c r="F94" s="20" t="s">
        <v>1964</v>
      </c>
      <c r="G94" s="20"/>
      <c r="H94" s="20" t="s">
        <v>1962</v>
      </c>
      <c r="I94" s="21" t="s">
        <v>1965</v>
      </c>
      <c r="J94" s="15">
        <v>18</v>
      </c>
      <c r="K94" s="10" t="s">
        <v>699</v>
      </c>
      <c r="L94" s="10" t="s">
        <v>1726</v>
      </c>
      <c r="M94" s="19" t="s">
        <v>958</v>
      </c>
      <c r="N94" s="17"/>
      <c r="Q94" s="20" t="s">
        <v>1966</v>
      </c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35"/>
        <v>0</v>
      </c>
      <c r="AG94" s="1">
        <f t="shared" si="36"/>
        <v>0</v>
      </c>
      <c r="AH94" s="1">
        <f t="shared" si="37"/>
        <v>0</v>
      </c>
      <c r="AI94" s="1">
        <f t="shared" si="38"/>
        <v>1</v>
      </c>
    </row>
    <row r="95" spans="1:35" s="1" customFormat="1" ht="14.25" customHeight="1" x14ac:dyDescent="0.25">
      <c r="A95" s="31">
        <v>0</v>
      </c>
      <c r="B95" s="31">
        <v>1</v>
      </c>
      <c r="C95" s="31">
        <v>3</v>
      </c>
      <c r="D95" s="36" t="s">
        <v>1509</v>
      </c>
      <c r="E95" s="32" t="s">
        <v>175</v>
      </c>
      <c r="F95" s="36" t="s">
        <v>1510</v>
      </c>
      <c r="G95" s="36" t="s">
        <v>39</v>
      </c>
      <c r="H95" s="36" t="s">
        <v>895</v>
      </c>
      <c r="I95" s="37" t="s">
        <v>1511</v>
      </c>
      <c r="J95" s="31">
        <v>11</v>
      </c>
      <c r="K95" s="33" t="s">
        <v>951</v>
      </c>
      <c r="L95" s="33" t="s">
        <v>39</v>
      </c>
      <c r="M95" s="34" t="s">
        <v>39</v>
      </c>
      <c r="N95" s="34" t="s">
        <v>1717</v>
      </c>
      <c r="O95" s="35">
        <v>1</v>
      </c>
      <c r="P95" s="35">
        <v>1</v>
      </c>
      <c r="Q95" s="3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</row>
    <row r="96" spans="1:35" s="1" customFormat="1" ht="14.25" customHeight="1" x14ac:dyDescent="0.25">
      <c r="A96" s="31">
        <v>0</v>
      </c>
      <c r="B96" s="31">
        <v>1</v>
      </c>
      <c r="C96" s="31">
        <v>3</v>
      </c>
      <c r="D96" s="36" t="s">
        <v>1838</v>
      </c>
      <c r="E96" s="36" t="s">
        <v>171</v>
      </c>
      <c r="F96" s="36" t="s">
        <v>1839</v>
      </c>
      <c r="G96" s="36"/>
      <c r="H96" s="36" t="s">
        <v>1840</v>
      </c>
      <c r="I96" s="37" t="s">
        <v>1841</v>
      </c>
      <c r="J96" s="31">
        <v>15</v>
      </c>
      <c r="K96" s="33" t="s">
        <v>699</v>
      </c>
      <c r="L96" s="33"/>
      <c r="M96" s="34"/>
      <c r="N96" s="34" t="s">
        <v>1717</v>
      </c>
      <c r="O96" s="35">
        <v>1</v>
      </c>
      <c r="P96" s="35">
        <v>1</v>
      </c>
      <c r="Q96" s="36" t="s">
        <v>1876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1</v>
      </c>
      <c r="AE96" s="1">
        <f t="shared" si="50"/>
        <v>0</v>
      </c>
      <c r="AF96" s="1">
        <f t="shared" si="35"/>
        <v>1</v>
      </c>
      <c r="AG96" s="1">
        <f t="shared" si="36"/>
        <v>0</v>
      </c>
      <c r="AH96" s="1">
        <f t="shared" si="37"/>
        <v>1</v>
      </c>
      <c r="AI96" s="1">
        <f t="shared" si="38"/>
        <v>0</v>
      </c>
    </row>
    <row r="97" spans="1:35" s="1" customFormat="1" ht="14.25" customHeight="1" x14ac:dyDescent="0.25">
      <c r="A97" s="31">
        <v>0</v>
      </c>
      <c r="B97" s="31">
        <v>1</v>
      </c>
      <c r="C97" s="31">
        <v>3</v>
      </c>
      <c r="D97" s="32" t="s">
        <v>732</v>
      </c>
      <c r="E97" s="32" t="s">
        <v>1315</v>
      </c>
      <c r="F97" s="32" t="s">
        <v>1642</v>
      </c>
      <c r="G97" s="32" t="s">
        <v>39</v>
      </c>
      <c r="H97" s="32" t="s">
        <v>733</v>
      </c>
      <c r="I97" s="31" t="s">
        <v>734</v>
      </c>
      <c r="J97" s="31">
        <v>18</v>
      </c>
      <c r="K97" s="33" t="s">
        <v>698</v>
      </c>
      <c r="L97" s="33" t="s">
        <v>684</v>
      </c>
      <c r="M97" s="34" t="s">
        <v>957</v>
      </c>
      <c r="N97" s="34" t="s">
        <v>1833</v>
      </c>
      <c r="O97" s="35">
        <v>1</v>
      </c>
      <c r="P97" s="35"/>
      <c r="Q97" s="32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1</v>
      </c>
      <c r="AF97" s="1">
        <f t="shared" si="35"/>
        <v>0</v>
      </c>
      <c r="AG97" s="1">
        <f t="shared" si="36"/>
        <v>1</v>
      </c>
      <c r="AH97" s="1">
        <f t="shared" si="37"/>
        <v>0</v>
      </c>
      <c r="AI97" s="1">
        <f t="shared" si="38"/>
        <v>1</v>
      </c>
    </row>
    <row r="98" spans="1:35" s="1" customFormat="1" ht="14.25" customHeight="1" x14ac:dyDescent="0.25">
      <c r="A98" s="31">
        <v>0</v>
      </c>
      <c r="B98" s="31">
        <v>1</v>
      </c>
      <c r="C98" s="31">
        <v>3</v>
      </c>
      <c r="D98" s="32" t="s">
        <v>1530</v>
      </c>
      <c r="E98" s="32" t="s">
        <v>171</v>
      </c>
      <c r="F98" s="32" t="s">
        <v>1531</v>
      </c>
      <c r="G98" s="32" t="s">
        <v>39</v>
      </c>
      <c r="H98" s="32" t="s">
        <v>362</v>
      </c>
      <c r="I98" s="31" t="s">
        <v>1532</v>
      </c>
      <c r="J98" s="31">
        <v>17</v>
      </c>
      <c r="K98" s="33" t="s">
        <v>718</v>
      </c>
      <c r="L98" s="33" t="s">
        <v>684</v>
      </c>
      <c r="M98" s="34" t="s">
        <v>39</v>
      </c>
      <c r="N98" s="34" t="s">
        <v>1711</v>
      </c>
      <c r="O98" s="35">
        <v>1</v>
      </c>
      <c r="P98" s="35">
        <v>1</v>
      </c>
      <c r="Q98" s="36" t="s">
        <v>1900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35"/>
        <v>1</v>
      </c>
      <c r="AG98" s="1">
        <f t="shared" si="36"/>
        <v>0</v>
      </c>
      <c r="AH98" s="1">
        <f t="shared" si="37"/>
        <v>1</v>
      </c>
      <c r="AI98" s="1">
        <f t="shared" si="38"/>
        <v>0</v>
      </c>
    </row>
    <row r="99" spans="1:35" s="1" customFormat="1" ht="14.25" customHeight="1" x14ac:dyDescent="0.25">
      <c r="A99" s="31">
        <v>0</v>
      </c>
      <c r="B99" s="31">
        <v>1</v>
      </c>
      <c r="C99" s="31">
        <v>3</v>
      </c>
      <c r="D99" s="36" t="s">
        <v>118</v>
      </c>
      <c r="E99" s="32" t="s">
        <v>171</v>
      </c>
      <c r="F99" s="36" t="s">
        <v>318</v>
      </c>
      <c r="G99" s="36" t="s">
        <v>39</v>
      </c>
      <c r="H99" s="36" t="s">
        <v>368</v>
      </c>
      <c r="I99" s="37" t="s">
        <v>464</v>
      </c>
      <c r="J99" s="31">
        <v>14</v>
      </c>
      <c r="K99" s="33" t="s">
        <v>943</v>
      </c>
      <c r="L99" s="33" t="s">
        <v>690</v>
      </c>
      <c r="M99" s="34" t="s">
        <v>687</v>
      </c>
      <c r="N99" s="34" t="s">
        <v>1732</v>
      </c>
      <c r="O99" s="35">
        <v>1</v>
      </c>
      <c r="P99" s="35"/>
      <c r="Q99" s="36" t="s">
        <v>1873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35"/>
        <v>0</v>
      </c>
      <c r="AG99" s="1">
        <f t="shared" si="36"/>
        <v>1</v>
      </c>
      <c r="AH99" s="1">
        <f t="shared" si="37"/>
        <v>0</v>
      </c>
      <c r="AI99" s="1">
        <f t="shared" si="38"/>
        <v>1</v>
      </c>
    </row>
    <row r="100" spans="1:35" s="1" customFormat="1" ht="14.25" customHeight="1" x14ac:dyDescent="0.25">
      <c r="A100" s="31">
        <v>0</v>
      </c>
      <c r="B100" s="31">
        <v>1</v>
      </c>
      <c r="C100" s="31">
        <v>3</v>
      </c>
      <c r="D100" s="36" t="s">
        <v>114</v>
      </c>
      <c r="E100" s="32" t="s">
        <v>169</v>
      </c>
      <c r="F100" s="36" t="s">
        <v>324</v>
      </c>
      <c r="G100" s="36" t="s">
        <v>229</v>
      </c>
      <c r="H100" s="36" t="s">
        <v>352</v>
      </c>
      <c r="I100" s="37" t="s">
        <v>471</v>
      </c>
      <c r="J100" s="31">
        <v>7</v>
      </c>
      <c r="K100" s="33" t="s">
        <v>698</v>
      </c>
      <c r="L100" s="33" t="s">
        <v>39</v>
      </c>
      <c r="M100" s="34" t="s">
        <v>39</v>
      </c>
      <c r="N100" s="34" t="s">
        <v>1717</v>
      </c>
      <c r="O100" s="35">
        <v>1</v>
      </c>
      <c r="P100" s="35">
        <v>1</v>
      </c>
      <c r="Q100" s="36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1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35"/>
        <v>1</v>
      </c>
      <c r="AG100" s="1">
        <f t="shared" si="36"/>
        <v>0</v>
      </c>
      <c r="AH100" s="1">
        <f t="shared" si="37"/>
        <v>1</v>
      </c>
      <c r="AI100" s="1">
        <f t="shared" si="38"/>
        <v>0</v>
      </c>
    </row>
    <row r="101" spans="1:35" s="1" customFormat="1" ht="14.25" customHeight="1" x14ac:dyDescent="0.25">
      <c r="A101" s="31">
        <v>0</v>
      </c>
      <c r="B101" s="31">
        <v>1</v>
      </c>
      <c r="C101" s="31">
        <v>3</v>
      </c>
      <c r="D101" s="36" t="s">
        <v>1916</v>
      </c>
      <c r="E101" s="32" t="s">
        <v>1917</v>
      </c>
      <c r="F101" s="36" t="s">
        <v>1918</v>
      </c>
      <c r="G101" s="36"/>
      <c r="H101" s="36" t="s">
        <v>364</v>
      </c>
      <c r="I101" s="37" t="s">
        <v>1920</v>
      </c>
      <c r="J101" s="31">
        <v>18</v>
      </c>
      <c r="K101" s="33" t="s">
        <v>699</v>
      </c>
      <c r="L101" s="33"/>
      <c r="M101" s="34"/>
      <c r="N101" s="34" t="s">
        <v>1717</v>
      </c>
      <c r="O101" s="35">
        <v>1</v>
      </c>
      <c r="P101" s="35">
        <v>1</v>
      </c>
      <c r="Q101" s="36" t="s">
        <v>1919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35"/>
        <v>1</v>
      </c>
      <c r="AG101" s="1">
        <f t="shared" si="36"/>
        <v>0</v>
      </c>
      <c r="AH101" s="1">
        <f t="shared" si="37"/>
        <v>1</v>
      </c>
      <c r="AI101" s="1">
        <f t="shared" si="38"/>
        <v>0</v>
      </c>
    </row>
    <row r="102" spans="1:35" s="1" customFormat="1" ht="14.25" customHeight="1" x14ac:dyDescent="0.25">
      <c r="A102" s="44">
        <v>0</v>
      </c>
      <c r="B102" s="44">
        <v>1</v>
      </c>
      <c r="C102" s="44">
        <v>3</v>
      </c>
      <c r="D102" s="45" t="s">
        <v>1191</v>
      </c>
      <c r="E102" s="45" t="s">
        <v>174</v>
      </c>
      <c r="F102" s="45" t="s">
        <v>1323</v>
      </c>
      <c r="G102" s="45" t="s">
        <v>39</v>
      </c>
      <c r="H102" s="45" t="s">
        <v>607</v>
      </c>
      <c r="I102" s="44" t="s">
        <v>1192</v>
      </c>
      <c r="J102" s="44">
        <v>14</v>
      </c>
      <c r="K102" s="46" t="s">
        <v>943</v>
      </c>
      <c r="L102" s="46" t="s">
        <v>1683</v>
      </c>
      <c r="M102" s="47" t="s">
        <v>1375</v>
      </c>
      <c r="N102" s="47" t="s">
        <v>1786</v>
      </c>
      <c r="O102" s="48"/>
      <c r="P102" s="48"/>
      <c r="Q102" s="45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s="1" customFormat="1" ht="14.25" customHeight="1" x14ac:dyDescent="0.25">
      <c r="A103" s="31">
        <v>0</v>
      </c>
      <c r="B103" s="31">
        <v>1</v>
      </c>
      <c r="C103" s="31">
        <v>3</v>
      </c>
      <c r="D103" s="36" t="s">
        <v>812</v>
      </c>
      <c r="E103" s="32" t="s">
        <v>175</v>
      </c>
      <c r="F103" s="36" t="s">
        <v>916</v>
      </c>
      <c r="G103" s="36" t="s">
        <v>39</v>
      </c>
      <c r="H103" s="36" t="s">
        <v>370</v>
      </c>
      <c r="I103" s="37" t="s">
        <v>813</v>
      </c>
      <c r="J103" s="31">
        <v>16</v>
      </c>
      <c r="K103" s="33" t="s">
        <v>944</v>
      </c>
      <c r="L103" s="33" t="s">
        <v>684</v>
      </c>
      <c r="M103" s="34" t="s">
        <v>957</v>
      </c>
      <c r="N103" s="34" t="s">
        <v>1711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35"/>
        <v>1</v>
      </c>
      <c r="AG103" s="1">
        <f t="shared" si="36"/>
        <v>0</v>
      </c>
      <c r="AH103" s="1">
        <f t="shared" si="37"/>
        <v>1</v>
      </c>
      <c r="AI103" s="1">
        <f t="shared" si="38"/>
        <v>0</v>
      </c>
    </row>
    <row r="104" spans="1:35" s="1" customFormat="1" ht="14.25" customHeight="1" x14ac:dyDescent="0.25">
      <c r="A104" s="44">
        <v>0</v>
      </c>
      <c r="B104" s="44">
        <v>1</v>
      </c>
      <c r="C104" s="44">
        <v>3</v>
      </c>
      <c r="D104" s="45" t="s">
        <v>103</v>
      </c>
      <c r="E104" s="45" t="s">
        <v>169</v>
      </c>
      <c r="F104" s="45" t="s">
        <v>301</v>
      </c>
      <c r="G104" s="45" t="s">
        <v>39</v>
      </c>
      <c r="H104" s="45" t="s">
        <v>355</v>
      </c>
      <c r="I104" s="44" t="s">
        <v>448</v>
      </c>
      <c r="J104" s="44">
        <v>18</v>
      </c>
      <c r="K104" s="46" t="s">
        <v>698</v>
      </c>
      <c r="L104" s="46" t="s">
        <v>684</v>
      </c>
      <c r="M104" s="47" t="s">
        <v>687</v>
      </c>
      <c r="N104" s="47" t="s">
        <v>1719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35"/>
        <v>0</v>
      </c>
      <c r="AG104" s="1">
        <f t="shared" si="36"/>
        <v>0</v>
      </c>
      <c r="AH104" s="1">
        <f t="shared" si="37"/>
        <v>0</v>
      </c>
      <c r="AI104" s="1">
        <f t="shared" si="38"/>
        <v>1</v>
      </c>
    </row>
    <row r="105" spans="1:35" s="1" customFormat="1" ht="14.25" customHeight="1" x14ac:dyDescent="0.25">
      <c r="A105" s="44">
        <v>0</v>
      </c>
      <c r="B105" s="44">
        <v>1</v>
      </c>
      <c r="C105" s="44">
        <v>3</v>
      </c>
      <c r="D105" s="45" t="s">
        <v>512</v>
      </c>
      <c r="E105" s="45" t="s">
        <v>169</v>
      </c>
      <c r="F105" s="45" t="s">
        <v>513</v>
      </c>
      <c r="G105" s="45" t="s">
        <v>500</v>
      </c>
      <c r="H105" s="45" t="s">
        <v>352</v>
      </c>
      <c r="I105" s="44" t="s">
        <v>514</v>
      </c>
      <c r="J105" s="44">
        <v>99</v>
      </c>
      <c r="K105" s="46" t="s">
        <v>943</v>
      </c>
      <c r="L105" s="46" t="s">
        <v>690</v>
      </c>
      <c r="M105" s="47" t="s">
        <v>687</v>
      </c>
      <c r="N105" s="47" t="s">
        <v>1731</v>
      </c>
      <c r="O105" s="48"/>
      <c r="P105" s="48"/>
      <c r="Q105" s="45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35"/>
        <v>0</v>
      </c>
      <c r="AG105" s="1">
        <f t="shared" si="36"/>
        <v>0</v>
      </c>
      <c r="AH105" s="1">
        <f t="shared" si="37"/>
        <v>0</v>
      </c>
      <c r="AI105" s="1">
        <f t="shared" si="38"/>
        <v>1</v>
      </c>
    </row>
    <row r="106" spans="1:35" s="1" customFormat="1" ht="14.25" customHeight="1" x14ac:dyDescent="0.25">
      <c r="A106" s="15">
        <v>0</v>
      </c>
      <c r="B106" s="15">
        <v>1</v>
      </c>
      <c r="C106" s="15">
        <v>3</v>
      </c>
      <c r="D106" s="16" t="s">
        <v>1629</v>
      </c>
      <c r="E106" s="16" t="s">
        <v>1074</v>
      </c>
      <c r="F106" s="16" t="s">
        <v>1203</v>
      </c>
      <c r="G106" s="16" t="s">
        <v>39</v>
      </c>
      <c r="H106" s="16" t="s">
        <v>1204</v>
      </c>
      <c r="I106" s="15" t="s">
        <v>1205</v>
      </c>
      <c r="J106" s="15">
        <v>18</v>
      </c>
      <c r="K106" s="10" t="s">
        <v>945</v>
      </c>
      <c r="L106" s="10" t="s">
        <v>684</v>
      </c>
      <c r="M106" s="19" t="s">
        <v>957</v>
      </c>
      <c r="N106" s="17"/>
      <c r="Q106" s="16" t="s">
        <v>1868</v>
      </c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0</v>
      </c>
      <c r="AF106" s="1">
        <f t="shared" si="35"/>
        <v>0</v>
      </c>
      <c r="AG106" s="1">
        <f t="shared" si="36"/>
        <v>0</v>
      </c>
      <c r="AH106" s="1">
        <f t="shared" si="37"/>
        <v>0</v>
      </c>
      <c r="AI106" s="1">
        <f t="shared" si="38"/>
        <v>1</v>
      </c>
    </row>
    <row r="107" spans="1:35" s="1" customFormat="1" ht="14.25" customHeight="1" x14ac:dyDescent="0.25">
      <c r="A107" s="44">
        <v>0</v>
      </c>
      <c r="B107" s="44">
        <v>1</v>
      </c>
      <c r="C107" s="44">
        <v>3</v>
      </c>
      <c r="D107" s="45" t="s">
        <v>1542</v>
      </c>
      <c r="E107" s="45" t="s">
        <v>169</v>
      </c>
      <c r="F107" s="45" t="s">
        <v>1661</v>
      </c>
      <c r="G107" s="45" t="s">
        <v>39</v>
      </c>
      <c r="H107" s="45" t="s">
        <v>355</v>
      </c>
      <c r="I107" s="44" t="s">
        <v>1543</v>
      </c>
      <c r="J107" s="44">
        <v>18</v>
      </c>
      <c r="K107" s="46" t="s">
        <v>718</v>
      </c>
      <c r="L107" s="46" t="s">
        <v>684</v>
      </c>
      <c r="M107" s="47" t="s">
        <v>687</v>
      </c>
      <c r="N107" s="47" t="s">
        <v>1719</v>
      </c>
      <c r="O107" s="48"/>
      <c r="P107" s="48"/>
      <c r="Q107" s="45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0</v>
      </c>
      <c r="AF107" s="1">
        <f t="shared" si="35"/>
        <v>0</v>
      </c>
      <c r="AG107" s="1">
        <f t="shared" si="36"/>
        <v>0</v>
      </c>
      <c r="AH107" s="1">
        <f t="shared" si="37"/>
        <v>0</v>
      </c>
      <c r="AI107" s="1">
        <f t="shared" si="38"/>
        <v>1</v>
      </c>
    </row>
    <row r="108" spans="1:35" s="1" customFormat="1" ht="14.25" customHeight="1" x14ac:dyDescent="0.25">
      <c r="A108" s="31">
        <v>0</v>
      </c>
      <c r="B108" s="31">
        <v>1</v>
      </c>
      <c r="C108" s="31">
        <v>3</v>
      </c>
      <c r="D108" s="32" t="s">
        <v>1303</v>
      </c>
      <c r="E108" s="32" t="s">
        <v>174</v>
      </c>
      <c r="F108" s="32" t="s">
        <v>1324</v>
      </c>
      <c r="G108" s="32" t="s">
        <v>39</v>
      </c>
      <c r="H108" s="32" t="s">
        <v>352</v>
      </c>
      <c r="I108" s="31" t="s">
        <v>1120</v>
      </c>
      <c r="J108" s="31">
        <v>99</v>
      </c>
      <c r="K108" s="33" t="s">
        <v>698</v>
      </c>
      <c r="L108" s="33" t="s">
        <v>1683</v>
      </c>
      <c r="M108" s="34" t="s">
        <v>1376</v>
      </c>
      <c r="N108" s="34" t="s">
        <v>1733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35"/>
        <v>0</v>
      </c>
      <c r="AG108" s="1">
        <f t="shared" si="36"/>
        <v>1</v>
      </c>
      <c r="AH108" s="1">
        <f t="shared" si="37"/>
        <v>0</v>
      </c>
      <c r="AI108" s="1">
        <f t="shared" si="38"/>
        <v>1</v>
      </c>
    </row>
    <row r="109" spans="1:35" s="1" customFormat="1" ht="14.25" customHeight="1" x14ac:dyDescent="0.25">
      <c r="A109" s="31">
        <v>0</v>
      </c>
      <c r="B109" s="31">
        <v>1</v>
      </c>
      <c r="C109" s="31">
        <v>3</v>
      </c>
      <c r="D109" s="32" t="s">
        <v>1247</v>
      </c>
      <c r="E109" s="32" t="s">
        <v>169</v>
      </c>
      <c r="F109" s="32" t="s">
        <v>1325</v>
      </c>
      <c r="G109" s="32" t="s">
        <v>1178</v>
      </c>
      <c r="H109" s="32" t="s">
        <v>352</v>
      </c>
      <c r="I109" s="31" t="s">
        <v>1179</v>
      </c>
      <c r="J109" s="31">
        <v>99</v>
      </c>
      <c r="K109" s="33" t="s">
        <v>718</v>
      </c>
      <c r="L109" s="33">
        <v>50</v>
      </c>
      <c r="M109" s="34" t="s">
        <v>39</v>
      </c>
      <c r="N109" s="34" t="s">
        <v>1785</v>
      </c>
      <c r="O109" s="35">
        <v>1</v>
      </c>
      <c r="P109" s="35"/>
      <c r="Q109" s="32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35"/>
        <v>0</v>
      </c>
      <c r="AG109" s="1">
        <f t="shared" si="36"/>
        <v>1</v>
      </c>
      <c r="AH109" s="1">
        <f t="shared" si="37"/>
        <v>0</v>
      </c>
      <c r="AI109" s="1">
        <f t="shared" si="38"/>
        <v>1</v>
      </c>
    </row>
    <row r="110" spans="1:35" s="1" customFormat="1" ht="14.25" customHeight="1" x14ac:dyDescent="0.25">
      <c r="A110" s="31">
        <v>0</v>
      </c>
      <c r="B110" s="31">
        <v>1</v>
      </c>
      <c r="C110" s="31">
        <v>3</v>
      </c>
      <c r="D110" s="32" t="s">
        <v>1006</v>
      </c>
      <c r="E110" s="32" t="s">
        <v>606</v>
      </c>
      <c r="F110" s="32" t="s">
        <v>1007</v>
      </c>
      <c r="G110" s="32" t="s">
        <v>1008</v>
      </c>
      <c r="H110" s="32" t="s">
        <v>352</v>
      </c>
      <c r="I110" s="31" t="s">
        <v>1009</v>
      </c>
      <c r="J110" s="31">
        <v>99</v>
      </c>
      <c r="K110" s="33" t="s">
        <v>943</v>
      </c>
      <c r="L110" s="33" t="s">
        <v>39</v>
      </c>
      <c r="M110" s="34" t="s">
        <v>39</v>
      </c>
      <c r="N110" s="34" t="s">
        <v>1717</v>
      </c>
      <c r="O110" s="35">
        <v>1</v>
      </c>
      <c r="P110" s="35">
        <v>1</v>
      </c>
      <c r="Q110" s="32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1</v>
      </c>
      <c r="AE110" s="1">
        <f t="shared" si="50"/>
        <v>0</v>
      </c>
      <c r="AF110" s="1">
        <f t="shared" si="35"/>
        <v>1</v>
      </c>
      <c r="AG110" s="1">
        <f t="shared" si="36"/>
        <v>0</v>
      </c>
      <c r="AH110" s="1">
        <f t="shared" si="37"/>
        <v>1</v>
      </c>
      <c r="AI110" s="1">
        <f t="shared" si="38"/>
        <v>0</v>
      </c>
    </row>
    <row r="111" spans="1:35" s="1" customFormat="1" ht="14.25" customHeight="1" x14ac:dyDescent="0.25">
      <c r="A111" s="31">
        <v>0</v>
      </c>
      <c r="B111" s="31">
        <v>1</v>
      </c>
      <c r="C111" s="31">
        <v>3</v>
      </c>
      <c r="D111" s="32" t="s">
        <v>140</v>
      </c>
      <c r="E111" s="32" t="s">
        <v>174</v>
      </c>
      <c r="F111" s="32" t="s">
        <v>340</v>
      </c>
      <c r="G111" s="32" t="s">
        <v>39</v>
      </c>
      <c r="H111" s="32" t="s">
        <v>374</v>
      </c>
      <c r="I111" s="31" t="s">
        <v>486</v>
      </c>
      <c r="J111" s="31">
        <v>16</v>
      </c>
      <c r="K111" s="33" t="s">
        <v>698</v>
      </c>
      <c r="L111" s="33" t="s">
        <v>684</v>
      </c>
      <c r="M111" s="34" t="s">
        <v>1377</v>
      </c>
      <c r="N111" s="34" t="s">
        <v>1732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35"/>
        <v>0</v>
      </c>
      <c r="AG111" s="1">
        <f t="shared" si="36"/>
        <v>1</v>
      </c>
      <c r="AH111" s="1">
        <f t="shared" si="37"/>
        <v>0</v>
      </c>
      <c r="AI111" s="1">
        <f t="shared" si="38"/>
        <v>1</v>
      </c>
    </row>
    <row r="112" spans="1:35" s="1" customFormat="1" ht="14.25" customHeight="1" x14ac:dyDescent="0.25">
      <c r="A112" s="31">
        <v>0</v>
      </c>
      <c r="B112" s="31">
        <v>1</v>
      </c>
      <c r="C112" s="31">
        <v>3</v>
      </c>
      <c r="D112" s="32" t="s">
        <v>808</v>
      </c>
      <c r="E112" s="32" t="s">
        <v>171</v>
      </c>
      <c r="F112" s="32" t="s">
        <v>809</v>
      </c>
      <c r="G112" s="32" t="s">
        <v>39</v>
      </c>
      <c r="H112" s="32" t="s">
        <v>810</v>
      </c>
      <c r="I112" s="31" t="s">
        <v>811</v>
      </c>
      <c r="J112" s="31">
        <v>16</v>
      </c>
      <c r="K112" s="33" t="s">
        <v>698</v>
      </c>
      <c r="L112" s="33" t="s">
        <v>684</v>
      </c>
      <c r="M112" s="34" t="s">
        <v>1377</v>
      </c>
      <c r="N112" s="34" t="s">
        <v>1711</v>
      </c>
      <c r="O112" s="35">
        <v>1</v>
      </c>
      <c r="P112" s="35">
        <v>1</v>
      </c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1</v>
      </c>
      <c r="AE112" s="1">
        <f t="shared" si="50"/>
        <v>0</v>
      </c>
      <c r="AF112" s="1">
        <f t="shared" si="35"/>
        <v>1</v>
      </c>
      <c r="AG112" s="1">
        <f t="shared" si="36"/>
        <v>0</v>
      </c>
      <c r="AH112" s="1">
        <f t="shared" si="37"/>
        <v>1</v>
      </c>
      <c r="AI112" s="1">
        <f t="shared" si="38"/>
        <v>0</v>
      </c>
    </row>
    <row r="113" spans="1:35" s="1" customFormat="1" ht="14.25" customHeight="1" x14ac:dyDescent="0.25">
      <c r="A113" s="15">
        <v>0</v>
      </c>
      <c r="B113" s="15">
        <v>1</v>
      </c>
      <c r="C113" s="15">
        <v>3</v>
      </c>
      <c r="D113" s="16" t="s">
        <v>107</v>
      </c>
      <c r="E113" s="16" t="s">
        <v>169</v>
      </c>
      <c r="F113" s="16" t="s">
        <v>304</v>
      </c>
      <c r="G113" s="16" t="s">
        <v>39</v>
      </c>
      <c r="H113" s="16" t="s">
        <v>359</v>
      </c>
      <c r="I113" s="15" t="s">
        <v>452</v>
      </c>
      <c r="J113" s="15">
        <v>18</v>
      </c>
      <c r="K113" s="10" t="s">
        <v>699</v>
      </c>
      <c r="L113" s="10" t="s">
        <v>684</v>
      </c>
      <c r="M113" s="19" t="s">
        <v>687</v>
      </c>
      <c r="N113" s="17"/>
      <c r="Q113" s="20" t="s">
        <v>1867</v>
      </c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s="1" customFormat="1" ht="14.25" customHeight="1" x14ac:dyDescent="0.25">
      <c r="A114" s="31">
        <v>0</v>
      </c>
      <c r="B114" s="31">
        <v>1</v>
      </c>
      <c r="C114" s="31">
        <v>3</v>
      </c>
      <c r="D114" s="32" t="s">
        <v>1489</v>
      </c>
      <c r="E114" s="32" t="s">
        <v>169</v>
      </c>
      <c r="F114" s="32" t="s">
        <v>1490</v>
      </c>
      <c r="G114" s="32" t="s">
        <v>39</v>
      </c>
      <c r="H114" s="32" t="s">
        <v>372</v>
      </c>
      <c r="I114" s="31" t="s">
        <v>1491</v>
      </c>
      <c r="J114" s="31">
        <v>11</v>
      </c>
      <c r="K114" s="33" t="s">
        <v>718</v>
      </c>
      <c r="L114" s="33">
        <v>50</v>
      </c>
      <c r="M114" s="34" t="s">
        <v>39</v>
      </c>
      <c r="N114" s="34" t="s">
        <v>1733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35"/>
        <v>0</v>
      </c>
      <c r="AG114" s="1">
        <f t="shared" si="36"/>
        <v>1</v>
      </c>
      <c r="AH114" s="1">
        <f t="shared" si="37"/>
        <v>0</v>
      </c>
      <c r="AI114" s="1">
        <f t="shared" si="38"/>
        <v>1</v>
      </c>
    </row>
    <row r="115" spans="1:35" s="1" customFormat="1" ht="14.25" customHeight="1" x14ac:dyDescent="0.25">
      <c r="A115" s="44">
        <v>0</v>
      </c>
      <c r="B115" s="44">
        <v>1</v>
      </c>
      <c r="C115" s="44">
        <v>3</v>
      </c>
      <c r="D115" s="45" t="s">
        <v>106</v>
      </c>
      <c r="E115" s="45" t="s">
        <v>169</v>
      </c>
      <c r="F115" s="45" t="s">
        <v>303</v>
      </c>
      <c r="G115" s="45" t="s">
        <v>39</v>
      </c>
      <c r="H115" s="45" t="s">
        <v>358</v>
      </c>
      <c r="I115" s="44" t="s">
        <v>451</v>
      </c>
      <c r="J115" s="44">
        <v>18</v>
      </c>
      <c r="K115" s="46" t="s">
        <v>698</v>
      </c>
      <c r="L115" s="46">
        <v>55</v>
      </c>
      <c r="M115" s="47" t="s">
        <v>687</v>
      </c>
      <c r="N115" s="47" t="s">
        <v>1718</v>
      </c>
      <c r="O115" s="48"/>
      <c r="P115" s="48"/>
      <c r="Q115" s="45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s="1" customFormat="1" ht="14.25" customHeight="1" x14ac:dyDescent="0.25">
      <c r="A116" s="31">
        <v>0</v>
      </c>
      <c r="B116" s="31">
        <v>1</v>
      </c>
      <c r="C116" s="31">
        <v>3</v>
      </c>
      <c r="D116" s="32" t="s">
        <v>127</v>
      </c>
      <c r="E116" s="32" t="s">
        <v>174</v>
      </c>
      <c r="F116" s="32" t="s">
        <v>327</v>
      </c>
      <c r="G116" s="32" t="s">
        <v>39</v>
      </c>
      <c r="H116" s="32" t="s">
        <v>373</v>
      </c>
      <c r="I116" s="31" t="s">
        <v>474</v>
      </c>
      <c r="J116" s="31">
        <v>12</v>
      </c>
      <c r="K116" s="33" t="s">
        <v>698</v>
      </c>
      <c r="L116" s="33">
        <v>35</v>
      </c>
      <c r="M116" s="34" t="s">
        <v>687</v>
      </c>
      <c r="N116" s="34" t="s">
        <v>1733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35"/>
        <v>0</v>
      </c>
      <c r="AG116" s="1">
        <f t="shared" si="36"/>
        <v>1</v>
      </c>
      <c r="AH116" s="1">
        <f t="shared" si="37"/>
        <v>0</v>
      </c>
      <c r="AI116" s="1">
        <f t="shared" si="38"/>
        <v>1</v>
      </c>
    </row>
    <row r="117" spans="1:35" s="1" customFormat="1" ht="14.25" customHeight="1" x14ac:dyDescent="0.25">
      <c r="A117" s="31">
        <v>0</v>
      </c>
      <c r="B117" s="31">
        <v>1</v>
      </c>
      <c r="C117" s="31">
        <v>3</v>
      </c>
      <c r="D117" s="32" t="s">
        <v>981</v>
      </c>
      <c r="E117" s="32" t="s">
        <v>169</v>
      </c>
      <c r="F117" s="32" t="s">
        <v>1080</v>
      </c>
      <c r="G117" s="32" t="s">
        <v>231</v>
      </c>
      <c r="H117" s="32" t="s">
        <v>352</v>
      </c>
      <c r="I117" s="31" t="s">
        <v>982</v>
      </c>
      <c r="J117" s="31">
        <v>99</v>
      </c>
      <c r="K117" s="33" t="s">
        <v>943</v>
      </c>
      <c r="L117" s="33">
        <v>40</v>
      </c>
      <c r="M117" s="34" t="s">
        <v>39</v>
      </c>
      <c r="N117" s="34" t="s">
        <v>1930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35"/>
        <v>0</v>
      </c>
      <c r="AG117" s="1">
        <f t="shared" si="36"/>
        <v>1</v>
      </c>
      <c r="AH117" s="1">
        <f t="shared" si="37"/>
        <v>0</v>
      </c>
      <c r="AI117" s="1">
        <f t="shared" si="38"/>
        <v>1</v>
      </c>
    </row>
    <row r="118" spans="1:35" s="1" customFormat="1" ht="14.25" customHeight="1" x14ac:dyDescent="0.25">
      <c r="A118" s="31">
        <v>0</v>
      </c>
      <c r="B118" s="31">
        <v>1</v>
      </c>
      <c r="C118" s="31">
        <v>3</v>
      </c>
      <c r="D118" s="32" t="s">
        <v>128</v>
      </c>
      <c r="E118" s="32" t="s">
        <v>169</v>
      </c>
      <c r="F118" s="32" t="s">
        <v>328</v>
      </c>
      <c r="G118" s="32" t="s">
        <v>39</v>
      </c>
      <c r="H118" s="32" t="s">
        <v>369</v>
      </c>
      <c r="I118" s="31" t="s">
        <v>475</v>
      </c>
      <c r="J118" s="31">
        <v>11</v>
      </c>
      <c r="K118" s="33" t="s">
        <v>698</v>
      </c>
      <c r="L118" s="33" t="s">
        <v>39</v>
      </c>
      <c r="M118" s="34" t="s">
        <v>39</v>
      </c>
      <c r="N118" s="34" t="s">
        <v>1711</v>
      </c>
      <c r="O118" s="35">
        <v>1</v>
      </c>
      <c r="P118" s="35">
        <v>1</v>
      </c>
      <c r="Q118" s="32" t="s">
        <v>2020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35"/>
        <v>1</v>
      </c>
      <c r="AG118" s="1">
        <f t="shared" si="36"/>
        <v>0</v>
      </c>
      <c r="AH118" s="1">
        <f t="shared" si="37"/>
        <v>1</v>
      </c>
      <c r="AI118" s="1">
        <f t="shared" si="38"/>
        <v>0</v>
      </c>
    </row>
    <row r="119" spans="1:35" s="1" customFormat="1" ht="14.25" customHeight="1" x14ac:dyDescent="0.25">
      <c r="A119" s="31">
        <v>0</v>
      </c>
      <c r="B119" s="31">
        <v>1</v>
      </c>
      <c r="C119" s="31">
        <v>3</v>
      </c>
      <c r="D119" s="32" t="s">
        <v>1304</v>
      </c>
      <c r="E119" s="32" t="s">
        <v>171</v>
      </c>
      <c r="F119" s="32" t="s">
        <v>1327</v>
      </c>
      <c r="G119" s="32" t="s">
        <v>39</v>
      </c>
      <c r="H119" s="32" t="s">
        <v>975</v>
      </c>
      <c r="I119" s="31" t="s">
        <v>976</v>
      </c>
      <c r="J119" s="31">
        <v>14</v>
      </c>
      <c r="K119" s="33" t="s">
        <v>699</v>
      </c>
      <c r="L119" s="33">
        <v>30</v>
      </c>
      <c r="M119" s="34" t="s">
        <v>958</v>
      </c>
      <c r="N119" s="34" t="s">
        <v>1727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35"/>
        <v>0</v>
      </c>
      <c r="AG119" s="1">
        <f t="shared" si="36"/>
        <v>1</v>
      </c>
      <c r="AH119" s="1">
        <f t="shared" si="37"/>
        <v>0</v>
      </c>
      <c r="AI119" s="1">
        <f t="shared" si="38"/>
        <v>1</v>
      </c>
    </row>
    <row r="120" spans="1:35" s="1" customFormat="1" ht="14.25" customHeight="1" x14ac:dyDescent="0.25">
      <c r="A120" s="31">
        <v>0</v>
      </c>
      <c r="B120" s="31">
        <v>1</v>
      </c>
      <c r="C120" s="31">
        <v>3</v>
      </c>
      <c r="D120" s="32" t="s">
        <v>695</v>
      </c>
      <c r="E120" s="32" t="s">
        <v>174</v>
      </c>
      <c r="F120" s="32" t="s">
        <v>696</v>
      </c>
      <c r="G120" s="32" t="s">
        <v>39</v>
      </c>
      <c r="H120" s="32" t="s">
        <v>697</v>
      </c>
      <c r="I120" s="31" t="s">
        <v>1102</v>
      </c>
      <c r="J120" s="31">
        <v>13</v>
      </c>
      <c r="K120" s="33" t="s">
        <v>698</v>
      </c>
      <c r="L120" s="33" t="s">
        <v>1683</v>
      </c>
      <c r="M120" s="34" t="s">
        <v>957</v>
      </c>
      <c r="N120" s="34" t="s">
        <v>1809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35"/>
        <v>0</v>
      </c>
      <c r="AG120" s="1">
        <f t="shared" si="36"/>
        <v>1</v>
      </c>
      <c r="AH120" s="1">
        <f t="shared" si="37"/>
        <v>0</v>
      </c>
      <c r="AI120" s="1">
        <f t="shared" si="38"/>
        <v>1</v>
      </c>
    </row>
    <row r="121" spans="1:35" s="1" customFormat="1" ht="14.25" customHeight="1" x14ac:dyDescent="0.25">
      <c r="A121" s="31">
        <v>0</v>
      </c>
      <c r="B121" s="31">
        <v>1</v>
      </c>
      <c r="C121" s="31">
        <v>3</v>
      </c>
      <c r="D121" s="32" t="s">
        <v>1504</v>
      </c>
      <c r="E121" s="32" t="s">
        <v>169</v>
      </c>
      <c r="F121" s="32" t="s">
        <v>1651</v>
      </c>
      <c r="G121" s="32" t="s">
        <v>39</v>
      </c>
      <c r="H121" s="32" t="s">
        <v>1505</v>
      </c>
      <c r="I121" s="31" t="s">
        <v>1506</v>
      </c>
      <c r="J121" s="31">
        <v>11</v>
      </c>
      <c r="K121" s="33" t="s">
        <v>718</v>
      </c>
      <c r="L121" s="33">
        <v>40</v>
      </c>
      <c r="M121" s="34" t="s">
        <v>39</v>
      </c>
      <c r="N121" s="34" t="s">
        <v>1711</v>
      </c>
      <c r="O121" s="35">
        <v>1</v>
      </c>
      <c r="P121" s="35">
        <v>1</v>
      </c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1</v>
      </c>
      <c r="AE121" s="1">
        <f t="shared" si="50"/>
        <v>0</v>
      </c>
      <c r="AF121" s="1">
        <f t="shared" si="35"/>
        <v>1</v>
      </c>
      <c r="AG121" s="1">
        <f t="shared" si="36"/>
        <v>0</v>
      </c>
      <c r="AH121" s="1">
        <f t="shared" si="37"/>
        <v>1</v>
      </c>
      <c r="AI121" s="1">
        <f t="shared" si="38"/>
        <v>0</v>
      </c>
    </row>
    <row r="122" spans="1:35" s="1" customFormat="1" ht="14.25" customHeight="1" x14ac:dyDescent="0.25">
      <c r="A122" s="15">
        <v>0</v>
      </c>
      <c r="B122" s="15">
        <v>1</v>
      </c>
      <c r="C122" s="15">
        <v>3</v>
      </c>
      <c r="D122" s="16" t="s">
        <v>145</v>
      </c>
      <c r="E122" s="16" t="s">
        <v>171</v>
      </c>
      <c r="F122" s="16" t="s">
        <v>346</v>
      </c>
      <c r="G122" s="16" t="s">
        <v>39</v>
      </c>
      <c r="H122" s="16" t="s">
        <v>365</v>
      </c>
      <c r="I122" s="15" t="s">
        <v>490</v>
      </c>
      <c r="J122" s="15">
        <v>18</v>
      </c>
      <c r="K122" s="10" t="s">
        <v>943</v>
      </c>
      <c r="L122" s="10" t="s">
        <v>693</v>
      </c>
      <c r="M122" s="19" t="s">
        <v>957</v>
      </c>
      <c r="N122" s="17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35"/>
        <v>0</v>
      </c>
      <c r="AG122" s="1">
        <f t="shared" si="36"/>
        <v>0</v>
      </c>
      <c r="AH122" s="1">
        <f t="shared" si="37"/>
        <v>0</v>
      </c>
      <c r="AI122" s="1">
        <f t="shared" si="38"/>
        <v>1</v>
      </c>
    </row>
    <row r="123" spans="1:35" s="1" customFormat="1" ht="14.25" customHeight="1" x14ac:dyDescent="0.25">
      <c r="A123" s="15">
        <v>0</v>
      </c>
      <c r="B123" s="15">
        <v>1</v>
      </c>
      <c r="C123" s="15">
        <v>3</v>
      </c>
      <c r="D123" s="20" t="s">
        <v>1961</v>
      </c>
      <c r="E123" s="20" t="s">
        <v>171</v>
      </c>
      <c r="F123" s="20" t="s">
        <v>1958</v>
      </c>
      <c r="G123" s="20"/>
      <c r="H123" s="20" t="s">
        <v>1959</v>
      </c>
      <c r="I123" s="21" t="s">
        <v>1957</v>
      </c>
      <c r="J123" s="15">
        <v>17</v>
      </c>
      <c r="K123" s="10" t="s">
        <v>699</v>
      </c>
      <c r="L123" s="10" t="s">
        <v>1726</v>
      </c>
      <c r="M123" s="19" t="s">
        <v>958</v>
      </c>
      <c r="N123" s="17"/>
      <c r="Q123" s="20" t="s">
        <v>1960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35"/>
        <v>0</v>
      </c>
      <c r="AG123" s="1">
        <f t="shared" si="36"/>
        <v>0</v>
      </c>
      <c r="AH123" s="1">
        <f t="shared" si="37"/>
        <v>0</v>
      </c>
      <c r="AI123" s="1">
        <f t="shared" si="38"/>
        <v>1</v>
      </c>
    </row>
    <row r="124" spans="1:35" s="1" customFormat="1" ht="14.25" customHeight="1" x14ac:dyDescent="0.25">
      <c r="A124" s="44">
        <v>0</v>
      </c>
      <c r="B124" s="44">
        <v>1</v>
      </c>
      <c r="C124" s="44">
        <v>3</v>
      </c>
      <c r="D124" s="45" t="s">
        <v>987</v>
      </c>
      <c r="E124" s="45" t="s">
        <v>171</v>
      </c>
      <c r="F124" s="65" t="s">
        <v>1851</v>
      </c>
      <c r="G124" s="45" t="s">
        <v>39</v>
      </c>
      <c r="H124" s="45" t="s">
        <v>988</v>
      </c>
      <c r="I124" s="44" t="s">
        <v>1103</v>
      </c>
      <c r="J124" s="44">
        <v>16</v>
      </c>
      <c r="K124" s="46" t="s">
        <v>718</v>
      </c>
      <c r="L124" s="46" t="s">
        <v>1726</v>
      </c>
      <c r="M124" s="47" t="s">
        <v>1378</v>
      </c>
      <c r="N124" s="47" t="s">
        <v>1786</v>
      </c>
      <c r="O124" s="48"/>
      <c r="P124" s="48"/>
      <c r="Q124" s="65" t="s">
        <v>1874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s="1" customFormat="1" ht="14.25" customHeight="1" x14ac:dyDescent="0.25">
      <c r="A125" s="15">
        <v>0</v>
      </c>
      <c r="B125" s="15">
        <v>1</v>
      </c>
      <c r="C125" s="15">
        <v>3</v>
      </c>
      <c r="D125" s="16" t="s">
        <v>1114</v>
      </c>
      <c r="E125" s="16" t="s">
        <v>171</v>
      </c>
      <c r="F125" s="16" t="s">
        <v>1328</v>
      </c>
      <c r="G125" s="16" t="s">
        <v>39</v>
      </c>
      <c r="H125" s="16" t="s">
        <v>1116</v>
      </c>
      <c r="I125" s="15" t="s">
        <v>1115</v>
      </c>
      <c r="J125" s="15">
        <v>14</v>
      </c>
      <c r="K125" s="10" t="s">
        <v>945</v>
      </c>
      <c r="L125" s="10" t="s">
        <v>1683</v>
      </c>
      <c r="M125" s="19" t="s">
        <v>1379</v>
      </c>
      <c r="N125" s="17"/>
      <c r="Q125" s="16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s="1" customFormat="1" ht="14.25" customHeight="1" x14ac:dyDescent="0.25">
      <c r="A126" s="31">
        <v>0</v>
      </c>
      <c r="B126" s="31">
        <v>1</v>
      </c>
      <c r="C126" s="31">
        <v>3</v>
      </c>
      <c r="D126" s="32" t="s">
        <v>1065</v>
      </c>
      <c r="E126" s="32" t="s">
        <v>171</v>
      </c>
      <c r="F126" s="32" t="s">
        <v>1027</v>
      </c>
      <c r="G126" s="32" t="s">
        <v>1091</v>
      </c>
      <c r="H126" s="32" t="s">
        <v>352</v>
      </c>
      <c r="I126" s="31" t="s">
        <v>1028</v>
      </c>
      <c r="J126" s="31">
        <v>1</v>
      </c>
      <c r="K126" s="33" t="s">
        <v>945</v>
      </c>
      <c r="L126" s="33" t="s">
        <v>683</v>
      </c>
      <c r="M126" s="34" t="s">
        <v>958</v>
      </c>
      <c r="N126" s="34" t="s">
        <v>1739</v>
      </c>
      <c r="O126" s="35">
        <v>1</v>
      </c>
      <c r="P126" s="35"/>
      <c r="Q126" s="32"/>
      <c r="S126" s="1">
        <f t="shared" si="39"/>
        <v>1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35"/>
        <v>0</v>
      </c>
      <c r="AG126" s="1">
        <f t="shared" si="36"/>
        <v>1</v>
      </c>
      <c r="AH126" s="1">
        <f t="shared" si="37"/>
        <v>0</v>
      </c>
      <c r="AI126" s="1">
        <f t="shared" si="38"/>
        <v>1</v>
      </c>
    </row>
    <row r="127" spans="1:35" s="1" customFormat="1" ht="14.25" customHeight="1" x14ac:dyDescent="0.25">
      <c r="A127" s="31">
        <v>0</v>
      </c>
      <c r="B127" s="31">
        <v>1</v>
      </c>
      <c r="C127" s="31">
        <v>3</v>
      </c>
      <c r="D127" s="36" t="s">
        <v>2078</v>
      </c>
      <c r="E127" s="36" t="s">
        <v>171</v>
      </c>
      <c r="F127" s="36" t="s">
        <v>2079</v>
      </c>
      <c r="G127" s="32"/>
      <c r="H127" s="36" t="s">
        <v>2080</v>
      </c>
      <c r="I127" s="37" t="s">
        <v>2081</v>
      </c>
      <c r="J127" s="31">
        <v>14</v>
      </c>
      <c r="K127" s="33" t="s">
        <v>699</v>
      </c>
      <c r="L127" s="33"/>
      <c r="M127" s="34"/>
      <c r="N127" s="34" t="s">
        <v>1717</v>
      </c>
      <c r="O127" s="35">
        <v>1</v>
      </c>
      <c r="P127" s="35">
        <v>1</v>
      </c>
      <c r="Q127" s="36" t="s">
        <v>2082</v>
      </c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35"/>
        <v>1</v>
      </c>
      <c r="AG127" s="1">
        <f t="shared" si="36"/>
        <v>0</v>
      </c>
      <c r="AH127" s="1">
        <f t="shared" si="37"/>
        <v>1</v>
      </c>
      <c r="AI127" s="1">
        <f t="shared" si="38"/>
        <v>0</v>
      </c>
    </row>
    <row r="128" spans="1:35" s="1" customFormat="1" ht="14.25" customHeight="1" x14ac:dyDescent="0.25">
      <c r="A128" s="31">
        <v>0</v>
      </c>
      <c r="B128" s="31">
        <v>1</v>
      </c>
      <c r="C128" s="31">
        <v>3</v>
      </c>
      <c r="D128" s="32" t="s">
        <v>1613</v>
      </c>
      <c r="E128" s="32" t="s">
        <v>1074</v>
      </c>
      <c r="F128" s="32" t="s">
        <v>1614</v>
      </c>
      <c r="G128" s="32" t="s">
        <v>39</v>
      </c>
      <c r="H128" s="32" t="s">
        <v>1615</v>
      </c>
      <c r="I128" s="31" t="s">
        <v>1616</v>
      </c>
      <c r="J128" s="31">
        <v>15</v>
      </c>
      <c r="K128" s="33" t="s">
        <v>945</v>
      </c>
      <c r="L128" s="33" t="s">
        <v>39</v>
      </c>
      <c r="M128" s="34" t="s">
        <v>39</v>
      </c>
      <c r="N128" s="34" t="s">
        <v>1732</v>
      </c>
      <c r="O128" s="35">
        <v>1</v>
      </c>
      <c r="P128" s="35"/>
      <c r="Q128" s="36" t="s">
        <v>1879</v>
      </c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1</v>
      </c>
      <c r="AF128" s="1">
        <f t="shared" si="35"/>
        <v>0</v>
      </c>
      <c r="AG128" s="1">
        <f t="shared" si="36"/>
        <v>1</v>
      </c>
      <c r="AH128" s="1">
        <f t="shared" si="37"/>
        <v>0</v>
      </c>
      <c r="AI128" s="1">
        <f t="shared" si="38"/>
        <v>1</v>
      </c>
    </row>
    <row r="129" spans="1:35" s="1" customFormat="1" ht="14.25" customHeight="1" x14ac:dyDescent="0.25">
      <c r="A129" s="15">
        <v>0</v>
      </c>
      <c r="B129" s="15">
        <v>1</v>
      </c>
      <c r="C129" s="15">
        <v>3</v>
      </c>
      <c r="D129" s="16" t="s">
        <v>609</v>
      </c>
      <c r="E129" s="16" t="s">
        <v>169</v>
      </c>
      <c r="F129" s="16" t="s">
        <v>610</v>
      </c>
      <c r="G129" s="16" t="s">
        <v>39</v>
      </c>
      <c r="H129" s="16" t="s">
        <v>364</v>
      </c>
      <c r="I129" s="15" t="s">
        <v>611</v>
      </c>
      <c r="J129" s="15">
        <v>18</v>
      </c>
      <c r="K129" s="10" t="s">
        <v>718</v>
      </c>
      <c r="L129" s="10" t="s">
        <v>1726</v>
      </c>
      <c r="M129" s="19" t="s">
        <v>39</v>
      </c>
      <c r="N129" s="17"/>
      <c r="Q129" s="16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s="1" customFormat="1" ht="14.25" customHeight="1" x14ac:dyDescent="0.25">
      <c r="A130" s="15">
        <v>0</v>
      </c>
      <c r="B130" s="15">
        <v>1</v>
      </c>
      <c r="C130" s="15">
        <v>3</v>
      </c>
      <c r="D130" s="20" t="s">
        <v>2085</v>
      </c>
      <c r="E130" s="20" t="s">
        <v>865</v>
      </c>
      <c r="F130" s="20" t="s">
        <v>2086</v>
      </c>
      <c r="G130" s="16"/>
      <c r="H130" s="20" t="s">
        <v>2087</v>
      </c>
      <c r="I130" s="21" t="s">
        <v>2088</v>
      </c>
      <c r="J130" s="15">
        <v>16</v>
      </c>
      <c r="K130" s="10" t="s">
        <v>699</v>
      </c>
      <c r="L130" s="10" t="s">
        <v>684</v>
      </c>
      <c r="M130" s="19" t="s">
        <v>958</v>
      </c>
      <c r="N130" s="17"/>
      <c r="Q130" s="16" t="s">
        <v>2089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s="1" customFormat="1" ht="14.25" customHeight="1" x14ac:dyDescent="0.25">
      <c r="A131" s="15">
        <v>0</v>
      </c>
      <c r="B131" s="15">
        <v>1</v>
      </c>
      <c r="C131" s="15">
        <v>3</v>
      </c>
      <c r="D131" s="20" t="s">
        <v>1934</v>
      </c>
      <c r="E131" s="20" t="s">
        <v>171</v>
      </c>
      <c r="F131" s="20" t="s">
        <v>1954</v>
      </c>
      <c r="G131" s="20"/>
      <c r="H131" s="20" t="s">
        <v>1953</v>
      </c>
      <c r="I131" s="21" t="s">
        <v>1955</v>
      </c>
      <c r="J131" s="15">
        <v>15</v>
      </c>
      <c r="K131" s="10" t="s">
        <v>699</v>
      </c>
      <c r="L131" s="10" t="s">
        <v>1726</v>
      </c>
      <c r="M131" s="19" t="s">
        <v>958</v>
      </c>
      <c r="N131" s="17"/>
      <c r="Q131" s="20" t="s">
        <v>1956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s="1" customFormat="1" ht="14.25" customHeight="1" x14ac:dyDescent="0.25">
      <c r="A132" s="31">
        <v>0</v>
      </c>
      <c r="B132" s="31">
        <v>1</v>
      </c>
      <c r="C132" s="31">
        <v>3</v>
      </c>
      <c r="D132" s="32" t="s">
        <v>909</v>
      </c>
      <c r="E132" s="32" t="s">
        <v>171</v>
      </c>
      <c r="F132" s="32" t="s">
        <v>1141</v>
      </c>
      <c r="G132" s="32" t="s">
        <v>39</v>
      </c>
      <c r="H132" s="32" t="s">
        <v>361</v>
      </c>
      <c r="I132" s="31" t="s">
        <v>880</v>
      </c>
      <c r="J132" s="31">
        <v>14</v>
      </c>
      <c r="K132" s="33" t="s">
        <v>944</v>
      </c>
      <c r="L132" s="33" t="s">
        <v>39</v>
      </c>
      <c r="M132" s="34" t="s">
        <v>39</v>
      </c>
      <c r="N132" s="34" t="s">
        <v>1717</v>
      </c>
      <c r="O132" s="35">
        <v>1</v>
      </c>
      <c r="P132" s="35">
        <v>1</v>
      </c>
      <c r="Q132" s="36"/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s="1" customFormat="1" ht="14.25" customHeight="1" x14ac:dyDescent="0.25">
      <c r="A133" s="44">
        <v>0</v>
      </c>
      <c r="B133" s="44">
        <v>1</v>
      </c>
      <c r="C133" s="44">
        <v>3</v>
      </c>
      <c r="D133" s="45" t="s">
        <v>104</v>
      </c>
      <c r="E133" s="45" t="s">
        <v>171</v>
      </c>
      <c r="F133" s="45" t="s">
        <v>920</v>
      </c>
      <c r="G133" s="45" t="s">
        <v>39</v>
      </c>
      <c r="H133" s="45" t="s">
        <v>356</v>
      </c>
      <c r="I133" s="44" t="s">
        <v>449</v>
      </c>
      <c r="J133" s="44">
        <v>18</v>
      </c>
      <c r="K133" s="46" t="s">
        <v>943</v>
      </c>
      <c r="L133" s="46" t="s">
        <v>693</v>
      </c>
      <c r="M133" s="47" t="s">
        <v>687</v>
      </c>
      <c r="N133" s="47" t="s">
        <v>1719</v>
      </c>
      <c r="O133" s="48"/>
      <c r="P133" s="48"/>
      <c r="Q133" s="45" t="s">
        <v>1872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0</v>
      </c>
      <c r="AF133" s="1">
        <f t="shared" si="35"/>
        <v>0</v>
      </c>
      <c r="AG133" s="1">
        <f t="shared" si="36"/>
        <v>0</v>
      </c>
      <c r="AH133" s="1">
        <f t="shared" si="37"/>
        <v>0</v>
      </c>
      <c r="AI133" s="1">
        <f t="shared" si="38"/>
        <v>1</v>
      </c>
    </row>
    <row r="134" spans="1:35" s="1" customFormat="1" ht="14.25" customHeight="1" x14ac:dyDescent="0.25">
      <c r="A134" s="31">
        <v>0</v>
      </c>
      <c r="B134" s="31">
        <v>1</v>
      </c>
      <c r="C134" s="31">
        <v>3</v>
      </c>
      <c r="D134" s="32" t="s">
        <v>1492</v>
      </c>
      <c r="E134" s="32" t="s">
        <v>1636</v>
      </c>
      <c r="F134" s="32" t="s">
        <v>1494</v>
      </c>
      <c r="G134" s="32" t="s">
        <v>39</v>
      </c>
      <c r="H134" s="32" t="s">
        <v>1495</v>
      </c>
      <c r="I134" s="31" t="s">
        <v>1493</v>
      </c>
      <c r="J134" s="31">
        <v>14</v>
      </c>
      <c r="K134" s="33" t="s">
        <v>949</v>
      </c>
      <c r="L134" s="33" t="s">
        <v>683</v>
      </c>
      <c r="M134" s="34" t="s">
        <v>1380</v>
      </c>
      <c r="N134" s="34" t="s">
        <v>1711</v>
      </c>
      <c r="O134" s="35">
        <v>1</v>
      </c>
      <c r="P134" s="35">
        <v>1</v>
      </c>
      <c r="Q134" s="36"/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1</v>
      </c>
      <c r="AE134" s="1">
        <f t="shared" si="50"/>
        <v>0</v>
      </c>
      <c r="AF134" s="1">
        <f t="shared" si="35"/>
        <v>1</v>
      </c>
      <c r="AG134" s="1">
        <f t="shared" si="36"/>
        <v>0</v>
      </c>
      <c r="AH134" s="1">
        <f t="shared" si="37"/>
        <v>1</v>
      </c>
      <c r="AI134" s="1">
        <f t="shared" si="38"/>
        <v>0</v>
      </c>
    </row>
    <row r="135" spans="1:35" s="1" customFormat="1" ht="14.25" customHeight="1" x14ac:dyDescent="0.25">
      <c r="A135" s="31">
        <v>0</v>
      </c>
      <c r="B135" s="31">
        <v>1</v>
      </c>
      <c r="C135" s="31">
        <v>3</v>
      </c>
      <c r="D135" s="32" t="s">
        <v>1240</v>
      </c>
      <c r="E135" s="32" t="s">
        <v>171</v>
      </c>
      <c r="F135" s="32" t="s">
        <v>1241</v>
      </c>
      <c r="G135" s="32" t="s">
        <v>1243</v>
      </c>
      <c r="H135" s="32" t="s">
        <v>352</v>
      </c>
      <c r="I135" s="31" t="s">
        <v>1242</v>
      </c>
      <c r="J135" s="31">
        <v>99</v>
      </c>
      <c r="K135" s="33" t="s">
        <v>945</v>
      </c>
      <c r="L135" s="33" t="s">
        <v>689</v>
      </c>
      <c r="M135" s="34" t="s">
        <v>958</v>
      </c>
      <c r="N135" s="34" t="s">
        <v>1809</v>
      </c>
      <c r="O135" s="35">
        <v>1</v>
      </c>
      <c r="P135" s="35"/>
      <c r="Q135" s="3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1</v>
      </c>
      <c r="AF135" s="1">
        <f t="shared" si="35"/>
        <v>0</v>
      </c>
      <c r="AG135" s="1">
        <f t="shared" si="36"/>
        <v>1</v>
      </c>
      <c r="AH135" s="1">
        <f t="shared" si="37"/>
        <v>0</v>
      </c>
      <c r="AI135" s="1">
        <f t="shared" si="38"/>
        <v>1</v>
      </c>
    </row>
    <row r="136" spans="1:35" s="1" customFormat="1" ht="14.25" customHeight="1" x14ac:dyDescent="0.25">
      <c r="A136" s="31">
        <v>0</v>
      </c>
      <c r="B136" s="31">
        <v>1</v>
      </c>
      <c r="C136" s="31">
        <v>3</v>
      </c>
      <c r="D136" s="32" t="s">
        <v>1486</v>
      </c>
      <c r="E136" s="32" t="s">
        <v>171</v>
      </c>
      <c r="F136" s="32" t="s">
        <v>1487</v>
      </c>
      <c r="G136" s="32" t="s">
        <v>39</v>
      </c>
      <c r="H136" s="32" t="s">
        <v>363</v>
      </c>
      <c r="I136" s="31" t="s">
        <v>1488</v>
      </c>
      <c r="J136" s="31">
        <v>18</v>
      </c>
      <c r="K136" s="33" t="s">
        <v>943</v>
      </c>
      <c r="L136" s="33" t="s">
        <v>1726</v>
      </c>
      <c r="M136" s="34" t="s">
        <v>39</v>
      </c>
      <c r="N136" s="34" t="s">
        <v>1732</v>
      </c>
      <c r="O136" s="35">
        <v>1</v>
      </c>
      <c r="P136" s="35"/>
      <c r="Q136" s="32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35"/>
        <v>0</v>
      </c>
      <c r="AG136" s="1">
        <f t="shared" si="36"/>
        <v>1</v>
      </c>
      <c r="AH136" s="1">
        <f t="shared" si="37"/>
        <v>0</v>
      </c>
      <c r="AI136" s="1">
        <f t="shared" si="38"/>
        <v>1</v>
      </c>
    </row>
    <row r="137" spans="1:35" s="1" customFormat="1" ht="14.25" customHeight="1" x14ac:dyDescent="0.25">
      <c r="A137" s="15">
        <v>0</v>
      </c>
      <c r="B137" s="15">
        <v>1</v>
      </c>
      <c r="C137" s="15">
        <v>3</v>
      </c>
      <c r="D137" s="16" t="s">
        <v>1607</v>
      </c>
      <c r="E137" s="16" t="s">
        <v>171</v>
      </c>
      <c r="F137" s="16" t="s">
        <v>1610</v>
      </c>
      <c r="G137" s="16" t="s">
        <v>39</v>
      </c>
      <c r="H137" s="16" t="s">
        <v>1608</v>
      </c>
      <c r="I137" s="15" t="s">
        <v>1609</v>
      </c>
      <c r="J137" s="15">
        <v>15</v>
      </c>
      <c r="K137" s="10" t="s">
        <v>718</v>
      </c>
      <c r="L137" s="10" t="s">
        <v>39</v>
      </c>
      <c r="M137" s="19" t="s">
        <v>39</v>
      </c>
      <c r="N137" s="17"/>
      <c r="Q137" s="16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35"/>
        <v>0</v>
      </c>
      <c r="AG137" s="1">
        <f t="shared" si="36"/>
        <v>0</v>
      </c>
      <c r="AH137" s="1">
        <f t="shared" si="37"/>
        <v>0</v>
      </c>
      <c r="AI137" s="1">
        <f t="shared" si="38"/>
        <v>1</v>
      </c>
    </row>
    <row r="138" spans="1:35" s="1" customFormat="1" ht="14.25" customHeight="1" x14ac:dyDescent="0.25">
      <c r="A138" s="31">
        <v>0</v>
      </c>
      <c r="B138" s="31">
        <v>1</v>
      </c>
      <c r="C138" s="31">
        <v>3</v>
      </c>
      <c r="D138" s="32" t="s">
        <v>1228</v>
      </c>
      <c r="E138" s="32" t="s">
        <v>1230</v>
      </c>
      <c r="F138" s="32" t="s">
        <v>1231</v>
      </c>
      <c r="G138" s="32" t="s">
        <v>39</v>
      </c>
      <c r="H138" s="32" t="s">
        <v>367</v>
      </c>
      <c r="I138" s="31" t="s">
        <v>1229</v>
      </c>
      <c r="J138" s="31">
        <v>14</v>
      </c>
      <c r="K138" s="33" t="s">
        <v>945</v>
      </c>
      <c r="L138" s="33" t="s">
        <v>683</v>
      </c>
      <c r="M138" s="34" t="s">
        <v>1380</v>
      </c>
      <c r="N138" s="34" t="s">
        <v>1717</v>
      </c>
      <c r="O138" s="35">
        <v>1</v>
      </c>
      <c r="P138" s="35">
        <v>1</v>
      </c>
      <c r="Q138" s="32"/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1</v>
      </c>
      <c r="AE138" s="1">
        <f t="shared" si="50"/>
        <v>0</v>
      </c>
      <c r="AF138" s="1">
        <f t="shared" si="35"/>
        <v>1</v>
      </c>
      <c r="AG138" s="1">
        <f t="shared" si="36"/>
        <v>0</v>
      </c>
      <c r="AH138" s="1">
        <f t="shared" si="37"/>
        <v>1</v>
      </c>
      <c r="AI138" s="1">
        <f t="shared" si="38"/>
        <v>0</v>
      </c>
    </row>
    <row r="139" spans="1:35" s="1" customFormat="1" ht="14.25" customHeight="1" x14ac:dyDescent="0.25">
      <c r="A139" s="31">
        <v>0</v>
      </c>
      <c r="B139" s="31">
        <v>1</v>
      </c>
      <c r="C139" s="31">
        <v>3</v>
      </c>
      <c r="D139" s="32" t="s">
        <v>129</v>
      </c>
      <c r="E139" s="32" t="s">
        <v>175</v>
      </c>
      <c r="F139" s="32" t="s">
        <v>329</v>
      </c>
      <c r="G139" s="32" t="s">
        <v>181</v>
      </c>
      <c r="H139" s="32" t="s">
        <v>352</v>
      </c>
      <c r="I139" s="31" t="s">
        <v>476</v>
      </c>
      <c r="J139" s="31">
        <v>99</v>
      </c>
      <c r="K139" s="33" t="s">
        <v>944</v>
      </c>
      <c r="L139" s="33" t="s">
        <v>39</v>
      </c>
      <c r="M139" s="34" t="s">
        <v>39</v>
      </c>
      <c r="N139" s="34" t="s">
        <v>1717</v>
      </c>
      <c r="O139" s="35">
        <v>1</v>
      </c>
      <c r="P139" s="35">
        <v>1</v>
      </c>
      <c r="Q139" s="32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35"/>
        <v>1</v>
      </c>
      <c r="AG139" s="1">
        <f t="shared" si="36"/>
        <v>0</v>
      </c>
      <c r="AH139" s="1">
        <f t="shared" si="37"/>
        <v>1</v>
      </c>
      <c r="AI139" s="1">
        <f t="shared" si="38"/>
        <v>0</v>
      </c>
    </row>
    <row r="140" spans="1:35" s="1" customFormat="1" ht="14.25" customHeight="1" x14ac:dyDescent="0.25">
      <c r="A140" s="31">
        <v>0</v>
      </c>
      <c r="B140" s="31">
        <v>1</v>
      </c>
      <c r="C140" s="31">
        <v>3</v>
      </c>
      <c r="D140" s="32" t="s">
        <v>910</v>
      </c>
      <c r="E140" s="32" t="s">
        <v>171</v>
      </c>
      <c r="F140" s="32" t="s">
        <v>922</v>
      </c>
      <c r="G140" s="32" t="s">
        <v>234</v>
      </c>
      <c r="H140" s="32" t="s">
        <v>352</v>
      </c>
      <c r="I140" s="31" t="s">
        <v>935</v>
      </c>
      <c r="J140" s="31">
        <v>99</v>
      </c>
      <c r="K140" s="33" t="s">
        <v>718</v>
      </c>
      <c r="L140" s="33">
        <v>45</v>
      </c>
      <c r="M140" s="34" t="s">
        <v>39</v>
      </c>
      <c r="N140" s="34" t="s">
        <v>1785</v>
      </c>
      <c r="O140" s="35">
        <v>1</v>
      </c>
      <c r="P140" s="35"/>
      <c r="Q140" s="32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35"/>
        <v>0</v>
      </c>
      <c r="AG140" s="1">
        <f t="shared" si="36"/>
        <v>1</v>
      </c>
      <c r="AH140" s="1">
        <f t="shared" si="37"/>
        <v>0</v>
      </c>
      <c r="AI140" s="1">
        <f t="shared" si="38"/>
        <v>1</v>
      </c>
    </row>
    <row r="141" spans="1:35" s="1" customFormat="1" ht="14.25" customHeight="1" x14ac:dyDescent="0.25">
      <c r="A141" s="44">
        <v>0</v>
      </c>
      <c r="B141" s="44">
        <v>1</v>
      </c>
      <c r="C141" s="44">
        <v>3</v>
      </c>
      <c r="D141" s="45" t="s">
        <v>78</v>
      </c>
      <c r="E141" s="45" t="s">
        <v>606</v>
      </c>
      <c r="F141" s="45" t="s">
        <v>306</v>
      </c>
      <c r="G141" s="45" t="s">
        <v>39</v>
      </c>
      <c r="H141" s="45" t="s">
        <v>360</v>
      </c>
      <c r="I141" s="44" t="s">
        <v>454</v>
      </c>
      <c r="J141" s="44">
        <v>12</v>
      </c>
      <c r="K141" s="46" t="s">
        <v>699</v>
      </c>
      <c r="L141" s="46">
        <v>40</v>
      </c>
      <c r="M141" s="47" t="s">
        <v>958</v>
      </c>
      <c r="N141" s="47" t="s">
        <v>1786</v>
      </c>
      <c r="O141" s="48"/>
      <c r="P141" s="48"/>
      <c r="Q141" s="45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0</v>
      </c>
      <c r="AF141" s="1">
        <f t="shared" ref="AF141:AF204" si="51">+O141*P141*(1-A141)</f>
        <v>0</v>
      </c>
      <c r="AG141" s="1">
        <f t="shared" ref="AG141:AG204" si="52">O141*(1-P141)*(1-A141)</f>
        <v>0</v>
      </c>
      <c r="AH141" s="1">
        <f t="shared" ref="AH141:AH204" si="53">+P141*(1-A141)</f>
        <v>0</v>
      </c>
      <c r="AI141" s="1">
        <f t="shared" ref="AI141:AI204" si="54">+(1-A141)*(1-P141)</f>
        <v>1</v>
      </c>
    </row>
    <row r="142" spans="1:35" s="1" customFormat="1" ht="14.25" customHeight="1" x14ac:dyDescent="0.25">
      <c r="A142" s="15">
        <v>0</v>
      </c>
      <c r="B142" s="15">
        <v>1</v>
      </c>
      <c r="C142" s="15">
        <v>3</v>
      </c>
      <c r="D142" s="16" t="s">
        <v>1566</v>
      </c>
      <c r="E142" s="16" t="s">
        <v>169</v>
      </c>
      <c r="F142" s="16" t="s">
        <v>1568</v>
      </c>
      <c r="G142" s="16"/>
      <c r="H142" s="16" t="s">
        <v>363</v>
      </c>
      <c r="I142" s="15" t="s">
        <v>1567</v>
      </c>
      <c r="J142" s="15">
        <v>18</v>
      </c>
      <c r="K142" s="10" t="s">
        <v>699</v>
      </c>
      <c r="L142" s="10" t="s">
        <v>684</v>
      </c>
      <c r="M142" s="19" t="s">
        <v>958</v>
      </c>
      <c r="N142" s="17"/>
      <c r="Q142" s="1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0</v>
      </c>
      <c r="AF142" s="1">
        <f t="shared" si="51"/>
        <v>0</v>
      </c>
      <c r="AG142" s="1">
        <f t="shared" si="52"/>
        <v>0</v>
      </c>
      <c r="AH142" s="1">
        <f t="shared" si="53"/>
        <v>0</v>
      </c>
      <c r="AI142" s="1">
        <f t="shared" si="54"/>
        <v>1</v>
      </c>
    </row>
    <row r="143" spans="1:35" s="1" customFormat="1" ht="14.25" customHeight="1" x14ac:dyDescent="0.25">
      <c r="A143" s="31">
        <v>0</v>
      </c>
      <c r="B143" s="31">
        <v>1</v>
      </c>
      <c r="C143" s="31">
        <v>3</v>
      </c>
      <c r="D143" s="32" t="s">
        <v>1271</v>
      </c>
      <c r="E143" s="32" t="s">
        <v>171</v>
      </c>
      <c r="F143" s="32" t="s">
        <v>1272</v>
      </c>
      <c r="G143" s="32" t="s">
        <v>237</v>
      </c>
      <c r="H143" s="32" t="s">
        <v>352</v>
      </c>
      <c r="I143" s="31" t="s">
        <v>1273</v>
      </c>
      <c r="J143" s="31">
        <v>4</v>
      </c>
      <c r="K143" s="33" t="s">
        <v>944</v>
      </c>
      <c r="L143" s="33" t="s">
        <v>39</v>
      </c>
      <c r="M143" s="34" t="s">
        <v>39</v>
      </c>
      <c r="N143" s="34" t="s">
        <v>1711</v>
      </c>
      <c r="O143" s="35">
        <v>1</v>
      </c>
      <c r="P143" s="35">
        <v>1</v>
      </c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1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1</v>
      </c>
      <c r="AE143" s="1">
        <f t="shared" si="50"/>
        <v>0</v>
      </c>
      <c r="AF143" s="1">
        <f t="shared" si="51"/>
        <v>1</v>
      </c>
      <c r="AG143" s="1">
        <f t="shared" si="52"/>
        <v>0</v>
      </c>
      <c r="AH143" s="1">
        <f t="shared" si="53"/>
        <v>1</v>
      </c>
      <c r="AI143" s="1">
        <f t="shared" si="54"/>
        <v>0</v>
      </c>
    </row>
    <row r="144" spans="1:35" s="1" customFormat="1" ht="14.25" customHeight="1" x14ac:dyDescent="0.25">
      <c r="A144" s="31">
        <v>0</v>
      </c>
      <c r="B144" s="31">
        <v>1</v>
      </c>
      <c r="C144" s="31">
        <v>3</v>
      </c>
      <c r="D144" s="32" t="s">
        <v>644</v>
      </c>
      <c r="E144" s="32" t="s">
        <v>171</v>
      </c>
      <c r="F144" s="32" t="s">
        <v>653</v>
      </c>
      <c r="G144" s="32" t="s">
        <v>231</v>
      </c>
      <c r="H144" s="32" t="s">
        <v>352</v>
      </c>
      <c r="I144" s="31" t="s">
        <v>608</v>
      </c>
      <c r="J144" s="31">
        <v>99</v>
      </c>
      <c r="K144" s="33" t="s">
        <v>698</v>
      </c>
      <c r="L144" s="33" t="s">
        <v>39</v>
      </c>
      <c r="M144" s="34" t="s">
        <v>39</v>
      </c>
      <c r="N144" s="34" t="s">
        <v>1717</v>
      </c>
      <c r="O144" s="35">
        <v>1</v>
      </c>
      <c r="P144" s="35">
        <v>1</v>
      </c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1</v>
      </c>
      <c r="AE144" s="1">
        <f t="shared" si="50"/>
        <v>0</v>
      </c>
      <c r="AF144" s="1">
        <f t="shared" si="51"/>
        <v>1</v>
      </c>
      <c r="AG144" s="1">
        <f t="shared" si="52"/>
        <v>0</v>
      </c>
      <c r="AH144" s="1">
        <f t="shared" si="53"/>
        <v>1</v>
      </c>
      <c r="AI144" s="1">
        <f t="shared" si="54"/>
        <v>0</v>
      </c>
    </row>
    <row r="145" spans="1:35" s="1" customFormat="1" ht="14.25" customHeight="1" x14ac:dyDescent="0.25">
      <c r="A145" s="38">
        <v>0</v>
      </c>
      <c r="B145" s="38">
        <v>1</v>
      </c>
      <c r="C145" s="38">
        <v>3</v>
      </c>
      <c r="D145" s="39" t="s">
        <v>864</v>
      </c>
      <c r="E145" s="39" t="s">
        <v>865</v>
      </c>
      <c r="F145" s="39" t="s">
        <v>866</v>
      </c>
      <c r="G145" s="39" t="s">
        <v>39</v>
      </c>
      <c r="H145" s="39" t="s">
        <v>364</v>
      </c>
      <c r="I145" s="38" t="s">
        <v>867</v>
      </c>
      <c r="J145" s="38">
        <v>18</v>
      </c>
      <c r="K145" s="40" t="s">
        <v>943</v>
      </c>
      <c r="L145" s="40" t="s">
        <v>39</v>
      </c>
      <c r="M145" s="41" t="s">
        <v>39</v>
      </c>
      <c r="N145" s="42"/>
      <c r="O145" s="43"/>
      <c r="P145" s="43">
        <v>1</v>
      </c>
      <c r="Q145" s="39"/>
      <c r="S145" s="1">
        <f t="shared" ref="S145:S208" si="55">IF(J145=$S$7,1,0)</f>
        <v>0</v>
      </c>
      <c r="T145" s="1">
        <f t="shared" ref="T145:T208" si="56">IF(J145=$T$7,1,0)</f>
        <v>0</v>
      </c>
      <c r="U145" s="1">
        <f t="shared" ref="U145:U208" si="57">IF(J145=$U$7,1,0)</f>
        <v>0</v>
      </c>
      <c r="V145" s="1">
        <f t="shared" ref="V145:V208" si="58">IF(J145=$V$7,1,0)</f>
        <v>0</v>
      </c>
      <c r="W145" s="1">
        <f t="shared" ref="W145:W208" si="59">IF(J145=$W$7,1,0)</f>
        <v>0</v>
      </c>
      <c r="X145" s="1">
        <f t="shared" ref="X145:X208" si="60">IF(J145=$X$7,1,0)</f>
        <v>0</v>
      </c>
      <c r="Y145" s="1">
        <f t="shared" ref="Y145:Y208" si="61">IF(J145=$Y$7,1,0)</f>
        <v>0</v>
      </c>
      <c r="Z145" s="1">
        <f t="shared" ref="Z145:Z208" si="62">IF(J145=$Z$7,1,0)</f>
        <v>0</v>
      </c>
      <c r="AA145" s="1">
        <f t="shared" ref="AA145:AA208" si="63">IF(J145=$AA$7,1,0)</f>
        <v>0</v>
      </c>
      <c r="AB145" s="1">
        <f t="shared" ref="AB145:AB208" si="64">IF(J145=$AB$7,1,0)</f>
        <v>0</v>
      </c>
      <c r="AD145" s="1">
        <f t="shared" ref="AD145:AD208" si="65">+O145*P145</f>
        <v>0</v>
      </c>
      <c r="AE145" s="1">
        <f t="shared" ref="AE145:AE208" si="66">O145*(1-P145)</f>
        <v>0</v>
      </c>
      <c r="AF145" s="1">
        <f t="shared" si="51"/>
        <v>0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s="1" customFormat="1" ht="14.25" customHeight="1" x14ac:dyDescent="0.25">
      <c r="A146" s="31">
        <v>0</v>
      </c>
      <c r="B146" s="31">
        <v>1</v>
      </c>
      <c r="C146" s="31">
        <v>3</v>
      </c>
      <c r="D146" s="32" t="s">
        <v>1291</v>
      </c>
      <c r="E146" s="32" t="s">
        <v>171</v>
      </c>
      <c r="F146" s="32" t="s">
        <v>1292</v>
      </c>
      <c r="G146" s="32" t="s">
        <v>207</v>
      </c>
      <c r="H146" s="32" t="s">
        <v>352</v>
      </c>
      <c r="I146" s="31" t="s">
        <v>1293</v>
      </c>
      <c r="J146" s="31">
        <v>3</v>
      </c>
      <c r="K146" s="33" t="s">
        <v>943</v>
      </c>
      <c r="L146" s="33" t="s">
        <v>39</v>
      </c>
      <c r="M146" s="34" t="s">
        <v>39</v>
      </c>
      <c r="N146" s="34" t="s">
        <v>1717</v>
      </c>
      <c r="O146" s="35">
        <v>1</v>
      </c>
      <c r="P146" s="35">
        <v>1</v>
      </c>
      <c r="Q146" s="32"/>
      <c r="S146" s="1">
        <f t="shared" si="55"/>
        <v>0</v>
      </c>
      <c r="T146" s="1">
        <f t="shared" si="56"/>
        <v>0</v>
      </c>
      <c r="U146" s="1">
        <f t="shared" si="57"/>
        <v>1</v>
      </c>
      <c r="V146" s="1">
        <f t="shared" si="58"/>
        <v>0</v>
      </c>
      <c r="W146" s="1">
        <f t="shared" si="59"/>
        <v>0</v>
      </c>
      <c r="X146" s="1">
        <f t="shared" si="60"/>
        <v>0</v>
      </c>
      <c r="Y146" s="1">
        <f t="shared" si="61"/>
        <v>0</v>
      </c>
      <c r="Z146" s="1">
        <f t="shared" si="62"/>
        <v>0</v>
      </c>
      <c r="AA146" s="1">
        <f t="shared" si="63"/>
        <v>0</v>
      </c>
      <c r="AB146" s="1">
        <f t="shared" si="64"/>
        <v>0</v>
      </c>
      <c r="AD146" s="1">
        <f t="shared" si="65"/>
        <v>1</v>
      </c>
      <c r="AE146" s="1">
        <f t="shared" si="66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s="1" customFormat="1" ht="14.25" customHeight="1" x14ac:dyDescent="0.25">
      <c r="A147" s="31">
        <v>0</v>
      </c>
      <c r="B147" s="31">
        <v>1</v>
      </c>
      <c r="C147" s="31">
        <v>3</v>
      </c>
      <c r="D147" s="32" t="s">
        <v>858</v>
      </c>
      <c r="E147" s="32" t="s">
        <v>169</v>
      </c>
      <c r="F147" s="32" t="s">
        <v>859</v>
      </c>
      <c r="G147" s="32" t="s">
        <v>39</v>
      </c>
      <c r="H147" s="32" t="s">
        <v>860</v>
      </c>
      <c r="I147" s="31" t="s">
        <v>936</v>
      </c>
      <c r="J147" s="31">
        <v>11</v>
      </c>
      <c r="K147" s="33" t="s">
        <v>698</v>
      </c>
      <c r="L147" s="33" t="s">
        <v>685</v>
      </c>
      <c r="M147" s="34" t="s">
        <v>958</v>
      </c>
      <c r="N147" s="34" t="s">
        <v>1739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si="51"/>
        <v>0</v>
      </c>
      <c r="AG147" s="1">
        <f t="shared" si="52"/>
        <v>1</v>
      </c>
      <c r="AH147" s="1">
        <f t="shared" si="53"/>
        <v>0</v>
      </c>
      <c r="AI147" s="1">
        <f t="shared" si="54"/>
        <v>1</v>
      </c>
    </row>
    <row r="148" spans="1:35" s="1" customFormat="1" ht="14.25" customHeight="1" x14ac:dyDescent="0.25">
      <c r="A148" s="31">
        <v>0</v>
      </c>
      <c r="B148" s="31">
        <v>1</v>
      </c>
      <c r="C148" s="31">
        <v>3</v>
      </c>
      <c r="D148" s="36" t="s">
        <v>502</v>
      </c>
      <c r="E148" s="36" t="s">
        <v>169</v>
      </c>
      <c r="F148" s="36" t="s">
        <v>503</v>
      </c>
      <c r="G148" s="36" t="s">
        <v>500</v>
      </c>
      <c r="H148" s="36" t="s">
        <v>352</v>
      </c>
      <c r="I148" s="37" t="s">
        <v>504</v>
      </c>
      <c r="J148" s="31">
        <v>99</v>
      </c>
      <c r="K148" s="33" t="s">
        <v>699</v>
      </c>
      <c r="L148" s="33">
        <v>40</v>
      </c>
      <c r="M148" s="34" t="s">
        <v>958</v>
      </c>
      <c r="N148" s="34" t="s">
        <v>1930</v>
      </c>
      <c r="O148" s="35">
        <v>1</v>
      </c>
      <c r="P148" s="35"/>
      <c r="Q148" s="36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si="51"/>
        <v>0</v>
      </c>
      <c r="AG148" s="1">
        <f t="shared" si="52"/>
        <v>1</v>
      </c>
      <c r="AH148" s="1">
        <f t="shared" si="53"/>
        <v>0</v>
      </c>
      <c r="AI148" s="1">
        <f t="shared" si="54"/>
        <v>1</v>
      </c>
    </row>
    <row r="149" spans="1:35" s="1" customFormat="1" ht="14.25" customHeight="1" x14ac:dyDescent="0.25">
      <c r="A149" s="31">
        <v>0</v>
      </c>
      <c r="B149" s="31">
        <v>1</v>
      </c>
      <c r="C149" s="31">
        <v>3</v>
      </c>
      <c r="D149" s="36" t="s">
        <v>1776</v>
      </c>
      <c r="E149" s="36" t="s">
        <v>1777</v>
      </c>
      <c r="F149" s="36" t="s">
        <v>1778</v>
      </c>
      <c r="G149" s="36" t="s">
        <v>1779</v>
      </c>
      <c r="H149" s="36" t="s">
        <v>352</v>
      </c>
      <c r="I149" s="37" t="s">
        <v>1780</v>
      </c>
      <c r="J149" s="31">
        <v>99</v>
      </c>
      <c r="K149" s="33" t="s">
        <v>699</v>
      </c>
      <c r="L149" s="33"/>
      <c r="M149" s="34"/>
      <c r="N149" s="34" t="s">
        <v>1717</v>
      </c>
      <c r="O149" s="35">
        <v>1</v>
      </c>
      <c r="P149" s="35">
        <v>1</v>
      </c>
      <c r="Q149" s="3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1</v>
      </c>
      <c r="AE149" s="1">
        <f t="shared" si="66"/>
        <v>0</v>
      </c>
      <c r="AF149" s="1">
        <f t="shared" si="51"/>
        <v>1</v>
      </c>
      <c r="AG149" s="1">
        <f t="shared" si="52"/>
        <v>0</v>
      </c>
      <c r="AH149" s="1">
        <f t="shared" si="53"/>
        <v>1</v>
      </c>
      <c r="AI149" s="1">
        <f t="shared" si="54"/>
        <v>0</v>
      </c>
    </row>
    <row r="150" spans="1:35" s="1" customFormat="1" ht="14.25" customHeight="1" x14ac:dyDescent="0.25">
      <c r="A150" s="31">
        <v>0</v>
      </c>
      <c r="B150" s="31">
        <v>1</v>
      </c>
      <c r="C150" s="31">
        <v>3</v>
      </c>
      <c r="D150" s="32" t="s">
        <v>525</v>
      </c>
      <c r="E150" s="32" t="s">
        <v>169</v>
      </c>
      <c r="F150" s="32" t="s">
        <v>654</v>
      </c>
      <c r="G150" s="32" t="s">
        <v>39</v>
      </c>
      <c r="H150" s="32" t="s">
        <v>526</v>
      </c>
      <c r="I150" s="31" t="s">
        <v>527</v>
      </c>
      <c r="J150" s="31">
        <v>18</v>
      </c>
      <c r="K150" s="33" t="s">
        <v>943</v>
      </c>
      <c r="L150" s="33" t="s">
        <v>1726</v>
      </c>
      <c r="M150" s="34" t="s">
        <v>957</v>
      </c>
      <c r="N150" s="34" t="s">
        <v>1717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51"/>
        <v>1</v>
      </c>
      <c r="AG150" s="1">
        <f t="shared" si="52"/>
        <v>0</v>
      </c>
      <c r="AH150" s="1">
        <f t="shared" si="53"/>
        <v>1</v>
      </c>
      <c r="AI150" s="1">
        <f t="shared" si="54"/>
        <v>0</v>
      </c>
    </row>
    <row r="151" spans="1:35" s="1" customFormat="1" ht="14.25" customHeight="1" x14ac:dyDescent="0.25">
      <c r="A151" s="31">
        <v>0</v>
      </c>
      <c r="B151" s="31">
        <v>1</v>
      </c>
      <c r="C151" s="31">
        <v>3</v>
      </c>
      <c r="D151" s="32" t="s">
        <v>962</v>
      </c>
      <c r="E151" s="32" t="s">
        <v>174</v>
      </c>
      <c r="F151" s="32" t="s">
        <v>796</v>
      </c>
      <c r="G151" s="32" t="s">
        <v>39</v>
      </c>
      <c r="H151" s="32" t="s">
        <v>797</v>
      </c>
      <c r="I151" s="31" t="s">
        <v>798</v>
      </c>
      <c r="J151" s="31">
        <v>16</v>
      </c>
      <c r="K151" s="33" t="s">
        <v>944</v>
      </c>
      <c r="L151" s="33" t="s">
        <v>1125</v>
      </c>
      <c r="M151" s="34" t="s">
        <v>957</v>
      </c>
      <c r="N151" s="34" t="s">
        <v>1732</v>
      </c>
      <c r="O151" s="35">
        <v>1</v>
      </c>
      <c r="P151" s="35"/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0</v>
      </c>
      <c r="AE151" s="1">
        <f t="shared" si="66"/>
        <v>1</v>
      </c>
      <c r="AF151" s="1">
        <f t="shared" si="51"/>
        <v>0</v>
      </c>
      <c r="AG151" s="1">
        <f t="shared" si="52"/>
        <v>1</v>
      </c>
      <c r="AH151" s="1">
        <f t="shared" si="53"/>
        <v>0</v>
      </c>
      <c r="AI151" s="1">
        <f t="shared" si="54"/>
        <v>1</v>
      </c>
    </row>
    <row r="152" spans="1:35" s="1" customFormat="1" ht="14.25" customHeight="1" x14ac:dyDescent="0.25">
      <c r="A152" s="31">
        <v>0</v>
      </c>
      <c r="B152" s="31">
        <v>1</v>
      </c>
      <c r="C152" s="31">
        <v>3</v>
      </c>
      <c r="D152" s="32" t="s">
        <v>1182</v>
      </c>
      <c r="E152" s="32" t="s">
        <v>171</v>
      </c>
      <c r="F152" s="32" t="s">
        <v>1183</v>
      </c>
      <c r="G152" s="32" t="s">
        <v>237</v>
      </c>
      <c r="H152" s="32" t="s">
        <v>352</v>
      </c>
      <c r="I152" s="31" t="s">
        <v>1184</v>
      </c>
      <c r="J152" s="31">
        <v>4</v>
      </c>
      <c r="K152" s="33" t="s">
        <v>950</v>
      </c>
      <c r="L152" s="33" t="s">
        <v>1683</v>
      </c>
      <c r="M152" s="34" t="s">
        <v>1588</v>
      </c>
      <c r="N152" s="34" t="s">
        <v>1711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1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1</v>
      </c>
      <c r="AE152" s="1">
        <f t="shared" si="66"/>
        <v>0</v>
      </c>
      <c r="AF152" s="1">
        <f t="shared" si="51"/>
        <v>1</v>
      </c>
      <c r="AG152" s="1">
        <f t="shared" si="52"/>
        <v>0</v>
      </c>
      <c r="AH152" s="1">
        <f t="shared" si="53"/>
        <v>1</v>
      </c>
      <c r="AI152" s="1">
        <f t="shared" si="54"/>
        <v>0</v>
      </c>
    </row>
    <row r="153" spans="1:35" s="1" customFormat="1" ht="14.25" customHeight="1" x14ac:dyDescent="0.25">
      <c r="A153" s="31">
        <v>0</v>
      </c>
      <c r="B153" s="31">
        <v>1</v>
      </c>
      <c r="C153" s="31">
        <v>3</v>
      </c>
      <c r="D153" s="32" t="s">
        <v>1625</v>
      </c>
      <c r="E153" s="32" t="s">
        <v>169</v>
      </c>
      <c r="F153" s="32" t="s">
        <v>1460</v>
      </c>
      <c r="G153" s="32" t="s">
        <v>1653</v>
      </c>
      <c r="H153" s="32" t="s">
        <v>352</v>
      </c>
      <c r="I153" s="31" t="s">
        <v>1459</v>
      </c>
      <c r="J153" s="31">
        <v>99</v>
      </c>
      <c r="K153" s="33" t="s">
        <v>698</v>
      </c>
      <c r="L153" s="33" t="s">
        <v>1688</v>
      </c>
      <c r="M153" s="34" t="s">
        <v>1461</v>
      </c>
      <c r="N153" s="34" t="s">
        <v>1733</v>
      </c>
      <c r="O153" s="35">
        <v>1</v>
      </c>
      <c r="P153" s="35"/>
      <c r="Q153" s="32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0</v>
      </c>
      <c r="AE153" s="1">
        <f t="shared" si="66"/>
        <v>1</v>
      </c>
      <c r="AF153" s="1">
        <f t="shared" si="51"/>
        <v>0</v>
      </c>
      <c r="AG153" s="1">
        <f t="shared" si="52"/>
        <v>1</v>
      </c>
      <c r="AH153" s="1">
        <f t="shared" si="53"/>
        <v>0</v>
      </c>
      <c r="AI153" s="1">
        <f t="shared" si="54"/>
        <v>1</v>
      </c>
    </row>
    <row r="154" spans="1:35" s="1" customFormat="1" ht="14.25" customHeight="1" x14ac:dyDescent="0.25">
      <c r="A154" s="31">
        <v>0</v>
      </c>
      <c r="B154" s="31">
        <v>1</v>
      </c>
      <c r="C154" s="31">
        <v>3</v>
      </c>
      <c r="D154" s="36" t="s">
        <v>2059</v>
      </c>
      <c r="E154" s="36" t="s">
        <v>171</v>
      </c>
      <c r="F154" s="36" t="s">
        <v>2060</v>
      </c>
      <c r="G154" s="32"/>
      <c r="H154" s="36" t="s">
        <v>607</v>
      </c>
      <c r="I154" s="37" t="s">
        <v>2061</v>
      </c>
      <c r="J154" s="31">
        <v>14</v>
      </c>
      <c r="K154" s="33" t="s">
        <v>699</v>
      </c>
      <c r="L154" s="33"/>
      <c r="M154" s="34"/>
      <c r="N154" s="34" t="s">
        <v>1717</v>
      </c>
      <c r="O154" s="35">
        <v>1</v>
      </c>
      <c r="P154" s="35">
        <v>1</v>
      </c>
      <c r="Q154" s="32" t="s">
        <v>2062</v>
      </c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1</v>
      </c>
      <c r="AE154" s="1">
        <f t="shared" si="66"/>
        <v>0</v>
      </c>
      <c r="AF154" s="1">
        <f t="shared" si="51"/>
        <v>1</v>
      </c>
      <c r="AG154" s="1">
        <f t="shared" si="52"/>
        <v>0</v>
      </c>
      <c r="AH154" s="1">
        <f t="shared" si="53"/>
        <v>1</v>
      </c>
      <c r="AI154" s="1">
        <f t="shared" si="54"/>
        <v>0</v>
      </c>
    </row>
    <row r="155" spans="1:35" s="1" customFormat="1" ht="14.25" customHeight="1" x14ac:dyDescent="0.25">
      <c r="A155" s="15">
        <v>0</v>
      </c>
      <c r="B155" s="15">
        <v>1</v>
      </c>
      <c r="C155" s="15">
        <v>3</v>
      </c>
      <c r="D155" s="20" t="s">
        <v>1932</v>
      </c>
      <c r="E155" s="20" t="s">
        <v>171</v>
      </c>
      <c r="F155" s="20" t="s">
        <v>1947</v>
      </c>
      <c r="G155" s="20"/>
      <c r="H155" s="20" t="s">
        <v>1946</v>
      </c>
      <c r="I155" s="21" t="s">
        <v>1945</v>
      </c>
      <c r="J155" s="15">
        <v>14</v>
      </c>
      <c r="K155" s="10" t="s">
        <v>699</v>
      </c>
      <c r="L155" s="10" t="s">
        <v>693</v>
      </c>
      <c r="M155" s="19" t="s">
        <v>958</v>
      </c>
      <c r="N155" s="17"/>
      <c r="Q155" s="20" t="s">
        <v>1948</v>
      </c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51"/>
        <v>0</v>
      </c>
      <c r="AG155" s="1">
        <f t="shared" si="52"/>
        <v>0</v>
      </c>
      <c r="AH155" s="1">
        <f t="shared" si="53"/>
        <v>0</v>
      </c>
      <c r="AI155" s="1">
        <f t="shared" si="54"/>
        <v>1</v>
      </c>
    </row>
    <row r="156" spans="1:35" s="1" customFormat="1" ht="14.25" customHeight="1" x14ac:dyDescent="0.25">
      <c r="A156" s="31">
        <v>0</v>
      </c>
      <c r="B156" s="31">
        <v>1</v>
      </c>
      <c r="C156" s="31">
        <v>3</v>
      </c>
      <c r="D156" s="32" t="s">
        <v>144</v>
      </c>
      <c r="E156" s="32" t="s">
        <v>171</v>
      </c>
      <c r="F156" s="32" t="s">
        <v>345</v>
      </c>
      <c r="G156" s="32" t="s">
        <v>39</v>
      </c>
      <c r="H156" s="32" t="s">
        <v>376</v>
      </c>
      <c r="I156" s="31" t="s">
        <v>1346</v>
      </c>
      <c r="J156" s="31">
        <v>14</v>
      </c>
      <c r="K156" s="33" t="s">
        <v>943</v>
      </c>
      <c r="L156" s="33" t="s">
        <v>685</v>
      </c>
      <c r="M156" s="34" t="s">
        <v>687</v>
      </c>
      <c r="N156" s="34" t="s">
        <v>1732</v>
      </c>
      <c r="O156" s="35">
        <v>1</v>
      </c>
      <c r="P156" s="35"/>
      <c r="Q156" s="32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1</v>
      </c>
      <c r="AF156" s="1">
        <f t="shared" si="51"/>
        <v>0</v>
      </c>
      <c r="AG156" s="1">
        <f t="shared" si="52"/>
        <v>1</v>
      </c>
      <c r="AH156" s="1">
        <f t="shared" si="53"/>
        <v>0</v>
      </c>
      <c r="AI156" s="1">
        <f t="shared" si="54"/>
        <v>1</v>
      </c>
    </row>
    <row r="157" spans="1:35" s="1" customFormat="1" ht="14.25" customHeight="1" x14ac:dyDescent="0.25">
      <c r="A157" s="31">
        <v>0</v>
      </c>
      <c r="B157" s="31">
        <v>1</v>
      </c>
      <c r="C157" s="31">
        <v>3</v>
      </c>
      <c r="D157" s="32" t="s">
        <v>1551</v>
      </c>
      <c r="E157" s="32" t="s">
        <v>171</v>
      </c>
      <c r="F157" s="32" t="s">
        <v>1552</v>
      </c>
      <c r="G157" s="32" t="s">
        <v>39</v>
      </c>
      <c r="H157" s="32" t="s">
        <v>1553</v>
      </c>
      <c r="I157" s="31" t="s">
        <v>1554</v>
      </c>
      <c r="J157" s="31">
        <v>17</v>
      </c>
      <c r="K157" s="33" t="s">
        <v>718</v>
      </c>
      <c r="L157" s="33" t="s">
        <v>39</v>
      </c>
      <c r="M157" s="34" t="s">
        <v>39</v>
      </c>
      <c r="N157" s="34" t="s">
        <v>1717</v>
      </c>
      <c r="O157" s="35">
        <v>1</v>
      </c>
      <c r="P157" s="35">
        <v>1</v>
      </c>
      <c r="Q157" s="32" t="s">
        <v>1897</v>
      </c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51"/>
        <v>1</v>
      </c>
      <c r="AG157" s="1">
        <f t="shared" si="52"/>
        <v>0</v>
      </c>
      <c r="AH157" s="1">
        <f t="shared" si="53"/>
        <v>1</v>
      </c>
      <c r="AI157" s="1">
        <f t="shared" si="54"/>
        <v>0</v>
      </c>
    </row>
    <row r="158" spans="1:35" s="1" customFormat="1" ht="14.25" customHeight="1" x14ac:dyDescent="0.25">
      <c r="A158" s="31">
        <v>0</v>
      </c>
      <c r="B158" s="31">
        <v>1</v>
      </c>
      <c r="C158" s="31">
        <v>3</v>
      </c>
      <c r="D158" s="32" t="s">
        <v>152</v>
      </c>
      <c r="E158" s="32" t="s">
        <v>171</v>
      </c>
      <c r="F158" s="32" t="s">
        <v>351</v>
      </c>
      <c r="G158" s="32" t="s">
        <v>39</v>
      </c>
      <c r="H158" s="32" t="s">
        <v>1853</v>
      </c>
      <c r="I158" s="31" t="s">
        <v>497</v>
      </c>
      <c r="J158" s="31">
        <v>14</v>
      </c>
      <c r="K158" s="33" t="s">
        <v>698</v>
      </c>
      <c r="L158" s="33" t="s">
        <v>685</v>
      </c>
      <c r="M158" s="34" t="s">
        <v>957</v>
      </c>
      <c r="N158" s="34" t="s">
        <v>1732</v>
      </c>
      <c r="O158" s="35">
        <v>1</v>
      </c>
      <c r="P158" s="35"/>
      <c r="Q158" s="32" t="s">
        <v>1880</v>
      </c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51"/>
        <v>0</v>
      </c>
      <c r="AG158" s="1">
        <f t="shared" si="52"/>
        <v>1</v>
      </c>
      <c r="AH158" s="1">
        <f t="shared" si="53"/>
        <v>0</v>
      </c>
      <c r="AI158" s="1">
        <f t="shared" si="54"/>
        <v>1</v>
      </c>
    </row>
    <row r="159" spans="1:35" s="1" customFormat="1" ht="14.25" customHeight="1" x14ac:dyDescent="0.25">
      <c r="A159" s="15">
        <v>0</v>
      </c>
      <c r="B159" s="15">
        <v>1</v>
      </c>
      <c r="C159" s="15">
        <v>3</v>
      </c>
      <c r="D159" s="16" t="s">
        <v>735</v>
      </c>
      <c r="E159" s="16" t="s">
        <v>171</v>
      </c>
      <c r="F159" s="16" t="s">
        <v>736</v>
      </c>
      <c r="G159" s="16" t="s">
        <v>39</v>
      </c>
      <c r="H159" s="16" t="s">
        <v>737</v>
      </c>
      <c r="I159" s="15" t="s">
        <v>738</v>
      </c>
      <c r="J159" s="15">
        <v>17</v>
      </c>
      <c r="K159" s="10" t="s">
        <v>718</v>
      </c>
      <c r="L159" s="10" t="s">
        <v>693</v>
      </c>
      <c r="M159" s="19" t="s">
        <v>687</v>
      </c>
      <c r="N159" s="17"/>
      <c r="Q159" s="16" t="s">
        <v>1871</v>
      </c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0</v>
      </c>
      <c r="AF159" s="1">
        <f t="shared" si="51"/>
        <v>0</v>
      </c>
      <c r="AG159" s="1">
        <f t="shared" si="52"/>
        <v>0</v>
      </c>
      <c r="AH159" s="1">
        <f t="shared" si="53"/>
        <v>0</v>
      </c>
      <c r="AI159" s="1">
        <f t="shared" si="54"/>
        <v>1</v>
      </c>
    </row>
    <row r="160" spans="1:35" s="1" customFormat="1" ht="14.25" customHeight="1" x14ac:dyDescent="0.25">
      <c r="A160" s="44">
        <v>0</v>
      </c>
      <c r="B160" s="44">
        <v>1</v>
      </c>
      <c r="C160" s="44">
        <v>3</v>
      </c>
      <c r="D160" s="45" t="s">
        <v>893</v>
      </c>
      <c r="E160" s="45" t="s">
        <v>171</v>
      </c>
      <c r="F160" s="45" t="s">
        <v>1083</v>
      </c>
      <c r="G160" s="45" t="s">
        <v>39</v>
      </c>
      <c r="H160" s="45" t="s">
        <v>895</v>
      </c>
      <c r="I160" s="44" t="s">
        <v>894</v>
      </c>
      <c r="J160" s="44">
        <v>11</v>
      </c>
      <c r="K160" s="46" t="s">
        <v>944</v>
      </c>
      <c r="L160" s="46">
        <v>60</v>
      </c>
      <c r="M160" s="47" t="s">
        <v>39</v>
      </c>
      <c r="N160" s="47" t="s">
        <v>1723</v>
      </c>
      <c r="O160" s="48"/>
      <c r="P160" s="48"/>
      <c r="Q160" s="45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0</v>
      </c>
      <c r="AF160" s="1">
        <f t="shared" si="51"/>
        <v>0</v>
      </c>
      <c r="AG160" s="1">
        <f t="shared" si="52"/>
        <v>0</v>
      </c>
      <c r="AH160" s="1">
        <f t="shared" si="53"/>
        <v>0</v>
      </c>
      <c r="AI160" s="1">
        <f t="shared" si="54"/>
        <v>1</v>
      </c>
    </row>
    <row r="161" spans="1:35" s="1" customFormat="1" ht="14.25" customHeight="1" x14ac:dyDescent="0.25">
      <c r="A161" s="31">
        <v>0</v>
      </c>
      <c r="B161" s="31">
        <v>1</v>
      </c>
      <c r="C161" s="31">
        <v>3</v>
      </c>
      <c r="D161" s="32" t="s">
        <v>122</v>
      </c>
      <c r="E161" s="32" t="s">
        <v>174</v>
      </c>
      <c r="F161" s="32" t="s">
        <v>322</v>
      </c>
      <c r="G161" s="32" t="s">
        <v>39</v>
      </c>
      <c r="H161" s="32" t="s">
        <v>361</v>
      </c>
      <c r="I161" s="31" t="s">
        <v>467</v>
      </c>
      <c r="J161" s="31">
        <v>14</v>
      </c>
      <c r="K161" s="33" t="s">
        <v>718</v>
      </c>
      <c r="L161" s="33" t="s">
        <v>689</v>
      </c>
      <c r="M161" s="34" t="s">
        <v>1363</v>
      </c>
      <c r="N161" s="34" t="s">
        <v>1833</v>
      </c>
      <c r="O161" s="35">
        <v>1</v>
      </c>
      <c r="P161" s="35"/>
      <c r="Q161" s="36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51"/>
        <v>0</v>
      </c>
      <c r="AG161" s="1">
        <f t="shared" si="52"/>
        <v>1</v>
      </c>
      <c r="AH161" s="1">
        <f t="shared" si="53"/>
        <v>0</v>
      </c>
      <c r="AI161" s="1">
        <f t="shared" si="54"/>
        <v>1</v>
      </c>
    </row>
    <row r="162" spans="1:35" s="1" customFormat="1" ht="14.25" customHeight="1" x14ac:dyDescent="0.25">
      <c r="A162" s="31">
        <v>0</v>
      </c>
      <c r="B162" s="31">
        <v>1</v>
      </c>
      <c r="C162" s="31">
        <v>3</v>
      </c>
      <c r="D162" s="32" t="s">
        <v>1153</v>
      </c>
      <c r="E162" s="32" t="s">
        <v>171</v>
      </c>
      <c r="F162" s="32" t="s">
        <v>1155</v>
      </c>
      <c r="G162" s="32" t="s">
        <v>758</v>
      </c>
      <c r="H162" s="32" t="s">
        <v>352</v>
      </c>
      <c r="I162" s="31" t="s">
        <v>1154</v>
      </c>
      <c r="J162" s="31">
        <v>99</v>
      </c>
      <c r="K162" s="33" t="s">
        <v>699</v>
      </c>
      <c r="L162" s="33">
        <v>30</v>
      </c>
      <c r="M162" s="34" t="s">
        <v>957</v>
      </c>
      <c r="N162" s="34" t="s">
        <v>1809</v>
      </c>
      <c r="O162" s="35">
        <v>1</v>
      </c>
      <c r="P162" s="35"/>
      <c r="Q162" s="36"/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1</v>
      </c>
      <c r="AF162" s="1">
        <f t="shared" si="51"/>
        <v>0</v>
      </c>
      <c r="AG162" s="1">
        <f t="shared" si="52"/>
        <v>1</v>
      </c>
      <c r="AH162" s="1">
        <f t="shared" si="53"/>
        <v>0</v>
      </c>
      <c r="AI162" s="1">
        <f t="shared" si="54"/>
        <v>1</v>
      </c>
    </row>
    <row r="163" spans="1:35" s="1" customFormat="1" ht="14.25" customHeight="1" x14ac:dyDescent="0.25">
      <c r="A163" s="31">
        <v>0</v>
      </c>
      <c r="B163" s="31">
        <v>1</v>
      </c>
      <c r="C163" s="31">
        <v>3</v>
      </c>
      <c r="D163" s="32" t="s">
        <v>2021</v>
      </c>
      <c r="E163" s="32" t="s">
        <v>171</v>
      </c>
      <c r="F163" s="32" t="s">
        <v>2022</v>
      </c>
      <c r="G163" s="32"/>
      <c r="H163" s="32" t="s">
        <v>352</v>
      </c>
      <c r="I163" s="31" t="s">
        <v>2023</v>
      </c>
      <c r="J163" s="31">
        <v>18</v>
      </c>
      <c r="K163" s="33" t="s">
        <v>699</v>
      </c>
      <c r="L163" s="33"/>
      <c r="M163" s="34"/>
      <c r="N163" s="34" t="s">
        <v>1717</v>
      </c>
      <c r="O163" s="35">
        <v>1</v>
      </c>
      <c r="P163" s="35">
        <v>1</v>
      </c>
      <c r="Q163" s="36" t="s">
        <v>2024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1</v>
      </c>
      <c r="AE163" s="1">
        <f t="shared" si="66"/>
        <v>0</v>
      </c>
      <c r="AF163" s="1">
        <f t="shared" si="51"/>
        <v>1</v>
      </c>
      <c r="AG163" s="1">
        <f t="shared" si="52"/>
        <v>0</v>
      </c>
      <c r="AH163" s="1">
        <f t="shared" si="53"/>
        <v>1</v>
      </c>
      <c r="AI163" s="1">
        <f t="shared" si="54"/>
        <v>0</v>
      </c>
    </row>
    <row r="164" spans="1:35" s="1" customFormat="1" ht="14.25" customHeight="1" x14ac:dyDescent="0.25">
      <c r="A164" s="15">
        <v>0</v>
      </c>
      <c r="B164" s="15">
        <v>1</v>
      </c>
      <c r="C164" s="15">
        <v>3</v>
      </c>
      <c r="D164" s="16" t="s">
        <v>739</v>
      </c>
      <c r="E164" s="16" t="s">
        <v>169</v>
      </c>
      <c r="F164" s="16" t="s">
        <v>740</v>
      </c>
      <c r="G164" s="16" t="s">
        <v>39</v>
      </c>
      <c r="H164" s="16" t="s">
        <v>741</v>
      </c>
      <c r="I164" s="15" t="s">
        <v>742</v>
      </c>
      <c r="J164" s="15">
        <v>17</v>
      </c>
      <c r="K164" s="10" t="s">
        <v>699</v>
      </c>
      <c r="L164" s="10" t="s">
        <v>693</v>
      </c>
      <c r="M164" s="19" t="s">
        <v>958</v>
      </c>
      <c r="N164" s="17"/>
      <c r="Q164" s="16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0</v>
      </c>
      <c r="AF164" s="1">
        <f t="shared" si="51"/>
        <v>0</v>
      </c>
      <c r="AG164" s="1">
        <f t="shared" si="52"/>
        <v>0</v>
      </c>
      <c r="AH164" s="1">
        <f t="shared" si="53"/>
        <v>0</v>
      </c>
      <c r="AI164" s="1">
        <f t="shared" si="54"/>
        <v>1</v>
      </c>
    </row>
    <row r="165" spans="1:35" s="1" customFormat="1" ht="14.25" customHeight="1" x14ac:dyDescent="0.25">
      <c r="A165" s="15">
        <v>0</v>
      </c>
      <c r="B165" s="15">
        <v>1</v>
      </c>
      <c r="C165" s="15">
        <v>3</v>
      </c>
      <c r="D165" s="20" t="s">
        <v>1931</v>
      </c>
      <c r="E165" s="20" t="s">
        <v>171</v>
      </c>
      <c r="F165" s="20" t="s">
        <v>1941</v>
      </c>
      <c r="G165" s="20"/>
      <c r="H165" s="20" t="s">
        <v>1942</v>
      </c>
      <c r="I165" s="21" t="s">
        <v>1943</v>
      </c>
      <c r="J165" s="15">
        <v>16</v>
      </c>
      <c r="K165" s="10" t="s">
        <v>699</v>
      </c>
      <c r="L165" s="10" t="s">
        <v>693</v>
      </c>
      <c r="M165" s="19" t="s">
        <v>958</v>
      </c>
      <c r="N165" s="17"/>
      <c r="Q165" s="20" t="s">
        <v>1940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0</v>
      </c>
      <c r="AF165" s="1">
        <f t="shared" si="51"/>
        <v>0</v>
      </c>
      <c r="AG165" s="1">
        <f t="shared" si="52"/>
        <v>0</v>
      </c>
      <c r="AH165" s="1">
        <f t="shared" si="53"/>
        <v>0</v>
      </c>
      <c r="AI165" s="1">
        <f t="shared" si="54"/>
        <v>1</v>
      </c>
    </row>
    <row r="166" spans="1:35" s="1" customFormat="1" ht="14.25" customHeight="1" x14ac:dyDescent="0.25">
      <c r="A166" s="44">
        <v>0</v>
      </c>
      <c r="B166" s="44">
        <v>1</v>
      </c>
      <c r="C166" s="44">
        <v>3</v>
      </c>
      <c r="D166" s="45" t="s">
        <v>825</v>
      </c>
      <c r="E166" s="45" t="s">
        <v>903</v>
      </c>
      <c r="F166" s="45" t="s">
        <v>826</v>
      </c>
      <c r="G166" s="45" t="s">
        <v>207</v>
      </c>
      <c r="H166" s="45" t="s">
        <v>352</v>
      </c>
      <c r="I166" s="44" t="s">
        <v>827</v>
      </c>
      <c r="J166" s="44">
        <v>3</v>
      </c>
      <c r="K166" s="46" t="s">
        <v>718</v>
      </c>
      <c r="L166" s="46" t="s">
        <v>689</v>
      </c>
      <c r="M166" s="47" t="s">
        <v>694</v>
      </c>
      <c r="N166" s="47" t="s">
        <v>1724</v>
      </c>
      <c r="O166" s="48"/>
      <c r="P166" s="48"/>
      <c r="Q166" s="45"/>
      <c r="S166" s="1">
        <f t="shared" si="55"/>
        <v>0</v>
      </c>
      <c r="T166" s="1">
        <f t="shared" si="56"/>
        <v>0</v>
      </c>
      <c r="U166" s="1">
        <f t="shared" si="57"/>
        <v>1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51"/>
        <v>0</v>
      </c>
      <c r="AG166" s="1">
        <f t="shared" si="52"/>
        <v>0</v>
      </c>
      <c r="AH166" s="1">
        <f t="shared" si="53"/>
        <v>0</v>
      </c>
      <c r="AI166" s="1">
        <f t="shared" si="54"/>
        <v>1</v>
      </c>
    </row>
    <row r="167" spans="1:35" s="1" customFormat="1" ht="14.25" customHeight="1" x14ac:dyDescent="0.25">
      <c r="A167" s="15">
        <v>0</v>
      </c>
      <c r="B167" s="15">
        <v>1</v>
      </c>
      <c r="C167" s="15">
        <v>3</v>
      </c>
      <c r="D167" s="20" t="s">
        <v>1936</v>
      </c>
      <c r="E167" s="20" t="s">
        <v>171</v>
      </c>
      <c r="F167" s="20" t="s">
        <v>1938</v>
      </c>
      <c r="G167" s="20"/>
      <c r="H167" s="20" t="s">
        <v>1939</v>
      </c>
      <c r="I167" s="21" t="s">
        <v>1937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1944</v>
      </c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0</v>
      </c>
      <c r="AF167" s="1">
        <f t="shared" si="51"/>
        <v>0</v>
      </c>
      <c r="AG167" s="1">
        <f t="shared" si="52"/>
        <v>0</v>
      </c>
      <c r="AH167" s="1">
        <f t="shared" si="53"/>
        <v>0</v>
      </c>
      <c r="AI167" s="1">
        <f t="shared" si="54"/>
        <v>1</v>
      </c>
    </row>
    <row r="168" spans="1:35" s="1" customFormat="1" ht="14.25" customHeight="1" x14ac:dyDescent="0.25">
      <c r="A168" s="31">
        <v>0</v>
      </c>
      <c r="B168" s="31">
        <v>1</v>
      </c>
      <c r="C168" s="31">
        <v>3</v>
      </c>
      <c r="D168" s="32" t="s">
        <v>1193</v>
      </c>
      <c r="E168" s="32" t="s">
        <v>171</v>
      </c>
      <c r="F168" s="32" t="s">
        <v>1195</v>
      </c>
      <c r="G168" s="32" t="s">
        <v>184</v>
      </c>
      <c r="H168" s="32" t="s">
        <v>352</v>
      </c>
      <c r="I168" s="31" t="s">
        <v>1194</v>
      </c>
      <c r="J168" s="31">
        <v>99</v>
      </c>
      <c r="K168" s="33" t="s">
        <v>945</v>
      </c>
      <c r="L168" s="33" t="s">
        <v>685</v>
      </c>
      <c r="M168" s="34" t="s">
        <v>958</v>
      </c>
      <c r="N168" s="34" t="s">
        <v>1733</v>
      </c>
      <c r="O168" s="35">
        <v>1</v>
      </c>
      <c r="P168" s="35"/>
      <c r="Q168" s="32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51"/>
        <v>0</v>
      </c>
      <c r="AG168" s="1">
        <f t="shared" si="52"/>
        <v>1</v>
      </c>
      <c r="AH168" s="1">
        <f t="shared" si="53"/>
        <v>0</v>
      </c>
      <c r="AI168" s="1">
        <f t="shared" si="54"/>
        <v>1</v>
      </c>
    </row>
    <row r="169" spans="1:35" s="1" customFormat="1" ht="14.25" customHeight="1" x14ac:dyDescent="0.25">
      <c r="A169" s="31">
        <v>0</v>
      </c>
      <c r="B169" s="31">
        <v>1</v>
      </c>
      <c r="C169" s="31">
        <v>3</v>
      </c>
      <c r="D169" s="32" t="s">
        <v>628</v>
      </c>
      <c r="E169" s="32" t="s">
        <v>169</v>
      </c>
      <c r="F169" s="32" t="s">
        <v>629</v>
      </c>
      <c r="G169" s="32" t="s">
        <v>193</v>
      </c>
      <c r="H169" s="32" t="s">
        <v>352</v>
      </c>
      <c r="I169" s="31" t="s">
        <v>630</v>
      </c>
      <c r="J169" s="31">
        <v>9</v>
      </c>
      <c r="K169" s="33" t="s">
        <v>944</v>
      </c>
      <c r="L169" s="33" t="s">
        <v>1683</v>
      </c>
      <c r="M169" s="34" t="s">
        <v>957</v>
      </c>
      <c r="N169" s="34" t="s">
        <v>1711</v>
      </c>
      <c r="O169" s="35">
        <v>1</v>
      </c>
      <c r="P169" s="35">
        <v>1</v>
      </c>
      <c r="Q169" s="32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1</v>
      </c>
      <c r="AB169" s="1">
        <f t="shared" si="64"/>
        <v>0</v>
      </c>
      <c r="AD169" s="1">
        <f t="shared" si="65"/>
        <v>1</v>
      </c>
      <c r="AE169" s="1">
        <f t="shared" si="66"/>
        <v>0</v>
      </c>
      <c r="AF169" s="1">
        <f t="shared" si="51"/>
        <v>1</v>
      </c>
      <c r="AG169" s="1">
        <f t="shared" si="52"/>
        <v>0</v>
      </c>
      <c r="AH169" s="1">
        <f t="shared" si="53"/>
        <v>1</v>
      </c>
      <c r="AI169" s="1">
        <f t="shared" si="54"/>
        <v>0</v>
      </c>
    </row>
    <row r="170" spans="1:35" s="1" customFormat="1" ht="14.25" customHeight="1" x14ac:dyDescent="0.25">
      <c r="A170" s="44">
        <v>0</v>
      </c>
      <c r="B170" s="44">
        <v>1</v>
      </c>
      <c r="C170" s="44">
        <v>3</v>
      </c>
      <c r="D170" s="45" t="s">
        <v>131</v>
      </c>
      <c r="E170" s="45" t="s">
        <v>679</v>
      </c>
      <c r="F170" s="45" t="s">
        <v>332</v>
      </c>
      <c r="G170" s="45" t="s">
        <v>39</v>
      </c>
      <c r="H170" s="45" t="s">
        <v>360</v>
      </c>
      <c r="I170" s="44" t="s">
        <v>478</v>
      </c>
      <c r="J170" s="44">
        <v>12</v>
      </c>
      <c r="K170" s="46" t="s">
        <v>718</v>
      </c>
      <c r="L170" s="46">
        <v>35</v>
      </c>
      <c r="M170" s="47" t="s">
        <v>39</v>
      </c>
      <c r="N170" s="47" t="s">
        <v>1786</v>
      </c>
      <c r="O170" s="48"/>
      <c r="P170" s="48"/>
      <c r="Q170" s="45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0</v>
      </c>
      <c r="AF170" s="1">
        <f t="shared" si="51"/>
        <v>0</v>
      </c>
      <c r="AG170" s="1">
        <f t="shared" si="52"/>
        <v>0</v>
      </c>
      <c r="AH170" s="1">
        <f t="shared" si="53"/>
        <v>0</v>
      </c>
      <c r="AI170" s="1">
        <f t="shared" si="54"/>
        <v>1</v>
      </c>
    </row>
    <row r="171" spans="1:35" s="1" customFormat="1" ht="14.25" customHeight="1" x14ac:dyDescent="0.25">
      <c r="A171" s="15">
        <v>0</v>
      </c>
      <c r="B171" s="15">
        <v>1</v>
      </c>
      <c r="C171" s="15">
        <v>3</v>
      </c>
      <c r="D171" s="16" t="s">
        <v>2067</v>
      </c>
      <c r="E171" s="16" t="s">
        <v>171</v>
      </c>
      <c r="F171" s="16" t="s">
        <v>2068</v>
      </c>
      <c r="G171" s="16" t="s">
        <v>206</v>
      </c>
      <c r="H171" s="16" t="s">
        <v>352</v>
      </c>
      <c r="I171" s="15" t="s">
        <v>2069</v>
      </c>
      <c r="J171" s="15">
        <v>99</v>
      </c>
      <c r="K171" s="10" t="s">
        <v>699</v>
      </c>
      <c r="L171" s="10">
        <v>30</v>
      </c>
      <c r="M171" s="19" t="s">
        <v>957</v>
      </c>
      <c r="N171" s="19"/>
      <c r="Q171" s="16" t="s">
        <v>2070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51"/>
        <v>0</v>
      </c>
      <c r="AG171" s="1">
        <f t="shared" si="52"/>
        <v>0</v>
      </c>
      <c r="AH171" s="1">
        <f t="shared" si="53"/>
        <v>0</v>
      </c>
      <c r="AI171" s="1">
        <f t="shared" si="54"/>
        <v>1</v>
      </c>
    </row>
    <row r="172" spans="1:35" s="1" customFormat="1" ht="14.25" customHeight="1" x14ac:dyDescent="0.25">
      <c r="A172" s="15">
        <v>0</v>
      </c>
      <c r="B172" s="15">
        <v>1</v>
      </c>
      <c r="C172" s="15">
        <v>3</v>
      </c>
      <c r="D172" s="16" t="s">
        <v>817</v>
      </c>
      <c r="E172" s="16" t="s">
        <v>171</v>
      </c>
      <c r="F172" s="16" t="s">
        <v>818</v>
      </c>
      <c r="G172" s="16" t="s">
        <v>39</v>
      </c>
      <c r="H172" s="16" t="s">
        <v>373</v>
      </c>
      <c r="I172" s="15" t="s">
        <v>816</v>
      </c>
      <c r="J172" s="15">
        <v>12</v>
      </c>
      <c r="K172" s="10" t="s">
        <v>699</v>
      </c>
      <c r="L172" s="10">
        <v>40</v>
      </c>
      <c r="M172" s="19" t="s">
        <v>957</v>
      </c>
      <c r="N172" s="19"/>
      <c r="Q172" s="1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51"/>
        <v>0</v>
      </c>
      <c r="AG172" s="1">
        <f t="shared" si="52"/>
        <v>0</v>
      </c>
      <c r="AH172" s="1">
        <f t="shared" si="53"/>
        <v>0</v>
      </c>
      <c r="AI172" s="1">
        <f t="shared" si="54"/>
        <v>1</v>
      </c>
    </row>
    <row r="173" spans="1:35" s="1" customFormat="1" ht="14.25" customHeight="1" x14ac:dyDescent="0.25">
      <c r="A173" s="31">
        <v>0</v>
      </c>
      <c r="B173" s="31">
        <v>1</v>
      </c>
      <c r="C173" s="31">
        <v>3</v>
      </c>
      <c r="D173" s="32" t="s">
        <v>141</v>
      </c>
      <c r="E173" s="32" t="s">
        <v>171</v>
      </c>
      <c r="F173" s="32" t="s">
        <v>341</v>
      </c>
      <c r="G173" s="32" t="s">
        <v>39</v>
      </c>
      <c r="H173" s="32" t="s">
        <v>375</v>
      </c>
      <c r="I173" s="31" t="s">
        <v>487</v>
      </c>
      <c r="J173" s="31">
        <v>15</v>
      </c>
      <c r="K173" s="33" t="s">
        <v>698</v>
      </c>
      <c r="L173" s="33" t="s">
        <v>688</v>
      </c>
      <c r="M173" s="34" t="s">
        <v>687</v>
      </c>
      <c r="N173" s="34" t="s">
        <v>1717</v>
      </c>
      <c r="O173" s="35">
        <v>1</v>
      </c>
      <c r="P173" s="35">
        <v>1</v>
      </c>
      <c r="Q173" s="36" t="s">
        <v>1875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1</v>
      </c>
      <c r="AE173" s="1">
        <f t="shared" si="66"/>
        <v>0</v>
      </c>
      <c r="AF173" s="1">
        <f t="shared" si="51"/>
        <v>1</v>
      </c>
      <c r="AG173" s="1">
        <f t="shared" si="52"/>
        <v>0</v>
      </c>
      <c r="AH173" s="1">
        <f t="shared" si="53"/>
        <v>1</v>
      </c>
      <c r="AI173" s="1">
        <f t="shared" si="54"/>
        <v>0</v>
      </c>
    </row>
    <row r="174" spans="1:35" s="1" customFormat="1" ht="14.25" customHeight="1" x14ac:dyDescent="0.25">
      <c r="A174" s="31">
        <v>0</v>
      </c>
      <c r="B174" s="31">
        <v>1</v>
      </c>
      <c r="C174" s="31">
        <v>3</v>
      </c>
      <c r="D174" s="32" t="s">
        <v>743</v>
      </c>
      <c r="E174" s="32" t="s">
        <v>606</v>
      </c>
      <c r="F174" s="32" t="s">
        <v>744</v>
      </c>
      <c r="G174" s="32" t="s">
        <v>39</v>
      </c>
      <c r="H174" s="32" t="s">
        <v>745</v>
      </c>
      <c r="I174" s="31" t="s">
        <v>746</v>
      </c>
      <c r="J174" s="31">
        <v>18</v>
      </c>
      <c r="K174" s="33" t="s">
        <v>699</v>
      </c>
      <c r="L174" s="33" t="s">
        <v>693</v>
      </c>
      <c r="M174" s="34" t="s">
        <v>687</v>
      </c>
      <c r="N174" s="34" t="s">
        <v>1833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0</v>
      </c>
      <c r="AE174" s="1">
        <f t="shared" si="66"/>
        <v>1</v>
      </c>
      <c r="AF174" s="1">
        <f t="shared" si="51"/>
        <v>0</v>
      </c>
      <c r="AG174" s="1">
        <f t="shared" si="52"/>
        <v>1</v>
      </c>
      <c r="AH174" s="1">
        <f t="shared" si="53"/>
        <v>0</v>
      </c>
      <c r="AI174" s="1">
        <f t="shared" si="54"/>
        <v>1</v>
      </c>
    </row>
    <row r="175" spans="1:35" s="1" customFormat="1" ht="14.25" customHeight="1" x14ac:dyDescent="0.25">
      <c r="A175" s="31">
        <v>0</v>
      </c>
      <c r="B175" s="31">
        <v>1</v>
      </c>
      <c r="C175" s="31">
        <v>3</v>
      </c>
      <c r="D175" s="36" t="s">
        <v>1825</v>
      </c>
      <c r="E175" s="32" t="s">
        <v>1074</v>
      </c>
      <c r="F175" s="32" t="s">
        <v>1810</v>
      </c>
      <c r="G175" s="32"/>
      <c r="H175" s="32" t="s">
        <v>370</v>
      </c>
      <c r="I175" s="31" t="s">
        <v>1811</v>
      </c>
      <c r="J175" s="31">
        <v>16</v>
      </c>
      <c r="K175" s="33" t="s">
        <v>699</v>
      </c>
      <c r="L175" s="33"/>
      <c r="M175" s="34"/>
      <c r="N175" s="34" t="s">
        <v>1711</v>
      </c>
      <c r="O175" s="35">
        <v>1</v>
      </c>
      <c r="P175" s="35">
        <v>1</v>
      </c>
      <c r="Q175" s="32"/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51"/>
        <v>1</v>
      </c>
      <c r="AG175" s="1">
        <f t="shared" si="52"/>
        <v>0</v>
      </c>
      <c r="AH175" s="1">
        <f t="shared" si="53"/>
        <v>1</v>
      </c>
      <c r="AI175" s="1">
        <f t="shared" si="54"/>
        <v>0</v>
      </c>
    </row>
    <row r="176" spans="1:35" s="1" customFormat="1" ht="14.25" customHeight="1" x14ac:dyDescent="0.25">
      <c r="A176" s="31">
        <v>0</v>
      </c>
      <c r="B176" s="31">
        <v>1</v>
      </c>
      <c r="C176" s="31">
        <v>3</v>
      </c>
      <c r="D176" s="32" t="s">
        <v>966</v>
      </c>
      <c r="E176" s="32" t="s">
        <v>606</v>
      </c>
      <c r="F176" s="32" t="s">
        <v>967</v>
      </c>
      <c r="G176" s="32" t="s">
        <v>202</v>
      </c>
      <c r="H176" s="32" t="s">
        <v>352</v>
      </c>
      <c r="I176" s="31" t="s">
        <v>968</v>
      </c>
      <c r="J176" s="31">
        <v>99</v>
      </c>
      <c r="K176" s="33" t="s">
        <v>943</v>
      </c>
      <c r="L176" s="33" t="s">
        <v>39</v>
      </c>
      <c r="M176" s="34" t="s">
        <v>39</v>
      </c>
      <c r="N176" s="34" t="s">
        <v>1711</v>
      </c>
      <c r="O176" s="35">
        <v>1</v>
      </c>
      <c r="P176" s="35">
        <v>1</v>
      </c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1</v>
      </c>
      <c r="AE176" s="1">
        <f t="shared" si="66"/>
        <v>0</v>
      </c>
      <c r="AF176" s="1">
        <f t="shared" si="51"/>
        <v>1</v>
      </c>
      <c r="AG176" s="1">
        <f t="shared" si="52"/>
        <v>0</v>
      </c>
      <c r="AH176" s="1">
        <f t="shared" si="53"/>
        <v>1</v>
      </c>
      <c r="AI176" s="1">
        <f t="shared" si="54"/>
        <v>0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148</v>
      </c>
      <c r="E177" s="32" t="s">
        <v>171</v>
      </c>
      <c r="F177" s="32" t="s">
        <v>348</v>
      </c>
      <c r="G177" s="32" t="s">
        <v>39</v>
      </c>
      <c r="H177" s="32" t="s">
        <v>378</v>
      </c>
      <c r="I177" s="31" t="s">
        <v>493</v>
      </c>
      <c r="J177" s="31">
        <v>14</v>
      </c>
      <c r="K177" s="33" t="s">
        <v>951</v>
      </c>
      <c r="L177" s="33" t="s">
        <v>39</v>
      </c>
      <c r="M177" s="34" t="s">
        <v>39</v>
      </c>
      <c r="N177" s="34" t="s">
        <v>1717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51"/>
        <v>1</v>
      </c>
      <c r="AG177" s="1">
        <f t="shared" si="52"/>
        <v>0</v>
      </c>
      <c r="AH177" s="1">
        <f t="shared" si="53"/>
        <v>1</v>
      </c>
      <c r="AI177" s="1">
        <f t="shared" si="54"/>
        <v>0</v>
      </c>
    </row>
    <row r="178" spans="1:35" s="1" customFormat="1" ht="14.25" customHeight="1" x14ac:dyDescent="0.25">
      <c r="A178" s="31">
        <v>0</v>
      </c>
      <c r="B178" s="31">
        <v>1</v>
      </c>
      <c r="C178" s="31">
        <v>3</v>
      </c>
      <c r="D178" s="32" t="s">
        <v>1969</v>
      </c>
      <c r="E178" s="32" t="s">
        <v>1970</v>
      </c>
      <c r="F178" s="32" t="s">
        <v>1971</v>
      </c>
      <c r="G178" s="32" t="s">
        <v>531</v>
      </c>
      <c r="H178" s="32" t="s">
        <v>352</v>
      </c>
      <c r="I178" s="31" t="s">
        <v>1972</v>
      </c>
      <c r="J178" s="31"/>
      <c r="K178" s="33" t="s">
        <v>699</v>
      </c>
      <c r="L178" s="33"/>
      <c r="M178" s="34"/>
      <c r="N178" s="34" t="s">
        <v>1717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51"/>
        <v>1</v>
      </c>
      <c r="AG178" s="1">
        <f t="shared" si="52"/>
        <v>0</v>
      </c>
      <c r="AH178" s="1">
        <f t="shared" si="53"/>
        <v>1</v>
      </c>
      <c r="AI178" s="1">
        <f t="shared" si="54"/>
        <v>0</v>
      </c>
    </row>
    <row r="179" spans="1:35" s="1" customFormat="1" ht="14.25" customHeight="1" x14ac:dyDescent="0.25">
      <c r="A179" s="31">
        <v>0</v>
      </c>
      <c r="B179" s="31">
        <v>1</v>
      </c>
      <c r="C179" s="31">
        <v>3</v>
      </c>
      <c r="D179" s="32" t="s">
        <v>631</v>
      </c>
      <c r="E179" s="32" t="s">
        <v>171</v>
      </c>
      <c r="F179" s="32" t="s">
        <v>633</v>
      </c>
      <c r="G179" s="32" t="s">
        <v>237</v>
      </c>
      <c r="H179" s="32" t="s">
        <v>352</v>
      </c>
      <c r="I179" s="31" t="s">
        <v>632</v>
      </c>
      <c r="J179" s="31">
        <v>4</v>
      </c>
      <c r="K179" s="33" t="s">
        <v>943</v>
      </c>
      <c r="L179" s="33" t="s">
        <v>39</v>
      </c>
      <c r="M179" s="34" t="s">
        <v>39</v>
      </c>
      <c r="N179" s="34" t="s">
        <v>1717</v>
      </c>
      <c r="O179" s="35">
        <v>1</v>
      </c>
      <c r="P179" s="35">
        <v>1</v>
      </c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1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1</v>
      </c>
      <c r="AE179" s="1">
        <f t="shared" si="66"/>
        <v>0</v>
      </c>
      <c r="AF179" s="1">
        <f t="shared" si="51"/>
        <v>1</v>
      </c>
      <c r="AG179" s="1">
        <f t="shared" si="52"/>
        <v>0</v>
      </c>
      <c r="AH179" s="1">
        <f t="shared" si="53"/>
        <v>1</v>
      </c>
      <c r="AI179" s="1">
        <f t="shared" si="54"/>
        <v>0</v>
      </c>
    </row>
    <row r="180" spans="1:35" s="1" customFormat="1" ht="14.25" customHeight="1" x14ac:dyDescent="0.25">
      <c r="A180" s="15">
        <v>0</v>
      </c>
      <c r="B180" s="15">
        <v>1</v>
      </c>
      <c r="C180" s="15">
        <v>3</v>
      </c>
      <c r="D180" s="16" t="s">
        <v>1512</v>
      </c>
      <c r="E180" s="16" t="s">
        <v>1074</v>
      </c>
      <c r="F180" s="16" t="s">
        <v>1513</v>
      </c>
      <c r="G180" s="16" t="s">
        <v>217</v>
      </c>
      <c r="H180" s="16" t="s">
        <v>352</v>
      </c>
      <c r="I180" s="15" t="s">
        <v>1514</v>
      </c>
      <c r="J180" s="15">
        <v>99</v>
      </c>
      <c r="K180" s="10" t="s">
        <v>699</v>
      </c>
      <c r="L180" s="10">
        <v>40</v>
      </c>
      <c r="M180" s="19" t="s">
        <v>957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51"/>
        <v>0</v>
      </c>
      <c r="AG180" s="1">
        <f t="shared" si="52"/>
        <v>0</v>
      </c>
      <c r="AH180" s="1">
        <f t="shared" si="53"/>
        <v>0</v>
      </c>
      <c r="AI180" s="1">
        <f t="shared" si="54"/>
        <v>1</v>
      </c>
    </row>
    <row r="181" spans="1:35" s="1" customFormat="1" ht="14.25" customHeight="1" x14ac:dyDescent="0.25">
      <c r="A181" s="31">
        <v>0</v>
      </c>
      <c r="B181" s="31">
        <v>1</v>
      </c>
      <c r="C181" s="31">
        <v>3</v>
      </c>
      <c r="D181" s="32" t="s">
        <v>101</v>
      </c>
      <c r="E181" s="32" t="s">
        <v>171</v>
      </c>
      <c r="F181" s="32" t="s">
        <v>297</v>
      </c>
      <c r="G181" s="32" t="s">
        <v>298</v>
      </c>
      <c r="H181" s="32" t="s">
        <v>352</v>
      </c>
      <c r="I181" s="31" t="s">
        <v>446</v>
      </c>
      <c r="J181" s="31">
        <v>99</v>
      </c>
      <c r="K181" s="33" t="s">
        <v>945</v>
      </c>
      <c r="L181" s="33" t="s">
        <v>689</v>
      </c>
      <c r="M181" s="34" t="s">
        <v>687</v>
      </c>
      <c r="N181" s="34" t="s">
        <v>1727</v>
      </c>
      <c r="O181" s="35">
        <v>1</v>
      </c>
      <c r="P181" s="35"/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0</v>
      </c>
      <c r="AE181" s="1">
        <f t="shared" si="66"/>
        <v>1</v>
      </c>
      <c r="AF181" s="1">
        <f t="shared" si="51"/>
        <v>0</v>
      </c>
      <c r="AG181" s="1">
        <f t="shared" si="52"/>
        <v>1</v>
      </c>
      <c r="AH181" s="1">
        <f t="shared" si="53"/>
        <v>0</v>
      </c>
      <c r="AI181" s="1">
        <f t="shared" si="54"/>
        <v>1</v>
      </c>
    </row>
    <row r="182" spans="1:35" s="1" customFormat="1" ht="14.25" customHeight="1" x14ac:dyDescent="0.25">
      <c r="A182" s="44">
        <v>0</v>
      </c>
      <c r="B182" s="44">
        <v>1</v>
      </c>
      <c r="C182" s="44">
        <v>3</v>
      </c>
      <c r="D182" s="45" t="s">
        <v>977</v>
      </c>
      <c r="E182" s="45" t="s">
        <v>171</v>
      </c>
      <c r="F182" s="45" t="s">
        <v>980</v>
      </c>
      <c r="G182" s="45" t="s">
        <v>39</v>
      </c>
      <c r="H182" s="45" t="s">
        <v>979</v>
      </c>
      <c r="I182" s="44" t="s">
        <v>978</v>
      </c>
      <c r="J182" s="44">
        <v>14</v>
      </c>
      <c r="K182" s="46" t="s">
        <v>718</v>
      </c>
      <c r="L182" s="46" t="s">
        <v>690</v>
      </c>
      <c r="M182" s="47" t="s">
        <v>958</v>
      </c>
      <c r="N182" s="47" t="s">
        <v>1719</v>
      </c>
      <c r="O182" s="48"/>
      <c r="P182" s="48"/>
      <c r="Q182" s="45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0</v>
      </c>
      <c r="AE182" s="1">
        <f t="shared" si="66"/>
        <v>0</v>
      </c>
      <c r="AF182" s="1">
        <f t="shared" si="51"/>
        <v>0</v>
      </c>
      <c r="AG182" s="1">
        <f t="shared" si="52"/>
        <v>0</v>
      </c>
      <c r="AH182" s="1">
        <f t="shared" si="53"/>
        <v>0</v>
      </c>
      <c r="AI182" s="1">
        <f t="shared" si="54"/>
        <v>1</v>
      </c>
    </row>
    <row r="183" spans="1:35" s="1" customFormat="1" ht="14.25" customHeight="1" x14ac:dyDescent="0.25">
      <c r="A183" s="57">
        <v>0</v>
      </c>
      <c r="B183" s="57">
        <v>1</v>
      </c>
      <c r="C183" s="57">
        <v>3</v>
      </c>
      <c r="D183" s="58" t="s">
        <v>1628</v>
      </c>
      <c r="E183" s="58" t="s">
        <v>171</v>
      </c>
      <c r="F183" s="58" t="s">
        <v>764</v>
      </c>
      <c r="G183" s="58" t="s">
        <v>39</v>
      </c>
      <c r="H183" s="58" t="s">
        <v>365</v>
      </c>
      <c r="I183" s="57" t="s">
        <v>772</v>
      </c>
      <c r="J183" s="57">
        <v>18</v>
      </c>
      <c r="K183" s="59" t="s">
        <v>1681</v>
      </c>
      <c r="L183" s="59" t="s">
        <v>39</v>
      </c>
      <c r="M183" s="60" t="s">
        <v>765</v>
      </c>
      <c r="N183" s="61"/>
      <c r="O183" s="62"/>
      <c r="P183" s="62"/>
      <c r="Q183" s="58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0</v>
      </c>
      <c r="AE183" s="1">
        <f t="shared" si="66"/>
        <v>0</v>
      </c>
      <c r="AF183" s="1">
        <f t="shared" si="51"/>
        <v>0</v>
      </c>
      <c r="AG183" s="1">
        <f t="shared" si="52"/>
        <v>0</v>
      </c>
      <c r="AH183" s="1">
        <f t="shared" si="53"/>
        <v>0</v>
      </c>
      <c r="AI183" s="1">
        <f t="shared" si="54"/>
        <v>1</v>
      </c>
    </row>
    <row r="184" spans="1:35" s="1" customFormat="1" ht="14.25" customHeight="1" x14ac:dyDescent="0.25">
      <c r="A184" s="49">
        <v>0</v>
      </c>
      <c r="B184" s="49">
        <v>1</v>
      </c>
      <c r="C184" s="49">
        <v>3</v>
      </c>
      <c r="D184" s="50" t="s">
        <v>134</v>
      </c>
      <c r="E184" s="50" t="s">
        <v>171</v>
      </c>
      <c r="F184" s="50" t="s">
        <v>655</v>
      </c>
      <c r="G184" s="50" t="s">
        <v>256</v>
      </c>
      <c r="H184" s="50" t="s">
        <v>352</v>
      </c>
      <c r="I184" s="49" t="s">
        <v>1677</v>
      </c>
      <c r="J184" s="49">
        <v>99</v>
      </c>
      <c r="K184" s="51" t="s">
        <v>718</v>
      </c>
      <c r="L184" s="51" t="s">
        <v>683</v>
      </c>
      <c r="M184" s="52" t="s">
        <v>1381</v>
      </c>
      <c r="N184" s="52" t="s">
        <v>1727</v>
      </c>
      <c r="O184" s="53">
        <v>1</v>
      </c>
      <c r="P184" s="53"/>
      <c r="Q184" s="50" t="s">
        <v>1914</v>
      </c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0</v>
      </c>
      <c r="AE184" s="1">
        <f t="shared" si="66"/>
        <v>1</v>
      </c>
      <c r="AF184" s="1">
        <f t="shared" si="51"/>
        <v>0</v>
      </c>
      <c r="AG184" s="1">
        <f t="shared" si="52"/>
        <v>1</v>
      </c>
      <c r="AH184" s="1">
        <f t="shared" si="53"/>
        <v>0</v>
      </c>
      <c r="AI184" s="1">
        <f t="shared" si="54"/>
        <v>1</v>
      </c>
    </row>
    <row r="185" spans="1:35" s="1" customFormat="1" ht="14.25" customHeight="1" x14ac:dyDescent="0.25">
      <c r="A185" s="31">
        <v>0</v>
      </c>
      <c r="B185" s="31">
        <v>1</v>
      </c>
      <c r="C185" s="31">
        <v>3</v>
      </c>
      <c r="D185" s="32" t="s">
        <v>912</v>
      </c>
      <c r="E185" s="32" t="s">
        <v>169</v>
      </c>
      <c r="F185" s="32" t="s">
        <v>928</v>
      </c>
      <c r="G185" s="32" t="s">
        <v>39</v>
      </c>
      <c r="H185" s="32" t="s">
        <v>363</v>
      </c>
      <c r="I185" s="31" t="s">
        <v>874</v>
      </c>
      <c r="J185" s="31">
        <v>18</v>
      </c>
      <c r="K185" s="33" t="s">
        <v>698</v>
      </c>
      <c r="L185" s="33" t="s">
        <v>693</v>
      </c>
      <c r="M185" s="34" t="s">
        <v>958</v>
      </c>
      <c r="N185" s="34" t="s">
        <v>1732</v>
      </c>
      <c r="O185" s="35">
        <v>1</v>
      </c>
      <c r="P185" s="35"/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0</v>
      </c>
      <c r="AE185" s="1">
        <f t="shared" si="66"/>
        <v>1</v>
      </c>
      <c r="AF185" s="1">
        <f t="shared" si="51"/>
        <v>0</v>
      </c>
      <c r="AG185" s="1">
        <f t="shared" si="52"/>
        <v>1</v>
      </c>
      <c r="AH185" s="1">
        <f t="shared" si="53"/>
        <v>0</v>
      </c>
      <c r="AI185" s="1">
        <f t="shared" si="54"/>
        <v>1</v>
      </c>
    </row>
    <row r="186" spans="1:35" s="1" customFormat="1" ht="14.25" customHeight="1" x14ac:dyDescent="0.25">
      <c r="A186" s="31">
        <v>0</v>
      </c>
      <c r="B186" s="31">
        <v>1</v>
      </c>
      <c r="C186" s="31">
        <v>3</v>
      </c>
      <c r="D186" s="32" t="s">
        <v>1244</v>
      </c>
      <c r="E186" s="32" t="s">
        <v>169</v>
      </c>
      <c r="F186" s="32" t="s">
        <v>1660</v>
      </c>
      <c r="G186" s="32" t="s">
        <v>39</v>
      </c>
      <c r="H186" s="32" t="s">
        <v>762</v>
      </c>
      <c r="I186" s="31" t="s">
        <v>1245</v>
      </c>
      <c r="J186" s="31">
        <v>11</v>
      </c>
      <c r="K186" s="33" t="s">
        <v>718</v>
      </c>
      <c r="L186" s="33" t="s">
        <v>685</v>
      </c>
      <c r="M186" s="34" t="s">
        <v>1382</v>
      </c>
      <c r="N186" s="34" t="s">
        <v>1733</v>
      </c>
      <c r="O186" s="35">
        <v>1</v>
      </c>
      <c r="P186" s="35"/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1</v>
      </c>
      <c r="AF186" s="1">
        <f t="shared" si="51"/>
        <v>0</v>
      </c>
      <c r="AG186" s="1">
        <f t="shared" si="52"/>
        <v>1</v>
      </c>
      <c r="AH186" s="1">
        <f t="shared" si="53"/>
        <v>0</v>
      </c>
      <c r="AI186" s="1">
        <f t="shared" si="54"/>
        <v>1</v>
      </c>
    </row>
    <row r="187" spans="1:35" s="1" customFormat="1" ht="14.25" customHeight="1" x14ac:dyDescent="0.25">
      <c r="A187" s="31">
        <v>0</v>
      </c>
      <c r="B187" s="31">
        <v>1</v>
      </c>
      <c r="C187" s="31">
        <v>4</v>
      </c>
      <c r="D187" s="32" t="s">
        <v>983</v>
      </c>
      <c r="E187" s="32" t="s">
        <v>763</v>
      </c>
      <c r="F187" s="32" t="s">
        <v>1081</v>
      </c>
      <c r="G187" s="32" t="s">
        <v>199</v>
      </c>
      <c r="H187" s="32" t="s">
        <v>352</v>
      </c>
      <c r="I187" s="31" t="s">
        <v>984</v>
      </c>
      <c r="J187" s="31">
        <v>2</v>
      </c>
      <c r="K187" s="33" t="s">
        <v>943</v>
      </c>
      <c r="L187" s="33" t="s">
        <v>689</v>
      </c>
      <c r="M187" s="34" t="s">
        <v>1383</v>
      </c>
      <c r="N187" s="34" t="s">
        <v>1711</v>
      </c>
      <c r="O187" s="35">
        <v>1</v>
      </c>
      <c r="P187" s="35">
        <v>1</v>
      </c>
      <c r="Q187" s="32"/>
      <c r="S187" s="1">
        <f t="shared" si="55"/>
        <v>0</v>
      </c>
      <c r="T187" s="1">
        <f t="shared" si="56"/>
        <v>1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1</v>
      </c>
      <c r="AE187" s="1">
        <f t="shared" si="66"/>
        <v>0</v>
      </c>
      <c r="AF187" s="1">
        <f t="shared" si="51"/>
        <v>1</v>
      </c>
      <c r="AG187" s="1">
        <f t="shared" si="52"/>
        <v>0</v>
      </c>
      <c r="AH187" s="1">
        <f t="shared" si="53"/>
        <v>1</v>
      </c>
      <c r="AI187" s="1">
        <f t="shared" si="54"/>
        <v>0</v>
      </c>
    </row>
    <row r="188" spans="1:35" s="1" customFormat="1" ht="14.25" customHeight="1" x14ac:dyDescent="0.25">
      <c r="A188" s="31">
        <v>0</v>
      </c>
      <c r="B188" s="31">
        <v>1</v>
      </c>
      <c r="C188" s="31">
        <v>4</v>
      </c>
      <c r="D188" s="32" t="s">
        <v>50</v>
      </c>
      <c r="E188" s="32" t="s">
        <v>763</v>
      </c>
      <c r="F188" s="32" t="s">
        <v>192</v>
      </c>
      <c r="G188" s="32" t="s">
        <v>193</v>
      </c>
      <c r="H188" s="32" t="s">
        <v>352</v>
      </c>
      <c r="I188" s="31" t="s">
        <v>385</v>
      </c>
      <c r="J188" s="31">
        <v>9</v>
      </c>
      <c r="K188" s="33" t="s">
        <v>943</v>
      </c>
      <c r="L188" s="33" t="s">
        <v>690</v>
      </c>
      <c r="M188" s="34" t="s">
        <v>956</v>
      </c>
      <c r="N188" s="34" t="s">
        <v>1785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1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51"/>
        <v>0</v>
      </c>
      <c r="AG188" s="1">
        <f t="shared" si="52"/>
        <v>1</v>
      </c>
      <c r="AH188" s="1">
        <f t="shared" si="53"/>
        <v>0</v>
      </c>
      <c r="AI188" s="1">
        <f t="shared" si="54"/>
        <v>1</v>
      </c>
    </row>
    <row r="189" spans="1:35" s="1" customFormat="1" ht="14.25" customHeight="1" x14ac:dyDescent="0.25">
      <c r="A189" s="31">
        <v>0</v>
      </c>
      <c r="B189" s="31">
        <v>1</v>
      </c>
      <c r="C189" s="31">
        <v>4</v>
      </c>
      <c r="D189" s="36" t="s">
        <v>2063</v>
      </c>
      <c r="E189" s="32" t="s">
        <v>763</v>
      </c>
      <c r="F189" s="36" t="s">
        <v>2064</v>
      </c>
      <c r="G189" s="36" t="s">
        <v>212</v>
      </c>
      <c r="H189" s="36" t="s">
        <v>352</v>
      </c>
      <c r="I189" s="37" t="s">
        <v>2065</v>
      </c>
      <c r="J189" s="31">
        <v>1</v>
      </c>
      <c r="K189" s="33" t="s">
        <v>699</v>
      </c>
      <c r="L189" s="33"/>
      <c r="M189" s="34"/>
      <c r="N189" s="34" t="s">
        <v>1717</v>
      </c>
      <c r="O189" s="35">
        <v>1</v>
      </c>
      <c r="P189" s="35">
        <v>1</v>
      </c>
      <c r="Q189" s="32" t="s">
        <v>2066</v>
      </c>
      <c r="S189" s="1">
        <f t="shared" si="55"/>
        <v>1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1</v>
      </c>
      <c r="AE189" s="1">
        <f t="shared" si="66"/>
        <v>0</v>
      </c>
      <c r="AF189" s="1">
        <f t="shared" si="51"/>
        <v>1</v>
      </c>
      <c r="AG189" s="1">
        <f t="shared" si="52"/>
        <v>0</v>
      </c>
      <c r="AH189" s="1">
        <f t="shared" si="53"/>
        <v>1</v>
      </c>
      <c r="AI189" s="1">
        <f t="shared" si="54"/>
        <v>0</v>
      </c>
    </row>
    <row r="190" spans="1:35" s="1" customFormat="1" ht="14.25" customHeight="1" x14ac:dyDescent="0.25">
      <c r="A190" s="31">
        <v>0</v>
      </c>
      <c r="B190" s="31">
        <v>1</v>
      </c>
      <c r="C190" s="31">
        <v>4</v>
      </c>
      <c r="D190" s="32" t="s">
        <v>133</v>
      </c>
      <c r="E190" s="32" t="s">
        <v>176</v>
      </c>
      <c r="F190" s="32" t="s">
        <v>334</v>
      </c>
      <c r="G190" s="32" t="s">
        <v>212</v>
      </c>
      <c r="H190" s="32" t="s">
        <v>352</v>
      </c>
      <c r="I190" s="31" t="s">
        <v>480</v>
      </c>
      <c r="J190" s="31">
        <v>1</v>
      </c>
      <c r="K190" s="33" t="s">
        <v>943</v>
      </c>
      <c r="L190" s="33" t="s">
        <v>685</v>
      </c>
      <c r="M190" s="34" t="s">
        <v>687</v>
      </c>
      <c r="N190" s="34" t="s">
        <v>1727</v>
      </c>
      <c r="O190" s="35">
        <v>1</v>
      </c>
      <c r="P190" s="35"/>
      <c r="Q190" s="32"/>
      <c r="S190" s="1">
        <f t="shared" si="55"/>
        <v>1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51"/>
        <v>0</v>
      </c>
      <c r="AG190" s="1">
        <f t="shared" si="52"/>
        <v>1</v>
      </c>
      <c r="AH190" s="1">
        <f t="shared" si="53"/>
        <v>0</v>
      </c>
      <c r="AI190" s="1">
        <f t="shared" si="54"/>
        <v>1</v>
      </c>
    </row>
    <row r="191" spans="1:35" s="1" customFormat="1" ht="14.25" customHeight="1" x14ac:dyDescent="0.25">
      <c r="A191" s="31">
        <v>0</v>
      </c>
      <c r="B191" s="31">
        <v>1</v>
      </c>
      <c r="C191" s="31">
        <v>5</v>
      </c>
      <c r="D191" s="32" t="s">
        <v>125</v>
      </c>
      <c r="E191" s="32" t="s">
        <v>522</v>
      </c>
      <c r="F191" s="32" t="s">
        <v>325</v>
      </c>
      <c r="G191" s="32" t="s">
        <v>298</v>
      </c>
      <c r="H191" s="32" t="s">
        <v>352</v>
      </c>
      <c r="I191" s="31" t="s">
        <v>472</v>
      </c>
      <c r="J191" s="31">
        <v>99</v>
      </c>
      <c r="K191" s="33" t="s">
        <v>698</v>
      </c>
      <c r="L191" s="33" t="s">
        <v>685</v>
      </c>
      <c r="M191" s="34" t="s">
        <v>957</v>
      </c>
      <c r="N191" s="34" t="s">
        <v>1727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51"/>
        <v>0</v>
      </c>
      <c r="AG191" s="1">
        <f t="shared" si="52"/>
        <v>1</v>
      </c>
      <c r="AH191" s="1">
        <f t="shared" si="53"/>
        <v>0</v>
      </c>
      <c r="AI191" s="1">
        <f t="shared" si="54"/>
        <v>1</v>
      </c>
    </row>
    <row r="192" spans="1:35" s="1" customFormat="1" ht="14.25" customHeight="1" x14ac:dyDescent="0.25">
      <c r="A192" s="31">
        <v>0</v>
      </c>
      <c r="B192" s="31">
        <v>1</v>
      </c>
      <c r="C192" s="31">
        <v>5</v>
      </c>
      <c r="D192" s="32" t="s">
        <v>1713</v>
      </c>
      <c r="E192" s="32" t="s">
        <v>165</v>
      </c>
      <c r="F192" s="32" t="s">
        <v>1714</v>
      </c>
      <c r="G192" s="32" t="s">
        <v>1715</v>
      </c>
      <c r="H192" s="32" t="s">
        <v>352</v>
      </c>
      <c r="I192" s="31" t="s">
        <v>1716</v>
      </c>
      <c r="J192" s="31">
        <v>2</v>
      </c>
      <c r="K192" s="33" t="s">
        <v>699</v>
      </c>
      <c r="L192" s="33"/>
      <c r="M192" s="34"/>
      <c r="N192" s="34" t="s">
        <v>1717</v>
      </c>
      <c r="O192" s="35">
        <v>1</v>
      </c>
      <c r="P192" s="35">
        <v>1</v>
      </c>
      <c r="Q192" s="32"/>
      <c r="S192" s="1">
        <f t="shared" si="55"/>
        <v>0</v>
      </c>
      <c r="T192" s="1">
        <f t="shared" si="56"/>
        <v>1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1</v>
      </c>
      <c r="AE192" s="1">
        <f t="shared" si="66"/>
        <v>0</v>
      </c>
      <c r="AF192" s="1">
        <f t="shared" si="51"/>
        <v>1</v>
      </c>
      <c r="AG192" s="1">
        <f t="shared" si="52"/>
        <v>0</v>
      </c>
      <c r="AH192" s="1">
        <f t="shared" si="53"/>
        <v>1</v>
      </c>
      <c r="AI192" s="1">
        <f t="shared" si="54"/>
        <v>0</v>
      </c>
    </row>
    <row r="193" spans="1:35" s="1" customFormat="1" ht="14.25" customHeight="1" x14ac:dyDescent="0.25">
      <c r="A193" s="44">
        <v>0</v>
      </c>
      <c r="B193" s="44">
        <v>1</v>
      </c>
      <c r="C193" s="44">
        <v>5</v>
      </c>
      <c r="D193" s="45" t="s">
        <v>87</v>
      </c>
      <c r="E193" s="45" t="s">
        <v>165</v>
      </c>
      <c r="F193" s="45" t="s">
        <v>573</v>
      </c>
      <c r="G193" s="45" t="s">
        <v>193</v>
      </c>
      <c r="H193" s="45" t="s">
        <v>352</v>
      </c>
      <c r="I193" s="44" t="s">
        <v>434</v>
      </c>
      <c r="J193" s="44">
        <v>9</v>
      </c>
      <c r="K193" s="46" t="s">
        <v>943</v>
      </c>
      <c r="L193" s="46" t="s">
        <v>692</v>
      </c>
      <c r="M193" s="47" t="s">
        <v>687</v>
      </c>
      <c r="N193" s="47" t="s">
        <v>1719</v>
      </c>
      <c r="O193" s="48"/>
      <c r="P193" s="48"/>
      <c r="Q193" s="45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1</v>
      </c>
      <c r="AB193" s="1">
        <f t="shared" si="64"/>
        <v>0</v>
      </c>
      <c r="AD193" s="1">
        <f t="shared" si="65"/>
        <v>0</v>
      </c>
      <c r="AE193" s="1">
        <f t="shared" si="66"/>
        <v>0</v>
      </c>
      <c r="AF193" s="1">
        <f t="shared" si="51"/>
        <v>0</v>
      </c>
      <c r="AG193" s="1">
        <f t="shared" si="52"/>
        <v>0</v>
      </c>
      <c r="AH193" s="1">
        <f t="shared" si="53"/>
        <v>0</v>
      </c>
      <c r="AI193" s="1">
        <f t="shared" si="54"/>
        <v>1</v>
      </c>
    </row>
    <row r="194" spans="1:35" s="1" customFormat="1" ht="14.25" customHeight="1" x14ac:dyDescent="0.25">
      <c r="A194" s="31">
        <v>0</v>
      </c>
      <c r="B194" s="31">
        <v>1</v>
      </c>
      <c r="C194" s="31">
        <v>5</v>
      </c>
      <c r="D194" s="32" t="s">
        <v>1976</v>
      </c>
      <c r="E194" s="32" t="s">
        <v>165</v>
      </c>
      <c r="F194" s="32" t="s">
        <v>1977</v>
      </c>
      <c r="G194" s="32" t="s">
        <v>1980</v>
      </c>
      <c r="H194" s="32" t="s">
        <v>352</v>
      </c>
      <c r="I194" s="31" t="s">
        <v>1978</v>
      </c>
      <c r="J194" s="31">
        <v>99</v>
      </c>
      <c r="K194" s="33" t="s">
        <v>699</v>
      </c>
      <c r="L194" s="33">
        <v>25</v>
      </c>
      <c r="M194" s="34" t="s">
        <v>687</v>
      </c>
      <c r="N194" s="34" t="s">
        <v>1727</v>
      </c>
      <c r="O194" s="35">
        <v>1</v>
      </c>
      <c r="P194" s="35"/>
      <c r="Q194" s="32" t="s">
        <v>1979</v>
      </c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51"/>
        <v>0</v>
      </c>
      <c r="AG194" s="1">
        <f t="shared" si="52"/>
        <v>1</v>
      </c>
      <c r="AH194" s="1">
        <f t="shared" si="53"/>
        <v>0</v>
      </c>
      <c r="AI194" s="1">
        <f t="shared" si="54"/>
        <v>1</v>
      </c>
    </row>
    <row r="195" spans="1:35" s="1" customFormat="1" ht="14.25" customHeight="1" x14ac:dyDescent="0.25">
      <c r="A195" s="31">
        <v>0</v>
      </c>
      <c r="B195" s="31">
        <v>1</v>
      </c>
      <c r="C195" s="31">
        <v>5</v>
      </c>
      <c r="D195" s="32" t="s">
        <v>126</v>
      </c>
      <c r="E195" s="32" t="s">
        <v>165</v>
      </c>
      <c r="F195" s="32" t="s">
        <v>326</v>
      </c>
      <c r="G195" s="32" t="s">
        <v>179</v>
      </c>
      <c r="H195" s="32" t="s">
        <v>352</v>
      </c>
      <c r="I195" s="31" t="s">
        <v>473</v>
      </c>
      <c r="J195" s="31">
        <v>10</v>
      </c>
      <c r="K195" s="33" t="s">
        <v>945</v>
      </c>
      <c r="L195" s="33" t="s">
        <v>690</v>
      </c>
      <c r="M195" s="34" t="s">
        <v>687</v>
      </c>
      <c r="N195" s="34" t="s">
        <v>1773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1</v>
      </c>
      <c r="AD195" s="1">
        <f t="shared" si="65"/>
        <v>0</v>
      </c>
      <c r="AE195" s="1">
        <f t="shared" si="66"/>
        <v>1</v>
      </c>
      <c r="AF195" s="1">
        <f t="shared" si="51"/>
        <v>0</v>
      </c>
      <c r="AG195" s="1">
        <f t="shared" si="52"/>
        <v>1</v>
      </c>
      <c r="AH195" s="1">
        <f t="shared" si="53"/>
        <v>0</v>
      </c>
      <c r="AI195" s="1">
        <f t="shared" si="54"/>
        <v>1</v>
      </c>
    </row>
    <row r="196" spans="1:35" s="1" customFormat="1" ht="14.25" customHeight="1" x14ac:dyDescent="0.25">
      <c r="A196" s="31">
        <v>0</v>
      </c>
      <c r="B196" s="31">
        <v>1</v>
      </c>
      <c r="C196" s="31">
        <v>5</v>
      </c>
      <c r="D196" s="32" t="s">
        <v>136</v>
      </c>
      <c r="E196" s="32" t="s">
        <v>165</v>
      </c>
      <c r="F196" s="32" t="s">
        <v>544</v>
      </c>
      <c r="G196" s="32" t="s">
        <v>219</v>
      </c>
      <c r="H196" s="32" t="s">
        <v>352</v>
      </c>
      <c r="I196" s="31" t="s">
        <v>536</v>
      </c>
      <c r="J196" s="31">
        <v>8</v>
      </c>
      <c r="K196" s="33" t="s">
        <v>943</v>
      </c>
      <c r="L196" s="33" t="s">
        <v>690</v>
      </c>
      <c r="M196" s="34" t="s">
        <v>687</v>
      </c>
      <c r="N196" s="34" t="s">
        <v>1727</v>
      </c>
      <c r="O196" s="35">
        <v>1</v>
      </c>
      <c r="P196" s="35"/>
      <c r="Q196" s="32"/>
      <c r="S196" s="1">
        <f t="shared" si="55"/>
        <v>0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1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51"/>
        <v>0</v>
      </c>
      <c r="AG196" s="1">
        <f t="shared" si="52"/>
        <v>1</v>
      </c>
      <c r="AH196" s="1">
        <f t="shared" si="53"/>
        <v>0</v>
      </c>
      <c r="AI196" s="1">
        <f t="shared" si="54"/>
        <v>1</v>
      </c>
    </row>
    <row r="197" spans="1:35" s="1" customFormat="1" ht="14.25" customHeight="1" x14ac:dyDescent="0.25">
      <c r="A197" s="31">
        <v>1</v>
      </c>
      <c r="B197" s="31">
        <v>1</v>
      </c>
      <c r="C197" s="31">
        <v>5</v>
      </c>
      <c r="D197" s="32" t="s">
        <v>136</v>
      </c>
      <c r="E197" s="32" t="s">
        <v>165</v>
      </c>
      <c r="F197" s="32" t="s">
        <v>335</v>
      </c>
      <c r="G197" s="32" t="s">
        <v>336</v>
      </c>
      <c r="H197" s="32" t="s">
        <v>352</v>
      </c>
      <c r="I197" s="31" t="s">
        <v>482</v>
      </c>
      <c r="J197" s="31">
        <v>10</v>
      </c>
      <c r="K197" s="33" t="s">
        <v>943</v>
      </c>
      <c r="L197" s="33" t="s">
        <v>690</v>
      </c>
      <c r="M197" s="34" t="s">
        <v>687</v>
      </c>
      <c r="N197" s="34" t="s">
        <v>1727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1</v>
      </c>
      <c r="AD197" s="1">
        <f t="shared" si="65"/>
        <v>0</v>
      </c>
      <c r="AE197" s="1">
        <f t="shared" si="66"/>
        <v>1</v>
      </c>
      <c r="AF197" s="1">
        <f t="shared" si="51"/>
        <v>0</v>
      </c>
      <c r="AG197" s="1">
        <f t="shared" si="52"/>
        <v>0</v>
      </c>
      <c r="AH197" s="1">
        <f t="shared" si="53"/>
        <v>0</v>
      </c>
      <c r="AI197" s="1">
        <f t="shared" si="54"/>
        <v>0</v>
      </c>
    </row>
    <row r="198" spans="1:35" s="1" customFormat="1" ht="14.25" customHeight="1" x14ac:dyDescent="0.25">
      <c r="A198" s="44">
        <v>0</v>
      </c>
      <c r="B198" s="44">
        <v>1</v>
      </c>
      <c r="C198" s="44">
        <v>5</v>
      </c>
      <c r="D198" s="45" t="s">
        <v>1621</v>
      </c>
      <c r="E198" s="45" t="s">
        <v>165</v>
      </c>
      <c r="F198" s="45" t="s">
        <v>856</v>
      </c>
      <c r="G198" s="45" t="s">
        <v>1648</v>
      </c>
      <c r="H198" s="45" t="s">
        <v>352</v>
      </c>
      <c r="I198" s="44" t="s">
        <v>857</v>
      </c>
      <c r="J198" s="44">
        <v>1</v>
      </c>
      <c r="K198" s="46" t="s">
        <v>718</v>
      </c>
      <c r="L198" s="46" t="s">
        <v>1691</v>
      </c>
      <c r="M198" s="47" t="s">
        <v>1384</v>
      </c>
      <c r="N198" s="47" t="s">
        <v>1719</v>
      </c>
      <c r="O198" s="48"/>
      <c r="P198" s="48"/>
      <c r="Q198" s="45"/>
      <c r="S198" s="1">
        <f t="shared" si="55"/>
        <v>1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0</v>
      </c>
      <c r="AF198" s="1">
        <f t="shared" si="51"/>
        <v>0</v>
      </c>
      <c r="AG198" s="1">
        <f t="shared" si="52"/>
        <v>0</v>
      </c>
      <c r="AH198" s="1">
        <f t="shared" si="53"/>
        <v>0</v>
      </c>
      <c r="AI198" s="1">
        <f t="shared" si="54"/>
        <v>1</v>
      </c>
    </row>
    <row r="199" spans="1:35" s="1" customFormat="1" ht="14.25" customHeight="1" x14ac:dyDescent="0.25">
      <c r="A199" s="15">
        <v>0</v>
      </c>
      <c r="B199" s="15">
        <v>1</v>
      </c>
      <c r="C199" s="15">
        <v>5</v>
      </c>
      <c r="D199" s="20" t="s">
        <v>1933</v>
      </c>
      <c r="E199" s="20" t="s">
        <v>882</v>
      </c>
      <c r="F199" s="20" t="s">
        <v>1950</v>
      </c>
      <c r="G199" s="20"/>
      <c r="H199" s="20" t="s">
        <v>1951</v>
      </c>
      <c r="I199" s="21" t="s">
        <v>1949</v>
      </c>
      <c r="J199" s="15">
        <v>15</v>
      </c>
      <c r="K199" s="10" t="s">
        <v>699</v>
      </c>
      <c r="L199" s="10" t="s">
        <v>693</v>
      </c>
      <c r="M199" s="19" t="s">
        <v>958</v>
      </c>
      <c r="N199" s="17"/>
      <c r="Q199" s="20" t="s">
        <v>1952</v>
      </c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0</v>
      </c>
      <c r="AE199" s="1">
        <f t="shared" si="66"/>
        <v>0</v>
      </c>
      <c r="AF199" s="1">
        <f t="shared" si="51"/>
        <v>0</v>
      </c>
      <c r="AG199" s="1">
        <f t="shared" si="52"/>
        <v>0</v>
      </c>
      <c r="AH199" s="1">
        <f t="shared" si="53"/>
        <v>0</v>
      </c>
      <c r="AI199" s="1">
        <f t="shared" si="54"/>
        <v>1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876</v>
      </c>
      <c r="E200" s="32" t="s">
        <v>877</v>
      </c>
      <c r="F200" s="32" t="s">
        <v>1079</v>
      </c>
      <c r="G200" s="32" t="s">
        <v>39</v>
      </c>
      <c r="H200" s="32" t="s">
        <v>878</v>
      </c>
      <c r="I200" s="31" t="s">
        <v>879</v>
      </c>
      <c r="J200" s="31">
        <v>16</v>
      </c>
      <c r="K200" s="33" t="s">
        <v>699</v>
      </c>
      <c r="L200" s="33" t="s">
        <v>688</v>
      </c>
      <c r="M200" s="34" t="s">
        <v>957</v>
      </c>
      <c r="N200" s="34" t="s">
        <v>1717</v>
      </c>
      <c r="O200" s="35">
        <v>1</v>
      </c>
      <c r="P200" s="35">
        <v>1</v>
      </c>
      <c r="Q200" s="36" t="s">
        <v>1878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1</v>
      </c>
      <c r="AE200" s="1">
        <f t="shared" si="66"/>
        <v>0</v>
      </c>
      <c r="AF200" s="1">
        <f t="shared" si="51"/>
        <v>1</v>
      </c>
      <c r="AG200" s="1">
        <f t="shared" si="52"/>
        <v>0</v>
      </c>
      <c r="AH200" s="1">
        <f t="shared" si="53"/>
        <v>1</v>
      </c>
      <c r="AI200" s="1">
        <f t="shared" si="54"/>
        <v>0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105</v>
      </c>
      <c r="E201" s="32" t="s">
        <v>172</v>
      </c>
      <c r="F201" s="32" t="s">
        <v>302</v>
      </c>
      <c r="G201" s="32" t="s">
        <v>39</v>
      </c>
      <c r="H201" s="32" t="s">
        <v>357</v>
      </c>
      <c r="I201" s="31" t="s">
        <v>450</v>
      </c>
      <c r="J201" s="31">
        <v>14</v>
      </c>
      <c r="K201" s="33" t="s">
        <v>943</v>
      </c>
      <c r="L201" s="33" t="s">
        <v>689</v>
      </c>
      <c r="M201" s="34" t="s">
        <v>957</v>
      </c>
      <c r="N201" s="34" t="s">
        <v>1727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51"/>
        <v>0</v>
      </c>
      <c r="AG201" s="1">
        <f t="shared" si="52"/>
        <v>1</v>
      </c>
      <c r="AH201" s="1">
        <f t="shared" si="53"/>
        <v>0</v>
      </c>
      <c r="AI201" s="1">
        <f t="shared" si="54"/>
        <v>1</v>
      </c>
    </row>
    <row r="202" spans="1:35" s="1" customFormat="1" ht="14.25" customHeight="1" x14ac:dyDescent="0.25">
      <c r="A202" s="44">
        <v>0</v>
      </c>
      <c r="B202" s="44">
        <v>1</v>
      </c>
      <c r="C202" s="44">
        <v>5</v>
      </c>
      <c r="D202" s="45" t="s">
        <v>509</v>
      </c>
      <c r="E202" s="45" t="s">
        <v>171</v>
      </c>
      <c r="F202" s="45" t="s">
        <v>545</v>
      </c>
      <c r="G202" s="45" t="s">
        <v>39</v>
      </c>
      <c r="H202" s="45" t="s">
        <v>360</v>
      </c>
      <c r="I202" s="44" t="s">
        <v>1101</v>
      </c>
      <c r="J202" s="44">
        <v>12</v>
      </c>
      <c r="K202" s="46" t="s">
        <v>699</v>
      </c>
      <c r="L202" s="46">
        <v>35</v>
      </c>
      <c r="M202" s="47" t="s">
        <v>957</v>
      </c>
      <c r="N202" s="47" t="s">
        <v>1786</v>
      </c>
      <c r="O202" s="48"/>
      <c r="P202" s="48"/>
      <c r="Q202" s="45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0</v>
      </c>
      <c r="AF202" s="1">
        <f t="shared" si="51"/>
        <v>0</v>
      </c>
      <c r="AG202" s="1">
        <f t="shared" si="52"/>
        <v>0</v>
      </c>
      <c r="AH202" s="1">
        <f t="shared" si="53"/>
        <v>0</v>
      </c>
      <c r="AI202" s="1">
        <f t="shared" si="54"/>
        <v>1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150</v>
      </c>
      <c r="E203" s="32" t="s">
        <v>165</v>
      </c>
      <c r="F203" s="36" t="s">
        <v>1854</v>
      </c>
      <c r="G203" s="32" t="s">
        <v>196</v>
      </c>
      <c r="H203" s="32" t="s">
        <v>352</v>
      </c>
      <c r="I203" s="31" t="s">
        <v>495</v>
      </c>
      <c r="J203" s="31">
        <v>99</v>
      </c>
      <c r="K203" s="33" t="s">
        <v>943</v>
      </c>
      <c r="L203" s="33" t="s">
        <v>689</v>
      </c>
      <c r="M203" s="34" t="s">
        <v>957</v>
      </c>
      <c r="N203" s="34" t="s">
        <v>1732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51"/>
        <v>0</v>
      </c>
      <c r="AG203" s="1">
        <f t="shared" si="52"/>
        <v>1</v>
      </c>
      <c r="AH203" s="1">
        <f t="shared" si="53"/>
        <v>0</v>
      </c>
      <c r="AI203" s="1">
        <f t="shared" si="54"/>
        <v>1</v>
      </c>
    </row>
    <row r="204" spans="1:35" s="1" customFormat="1" ht="14.25" customHeight="1" x14ac:dyDescent="0.25">
      <c r="A204" s="31">
        <v>0</v>
      </c>
      <c r="B204" s="31">
        <v>1</v>
      </c>
      <c r="C204" s="31">
        <v>5</v>
      </c>
      <c r="D204" s="32" t="s">
        <v>645</v>
      </c>
      <c r="E204" s="32" t="s">
        <v>680</v>
      </c>
      <c r="F204" s="32" t="s">
        <v>641</v>
      </c>
      <c r="G204" s="32" t="s">
        <v>184</v>
      </c>
      <c r="H204" s="32" t="s">
        <v>352</v>
      </c>
      <c r="I204" s="31" t="s">
        <v>642</v>
      </c>
      <c r="J204" s="31">
        <v>99</v>
      </c>
      <c r="K204" s="33" t="s">
        <v>718</v>
      </c>
      <c r="L204" s="33" t="s">
        <v>689</v>
      </c>
      <c r="M204" s="34" t="s">
        <v>957</v>
      </c>
      <c r="N204" s="34" t="s">
        <v>1733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51"/>
        <v>0</v>
      </c>
      <c r="AG204" s="1">
        <f t="shared" si="52"/>
        <v>1</v>
      </c>
      <c r="AH204" s="1">
        <f t="shared" si="53"/>
        <v>0</v>
      </c>
      <c r="AI204" s="1">
        <f t="shared" si="54"/>
        <v>1</v>
      </c>
    </row>
    <row r="205" spans="1:35" s="1" customFormat="1" ht="14.25" customHeight="1" x14ac:dyDescent="0.25">
      <c r="A205" s="31">
        <v>0</v>
      </c>
      <c r="B205" s="31">
        <v>1</v>
      </c>
      <c r="C205" s="31">
        <v>5</v>
      </c>
      <c r="D205" s="32" t="s">
        <v>1294</v>
      </c>
      <c r="E205" s="32" t="s">
        <v>165</v>
      </c>
      <c r="F205" s="32" t="s">
        <v>1295</v>
      </c>
      <c r="G205" s="32" t="s">
        <v>281</v>
      </c>
      <c r="H205" s="32" t="s">
        <v>352</v>
      </c>
      <c r="I205" s="31" t="s">
        <v>1296</v>
      </c>
      <c r="J205" s="31">
        <v>99</v>
      </c>
      <c r="K205" s="33" t="s">
        <v>698</v>
      </c>
      <c r="L205" s="33" t="s">
        <v>39</v>
      </c>
      <c r="M205" s="34" t="s">
        <v>39</v>
      </c>
      <c r="N205" s="34" t="s">
        <v>1717</v>
      </c>
      <c r="O205" s="35">
        <v>1</v>
      </c>
      <c r="P205" s="35">
        <v>1</v>
      </c>
      <c r="Q205" s="32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ref="AF205:AF268" si="67">+O205*P205*(1-A205)</f>
        <v>1</v>
      </c>
      <c r="AG205" s="1">
        <f t="shared" ref="AG205:AG268" si="68">O205*(1-P205)*(1-A205)</f>
        <v>0</v>
      </c>
      <c r="AH205" s="1">
        <f t="shared" ref="AH205:AH268" si="69">+P205*(1-A205)</f>
        <v>1</v>
      </c>
      <c r="AI205" s="1">
        <f t="shared" ref="AI205:AI268" si="70">+(1-A205)*(1-P205)</f>
        <v>0</v>
      </c>
    </row>
    <row r="206" spans="1:35" s="1" customFormat="1" ht="14.25" customHeight="1" x14ac:dyDescent="0.25">
      <c r="A206" s="44">
        <v>0</v>
      </c>
      <c r="B206" s="44">
        <v>1</v>
      </c>
      <c r="C206" s="44">
        <v>5</v>
      </c>
      <c r="D206" s="45" t="s">
        <v>881</v>
      </c>
      <c r="E206" s="45" t="s">
        <v>882</v>
      </c>
      <c r="F206" s="45" t="s">
        <v>923</v>
      </c>
      <c r="G206" s="45" t="s">
        <v>39</v>
      </c>
      <c r="H206" s="45" t="s">
        <v>883</v>
      </c>
      <c r="I206" s="44" t="s">
        <v>884</v>
      </c>
      <c r="J206" s="44">
        <v>17</v>
      </c>
      <c r="K206" s="46" t="s">
        <v>699</v>
      </c>
      <c r="L206" s="46" t="s">
        <v>693</v>
      </c>
      <c r="M206" s="47" t="s">
        <v>957</v>
      </c>
      <c r="N206" s="47" t="s">
        <v>1725</v>
      </c>
      <c r="O206" s="48"/>
      <c r="P206" s="48"/>
      <c r="Q206" s="45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s="1" customFormat="1" ht="14.25" customHeight="1" x14ac:dyDescent="0.25">
      <c r="A207" s="15">
        <v>0</v>
      </c>
      <c r="B207" s="15">
        <v>1</v>
      </c>
      <c r="C207" s="15">
        <v>5</v>
      </c>
      <c r="D207" s="16" t="s">
        <v>1925</v>
      </c>
      <c r="E207" s="16" t="s">
        <v>882</v>
      </c>
      <c r="F207" s="16" t="s">
        <v>1927</v>
      </c>
      <c r="G207" s="16"/>
      <c r="H207" s="16" t="s">
        <v>1926</v>
      </c>
      <c r="I207" s="15" t="s">
        <v>1928</v>
      </c>
      <c r="J207" s="15">
        <v>16</v>
      </c>
      <c r="K207" s="10" t="s">
        <v>699</v>
      </c>
      <c r="L207" s="10" t="s">
        <v>693</v>
      </c>
      <c r="M207" s="19" t="s">
        <v>957</v>
      </c>
      <c r="N207" s="17"/>
      <c r="Q207" s="20" t="s">
        <v>1929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s="1" customFormat="1" ht="14.25" customHeight="1" x14ac:dyDescent="0.25">
      <c r="A208" s="44">
        <v>0</v>
      </c>
      <c r="B208" s="44">
        <v>1</v>
      </c>
      <c r="C208" s="44">
        <v>5</v>
      </c>
      <c r="D208" s="45" t="s">
        <v>130</v>
      </c>
      <c r="E208" s="45" t="s">
        <v>165</v>
      </c>
      <c r="F208" s="45" t="s">
        <v>330</v>
      </c>
      <c r="G208" s="45" t="s">
        <v>331</v>
      </c>
      <c r="H208" s="45" t="s">
        <v>352</v>
      </c>
      <c r="I208" s="44" t="s">
        <v>477</v>
      </c>
      <c r="J208" s="44">
        <v>99</v>
      </c>
      <c r="K208" s="46" t="s">
        <v>718</v>
      </c>
      <c r="L208" s="46" t="s">
        <v>690</v>
      </c>
      <c r="M208" s="47" t="s">
        <v>957</v>
      </c>
      <c r="N208" s="47" t="s">
        <v>1731</v>
      </c>
      <c r="O208" s="48"/>
      <c r="P208" s="48"/>
      <c r="Q208" s="45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0</v>
      </c>
      <c r="AF208" s="1">
        <f t="shared" si="67"/>
        <v>0</v>
      </c>
      <c r="AG208" s="1">
        <f t="shared" si="68"/>
        <v>0</v>
      </c>
      <c r="AH208" s="1">
        <f t="shared" si="69"/>
        <v>0</v>
      </c>
      <c r="AI208" s="1">
        <f t="shared" si="70"/>
        <v>1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108</v>
      </c>
      <c r="E209" s="32" t="s">
        <v>165</v>
      </c>
      <c r="F209" s="32" t="s">
        <v>305</v>
      </c>
      <c r="G209" s="32" t="s">
        <v>230</v>
      </c>
      <c r="H209" s="32" t="s">
        <v>352</v>
      </c>
      <c r="I209" s="31" t="s">
        <v>453</v>
      </c>
      <c r="J209" s="31">
        <v>99</v>
      </c>
      <c r="K209" s="33" t="s">
        <v>718</v>
      </c>
      <c r="L209" s="33" t="s">
        <v>692</v>
      </c>
      <c r="M209" s="34" t="s">
        <v>687</v>
      </c>
      <c r="N209" s="34" t="s">
        <v>1727</v>
      </c>
      <c r="O209" s="35">
        <v>1</v>
      </c>
      <c r="P209" s="35"/>
      <c r="Q209" s="32"/>
      <c r="S209" s="1">
        <f t="shared" ref="S209:S272" si="71">IF(J209=$S$7,1,0)</f>
        <v>0</v>
      </c>
      <c r="T209" s="1">
        <f t="shared" ref="T209:T272" si="72">IF(J209=$T$7,1,0)</f>
        <v>0</v>
      </c>
      <c r="U209" s="1">
        <f t="shared" ref="U209:U272" si="73">IF(J209=$U$7,1,0)</f>
        <v>0</v>
      </c>
      <c r="V209" s="1">
        <f t="shared" ref="V209:V272" si="74">IF(J209=$V$7,1,0)</f>
        <v>0</v>
      </c>
      <c r="W209" s="1">
        <f t="shared" ref="W209:W272" si="75">IF(J209=$W$7,1,0)</f>
        <v>0</v>
      </c>
      <c r="X209" s="1">
        <f t="shared" ref="X209:X272" si="76">IF(J209=$X$7,1,0)</f>
        <v>0</v>
      </c>
      <c r="Y209" s="1">
        <f t="shared" ref="Y209:Y272" si="77">IF(J209=$Y$7,1,0)</f>
        <v>0</v>
      </c>
      <c r="Z209" s="1">
        <f t="shared" ref="Z209:Z272" si="78">IF(J209=$Z$7,1,0)</f>
        <v>0</v>
      </c>
      <c r="AA209" s="1">
        <f t="shared" ref="AA209:AA272" si="79">IF(J209=$AA$7,1,0)</f>
        <v>0</v>
      </c>
      <c r="AB209" s="1">
        <f t="shared" ref="AB209:AB272" si="80">IF(J209=$AB$7,1,0)</f>
        <v>0</v>
      </c>
      <c r="AD209" s="1">
        <f t="shared" ref="AD209:AD272" si="81">+O209*P209</f>
        <v>0</v>
      </c>
      <c r="AE209" s="1">
        <f t="shared" ref="AE209:AE272" si="82">O209*(1-P209)</f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110</v>
      </c>
      <c r="E210" s="32" t="s">
        <v>171</v>
      </c>
      <c r="F210" s="32" t="s">
        <v>308</v>
      </c>
      <c r="G210" s="32" t="s">
        <v>39</v>
      </c>
      <c r="H210" s="32" t="s">
        <v>362</v>
      </c>
      <c r="I210" s="31" t="s">
        <v>456</v>
      </c>
      <c r="J210" s="31">
        <v>17</v>
      </c>
      <c r="K210" s="33" t="s">
        <v>699</v>
      </c>
      <c r="L210" s="33" t="s">
        <v>693</v>
      </c>
      <c r="M210" s="34" t="s">
        <v>687</v>
      </c>
      <c r="N210" s="34" t="s">
        <v>1717</v>
      </c>
      <c r="O210" s="35">
        <v>1</v>
      </c>
      <c r="P210" s="35">
        <v>1</v>
      </c>
      <c r="Q210" s="32" t="s">
        <v>1899</v>
      </c>
      <c r="S210" s="1">
        <f t="shared" si="71"/>
        <v>0</v>
      </c>
      <c r="T210" s="1">
        <f t="shared" si="72"/>
        <v>0</v>
      </c>
      <c r="U210" s="1">
        <f t="shared" si="73"/>
        <v>0</v>
      </c>
      <c r="V210" s="1">
        <f t="shared" si="74"/>
        <v>0</v>
      </c>
      <c r="W210" s="1">
        <f t="shared" si="75"/>
        <v>0</v>
      </c>
      <c r="X210" s="1">
        <f t="shared" si="76"/>
        <v>0</v>
      </c>
      <c r="Y210" s="1">
        <f t="shared" si="77"/>
        <v>0</v>
      </c>
      <c r="Z210" s="1">
        <f t="shared" si="78"/>
        <v>0</v>
      </c>
      <c r="AA210" s="1">
        <f t="shared" si="79"/>
        <v>0</v>
      </c>
      <c r="AB210" s="1">
        <f t="shared" si="80"/>
        <v>0</v>
      </c>
      <c r="AD210" s="1">
        <f t="shared" si="81"/>
        <v>1</v>
      </c>
      <c r="AE210" s="1">
        <f t="shared" si="82"/>
        <v>0</v>
      </c>
      <c r="AF210" s="1">
        <f t="shared" si="67"/>
        <v>1</v>
      </c>
      <c r="AG210" s="1">
        <f t="shared" si="68"/>
        <v>0</v>
      </c>
      <c r="AH210" s="1">
        <f t="shared" si="69"/>
        <v>1</v>
      </c>
      <c r="AI210" s="1">
        <f t="shared" si="70"/>
        <v>0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521</v>
      </c>
      <c r="E211" s="32" t="s">
        <v>522</v>
      </c>
      <c r="F211" s="32" t="s">
        <v>523</v>
      </c>
      <c r="G211" s="32" t="s">
        <v>201</v>
      </c>
      <c r="H211" s="32" t="s">
        <v>352</v>
      </c>
      <c r="I211" s="31" t="s">
        <v>524</v>
      </c>
      <c r="J211" s="31">
        <v>10</v>
      </c>
      <c r="K211" s="33" t="s">
        <v>698</v>
      </c>
      <c r="L211" s="33" t="s">
        <v>689</v>
      </c>
      <c r="M211" s="34" t="s">
        <v>957</v>
      </c>
      <c r="N211" s="34" t="s">
        <v>1717</v>
      </c>
      <c r="O211" s="35">
        <v>1</v>
      </c>
      <c r="P211" s="35">
        <v>1</v>
      </c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1</v>
      </c>
      <c r="AD211" s="1">
        <f t="shared" si="81"/>
        <v>1</v>
      </c>
      <c r="AE211" s="1">
        <f t="shared" si="82"/>
        <v>0</v>
      </c>
      <c r="AF211" s="1">
        <f t="shared" si="67"/>
        <v>1</v>
      </c>
      <c r="AG211" s="1">
        <f t="shared" si="68"/>
        <v>0</v>
      </c>
      <c r="AH211" s="1">
        <f t="shared" si="69"/>
        <v>1</v>
      </c>
      <c r="AI211" s="1">
        <f t="shared" si="70"/>
        <v>0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1483</v>
      </c>
      <c r="E212" s="32" t="s">
        <v>165</v>
      </c>
      <c r="F212" s="32" t="s">
        <v>1484</v>
      </c>
      <c r="G212" s="32" t="s">
        <v>179</v>
      </c>
      <c r="H212" s="32" t="s">
        <v>352</v>
      </c>
      <c r="I212" s="31" t="s">
        <v>1485</v>
      </c>
      <c r="J212" s="31">
        <v>10</v>
      </c>
      <c r="K212" s="33" t="s">
        <v>943</v>
      </c>
      <c r="L212" s="33" t="s">
        <v>689</v>
      </c>
      <c r="M212" s="34" t="s">
        <v>957</v>
      </c>
      <c r="N212" s="34" t="s">
        <v>1711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1</v>
      </c>
      <c r="AD212" s="1">
        <f t="shared" si="81"/>
        <v>1</v>
      </c>
      <c r="AE212" s="1">
        <f t="shared" si="82"/>
        <v>0</v>
      </c>
      <c r="AF212" s="1">
        <f t="shared" si="67"/>
        <v>1</v>
      </c>
      <c r="AG212" s="1">
        <f t="shared" si="68"/>
        <v>0</v>
      </c>
      <c r="AH212" s="1">
        <f t="shared" si="69"/>
        <v>1</v>
      </c>
      <c r="AI212" s="1">
        <f t="shared" si="70"/>
        <v>0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1741</v>
      </c>
      <c r="E213" s="32" t="s">
        <v>165</v>
      </c>
      <c r="F213" s="32" t="s">
        <v>1742</v>
      </c>
      <c r="G213" s="32" t="s">
        <v>1743</v>
      </c>
      <c r="H213" s="32" t="s">
        <v>352</v>
      </c>
      <c r="I213" s="31" t="s">
        <v>1744</v>
      </c>
      <c r="J213" s="31">
        <v>1</v>
      </c>
      <c r="K213" s="33" t="s">
        <v>699</v>
      </c>
      <c r="L213" s="33"/>
      <c r="M213" s="34"/>
      <c r="N213" s="34" t="s">
        <v>1732</v>
      </c>
      <c r="O213" s="35">
        <v>1</v>
      </c>
      <c r="P213" s="35"/>
      <c r="Q213" s="32"/>
      <c r="S213" s="1">
        <f t="shared" si="71"/>
        <v>1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67"/>
        <v>0</v>
      </c>
      <c r="AG213" s="1">
        <f t="shared" si="68"/>
        <v>1</v>
      </c>
      <c r="AH213" s="1">
        <f t="shared" si="69"/>
        <v>0</v>
      </c>
      <c r="AI213" s="1">
        <f t="shared" si="70"/>
        <v>1</v>
      </c>
    </row>
    <row r="214" spans="1:35" s="1" customFormat="1" ht="14.25" customHeight="1" x14ac:dyDescent="0.25">
      <c r="A214" s="44">
        <v>0</v>
      </c>
      <c r="B214" s="44">
        <v>1</v>
      </c>
      <c r="C214" s="44">
        <v>5</v>
      </c>
      <c r="D214" s="45" t="s">
        <v>1013</v>
      </c>
      <c r="E214" s="45" t="s">
        <v>1074</v>
      </c>
      <c r="F214" s="45" t="s">
        <v>1014</v>
      </c>
      <c r="G214" s="45" t="s">
        <v>193</v>
      </c>
      <c r="H214" s="45" t="s">
        <v>352</v>
      </c>
      <c r="I214" s="44" t="s">
        <v>1015</v>
      </c>
      <c r="J214" s="44">
        <v>9</v>
      </c>
      <c r="K214" s="46" t="s">
        <v>718</v>
      </c>
      <c r="L214" s="46" t="s">
        <v>1688</v>
      </c>
      <c r="M214" s="47" t="s">
        <v>1588</v>
      </c>
      <c r="N214" s="47" t="s">
        <v>1719</v>
      </c>
      <c r="O214" s="48"/>
      <c r="P214" s="48"/>
      <c r="Q214" s="45"/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1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67"/>
        <v>0</v>
      </c>
      <c r="AG214" s="1">
        <f t="shared" si="68"/>
        <v>0</v>
      </c>
      <c r="AH214" s="1">
        <f t="shared" si="69"/>
        <v>0</v>
      </c>
      <c r="AI214" s="1">
        <f t="shared" si="70"/>
        <v>1</v>
      </c>
    </row>
    <row r="215" spans="1:35" s="1" customFormat="1" ht="14.25" customHeight="1" x14ac:dyDescent="0.25">
      <c r="A215" s="44">
        <v>0</v>
      </c>
      <c r="B215" s="44">
        <v>1</v>
      </c>
      <c r="C215" s="44">
        <v>5</v>
      </c>
      <c r="D215" s="45" t="s">
        <v>1598</v>
      </c>
      <c r="E215" s="45" t="s">
        <v>165</v>
      </c>
      <c r="F215" s="45" t="s">
        <v>1599</v>
      </c>
      <c r="G215" s="45" t="s">
        <v>212</v>
      </c>
      <c r="H215" s="45" t="s">
        <v>352</v>
      </c>
      <c r="I215" s="44" t="s">
        <v>1600</v>
      </c>
      <c r="J215" s="44">
        <v>1</v>
      </c>
      <c r="K215" s="46" t="s">
        <v>718</v>
      </c>
      <c r="L215" s="46" t="s">
        <v>690</v>
      </c>
      <c r="M215" s="47" t="s">
        <v>957</v>
      </c>
      <c r="N215" s="47" t="s">
        <v>1720</v>
      </c>
      <c r="O215" s="48"/>
      <c r="P215" s="48"/>
      <c r="Q215" s="45"/>
      <c r="S215" s="1">
        <f t="shared" si="71"/>
        <v>1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67"/>
        <v>0</v>
      </c>
      <c r="AG215" s="1">
        <f t="shared" si="68"/>
        <v>0</v>
      </c>
      <c r="AH215" s="1">
        <f t="shared" si="69"/>
        <v>0</v>
      </c>
      <c r="AI215" s="1">
        <f t="shared" si="70"/>
        <v>1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146</v>
      </c>
      <c r="E216" s="32" t="s">
        <v>541</v>
      </c>
      <c r="F216" s="32" t="s">
        <v>1583</v>
      </c>
      <c r="G216" s="32" t="s">
        <v>1657</v>
      </c>
      <c r="H216" s="32" t="s">
        <v>352</v>
      </c>
      <c r="I216" s="31" t="s">
        <v>491</v>
      </c>
      <c r="J216" s="31">
        <v>99</v>
      </c>
      <c r="K216" s="33" t="s">
        <v>698</v>
      </c>
      <c r="L216" s="33" t="s">
        <v>685</v>
      </c>
      <c r="M216" s="34" t="s">
        <v>957</v>
      </c>
      <c r="N216" s="34" t="s">
        <v>1809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67"/>
        <v>0</v>
      </c>
      <c r="AG216" s="1">
        <f t="shared" si="68"/>
        <v>1</v>
      </c>
      <c r="AH216" s="1">
        <f t="shared" si="69"/>
        <v>0</v>
      </c>
      <c r="AI216" s="1">
        <f t="shared" si="70"/>
        <v>1</v>
      </c>
    </row>
    <row r="217" spans="1:35" s="1" customFormat="1" ht="14.25" customHeight="1" x14ac:dyDescent="0.25">
      <c r="A217" s="15">
        <v>0</v>
      </c>
      <c r="B217" s="15">
        <v>1</v>
      </c>
      <c r="C217" s="15">
        <v>5</v>
      </c>
      <c r="D217" s="16" t="s">
        <v>1196</v>
      </c>
      <c r="E217" s="16" t="s">
        <v>165</v>
      </c>
      <c r="F217" s="16" t="s">
        <v>1197</v>
      </c>
      <c r="G217" s="16" t="s">
        <v>1198</v>
      </c>
      <c r="H217" s="16" t="s">
        <v>352</v>
      </c>
      <c r="I217" s="15" t="s">
        <v>1199</v>
      </c>
      <c r="J217" s="15">
        <v>99</v>
      </c>
      <c r="K217" s="10" t="s">
        <v>699</v>
      </c>
      <c r="L217" s="10">
        <v>30</v>
      </c>
      <c r="M217" s="19" t="s">
        <v>957</v>
      </c>
      <c r="N217" s="19"/>
      <c r="Q217" s="16"/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0</v>
      </c>
      <c r="AE217" s="1">
        <f t="shared" si="82"/>
        <v>0</v>
      </c>
      <c r="AF217" s="1">
        <f t="shared" si="67"/>
        <v>0</v>
      </c>
      <c r="AG217" s="1">
        <f t="shared" si="68"/>
        <v>0</v>
      </c>
      <c r="AH217" s="1">
        <f t="shared" si="69"/>
        <v>0</v>
      </c>
      <c r="AI217" s="1">
        <f t="shared" si="70"/>
        <v>1</v>
      </c>
    </row>
    <row r="218" spans="1:35" s="1" customFormat="1" ht="14.25" customHeight="1" x14ac:dyDescent="0.25">
      <c r="A218" s="31">
        <v>0</v>
      </c>
      <c r="B218" s="31">
        <v>1</v>
      </c>
      <c r="C218" s="31">
        <v>5</v>
      </c>
      <c r="D218" s="32" t="s">
        <v>1584</v>
      </c>
      <c r="E218" s="32" t="s">
        <v>171</v>
      </c>
      <c r="F218" s="32" t="s">
        <v>799</v>
      </c>
      <c r="G218" s="32" t="s">
        <v>39</v>
      </c>
      <c r="H218" s="32" t="s">
        <v>800</v>
      </c>
      <c r="I218" s="31" t="s">
        <v>801</v>
      </c>
      <c r="J218" s="31">
        <v>16</v>
      </c>
      <c r="K218" s="33" t="s">
        <v>944</v>
      </c>
      <c r="L218" s="33" t="s">
        <v>1726</v>
      </c>
      <c r="M218" s="34" t="s">
        <v>957</v>
      </c>
      <c r="N218" s="34" t="s">
        <v>1732</v>
      </c>
      <c r="O218" s="35">
        <v>1</v>
      </c>
      <c r="P218" s="35"/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0</v>
      </c>
      <c r="AD218" s="1">
        <f t="shared" si="81"/>
        <v>0</v>
      </c>
      <c r="AE218" s="1">
        <f t="shared" si="82"/>
        <v>1</v>
      </c>
      <c r="AF218" s="1">
        <f t="shared" si="67"/>
        <v>0</v>
      </c>
      <c r="AG218" s="1">
        <f t="shared" si="68"/>
        <v>1</v>
      </c>
      <c r="AH218" s="1">
        <f t="shared" si="69"/>
        <v>0</v>
      </c>
      <c r="AI218" s="1">
        <f t="shared" si="70"/>
        <v>1</v>
      </c>
    </row>
    <row r="219" spans="1:35" s="1" customFormat="1" ht="14.25" customHeight="1" x14ac:dyDescent="0.25">
      <c r="A219" s="31">
        <v>0</v>
      </c>
      <c r="B219" s="31">
        <v>1</v>
      </c>
      <c r="C219" s="31">
        <v>5</v>
      </c>
      <c r="D219" s="32" t="s">
        <v>498</v>
      </c>
      <c r="E219" s="32" t="s">
        <v>165</v>
      </c>
      <c r="F219" s="32" t="s">
        <v>499</v>
      </c>
      <c r="G219" s="32" t="s">
        <v>500</v>
      </c>
      <c r="H219" s="32" t="s">
        <v>352</v>
      </c>
      <c r="I219" s="31" t="s">
        <v>501</v>
      </c>
      <c r="J219" s="31">
        <v>99</v>
      </c>
      <c r="K219" s="33" t="s">
        <v>944</v>
      </c>
      <c r="L219" s="33" t="s">
        <v>690</v>
      </c>
      <c r="M219" s="34" t="s">
        <v>687</v>
      </c>
      <c r="N219" s="34" t="s">
        <v>1711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0</v>
      </c>
      <c r="AD219" s="1">
        <f t="shared" si="81"/>
        <v>1</v>
      </c>
      <c r="AE219" s="1">
        <f t="shared" si="82"/>
        <v>0</v>
      </c>
      <c r="AF219" s="1">
        <f t="shared" si="67"/>
        <v>1</v>
      </c>
      <c r="AG219" s="1">
        <f t="shared" si="68"/>
        <v>0</v>
      </c>
      <c r="AH219" s="1">
        <f t="shared" si="69"/>
        <v>1</v>
      </c>
      <c r="AI219" s="1">
        <f t="shared" si="70"/>
        <v>0</v>
      </c>
    </row>
    <row r="220" spans="1:35" s="1" customFormat="1" ht="14.25" customHeight="1" x14ac:dyDescent="0.25">
      <c r="A220" s="31">
        <v>0</v>
      </c>
      <c r="B220" s="31">
        <v>1</v>
      </c>
      <c r="C220" s="31">
        <v>6</v>
      </c>
      <c r="D220" s="32" t="s">
        <v>1434</v>
      </c>
      <c r="E220" s="32" t="s">
        <v>166</v>
      </c>
      <c r="F220" s="32" t="s">
        <v>1435</v>
      </c>
      <c r="G220" s="32" t="s">
        <v>178</v>
      </c>
      <c r="H220" s="32" t="s">
        <v>352</v>
      </c>
      <c r="I220" s="31" t="s">
        <v>1436</v>
      </c>
      <c r="J220" s="31">
        <v>99</v>
      </c>
      <c r="K220" s="33" t="s">
        <v>943</v>
      </c>
      <c r="L220" s="33" t="s">
        <v>692</v>
      </c>
      <c r="M220" s="34" t="s">
        <v>1437</v>
      </c>
      <c r="N220" s="34" t="s">
        <v>1733</v>
      </c>
      <c r="O220" s="35">
        <v>1</v>
      </c>
      <c r="P220" s="35"/>
      <c r="Q220" s="36"/>
      <c r="S220" s="1">
        <f t="shared" si="71"/>
        <v>0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67"/>
        <v>0</v>
      </c>
      <c r="AG220" s="1">
        <f t="shared" si="68"/>
        <v>1</v>
      </c>
      <c r="AH220" s="1">
        <f t="shared" si="69"/>
        <v>0</v>
      </c>
      <c r="AI220" s="1">
        <f t="shared" si="70"/>
        <v>1</v>
      </c>
    </row>
    <row r="221" spans="1:35" s="1" customFormat="1" ht="14.25" customHeight="1" x14ac:dyDescent="0.25">
      <c r="A221" s="31">
        <v>0</v>
      </c>
      <c r="B221" s="31">
        <v>1</v>
      </c>
      <c r="C221" s="31">
        <v>6</v>
      </c>
      <c r="D221" s="32" t="s">
        <v>1170</v>
      </c>
      <c r="E221" s="32" t="s">
        <v>1173</v>
      </c>
      <c r="F221" s="32" t="s">
        <v>1171</v>
      </c>
      <c r="G221" s="32" t="s">
        <v>39</v>
      </c>
      <c r="H221" s="32" t="s">
        <v>352</v>
      </c>
      <c r="I221" s="31" t="s">
        <v>1172</v>
      </c>
      <c r="J221" s="31">
        <v>99</v>
      </c>
      <c r="K221" s="33" t="s">
        <v>949</v>
      </c>
      <c r="L221" s="33" t="s">
        <v>39</v>
      </c>
      <c r="M221" s="34" t="s">
        <v>39</v>
      </c>
      <c r="N221" s="34" t="s">
        <v>1717</v>
      </c>
      <c r="O221" s="35">
        <v>1</v>
      </c>
      <c r="P221" s="35">
        <v>1</v>
      </c>
      <c r="Q221" s="36" t="s">
        <v>1892</v>
      </c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0</v>
      </c>
      <c r="AB221" s="1">
        <f t="shared" si="80"/>
        <v>0</v>
      </c>
      <c r="AD221" s="1">
        <f t="shared" si="81"/>
        <v>1</v>
      </c>
      <c r="AE221" s="1">
        <f t="shared" si="82"/>
        <v>0</v>
      </c>
      <c r="AF221" s="1">
        <f t="shared" si="67"/>
        <v>1</v>
      </c>
      <c r="AG221" s="1">
        <f t="shared" si="68"/>
        <v>0</v>
      </c>
      <c r="AH221" s="1">
        <f t="shared" si="69"/>
        <v>1</v>
      </c>
      <c r="AI221" s="1">
        <f t="shared" si="70"/>
        <v>0</v>
      </c>
    </row>
    <row r="222" spans="1:35" s="1" customFormat="1" ht="14.25" customHeight="1" x14ac:dyDescent="0.25">
      <c r="A222" s="31">
        <v>0</v>
      </c>
      <c r="B222" s="31">
        <v>1</v>
      </c>
      <c r="C222" s="31">
        <v>6</v>
      </c>
      <c r="D222" s="32" t="s">
        <v>1632</v>
      </c>
      <c r="E222" s="32" t="s">
        <v>1640</v>
      </c>
      <c r="F222" s="32" t="s">
        <v>1667</v>
      </c>
      <c r="G222" s="32" t="s">
        <v>1668</v>
      </c>
      <c r="H222" s="32" t="s">
        <v>352</v>
      </c>
      <c r="I222" s="31" t="s">
        <v>1680</v>
      </c>
      <c r="J222" s="31">
        <v>1</v>
      </c>
      <c r="K222" s="33" t="s">
        <v>945</v>
      </c>
      <c r="L222" s="33" t="s">
        <v>39</v>
      </c>
      <c r="M222" s="34" t="s">
        <v>39</v>
      </c>
      <c r="N222" s="34" t="s">
        <v>1711</v>
      </c>
      <c r="O222" s="35">
        <v>1</v>
      </c>
      <c r="P222" s="35">
        <v>1</v>
      </c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1</v>
      </c>
      <c r="AE222" s="1">
        <f t="shared" si="82"/>
        <v>0</v>
      </c>
      <c r="AF222" s="1">
        <f t="shared" si="67"/>
        <v>1</v>
      </c>
      <c r="AG222" s="1">
        <f t="shared" si="68"/>
        <v>0</v>
      </c>
      <c r="AH222" s="1">
        <f t="shared" si="69"/>
        <v>1</v>
      </c>
      <c r="AI222" s="1">
        <f t="shared" si="70"/>
        <v>0</v>
      </c>
    </row>
    <row r="223" spans="1:35" s="1" customFormat="1" ht="14.25" customHeight="1" x14ac:dyDescent="0.25">
      <c r="A223" s="31">
        <v>0</v>
      </c>
      <c r="B223" s="31">
        <v>1</v>
      </c>
      <c r="C223" s="31">
        <v>6</v>
      </c>
      <c r="D223" s="32" t="s">
        <v>89</v>
      </c>
      <c r="E223" s="32" t="s">
        <v>167</v>
      </c>
      <c r="F223" s="32" t="s">
        <v>282</v>
      </c>
      <c r="G223" s="32" t="s">
        <v>229</v>
      </c>
      <c r="H223" s="32" t="s">
        <v>352</v>
      </c>
      <c r="I223" s="31" t="s">
        <v>435</v>
      </c>
      <c r="J223" s="31">
        <v>7</v>
      </c>
      <c r="K223" s="33" t="s">
        <v>718</v>
      </c>
      <c r="L223" s="33">
        <v>40</v>
      </c>
      <c r="M223" s="34" t="s">
        <v>39</v>
      </c>
      <c r="N223" s="34" t="s">
        <v>1732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1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67"/>
        <v>0</v>
      </c>
      <c r="AG223" s="1">
        <f t="shared" si="68"/>
        <v>1</v>
      </c>
      <c r="AH223" s="1">
        <f t="shared" si="69"/>
        <v>0</v>
      </c>
      <c r="AI223" s="1">
        <f t="shared" si="70"/>
        <v>1</v>
      </c>
    </row>
    <row r="224" spans="1:35" s="1" customFormat="1" ht="14.25" customHeight="1" x14ac:dyDescent="0.25">
      <c r="A224" s="31">
        <v>0</v>
      </c>
      <c r="B224" s="31">
        <v>1</v>
      </c>
      <c r="C224" s="31">
        <v>6</v>
      </c>
      <c r="D224" s="32" t="s">
        <v>90</v>
      </c>
      <c r="E224" s="32" t="s">
        <v>164</v>
      </c>
      <c r="F224" s="36" t="s">
        <v>1855</v>
      </c>
      <c r="G224" s="32" t="s">
        <v>239</v>
      </c>
      <c r="H224" s="32" t="s">
        <v>352</v>
      </c>
      <c r="I224" s="31" t="s">
        <v>436</v>
      </c>
      <c r="J224" s="31">
        <v>1</v>
      </c>
      <c r="K224" s="33" t="s">
        <v>951</v>
      </c>
      <c r="L224" s="33" t="s">
        <v>39</v>
      </c>
      <c r="M224" s="34" t="s">
        <v>39</v>
      </c>
      <c r="N224" s="34" t="s">
        <v>1711</v>
      </c>
      <c r="O224" s="35">
        <v>1</v>
      </c>
      <c r="P224" s="35">
        <v>1</v>
      </c>
      <c r="Q224" s="32"/>
      <c r="S224" s="1">
        <f t="shared" si="71"/>
        <v>1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1</v>
      </c>
      <c r="AE224" s="1">
        <f t="shared" si="82"/>
        <v>0</v>
      </c>
      <c r="AF224" s="1">
        <f t="shared" si="67"/>
        <v>1</v>
      </c>
      <c r="AG224" s="1">
        <f t="shared" si="68"/>
        <v>0</v>
      </c>
      <c r="AH224" s="1">
        <f t="shared" si="69"/>
        <v>1</v>
      </c>
      <c r="AI224" s="1">
        <f t="shared" si="70"/>
        <v>0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91</v>
      </c>
      <c r="E225" s="32" t="s">
        <v>166</v>
      </c>
      <c r="F225" s="32" t="s">
        <v>284</v>
      </c>
      <c r="G225" s="32" t="s">
        <v>199</v>
      </c>
      <c r="H225" s="32" t="s">
        <v>352</v>
      </c>
      <c r="I225" s="31" t="s">
        <v>437</v>
      </c>
      <c r="J225" s="31">
        <v>2</v>
      </c>
      <c r="K225" s="33" t="s">
        <v>949</v>
      </c>
      <c r="L225" s="33" t="s">
        <v>39</v>
      </c>
      <c r="M225" s="34" t="s">
        <v>39</v>
      </c>
      <c r="N225" s="34" t="s">
        <v>1711</v>
      </c>
      <c r="O225" s="35">
        <v>1</v>
      </c>
      <c r="P225" s="35">
        <v>1</v>
      </c>
      <c r="Q225" s="32"/>
      <c r="S225" s="1">
        <f t="shared" si="71"/>
        <v>0</v>
      </c>
      <c r="T225" s="1">
        <f t="shared" si="72"/>
        <v>1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1</v>
      </c>
      <c r="AE225" s="1">
        <f t="shared" si="82"/>
        <v>0</v>
      </c>
      <c r="AF225" s="1">
        <f t="shared" si="67"/>
        <v>1</v>
      </c>
      <c r="AG225" s="1">
        <f t="shared" si="68"/>
        <v>0</v>
      </c>
      <c r="AH225" s="1">
        <f t="shared" si="69"/>
        <v>1</v>
      </c>
      <c r="AI225" s="1">
        <f t="shared" si="70"/>
        <v>0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1260</v>
      </c>
      <c r="E226" s="32" t="s">
        <v>166</v>
      </c>
      <c r="F226" s="32" t="s">
        <v>1132</v>
      </c>
      <c r="G226" s="32" t="s">
        <v>1326</v>
      </c>
      <c r="H226" s="32" t="s">
        <v>352</v>
      </c>
      <c r="I226" s="31" t="s">
        <v>1133</v>
      </c>
      <c r="J226" s="31">
        <v>99</v>
      </c>
      <c r="K226" s="33" t="s">
        <v>698</v>
      </c>
      <c r="L226" s="33">
        <v>45</v>
      </c>
      <c r="M226" s="34" t="s">
        <v>39</v>
      </c>
      <c r="N226" s="34" t="s">
        <v>1727</v>
      </c>
      <c r="O226" s="35">
        <v>1</v>
      </c>
      <c r="P226" s="35"/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0</v>
      </c>
      <c r="AE226" s="1">
        <f t="shared" si="82"/>
        <v>1</v>
      </c>
      <c r="AF226" s="1">
        <f t="shared" si="67"/>
        <v>0</v>
      </c>
      <c r="AG226" s="1">
        <f t="shared" si="68"/>
        <v>1</v>
      </c>
      <c r="AH226" s="1">
        <f t="shared" si="69"/>
        <v>0</v>
      </c>
      <c r="AI226" s="1">
        <f t="shared" si="70"/>
        <v>1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1775</v>
      </c>
      <c r="E227" s="32" t="s">
        <v>166</v>
      </c>
      <c r="F227" s="32" t="s">
        <v>1750</v>
      </c>
      <c r="G227" s="32"/>
      <c r="H227" s="32" t="s">
        <v>352</v>
      </c>
      <c r="I227" s="31" t="s">
        <v>1751</v>
      </c>
      <c r="J227" s="31"/>
      <c r="K227" s="33" t="s">
        <v>699</v>
      </c>
      <c r="L227" s="33"/>
      <c r="M227" s="34"/>
      <c r="N227" s="34" t="s">
        <v>1711</v>
      </c>
      <c r="O227" s="35">
        <v>1</v>
      </c>
      <c r="P227" s="35">
        <v>1</v>
      </c>
      <c r="Q227" s="32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1</v>
      </c>
      <c r="AE227" s="1">
        <f t="shared" si="82"/>
        <v>0</v>
      </c>
      <c r="AF227" s="1">
        <f t="shared" si="67"/>
        <v>1</v>
      </c>
      <c r="AG227" s="1">
        <f t="shared" si="68"/>
        <v>0</v>
      </c>
      <c r="AH227" s="1">
        <f t="shared" si="69"/>
        <v>1</v>
      </c>
      <c r="AI227" s="1">
        <f t="shared" si="70"/>
        <v>0</v>
      </c>
    </row>
    <row r="228" spans="1:4094 4097:8191 8194:12288 1229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1774</v>
      </c>
      <c r="E228" s="32" t="s">
        <v>166</v>
      </c>
      <c r="F228" s="32" t="s">
        <v>1752</v>
      </c>
      <c r="G228" s="32"/>
      <c r="H228" s="32" t="s">
        <v>352</v>
      </c>
      <c r="I228" s="31" t="s">
        <v>1753</v>
      </c>
      <c r="J228" s="31"/>
      <c r="K228" s="33" t="s">
        <v>699</v>
      </c>
      <c r="L228" s="33">
        <v>30</v>
      </c>
      <c r="M228" s="34" t="s">
        <v>1754</v>
      </c>
      <c r="N228" s="34" t="s">
        <v>1732</v>
      </c>
      <c r="O228" s="35">
        <v>1</v>
      </c>
      <c r="P228" s="35"/>
      <c r="Q228" s="32"/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0</v>
      </c>
      <c r="AE228" s="1">
        <f t="shared" si="82"/>
        <v>1</v>
      </c>
      <c r="AF228" s="1">
        <f t="shared" si="67"/>
        <v>0</v>
      </c>
      <c r="AG228" s="1">
        <f t="shared" si="68"/>
        <v>1</v>
      </c>
      <c r="AH228" s="1">
        <f t="shared" si="69"/>
        <v>0</v>
      </c>
      <c r="AI228" s="1">
        <f t="shared" si="70"/>
        <v>1</v>
      </c>
    </row>
    <row r="229" spans="1:4094 4097:8191 8194:12288 1229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1001</v>
      </c>
      <c r="E229" s="32" t="s">
        <v>166</v>
      </c>
      <c r="F229" s="32" t="s">
        <v>1002</v>
      </c>
      <c r="G229" s="32" t="s">
        <v>1090</v>
      </c>
      <c r="H229" s="32" t="s">
        <v>352</v>
      </c>
      <c r="I229" s="31" t="s">
        <v>1003</v>
      </c>
      <c r="J229" s="31">
        <v>99</v>
      </c>
      <c r="K229" s="33" t="s">
        <v>951</v>
      </c>
      <c r="L229" s="33" t="s">
        <v>39</v>
      </c>
      <c r="M229" s="34" t="s">
        <v>39</v>
      </c>
      <c r="N229" s="34" t="s">
        <v>1711</v>
      </c>
      <c r="O229" s="35">
        <v>1</v>
      </c>
      <c r="P229" s="35">
        <v>1</v>
      </c>
      <c r="Q229" s="32"/>
      <c r="S229" s="1">
        <f t="shared" si="71"/>
        <v>0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67"/>
        <v>1</v>
      </c>
      <c r="AG229" s="1">
        <f t="shared" si="68"/>
        <v>0</v>
      </c>
      <c r="AH229" s="1">
        <f t="shared" si="69"/>
        <v>1</v>
      </c>
      <c r="AI229" s="1">
        <f t="shared" si="70"/>
        <v>0</v>
      </c>
    </row>
    <row r="230" spans="1:4094 4097:8191 8194:12288 12291:16384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93</v>
      </c>
      <c r="E230" s="32" t="s">
        <v>168</v>
      </c>
      <c r="F230" s="32" t="s">
        <v>287</v>
      </c>
      <c r="G230" s="32" t="s">
        <v>193</v>
      </c>
      <c r="H230" s="32" t="s">
        <v>352</v>
      </c>
      <c r="I230" s="31" t="s">
        <v>439</v>
      </c>
      <c r="J230" s="31">
        <v>9</v>
      </c>
      <c r="K230" s="33" t="s">
        <v>698</v>
      </c>
      <c r="L230" s="33" t="s">
        <v>690</v>
      </c>
      <c r="M230" s="34" t="s">
        <v>702</v>
      </c>
      <c r="N230" s="34" t="s">
        <v>1732</v>
      </c>
      <c r="O230" s="35">
        <v>1</v>
      </c>
      <c r="P230" s="35"/>
      <c r="Q230" s="32"/>
      <c r="S230" s="1">
        <f t="shared" si="71"/>
        <v>0</v>
      </c>
      <c r="T230" s="1">
        <f t="shared" si="72"/>
        <v>0</v>
      </c>
      <c r="U230" s="1">
        <f t="shared" si="73"/>
        <v>0</v>
      </c>
      <c r="V230" s="1">
        <f t="shared" si="74"/>
        <v>0</v>
      </c>
      <c r="W230" s="1">
        <f t="shared" si="75"/>
        <v>0</v>
      </c>
      <c r="X230" s="1">
        <f t="shared" si="76"/>
        <v>0</v>
      </c>
      <c r="Y230" s="1">
        <f t="shared" si="77"/>
        <v>0</v>
      </c>
      <c r="Z230" s="1">
        <f t="shared" si="78"/>
        <v>0</v>
      </c>
      <c r="AA230" s="1">
        <f t="shared" si="79"/>
        <v>1</v>
      </c>
      <c r="AB230" s="1">
        <f t="shared" si="80"/>
        <v>0</v>
      </c>
      <c r="AD230" s="1">
        <f t="shared" si="81"/>
        <v>0</v>
      </c>
      <c r="AE230" s="1">
        <f t="shared" si="82"/>
        <v>1</v>
      </c>
      <c r="AF230" s="1">
        <f t="shared" si="67"/>
        <v>0</v>
      </c>
      <c r="AG230" s="1">
        <f t="shared" si="68"/>
        <v>1</v>
      </c>
      <c r="AH230" s="1">
        <f t="shared" si="69"/>
        <v>0</v>
      </c>
      <c r="AI230" s="1">
        <f t="shared" si="70"/>
        <v>1</v>
      </c>
    </row>
    <row r="231" spans="1:4094 4097:8191 8194:12288 12291:16384" s="1" customFormat="1" ht="14.25" customHeight="1" x14ac:dyDescent="0.25">
      <c r="A231" s="38">
        <v>0</v>
      </c>
      <c r="B231" s="38">
        <v>1</v>
      </c>
      <c r="C231" s="38">
        <v>6</v>
      </c>
      <c r="D231" s="54" t="s">
        <v>1593</v>
      </c>
      <c r="E231" s="39" t="s">
        <v>1594</v>
      </c>
      <c r="F231" s="39" t="s">
        <v>1595</v>
      </c>
      <c r="G231" s="39" t="s">
        <v>191</v>
      </c>
      <c r="H231" s="39" t="s">
        <v>352</v>
      </c>
      <c r="I231" s="38" t="s">
        <v>1596</v>
      </c>
      <c r="J231" s="38">
        <v>10</v>
      </c>
      <c r="K231" s="40" t="s">
        <v>943</v>
      </c>
      <c r="L231" s="40" t="s">
        <v>683</v>
      </c>
      <c r="M231" s="41" t="s">
        <v>1597</v>
      </c>
      <c r="N231" s="42"/>
      <c r="O231" s="43"/>
      <c r="P231" s="43">
        <v>1</v>
      </c>
      <c r="Q231" s="39"/>
      <c r="S231" s="1">
        <f t="shared" si="71"/>
        <v>0</v>
      </c>
      <c r="T231" s="1">
        <f t="shared" si="72"/>
        <v>0</v>
      </c>
      <c r="U231" s="1">
        <f t="shared" si="73"/>
        <v>0</v>
      </c>
      <c r="V231" s="1">
        <f t="shared" si="74"/>
        <v>0</v>
      </c>
      <c r="W231" s="1">
        <f t="shared" si="75"/>
        <v>0</v>
      </c>
      <c r="X231" s="1">
        <f t="shared" si="76"/>
        <v>0</v>
      </c>
      <c r="Y231" s="1">
        <f t="shared" si="77"/>
        <v>0</v>
      </c>
      <c r="Z231" s="1">
        <f t="shared" si="78"/>
        <v>0</v>
      </c>
      <c r="AA231" s="1">
        <f t="shared" si="79"/>
        <v>0</v>
      </c>
      <c r="AB231" s="1">
        <f t="shared" si="80"/>
        <v>1</v>
      </c>
      <c r="AD231" s="1">
        <f t="shared" si="81"/>
        <v>0</v>
      </c>
      <c r="AE231" s="1">
        <f t="shared" si="82"/>
        <v>0</v>
      </c>
      <c r="AF231" s="1">
        <f t="shared" si="67"/>
        <v>0</v>
      </c>
      <c r="AG231" s="1">
        <f t="shared" si="68"/>
        <v>0</v>
      </c>
      <c r="AH231" s="1">
        <f t="shared" si="69"/>
        <v>1</v>
      </c>
      <c r="AI231" s="1">
        <f t="shared" si="70"/>
        <v>0</v>
      </c>
    </row>
    <row r="232" spans="1:4094 4097:8191 8194:12288 1229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94</v>
      </c>
      <c r="E232" s="32" t="s">
        <v>164</v>
      </c>
      <c r="F232" s="32" t="s">
        <v>288</v>
      </c>
      <c r="G232" s="32" t="s">
        <v>289</v>
      </c>
      <c r="H232" s="32" t="s">
        <v>352</v>
      </c>
      <c r="I232" s="31" t="s">
        <v>440</v>
      </c>
      <c r="J232" s="31">
        <v>7</v>
      </c>
      <c r="K232" s="33" t="s">
        <v>698</v>
      </c>
      <c r="L232" s="33" t="s">
        <v>690</v>
      </c>
      <c r="M232" s="34" t="s">
        <v>694</v>
      </c>
      <c r="N232" s="34" t="s">
        <v>1733</v>
      </c>
      <c r="O232" s="35">
        <v>1</v>
      </c>
      <c r="P232" s="35"/>
      <c r="Q232" s="32"/>
      <c r="R232" s="15"/>
      <c r="S232" s="1">
        <f t="shared" si="71"/>
        <v>0</v>
      </c>
      <c r="T232" s="1">
        <f t="shared" si="72"/>
        <v>0</v>
      </c>
      <c r="U232" s="1">
        <f t="shared" si="73"/>
        <v>0</v>
      </c>
      <c r="V232" s="1">
        <f t="shared" si="74"/>
        <v>0</v>
      </c>
      <c r="W232" s="1">
        <f t="shared" si="75"/>
        <v>0</v>
      </c>
      <c r="X232" s="1">
        <f t="shared" si="76"/>
        <v>0</v>
      </c>
      <c r="Y232" s="1">
        <f t="shared" si="77"/>
        <v>1</v>
      </c>
      <c r="Z232" s="1">
        <f t="shared" si="78"/>
        <v>0</v>
      </c>
      <c r="AA232" s="1">
        <f t="shared" si="79"/>
        <v>0</v>
      </c>
      <c r="AB232" s="1">
        <f t="shared" si="80"/>
        <v>0</v>
      </c>
      <c r="AD232" s="1">
        <f t="shared" si="81"/>
        <v>0</v>
      </c>
      <c r="AE232" s="1">
        <f t="shared" si="82"/>
        <v>1</v>
      </c>
      <c r="AF232" s="1">
        <f t="shared" si="67"/>
        <v>0</v>
      </c>
      <c r="AG232" s="1">
        <f t="shared" si="68"/>
        <v>1</v>
      </c>
      <c r="AH232" s="1">
        <f t="shared" si="69"/>
        <v>0</v>
      </c>
      <c r="AI232" s="1">
        <f t="shared" si="70"/>
        <v>1</v>
      </c>
      <c r="AJ232" s="15"/>
      <c r="AK232" s="15"/>
      <c r="AL232" s="16"/>
      <c r="AM232" s="16"/>
      <c r="AN232" s="16"/>
      <c r="AO232" s="16"/>
      <c r="AP232" s="16"/>
      <c r="AQ232" s="15"/>
      <c r="AR232" s="15"/>
      <c r="AS232" s="10"/>
      <c r="AT232" s="10"/>
      <c r="AU232" s="19"/>
      <c r="AV232" s="19"/>
      <c r="AY232" s="16"/>
      <c r="AZ232" s="15"/>
      <c r="BA232" s="15"/>
      <c r="BB232" s="15"/>
      <c r="BC232" s="16"/>
      <c r="BD232" s="16"/>
      <c r="BE232" s="16"/>
      <c r="BF232" s="16"/>
      <c r="BG232" s="16"/>
      <c r="BH232" s="15"/>
      <c r="BI232" s="15"/>
      <c r="BJ232" s="10"/>
      <c r="BK232" s="10"/>
      <c r="BL232" s="19"/>
      <c r="BM232" s="19"/>
      <c r="BP232" s="16"/>
      <c r="BQ232" s="15"/>
      <c r="BR232" s="15"/>
      <c r="BS232" s="15"/>
      <c r="BT232" s="16"/>
      <c r="BU232" s="16"/>
      <c r="BV232" s="16"/>
      <c r="BW232" s="16"/>
      <c r="BX232" s="16"/>
      <c r="BY232" s="15"/>
      <c r="BZ232" s="15"/>
      <c r="CA232" s="10"/>
      <c r="CB232" s="10"/>
      <c r="CC232" s="19"/>
      <c r="CD232" s="19"/>
      <c r="CG232" s="16"/>
      <c r="CH232" s="15"/>
      <c r="CI232" s="15"/>
      <c r="CJ232" s="15"/>
      <c r="CK232" s="16"/>
      <c r="CL232" s="16"/>
      <c r="CM232" s="16"/>
      <c r="CN232" s="16"/>
      <c r="CO232" s="16"/>
      <c r="CP232" s="15"/>
      <c r="CQ232" s="15"/>
      <c r="CR232" s="10"/>
      <c r="CS232" s="10"/>
      <c r="CT232" s="19"/>
      <c r="CU232" s="19"/>
      <c r="CX232" s="16"/>
      <c r="CY232" s="15"/>
      <c r="CZ232" s="15"/>
      <c r="DA232" s="15"/>
      <c r="DB232" s="16"/>
      <c r="DC232" s="16"/>
      <c r="DD232" s="16"/>
      <c r="DE232" s="16"/>
      <c r="DF232" s="16"/>
      <c r="DG232" s="15"/>
      <c r="DH232" s="15"/>
      <c r="DI232" s="10"/>
      <c r="DJ232" s="10"/>
      <c r="DK232" s="19"/>
      <c r="DL232" s="19"/>
      <c r="DO232" s="16"/>
      <c r="DP232" s="15"/>
      <c r="DQ232" s="15"/>
      <c r="DR232" s="15"/>
      <c r="DS232" s="16"/>
      <c r="DT232" s="16"/>
      <c r="DU232" s="16"/>
      <c r="DV232" s="16"/>
      <c r="DW232" s="16"/>
      <c r="DX232" s="15"/>
      <c r="DY232" s="15"/>
      <c r="DZ232" s="10"/>
      <c r="EA232" s="10"/>
      <c r="EB232" s="19"/>
      <c r="EC232" s="19"/>
      <c r="EF232" s="16"/>
      <c r="EG232" s="15"/>
      <c r="EH232" s="15"/>
      <c r="EI232" s="15"/>
      <c r="EJ232" s="16"/>
      <c r="EK232" s="16"/>
      <c r="EL232" s="16"/>
      <c r="EM232" s="16"/>
      <c r="EN232" s="16"/>
      <c r="EO232" s="15"/>
      <c r="EP232" s="15"/>
      <c r="EQ232" s="10"/>
      <c r="ER232" s="10"/>
      <c r="ES232" s="19"/>
      <c r="ET232" s="19"/>
      <c r="EW232" s="16"/>
      <c r="EX232" s="15"/>
      <c r="EY232" s="15"/>
      <c r="EZ232" s="15"/>
      <c r="FA232" s="16"/>
      <c r="FB232" s="16"/>
      <c r="FC232" s="16"/>
      <c r="FD232" s="16"/>
      <c r="FE232" s="16"/>
      <c r="FF232" s="15"/>
      <c r="FG232" s="15"/>
      <c r="FH232" s="10"/>
      <c r="FI232" s="10"/>
      <c r="FJ232" s="19"/>
      <c r="FK232" s="19"/>
      <c r="FN232" s="16"/>
      <c r="FO232" s="15"/>
      <c r="FP232" s="15"/>
      <c r="FQ232" s="15"/>
      <c r="FR232" s="16"/>
      <c r="FS232" s="16"/>
      <c r="FT232" s="16"/>
      <c r="FU232" s="16"/>
      <c r="FV232" s="16"/>
      <c r="FW232" s="15"/>
      <c r="FX232" s="15"/>
      <c r="FY232" s="10"/>
      <c r="FZ232" s="10"/>
      <c r="GA232" s="19"/>
      <c r="GB232" s="19"/>
      <c r="GE232" s="16"/>
      <c r="GF232" s="15"/>
      <c r="GG232" s="15"/>
      <c r="GH232" s="15"/>
      <c r="GI232" s="16"/>
      <c r="GJ232" s="16"/>
      <c r="GK232" s="16"/>
      <c r="GL232" s="16"/>
      <c r="GM232" s="16"/>
      <c r="GN232" s="15"/>
      <c r="GO232" s="15"/>
      <c r="GP232" s="10"/>
      <c r="GQ232" s="10"/>
      <c r="GR232" s="19"/>
      <c r="GS232" s="19"/>
      <c r="GV232" s="16"/>
      <c r="GW232" s="15"/>
      <c r="GX232" s="15"/>
      <c r="GY232" s="15"/>
      <c r="GZ232" s="16"/>
      <c r="HA232" s="16"/>
      <c r="HB232" s="16"/>
      <c r="HC232" s="16"/>
      <c r="HD232" s="16"/>
      <c r="HE232" s="15"/>
      <c r="HF232" s="15"/>
      <c r="HG232" s="10"/>
      <c r="HH232" s="10"/>
      <c r="HI232" s="19"/>
      <c r="HJ232" s="19"/>
      <c r="HM232" s="16"/>
      <c r="HN232" s="15"/>
      <c r="HO232" s="15"/>
      <c r="HP232" s="15"/>
      <c r="HQ232" s="16"/>
      <c r="HR232" s="16"/>
      <c r="HS232" s="16"/>
      <c r="HT232" s="16"/>
      <c r="HU232" s="16"/>
      <c r="HV232" s="15"/>
      <c r="HW232" s="15"/>
      <c r="HX232" s="10"/>
      <c r="HY232" s="10"/>
      <c r="HZ232" s="19"/>
      <c r="IA232" s="19"/>
      <c r="ID232" s="16"/>
      <c r="IE232" s="15"/>
      <c r="IF232" s="15"/>
      <c r="IG232" s="15"/>
      <c r="IH232" s="16"/>
      <c r="II232" s="16"/>
      <c r="IJ232" s="16"/>
      <c r="IK232" s="16"/>
      <c r="IL232" s="16"/>
      <c r="IM232" s="15"/>
      <c r="IN232" s="15"/>
      <c r="IO232" s="10"/>
      <c r="IP232" s="10"/>
      <c r="IQ232" s="19"/>
      <c r="IR232" s="19"/>
      <c r="IU232" s="16"/>
      <c r="IV232" s="15"/>
      <c r="IW232" s="15"/>
      <c r="IX232" s="15"/>
      <c r="IY232" s="16"/>
      <c r="IZ232" s="16"/>
      <c r="JA232" s="16"/>
      <c r="JB232" s="16"/>
      <c r="JC232" s="16"/>
      <c r="JD232" s="15"/>
      <c r="JE232" s="15"/>
      <c r="JF232" s="10"/>
      <c r="JG232" s="10"/>
      <c r="JH232" s="19"/>
      <c r="JI232" s="19"/>
      <c r="JL232" s="16"/>
      <c r="JM232" s="15"/>
      <c r="JN232" s="15"/>
      <c r="JO232" s="15"/>
      <c r="JP232" s="16"/>
      <c r="JQ232" s="16"/>
      <c r="JR232" s="16"/>
      <c r="JS232" s="16"/>
      <c r="JT232" s="16"/>
      <c r="JU232" s="15"/>
      <c r="JV232" s="15"/>
      <c r="JW232" s="10"/>
      <c r="JX232" s="10"/>
      <c r="JY232" s="19"/>
      <c r="JZ232" s="19"/>
      <c r="KC232" s="16"/>
      <c r="KD232" s="15"/>
      <c r="KE232" s="15"/>
      <c r="KF232" s="15"/>
      <c r="KG232" s="16"/>
      <c r="KH232" s="16"/>
      <c r="KI232" s="16"/>
      <c r="KJ232" s="16"/>
      <c r="KK232" s="16"/>
      <c r="KL232" s="15"/>
      <c r="KM232" s="15"/>
      <c r="KN232" s="10"/>
      <c r="KO232" s="10"/>
      <c r="KP232" s="19"/>
      <c r="KQ232" s="19"/>
      <c r="KT232" s="16"/>
      <c r="KU232" s="15"/>
      <c r="KV232" s="15"/>
      <c r="KW232" s="15"/>
      <c r="KX232" s="16"/>
      <c r="KY232" s="16"/>
      <c r="KZ232" s="16"/>
      <c r="LA232" s="16"/>
      <c r="LB232" s="16"/>
      <c r="LC232" s="15"/>
      <c r="LD232" s="15"/>
      <c r="LE232" s="10"/>
      <c r="LF232" s="10"/>
      <c r="LG232" s="19"/>
      <c r="LH232" s="19"/>
      <c r="LK232" s="16"/>
      <c r="LL232" s="15"/>
      <c r="LM232" s="15"/>
      <c r="LN232" s="15"/>
      <c r="LO232" s="16"/>
      <c r="LP232" s="16"/>
      <c r="LQ232" s="16"/>
      <c r="LR232" s="16"/>
      <c r="LS232" s="16"/>
      <c r="LT232" s="15"/>
      <c r="LU232" s="15"/>
      <c r="LV232" s="10"/>
      <c r="LW232" s="10"/>
      <c r="LX232" s="19"/>
      <c r="LY232" s="19"/>
      <c r="MB232" s="16"/>
      <c r="MC232" s="15"/>
      <c r="MD232" s="15"/>
      <c r="ME232" s="15"/>
      <c r="MF232" s="16"/>
      <c r="MG232" s="16"/>
      <c r="MH232" s="16"/>
      <c r="MI232" s="16"/>
      <c r="MJ232" s="16"/>
      <c r="MK232" s="15"/>
      <c r="ML232" s="15"/>
      <c r="MM232" s="10"/>
      <c r="MN232" s="10"/>
      <c r="MO232" s="19"/>
      <c r="MP232" s="19"/>
      <c r="MS232" s="16"/>
      <c r="MT232" s="15"/>
      <c r="MU232" s="15"/>
      <c r="MV232" s="15"/>
      <c r="MW232" s="16"/>
      <c r="MX232" s="16"/>
      <c r="MY232" s="16"/>
      <c r="MZ232" s="16"/>
      <c r="NA232" s="16"/>
      <c r="NB232" s="15"/>
      <c r="NC232" s="15"/>
      <c r="ND232" s="10"/>
      <c r="NE232" s="10"/>
      <c r="NF232" s="19"/>
      <c r="NG232" s="19"/>
      <c r="NJ232" s="16"/>
      <c r="NK232" s="15"/>
      <c r="NL232" s="15"/>
      <c r="NM232" s="15"/>
      <c r="NN232" s="16"/>
      <c r="NO232" s="16"/>
      <c r="NP232" s="16"/>
      <c r="NQ232" s="16"/>
      <c r="NR232" s="16"/>
      <c r="NS232" s="15"/>
      <c r="NT232" s="15"/>
      <c r="NU232" s="10"/>
      <c r="NV232" s="10"/>
      <c r="NW232" s="19"/>
      <c r="NX232" s="19"/>
      <c r="OA232" s="16"/>
      <c r="OB232" s="15"/>
      <c r="OC232" s="15"/>
      <c r="OD232" s="15"/>
      <c r="OE232" s="16"/>
      <c r="OF232" s="16"/>
      <c r="OG232" s="16"/>
      <c r="OH232" s="16"/>
      <c r="OI232" s="16"/>
      <c r="OJ232" s="15"/>
      <c r="OK232" s="15"/>
      <c r="OL232" s="10"/>
      <c r="OM232" s="10"/>
      <c r="ON232" s="19"/>
      <c r="OO232" s="19"/>
      <c r="OR232" s="16"/>
      <c r="OS232" s="15"/>
      <c r="OT232" s="15"/>
      <c r="OU232" s="15"/>
      <c r="OV232" s="16"/>
      <c r="OW232" s="16"/>
      <c r="OX232" s="16"/>
      <c r="OY232" s="16"/>
      <c r="OZ232" s="16"/>
      <c r="PA232" s="15"/>
      <c r="PB232" s="15"/>
      <c r="PC232" s="10"/>
      <c r="PD232" s="10"/>
      <c r="PE232" s="19"/>
      <c r="PF232" s="19"/>
      <c r="PI232" s="16"/>
      <c r="PJ232" s="15"/>
      <c r="PK232" s="15"/>
      <c r="PL232" s="15"/>
      <c r="PM232" s="16"/>
      <c r="PN232" s="16"/>
      <c r="PO232" s="16"/>
      <c r="PP232" s="16"/>
      <c r="PQ232" s="16"/>
      <c r="PR232" s="15"/>
      <c r="PS232" s="15"/>
      <c r="PT232" s="10"/>
      <c r="PU232" s="10"/>
      <c r="PV232" s="19"/>
      <c r="PW232" s="19"/>
      <c r="PZ232" s="16"/>
      <c r="QA232" s="15"/>
      <c r="QB232" s="15"/>
      <c r="QC232" s="15"/>
      <c r="QD232" s="16"/>
      <c r="QE232" s="16"/>
      <c r="QF232" s="16"/>
      <c r="QG232" s="16"/>
      <c r="QH232" s="16"/>
      <c r="QI232" s="15"/>
      <c r="QJ232" s="15"/>
      <c r="QK232" s="10"/>
      <c r="QL232" s="10"/>
      <c r="QM232" s="19"/>
      <c r="QN232" s="19"/>
      <c r="QQ232" s="16"/>
      <c r="QR232" s="15"/>
      <c r="QS232" s="15"/>
      <c r="QT232" s="15"/>
      <c r="QU232" s="16"/>
      <c r="QV232" s="16"/>
      <c r="QW232" s="16"/>
      <c r="QX232" s="16"/>
      <c r="QY232" s="16"/>
      <c r="QZ232" s="15"/>
      <c r="RA232" s="15"/>
      <c r="RB232" s="10"/>
      <c r="RC232" s="10"/>
      <c r="RD232" s="19"/>
      <c r="RE232" s="19"/>
      <c r="RH232" s="16"/>
      <c r="RI232" s="15"/>
      <c r="RJ232" s="15"/>
      <c r="RK232" s="15"/>
      <c r="RL232" s="16"/>
      <c r="RM232" s="16"/>
      <c r="RN232" s="16"/>
      <c r="RO232" s="16"/>
      <c r="RP232" s="16"/>
      <c r="RQ232" s="15"/>
      <c r="RR232" s="15"/>
      <c r="RS232" s="10"/>
      <c r="RT232" s="10"/>
      <c r="RU232" s="19"/>
      <c r="RV232" s="19"/>
      <c r="RY232" s="16"/>
      <c r="RZ232" s="15"/>
      <c r="SA232" s="15"/>
      <c r="SB232" s="15"/>
      <c r="SC232" s="16"/>
      <c r="SD232" s="16"/>
      <c r="SE232" s="16"/>
      <c r="SF232" s="16"/>
      <c r="SG232" s="16"/>
      <c r="SH232" s="15"/>
      <c r="SI232" s="15"/>
      <c r="SJ232" s="10"/>
      <c r="SK232" s="10"/>
      <c r="SL232" s="19"/>
      <c r="SM232" s="19"/>
      <c r="SP232" s="16"/>
      <c r="SQ232" s="15"/>
      <c r="SR232" s="15"/>
      <c r="SS232" s="15"/>
      <c r="ST232" s="16"/>
      <c r="SU232" s="16"/>
      <c r="SV232" s="16"/>
      <c r="SW232" s="16"/>
      <c r="SX232" s="16"/>
      <c r="SY232" s="15"/>
      <c r="SZ232" s="15"/>
      <c r="TA232" s="10"/>
      <c r="TB232" s="10"/>
      <c r="TC232" s="19"/>
      <c r="TD232" s="19"/>
      <c r="TG232" s="16"/>
      <c r="TH232" s="15"/>
      <c r="TI232" s="15"/>
      <c r="TJ232" s="15"/>
      <c r="TK232" s="16"/>
      <c r="TL232" s="16"/>
      <c r="TM232" s="16"/>
      <c r="TN232" s="16"/>
      <c r="TO232" s="16"/>
      <c r="TP232" s="15"/>
      <c r="TQ232" s="15"/>
      <c r="TR232" s="10"/>
      <c r="TS232" s="10"/>
      <c r="TT232" s="19"/>
      <c r="TU232" s="19"/>
      <c r="TX232" s="16"/>
      <c r="TY232" s="15"/>
      <c r="TZ232" s="15"/>
      <c r="UA232" s="15"/>
      <c r="UB232" s="16"/>
      <c r="UC232" s="16"/>
      <c r="UD232" s="16"/>
      <c r="UE232" s="16"/>
      <c r="UF232" s="16"/>
      <c r="UG232" s="15"/>
      <c r="UH232" s="15"/>
      <c r="UI232" s="10"/>
      <c r="UJ232" s="10"/>
      <c r="UK232" s="19"/>
      <c r="UL232" s="19"/>
      <c r="UO232" s="16"/>
      <c r="UP232" s="15"/>
      <c r="UQ232" s="15"/>
      <c r="UR232" s="15"/>
      <c r="US232" s="16"/>
      <c r="UT232" s="16"/>
      <c r="UU232" s="16"/>
      <c r="UV232" s="16"/>
      <c r="UW232" s="16"/>
      <c r="UX232" s="15"/>
      <c r="UY232" s="15"/>
      <c r="UZ232" s="10"/>
      <c r="VA232" s="10"/>
      <c r="VB232" s="19"/>
      <c r="VC232" s="19"/>
      <c r="VF232" s="16"/>
      <c r="VG232" s="15"/>
      <c r="VH232" s="15"/>
      <c r="VI232" s="15"/>
      <c r="VJ232" s="16"/>
      <c r="VK232" s="16"/>
      <c r="VL232" s="16"/>
      <c r="VM232" s="16"/>
      <c r="VN232" s="16"/>
      <c r="VO232" s="15"/>
      <c r="VP232" s="15"/>
      <c r="VQ232" s="10"/>
      <c r="VR232" s="10"/>
      <c r="VS232" s="19"/>
      <c r="VT232" s="19"/>
      <c r="VW232" s="16"/>
      <c r="VX232" s="15"/>
      <c r="VY232" s="15"/>
      <c r="VZ232" s="15"/>
      <c r="WA232" s="16"/>
      <c r="WB232" s="16"/>
      <c r="WC232" s="16"/>
      <c r="WD232" s="16"/>
      <c r="WE232" s="16"/>
      <c r="WF232" s="15"/>
      <c r="WG232" s="15"/>
      <c r="WH232" s="10"/>
      <c r="WI232" s="10"/>
      <c r="WJ232" s="19"/>
      <c r="WK232" s="19"/>
      <c r="WN232" s="16"/>
      <c r="WO232" s="15"/>
      <c r="WP232" s="15"/>
      <c r="WQ232" s="15"/>
      <c r="WR232" s="16"/>
      <c r="WS232" s="16"/>
      <c r="WT232" s="16"/>
      <c r="WU232" s="16"/>
      <c r="WV232" s="16"/>
      <c r="WW232" s="15"/>
      <c r="WX232" s="15"/>
      <c r="WY232" s="10"/>
      <c r="WZ232" s="10"/>
      <c r="XA232" s="19"/>
      <c r="XB232" s="19"/>
      <c r="XE232" s="16"/>
      <c r="XF232" s="15"/>
      <c r="XG232" s="15"/>
      <c r="XH232" s="15"/>
      <c r="XI232" s="16"/>
      <c r="XJ232" s="16"/>
      <c r="XK232" s="16"/>
      <c r="XL232" s="16"/>
      <c r="XM232" s="16"/>
      <c r="XN232" s="15"/>
      <c r="XO232" s="15"/>
      <c r="XP232" s="10"/>
      <c r="XQ232" s="10"/>
      <c r="XR232" s="19"/>
      <c r="XS232" s="19"/>
      <c r="XV232" s="16"/>
      <c r="XW232" s="15"/>
      <c r="XX232" s="15"/>
      <c r="XY232" s="15"/>
      <c r="XZ232" s="16"/>
      <c r="YA232" s="16"/>
      <c r="YB232" s="16"/>
      <c r="YC232" s="16"/>
      <c r="YD232" s="16"/>
      <c r="YE232" s="15"/>
      <c r="YF232" s="15"/>
      <c r="YG232" s="10"/>
      <c r="YH232" s="10"/>
      <c r="YI232" s="19"/>
      <c r="YJ232" s="19"/>
      <c r="YM232" s="16"/>
      <c r="YN232" s="15"/>
      <c r="YO232" s="15"/>
      <c r="YP232" s="15"/>
      <c r="YQ232" s="16"/>
      <c r="YR232" s="16"/>
      <c r="YS232" s="16"/>
      <c r="YT232" s="16"/>
      <c r="YU232" s="16"/>
      <c r="YV232" s="15"/>
      <c r="YW232" s="15"/>
      <c r="YX232" s="10"/>
      <c r="YY232" s="10"/>
      <c r="YZ232" s="19"/>
      <c r="ZA232" s="19"/>
      <c r="ZD232" s="16"/>
      <c r="ZE232" s="15"/>
      <c r="ZF232" s="15"/>
      <c r="ZG232" s="15"/>
      <c r="ZH232" s="16"/>
      <c r="ZI232" s="16"/>
      <c r="ZJ232" s="16"/>
      <c r="ZK232" s="16"/>
      <c r="ZL232" s="16"/>
      <c r="ZM232" s="15"/>
      <c r="ZN232" s="15"/>
      <c r="ZO232" s="10"/>
      <c r="ZP232" s="10"/>
      <c r="ZQ232" s="19"/>
      <c r="ZR232" s="19"/>
      <c r="ZU232" s="16"/>
      <c r="ZV232" s="15"/>
      <c r="ZW232" s="15"/>
      <c r="ZX232" s="15"/>
      <c r="ZY232" s="16"/>
      <c r="ZZ232" s="16"/>
      <c r="AAA232" s="16"/>
      <c r="AAB232" s="16"/>
      <c r="AAC232" s="16"/>
      <c r="AAD232" s="15"/>
      <c r="AAE232" s="15"/>
      <c r="AAF232" s="10"/>
      <c r="AAG232" s="10"/>
      <c r="AAH232" s="19"/>
      <c r="AAI232" s="19"/>
      <c r="AAL232" s="16"/>
      <c r="AAM232" s="15"/>
      <c r="AAN232" s="15"/>
      <c r="AAO232" s="15"/>
      <c r="AAP232" s="16"/>
      <c r="AAQ232" s="16"/>
      <c r="AAR232" s="16"/>
      <c r="AAS232" s="16"/>
      <c r="AAT232" s="16"/>
      <c r="AAU232" s="15"/>
      <c r="AAV232" s="15"/>
      <c r="AAW232" s="10"/>
      <c r="AAX232" s="10"/>
      <c r="AAY232" s="19"/>
      <c r="AAZ232" s="19"/>
      <c r="ABC232" s="16"/>
      <c r="ABD232" s="15"/>
      <c r="ABE232" s="15"/>
      <c r="ABF232" s="15"/>
      <c r="ABG232" s="16"/>
      <c r="ABH232" s="16"/>
      <c r="ABI232" s="16"/>
      <c r="ABJ232" s="16"/>
      <c r="ABK232" s="16"/>
      <c r="ABL232" s="15"/>
      <c r="ABM232" s="15"/>
      <c r="ABN232" s="10"/>
      <c r="ABO232" s="10"/>
      <c r="ABP232" s="19"/>
      <c r="ABQ232" s="19"/>
      <c r="ABT232" s="16"/>
      <c r="ABU232" s="15"/>
      <c r="ABV232" s="15"/>
      <c r="ABW232" s="15"/>
      <c r="ABX232" s="16"/>
      <c r="ABY232" s="16"/>
      <c r="ABZ232" s="16"/>
      <c r="ACA232" s="16"/>
      <c r="ACB232" s="16"/>
      <c r="ACC232" s="15"/>
      <c r="ACD232" s="15"/>
      <c r="ACE232" s="10"/>
      <c r="ACF232" s="10"/>
      <c r="ACG232" s="19"/>
      <c r="ACH232" s="19"/>
      <c r="ACK232" s="16"/>
      <c r="ACL232" s="15"/>
      <c r="ACM232" s="15"/>
      <c r="ACN232" s="15"/>
      <c r="ACO232" s="16"/>
      <c r="ACP232" s="16"/>
      <c r="ACQ232" s="16"/>
      <c r="ACR232" s="16"/>
      <c r="ACS232" s="16"/>
      <c r="ACT232" s="15"/>
      <c r="ACU232" s="15"/>
      <c r="ACV232" s="10"/>
      <c r="ACW232" s="10"/>
      <c r="ACX232" s="19"/>
      <c r="ACY232" s="19"/>
      <c r="ADB232" s="16"/>
      <c r="ADC232" s="15"/>
      <c r="ADD232" s="15"/>
      <c r="ADE232" s="15"/>
      <c r="ADF232" s="16"/>
      <c r="ADG232" s="16"/>
      <c r="ADH232" s="16"/>
      <c r="ADI232" s="16"/>
      <c r="ADJ232" s="16"/>
      <c r="ADK232" s="15"/>
      <c r="ADL232" s="15"/>
      <c r="ADM232" s="10"/>
      <c r="ADN232" s="10"/>
      <c r="ADO232" s="19"/>
      <c r="ADP232" s="19"/>
      <c r="ADS232" s="16"/>
      <c r="ADT232" s="15"/>
      <c r="ADU232" s="15"/>
      <c r="ADV232" s="15"/>
      <c r="ADW232" s="16"/>
      <c r="ADX232" s="16"/>
      <c r="ADY232" s="16"/>
      <c r="ADZ232" s="16"/>
      <c r="AEA232" s="16"/>
      <c r="AEB232" s="15"/>
      <c r="AEC232" s="15"/>
      <c r="AED232" s="10"/>
      <c r="AEE232" s="10"/>
      <c r="AEF232" s="19"/>
      <c r="AEG232" s="19"/>
      <c r="AEJ232" s="16"/>
      <c r="AEK232" s="15"/>
      <c r="AEL232" s="15"/>
      <c r="AEM232" s="15"/>
      <c r="AEN232" s="16"/>
      <c r="AEO232" s="16"/>
      <c r="AEP232" s="16"/>
      <c r="AEQ232" s="16"/>
      <c r="AER232" s="16"/>
      <c r="AES232" s="15"/>
      <c r="AET232" s="15"/>
      <c r="AEU232" s="10"/>
      <c r="AEV232" s="10"/>
      <c r="AEW232" s="19"/>
      <c r="AEX232" s="19"/>
      <c r="AFA232" s="16"/>
      <c r="AFB232" s="15"/>
      <c r="AFC232" s="15"/>
      <c r="AFD232" s="15"/>
      <c r="AFE232" s="16"/>
      <c r="AFF232" s="16"/>
      <c r="AFG232" s="16"/>
      <c r="AFH232" s="16"/>
      <c r="AFI232" s="16"/>
      <c r="AFJ232" s="15"/>
      <c r="AFK232" s="15"/>
      <c r="AFL232" s="10"/>
      <c r="AFM232" s="10"/>
      <c r="AFN232" s="19"/>
      <c r="AFO232" s="19"/>
      <c r="AFR232" s="16"/>
      <c r="AFS232" s="15"/>
      <c r="AFT232" s="15"/>
      <c r="AFU232" s="15"/>
      <c r="AFV232" s="16"/>
      <c r="AFW232" s="16"/>
      <c r="AFX232" s="16"/>
      <c r="AFY232" s="16"/>
      <c r="AFZ232" s="16"/>
      <c r="AGA232" s="15"/>
      <c r="AGB232" s="15"/>
      <c r="AGC232" s="10"/>
      <c r="AGD232" s="10"/>
      <c r="AGE232" s="19"/>
      <c r="AGF232" s="19"/>
      <c r="AGI232" s="16"/>
      <c r="AGJ232" s="15"/>
      <c r="AGK232" s="15"/>
      <c r="AGL232" s="15"/>
      <c r="AGM232" s="16"/>
      <c r="AGN232" s="16"/>
      <c r="AGO232" s="16"/>
      <c r="AGP232" s="16"/>
      <c r="AGQ232" s="16"/>
      <c r="AGR232" s="15"/>
      <c r="AGS232" s="15"/>
      <c r="AGT232" s="10"/>
      <c r="AGU232" s="10"/>
      <c r="AGV232" s="19"/>
      <c r="AGW232" s="19"/>
      <c r="AGZ232" s="16"/>
      <c r="AHA232" s="15"/>
      <c r="AHB232" s="15"/>
      <c r="AHC232" s="15"/>
      <c r="AHD232" s="16"/>
      <c r="AHE232" s="16"/>
      <c r="AHF232" s="16"/>
      <c r="AHG232" s="16"/>
      <c r="AHH232" s="16"/>
      <c r="AHI232" s="15"/>
      <c r="AHJ232" s="15"/>
      <c r="AHK232" s="10"/>
      <c r="AHL232" s="10"/>
      <c r="AHM232" s="19"/>
      <c r="AHN232" s="19"/>
      <c r="AHQ232" s="16"/>
      <c r="AHR232" s="15"/>
      <c r="AHS232" s="15"/>
      <c r="AHT232" s="15"/>
      <c r="AHU232" s="16"/>
      <c r="AHV232" s="16"/>
      <c r="AHW232" s="16"/>
      <c r="AHX232" s="16"/>
      <c r="AHY232" s="16"/>
      <c r="AHZ232" s="15"/>
      <c r="AIA232" s="15"/>
      <c r="AIB232" s="10"/>
      <c r="AIC232" s="10"/>
      <c r="AID232" s="19"/>
      <c r="AIE232" s="19"/>
      <c r="AIH232" s="16"/>
      <c r="AII232" s="15"/>
      <c r="AIJ232" s="15"/>
      <c r="AIK232" s="15"/>
      <c r="AIL232" s="16"/>
      <c r="AIM232" s="16"/>
      <c r="AIN232" s="16"/>
      <c r="AIO232" s="16"/>
      <c r="AIP232" s="16"/>
      <c r="AIQ232" s="15"/>
      <c r="AIR232" s="15"/>
      <c r="AIS232" s="10"/>
      <c r="AIT232" s="10"/>
      <c r="AIU232" s="19"/>
      <c r="AIV232" s="19"/>
      <c r="AIY232" s="16"/>
      <c r="AIZ232" s="15"/>
      <c r="AJA232" s="15"/>
      <c r="AJB232" s="15"/>
      <c r="AJC232" s="16"/>
      <c r="AJD232" s="16"/>
      <c r="AJE232" s="16"/>
      <c r="AJF232" s="16"/>
      <c r="AJG232" s="16"/>
      <c r="AJH232" s="15"/>
      <c r="AJI232" s="15"/>
      <c r="AJJ232" s="10"/>
      <c r="AJK232" s="10"/>
      <c r="AJL232" s="19"/>
      <c r="AJM232" s="19"/>
      <c r="AJP232" s="16"/>
      <c r="AJQ232" s="15"/>
      <c r="AJR232" s="15"/>
      <c r="AJS232" s="15"/>
      <c r="AJT232" s="16"/>
      <c r="AJU232" s="16"/>
      <c r="AJV232" s="16"/>
      <c r="AJW232" s="16"/>
      <c r="AJX232" s="16"/>
      <c r="AJY232" s="15"/>
      <c r="AJZ232" s="15"/>
      <c r="AKA232" s="10"/>
      <c r="AKB232" s="10"/>
      <c r="AKC232" s="19"/>
      <c r="AKD232" s="19"/>
      <c r="AKG232" s="16"/>
      <c r="AKH232" s="15"/>
      <c r="AKI232" s="15"/>
      <c r="AKJ232" s="15"/>
      <c r="AKK232" s="16"/>
      <c r="AKL232" s="16"/>
      <c r="AKM232" s="16"/>
      <c r="AKN232" s="16"/>
      <c r="AKO232" s="16"/>
      <c r="AKP232" s="15"/>
      <c r="AKQ232" s="15"/>
      <c r="AKR232" s="10"/>
      <c r="AKS232" s="10"/>
      <c r="AKT232" s="19"/>
      <c r="AKU232" s="19"/>
      <c r="AKX232" s="16"/>
      <c r="AKY232" s="15"/>
      <c r="AKZ232" s="15"/>
      <c r="ALA232" s="15"/>
      <c r="ALB232" s="16"/>
      <c r="ALC232" s="16"/>
      <c r="ALD232" s="16"/>
      <c r="ALE232" s="16"/>
      <c r="ALF232" s="16"/>
      <c r="ALG232" s="15"/>
      <c r="ALH232" s="15"/>
      <c r="ALI232" s="10"/>
      <c r="ALJ232" s="10"/>
      <c r="ALK232" s="19"/>
      <c r="ALL232" s="19"/>
      <c r="ALO232" s="16"/>
      <c r="ALP232" s="15"/>
      <c r="ALQ232" s="15"/>
      <c r="ALR232" s="15"/>
      <c r="ALS232" s="16"/>
      <c r="ALT232" s="16"/>
      <c r="ALU232" s="16"/>
      <c r="ALV232" s="16"/>
      <c r="ALW232" s="16"/>
      <c r="ALX232" s="15"/>
      <c r="ALY232" s="15"/>
      <c r="ALZ232" s="10"/>
      <c r="AMA232" s="10"/>
      <c r="AMB232" s="19"/>
      <c r="AMC232" s="19"/>
      <c r="AMF232" s="16"/>
      <c r="AMG232" s="15"/>
      <c r="AMH232" s="15"/>
      <c r="AMI232" s="15"/>
      <c r="AMJ232" s="16"/>
      <c r="AMK232" s="16"/>
      <c r="AML232" s="16"/>
      <c r="AMM232" s="16"/>
      <c r="AMN232" s="16"/>
      <c r="AMO232" s="15"/>
      <c r="AMP232" s="15"/>
      <c r="AMQ232" s="10"/>
      <c r="AMR232" s="10"/>
      <c r="AMS232" s="19"/>
      <c r="AMT232" s="19"/>
      <c r="AMW232" s="16"/>
      <c r="AMX232" s="15"/>
      <c r="AMY232" s="15"/>
      <c r="AMZ232" s="15"/>
      <c r="ANA232" s="16"/>
      <c r="ANB232" s="16"/>
      <c r="ANC232" s="16"/>
      <c r="AND232" s="16"/>
      <c r="ANE232" s="16"/>
      <c r="ANF232" s="15"/>
      <c r="ANG232" s="15"/>
      <c r="ANH232" s="10"/>
      <c r="ANI232" s="10"/>
      <c r="ANJ232" s="19"/>
      <c r="ANK232" s="19"/>
      <c r="ANN232" s="16"/>
      <c r="ANO232" s="15"/>
      <c r="ANP232" s="15"/>
      <c r="ANQ232" s="15"/>
      <c r="ANR232" s="16"/>
      <c r="ANS232" s="16"/>
      <c r="ANT232" s="16"/>
      <c r="ANU232" s="16"/>
      <c r="ANV232" s="16"/>
      <c r="ANW232" s="15"/>
      <c r="ANX232" s="15"/>
      <c r="ANY232" s="10"/>
      <c r="ANZ232" s="10"/>
      <c r="AOA232" s="19"/>
      <c r="AOB232" s="19"/>
      <c r="AOE232" s="16"/>
      <c r="AOF232" s="15"/>
      <c r="AOG232" s="15"/>
      <c r="AOH232" s="15"/>
      <c r="AOI232" s="16"/>
      <c r="AOJ232" s="16"/>
      <c r="AOK232" s="16"/>
      <c r="AOL232" s="16"/>
      <c r="AOM232" s="16"/>
      <c r="AON232" s="15"/>
      <c r="AOO232" s="15"/>
      <c r="AOP232" s="10"/>
      <c r="AOQ232" s="10"/>
      <c r="AOR232" s="19"/>
      <c r="AOS232" s="19"/>
      <c r="AOV232" s="16"/>
      <c r="AOW232" s="15"/>
      <c r="AOX232" s="15"/>
      <c r="AOY232" s="15"/>
      <c r="AOZ232" s="16"/>
      <c r="APA232" s="16"/>
      <c r="APB232" s="16"/>
      <c r="APC232" s="16"/>
      <c r="APD232" s="16"/>
      <c r="APE232" s="15"/>
      <c r="APF232" s="15"/>
      <c r="APG232" s="10"/>
      <c r="APH232" s="10"/>
      <c r="API232" s="19"/>
      <c r="APJ232" s="19"/>
      <c r="APM232" s="16"/>
      <c r="APN232" s="15"/>
      <c r="APO232" s="15"/>
      <c r="APP232" s="15"/>
      <c r="APQ232" s="16"/>
      <c r="APR232" s="16"/>
      <c r="APS232" s="16"/>
      <c r="APT232" s="16"/>
      <c r="APU232" s="16"/>
      <c r="APV232" s="15"/>
      <c r="APW232" s="15"/>
      <c r="APX232" s="10"/>
      <c r="APY232" s="10"/>
      <c r="APZ232" s="19"/>
      <c r="AQA232" s="19"/>
      <c r="AQD232" s="16"/>
      <c r="AQE232" s="15"/>
      <c r="AQF232" s="15"/>
      <c r="AQG232" s="15"/>
      <c r="AQH232" s="16"/>
      <c r="AQI232" s="16"/>
      <c r="AQJ232" s="16"/>
      <c r="AQK232" s="16"/>
      <c r="AQL232" s="16"/>
      <c r="AQM232" s="15"/>
      <c r="AQN232" s="15"/>
      <c r="AQO232" s="10"/>
      <c r="AQP232" s="10"/>
      <c r="AQQ232" s="19"/>
      <c r="AQR232" s="19"/>
      <c r="AQU232" s="16"/>
      <c r="AQV232" s="15"/>
      <c r="AQW232" s="15"/>
      <c r="AQX232" s="15"/>
      <c r="AQY232" s="16"/>
      <c r="AQZ232" s="16"/>
      <c r="ARA232" s="16"/>
      <c r="ARB232" s="16"/>
      <c r="ARC232" s="16"/>
      <c r="ARD232" s="15"/>
      <c r="ARE232" s="15"/>
      <c r="ARF232" s="10"/>
      <c r="ARG232" s="10"/>
      <c r="ARH232" s="19"/>
      <c r="ARI232" s="19"/>
      <c r="ARL232" s="16"/>
      <c r="ARM232" s="15"/>
      <c r="ARN232" s="15"/>
      <c r="ARO232" s="15"/>
      <c r="ARP232" s="16"/>
      <c r="ARQ232" s="16"/>
      <c r="ARR232" s="16"/>
      <c r="ARS232" s="16"/>
      <c r="ART232" s="16"/>
      <c r="ARU232" s="15"/>
      <c r="ARV232" s="15"/>
      <c r="ARW232" s="10"/>
      <c r="ARX232" s="10"/>
      <c r="ARY232" s="19"/>
      <c r="ARZ232" s="19"/>
      <c r="ASC232" s="16"/>
      <c r="ASD232" s="15"/>
      <c r="ASE232" s="15"/>
      <c r="ASF232" s="15"/>
      <c r="ASG232" s="16"/>
      <c r="ASH232" s="16"/>
      <c r="ASI232" s="16"/>
      <c r="ASJ232" s="16"/>
      <c r="ASK232" s="16"/>
      <c r="ASL232" s="15"/>
      <c r="ASM232" s="15"/>
      <c r="ASN232" s="10"/>
      <c r="ASO232" s="10"/>
      <c r="ASP232" s="19"/>
      <c r="ASQ232" s="19"/>
      <c r="AST232" s="16"/>
      <c r="ASU232" s="15"/>
      <c r="ASV232" s="15"/>
      <c r="ASW232" s="15"/>
      <c r="ASX232" s="16"/>
      <c r="ASY232" s="16"/>
      <c r="ASZ232" s="16"/>
      <c r="ATA232" s="16"/>
      <c r="ATB232" s="16"/>
      <c r="ATC232" s="15"/>
      <c r="ATD232" s="15"/>
      <c r="ATE232" s="10"/>
      <c r="ATF232" s="10"/>
      <c r="ATG232" s="19"/>
      <c r="ATH232" s="19"/>
      <c r="ATK232" s="16"/>
      <c r="ATL232" s="15"/>
      <c r="ATM232" s="15"/>
      <c r="ATN232" s="15"/>
      <c r="ATO232" s="16"/>
      <c r="ATP232" s="16"/>
      <c r="ATQ232" s="16"/>
      <c r="ATR232" s="16"/>
      <c r="ATS232" s="16"/>
      <c r="ATT232" s="15"/>
      <c r="ATU232" s="15"/>
      <c r="ATV232" s="10"/>
      <c r="ATW232" s="10"/>
      <c r="ATX232" s="19"/>
      <c r="ATY232" s="19"/>
      <c r="AUB232" s="16"/>
      <c r="AUC232" s="15"/>
      <c r="AUD232" s="15"/>
      <c r="AUE232" s="15"/>
      <c r="AUF232" s="16"/>
      <c r="AUG232" s="16"/>
      <c r="AUH232" s="16"/>
      <c r="AUI232" s="16"/>
      <c r="AUJ232" s="16"/>
      <c r="AUK232" s="15"/>
      <c r="AUL232" s="15"/>
      <c r="AUM232" s="10"/>
      <c r="AUN232" s="10"/>
      <c r="AUO232" s="19"/>
      <c r="AUP232" s="19"/>
      <c r="AUS232" s="16"/>
      <c r="AUT232" s="15"/>
      <c r="AUU232" s="15"/>
      <c r="AUV232" s="15"/>
      <c r="AUW232" s="16"/>
      <c r="AUX232" s="16"/>
      <c r="AUY232" s="16"/>
      <c r="AUZ232" s="16"/>
      <c r="AVA232" s="16"/>
      <c r="AVB232" s="15"/>
      <c r="AVC232" s="15"/>
      <c r="AVD232" s="10"/>
      <c r="AVE232" s="10"/>
      <c r="AVF232" s="19"/>
      <c r="AVG232" s="19"/>
      <c r="AVJ232" s="16"/>
      <c r="AVK232" s="15"/>
      <c r="AVL232" s="15"/>
      <c r="AVM232" s="15"/>
      <c r="AVN232" s="16"/>
      <c r="AVO232" s="16"/>
      <c r="AVP232" s="16"/>
      <c r="AVQ232" s="16"/>
      <c r="AVR232" s="16"/>
      <c r="AVS232" s="15"/>
      <c r="AVT232" s="15"/>
      <c r="AVU232" s="10"/>
      <c r="AVV232" s="10"/>
      <c r="AVW232" s="19"/>
      <c r="AVX232" s="19"/>
      <c r="AWA232" s="16"/>
      <c r="AWB232" s="15"/>
      <c r="AWC232" s="15"/>
      <c r="AWD232" s="15"/>
      <c r="AWE232" s="16"/>
      <c r="AWF232" s="16"/>
      <c r="AWG232" s="16"/>
      <c r="AWH232" s="16"/>
      <c r="AWI232" s="16"/>
      <c r="AWJ232" s="15"/>
      <c r="AWK232" s="15"/>
      <c r="AWL232" s="10"/>
      <c r="AWM232" s="10"/>
      <c r="AWN232" s="19"/>
      <c r="AWO232" s="19"/>
      <c r="AWR232" s="16"/>
      <c r="AWS232" s="15"/>
      <c r="AWT232" s="15"/>
      <c r="AWU232" s="15"/>
      <c r="AWV232" s="16"/>
      <c r="AWW232" s="16"/>
      <c r="AWX232" s="16"/>
      <c r="AWY232" s="16"/>
      <c r="AWZ232" s="16"/>
      <c r="AXA232" s="15"/>
      <c r="AXB232" s="15"/>
      <c r="AXC232" s="10"/>
      <c r="AXD232" s="10"/>
      <c r="AXE232" s="19"/>
      <c r="AXF232" s="19"/>
      <c r="AXI232" s="16"/>
      <c r="AXJ232" s="15"/>
      <c r="AXK232" s="15"/>
      <c r="AXL232" s="15"/>
      <c r="AXM232" s="16"/>
      <c r="AXN232" s="16"/>
      <c r="AXO232" s="16"/>
      <c r="AXP232" s="16"/>
      <c r="AXQ232" s="16"/>
      <c r="AXR232" s="15"/>
      <c r="AXS232" s="15"/>
      <c r="AXT232" s="10"/>
      <c r="AXU232" s="10"/>
      <c r="AXV232" s="19"/>
      <c r="AXW232" s="19"/>
      <c r="AXZ232" s="16"/>
      <c r="AYA232" s="15"/>
      <c r="AYB232" s="15"/>
      <c r="AYC232" s="15"/>
      <c r="AYD232" s="16"/>
      <c r="AYE232" s="16"/>
      <c r="AYF232" s="16"/>
      <c r="AYG232" s="16"/>
      <c r="AYH232" s="16"/>
      <c r="AYI232" s="15"/>
      <c r="AYJ232" s="15"/>
      <c r="AYK232" s="10"/>
      <c r="AYL232" s="10"/>
      <c r="AYM232" s="19"/>
      <c r="AYN232" s="19"/>
      <c r="AYQ232" s="16"/>
      <c r="AYR232" s="15"/>
      <c r="AYS232" s="15"/>
      <c r="AYT232" s="15"/>
      <c r="AYU232" s="16"/>
      <c r="AYV232" s="16"/>
      <c r="AYW232" s="16"/>
      <c r="AYX232" s="16"/>
      <c r="AYY232" s="16"/>
      <c r="AYZ232" s="15"/>
      <c r="AZA232" s="15"/>
      <c r="AZB232" s="10"/>
      <c r="AZC232" s="10"/>
      <c r="AZD232" s="19"/>
      <c r="AZE232" s="19"/>
      <c r="AZH232" s="16"/>
      <c r="AZI232" s="15"/>
      <c r="AZJ232" s="15"/>
      <c r="AZK232" s="15"/>
      <c r="AZL232" s="16"/>
      <c r="AZM232" s="16"/>
      <c r="AZN232" s="16"/>
      <c r="AZO232" s="16"/>
      <c r="AZP232" s="16"/>
      <c r="AZQ232" s="15"/>
      <c r="AZR232" s="15"/>
      <c r="AZS232" s="10"/>
      <c r="AZT232" s="10"/>
      <c r="AZU232" s="19"/>
      <c r="AZV232" s="19"/>
      <c r="AZY232" s="16"/>
      <c r="AZZ232" s="15"/>
      <c r="BAA232" s="15"/>
      <c r="BAB232" s="15"/>
      <c r="BAC232" s="16"/>
      <c r="BAD232" s="16"/>
      <c r="BAE232" s="16"/>
      <c r="BAF232" s="16"/>
      <c r="BAG232" s="16"/>
      <c r="BAH232" s="15"/>
      <c r="BAI232" s="15"/>
      <c r="BAJ232" s="10"/>
      <c r="BAK232" s="10"/>
      <c r="BAL232" s="19"/>
      <c r="BAM232" s="19"/>
      <c r="BAP232" s="16"/>
      <c r="BAQ232" s="15"/>
      <c r="BAR232" s="15"/>
      <c r="BAS232" s="15"/>
      <c r="BAT232" s="16"/>
      <c r="BAU232" s="16"/>
      <c r="BAV232" s="16"/>
      <c r="BAW232" s="16"/>
      <c r="BAX232" s="16"/>
      <c r="BAY232" s="15"/>
      <c r="BAZ232" s="15"/>
      <c r="BBA232" s="10"/>
      <c r="BBB232" s="10"/>
      <c r="BBC232" s="19"/>
      <c r="BBD232" s="19"/>
      <c r="BBG232" s="16"/>
      <c r="BBH232" s="15"/>
      <c r="BBI232" s="15"/>
      <c r="BBJ232" s="15"/>
      <c r="BBK232" s="16"/>
      <c r="BBL232" s="16"/>
      <c r="BBM232" s="16"/>
      <c r="BBN232" s="16"/>
      <c r="BBO232" s="16"/>
      <c r="BBP232" s="15"/>
      <c r="BBQ232" s="15"/>
      <c r="BBR232" s="10"/>
      <c r="BBS232" s="10"/>
      <c r="BBT232" s="19"/>
      <c r="BBU232" s="19"/>
      <c r="BBX232" s="16"/>
      <c r="BBY232" s="15"/>
      <c r="BBZ232" s="15"/>
      <c r="BCA232" s="15"/>
      <c r="BCB232" s="16"/>
      <c r="BCC232" s="16"/>
      <c r="BCD232" s="16"/>
      <c r="BCE232" s="16"/>
      <c r="BCF232" s="16"/>
      <c r="BCG232" s="15"/>
      <c r="BCH232" s="15"/>
      <c r="BCI232" s="10"/>
      <c r="BCJ232" s="10"/>
      <c r="BCK232" s="19"/>
      <c r="BCL232" s="19"/>
      <c r="BCO232" s="16"/>
      <c r="BCP232" s="15"/>
      <c r="BCQ232" s="15"/>
      <c r="BCR232" s="15"/>
      <c r="BCS232" s="16"/>
      <c r="BCT232" s="16"/>
      <c r="BCU232" s="16"/>
      <c r="BCV232" s="16"/>
      <c r="BCW232" s="16"/>
      <c r="BCX232" s="15"/>
      <c r="BCY232" s="15"/>
      <c r="BCZ232" s="10"/>
      <c r="BDA232" s="10"/>
      <c r="BDB232" s="19"/>
      <c r="BDC232" s="19"/>
      <c r="BDF232" s="16"/>
      <c r="BDG232" s="15"/>
      <c r="BDH232" s="15"/>
      <c r="BDI232" s="15"/>
      <c r="BDJ232" s="16"/>
      <c r="BDK232" s="16"/>
      <c r="BDL232" s="16"/>
      <c r="BDM232" s="16"/>
      <c r="BDN232" s="16"/>
      <c r="BDO232" s="15"/>
      <c r="BDP232" s="15"/>
      <c r="BDQ232" s="10"/>
      <c r="BDR232" s="10"/>
      <c r="BDS232" s="19"/>
      <c r="BDT232" s="19"/>
      <c r="BDW232" s="16"/>
      <c r="BDX232" s="15"/>
      <c r="BDY232" s="15"/>
      <c r="BDZ232" s="15"/>
      <c r="BEA232" s="16"/>
      <c r="BEB232" s="16"/>
      <c r="BEC232" s="16"/>
      <c r="BED232" s="16"/>
      <c r="BEE232" s="16"/>
      <c r="BEF232" s="15"/>
      <c r="BEG232" s="15"/>
      <c r="BEH232" s="10"/>
      <c r="BEI232" s="10"/>
      <c r="BEJ232" s="19"/>
      <c r="BEK232" s="19"/>
      <c r="BEN232" s="16"/>
      <c r="BEO232" s="15"/>
      <c r="BEP232" s="15"/>
      <c r="BEQ232" s="15"/>
      <c r="BER232" s="16"/>
      <c r="BES232" s="16"/>
      <c r="BET232" s="16"/>
      <c r="BEU232" s="16"/>
      <c r="BEV232" s="16"/>
      <c r="BEW232" s="15"/>
      <c r="BEX232" s="15"/>
      <c r="BEY232" s="10"/>
      <c r="BEZ232" s="10"/>
      <c r="BFA232" s="19"/>
      <c r="BFB232" s="19"/>
      <c r="BFE232" s="16"/>
      <c r="BFF232" s="15"/>
      <c r="BFG232" s="15"/>
      <c r="BFH232" s="15"/>
      <c r="BFI232" s="16"/>
      <c r="BFJ232" s="16"/>
      <c r="BFK232" s="16"/>
      <c r="BFL232" s="16"/>
      <c r="BFM232" s="16"/>
      <c r="BFN232" s="15"/>
      <c r="BFO232" s="15"/>
      <c r="BFP232" s="10"/>
      <c r="BFQ232" s="10"/>
      <c r="BFR232" s="19"/>
      <c r="BFS232" s="19"/>
      <c r="BFV232" s="16"/>
      <c r="BFW232" s="15"/>
      <c r="BFX232" s="15"/>
      <c r="BFY232" s="15"/>
      <c r="BFZ232" s="16"/>
      <c r="BGA232" s="16"/>
      <c r="BGB232" s="16"/>
      <c r="BGC232" s="16"/>
      <c r="BGD232" s="16"/>
      <c r="BGE232" s="15"/>
      <c r="BGF232" s="15"/>
      <c r="BGG232" s="10"/>
      <c r="BGH232" s="10"/>
      <c r="BGI232" s="19"/>
      <c r="BGJ232" s="19"/>
      <c r="BGM232" s="16"/>
      <c r="BGN232" s="15"/>
      <c r="BGO232" s="15"/>
      <c r="BGP232" s="15"/>
      <c r="BGQ232" s="16"/>
      <c r="BGR232" s="16"/>
      <c r="BGS232" s="16"/>
      <c r="BGT232" s="16"/>
      <c r="BGU232" s="16"/>
      <c r="BGV232" s="15"/>
      <c r="BGW232" s="15"/>
      <c r="BGX232" s="10"/>
      <c r="BGY232" s="10"/>
      <c r="BGZ232" s="19"/>
      <c r="BHA232" s="19"/>
      <c r="BHD232" s="16"/>
      <c r="BHE232" s="15"/>
      <c r="BHF232" s="15"/>
      <c r="BHG232" s="15"/>
      <c r="BHH232" s="16"/>
      <c r="BHI232" s="16"/>
      <c r="BHJ232" s="16"/>
      <c r="BHK232" s="16"/>
      <c r="BHL232" s="16"/>
      <c r="BHM232" s="15"/>
      <c r="BHN232" s="15"/>
      <c r="BHO232" s="10"/>
      <c r="BHP232" s="10"/>
      <c r="BHQ232" s="19"/>
      <c r="BHR232" s="19"/>
      <c r="BHU232" s="16"/>
      <c r="BHV232" s="15"/>
      <c r="BHW232" s="15"/>
      <c r="BHX232" s="15"/>
      <c r="BHY232" s="16"/>
      <c r="BHZ232" s="16"/>
      <c r="BIA232" s="16"/>
      <c r="BIB232" s="16"/>
      <c r="BIC232" s="16"/>
      <c r="BID232" s="15"/>
      <c r="BIE232" s="15"/>
      <c r="BIF232" s="10"/>
      <c r="BIG232" s="10"/>
      <c r="BIH232" s="19"/>
      <c r="BII232" s="19"/>
      <c r="BIL232" s="16"/>
      <c r="BIM232" s="15"/>
      <c r="BIN232" s="15"/>
      <c r="BIO232" s="15"/>
      <c r="BIP232" s="16"/>
      <c r="BIQ232" s="16"/>
      <c r="BIR232" s="16"/>
      <c r="BIS232" s="16"/>
      <c r="BIT232" s="16"/>
      <c r="BIU232" s="15"/>
      <c r="BIV232" s="15"/>
      <c r="BIW232" s="10"/>
      <c r="BIX232" s="10"/>
      <c r="BIY232" s="19"/>
      <c r="BIZ232" s="19"/>
      <c r="BJC232" s="16"/>
      <c r="BJD232" s="15"/>
      <c r="BJE232" s="15"/>
      <c r="BJF232" s="15"/>
      <c r="BJG232" s="16"/>
      <c r="BJH232" s="16"/>
      <c r="BJI232" s="16"/>
      <c r="BJJ232" s="16"/>
      <c r="BJK232" s="16"/>
      <c r="BJL232" s="15"/>
      <c r="BJM232" s="15"/>
      <c r="BJN232" s="10"/>
      <c r="BJO232" s="10"/>
      <c r="BJP232" s="19"/>
      <c r="BJQ232" s="19"/>
      <c r="BJT232" s="16"/>
      <c r="BJU232" s="15"/>
      <c r="BJV232" s="15"/>
      <c r="BJW232" s="15"/>
      <c r="BJX232" s="16"/>
      <c r="BJY232" s="16"/>
      <c r="BJZ232" s="16"/>
      <c r="BKA232" s="16"/>
      <c r="BKB232" s="16"/>
      <c r="BKC232" s="15"/>
      <c r="BKD232" s="15"/>
      <c r="BKE232" s="10"/>
      <c r="BKF232" s="10"/>
      <c r="BKG232" s="19"/>
      <c r="BKH232" s="19"/>
      <c r="BKK232" s="16"/>
      <c r="BKL232" s="15"/>
      <c r="BKM232" s="15"/>
      <c r="BKN232" s="15"/>
      <c r="BKO232" s="16"/>
      <c r="BKP232" s="16"/>
      <c r="BKQ232" s="16"/>
      <c r="BKR232" s="16"/>
      <c r="BKS232" s="16"/>
      <c r="BKT232" s="15"/>
      <c r="BKU232" s="15"/>
      <c r="BKV232" s="10"/>
      <c r="BKW232" s="10"/>
      <c r="BKX232" s="19"/>
      <c r="BKY232" s="19"/>
      <c r="BLB232" s="16"/>
      <c r="BLC232" s="15"/>
      <c r="BLD232" s="15"/>
      <c r="BLE232" s="15"/>
      <c r="BLF232" s="16"/>
      <c r="BLG232" s="16"/>
      <c r="BLH232" s="16"/>
      <c r="BLI232" s="16"/>
      <c r="BLJ232" s="16"/>
      <c r="BLK232" s="15"/>
      <c r="BLL232" s="15"/>
      <c r="BLM232" s="10"/>
      <c r="BLN232" s="10"/>
      <c r="BLO232" s="19"/>
      <c r="BLP232" s="19"/>
      <c r="BLS232" s="16"/>
      <c r="BLT232" s="15"/>
      <c r="BLU232" s="15"/>
      <c r="BLV232" s="15"/>
      <c r="BLW232" s="16"/>
      <c r="BLX232" s="16"/>
      <c r="BLY232" s="16"/>
      <c r="BLZ232" s="16"/>
      <c r="BMA232" s="16"/>
      <c r="BMB232" s="15"/>
      <c r="BMC232" s="15"/>
      <c r="BMD232" s="10"/>
      <c r="BME232" s="10"/>
      <c r="BMF232" s="19"/>
      <c r="BMG232" s="19"/>
      <c r="BMJ232" s="16"/>
      <c r="BMK232" s="15"/>
      <c r="BML232" s="15"/>
      <c r="BMM232" s="15"/>
      <c r="BMN232" s="16"/>
      <c r="BMO232" s="16"/>
      <c r="BMP232" s="16"/>
      <c r="BMQ232" s="16"/>
      <c r="BMR232" s="16"/>
      <c r="BMS232" s="15"/>
      <c r="BMT232" s="15"/>
      <c r="BMU232" s="10"/>
      <c r="BMV232" s="10"/>
      <c r="BMW232" s="19"/>
      <c r="BMX232" s="19"/>
      <c r="BNA232" s="16"/>
      <c r="BNB232" s="15"/>
      <c r="BNC232" s="15"/>
      <c r="BND232" s="15"/>
      <c r="BNE232" s="16"/>
      <c r="BNF232" s="16"/>
      <c r="BNG232" s="16"/>
      <c r="BNH232" s="16"/>
      <c r="BNI232" s="16"/>
      <c r="BNJ232" s="15"/>
      <c r="BNK232" s="15"/>
      <c r="BNL232" s="10"/>
      <c r="BNM232" s="10"/>
      <c r="BNN232" s="19"/>
      <c r="BNO232" s="19"/>
      <c r="BNR232" s="16"/>
      <c r="BNS232" s="15"/>
      <c r="BNT232" s="15"/>
      <c r="BNU232" s="15"/>
      <c r="BNV232" s="16"/>
      <c r="BNW232" s="16"/>
      <c r="BNX232" s="16"/>
      <c r="BNY232" s="16"/>
      <c r="BNZ232" s="16"/>
      <c r="BOA232" s="15"/>
      <c r="BOB232" s="15"/>
      <c r="BOC232" s="10"/>
      <c r="BOD232" s="10"/>
      <c r="BOE232" s="19"/>
      <c r="BOF232" s="19"/>
      <c r="BOI232" s="16"/>
      <c r="BOJ232" s="15"/>
      <c r="BOK232" s="15"/>
      <c r="BOL232" s="15"/>
      <c r="BOM232" s="16"/>
      <c r="BON232" s="16"/>
      <c r="BOO232" s="16"/>
      <c r="BOP232" s="16"/>
      <c r="BOQ232" s="16"/>
      <c r="BOR232" s="15"/>
      <c r="BOS232" s="15"/>
      <c r="BOT232" s="10"/>
      <c r="BOU232" s="10"/>
      <c r="BOV232" s="19"/>
      <c r="BOW232" s="19"/>
      <c r="BOZ232" s="16"/>
      <c r="BPA232" s="15"/>
      <c r="BPB232" s="15"/>
      <c r="BPC232" s="15"/>
      <c r="BPD232" s="16"/>
      <c r="BPE232" s="16"/>
      <c r="BPF232" s="16"/>
      <c r="BPG232" s="16"/>
      <c r="BPH232" s="16"/>
      <c r="BPI232" s="15"/>
      <c r="BPJ232" s="15"/>
      <c r="BPK232" s="10"/>
      <c r="BPL232" s="10"/>
      <c r="BPM232" s="19"/>
      <c r="BPN232" s="19"/>
      <c r="BPQ232" s="16"/>
      <c r="BPR232" s="15"/>
      <c r="BPS232" s="15"/>
      <c r="BPT232" s="15"/>
      <c r="BPU232" s="16"/>
      <c r="BPV232" s="16"/>
      <c r="BPW232" s="16"/>
      <c r="BPX232" s="16"/>
      <c r="BPY232" s="16"/>
      <c r="BPZ232" s="15"/>
      <c r="BQA232" s="15"/>
      <c r="BQB232" s="10"/>
      <c r="BQC232" s="10"/>
      <c r="BQD232" s="19"/>
      <c r="BQE232" s="19"/>
      <c r="BQH232" s="16"/>
      <c r="BQI232" s="15"/>
      <c r="BQJ232" s="15"/>
      <c r="BQK232" s="15"/>
      <c r="BQL232" s="16"/>
      <c r="BQM232" s="16"/>
      <c r="BQN232" s="16"/>
      <c r="BQO232" s="16"/>
      <c r="BQP232" s="16"/>
      <c r="BQQ232" s="15"/>
      <c r="BQR232" s="15"/>
      <c r="BQS232" s="10"/>
      <c r="BQT232" s="10"/>
      <c r="BQU232" s="19"/>
      <c r="BQV232" s="19"/>
      <c r="BQY232" s="16"/>
      <c r="BQZ232" s="15"/>
      <c r="BRA232" s="15"/>
      <c r="BRB232" s="15"/>
      <c r="BRC232" s="16"/>
      <c r="BRD232" s="16"/>
      <c r="BRE232" s="16"/>
      <c r="BRF232" s="16"/>
      <c r="BRG232" s="16"/>
      <c r="BRH232" s="15"/>
      <c r="BRI232" s="15"/>
      <c r="BRJ232" s="10"/>
      <c r="BRK232" s="10"/>
      <c r="BRL232" s="19"/>
      <c r="BRM232" s="19"/>
      <c r="BRP232" s="16"/>
      <c r="BRQ232" s="15"/>
      <c r="BRR232" s="15"/>
      <c r="BRS232" s="15"/>
      <c r="BRT232" s="16"/>
      <c r="BRU232" s="16"/>
      <c r="BRV232" s="16"/>
      <c r="BRW232" s="16"/>
      <c r="BRX232" s="16"/>
      <c r="BRY232" s="15"/>
      <c r="BRZ232" s="15"/>
      <c r="BSA232" s="10"/>
      <c r="BSB232" s="10"/>
      <c r="BSC232" s="19"/>
      <c r="BSD232" s="19"/>
      <c r="BSG232" s="16"/>
      <c r="BSH232" s="15"/>
      <c r="BSI232" s="15"/>
      <c r="BSJ232" s="15"/>
      <c r="BSK232" s="16"/>
      <c r="BSL232" s="16"/>
      <c r="BSM232" s="16"/>
      <c r="BSN232" s="16"/>
      <c r="BSO232" s="16"/>
      <c r="BSP232" s="15"/>
      <c r="BSQ232" s="15"/>
      <c r="BSR232" s="10"/>
      <c r="BSS232" s="10"/>
      <c r="BST232" s="19"/>
      <c r="BSU232" s="19"/>
      <c r="BSX232" s="16"/>
      <c r="BSY232" s="15"/>
      <c r="BSZ232" s="15"/>
      <c r="BTA232" s="15"/>
      <c r="BTB232" s="16"/>
      <c r="BTC232" s="16"/>
      <c r="BTD232" s="16"/>
      <c r="BTE232" s="16"/>
      <c r="BTF232" s="16"/>
      <c r="BTG232" s="15"/>
      <c r="BTH232" s="15"/>
      <c r="BTI232" s="10"/>
      <c r="BTJ232" s="10"/>
      <c r="BTK232" s="19"/>
      <c r="BTL232" s="19"/>
      <c r="BTO232" s="16"/>
      <c r="BTP232" s="15"/>
      <c r="BTQ232" s="15"/>
      <c r="BTR232" s="15"/>
      <c r="BTS232" s="16"/>
      <c r="BTT232" s="16"/>
      <c r="BTU232" s="16"/>
      <c r="BTV232" s="16"/>
      <c r="BTW232" s="16"/>
      <c r="BTX232" s="15"/>
      <c r="BTY232" s="15"/>
      <c r="BTZ232" s="10"/>
      <c r="BUA232" s="10"/>
      <c r="BUB232" s="19"/>
      <c r="BUC232" s="19"/>
      <c r="BUF232" s="16"/>
      <c r="BUG232" s="15"/>
      <c r="BUH232" s="15"/>
      <c r="BUI232" s="15"/>
      <c r="BUJ232" s="16"/>
      <c r="BUK232" s="16"/>
      <c r="BUL232" s="16"/>
      <c r="BUM232" s="16"/>
      <c r="BUN232" s="16"/>
      <c r="BUO232" s="15"/>
      <c r="BUP232" s="15"/>
      <c r="BUQ232" s="10"/>
      <c r="BUR232" s="10"/>
      <c r="BUS232" s="19"/>
      <c r="BUT232" s="19"/>
      <c r="BUW232" s="16"/>
      <c r="BUX232" s="15"/>
      <c r="BUY232" s="15"/>
      <c r="BUZ232" s="15"/>
      <c r="BVA232" s="16"/>
      <c r="BVB232" s="16"/>
      <c r="BVC232" s="16"/>
      <c r="BVD232" s="16"/>
      <c r="BVE232" s="16"/>
      <c r="BVF232" s="15"/>
      <c r="BVG232" s="15"/>
      <c r="BVH232" s="10"/>
      <c r="BVI232" s="10"/>
      <c r="BVJ232" s="19"/>
      <c r="BVK232" s="19"/>
      <c r="BVN232" s="16"/>
      <c r="BVO232" s="15"/>
      <c r="BVP232" s="15"/>
      <c r="BVQ232" s="15"/>
      <c r="BVR232" s="16"/>
      <c r="BVS232" s="16"/>
      <c r="BVT232" s="16"/>
      <c r="BVU232" s="16"/>
      <c r="BVV232" s="16"/>
      <c r="BVW232" s="15"/>
      <c r="BVX232" s="15"/>
      <c r="BVY232" s="10"/>
      <c r="BVZ232" s="10"/>
      <c r="BWA232" s="19"/>
      <c r="BWB232" s="19"/>
      <c r="BWE232" s="16"/>
      <c r="BWF232" s="15"/>
      <c r="BWG232" s="15"/>
      <c r="BWH232" s="15"/>
      <c r="BWI232" s="16"/>
      <c r="BWJ232" s="16"/>
      <c r="BWK232" s="16"/>
      <c r="BWL232" s="16"/>
      <c r="BWM232" s="16"/>
      <c r="BWN232" s="15"/>
      <c r="BWO232" s="15"/>
      <c r="BWP232" s="10"/>
      <c r="BWQ232" s="10"/>
      <c r="BWR232" s="19"/>
      <c r="BWS232" s="19"/>
      <c r="BWV232" s="16"/>
      <c r="BWW232" s="15"/>
      <c r="BWX232" s="15"/>
      <c r="BWY232" s="15"/>
      <c r="BWZ232" s="16"/>
      <c r="BXA232" s="16"/>
      <c r="BXB232" s="16"/>
      <c r="BXC232" s="16"/>
      <c r="BXD232" s="16"/>
      <c r="BXE232" s="15"/>
      <c r="BXF232" s="15"/>
      <c r="BXG232" s="10"/>
      <c r="BXH232" s="10"/>
      <c r="BXI232" s="19"/>
      <c r="BXJ232" s="19"/>
      <c r="BXM232" s="16"/>
      <c r="BXN232" s="15"/>
      <c r="BXO232" s="15"/>
      <c r="BXP232" s="15"/>
      <c r="BXQ232" s="16"/>
      <c r="BXR232" s="16"/>
      <c r="BXS232" s="16"/>
      <c r="BXT232" s="16"/>
      <c r="BXU232" s="16"/>
      <c r="BXV232" s="15"/>
      <c r="BXW232" s="15"/>
      <c r="BXX232" s="10"/>
      <c r="BXY232" s="10"/>
      <c r="BXZ232" s="19"/>
      <c r="BYA232" s="19"/>
      <c r="BYD232" s="16"/>
      <c r="BYE232" s="15"/>
      <c r="BYF232" s="15"/>
      <c r="BYG232" s="15"/>
      <c r="BYH232" s="16"/>
      <c r="BYI232" s="16"/>
      <c r="BYJ232" s="16"/>
      <c r="BYK232" s="16"/>
      <c r="BYL232" s="16"/>
      <c r="BYM232" s="15"/>
      <c r="BYN232" s="15"/>
      <c r="BYO232" s="10"/>
      <c r="BYP232" s="10"/>
      <c r="BYQ232" s="19"/>
      <c r="BYR232" s="19"/>
      <c r="BYU232" s="16"/>
      <c r="BYV232" s="15"/>
      <c r="BYW232" s="15"/>
      <c r="BYX232" s="15"/>
      <c r="BYY232" s="16"/>
      <c r="BYZ232" s="16"/>
      <c r="BZA232" s="16"/>
      <c r="BZB232" s="16"/>
      <c r="BZC232" s="16"/>
      <c r="BZD232" s="15"/>
      <c r="BZE232" s="15"/>
      <c r="BZF232" s="10"/>
      <c r="BZG232" s="10"/>
      <c r="BZH232" s="19"/>
      <c r="BZI232" s="19"/>
      <c r="BZL232" s="16"/>
      <c r="BZM232" s="15"/>
      <c r="BZN232" s="15"/>
      <c r="BZO232" s="15"/>
      <c r="BZP232" s="16"/>
      <c r="BZQ232" s="16"/>
      <c r="BZR232" s="16"/>
      <c r="BZS232" s="16"/>
      <c r="BZT232" s="16"/>
      <c r="BZU232" s="15"/>
      <c r="BZV232" s="15"/>
      <c r="BZW232" s="10"/>
      <c r="BZX232" s="10"/>
      <c r="BZY232" s="19"/>
      <c r="BZZ232" s="19"/>
      <c r="CAC232" s="16"/>
      <c r="CAD232" s="15"/>
      <c r="CAE232" s="15"/>
      <c r="CAF232" s="15"/>
      <c r="CAG232" s="16"/>
      <c r="CAH232" s="16"/>
      <c r="CAI232" s="16"/>
      <c r="CAJ232" s="16"/>
      <c r="CAK232" s="16"/>
      <c r="CAL232" s="15"/>
      <c r="CAM232" s="15"/>
      <c r="CAN232" s="10"/>
      <c r="CAO232" s="10"/>
      <c r="CAP232" s="19"/>
      <c r="CAQ232" s="19"/>
      <c r="CAT232" s="16"/>
      <c r="CAU232" s="15"/>
      <c r="CAV232" s="15"/>
      <c r="CAW232" s="15"/>
      <c r="CAX232" s="16"/>
      <c r="CAY232" s="16"/>
      <c r="CAZ232" s="16"/>
      <c r="CBA232" s="16"/>
      <c r="CBB232" s="16"/>
      <c r="CBC232" s="15"/>
      <c r="CBD232" s="15"/>
      <c r="CBE232" s="10"/>
      <c r="CBF232" s="10"/>
      <c r="CBG232" s="19"/>
      <c r="CBH232" s="19"/>
      <c r="CBK232" s="16"/>
      <c r="CBL232" s="15"/>
      <c r="CBM232" s="15"/>
      <c r="CBN232" s="15"/>
      <c r="CBO232" s="16"/>
      <c r="CBP232" s="16"/>
      <c r="CBQ232" s="16"/>
      <c r="CBR232" s="16"/>
      <c r="CBS232" s="16"/>
      <c r="CBT232" s="15"/>
      <c r="CBU232" s="15"/>
      <c r="CBV232" s="10"/>
      <c r="CBW232" s="10"/>
      <c r="CBX232" s="19"/>
      <c r="CBY232" s="19"/>
      <c r="CCB232" s="16"/>
      <c r="CCC232" s="15"/>
      <c r="CCD232" s="15"/>
      <c r="CCE232" s="15"/>
      <c r="CCF232" s="16"/>
      <c r="CCG232" s="16"/>
      <c r="CCH232" s="16"/>
      <c r="CCI232" s="16"/>
      <c r="CCJ232" s="16"/>
      <c r="CCK232" s="15"/>
      <c r="CCL232" s="15"/>
      <c r="CCM232" s="10"/>
      <c r="CCN232" s="10"/>
      <c r="CCO232" s="19"/>
      <c r="CCP232" s="19"/>
      <c r="CCS232" s="16"/>
      <c r="CCT232" s="15"/>
      <c r="CCU232" s="15"/>
      <c r="CCV232" s="15"/>
      <c r="CCW232" s="16"/>
      <c r="CCX232" s="16"/>
      <c r="CCY232" s="16"/>
      <c r="CCZ232" s="16"/>
      <c r="CDA232" s="16"/>
      <c r="CDB232" s="15"/>
      <c r="CDC232" s="15"/>
      <c r="CDD232" s="10"/>
      <c r="CDE232" s="10"/>
      <c r="CDF232" s="19"/>
      <c r="CDG232" s="19"/>
      <c r="CDJ232" s="16"/>
      <c r="CDK232" s="15"/>
      <c r="CDL232" s="15"/>
      <c r="CDM232" s="15"/>
      <c r="CDN232" s="16"/>
      <c r="CDO232" s="16"/>
      <c r="CDP232" s="16"/>
      <c r="CDQ232" s="16"/>
      <c r="CDR232" s="16"/>
      <c r="CDS232" s="15"/>
      <c r="CDT232" s="15"/>
      <c r="CDU232" s="10"/>
      <c r="CDV232" s="10"/>
      <c r="CDW232" s="19"/>
      <c r="CDX232" s="19"/>
      <c r="CEA232" s="16"/>
      <c r="CEB232" s="15"/>
      <c r="CEC232" s="15"/>
      <c r="CED232" s="15"/>
      <c r="CEE232" s="16"/>
      <c r="CEF232" s="16"/>
      <c r="CEG232" s="16"/>
      <c r="CEH232" s="16"/>
      <c r="CEI232" s="16"/>
      <c r="CEJ232" s="15"/>
      <c r="CEK232" s="15"/>
      <c r="CEL232" s="10"/>
      <c r="CEM232" s="10"/>
      <c r="CEN232" s="19"/>
      <c r="CEO232" s="19"/>
      <c r="CER232" s="16"/>
      <c r="CES232" s="15"/>
      <c r="CET232" s="15"/>
      <c r="CEU232" s="15"/>
      <c r="CEV232" s="16"/>
      <c r="CEW232" s="16"/>
      <c r="CEX232" s="16"/>
      <c r="CEY232" s="16"/>
      <c r="CEZ232" s="16"/>
      <c r="CFA232" s="15"/>
      <c r="CFB232" s="15"/>
      <c r="CFC232" s="10"/>
      <c r="CFD232" s="10"/>
      <c r="CFE232" s="19"/>
      <c r="CFF232" s="19"/>
      <c r="CFI232" s="16"/>
      <c r="CFJ232" s="15"/>
      <c r="CFK232" s="15"/>
      <c r="CFL232" s="15"/>
      <c r="CFM232" s="16"/>
      <c r="CFN232" s="16"/>
      <c r="CFO232" s="16"/>
      <c r="CFP232" s="16"/>
      <c r="CFQ232" s="16"/>
      <c r="CFR232" s="15"/>
      <c r="CFS232" s="15"/>
      <c r="CFT232" s="10"/>
      <c r="CFU232" s="10"/>
      <c r="CFV232" s="19"/>
      <c r="CFW232" s="19"/>
      <c r="CFZ232" s="16"/>
      <c r="CGA232" s="15"/>
      <c r="CGB232" s="15"/>
      <c r="CGC232" s="15"/>
      <c r="CGD232" s="16"/>
      <c r="CGE232" s="16"/>
      <c r="CGF232" s="16"/>
      <c r="CGG232" s="16"/>
      <c r="CGH232" s="16"/>
      <c r="CGI232" s="15"/>
      <c r="CGJ232" s="15"/>
      <c r="CGK232" s="10"/>
      <c r="CGL232" s="10"/>
      <c r="CGM232" s="19"/>
      <c r="CGN232" s="19"/>
      <c r="CGQ232" s="16"/>
      <c r="CGR232" s="15"/>
      <c r="CGS232" s="15"/>
      <c r="CGT232" s="15"/>
      <c r="CGU232" s="16"/>
      <c r="CGV232" s="16"/>
      <c r="CGW232" s="16"/>
      <c r="CGX232" s="16"/>
      <c r="CGY232" s="16"/>
      <c r="CGZ232" s="15"/>
      <c r="CHA232" s="15"/>
      <c r="CHB232" s="10"/>
      <c r="CHC232" s="10"/>
      <c r="CHD232" s="19"/>
      <c r="CHE232" s="19"/>
      <c r="CHH232" s="16"/>
      <c r="CHI232" s="15"/>
      <c r="CHJ232" s="15"/>
      <c r="CHK232" s="15"/>
      <c r="CHL232" s="16"/>
      <c r="CHM232" s="16"/>
      <c r="CHN232" s="16"/>
      <c r="CHO232" s="16"/>
      <c r="CHP232" s="16"/>
      <c r="CHQ232" s="15"/>
      <c r="CHR232" s="15"/>
      <c r="CHS232" s="10"/>
      <c r="CHT232" s="10"/>
      <c r="CHU232" s="19"/>
      <c r="CHV232" s="19"/>
      <c r="CHY232" s="16"/>
      <c r="CHZ232" s="15"/>
      <c r="CIA232" s="15"/>
      <c r="CIB232" s="15"/>
      <c r="CIC232" s="16"/>
      <c r="CID232" s="16"/>
      <c r="CIE232" s="16"/>
      <c r="CIF232" s="16"/>
      <c r="CIG232" s="16"/>
      <c r="CIH232" s="15"/>
      <c r="CII232" s="15"/>
      <c r="CIJ232" s="10"/>
      <c r="CIK232" s="10"/>
      <c r="CIL232" s="19"/>
      <c r="CIM232" s="19"/>
      <c r="CIP232" s="16"/>
      <c r="CIQ232" s="15"/>
      <c r="CIR232" s="15"/>
      <c r="CIS232" s="15"/>
      <c r="CIT232" s="16"/>
      <c r="CIU232" s="16"/>
      <c r="CIV232" s="16"/>
      <c r="CIW232" s="16"/>
      <c r="CIX232" s="16"/>
      <c r="CIY232" s="15"/>
      <c r="CIZ232" s="15"/>
      <c r="CJA232" s="10"/>
      <c r="CJB232" s="10"/>
      <c r="CJC232" s="19"/>
      <c r="CJD232" s="19"/>
      <c r="CJG232" s="16"/>
      <c r="CJH232" s="15"/>
      <c r="CJI232" s="15"/>
      <c r="CJJ232" s="15"/>
      <c r="CJK232" s="16"/>
      <c r="CJL232" s="16"/>
      <c r="CJM232" s="16"/>
      <c r="CJN232" s="16"/>
      <c r="CJO232" s="16"/>
      <c r="CJP232" s="15"/>
      <c r="CJQ232" s="15"/>
      <c r="CJR232" s="10"/>
      <c r="CJS232" s="10"/>
      <c r="CJT232" s="19"/>
      <c r="CJU232" s="19"/>
      <c r="CJX232" s="16"/>
      <c r="CJY232" s="15"/>
      <c r="CJZ232" s="15"/>
      <c r="CKA232" s="15"/>
      <c r="CKB232" s="16"/>
      <c r="CKC232" s="16"/>
      <c r="CKD232" s="16"/>
      <c r="CKE232" s="16"/>
      <c r="CKF232" s="16"/>
      <c r="CKG232" s="15"/>
      <c r="CKH232" s="15"/>
      <c r="CKI232" s="10"/>
      <c r="CKJ232" s="10"/>
      <c r="CKK232" s="19"/>
      <c r="CKL232" s="19"/>
      <c r="CKO232" s="16"/>
      <c r="CKP232" s="15"/>
      <c r="CKQ232" s="15"/>
      <c r="CKR232" s="15"/>
      <c r="CKS232" s="16"/>
      <c r="CKT232" s="16"/>
      <c r="CKU232" s="16"/>
      <c r="CKV232" s="16"/>
      <c r="CKW232" s="16"/>
      <c r="CKX232" s="15"/>
      <c r="CKY232" s="15"/>
      <c r="CKZ232" s="10"/>
      <c r="CLA232" s="10"/>
      <c r="CLB232" s="19"/>
      <c r="CLC232" s="19"/>
      <c r="CLF232" s="16"/>
      <c r="CLG232" s="15"/>
      <c r="CLH232" s="15"/>
      <c r="CLI232" s="15"/>
      <c r="CLJ232" s="16"/>
      <c r="CLK232" s="16"/>
      <c r="CLL232" s="16"/>
      <c r="CLM232" s="16"/>
      <c r="CLN232" s="16"/>
      <c r="CLO232" s="15"/>
      <c r="CLP232" s="15"/>
      <c r="CLQ232" s="10"/>
      <c r="CLR232" s="10"/>
      <c r="CLS232" s="19"/>
      <c r="CLT232" s="19"/>
      <c r="CLW232" s="16"/>
      <c r="CLX232" s="15"/>
      <c r="CLY232" s="15"/>
      <c r="CLZ232" s="15"/>
      <c r="CMA232" s="16"/>
      <c r="CMB232" s="16"/>
      <c r="CMC232" s="16"/>
      <c r="CMD232" s="16"/>
      <c r="CME232" s="16"/>
      <c r="CMF232" s="15"/>
      <c r="CMG232" s="15"/>
      <c r="CMH232" s="10"/>
      <c r="CMI232" s="10"/>
      <c r="CMJ232" s="19"/>
      <c r="CMK232" s="19"/>
      <c r="CMN232" s="16"/>
      <c r="CMO232" s="15"/>
      <c r="CMP232" s="15"/>
      <c r="CMQ232" s="15"/>
      <c r="CMR232" s="16"/>
      <c r="CMS232" s="16"/>
      <c r="CMT232" s="16"/>
      <c r="CMU232" s="16"/>
      <c r="CMV232" s="16"/>
      <c r="CMW232" s="15"/>
      <c r="CMX232" s="15"/>
      <c r="CMY232" s="10"/>
      <c r="CMZ232" s="10"/>
      <c r="CNA232" s="19"/>
      <c r="CNB232" s="19"/>
      <c r="CNE232" s="16"/>
      <c r="CNF232" s="15"/>
      <c r="CNG232" s="15"/>
      <c r="CNH232" s="15"/>
      <c r="CNI232" s="16"/>
      <c r="CNJ232" s="16"/>
      <c r="CNK232" s="16"/>
      <c r="CNL232" s="16"/>
      <c r="CNM232" s="16"/>
      <c r="CNN232" s="15"/>
      <c r="CNO232" s="15"/>
      <c r="CNP232" s="10"/>
      <c r="CNQ232" s="10"/>
      <c r="CNR232" s="19"/>
      <c r="CNS232" s="19"/>
      <c r="CNV232" s="16"/>
      <c r="CNW232" s="15"/>
      <c r="CNX232" s="15"/>
      <c r="CNY232" s="15"/>
      <c r="CNZ232" s="16"/>
      <c r="COA232" s="16"/>
      <c r="COB232" s="16"/>
      <c r="COC232" s="16"/>
      <c r="COD232" s="16"/>
      <c r="COE232" s="15"/>
      <c r="COF232" s="15"/>
      <c r="COG232" s="10"/>
      <c r="COH232" s="10"/>
      <c r="COI232" s="19"/>
      <c r="COJ232" s="19"/>
      <c r="COM232" s="16"/>
      <c r="CON232" s="15"/>
      <c r="COO232" s="15"/>
      <c r="COP232" s="15"/>
      <c r="COQ232" s="16"/>
      <c r="COR232" s="16"/>
      <c r="COS232" s="16"/>
      <c r="COT232" s="16"/>
      <c r="COU232" s="16"/>
      <c r="COV232" s="15"/>
      <c r="COW232" s="15"/>
      <c r="COX232" s="10"/>
      <c r="COY232" s="10"/>
      <c r="COZ232" s="19"/>
      <c r="CPA232" s="19"/>
      <c r="CPD232" s="16"/>
      <c r="CPE232" s="15"/>
      <c r="CPF232" s="15"/>
      <c r="CPG232" s="15"/>
      <c r="CPH232" s="16"/>
      <c r="CPI232" s="16"/>
      <c r="CPJ232" s="16"/>
      <c r="CPK232" s="16"/>
      <c r="CPL232" s="16"/>
      <c r="CPM232" s="15"/>
      <c r="CPN232" s="15"/>
      <c r="CPO232" s="10"/>
      <c r="CPP232" s="10"/>
      <c r="CPQ232" s="19"/>
      <c r="CPR232" s="19"/>
      <c r="CPU232" s="16"/>
      <c r="CPV232" s="15"/>
      <c r="CPW232" s="15"/>
      <c r="CPX232" s="15"/>
      <c r="CPY232" s="16"/>
      <c r="CPZ232" s="16"/>
      <c r="CQA232" s="16"/>
      <c r="CQB232" s="16"/>
      <c r="CQC232" s="16"/>
      <c r="CQD232" s="15"/>
      <c r="CQE232" s="15"/>
      <c r="CQF232" s="10"/>
      <c r="CQG232" s="10"/>
      <c r="CQH232" s="19"/>
      <c r="CQI232" s="19"/>
      <c r="CQL232" s="16"/>
      <c r="CQM232" s="15"/>
      <c r="CQN232" s="15"/>
      <c r="CQO232" s="15"/>
      <c r="CQP232" s="16"/>
      <c r="CQQ232" s="16"/>
      <c r="CQR232" s="16"/>
      <c r="CQS232" s="16"/>
      <c r="CQT232" s="16"/>
      <c r="CQU232" s="15"/>
      <c r="CQV232" s="15"/>
      <c r="CQW232" s="10"/>
      <c r="CQX232" s="10"/>
      <c r="CQY232" s="19"/>
      <c r="CQZ232" s="19"/>
      <c r="CRC232" s="16"/>
      <c r="CRD232" s="15"/>
      <c r="CRE232" s="15"/>
      <c r="CRF232" s="15"/>
      <c r="CRG232" s="16"/>
      <c r="CRH232" s="16"/>
      <c r="CRI232" s="16"/>
      <c r="CRJ232" s="16"/>
      <c r="CRK232" s="16"/>
      <c r="CRL232" s="15"/>
      <c r="CRM232" s="15"/>
      <c r="CRN232" s="10"/>
      <c r="CRO232" s="10"/>
      <c r="CRP232" s="19"/>
      <c r="CRQ232" s="19"/>
      <c r="CRT232" s="16"/>
      <c r="CRU232" s="15"/>
      <c r="CRV232" s="15"/>
      <c r="CRW232" s="15"/>
      <c r="CRX232" s="16"/>
      <c r="CRY232" s="16"/>
      <c r="CRZ232" s="16"/>
      <c r="CSA232" s="16"/>
      <c r="CSB232" s="16"/>
      <c r="CSC232" s="15"/>
      <c r="CSD232" s="15"/>
      <c r="CSE232" s="10"/>
      <c r="CSF232" s="10"/>
      <c r="CSG232" s="19"/>
      <c r="CSH232" s="19"/>
      <c r="CSK232" s="16"/>
      <c r="CSL232" s="15"/>
      <c r="CSM232" s="15"/>
      <c r="CSN232" s="15"/>
      <c r="CSO232" s="16"/>
      <c r="CSP232" s="16"/>
      <c r="CSQ232" s="16"/>
      <c r="CSR232" s="16"/>
      <c r="CSS232" s="16"/>
      <c r="CST232" s="15"/>
      <c r="CSU232" s="15"/>
      <c r="CSV232" s="10"/>
      <c r="CSW232" s="10"/>
      <c r="CSX232" s="19"/>
      <c r="CSY232" s="19"/>
      <c r="CTB232" s="16"/>
      <c r="CTC232" s="15"/>
      <c r="CTD232" s="15"/>
      <c r="CTE232" s="15"/>
      <c r="CTF232" s="16"/>
      <c r="CTG232" s="16"/>
      <c r="CTH232" s="16"/>
      <c r="CTI232" s="16"/>
      <c r="CTJ232" s="16"/>
      <c r="CTK232" s="15"/>
      <c r="CTL232" s="15"/>
      <c r="CTM232" s="10"/>
      <c r="CTN232" s="10"/>
      <c r="CTO232" s="19"/>
      <c r="CTP232" s="19"/>
      <c r="CTS232" s="16"/>
      <c r="CTT232" s="15"/>
      <c r="CTU232" s="15"/>
      <c r="CTV232" s="15"/>
      <c r="CTW232" s="16"/>
      <c r="CTX232" s="16"/>
      <c r="CTY232" s="16"/>
      <c r="CTZ232" s="16"/>
      <c r="CUA232" s="16"/>
      <c r="CUB232" s="15"/>
      <c r="CUC232" s="15"/>
      <c r="CUD232" s="10"/>
      <c r="CUE232" s="10"/>
      <c r="CUF232" s="19"/>
      <c r="CUG232" s="19"/>
      <c r="CUJ232" s="16"/>
      <c r="CUK232" s="15"/>
      <c r="CUL232" s="15"/>
      <c r="CUM232" s="15"/>
      <c r="CUN232" s="16"/>
      <c r="CUO232" s="16"/>
      <c r="CUP232" s="16"/>
      <c r="CUQ232" s="16"/>
      <c r="CUR232" s="16"/>
      <c r="CUS232" s="15"/>
      <c r="CUT232" s="15"/>
      <c r="CUU232" s="10"/>
      <c r="CUV232" s="10"/>
      <c r="CUW232" s="19"/>
      <c r="CUX232" s="19"/>
      <c r="CVA232" s="16"/>
      <c r="CVB232" s="15"/>
      <c r="CVC232" s="15"/>
      <c r="CVD232" s="15"/>
      <c r="CVE232" s="16"/>
      <c r="CVF232" s="16"/>
      <c r="CVG232" s="16"/>
      <c r="CVH232" s="16"/>
      <c r="CVI232" s="16"/>
      <c r="CVJ232" s="15"/>
      <c r="CVK232" s="15"/>
      <c r="CVL232" s="10"/>
      <c r="CVM232" s="10"/>
      <c r="CVN232" s="19"/>
      <c r="CVO232" s="19"/>
      <c r="CVR232" s="16"/>
      <c r="CVS232" s="15"/>
      <c r="CVT232" s="15"/>
      <c r="CVU232" s="15"/>
      <c r="CVV232" s="16"/>
      <c r="CVW232" s="16"/>
      <c r="CVX232" s="16"/>
      <c r="CVY232" s="16"/>
      <c r="CVZ232" s="16"/>
      <c r="CWA232" s="15"/>
      <c r="CWB232" s="15"/>
      <c r="CWC232" s="10"/>
      <c r="CWD232" s="10"/>
      <c r="CWE232" s="19"/>
      <c r="CWF232" s="19"/>
      <c r="CWI232" s="16"/>
      <c r="CWJ232" s="15"/>
      <c r="CWK232" s="15"/>
      <c r="CWL232" s="15"/>
      <c r="CWM232" s="16"/>
      <c r="CWN232" s="16"/>
      <c r="CWO232" s="16"/>
      <c r="CWP232" s="16"/>
      <c r="CWQ232" s="16"/>
      <c r="CWR232" s="15"/>
      <c r="CWS232" s="15"/>
      <c r="CWT232" s="10"/>
      <c r="CWU232" s="10"/>
      <c r="CWV232" s="19"/>
      <c r="CWW232" s="19"/>
      <c r="CWZ232" s="16"/>
      <c r="CXA232" s="15"/>
      <c r="CXB232" s="15"/>
      <c r="CXC232" s="15"/>
      <c r="CXD232" s="16"/>
      <c r="CXE232" s="16"/>
      <c r="CXF232" s="16"/>
      <c r="CXG232" s="16"/>
      <c r="CXH232" s="16"/>
      <c r="CXI232" s="15"/>
      <c r="CXJ232" s="15"/>
      <c r="CXK232" s="10"/>
      <c r="CXL232" s="10"/>
      <c r="CXM232" s="19"/>
      <c r="CXN232" s="19"/>
      <c r="CXQ232" s="16"/>
      <c r="CXR232" s="15"/>
      <c r="CXS232" s="15"/>
      <c r="CXT232" s="15"/>
      <c r="CXU232" s="16"/>
      <c r="CXV232" s="16"/>
      <c r="CXW232" s="16"/>
      <c r="CXX232" s="16"/>
      <c r="CXY232" s="16"/>
      <c r="CXZ232" s="15"/>
      <c r="CYA232" s="15"/>
      <c r="CYB232" s="10"/>
      <c r="CYC232" s="10"/>
      <c r="CYD232" s="19"/>
      <c r="CYE232" s="19"/>
      <c r="CYH232" s="16"/>
      <c r="CYI232" s="15"/>
      <c r="CYJ232" s="15"/>
      <c r="CYK232" s="15"/>
      <c r="CYL232" s="16"/>
      <c r="CYM232" s="16"/>
      <c r="CYN232" s="16"/>
      <c r="CYO232" s="16"/>
      <c r="CYP232" s="16"/>
      <c r="CYQ232" s="15"/>
      <c r="CYR232" s="15"/>
      <c r="CYS232" s="10"/>
      <c r="CYT232" s="10"/>
      <c r="CYU232" s="19"/>
      <c r="CYV232" s="19"/>
      <c r="CYY232" s="16"/>
      <c r="CYZ232" s="15"/>
      <c r="CZA232" s="15"/>
      <c r="CZB232" s="15"/>
      <c r="CZC232" s="16"/>
      <c r="CZD232" s="16"/>
      <c r="CZE232" s="16"/>
      <c r="CZF232" s="16"/>
      <c r="CZG232" s="16"/>
      <c r="CZH232" s="15"/>
      <c r="CZI232" s="15"/>
      <c r="CZJ232" s="10"/>
      <c r="CZK232" s="10"/>
      <c r="CZL232" s="19"/>
      <c r="CZM232" s="19"/>
      <c r="CZP232" s="16"/>
      <c r="CZQ232" s="15"/>
      <c r="CZR232" s="15"/>
      <c r="CZS232" s="15"/>
      <c r="CZT232" s="16"/>
      <c r="CZU232" s="16"/>
      <c r="CZV232" s="16"/>
      <c r="CZW232" s="16"/>
      <c r="CZX232" s="16"/>
      <c r="CZY232" s="15"/>
      <c r="CZZ232" s="15"/>
      <c r="DAA232" s="10"/>
      <c r="DAB232" s="10"/>
      <c r="DAC232" s="19"/>
      <c r="DAD232" s="19"/>
      <c r="DAG232" s="16"/>
      <c r="DAH232" s="15"/>
      <c r="DAI232" s="15"/>
      <c r="DAJ232" s="15"/>
      <c r="DAK232" s="16"/>
      <c r="DAL232" s="16"/>
      <c r="DAM232" s="16"/>
      <c r="DAN232" s="16"/>
      <c r="DAO232" s="16"/>
      <c r="DAP232" s="15"/>
      <c r="DAQ232" s="15"/>
      <c r="DAR232" s="10"/>
      <c r="DAS232" s="10"/>
      <c r="DAT232" s="19"/>
      <c r="DAU232" s="19"/>
      <c r="DAX232" s="16"/>
      <c r="DAY232" s="15"/>
      <c r="DAZ232" s="15"/>
      <c r="DBA232" s="15"/>
      <c r="DBB232" s="16"/>
      <c r="DBC232" s="16"/>
      <c r="DBD232" s="16"/>
      <c r="DBE232" s="16"/>
      <c r="DBF232" s="16"/>
      <c r="DBG232" s="15"/>
      <c r="DBH232" s="15"/>
      <c r="DBI232" s="10"/>
      <c r="DBJ232" s="10"/>
      <c r="DBK232" s="19"/>
      <c r="DBL232" s="19"/>
      <c r="DBO232" s="16"/>
      <c r="DBP232" s="15"/>
      <c r="DBQ232" s="15"/>
      <c r="DBR232" s="15"/>
      <c r="DBS232" s="16"/>
      <c r="DBT232" s="16"/>
      <c r="DBU232" s="16"/>
      <c r="DBV232" s="16"/>
      <c r="DBW232" s="16"/>
      <c r="DBX232" s="15"/>
      <c r="DBY232" s="15"/>
      <c r="DBZ232" s="10"/>
      <c r="DCA232" s="10"/>
      <c r="DCB232" s="19"/>
      <c r="DCC232" s="19"/>
      <c r="DCF232" s="16"/>
      <c r="DCG232" s="15"/>
      <c r="DCH232" s="15"/>
      <c r="DCI232" s="15"/>
      <c r="DCJ232" s="16"/>
      <c r="DCK232" s="16"/>
      <c r="DCL232" s="16"/>
      <c r="DCM232" s="16"/>
      <c r="DCN232" s="16"/>
      <c r="DCO232" s="15"/>
      <c r="DCP232" s="15"/>
      <c r="DCQ232" s="10"/>
      <c r="DCR232" s="10"/>
      <c r="DCS232" s="19"/>
      <c r="DCT232" s="19"/>
      <c r="DCW232" s="16"/>
      <c r="DCX232" s="15"/>
      <c r="DCY232" s="15"/>
      <c r="DCZ232" s="15"/>
      <c r="DDA232" s="16"/>
      <c r="DDB232" s="16"/>
      <c r="DDC232" s="16"/>
      <c r="DDD232" s="16"/>
      <c r="DDE232" s="16"/>
      <c r="DDF232" s="15"/>
      <c r="DDG232" s="15"/>
      <c r="DDH232" s="10"/>
      <c r="DDI232" s="10"/>
      <c r="DDJ232" s="19"/>
      <c r="DDK232" s="19"/>
      <c r="DDN232" s="16"/>
      <c r="DDO232" s="15"/>
      <c r="DDP232" s="15"/>
      <c r="DDQ232" s="15"/>
      <c r="DDR232" s="16"/>
      <c r="DDS232" s="16"/>
      <c r="DDT232" s="16"/>
      <c r="DDU232" s="16"/>
      <c r="DDV232" s="16"/>
      <c r="DDW232" s="15"/>
      <c r="DDX232" s="15"/>
      <c r="DDY232" s="10"/>
      <c r="DDZ232" s="10"/>
      <c r="DEA232" s="19"/>
      <c r="DEB232" s="19"/>
      <c r="DEE232" s="16"/>
      <c r="DEF232" s="15"/>
      <c r="DEG232" s="15"/>
      <c r="DEH232" s="15"/>
      <c r="DEI232" s="16"/>
      <c r="DEJ232" s="16"/>
      <c r="DEK232" s="16"/>
      <c r="DEL232" s="16"/>
      <c r="DEM232" s="16"/>
      <c r="DEN232" s="15"/>
      <c r="DEO232" s="15"/>
      <c r="DEP232" s="10"/>
      <c r="DEQ232" s="10"/>
      <c r="DER232" s="19"/>
      <c r="DES232" s="19"/>
      <c r="DEV232" s="16"/>
      <c r="DEW232" s="15"/>
      <c r="DEX232" s="15"/>
      <c r="DEY232" s="15"/>
      <c r="DEZ232" s="16"/>
      <c r="DFA232" s="16"/>
      <c r="DFB232" s="16"/>
      <c r="DFC232" s="16"/>
      <c r="DFD232" s="16"/>
      <c r="DFE232" s="15"/>
      <c r="DFF232" s="15"/>
      <c r="DFG232" s="10"/>
      <c r="DFH232" s="10"/>
      <c r="DFI232" s="19"/>
      <c r="DFJ232" s="19"/>
      <c r="DFM232" s="16"/>
      <c r="DFN232" s="15"/>
      <c r="DFO232" s="15"/>
      <c r="DFP232" s="15"/>
      <c r="DFQ232" s="16"/>
      <c r="DFR232" s="16"/>
      <c r="DFS232" s="16"/>
      <c r="DFT232" s="16"/>
      <c r="DFU232" s="16"/>
      <c r="DFV232" s="15"/>
      <c r="DFW232" s="15"/>
      <c r="DFX232" s="10"/>
      <c r="DFY232" s="10"/>
      <c r="DFZ232" s="19"/>
      <c r="DGA232" s="19"/>
      <c r="DGD232" s="16"/>
      <c r="DGE232" s="15"/>
      <c r="DGF232" s="15"/>
      <c r="DGG232" s="15"/>
      <c r="DGH232" s="16"/>
      <c r="DGI232" s="16"/>
      <c r="DGJ232" s="16"/>
      <c r="DGK232" s="16"/>
      <c r="DGL232" s="16"/>
      <c r="DGM232" s="15"/>
      <c r="DGN232" s="15"/>
      <c r="DGO232" s="10"/>
      <c r="DGP232" s="10"/>
      <c r="DGQ232" s="19"/>
      <c r="DGR232" s="19"/>
      <c r="DGU232" s="16"/>
      <c r="DGV232" s="15"/>
      <c r="DGW232" s="15"/>
      <c r="DGX232" s="15"/>
      <c r="DGY232" s="16"/>
      <c r="DGZ232" s="16"/>
      <c r="DHA232" s="16"/>
      <c r="DHB232" s="16"/>
      <c r="DHC232" s="16"/>
      <c r="DHD232" s="15"/>
      <c r="DHE232" s="15"/>
      <c r="DHF232" s="10"/>
      <c r="DHG232" s="10"/>
      <c r="DHH232" s="19"/>
      <c r="DHI232" s="19"/>
      <c r="DHL232" s="16"/>
      <c r="DHM232" s="15"/>
      <c r="DHN232" s="15"/>
      <c r="DHO232" s="15"/>
      <c r="DHP232" s="16"/>
      <c r="DHQ232" s="16"/>
      <c r="DHR232" s="16"/>
      <c r="DHS232" s="16"/>
      <c r="DHT232" s="16"/>
      <c r="DHU232" s="15"/>
      <c r="DHV232" s="15"/>
      <c r="DHW232" s="10"/>
      <c r="DHX232" s="10"/>
      <c r="DHY232" s="19"/>
      <c r="DHZ232" s="19"/>
      <c r="DIC232" s="16"/>
      <c r="DID232" s="15"/>
      <c r="DIE232" s="15"/>
      <c r="DIF232" s="15"/>
      <c r="DIG232" s="16"/>
      <c r="DIH232" s="16"/>
      <c r="DII232" s="16"/>
      <c r="DIJ232" s="16"/>
      <c r="DIK232" s="16"/>
      <c r="DIL232" s="15"/>
      <c r="DIM232" s="15"/>
      <c r="DIN232" s="10"/>
      <c r="DIO232" s="10"/>
      <c r="DIP232" s="19"/>
      <c r="DIQ232" s="19"/>
      <c r="DIT232" s="16"/>
      <c r="DIU232" s="15"/>
      <c r="DIV232" s="15"/>
      <c r="DIW232" s="15"/>
      <c r="DIX232" s="16"/>
      <c r="DIY232" s="16"/>
      <c r="DIZ232" s="16"/>
      <c r="DJA232" s="16"/>
      <c r="DJB232" s="16"/>
      <c r="DJC232" s="15"/>
      <c r="DJD232" s="15"/>
      <c r="DJE232" s="10"/>
      <c r="DJF232" s="10"/>
      <c r="DJG232" s="19"/>
      <c r="DJH232" s="19"/>
      <c r="DJK232" s="16"/>
      <c r="DJL232" s="15"/>
      <c r="DJM232" s="15"/>
      <c r="DJN232" s="15"/>
      <c r="DJO232" s="16"/>
      <c r="DJP232" s="16"/>
      <c r="DJQ232" s="16"/>
      <c r="DJR232" s="16"/>
      <c r="DJS232" s="16"/>
      <c r="DJT232" s="15"/>
      <c r="DJU232" s="15"/>
      <c r="DJV232" s="10"/>
      <c r="DJW232" s="10"/>
      <c r="DJX232" s="19"/>
      <c r="DJY232" s="19"/>
      <c r="DKB232" s="16"/>
      <c r="DKC232" s="15"/>
      <c r="DKD232" s="15"/>
      <c r="DKE232" s="15"/>
      <c r="DKF232" s="16"/>
      <c r="DKG232" s="16"/>
      <c r="DKH232" s="16"/>
      <c r="DKI232" s="16"/>
      <c r="DKJ232" s="16"/>
      <c r="DKK232" s="15"/>
      <c r="DKL232" s="15"/>
      <c r="DKM232" s="10"/>
      <c r="DKN232" s="10"/>
      <c r="DKO232" s="19"/>
      <c r="DKP232" s="19"/>
      <c r="DKS232" s="16"/>
      <c r="DKT232" s="15"/>
      <c r="DKU232" s="15"/>
      <c r="DKV232" s="15"/>
      <c r="DKW232" s="16"/>
      <c r="DKX232" s="16"/>
      <c r="DKY232" s="16"/>
      <c r="DKZ232" s="16"/>
      <c r="DLA232" s="16"/>
      <c r="DLB232" s="15"/>
      <c r="DLC232" s="15"/>
      <c r="DLD232" s="10"/>
      <c r="DLE232" s="10"/>
      <c r="DLF232" s="19"/>
      <c r="DLG232" s="19"/>
      <c r="DLJ232" s="16"/>
      <c r="DLK232" s="15"/>
      <c r="DLL232" s="15"/>
      <c r="DLM232" s="15"/>
      <c r="DLN232" s="16"/>
      <c r="DLO232" s="16"/>
      <c r="DLP232" s="16"/>
      <c r="DLQ232" s="16"/>
      <c r="DLR232" s="16"/>
      <c r="DLS232" s="15"/>
      <c r="DLT232" s="15"/>
      <c r="DLU232" s="10"/>
      <c r="DLV232" s="10"/>
      <c r="DLW232" s="19"/>
      <c r="DLX232" s="19"/>
      <c r="DMA232" s="16"/>
      <c r="DMB232" s="15"/>
      <c r="DMC232" s="15"/>
      <c r="DMD232" s="15"/>
      <c r="DME232" s="16"/>
      <c r="DMF232" s="16"/>
      <c r="DMG232" s="16"/>
      <c r="DMH232" s="16"/>
      <c r="DMI232" s="16"/>
      <c r="DMJ232" s="15"/>
      <c r="DMK232" s="15"/>
      <c r="DML232" s="10"/>
      <c r="DMM232" s="10"/>
      <c r="DMN232" s="19"/>
      <c r="DMO232" s="19"/>
      <c r="DMR232" s="16"/>
      <c r="DMS232" s="15"/>
      <c r="DMT232" s="15"/>
      <c r="DMU232" s="15"/>
      <c r="DMV232" s="16"/>
      <c r="DMW232" s="16"/>
      <c r="DMX232" s="16"/>
      <c r="DMY232" s="16"/>
      <c r="DMZ232" s="16"/>
      <c r="DNA232" s="15"/>
      <c r="DNB232" s="15"/>
      <c r="DNC232" s="10"/>
      <c r="DND232" s="10"/>
      <c r="DNE232" s="19"/>
      <c r="DNF232" s="19"/>
      <c r="DNI232" s="16"/>
      <c r="DNJ232" s="15"/>
      <c r="DNK232" s="15"/>
      <c r="DNL232" s="15"/>
      <c r="DNM232" s="16"/>
      <c r="DNN232" s="16"/>
      <c r="DNO232" s="16"/>
      <c r="DNP232" s="16"/>
      <c r="DNQ232" s="16"/>
      <c r="DNR232" s="15"/>
      <c r="DNS232" s="15"/>
      <c r="DNT232" s="10"/>
      <c r="DNU232" s="10"/>
      <c r="DNV232" s="19"/>
      <c r="DNW232" s="19"/>
      <c r="DNZ232" s="16"/>
      <c r="DOA232" s="15"/>
      <c r="DOB232" s="15"/>
      <c r="DOC232" s="15"/>
      <c r="DOD232" s="16"/>
      <c r="DOE232" s="16"/>
      <c r="DOF232" s="16"/>
      <c r="DOG232" s="16"/>
      <c r="DOH232" s="16"/>
      <c r="DOI232" s="15"/>
      <c r="DOJ232" s="15"/>
      <c r="DOK232" s="10"/>
      <c r="DOL232" s="10"/>
      <c r="DOM232" s="19"/>
      <c r="DON232" s="19"/>
      <c r="DOQ232" s="16"/>
      <c r="DOR232" s="15"/>
      <c r="DOS232" s="15"/>
      <c r="DOT232" s="15"/>
      <c r="DOU232" s="16"/>
      <c r="DOV232" s="16"/>
      <c r="DOW232" s="16"/>
      <c r="DOX232" s="16"/>
      <c r="DOY232" s="16"/>
      <c r="DOZ232" s="15"/>
      <c r="DPA232" s="15"/>
      <c r="DPB232" s="10"/>
      <c r="DPC232" s="10"/>
      <c r="DPD232" s="19"/>
      <c r="DPE232" s="19"/>
      <c r="DPH232" s="16"/>
      <c r="DPI232" s="15"/>
      <c r="DPJ232" s="15"/>
      <c r="DPK232" s="15"/>
      <c r="DPL232" s="16"/>
      <c r="DPM232" s="16"/>
      <c r="DPN232" s="16"/>
      <c r="DPO232" s="16"/>
      <c r="DPP232" s="16"/>
      <c r="DPQ232" s="15"/>
      <c r="DPR232" s="15"/>
      <c r="DPS232" s="10"/>
      <c r="DPT232" s="10"/>
      <c r="DPU232" s="19"/>
      <c r="DPV232" s="19"/>
      <c r="DPY232" s="16"/>
      <c r="DPZ232" s="15"/>
      <c r="DQA232" s="15"/>
      <c r="DQB232" s="15"/>
      <c r="DQC232" s="16"/>
      <c r="DQD232" s="16"/>
      <c r="DQE232" s="16"/>
      <c r="DQF232" s="16"/>
      <c r="DQG232" s="16"/>
      <c r="DQH232" s="15"/>
      <c r="DQI232" s="15"/>
      <c r="DQJ232" s="10"/>
      <c r="DQK232" s="10"/>
      <c r="DQL232" s="19"/>
      <c r="DQM232" s="19"/>
      <c r="DQP232" s="16"/>
      <c r="DQQ232" s="15"/>
      <c r="DQR232" s="15"/>
      <c r="DQS232" s="15"/>
      <c r="DQT232" s="16"/>
      <c r="DQU232" s="16"/>
      <c r="DQV232" s="16"/>
      <c r="DQW232" s="16"/>
      <c r="DQX232" s="16"/>
      <c r="DQY232" s="15"/>
      <c r="DQZ232" s="15"/>
      <c r="DRA232" s="10"/>
      <c r="DRB232" s="10"/>
      <c r="DRC232" s="19"/>
      <c r="DRD232" s="19"/>
      <c r="DRG232" s="16"/>
      <c r="DRH232" s="15"/>
      <c r="DRI232" s="15"/>
      <c r="DRJ232" s="15"/>
      <c r="DRK232" s="16"/>
      <c r="DRL232" s="16"/>
      <c r="DRM232" s="16"/>
      <c r="DRN232" s="16"/>
      <c r="DRO232" s="16"/>
      <c r="DRP232" s="15"/>
      <c r="DRQ232" s="15"/>
      <c r="DRR232" s="10"/>
      <c r="DRS232" s="10"/>
      <c r="DRT232" s="19"/>
      <c r="DRU232" s="19"/>
      <c r="DRX232" s="16"/>
      <c r="DRY232" s="15"/>
      <c r="DRZ232" s="15"/>
      <c r="DSA232" s="15"/>
      <c r="DSB232" s="16"/>
      <c r="DSC232" s="16"/>
      <c r="DSD232" s="16"/>
      <c r="DSE232" s="16"/>
      <c r="DSF232" s="16"/>
      <c r="DSG232" s="15"/>
      <c r="DSH232" s="15"/>
      <c r="DSI232" s="10"/>
      <c r="DSJ232" s="10"/>
      <c r="DSK232" s="19"/>
      <c r="DSL232" s="19"/>
      <c r="DSO232" s="16"/>
      <c r="DSP232" s="15"/>
      <c r="DSQ232" s="15"/>
      <c r="DSR232" s="15"/>
      <c r="DSS232" s="16"/>
      <c r="DST232" s="16"/>
      <c r="DSU232" s="16"/>
      <c r="DSV232" s="16"/>
      <c r="DSW232" s="16"/>
      <c r="DSX232" s="15"/>
      <c r="DSY232" s="15"/>
      <c r="DSZ232" s="10"/>
      <c r="DTA232" s="10"/>
      <c r="DTB232" s="19"/>
      <c r="DTC232" s="19"/>
      <c r="DTF232" s="16"/>
      <c r="DTG232" s="15"/>
      <c r="DTH232" s="15"/>
      <c r="DTI232" s="15"/>
      <c r="DTJ232" s="16"/>
      <c r="DTK232" s="16"/>
      <c r="DTL232" s="16"/>
      <c r="DTM232" s="16"/>
      <c r="DTN232" s="16"/>
      <c r="DTO232" s="15"/>
      <c r="DTP232" s="15"/>
      <c r="DTQ232" s="10"/>
      <c r="DTR232" s="10"/>
      <c r="DTS232" s="19"/>
      <c r="DTT232" s="19"/>
      <c r="DTW232" s="16"/>
      <c r="DTX232" s="15"/>
      <c r="DTY232" s="15"/>
      <c r="DTZ232" s="15"/>
      <c r="DUA232" s="16"/>
      <c r="DUB232" s="16"/>
      <c r="DUC232" s="16"/>
      <c r="DUD232" s="16"/>
      <c r="DUE232" s="16"/>
      <c r="DUF232" s="15"/>
      <c r="DUG232" s="15"/>
      <c r="DUH232" s="10"/>
      <c r="DUI232" s="10"/>
      <c r="DUJ232" s="19"/>
      <c r="DUK232" s="19"/>
      <c r="DUN232" s="16"/>
      <c r="DUO232" s="15"/>
      <c r="DUP232" s="15"/>
      <c r="DUQ232" s="15"/>
      <c r="DUR232" s="16"/>
      <c r="DUS232" s="16"/>
      <c r="DUT232" s="16"/>
      <c r="DUU232" s="16"/>
      <c r="DUV232" s="16"/>
      <c r="DUW232" s="15"/>
      <c r="DUX232" s="15"/>
      <c r="DUY232" s="10"/>
      <c r="DUZ232" s="10"/>
      <c r="DVA232" s="19"/>
      <c r="DVB232" s="19"/>
      <c r="DVE232" s="16"/>
      <c r="DVF232" s="15"/>
      <c r="DVG232" s="15"/>
      <c r="DVH232" s="15"/>
      <c r="DVI232" s="16"/>
      <c r="DVJ232" s="16"/>
      <c r="DVK232" s="16"/>
      <c r="DVL232" s="16"/>
      <c r="DVM232" s="16"/>
      <c r="DVN232" s="15"/>
      <c r="DVO232" s="15"/>
      <c r="DVP232" s="10"/>
      <c r="DVQ232" s="10"/>
      <c r="DVR232" s="19"/>
      <c r="DVS232" s="19"/>
      <c r="DVV232" s="16"/>
      <c r="DVW232" s="15"/>
      <c r="DVX232" s="15"/>
      <c r="DVY232" s="15"/>
      <c r="DVZ232" s="16"/>
      <c r="DWA232" s="16"/>
      <c r="DWB232" s="16"/>
      <c r="DWC232" s="16"/>
      <c r="DWD232" s="16"/>
      <c r="DWE232" s="15"/>
      <c r="DWF232" s="15"/>
      <c r="DWG232" s="10"/>
      <c r="DWH232" s="10"/>
      <c r="DWI232" s="19"/>
      <c r="DWJ232" s="19"/>
      <c r="DWM232" s="16"/>
      <c r="DWN232" s="15"/>
      <c r="DWO232" s="15"/>
      <c r="DWP232" s="15"/>
      <c r="DWQ232" s="16"/>
      <c r="DWR232" s="16"/>
      <c r="DWS232" s="16"/>
      <c r="DWT232" s="16"/>
      <c r="DWU232" s="16"/>
      <c r="DWV232" s="15"/>
      <c r="DWW232" s="15"/>
      <c r="DWX232" s="10"/>
      <c r="DWY232" s="10"/>
      <c r="DWZ232" s="19"/>
      <c r="DXA232" s="19"/>
      <c r="DXD232" s="16"/>
      <c r="DXE232" s="15"/>
      <c r="DXF232" s="15"/>
      <c r="DXG232" s="15"/>
      <c r="DXH232" s="16"/>
      <c r="DXI232" s="16"/>
      <c r="DXJ232" s="16"/>
      <c r="DXK232" s="16"/>
      <c r="DXL232" s="16"/>
      <c r="DXM232" s="15"/>
      <c r="DXN232" s="15"/>
      <c r="DXO232" s="10"/>
      <c r="DXP232" s="10"/>
      <c r="DXQ232" s="19"/>
      <c r="DXR232" s="19"/>
      <c r="DXU232" s="16"/>
      <c r="DXV232" s="15"/>
      <c r="DXW232" s="15"/>
      <c r="DXX232" s="15"/>
      <c r="DXY232" s="16"/>
      <c r="DXZ232" s="16"/>
      <c r="DYA232" s="16"/>
      <c r="DYB232" s="16"/>
      <c r="DYC232" s="16"/>
      <c r="DYD232" s="15"/>
      <c r="DYE232" s="15"/>
      <c r="DYF232" s="10"/>
      <c r="DYG232" s="10"/>
      <c r="DYH232" s="19"/>
      <c r="DYI232" s="19"/>
      <c r="DYL232" s="16"/>
      <c r="DYM232" s="15"/>
      <c r="DYN232" s="15"/>
      <c r="DYO232" s="15"/>
      <c r="DYP232" s="16"/>
      <c r="DYQ232" s="16"/>
      <c r="DYR232" s="16"/>
      <c r="DYS232" s="16"/>
      <c r="DYT232" s="16"/>
      <c r="DYU232" s="15"/>
      <c r="DYV232" s="15"/>
      <c r="DYW232" s="10"/>
      <c r="DYX232" s="10"/>
      <c r="DYY232" s="19"/>
      <c r="DYZ232" s="19"/>
      <c r="DZC232" s="16"/>
      <c r="DZD232" s="15"/>
      <c r="DZE232" s="15"/>
      <c r="DZF232" s="15"/>
      <c r="DZG232" s="16"/>
      <c r="DZH232" s="16"/>
      <c r="DZI232" s="16"/>
      <c r="DZJ232" s="16"/>
      <c r="DZK232" s="16"/>
      <c r="DZL232" s="15"/>
      <c r="DZM232" s="15"/>
      <c r="DZN232" s="10"/>
      <c r="DZO232" s="10"/>
      <c r="DZP232" s="19"/>
      <c r="DZQ232" s="19"/>
      <c r="DZT232" s="16"/>
      <c r="DZU232" s="15"/>
      <c r="DZV232" s="15"/>
      <c r="DZW232" s="15"/>
      <c r="DZX232" s="16"/>
      <c r="DZY232" s="16"/>
      <c r="DZZ232" s="16"/>
      <c r="EAA232" s="16"/>
      <c r="EAB232" s="16"/>
      <c r="EAC232" s="15"/>
      <c r="EAD232" s="15"/>
      <c r="EAE232" s="10"/>
      <c r="EAF232" s="10"/>
      <c r="EAG232" s="19"/>
      <c r="EAH232" s="19"/>
      <c r="EAK232" s="16"/>
      <c r="EAL232" s="15"/>
      <c r="EAM232" s="15"/>
      <c r="EAN232" s="15"/>
      <c r="EAO232" s="16"/>
      <c r="EAP232" s="16"/>
      <c r="EAQ232" s="16"/>
      <c r="EAR232" s="16"/>
      <c r="EAS232" s="16"/>
      <c r="EAT232" s="15"/>
      <c r="EAU232" s="15"/>
      <c r="EAV232" s="10"/>
      <c r="EAW232" s="10"/>
      <c r="EAX232" s="19"/>
      <c r="EAY232" s="19"/>
      <c r="EBB232" s="16"/>
      <c r="EBC232" s="15"/>
      <c r="EBD232" s="15"/>
      <c r="EBE232" s="15"/>
      <c r="EBF232" s="16"/>
      <c r="EBG232" s="16"/>
      <c r="EBH232" s="16"/>
      <c r="EBI232" s="16"/>
      <c r="EBJ232" s="16"/>
      <c r="EBK232" s="15"/>
      <c r="EBL232" s="15"/>
      <c r="EBM232" s="10"/>
      <c r="EBN232" s="10"/>
      <c r="EBO232" s="19"/>
      <c r="EBP232" s="19"/>
      <c r="EBS232" s="16"/>
      <c r="EBT232" s="15"/>
      <c r="EBU232" s="15"/>
      <c r="EBV232" s="15"/>
      <c r="EBW232" s="16"/>
      <c r="EBX232" s="16"/>
      <c r="EBY232" s="16"/>
      <c r="EBZ232" s="16"/>
      <c r="ECA232" s="16"/>
      <c r="ECB232" s="15"/>
      <c r="ECC232" s="15"/>
      <c r="ECD232" s="10"/>
      <c r="ECE232" s="10"/>
      <c r="ECF232" s="19"/>
      <c r="ECG232" s="19"/>
      <c r="ECJ232" s="16"/>
      <c r="ECK232" s="15"/>
      <c r="ECL232" s="15"/>
      <c r="ECM232" s="15"/>
      <c r="ECN232" s="16"/>
      <c r="ECO232" s="16"/>
      <c r="ECP232" s="16"/>
      <c r="ECQ232" s="16"/>
      <c r="ECR232" s="16"/>
      <c r="ECS232" s="15"/>
      <c r="ECT232" s="15"/>
      <c r="ECU232" s="10"/>
      <c r="ECV232" s="10"/>
      <c r="ECW232" s="19"/>
      <c r="ECX232" s="19"/>
      <c r="EDA232" s="16"/>
      <c r="EDB232" s="15"/>
      <c r="EDC232" s="15"/>
      <c r="EDD232" s="15"/>
      <c r="EDE232" s="16"/>
      <c r="EDF232" s="16"/>
      <c r="EDG232" s="16"/>
      <c r="EDH232" s="16"/>
      <c r="EDI232" s="16"/>
      <c r="EDJ232" s="15"/>
      <c r="EDK232" s="15"/>
      <c r="EDL232" s="10"/>
      <c r="EDM232" s="10"/>
      <c r="EDN232" s="19"/>
      <c r="EDO232" s="19"/>
      <c r="EDR232" s="16"/>
      <c r="EDS232" s="15"/>
      <c r="EDT232" s="15"/>
      <c r="EDU232" s="15"/>
      <c r="EDV232" s="16"/>
      <c r="EDW232" s="16"/>
      <c r="EDX232" s="16"/>
      <c r="EDY232" s="16"/>
      <c r="EDZ232" s="16"/>
      <c r="EEA232" s="15"/>
      <c r="EEB232" s="15"/>
      <c r="EEC232" s="10"/>
      <c r="EED232" s="10"/>
      <c r="EEE232" s="19"/>
      <c r="EEF232" s="19"/>
      <c r="EEI232" s="16"/>
      <c r="EEJ232" s="15"/>
      <c r="EEK232" s="15"/>
      <c r="EEL232" s="15"/>
      <c r="EEM232" s="16"/>
      <c r="EEN232" s="16"/>
      <c r="EEO232" s="16"/>
      <c r="EEP232" s="16"/>
      <c r="EEQ232" s="16"/>
      <c r="EER232" s="15"/>
      <c r="EES232" s="15"/>
      <c r="EET232" s="10"/>
      <c r="EEU232" s="10"/>
      <c r="EEV232" s="19"/>
      <c r="EEW232" s="19"/>
      <c r="EEZ232" s="16"/>
      <c r="EFA232" s="15"/>
      <c r="EFB232" s="15"/>
      <c r="EFC232" s="15"/>
      <c r="EFD232" s="16"/>
      <c r="EFE232" s="16"/>
      <c r="EFF232" s="16"/>
      <c r="EFG232" s="16"/>
      <c r="EFH232" s="16"/>
      <c r="EFI232" s="15"/>
      <c r="EFJ232" s="15"/>
      <c r="EFK232" s="10"/>
      <c r="EFL232" s="10"/>
      <c r="EFM232" s="19"/>
      <c r="EFN232" s="19"/>
      <c r="EFQ232" s="16"/>
      <c r="EFR232" s="15"/>
      <c r="EFS232" s="15"/>
      <c r="EFT232" s="15"/>
      <c r="EFU232" s="16"/>
      <c r="EFV232" s="16"/>
      <c r="EFW232" s="16"/>
      <c r="EFX232" s="16"/>
      <c r="EFY232" s="16"/>
      <c r="EFZ232" s="15"/>
      <c r="EGA232" s="15"/>
      <c r="EGB232" s="10"/>
      <c r="EGC232" s="10"/>
      <c r="EGD232" s="19"/>
      <c r="EGE232" s="19"/>
      <c r="EGH232" s="16"/>
      <c r="EGI232" s="15"/>
      <c r="EGJ232" s="15"/>
      <c r="EGK232" s="15"/>
      <c r="EGL232" s="16"/>
      <c r="EGM232" s="16"/>
      <c r="EGN232" s="16"/>
      <c r="EGO232" s="16"/>
      <c r="EGP232" s="16"/>
      <c r="EGQ232" s="15"/>
      <c r="EGR232" s="15"/>
      <c r="EGS232" s="10"/>
      <c r="EGT232" s="10"/>
      <c r="EGU232" s="19"/>
      <c r="EGV232" s="19"/>
      <c r="EGY232" s="16"/>
      <c r="EGZ232" s="15"/>
      <c r="EHA232" s="15"/>
      <c r="EHB232" s="15"/>
      <c r="EHC232" s="16"/>
      <c r="EHD232" s="16"/>
      <c r="EHE232" s="16"/>
      <c r="EHF232" s="16"/>
      <c r="EHG232" s="16"/>
      <c r="EHH232" s="15"/>
      <c r="EHI232" s="15"/>
      <c r="EHJ232" s="10"/>
      <c r="EHK232" s="10"/>
      <c r="EHL232" s="19"/>
      <c r="EHM232" s="19"/>
      <c r="EHP232" s="16"/>
      <c r="EHQ232" s="15"/>
      <c r="EHR232" s="15"/>
      <c r="EHS232" s="15"/>
      <c r="EHT232" s="16"/>
      <c r="EHU232" s="16"/>
      <c r="EHV232" s="16"/>
      <c r="EHW232" s="16"/>
      <c r="EHX232" s="16"/>
      <c r="EHY232" s="15"/>
      <c r="EHZ232" s="15"/>
      <c r="EIA232" s="10"/>
      <c r="EIB232" s="10"/>
      <c r="EIC232" s="19"/>
      <c r="EID232" s="19"/>
      <c r="EIG232" s="16"/>
      <c r="EIH232" s="15"/>
      <c r="EII232" s="15"/>
      <c r="EIJ232" s="15"/>
      <c r="EIK232" s="16"/>
      <c r="EIL232" s="16"/>
      <c r="EIM232" s="16"/>
      <c r="EIN232" s="16"/>
      <c r="EIO232" s="16"/>
      <c r="EIP232" s="15"/>
      <c r="EIQ232" s="15"/>
      <c r="EIR232" s="10"/>
      <c r="EIS232" s="10"/>
      <c r="EIT232" s="19"/>
      <c r="EIU232" s="19"/>
      <c r="EIX232" s="16"/>
      <c r="EIY232" s="15"/>
      <c r="EIZ232" s="15"/>
      <c r="EJA232" s="15"/>
      <c r="EJB232" s="16"/>
      <c r="EJC232" s="16"/>
      <c r="EJD232" s="16"/>
      <c r="EJE232" s="16"/>
      <c r="EJF232" s="16"/>
      <c r="EJG232" s="15"/>
      <c r="EJH232" s="15"/>
      <c r="EJI232" s="10"/>
      <c r="EJJ232" s="10"/>
      <c r="EJK232" s="19"/>
      <c r="EJL232" s="19"/>
      <c r="EJO232" s="16"/>
      <c r="EJP232" s="15"/>
      <c r="EJQ232" s="15"/>
      <c r="EJR232" s="15"/>
      <c r="EJS232" s="16"/>
      <c r="EJT232" s="16"/>
      <c r="EJU232" s="16"/>
      <c r="EJV232" s="16"/>
      <c r="EJW232" s="16"/>
      <c r="EJX232" s="15"/>
      <c r="EJY232" s="15"/>
      <c r="EJZ232" s="10"/>
      <c r="EKA232" s="10"/>
      <c r="EKB232" s="19"/>
      <c r="EKC232" s="19"/>
      <c r="EKF232" s="16"/>
      <c r="EKG232" s="15"/>
      <c r="EKH232" s="15"/>
      <c r="EKI232" s="15"/>
      <c r="EKJ232" s="16"/>
      <c r="EKK232" s="16"/>
      <c r="EKL232" s="16"/>
      <c r="EKM232" s="16"/>
      <c r="EKN232" s="16"/>
      <c r="EKO232" s="15"/>
      <c r="EKP232" s="15"/>
      <c r="EKQ232" s="10"/>
      <c r="EKR232" s="10"/>
      <c r="EKS232" s="19"/>
      <c r="EKT232" s="19"/>
      <c r="EKW232" s="16"/>
      <c r="EKX232" s="15"/>
      <c r="EKY232" s="15"/>
      <c r="EKZ232" s="15"/>
      <c r="ELA232" s="16"/>
      <c r="ELB232" s="16"/>
      <c r="ELC232" s="16"/>
      <c r="ELD232" s="16"/>
      <c r="ELE232" s="16"/>
      <c r="ELF232" s="15"/>
      <c r="ELG232" s="15"/>
      <c r="ELH232" s="10"/>
      <c r="ELI232" s="10"/>
      <c r="ELJ232" s="19"/>
      <c r="ELK232" s="19"/>
      <c r="ELN232" s="16"/>
      <c r="ELO232" s="15"/>
      <c r="ELP232" s="15"/>
      <c r="ELQ232" s="15"/>
      <c r="ELR232" s="16"/>
      <c r="ELS232" s="16"/>
      <c r="ELT232" s="16"/>
      <c r="ELU232" s="16"/>
      <c r="ELV232" s="16"/>
      <c r="ELW232" s="15"/>
      <c r="ELX232" s="15"/>
      <c r="ELY232" s="10"/>
      <c r="ELZ232" s="10"/>
      <c r="EMA232" s="19"/>
      <c r="EMB232" s="19"/>
      <c r="EME232" s="16"/>
      <c r="EMF232" s="15"/>
      <c r="EMG232" s="15"/>
      <c r="EMH232" s="15"/>
      <c r="EMI232" s="16"/>
      <c r="EMJ232" s="16"/>
      <c r="EMK232" s="16"/>
      <c r="EML232" s="16"/>
      <c r="EMM232" s="16"/>
      <c r="EMN232" s="15"/>
      <c r="EMO232" s="15"/>
      <c r="EMP232" s="10"/>
      <c r="EMQ232" s="10"/>
      <c r="EMR232" s="19"/>
      <c r="EMS232" s="19"/>
      <c r="EMV232" s="16"/>
      <c r="EMW232" s="15"/>
      <c r="EMX232" s="15"/>
      <c r="EMY232" s="15"/>
      <c r="EMZ232" s="16"/>
      <c r="ENA232" s="16"/>
      <c r="ENB232" s="16"/>
      <c r="ENC232" s="16"/>
      <c r="END232" s="16"/>
      <c r="ENE232" s="15"/>
      <c r="ENF232" s="15"/>
      <c r="ENG232" s="10"/>
      <c r="ENH232" s="10"/>
      <c r="ENI232" s="19"/>
      <c r="ENJ232" s="19"/>
      <c r="ENM232" s="16"/>
      <c r="ENN232" s="15"/>
      <c r="ENO232" s="15"/>
      <c r="ENP232" s="15"/>
      <c r="ENQ232" s="16"/>
      <c r="ENR232" s="16"/>
      <c r="ENS232" s="16"/>
      <c r="ENT232" s="16"/>
      <c r="ENU232" s="16"/>
      <c r="ENV232" s="15"/>
      <c r="ENW232" s="15"/>
      <c r="ENX232" s="10"/>
      <c r="ENY232" s="10"/>
      <c r="ENZ232" s="19"/>
      <c r="EOA232" s="19"/>
      <c r="EOD232" s="16"/>
      <c r="EOE232" s="15"/>
      <c r="EOF232" s="15"/>
      <c r="EOG232" s="15"/>
      <c r="EOH232" s="16"/>
      <c r="EOI232" s="16"/>
      <c r="EOJ232" s="16"/>
      <c r="EOK232" s="16"/>
      <c r="EOL232" s="16"/>
      <c r="EOM232" s="15"/>
      <c r="EON232" s="15"/>
      <c r="EOO232" s="10"/>
      <c r="EOP232" s="10"/>
      <c r="EOQ232" s="19"/>
      <c r="EOR232" s="19"/>
      <c r="EOU232" s="16"/>
      <c r="EOV232" s="15"/>
      <c r="EOW232" s="15"/>
      <c r="EOX232" s="15"/>
      <c r="EOY232" s="16"/>
      <c r="EOZ232" s="16"/>
      <c r="EPA232" s="16"/>
      <c r="EPB232" s="16"/>
      <c r="EPC232" s="16"/>
      <c r="EPD232" s="15"/>
      <c r="EPE232" s="15"/>
      <c r="EPF232" s="10"/>
      <c r="EPG232" s="10"/>
      <c r="EPH232" s="19"/>
      <c r="EPI232" s="19"/>
      <c r="EPL232" s="16"/>
      <c r="EPM232" s="15"/>
      <c r="EPN232" s="15"/>
      <c r="EPO232" s="15"/>
      <c r="EPP232" s="16"/>
      <c r="EPQ232" s="16"/>
      <c r="EPR232" s="16"/>
      <c r="EPS232" s="16"/>
      <c r="EPT232" s="16"/>
      <c r="EPU232" s="15"/>
      <c r="EPV232" s="15"/>
      <c r="EPW232" s="10"/>
      <c r="EPX232" s="10"/>
      <c r="EPY232" s="19"/>
      <c r="EPZ232" s="19"/>
      <c r="EQC232" s="16"/>
      <c r="EQD232" s="15"/>
      <c r="EQE232" s="15"/>
      <c r="EQF232" s="15"/>
      <c r="EQG232" s="16"/>
      <c r="EQH232" s="16"/>
      <c r="EQI232" s="16"/>
      <c r="EQJ232" s="16"/>
      <c r="EQK232" s="16"/>
      <c r="EQL232" s="15"/>
      <c r="EQM232" s="15"/>
      <c r="EQN232" s="10"/>
      <c r="EQO232" s="10"/>
      <c r="EQP232" s="19"/>
      <c r="EQQ232" s="19"/>
      <c r="EQT232" s="16"/>
      <c r="EQU232" s="15"/>
      <c r="EQV232" s="15"/>
      <c r="EQW232" s="15"/>
      <c r="EQX232" s="16"/>
      <c r="EQY232" s="16"/>
      <c r="EQZ232" s="16"/>
      <c r="ERA232" s="16"/>
      <c r="ERB232" s="16"/>
      <c r="ERC232" s="15"/>
      <c r="ERD232" s="15"/>
      <c r="ERE232" s="10"/>
      <c r="ERF232" s="10"/>
      <c r="ERG232" s="19"/>
      <c r="ERH232" s="19"/>
      <c r="ERK232" s="16"/>
      <c r="ERL232" s="15"/>
      <c r="ERM232" s="15"/>
      <c r="ERN232" s="15"/>
      <c r="ERO232" s="16"/>
      <c r="ERP232" s="16"/>
      <c r="ERQ232" s="16"/>
      <c r="ERR232" s="16"/>
      <c r="ERS232" s="16"/>
      <c r="ERT232" s="15"/>
      <c r="ERU232" s="15"/>
      <c r="ERV232" s="10"/>
      <c r="ERW232" s="10"/>
      <c r="ERX232" s="19"/>
      <c r="ERY232" s="19"/>
      <c r="ESB232" s="16"/>
      <c r="ESC232" s="15"/>
      <c r="ESD232" s="15"/>
      <c r="ESE232" s="15"/>
      <c r="ESF232" s="16"/>
      <c r="ESG232" s="16"/>
      <c r="ESH232" s="16"/>
      <c r="ESI232" s="16"/>
      <c r="ESJ232" s="16"/>
      <c r="ESK232" s="15"/>
      <c r="ESL232" s="15"/>
      <c r="ESM232" s="10"/>
      <c r="ESN232" s="10"/>
      <c r="ESO232" s="19"/>
      <c r="ESP232" s="19"/>
      <c r="ESS232" s="16"/>
      <c r="EST232" s="15"/>
      <c r="ESU232" s="15"/>
      <c r="ESV232" s="15"/>
      <c r="ESW232" s="16"/>
      <c r="ESX232" s="16"/>
      <c r="ESY232" s="16"/>
      <c r="ESZ232" s="16"/>
      <c r="ETA232" s="16"/>
      <c r="ETB232" s="15"/>
      <c r="ETC232" s="15"/>
      <c r="ETD232" s="10"/>
      <c r="ETE232" s="10"/>
      <c r="ETF232" s="19"/>
      <c r="ETG232" s="19"/>
      <c r="ETJ232" s="16"/>
      <c r="ETK232" s="15"/>
      <c r="ETL232" s="15"/>
      <c r="ETM232" s="15"/>
      <c r="ETN232" s="16"/>
      <c r="ETO232" s="16"/>
      <c r="ETP232" s="16"/>
      <c r="ETQ232" s="16"/>
      <c r="ETR232" s="16"/>
      <c r="ETS232" s="15"/>
      <c r="ETT232" s="15"/>
      <c r="ETU232" s="10"/>
      <c r="ETV232" s="10"/>
      <c r="ETW232" s="19"/>
      <c r="ETX232" s="19"/>
      <c r="EUA232" s="16"/>
      <c r="EUB232" s="15"/>
      <c r="EUC232" s="15"/>
      <c r="EUD232" s="15"/>
      <c r="EUE232" s="16"/>
      <c r="EUF232" s="16"/>
      <c r="EUG232" s="16"/>
      <c r="EUH232" s="16"/>
      <c r="EUI232" s="16"/>
      <c r="EUJ232" s="15"/>
      <c r="EUK232" s="15"/>
      <c r="EUL232" s="10"/>
      <c r="EUM232" s="10"/>
      <c r="EUN232" s="19"/>
      <c r="EUO232" s="19"/>
      <c r="EUR232" s="16"/>
      <c r="EUS232" s="15"/>
      <c r="EUT232" s="15"/>
      <c r="EUU232" s="15"/>
      <c r="EUV232" s="16"/>
      <c r="EUW232" s="16"/>
      <c r="EUX232" s="16"/>
      <c r="EUY232" s="16"/>
      <c r="EUZ232" s="16"/>
      <c r="EVA232" s="15"/>
      <c r="EVB232" s="15"/>
      <c r="EVC232" s="10"/>
      <c r="EVD232" s="10"/>
      <c r="EVE232" s="19"/>
      <c r="EVF232" s="19"/>
      <c r="EVI232" s="16"/>
      <c r="EVJ232" s="15"/>
      <c r="EVK232" s="15"/>
      <c r="EVL232" s="15"/>
      <c r="EVM232" s="16"/>
      <c r="EVN232" s="16"/>
      <c r="EVO232" s="16"/>
      <c r="EVP232" s="16"/>
      <c r="EVQ232" s="16"/>
      <c r="EVR232" s="15"/>
      <c r="EVS232" s="15"/>
      <c r="EVT232" s="10"/>
      <c r="EVU232" s="10"/>
      <c r="EVV232" s="19"/>
      <c r="EVW232" s="19"/>
      <c r="EVZ232" s="16"/>
      <c r="EWA232" s="15"/>
      <c r="EWB232" s="15"/>
      <c r="EWC232" s="15"/>
      <c r="EWD232" s="16"/>
      <c r="EWE232" s="16"/>
      <c r="EWF232" s="16"/>
      <c r="EWG232" s="16"/>
      <c r="EWH232" s="16"/>
      <c r="EWI232" s="15"/>
      <c r="EWJ232" s="15"/>
      <c r="EWK232" s="10"/>
      <c r="EWL232" s="10"/>
      <c r="EWM232" s="19"/>
      <c r="EWN232" s="19"/>
      <c r="EWQ232" s="16"/>
      <c r="EWR232" s="15"/>
      <c r="EWS232" s="15"/>
      <c r="EWT232" s="15"/>
      <c r="EWU232" s="16"/>
      <c r="EWV232" s="16"/>
      <c r="EWW232" s="16"/>
      <c r="EWX232" s="16"/>
      <c r="EWY232" s="16"/>
      <c r="EWZ232" s="15"/>
      <c r="EXA232" s="15"/>
      <c r="EXB232" s="10"/>
      <c r="EXC232" s="10"/>
      <c r="EXD232" s="19"/>
      <c r="EXE232" s="19"/>
      <c r="EXH232" s="16"/>
      <c r="EXI232" s="15"/>
      <c r="EXJ232" s="15"/>
      <c r="EXK232" s="15"/>
      <c r="EXL232" s="16"/>
      <c r="EXM232" s="16"/>
      <c r="EXN232" s="16"/>
      <c r="EXO232" s="16"/>
      <c r="EXP232" s="16"/>
      <c r="EXQ232" s="15"/>
      <c r="EXR232" s="15"/>
      <c r="EXS232" s="10"/>
      <c r="EXT232" s="10"/>
      <c r="EXU232" s="19"/>
      <c r="EXV232" s="19"/>
      <c r="EXY232" s="16"/>
      <c r="EXZ232" s="15"/>
      <c r="EYA232" s="15"/>
      <c r="EYB232" s="15"/>
      <c r="EYC232" s="16"/>
      <c r="EYD232" s="16"/>
      <c r="EYE232" s="16"/>
      <c r="EYF232" s="16"/>
      <c r="EYG232" s="16"/>
      <c r="EYH232" s="15"/>
      <c r="EYI232" s="15"/>
      <c r="EYJ232" s="10"/>
      <c r="EYK232" s="10"/>
      <c r="EYL232" s="19"/>
      <c r="EYM232" s="19"/>
      <c r="EYP232" s="16"/>
      <c r="EYQ232" s="15"/>
      <c r="EYR232" s="15"/>
      <c r="EYS232" s="15"/>
      <c r="EYT232" s="16"/>
      <c r="EYU232" s="16"/>
      <c r="EYV232" s="16"/>
      <c r="EYW232" s="16"/>
      <c r="EYX232" s="16"/>
      <c r="EYY232" s="15"/>
      <c r="EYZ232" s="15"/>
      <c r="EZA232" s="10"/>
      <c r="EZB232" s="10"/>
      <c r="EZC232" s="19"/>
      <c r="EZD232" s="19"/>
      <c r="EZG232" s="16"/>
      <c r="EZH232" s="15"/>
      <c r="EZI232" s="15"/>
      <c r="EZJ232" s="15"/>
      <c r="EZK232" s="16"/>
      <c r="EZL232" s="16"/>
      <c r="EZM232" s="16"/>
      <c r="EZN232" s="16"/>
      <c r="EZO232" s="16"/>
      <c r="EZP232" s="15"/>
      <c r="EZQ232" s="15"/>
      <c r="EZR232" s="10"/>
      <c r="EZS232" s="10"/>
      <c r="EZT232" s="19"/>
      <c r="EZU232" s="19"/>
      <c r="EZX232" s="16"/>
      <c r="EZY232" s="15"/>
      <c r="EZZ232" s="15"/>
      <c r="FAA232" s="15"/>
      <c r="FAB232" s="16"/>
      <c r="FAC232" s="16"/>
      <c r="FAD232" s="16"/>
      <c r="FAE232" s="16"/>
      <c r="FAF232" s="16"/>
      <c r="FAG232" s="15"/>
      <c r="FAH232" s="15"/>
      <c r="FAI232" s="10"/>
      <c r="FAJ232" s="10"/>
      <c r="FAK232" s="19"/>
      <c r="FAL232" s="19"/>
      <c r="FAO232" s="16"/>
      <c r="FAP232" s="15"/>
      <c r="FAQ232" s="15"/>
      <c r="FAR232" s="15"/>
      <c r="FAS232" s="16"/>
      <c r="FAT232" s="16"/>
      <c r="FAU232" s="16"/>
      <c r="FAV232" s="16"/>
      <c r="FAW232" s="16"/>
      <c r="FAX232" s="15"/>
      <c r="FAY232" s="15"/>
      <c r="FAZ232" s="10"/>
      <c r="FBA232" s="10"/>
      <c r="FBB232" s="19"/>
      <c r="FBC232" s="19"/>
      <c r="FBF232" s="16"/>
      <c r="FBG232" s="15"/>
      <c r="FBH232" s="15"/>
      <c r="FBI232" s="15"/>
      <c r="FBJ232" s="16"/>
      <c r="FBK232" s="16"/>
      <c r="FBL232" s="16"/>
      <c r="FBM232" s="16"/>
      <c r="FBN232" s="16"/>
      <c r="FBO232" s="15"/>
      <c r="FBP232" s="15"/>
      <c r="FBQ232" s="10"/>
      <c r="FBR232" s="10"/>
      <c r="FBS232" s="19"/>
      <c r="FBT232" s="19"/>
      <c r="FBW232" s="16"/>
      <c r="FBX232" s="15"/>
      <c r="FBY232" s="15"/>
      <c r="FBZ232" s="15"/>
      <c r="FCA232" s="16"/>
      <c r="FCB232" s="16"/>
      <c r="FCC232" s="16"/>
      <c r="FCD232" s="16"/>
      <c r="FCE232" s="16"/>
      <c r="FCF232" s="15"/>
      <c r="FCG232" s="15"/>
      <c r="FCH232" s="10"/>
      <c r="FCI232" s="10"/>
      <c r="FCJ232" s="19"/>
      <c r="FCK232" s="19"/>
      <c r="FCN232" s="16"/>
      <c r="FCO232" s="15"/>
      <c r="FCP232" s="15"/>
      <c r="FCQ232" s="15"/>
      <c r="FCR232" s="16"/>
      <c r="FCS232" s="16"/>
      <c r="FCT232" s="16"/>
      <c r="FCU232" s="16"/>
      <c r="FCV232" s="16"/>
      <c r="FCW232" s="15"/>
      <c r="FCX232" s="15"/>
      <c r="FCY232" s="10"/>
      <c r="FCZ232" s="10"/>
      <c r="FDA232" s="19"/>
      <c r="FDB232" s="19"/>
      <c r="FDE232" s="16"/>
      <c r="FDF232" s="15"/>
      <c r="FDG232" s="15"/>
      <c r="FDH232" s="15"/>
      <c r="FDI232" s="16"/>
      <c r="FDJ232" s="16"/>
      <c r="FDK232" s="16"/>
      <c r="FDL232" s="16"/>
      <c r="FDM232" s="16"/>
      <c r="FDN232" s="15"/>
      <c r="FDO232" s="15"/>
      <c r="FDP232" s="10"/>
      <c r="FDQ232" s="10"/>
      <c r="FDR232" s="19"/>
      <c r="FDS232" s="19"/>
      <c r="FDV232" s="16"/>
      <c r="FDW232" s="15"/>
      <c r="FDX232" s="15"/>
      <c r="FDY232" s="15"/>
      <c r="FDZ232" s="16"/>
      <c r="FEA232" s="16"/>
      <c r="FEB232" s="16"/>
      <c r="FEC232" s="16"/>
      <c r="FED232" s="16"/>
      <c r="FEE232" s="15"/>
      <c r="FEF232" s="15"/>
      <c r="FEG232" s="10"/>
      <c r="FEH232" s="10"/>
      <c r="FEI232" s="19"/>
      <c r="FEJ232" s="19"/>
      <c r="FEM232" s="16"/>
      <c r="FEN232" s="15"/>
      <c r="FEO232" s="15"/>
      <c r="FEP232" s="15"/>
      <c r="FEQ232" s="16"/>
      <c r="FER232" s="16"/>
      <c r="FES232" s="16"/>
      <c r="FET232" s="16"/>
      <c r="FEU232" s="16"/>
      <c r="FEV232" s="15"/>
      <c r="FEW232" s="15"/>
      <c r="FEX232" s="10"/>
      <c r="FEY232" s="10"/>
      <c r="FEZ232" s="19"/>
      <c r="FFA232" s="19"/>
      <c r="FFD232" s="16"/>
      <c r="FFE232" s="15"/>
      <c r="FFF232" s="15"/>
      <c r="FFG232" s="15"/>
      <c r="FFH232" s="16"/>
      <c r="FFI232" s="16"/>
      <c r="FFJ232" s="16"/>
      <c r="FFK232" s="16"/>
      <c r="FFL232" s="16"/>
      <c r="FFM232" s="15"/>
      <c r="FFN232" s="15"/>
      <c r="FFO232" s="10"/>
      <c r="FFP232" s="10"/>
      <c r="FFQ232" s="19"/>
      <c r="FFR232" s="19"/>
      <c r="FFU232" s="16"/>
      <c r="FFV232" s="15"/>
      <c r="FFW232" s="15"/>
      <c r="FFX232" s="15"/>
      <c r="FFY232" s="16"/>
      <c r="FFZ232" s="16"/>
      <c r="FGA232" s="16"/>
      <c r="FGB232" s="16"/>
      <c r="FGC232" s="16"/>
      <c r="FGD232" s="15"/>
      <c r="FGE232" s="15"/>
      <c r="FGF232" s="10"/>
      <c r="FGG232" s="10"/>
      <c r="FGH232" s="19"/>
      <c r="FGI232" s="19"/>
      <c r="FGL232" s="16"/>
      <c r="FGM232" s="15"/>
      <c r="FGN232" s="15"/>
      <c r="FGO232" s="15"/>
      <c r="FGP232" s="16"/>
      <c r="FGQ232" s="16"/>
      <c r="FGR232" s="16"/>
      <c r="FGS232" s="16"/>
      <c r="FGT232" s="16"/>
      <c r="FGU232" s="15"/>
      <c r="FGV232" s="15"/>
      <c r="FGW232" s="10"/>
      <c r="FGX232" s="10"/>
      <c r="FGY232" s="19"/>
      <c r="FGZ232" s="19"/>
      <c r="FHC232" s="16"/>
      <c r="FHD232" s="15"/>
      <c r="FHE232" s="15"/>
      <c r="FHF232" s="15"/>
      <c r="FHG232" s="16"/>
      <c r="FHH232" s="16"/>
      <c r="FHI232" s="16"/>
      <c r="FHJ232" s="16"/>
      <c r="FHK232" s="16"/>
      <c r="FHL232" s="15"/>
      <c r="FHM232" s="15"/>
      <c r="FHN232" s="10"/>
      <c r="FHO232" s="10"/>
      <c r="FHP232" s="19"/>
      <c r="FHQ232" s="19"/>
      <c r="FHT232" s="16"/>
      <c r="FHU232" s="15"/>
      <c r="FHV232" s="15"/>
      <c r="FHW232" s="15"/>
      <c r="FHX232" s="16"/>
      <c r="FHY232" s="16"/>
      <c r="FHZ232" s="16"/>
      <c r="FIA232" s="16"/>
      <c r="FIB232" s="16"/>
      <c r="FIC232" s="15"/>
      <c r="FID232" s="15"/>
      <c r="FIE232" s="10"/>
      <c r="FIF232" s="10"/>
      <c r="FIG232" s="19"/>
      <c r="FIH232" s="19"/>
      <c r="FIK232" s="16"/>
      <c r="FIL232" s="15"/>
      <c r="FIM232" s="15"/>
      <c r="FIN232" s="15"/>
      <c r="FIO232" s="16"/>
      <c r="FIP232" s="16"/>
      <c r="FIQ232" s="16"/>
      <c r="FIR232" s="16"/>
      <c r="FIS232" s="16"/>
      <c r="FIT232" s="15"/>
      <c r="FIU232" s="15"/>
      <c r="FIV232" s="10"/>
      <c r="FIW232" s="10"/>
      <c r="FIX232" s="19"/>
      <c r="FIY232" s="19"/>
      <c r="FJB232" s="16"/>
      <c r="FJC232" s="15"/>
      <c r="FJD232" s="15"/>
      <c r="FJE232" s="15"/>
      <c r="FJF232" s="16"/>
      <c r="FJG232" s="16"/>
      <c r="FJH232" s="16"/>
      <c r="FJI232" s="16"/>
      <c r="FJJ232" s="16"/>
      <c r="FJK232" s="15"/>
      <c r="FJL232" s="15"/>
      <c r="FJM232" s="10"/>
      <c r="FJN232" s="10"/>
      <c r="FJO232" s="19"/>
      <c r="FJP232" s="19"/>
      <c r="FJS232" s="16"/>
      <c r="FJT232" s="15"/>
      <c r="FJU232" s="15"/>
      <c r="FJV232" s="15"/>
      <c r="FJW232" s="16"/>
      <c r="FJX232" s="16"/>
      <c r="FJY232" s="16"/>
      <c r="FJZ232" s="16"/>
      <c r="FKA232" s="16"/>
      <c r="FKB232" s="15"/>
      <c r="FKC232" s="15"/>
      <c r="FKD232" s="10"/>
      <c r="FKE232" s="10"/>
      <c r="FKF232" s="19"/>
      <c r="FKG232" s="19"/>
      <c r="FKJ232" s="16"/>
      <c r="FKK232" s="15"/>
      <c r="FKL232" s="15"/>
      <c r="FKM232" s="15"/>
      <c r="FKN232" s="16"/>
      <c r="FKO232" s="16"/>
      <c r="FKP232" s="16"/>
      <c r="FKQ232" s="16"/>
      <c r="FKR232" s="16"/>
      <c r="FKS232" s="15"/>
      <c r="FKT232" s="15"/>
      <c r="FKU232" s="10"/>
      <c r="FKV232" s="10"/>
      <c r="FKW232" s="19"/>
      <c r="FKX232" s="19"/>
      <c r="FLA232" s="16"/>
      <c r="FLB232" s="15"/>
      <c r="FLC232" s="15"/>
      <c r="FLD232" s="15"/>
      <c r="FLE232" s="16"/>
      <c r="FLF232" s="16"/>
      <c r="FLG232" s="16"/>
      <c r="FLH232" s="16"/>
      <c r="FLI232" s="16"/>
      <c r="FLJ232" s="15"/>
      <c r="FLK232" s="15"/>
      <c r="FLL232" s="10"/>
      <c r="FLM232" s="10"/>
      <c r="FLN232" s="19"/>
      <c r="FLO232" s="19"/>
      <c r="FLR232" s="16"/>
      <c r="FLS232" s="15"/>
      <c r="FLT232" s="15"/>
      <c r="FLU232" s="15"/>
      <c r="FLV232" s="16"/>
      <c r="FLW232" s="16"/>
      <c r="FLX232" s="16"/>
      <c r="FLY232" s="16"/>
      <c r="FLZ232" s="16"/>
      <c r="FMA232" s="15"/>
      <c r="FMB232" s="15"/>
      <c r="FMC232" s="10"/>
      <c r="FMD232" s="10"/>
      <c r="FME232" s="19"/>
      <c r="FMF232" s="19"/>
      <c r="FMI232" s="16"/>
      <c r="FMJ232" s="15"/>
      <c r="FMK232" s="15"/>
      <c r="FML232" s="15"/>
      <c r="FMM232" s="16"/>
      <c r="FMN232" s="16"/>
      <c r="FMO232" s="16"/>
      <c r="FMP232" s="16"/>
      <c r="FMQ232" s="16"/>
      <c r="FMR232" s="15"/>
      <c r="FMS232" s="15"/>
      <c r="FMT232" s="10"/>
      <c r="FMU232" s="10"/>
      <c r="FMV232" s="19"/>
      <c r="FMW232" s="19"/>
      <c r="FMZ232" s="16"/>
      <c r="FNA232" s="15"/>
      <c r="FNB232" s="15"/>
      <c r="FNC232" s="15"/>
      <c r="FND232" s="16"/>
      <c r="FNE232" s="16"/>
      <c r="FNF232" s="16"/>
      <c r="FNG232" s="16"/>
      <c r="FNH232" s="16"/>
      <c r="FNI232" s="15"/>
      <c r="FNJ232" s="15"/>
      <c r="FNK232" s="10"/>
      <c r="FNL232" s="10"/>
      <c r="FNM232" s="19"/>
      <c r="FNN232" s="19"/>
      <c r="FNQ232" s="16"/>
      <c r="FNR232" s="15"/>
      <c r="FNS232" s="15"/>
      <c r="FNT232" s="15"/>
      <c r="FNU232" s="16"/>
      <c r="FNV232" s="16"/>
      <c r="FNW232" s="16"/>
      <c r="FNX232" s="16"/>
      <c r="FNY232" s="16"/>
      <c r="FNZ232" s="15"/>
      <c r="FOA232" s="15"/>
      <c r="FOB232" s="10"/>
      <c r="FOC232" s="10"/>
      <c r="FOD232" s="19"/>
      <c r="FOE232" s="19"/>
      <c r="FOH232" s="16"/>
      <c r="FOI232" s="15"/>
      <c r="FOJ232" s="15"/>
      <c r="FOK232" s="15"/>
      <c r="FOL232" s="16"/>
      <c r="FOM232" s="16"/>
      <c r="FON232" s="16"/>
      <c r="FOO232" s="16"/>
      <c r="FOP232" s="16"/>
      <c r="FOQ232" s="15"/>
      <c r="FOR232" s="15"/>
      <c r="FOS232" s="10"/>
      <c r="FOT232" s="10"/>
      <c r="FOU232" s="19"/>
      <c r="FOV232" s="19"/>
      <c r="FOY232" s="16"/>
      <c r="FOZ232" s="15"/>
      <c r="FPA232" s="15"/>
      <c r="FPB232" s="15"/>
      <c r="FPC232" s="16"/>
      <c r="FPD232" s="16"/>
      <c r="FPE232" s="16"/>
      <c r="FPF232" s="16"/>
      <c r="FPG232" s="16"/>
      <c r="FPH232" s="15"/>
      <c r="FPI232" s="15"/>
      <c r="FPJ232" s="10"/>
      <c r="FPK232" s="10"/>
      <c r="FPL232" s="19"/>
      <c r="FPM232" s="19"/>
      <c r="FPP232" s="16"/>
      <c r="FPQ232" s="15"/>
      <c r="FPR232" s="15"/>
      <c r="FPS232" s="15"/>
      <c r="FPT232" s="16"/>
      <c r="FPU232" s="16"/>
      <c r="FPV232" s="16"/>
      <c r="FPW232" s="16"/>
      <c r="FPX232" s="16"/>
      <c r="FPY232" s="15"/>
      <c r="FPZ232" s="15"/>
      <c r="FQA232" s="10"/>
      <c r="FQB232" s="10"/>
      <c r="FQC232" s="19"/>
      <c r="FQD232" s="19"/>
      <c r="FQG232" s="16"/>
      <c r="FQH232" s="15"/>
      <c r="FQI232" s="15"/>
      <c r="FQJ232" s="15"/>
      <c r="FQK232" s="16"/>
      <c r="FQL232" s="16"/>
      <c r="FQM232" s="16"/>
      <c r="FQN232" s="16"/>
      <c r="FQO232" s="16"/>
      <c r="FQP232" s="15"/>
      <c r="FQQ232" s="15"/>
      <c r="FQR232" s="10"/>
      <c r="FQS232" s="10"/>
      <c r="FQT232" s="19"/>
      <c r="FQU232" s="19"/>
      <c r="FQX232" s="16"/>
      <c r="FQY232" s="15"/>
      <c r="FQZ232" s="15"/>
      <c r="FRA232" s="15"/>
      <c r="FRB232" s="16"/>
      <c r="FRC232" s="16"/>
      <c r="FRD232" s="16"/>
      <c r="FRE232" s="16"/>
      <c r="FRF232" s="16"/>
      <c r="FRG232" s="15"/>
      <c r="FRH232" s="15"/>
      <c r="FRI232" s="10"/>
      <c r="FRJ232" s="10"/>
      <c r="FRK232" s="19"/>
      <c r="FRL232" s="19"/>
      <c r="FRO232" s="16"/>
      <c r="FRP232" s="15"/>
      <c r="FRQ232" s="15"/>
      <c r="FRR232" s="15"/>
      <c r="FRS232" s="16"/>
      <c r="FRT232" s="16"/>
      <c r="FRU232" s="16"/>
      <c r="FRV232" s="16"/>
      <c r="FRW232" s="16"/>
      <c r="FRX232" s="15"/>
      <c r="FRY232" s="15"/>
      <c r="FRZ232" s="10"/>
      <c r="FSA232" s="10"/>
      <c r="FSB232" s="19"/>
      <c r="FSC232" s="19"/>
      <c r="FSF232" s="16"/>
      <c r="FSG232" s="15"/>
      <c r="FSH232" s="15"/>
      <c r="FSI232" s="15"/>
      <c r="FSJ232" s="16"/>
      <c r="FSK232" s="16"/>
      <c r="FSL232" s="16"/>
      <c r="FSM232" s="16"/>
      <c r="FSN232" s="16"/>
      <c r="FSO232" s="15"/>
      <c r="FSP232" s="15"/>
      <c r="FSQ232" s="10"/>
      <c r="FSR232" s="10"/>
      <c r="FSS232" s="19"/>
      <c r="FST232" s="19"/>
      <c r="FSW232" s="16"/>
      <c r="FSX232" s="15"/>
      <c r="FSY232" s="15"/>
      <c r="FSZ232" s="15"/>
      <c r="FTA232" s="16"/>
      <c r="FTB232" s="16"/>
      <c r="FTC232" s="16"/>
      <c r="FTD232" s="16"/>
      <c r="FTE232" s="16"/>
      <c r="FTF232" s="15"/>
      <c r="FTG232" s="15"/>
      <c r="FTH232" s="10"/>
      <c r="FTI232" s="10"/>
      <c r="FTJ232" s="19"/>
      <c r="FTK232" s="19"/>
      <c r="FTN232" s="16"/>
      <c r="FTO232" s="15"/>
      <c r="FTP232" s="15"/>
      <c r="FTQ232" s="15"/>
      <c r="FTR232" s="16"/>
      <c r="FTS232" s="16"/>
      <c r="FTT232" s="16"/>
      <c r="FTU232" s="16"/>
      <c r="FTV232" s="16"/>
      <c r="FTW232" s="15"/>
      <c r="FTX232" s="15"/>
      <c r="FTY232" s="10"/>
      <c r="FTZ232" s="10"/>
      <c r="FUA232" s="19"/>
      <c r="FUB232" s="19"/>
      <c r="FUE232" s="16"/>
      <c r="FUF232" s="15"/>
      <c r="FUG232" s="15"/>
      <c r="FUH232" s="15"/>
      <c r="FUI232" s="16"/>
      <c r="FUJ232" s="16"/>
      <c r="FUK232" s="16"/>
      <c r="FUL232" s="16"/>
      <c r="FUM232" s="16"/>
      <c r="FUN232" s="15"/>
      <c r="FUO232" s="15"/>
      <c r="FUP232" s="10"/>
      <c r="FUQ232" s="10"/>
      <c r="FUR232" s="19"/>
      <c r="FUS232" s="19"/>
      <c r="FUV232" s="16"/>
      <c r="FUW232" s="15"/>
      <c r="FUX232" s="15"/>
      <c r="FUY232" s="15"/>
      <c r="FUZ232" s="16"/>
      <c r="FVA232" s="16"/>
      <c r="FVB232" s="16"/>
      <c r="FVC232" s="16"/>
      <c r="FVD232" s="16"/>
      <c r="FVE232" s="15"/>
      <c r="FVF232" s="15"/>
      <c r="FVG232" s="10"/>
      <c r="FVH232" s="10"/>
      <c r="FVI232" s="19"/>
      <c r="FVJ232" s="19"/>
      <c r="FVM232" s="16"/>
      <c r="FVN232" s="15"/>
      <c r="FVO232" s="15"/>
      <c r="FVP232" s="15"/>
      <c r="FVQ232" s="16"/>
      <c r="FVR232" s="16"/>
      <c r="FVS232" s="16"/>
      <c r="FVT232" s="16"/>
      <c r="FVU232" s="16"/>
      <c r="FVV232" s="15"/>
      <c r="FVW232" s="15"/>
      <c r="FVX232" s="10"/>
      <c r="FVY232" s="10"/>
      <c r="FVZ232" s="19"/>
      <c r="FWA232" s="19"/>
      <c r="FWD232" s="16"/>
      <c r="FWE232" s="15"/>
      <c r="FWF232" s="15"/>
      <c r="FWG232" s="15"/>
      <c r="FWH232" s="16"/>
      <c r="FWI232" s="16"/>
      <c r="FWJ232" s="16"/>
      <c r="FWK232" s="16"/>
      <c r="FWL232" s="16"/>
      <c r="FWM232" s="15"/>
      <c r="FWN232" s="15"/>
      <c r="FWO232" s="10"/>
      <c r="FWP232" s="10"/>
      <c r="FWQ232" s="19"/>
      <c r="FWR232" s="19"/>
      <c r="FWU232" s="16"/>
      <c r="FWV232" s="15"/>
      <c r="FWW232" s="15"/>
      <c r="FWX232" s="15"/>
      <c r="FWY232" s="16"/>
      <c r="FWZ232" s="16"/>
      <c r="FXA232" s="16"/>
      <c r="FXB232" s="16"/>
      <c r="FXC232" s="16"/>
      <c r="FXD232" s="15"/>
      <c r="FXE232" s="15"/>
      <c r="FXF232" s="10"/>
      <c r="FXG232" s="10"/>
      <c r="FXH232" s="19"/>
      <c r="FXI232" s="19"/>
      <c r="FXL232" s="16"/>
      <c r="FXM232" s="15"/>
      <c r="FXN232" s="15"/>
      <c r="FXO232" s="15"/>
      <c r="FXP232" s="16"/>
      <c r="FXQ232" s="16"/>
      <c r="FXR232" s="16"/>
      <c r="FXS232" s="16"/>
      <c r="FXT232" s="16"/>
      <c r="FXU232" s="15"/>
      <c r="FXV232" s="15"/>
      <c r="FXW232" s="10"/>
      <c r="FXX232" s="10"/>
      <c r="FXY232" s="19"/>
      <c r="FXZ232" s="19"/>
      <c r="FYC232" s="16"/>
      <c r="FYD232" s="15"/>
      <c r="FYE232" s="15"/>
      <c r="FYF232" s="15"/>
      <c r="FYG232" s="16"/>
      <c r="FYH232" s="16"/>
      <c r="FYI232" s="16"/>
      <c r="FYJ232" s="16"/>
      <c r="FYK232" s="16"/>
      <c r="FYL232" s="15"/>
      <c r="FYM232" s="15"/>
      <c r="FYN232" s="10"/>
      <c r="FYO232" s="10"/>
      <c r="FYP232" s="19"/>
      <c r="FYQ232" s="19"/>
      <c r="FYT232" s="16"/>
      <c r="FYU232" s="15"/>
      <c r="FYV232" s="15"/>
      <c r="FYW232" s="15"/>
      <c r="FYX232" s="16"/>
      <c r="FYY232" s="16"/>
      <c r="FYZ232" s="16"/>
      <c r="FZA232" s="16"/>
      <c r="FZB232" s="16"/>
      <c r="FZC232" s="15"/>
      <c r="FZD232" s="15"/>
      <c r="FZE232" s="10"/>
      <c r="FZF232" s="10"/>
      <c r="FZG232" s="19"/>
      <c r="FZH232" s="19"/>
      <c r="FZK232" s="16"/>
      <c r="FZL232" s="15"/>
      <c r="FZM232" s="15"/>
      <c r="FZN232" s="15"/>
      <c r="FZO232" s="16"/>
      <c r="FZP232" s="16"/>
      <c r="FZQ232" s="16"/>
      <c r="FZR232" s="16"/>
      <c r="FZS232" s="16"/>
      <c r="FZT232" s="15"/>
      <c r="FZU232" s="15"/>
      <c r="FZV232" s="10"/>
      <c r="FZW232" s="10"/>
      <c r="FZX232" s="19"/>
      <c r="FZY232" s="19"/>
      <c r="GAB232" s="16"/>
      <c r="GAC232" s="15"/>
      <c r="GAD232" s="15"/>
      <c r="GAE232" s="15"/>
      <c r="GAF232" s="16"/>
      <c r="GAG232" s="16"/>
      <c r="GAH232" s="16"/>
      <c r="GAI232" s="16"/>
      <c r="GAJ232" s="16"/>
      <c r="GAK232" s="15"/>
      <c r="GAL232" s="15"/>
      <c r="GAM232" s="10"/>
      <c r="GAN232" s="10"/>
      <c r="GAO232" s="19"/>
      <c r="GAP232" s="19"/>
      <c r="GAS232" s="16"/>
      <c r="GAT232" s="15"/>
      <c r="GAU232" s="15"/>
      <c r="GAV232" s="15"/>
      <c r="GAW232" s="16"/>
      <c r="GAX232" s="16"/>
      <c r="GAY232" s="16"/>
      <c r="GAZ232" s="16"/>
      <c r="GBA232" s="16"/>
      <c r="GBB232" s="15"/>
      <c r="GBC232" s="15"/>
      <c r="GBD232" s="10"/>
      <c r="GBE232" s="10"/>
      <c r="GBF232" s="19"/>
      <c r="GBG232" s="19"/>
      <c r="GBJ232" s="16"/>
      <c r="GBK232" s="15"/>
      <c r="GBL232" s="15"/>
      <c r="GBM232" s="15"/>
      <c r="GBN232" s="16"/>
      <c r="GBO232" s="16"/>
      <c r="GBP232" s="16"/>
      <c r="GBQ232" s="16"/>
      <c r="GBR232" s="16"/>
      <c r="GBS232" s="15"/>
      <c r="GBT232" s="15"/>
      <c r="GBU232" s="10"/>
      <c r="GBV232" s="10"/>
      <c r="GBW232" s="19"/>
      <c r="GBX232" s="19"/>
      <c r="GCA232" s="16"/>
      <c r="GCB232" s="15"/>
      <c r="GCC232" s="15"/>
      <c r="GCD232" s="15"/>
      <c r="GCE232" s="16"/>
      <c r="GCF232" s="16"/>
      <c r="GCG232" s="16"/>
      <c r="GCH232" s="16"/>
      <c r="GCI232" s="16"/>
      <c r="GCJ232" s="15"/>
      <c r="GCK232" s="15"/>
      <c r="GCL232" s="10"/>
      <c r="GCM232" s="10"/>
      <c r="GCN232" s="19"/>
      <c r="GCO232" s="19"/>
      <c r="GCR232" s="16"/>
      <c r="GCS232" s="15"/>
      <c r="GCT232" s="15"/>
      <c r="GCU232" s="15"/>
      <c r="GCV232" s="16"/>
      <c r="GCW232" s="16"/>
      <c r="GCX232" s="16"/>
      <c r="GCY232" s="16"/>
      <c r="GCZ232" s="16"/>
      <c r="GDA232" s="15"/>
      <c r="GDB232" s="15"/>
      <c r="GDC232" s="10"/>
      <c r="GDD232" s="10"/>
      <c r="GDE232" s="19"/>
      <c r="GDF232" s="19"/>
      <c r="GDI232" s="16"/>
      <c r="GDJ232" s="15"/>
      <c r="GDK232" s="15"/>
      <c r="GDL232" s="15"/>
      <c r="GDM232" s="16"/>
      <c r="GDN232" s="16"/>
      <c r="GDO232" s="16"/>
      <c r="GDP232" s="16"/>
      <c r="GDQ232" s="16"/>
      <c r="GDR232" s="15"/>
      <c r="GDS232" s="15"/>
      <c r="GDT232" s="10"/>
      <c r="GDU232" s="10"/>
      <c r="GDV232" s="19"/>
      <c r="GDW232" s="19"/>
      <c r="GDZ232" s="16"/>
      <c r="GEA232" s="15"/>
      <c r="GEB232" s="15"/>
      <c r="GEC232" s="15"/>
      <c r="GED232" s="16"/>
      <c r="GEE232" s="16"/>
      <c r="GEF232" s="16"/>
      <c r="GEG232" s="16"/>
      <c r="GEH232" s="16"/>
      <c r="GEI232" s="15"/>
      <c r="GEJ232" s="15"/>
      <c r="GEK232" s="10"/>
      <c r="GEL232" s="10"/>
      <c r="GEM232" s="19"/>
      <c r="GEN232" s="19"/>
      <c r="GEQ232" s="16"/>
      <c r="GER232" s="15"/>
      <c r="GES232" s="15"/>
      <c r="GET232" s="15"/>
      <c r="GEU232" s="16"/>
      <c r="GEV232" s="16"/>
      <c r="GEW232" s="16"/>
      <c r="GEX232" s="16"/>
      <c r="GEY232" s="16"/>
      <c r="GEZ232" s="15"/>
      <c r="GFA232" s="15"/>
      <c r="GFB232" s="10"/>
      <c r="GFC232" s="10"/>
      <c r="GFD232" s="19"/>
      <c r="GFE232" s="19"/>
      <c r="GFH232" s="16"/>
      <c r="GFI232" s="15"/>
      <c r="GFJ232" s="15"/>
      <c r="GFK232" s="15"/>
      <c r="GFL232" s="16"/>
      <c r="GFM232" s="16"/>
      <c r="GFN232" s="16"/>
      <c r="GFO232" s="16"/>
      <c r="GFP232" s="16"/>
      <c r="GFQ232" s="15"/>
      <c r="GFR232" s="15"/>
      <c r="GFS232" s="10"/>
      <c r="GFT232" s="10"/>
      <c r="GFU232" s="19"/>
      <c r="GFV232" s="19"/>
      <c r="GFY232" s="16"/>
      <c r="GFZ232" s="15"/>
      <c r="GGA232" s="15"/>
      <c r="GGB232" s="15"/>
      <c r="GGC232" s="16"/>
      <c r="GGD232" s="16"/>
      <c r="GGE232" s="16"/>
      <c r="GGF232" s="16"/>
      <c r="GGG232" s="16"/>
      <c r="GGH232" s="15"/>
      <c r="GGI232" s="15"/>
      <c r="GGJ232" s="10"/>
      <c r="GGK232" s="10"/>
      <c r="GGL232" s="19"/>
      <c r="GGM232" s="19"/>
      <c r="GGP232" s="16"/>
      <c r="GGQ232" s="15"/>
      <c r="GGR232" s="15"/>
      <c r="GGS232" s="15"/>
      <c r="GGT232" s="16"/>
      <c r="GGU232" s="16"/>
      <c r="GGV232" s="16"/>
      <c r="GGW232" s="16"/>
      <c r="GGX232" s="16"/>
      <c r="GGY232" s="15"/>
      <c r="GGZ232" s="15"/>
      <c r="GHA232" s="10"/>
      <c r="GHB232" s="10"/>
      <c r="GHC232" s="19"/>
      <c r="GHD232" s="19"/>
      <c r="GHG232" s="16"/>
      <c r="GHH232" s="15"/>
      <c r="GHI232" s="15"/>
      <c r="GHJ232" s="15"/>
      <c r="GHK232" s="16"/>
      <c r="GHL232" s="16"/>
      <c r="GHM232" s="16"/>
      <c r="GHN232" s="16"/>
      <c r="GHO232" s="16"/>
      <c r="GHP232" s="15"/>
      <c r="GHQ232" s="15"/>
      <c r="GHR232" s="10"/>
      <c r="GHS232" s="10"/>
      <c r="GHT232" s="19"/>
      <c r="GHU232" s="19"/>
      <c r="GHX232" s="16"/>
      <c r="GHY232" s="15"/>
      <c r="GHZ232" s="15"/>
      <c r="GIA232" s="15"/>
      <c r="GIB232" s="16"/>
      <c r="GIC232" s="16"/>
      <c r="GID232" s="16"/>
      <c r="GIE232" s="16"/>
      <c r="GIF232" s="16"/>
      <c r="GIG232" s="15"/>
      <c r="GIH232" s="15"/>
      <c r="GII232" s="10"/>
      <c r="GIJ232" s="10"/>
      <c r="GIK232" s="19"/>
      <c r="GIL232" s="19"/>
      <c r="GIO232" s="16"/>
      <c r="GIP232" s="15"/>
      <c r="GIQ232" s="15"/>
      <c r="GIR232" s="15"/>
      <c r="GIS232" s="16"/>
      <c r="GIT232" s="16"/>
      <c r="GIU232" s="16"/>
      <c r="GIV232" s="16"/>
      <c r="GIW232" s="16"/>
      <c r="GIX232" s="15"/>
      <c r="GIY232" s="15"/>
      <c r="GIZ232" s="10"/>
      <c r="GJA232" s="10"/>
      <c r="GJB232" s="19"/>
      <c r="GJC232" s="19"/>
      <c r="GJF232" s="16"/>
      <c r="GJG232" s="15"/>
      <c r="GJH232" s="15"/>
      <c r="GJI232" s="15"/>
      <c r="GJJ232" s="16"/>
      <c r="GJK232" s="16"/>
      <c r="GJL232" s="16"/>
      <c r="GJM232" s="16"/>
      <c r="GJN232" s="16"/>
      <c r="GJO232" s="15"/>
      <c r="GJP232" s="15"/>
      <c r="GJQ232" s="10"/>
      <c r="GJR232" s="10"/>
      <c r="GJS232" s="19"/>
      <c r="GJT232" s="19"/>
      <c r="GJW232" s="16"/>
      <c r="GJX232" s="15"/>
      <c r="GJY232" s="15"/>
      <c r="GJZ232" s="15"/>
      <c r="GKA232" s="16"/>
      <c r="GKB232" s="16"/>
      <c r="GKC232" s="16"/>
      <c r="GKD232" s="16"/>
      <c r="GKE232" s="16"/>
      <c r="GKF232" s="15"/>
      <c r="GKG232" s="15"/>
      <c r="GKH232" s="10"/>
      <c r="GKI232" s="10"/>
      <c r="GKJ232" s="19"/>
      <c r="GKK232" s="19"/>
      <c r="GKN232" s="16"/>
      <c r="GKO232" s="15"/>
      <c r="GKP232" s="15"/>
      <c r="GKQ232" s="15"/>
      <c r="GKR232" s="16"/>
      <c r="GKS232" s="16"/>
      <c r="GKT232" s="16"/>
      <c r="GKU232" s="16"/>
      <c r="GKV232" s="16"/>
      <c r="GKW232" s="15"/>
      <c r="GKX232" s="15"/>
      <c r="GKY232" s="10"/>
      <c r="GKZ232" s="10"/>
      <c r="GLA232" s="19"/>
      <c r="GLB232" s="19"/>
      <c r="GLE232" s="16"/>
      <c r="GLF232" s="15"/>
      <c r="GLG232" s="15"/>
      <c r="GLH232" s="15"/>
      <c r="GLI232" s="16"/>
      <c r="GLJ232" s="16"/>
      <c r="GLK232" s="16"/>
      <c r="GLL232" s="16"/>
      <c r="GLM232" s="16"/>
      <c r="GLN232" s="15"/>
      <c r="GLO232" s="15"/>
      <c r="GLP232" s="10"/>
      <c r="GLQ232" s="10"/>
      <c r="GLR232" s="19"/>
      <c r="GLS232" s="19"/>
      <c r="GLV232" s="16"/>
      <c r="GLW232" s="15"/>
      <c r="GLX232" s="15"/>
      <c r="GLY232" s="15"/>
      <c r="GLZ232" s="16"/>
      <c r="GMA232" s="16"/>
      <c r="GMB232" s="16"/>
      <c r="GMC232" s="16"/>
      <c r="GMD232" s="16"/>
      <c r="GME232" s="15"/>
      <c r="GMF232" s="15"/>
      <c r="GMG232" s="10"/>
      <c r="GMH232" s="10"/>
      <c r="GMI232" s="19"/>
      <c r="GMJ232" s="19"/>
      <c r="GMM232" s="16"/>
      <c r="GMN232" s="15"/>
      <c r="GMO232" s="15"/>
      <c r="GMP232" s="15"/>
      <c r="GMQ232" s="16"/>
      <c r="GMR232" s="16"/>
      <c r="GMS232" s="16"/>
      <c r="GMT232" s="16"/>
      <c r="GMU232" s="16"/>
      <c r="GMV232" s="15"/>
      <c r="GMW232" s="15"/>
      <c r="GMX232" s="10"/>
      <c r="GMY232" s="10"/>
      <c r="GMZ232" s="19"/>
      <c r="GNA232" s="19"/>
      <c r="GND232" s="16"/>
      <c r="GNE232" s="15"/>
      <c r="GNF232" s="15"/>
      <c r="GNG232" s="15"/>
      <c r="GNH232" s="16"/>
      <c r="GNI232" s="16"/>
      <c r="GNJ232" s="16"/>
      <c r="GNK232" s="16"/>
      <c r="GNL232" s="16"/>
      <c r="GNM232" s="15"/>
      <c r="GNN232" s="15"/>
      <c r="GNO232" s="10"/>
      <c r="GNP232" s="10"/>
      <c r="GNQ232" s="19"/>
      <c r="GNR232" s="19"/>
      <c r="GNU232" s="16"/>
      <c r="GNV232" s="15"/>
      <c r="GNW232" s="15"/>
      <c r="GNX232" s="15"/>
      <c r="GNY232" s="16"/>
      <c r="GNZ232" s="16"/>
      <c r="GOA232" s="16"/>
      <c r="GOB232" s="16"/>
      <c r="GOC232" s="16"/>
      <c r="GOD232" s="15"/>
      <c r="GOE232" s="15"/>
      <c r="GOF232" s="10"/>
      <c r="GOG232" s="10"/>
      <c r="GOH232" s="19"/>
      <c r="GOI232" s="19"/>
      <c r="GOL232" s="16"/>
      <c r="GOM232" s="15"/>
      <c r="GON232" s="15"/>
      <c r="GOO232" s="15"/>
      <c r="GOP232" s="16"/>
      <c r="GOQ232" s="16"/>
      <c r="GOR232" s="16"/>
      <c r="GOS232" s="16"/>
      <c r="GOT232" s="16"/>
      <c r="GOU232" s="15"/>
      <c r="GOV232" s="15"/>
      <c r="GOW232" s="10"/>
      <c r="GOX232" s="10"/>
      <c r="GOY232" s="19"/>
      <c r="GOZ232" s="19"/>
      <c r="GPC232" s="16"/>
      <c r="GPD232" s="15"/>
      <c r="GPE232" s="15"/>
      <c r="GPF232" s="15"/>
      <c r="GPG232" s="16"/>
      <c r="GPH232" s="16"/>
      <c r="GPI232" s="16"/>
      <c r="GPJ232" s="16"/>
      <c r="GPK232" s="16"/>
      <c r="GPL232" s="15"/>
      <c r="GPM232" s="15"/>
      <c r="GPN232" s="10"/>
      <c r="GPO232" s="10"/>
      <c r="GPP232" s="19"/>
      <c r="GPQ232" s="19"/>
      <c r="GPT232" s="16"/>
      <c r="GPU232" s="15"/>
      <c r="GPV232" s="15"/>
      <c r="GPW232" s="15"/>
      <c r="GPX232" s="16"/>
      <c r="GPY232" s="16"/>
      <c r="GPZ232" s="16"/>
      <c r="GQA232" s="16"/>
      <c r="GQB232" s="16"/>
      <c r="GQC232" s="15"/>
      <c r="GQD232" s="15"/>
      <c r="GQE232" s="10"/>
      <c r="GQF232" s="10"/>
      <c r="GQG232" s="19"/>
      <c r="GQH232" s="19"/>
      <c r="GQK232" s="16"/>
      <c r="GQL232" s="15"/>
      <c r="GQM232" s="15"/>
      <c r="GQN232" s="15"/>
      <c r="GQO232" s="16"/>
      <c r="GQP232" s="16"/>
      <c r="GQQ232" s="16"/>
      <c r="GQR232" s="16"/>
      <c r="GQS232" s="16"/>
      <c r="GQT232" s="15"/>
      <c r="GQU232" s="15"/>
      <c r="GQV232" s="10"/>
      <c r="GQW232" s="10"/>
      <c r="GQX232" s="19"/>
      <c r="GQY232" s="19"/>
      <c r="GRB232" s="16"/>
      <c r="GRC232" s="15"/>
      <c r="GRD232" s="15"/>
      <c r="GRE232" s="15"/>
      <c r="GRF232" s="16"/>
      <c r="GRG232" s="16"/>
      <c r="GRH232" s="16"/>
      <c r="GRI232" s="16"/>
      <c r="GRJ232" s="16"/>
      <c r="GRK232" s="15"/>
      <c r="GRL232" s="15"/>
      <c r="GRM232" s="10"/>
      <c r="GRN232" s="10"/>
      <c r="GRO232" s="19"/>
      <c r="GRP232" s="19"/>
      <c r="GRS232" s="16"/>
      <c r="GRT232" s="15"/>
      <c r="GRU232" s="15"/>
      <c r="GRV232" s="15"/>
      <c r="GRW232" s="16"/>
      <c r="GRX232" s="16"/>
      <c r="GRY232" s="16"/>
      <c r="GRZ232" s="16"/>
      <c r="GSA232" s="16"/>
      <c r="GSB232" s="15"/>
      <c r="GSC232" s="15"/>
      <c r="GSD232" s="10"/>
      <c r="GSE232" s="10"/>
      <c r="GSF232" s="19"/>
      <c r="GSG232" s="19"/>
      <c r="GSJ232" s="16"/>
      <c r="GSK232" s="15"/>
      <c r="GSL232" s="15"/>
      <c r="GSM232" s="15"/>
      <c r="GSN232" s="16"/>
      <c r="GSO232" s="16"/>
      <c r="GSP232" s="16"/>
      <c r="GSQ232" s="16"/>
      <c r="GSR232" s="16"/>
      <c r="GSS232" s="15"/>
      <c r="GST232" s="15"/>
      <c r="GSU232" s="10"/>
      <c r="GSV232" s="10"/>
      <c r="GSW232" s="19"/>
      <c r="GSX232" s="19"/>
      <c r="GTA232" s="16"/>
      <c r="GTB232" s="15"/>
      <c r="GTC232" s="15"/>
      <c r="GTD232" s="15"/>
      <c r="GTE232" s="16"/>
      <c r="GTF232" s="16"/>
      <c r="GTG232" s="16"/>
      <c r="GTH232" s="16"/>
      <c r="GTI232" s="16"/>
      <c r="GTJ232" s="15"/>
      <c r="GTK232" s="15"/>
      <c r="GTL232" s="10"/>
      <c r="GTM232" s="10"/>
      <c r="GTN232" s="19"/>
      <c r="GTO232" s="19"/>
      <c r="GTR232" s="16"/>
      <c r="GTS232" s="15"/>
      <c r="GTT232" s="15"/>
      <c r="GTU232" s="15"/>
      <c r="GTV232" s="16"/>
      <c r="GTW232" s="16"/>
      <c r="GTX232" s="16"/>
      <c r="GTY232" s="16"/>
      <c r="GTZ232" s="16"/>
      <c r="GUA232" s="15"/>
      <c r="GUB232" s="15"/>
      <c r="GUC232" s="10"/>
      <c r="GUD232" s="10"/>
      <c r="GUE232" s="19"/>
      <c r="GUF232" s="19"/>
      <c r="GUI232" s="16"/>
      <c r="GUJ232" s="15"/>
      <c r="GUK232" s="15"/>
      <c r="GUL232" s="15"/>
      <c r="GUM232" s="16"/>
      <c r="GUN232" s="16"/>
      <c r="GUO232" s="16"/>
      <c r="GUP232" s="16"/>
      <c r="GUQ232" s="16"/>
      <c r="GUR232" s="15"/>
      <c r="GUS232" s="15"/>
      <c r="GUT232" s="10"/>
      <c r="GUU232" s="10"/>
      <c r="GUV232" s="19"/>
      <c r="GUW232" s="19"/>
      <c r="GUZ232" s="16"/>
      <c r="GVA232" s="15"/>
      <c r="GVB232" s="15"/>
      <c r="GVC232" s="15"/>
      <c r="GVD232" s="16"/>
      <c r="GVE232" s="16"/>
      <c r="GVF232" s="16"/>
      <c r="GVG232" s="16"/>
      <c r="GVH232" s="16"/>
      <c r="GVI232" s="15"/>
      <c r="GVJ232" s="15"/>
      <c r="GVK232" s="10"/>
      <c r="GVL232" s="10"/>
      <c r="GVM232" s="19"/>
      <c r="GVN232" s="19"/>
      <c r="GVQ232" s="16"/>
      <c r="GVR232" s="15"/>
      <c r="GVS232" s="15"/>
      <c r="GVT232" s="15"/>
      <c r="GVU232" s="16"/>
      <c r="GVV232" s="16"/>
      <c r="GVW232" s="16"/>
      <c r="GVX232" s="16"/>
      <c r="GVY232" s="16"/>
      <c r="GVZ232" s="15"/>
      <c r="GWA232" s="15"/>
      <c r="GWB232" s="10"/>
      <c r="GWC232" s="10"/>
      <c r="GWD232" s="19"/>
      <c r="GWE232" s="19"/>
      <c r="GWH232" s="16"/>
      <c r="GWI232" s="15"/>
      <c r="GWJ232" s="15"/>
      <c r="GWK232" s="15"/>
      <c r="GWL232" s="16"/>
      <c r="GWM232" s="16"/>
      <c r="GWN232" s="16"/>
      <c r="GWO232" s="16"/>
      <c r="GWP232" s="16"/>
      <c r="GWQ232" s="15"/>
      <c r="GWR232" s="15"/>
      <c r="GWS232" s="10"/>
      <c r="GWT232" s="10"/>
      <c r="GWU232" s="19"/>
      <c r="GWV232" s="19"/>
      <c r="GWY232" s="16"/>
      <c r="GWZ232" s="15"/>
      <c r="GXA232" s="15"/>
      <c r="GXB232" s="15"/>
      <c r="GXC232" s="16"/>
      <c r="GXD232" s="16"/>
      <c r="GXE232" s="16"/>
      <c r="GXF232" s="16"/>
      <c r="GXG232" s="16"/>
      <c r="GXH232" s="15"/>
      <c r="GXI232" s="15"/>
      <c r="GXJ232" s="10"/>
      <c r="GXK232" s="10"/>
      <c r="GXL232" s="19"/>
      <c r="GXM232" s="19"/>
      <c r="GXP232" s="16"/>
      <c r="GXQ232" s="15"/>
      <c r="GXR232" s="15"/>
      <c r="GXS232" s="15"/>
      <c r="GXT232" s="16"/>
      <c r="GXU232" s="16"/>
      <c r="GXV232" s="16"/>
      <c r="GXW232" s="16"/>
      <c r="GXX232" s="16"/>
      <c r="GXY232" s="15"/>
      <c r="GXZ232" s="15"/>
      <c r="GYA232" s="10"/>
      <c r="GYB232" s="10"/>
      <c r="GYC232" s="19"/>
      <c r="GYD232" s="19"/>
      <c r="GYG232" s="16"/>
      <c r="GYH232" s="15"/>
      <c r="GYI232" s="15"/>
      <c r="GYJ232" s="15"/>
      <c r="GYK232" s="16"/>
      <c r="GYL232" s="16"/>
      <c r="GYM232" s="16"/>
      <c r="GYN232" s="16"/>
      <c r="GYO232" s="16"/>
      <c r="GYP232" s="15"/>
      <c r="GYQ232" s="15"/>
      <c r="GYR232" s="10"/>
      <c r="GYS232" s="10"/>
      <c r="GYT232" s="19"/>
      <c r="GYU232" s="19"/>
      <c r="GYX232" s="16"/>
      <c r="GYY232" s="15"/>
      <c r="GYZ232" s="15"/>
      <c r="GZA232" s="15"/>
      <c r="GZB232" s="16"/>
      <c r="GZC232" s="16"/>
      <c r="GZD232" s="16"/>
      <c r="GZE232" s="16"/>
      <c r="GZF232" s="16"/>
      <c r="GZG232" s="15"/>
      <c r="GZH232" s="15"/>
      <c r="GZI232" s="10"/>
      <c r="GZJ232" s="10"/>
      <c r="GZK232" s="19"/>
      <c r="GZL232" s="19"/>
      <c r="GZO232" s="16"/>
      <c r="GZP232" s="15"/>
      <c r="GZQ232" s="15"/>
      <c r="GZR232" s="15"/>
      <c r="GZS232" s="16"/>
      <c r="GZT232" s="16"/>
      <c r="GZU232" s="16"/>
      <c r="GZV232" s="16"/>
      <c r="GZW232" s="16"/>
      <c r="GZX232" s="15"/>
      <c r="GZY232" s="15"/>
      <c r="GZZ232" s="10"/>
      <c r="HAA232" s="10"/>
      <c r="HAB232" s="19"/>
      <c r="HAC232" s="19"/>
      <c r="HAF232" s="16"/>
      <c r="HAG232" s="15"/>
      <c r="HAH232" s="15"/>
      <c r="HAI232" s="15"/>
      <c r="HAJ232" s="16"/>
      <c r="HAK232" s="16"/>
      <c r="HAL232" s="16"/>
      <c r="HAM232" s="16"/>
      <c r="HAN232" s="16"/>
      <c r="HAO232" s="15"/>
      <c r="HAP232" s="15"/>
      <c r="HAQ232" s="10"/>
      <c r="HAR232" s="10"/>
      <c r="HAS232" s="19"/>
      <c r="HAT232" s="19"/>
      <c r="HAW232" s="16"/>
      <c r="HAX232" s="15"/>
      <c r="HAY232" s="15"/>
      <c r="HAZ232" s="15"/>
      <c r="HBA232" s="16"/>
      <c r="HBB232" s="16"/>
      <c r="HBC232" s="16"/>
      <c r="HBD232" s="16"/>
      <c r="HBE232" s="16"/>
      <c r="HBF232" s="15"/>
      <c r="HBG232" s="15"/>
      <c r="HBH232" s="10"/>
      <c r="HBI232" s="10"/>
      <c r="HBJ232" s="19"/>
      <c r="HBK232" s="19"/>
      <c r="HBN232" s="16"/>
      <c r="HBO232" s="15"/>
      <c r="HBP232" s="15"/>
      <c r="HBQ232" s="15"/>
      <c r="HBR232" s="16"/>
      <c r="HBS232" s="16"/>
      <c r="HBT232" s="16"/>
      <c r="HBU232" s="16"/>
      <c r="HBV232" s="16"/>
      <c r="HBW232" s="15"/>
      <c r="HBX232" s="15"/>
      <c r="HBY232" s="10"/>
      <c r="HBZ232" s="10"/>
      <c r="HCA232" s="19"/>
      <c r="HCB232" s="19"/>
      <c r="HCE232" s="16"/>
      <c r="HCF232" s="15"/>
      <c r="HCG232" s="15"/>
      <c r="HCH232" s="15"/>
      <c r="HCI232" s="16"/>
      <c r="HCJ232" s="16"/>
      <c r="HCK232" s="16"/>
      <c r="HCL232" s="16"/>
      <c r="HCM232" s="16"/>
      <c r="HCN232" s="15"/>
      <c r="HCO232" s="15"/>
      <c r="HCP232" s="10"/>
      <c r="HCQ232" s="10"/>
      <c r="HCR232" s="19"/>
      <c r="HCS232" s="19"/>
      <c r="HCV232" s="16"/>
      <c r="HCW232" s="15"/>
      <c r="HCX232" s="15"/>
      <c r="HCY232" s="15"/>
      <c r="HCZ232" s="16"/>
      <c r="HDA232" s="16"/>
      <c r="HDB232" s="16"/>
      <c r="HDC232" s="16"/>
      <c r="HDD232" s="16"/>
      <c r="HDE232" s="15"/>
      <c r="HDF232" s="15"/>
      <c r="HDG232" s="10"/>
      <c r="HDH232" s="10"/>
      <c r="HDI232" s="19"/>
      <c r="HDJ232" s="19"/>
      <c r="HDM232" s="16"/>
      <c r="HDN232" s="15"/>
      <c r="HDO232" s="15"/>
      <c r="HDP232" s="15"/>
      <c r="HDQ232" s="16"/>
      <c r="HDR232" s="16"/>
      <c r="HDS232" s="16"/>
      <c r="HDT232" s="16"/>
      <c r="HDU232" s="16"/>
      <c r="HDV232" s="15"/>
      <c r="HDW232" s="15"/>
      <c r="HDX232" s="10"/>
      <c r="HDY232" s="10"/>
      <c r="HDZ232" s="19"/>
      <c r="HEA232" s="19"/>
      <c r="HED232" s="16"/>
      <c r="HEE232" s="15"/>
      <c r="HEF232" s="15"/>
      <c r="HEG232" s="15"/>
      <c r="HEH232" s="16"/>
      <c r="HEI232" s="16"/>
      <c r="HEJ232" s="16"/>
      <c r="HEK232" s="16"/>
      <c r="HEL232" s="16"/>
      <c r="HEM232" s="15"/>
      <c r="HEN232" s="15"/>
      <c r="HEO232" s="10"/>
      <c r="HEP232" s="10"/>
      <c r="HEQ232" s="19"/>
      <c r="HER232" s="19"/>
      <c r="HEU232" s="16"/>
      <c r="HEV232" s="15"/>
      <c r="HEW232" s="15"/>
      <c r="HEX232" s="15"/>
      <c r="HEY232" s="16"/>
      <c r="HEZ232" s="16"/>
      <c r="HFA232" s="16"/>
      <c r="HFB232" s="16"/>
      <c r="HFC232" s="16"/>
      <c r="HFD232" s="15"/>
      <c r="HFE232" s="15"/>
      <c r="HFF232" s="10"/>
      <c r="HFG232" s="10"/>
      <c r="HFH232" s="19"/>
      <c r="HFI232" s="19"/>
      <c r="HFL232" s="16"/>
      <c r="HFM232" s="15"/>
      <c r="HFN232" s="15"/>
      <c r="HFO232" s="15"/>
      <c r="HFP232" s="16"/>
      <c r="HFQ232" s="16"/>
      <c r="HFR232" s="16"/>
      <c r="HFS232" s="16"/>
      <c r="HFT232" s="16"/>
      <c r="HFU232" s="15"/>
      <c r="HFV232" s="15"/>
      <c r="HFW232" s="10"/>
      <c r="HFX232" s="10"/>
      <c r="HFY232" s="19"/>
      <c r="HFZ232" s="19"/>
      <c r="HGC232" s="16"/>
      <c r="HGD232" s="15"/>
      <c r="HGE232" s="15"/>
      <c r="HGF232" s="15"/>
      <c r="HGG232" s="16"/>
      <c r="HGH232" s="16"/>
      <c r="HGI232" s="16"/>
      <c r="HGJ232" s="16"/>
      <c r="HGK232" s="16"/>
      <c r="HGL232" s="15"/>
      <c r="HGM232" s="15"/>
      <c r="HGN232" s="10"/>
      <c r="HGO232" s="10"/>
      <c r="HGP232" s="19"/>
      <c r="HGQ232" s="19"/>
      <c r="HGT232" s="16"/>
      <c r="HGU232" s="15"/>
      <c r="HGV232" s="15"/>
      <c r="HGW232" s="15"/>
      <c r="HGX232" s="16"/>
      <c r="HGY232" s="16"/>
      <c r="HGZ232" s="16"/>
      <c r="HHA232" s="16"/>
      <c r="HHB232" s="16"/>
      <c r="HHC232" s="15"/>
      <c r="HHD232" s="15"/>
      <c r="HHE232" s="10"/>
      <c r="HHF232" s="10"/>
      <c r="HHG232" s="19"/>
      <c r="HHH232" s="19"/>
      <c r="HHK232" s="16"/>
      <c r="HHL232" s="15"/>
      <c r="HHM232" s="15"/>
      <c r="HHN232" s="15"/>
      <c r="HHO232" s="16"/>
      <c r="HHP232" s="16"/>
      <c r="HHQ232" s="16"/>
      <c r="HHR232" s="16"/>
      <c r="HHS232" s="16"/>
      <c r="HHT232" s="15"/>
      <c r="HHU232" s="15"/>
      <c r="HHV232" s="10"/>
      <c r="HHW232" s="10"/>
      <c r="HHX232" s="19"/>
      <c r="HHY232" s="19"/>
      <c r="HIB232" s="16"/>
      <c r="HIC232" s="15"/>
      <c r="HID232" s="15"/>
      <c r="HIE232" s="15"/>
      <c r="HIF232" s="16"/>
      <c r="HIG232" s="16"/>
      <c r="HIH232" s="16"/>
      <c r="HII232" s="16"/>
      <c r="HIJ232" s="16"/>
      <c r="HIK232" s="15"/>
      <c r="HIL232" s="15"/>
      <c r="HIM232" s="10"/>
      <c r="HIN232" s="10"/>
      <c r="HIO232" s="19"/>
      <c r="HIP232" s="19"/>
      <c r="HIS232" s="16"/>
      <c r="HIT232" s="15"/>
      <c r="HIU232" s="15"/>
      <c r="HIV232" s="15"/>
      <c r="HIW232" s="16"/>
      <c r="HIX232" s="16"/>
      <c r="HIY232" s="16"/>
      <c r="HIZ232" s="16"/>
      <c r="HJA232" s="16"/>
      <c r="HJB232" s="15"/>
      <c r="HJC232" s="15"/>
      <c r="HJD232" s="10"/>
      <c r="HJE232" s="10"/>
      <c r="HJF232" s="19"/>
      <c r="HJG232" s="19"/>
      <c r="HJJ232" s="16"/>
      <c r="HJK232" s="15"/>
      <c r="HJL232" s="15"/>
      <c r="HJM232" s="15"/>
      <c r="HJN232" s="16"/>
      <c r="HJO232" s="16"/>
      <c r="HJP232" s="16"/>
      <c r="HJQ232" s="16"/>
      <c r="HJR232" s="16"/>
      <c r="HJS232" s="15"/>
      <c r="HJT232" s="15"/>
      <c r="HJU232" s="10"/>
      <c r="HJV232" s="10"/>
      <c r="HJW232" s="19"/>
      <c r="HJX232" s="19"/>
      <c r="HKA232" s="16"/>
      <c r="HKB232" s="15"/>
      <c r="HKC232" s="15"/>
      <c r="HKD232" s="15"/>
      <c r="HKE232" s="16"/>
      <c r="HKF232" s="16"/>
      <c r="HKG232" s="16"/>
      <c r="HKH232" s="16"/>
      <c r="HKI232" s="16"/>
      <c r="HKJ232" s="15"/>
      <c r="HKK232" s="15"/>
      <c r="HKL232" s="10"/>
      <c r="HKM232" s="10"/>
      <c r="HKN232" s="19"/>
      <c r="HKO232" s="19"/>
      <c r="HKR232" s="16"/>
      <c r="HKS232" s="15"/>
      <c r="HKT232" s="15"/>
      <c r="HKU232" s="15"/>
      <c r="HKV232" s="16"/>
      <c r="HKW232" s="16"/>
      <c r="HKX232" s="16"/>
      <c r="HKY232" s="16"/>
      <c r="HKZ232" s="16"/>
      <c r="HLA232" s="15"/>
      <c r="HLB232" s="15"/>
      <c r="HLC232" s="10"/>
      <c r="HLD232" s="10"/>
      <c r="HLE232" s="19"/>
      <c r="HLF232" s="19"/>
      <c r="HLI232" s="16"/>
      <c r="HLJ232" s="15"/>
      <c r="HLK232" s="15"/>
      <c r="HLL232" s="15"/>
      <c r="HLM232" s="16"/>
      <c r="HLN232" s="16"/>
      <c r="HLO232" s="16"/>
      <c r="HLP232" s="16"/>
      <c r="HLQ232" s="16"/>
      <c r="HLR232" s="15"/>
      <c r="HLS232" s="15"/>
      <c r="HLT232" s="10"/>
      <c r="HLU232" s="10"/>
      <c r="HLV232" s="19"/>
      <c r="HLW232" s="19"/>
      <c r="HLZ232" s="16"/>
      <c r="HMA232" s="15"/>
      <c r="HMB232" s="15"/>
      <c r="HMC232" s="15"/>
      <c r="HMD232" s="16"/>
      <c r="HME232" s="16"/>
      <c r="HMF232" s="16"/>
      <c r="HMG232" s="16"/>
      <c r="HMH232" s="16"/>
      <c r="HMI232" s="15"/>
      <c r="HMJ232" s="15"/>
      <c r="HMK232" s="10"/>
      <c r="HML232" s="10"/>
      <c r="HMM232" s="19"/>
      <c r="HMN232" s="19"/>
      <c r="HMQ232" s="16"/>
      <c r="HMR232" s="15"/>
      <c r="HMS232" s="15"/>
      <c r="HMT232" s="15"/>
      <c r="HMU232" s="16"/>
      <c r="HMV232" s="16"/>
      <c r="HMW232" s="16"/>
      <c r="HMX232" s="16"/>
      <c r="HMY232" s="16"/>
      <c r="HMZ232" s="15"/>
      <c r="HNA232" s="15"/>
      <c r="HNB232" s="10"/>
      <c r="HNC232" s="10"/>
      <c r="HND232" s="19"/>
      <c r="HNE232" s="19"/>
      <c r="HNH232" s="16"/>
      <c r="HNI232" s="15"/>
      <c r="HNJ232" s="15"/>
      <c r="HNK232" s="15"/>
      <c r="HNL232" s="16"/>
      <c r="HNM232" s="16"/>
      <c r="HNN232" s="16"/>
      <c r="HNO232" s="16"/>
      <c r="HNP232" s="16"/>
      <c r="HNQ232" s="15"/>
      <c r="HNR232" s="15"/>
      <c r="HNS232" s="10"/>
      <c r="HNT232" s="10"/>
      <c r="HNU232" s="19"/>
      <c r="HNV232" s="19"/>
      <c r="HNY232" s="16"/>
      <c r="HNZ232" s="15"/>
      <c r="HOA232" s="15"/>
      <c r="HOB232" s="15"/>
      <c r="HOC232" s="16"/>
      <c r="HOD232" s="16"/>
      <c r="HOE232" s="16"/>
      <c r="HOF232" s="16"/>
      <c r="HOG232" s="16"/>
      <c r="HOH232" s="15"/>
      <c r="HOI232" s="15"/>
      <c r="HOJ232" s="10"/>
      <c r="HOK232" s="10"/>
      <c r="HOL232" s="19"/>
      <c r="HOM232" s="19"/>
      <c r="HOP232" s="16"/>
      <c r="HOQ232" s="15"/>
      <c r="HOR232" s="15"/>
      <c r="HOS232" s="15"/>
      <c r="HOT232" s="16"/>
      <c r="HOU232" s="16"/>
      <c r="HOV232" s="16"/>
      <c r="HOW232" s="16"/>
      <c r="HOX232" s="16"/>
      <c r="HOY232" s="15"/>
      <c r="HOZ232" s="15"/>
      <c r="HPA232" s="10"/>
      <c r="HPB232" s="10"/>
      <c r="HPC232" s="19"/>
      <c r="HPD232" s="19"/>
      <c r="HPG232" s="16"/>
      <c r="HPH232" s="15"/>
      <c r="HPI232" s="15"/>
      <c r="HPJ232" s="15"/>
      <c r="HPK232" s="16"/>
      <c r="HPL232" s="16"/>
      <c r="HPM232" s="16"/>
      <c r="HPN232" s="16"/>
      <c r="HPO232" s="16"/>
      <c r="HPP232" s="15"/>
      <c r="HPQ232" s="15"/>
      <c r="HPR232" s="10"/>
      <c r="HPS232" s="10"/>
      <c r="HPT232" s="19"/>
      <c r="HPU232" s="19"/>
      <c r="HPX232" s="16"/>
      <c r="HPY232" s="15"/>
      <c r="HPZ232" s="15"/>
      <c r="HQA232" s="15"/>
      <c r="HQB232" s="16"/>
      <c r="HQC232" s="16"/>
      <c r="HQD232" s="16"/>
      <c r="HQE232" s="16"/>
      <c r="HQF232" s="16"/>
      <c r="HQG232" s="15"/>
      <c r="HQH232" s="15"/>
      <c r="HQI232" s="10"/>
      <c r="HQJ232" s="10"/>
      <c r="HQK232" s="19"/>
      <c r="HQL232" s="19"/>
      <c r="HQO232" s="16"/>
      <c r="HQP232" s="15"/>
      <c r="HQQ232" s="15"/>
      <c r="HQR232" s="15"/>
      <c r="HQS232" s="16"/>
      <c r="HQT232" s="16"/>
      <c r="HQU232" s="16"/>
      <c r="HQV232" s="16"/>
      <c r="HQW232" s="16"/>
      <c r="HQX232" s="15"/>
      <c r="HQY232" s="15"/>
      <c r="HQZ232" s="10"/>
      <c r="HRA232" s="10"/>
      <c r="HRB232" s="19"/>
      <c r="HRC232" s="19"/>
      <c r="HRF232" s="16"/>
      <c r="HRG232" s="15"/>
      <c r="HRH232" s="15"/>
      <c r="HRI232" s="15"/>
      <c r="HRJ232" s="16"/>
      <c r="HRK232" s="16"/>
      <c r="HRL232" s="16"/>
      <c r="HRM232" s="16"/>
      <c r="HRN232" s="16"/>
      <c r="HRO232" s="15"/>
      <c r="HRP232" s="15"/>
      <c r="HRQ232" s="10"/>
      <c r="HRR232" s="10"/>
      <c r="HRS232" s="19"/>
      <c r="HRT232" s="19"/>
      <c r="HRW232" s="16"/>
      <c r="HRX232" s="15"/>
      <c r="HRY232" s="15"/>
      <c r="HRZ232" s="15"/>
      <c r="HSA232" s="16"/>
      <c r="HSB232" s="16"/>
      <c r="HSC232" s="16"/>
      <c r="HSD232" s="16"/>
      <c r="HSE232" s="16"/>
      <c r="HSF232" s="15"/>
      <c r="HSG232" s="15"/>
      <c r="HSH232" s="10"/>
      <c r="HSI232" s="10"/>
      <c r="HSJ232" s="19"/>
      <c r="HSK232" s="19"/>
      <c r="HSN232" s="16"/>
      <c r="HSO232" s="15"/>
      <c r="HSP232" s="15"/>
      <c r="HSQ232" s="15"/>
      <c r="HSR232" s="16"/>
      <c r="HSS232" s="16"/>
      <c r="HST232" s="16"/>
      <c r="HSU232" s="16"/>
      <c r="HSV232" s="16"/>
      <c r="HSW232" s="15"/>
      <c r="HSX232" s="15"/>
      <c r="HSY232" s="10"/>
      <c r="HSZ232" s="10"/>
      <c r="HTA232" s="19"/>
      <c r="HTB232" s="19"/>
      <c r="HTE232" s="16"/>
      <c r="HTF232" s="15"/>
      <c r="HTG232" s="15"/>
      <c r="HTH232" s="15"/>
      <c r="HTI232" s="16"/>
      <c r="HTJ232" s="16"/>
      <c r="HTK232" s="16"/>
      <c r="HTL232" s="16"/>
      <c r="HTM232" s="16"/>
      <c r="HTN232" s="15"/>
      <c r="HTO232" s="15"/>
      <c r="HTP232" s="10"/>
      <c r="HTQ232" s="10"/>
      <c r="HTR232" s="19"/>
      <c r="HTS232" s="19"/>
      <c r="HTV232" s="16"/>
      <c r="HTW232" s="15"/>
      <c r="HTX232" s="15"/>
      <c r="HTY232" s="15"/>
      <c r="HTZ232" s="16"/>
      <c r="HUA232" s="16"/>
      <c r="HUB232" s="16"/>
      <c r="HUC232" s="16"/>
      <c r="HUD232" s="16"/>
      <c r="HUE232" s="15"/>
      <c r="HUF232" s="15"/>
      <c r="HUG232" s="10"/>
      <c r="HUH232" s="10"/>
      <c r="HUI232" s="19"/>
      <c r="HUJ232" s="19"/>
      <c r="HUM232" s="16"/>
      <c r="HUN232" s="15"/>
      <c r="HUO232" s="15"/>
      <c r="HUP232" s="15"/>
      <c r="HUQ232" s="16"/>
      <c r="HUR232" s="16"/>
      <c r="HUS232" s="16"/>
      <c r="HUT232" s="16"/>
      <c r="HUU232" s="16"/>
      <c r="HUV232" s="15"/>
      <c r="HUW232" s="15"/>
      <c r="HUX232" s="10"/>
      <c r="HUY232" s="10"/>
      <c r="HUZ232" s="19"/>
      <c r="HVA232" s="19"/>
      <c r="HVD232" s="16"/>
      <c r="HVE232" s="15"/>
      <c r="HVF232" s="15"/>
      <c r="HVG232" s="15"/>
      <c r="HVH232" s="16"/>
      <c r="HVI232" s="16"/>
      <c r="HVJ232" s="16"/>
      <c r="HVK232" s="16"/>
      <c r="HVL232" s="16"/>
      <c r="HVM232" s="15"/>
      <c r="HVN232" s="15"/>
      <c r="HVO232" s="10"/>
      <c r="HVP232" s="10"/>
      <c r="HVQ232" s="19"/>
      <c r="HVR232" s="19"/>
      <c r="HVU232" s="16"/>
      <c r="HVV232" s="15"/>
      <c r="HVW232" s="15"/>
      <c r="HVX232" s="15"/>
      <c r="HVY232" s="16"/>
      <c r="HVZ232" s="16"/>
      <c r="HWA232" s="16"/>
      <c r="HWB232" s="16"/>
      <c r="HWC232" s="16"/>
      <c r="HWD232" s="15"/>
      <c r="HWE232" s="15"/>
      <c r="HWF232" s="10"/>
      <c r="HWG232" s="10"/>
      <c r="HWH232" s="19"/>
      <c r="HWI232" s="19"/>
      <c r="HWL232" s="16"/>
      <c r="HWM232" s="15"/>
      <c r="HWN232" s="15"/>
      <c r="HWO232" s="15"/>
      <c r="HWP232" s="16"/>
      <c r="HWQ232" s="16"/>
      <c r="HWR232" s="16"/>
      <c r="HWS232" s="16"/>
      <c r="HWT232" s="16"/>
      <c r="HWU232" s="15"/>
      <c r="HWV232" s="15"/>
      <c r="HWW232" s="10"/>
      <c r="HWX232" s="10"/>
      <c r="HWY232" s="19"/>
      <c r="HWZ232" s="19"/>
      <c r="HXC232" s="16"/>
      <c r="HXD232" s="15"/>
      <c r="HXE232" s="15"/>
      <c r="HXF232" s="15"/>
      <c r="HXG232" s="16"/>
      <c r="HXH232" s="16"/>
      <c r="HXI232" s="16"/>
      <c r="HXJ232" s="16"/>
      <c r="HXK232" s="16"/>
      <c r="HXL232" s="15"/>
      <c r="HXM232" s="15"/>
      <c r="HXN232" s="10"/>
      <c r="HXO232" s="10"/>
      <c r="HXP232" s="19"/>
      <c r="HXQ232" s="19"/>
      <c r="HXT232" s="16"/>
      <c r="HXU232" s="15"/>
      <c r="HXV232" s="15"/>
      <c r="HXW232" s="15"/>
      <c r="HXX232" s="16"/>
      <c r="HXY232" s="16"/>
      <c r="HXZ232" s="16"/>
      <c r="HYA232" s="16"/>
      <c r="HYB232" s="16"/>
      <c r="HYC232" s="15"/>
      <c r="HYD232" s="15"/>
      <c r="HYE232" s="10"/>
      <c r="HYF232" s="10"/>
      <c r="HYG232" s="19"/>
      <c r="HYH232" s="19"/>
      <c r="HYK232" s="16"/>
      <c r="HYL232" s="15"/>
      <c r="HYM232" s="15"/>
      <c r="HYN232" s="15"/>
      <c r="HYO232" s="16"/>
      <c r="HYP232" s="16"/>
      <c r="HYQ232" s="16"/>
      <c r="HYR232" s="16"/>
      <c r="HYS232" s="16"/>
      <c r="HYT232" s="15"/>
      <c r="HYU232" s="15"/>
      <c r="HYV232" s="10"/>
      <c r="HYW232" s="10"/>
      <c r="HYX232" s="19"/>
      <c r="HYY232" s="19"/>
      <c r="HZB232" s="16"/>
      <c r="HZC232" s="15"/>
      <c r="HZD232" s="15"/>
      <c r="HZE232" s="15"/>
      <c r="HZF232" s="16"/>
      <c r="HZG232" s="16"/>
      <c r="HZH232" s="16"/>
      <c r="HZI232" s="16"/>
      <c r="HZJ232" s="16"/>
      <c r="HZK232" s="15"/>
      <c r="HZL232" s="15"/>
      <c r="HZM232" s="10"/>
      <c r="HZN232" s="10"/>
      <c r="HZO232" s="19"/>
      <c r="HZP232" s="19"/>
      <c r="HZS232" s="16"/>
      <c r="HZT232" s="15"/>
      <c r="HZU232" s="15"/>
      <c r="HZV232" s="15"/>
      <c r="HZW232" s="16"/>
      <c r="HZX232" s="16"/>
      <c r="HZY232" s="16"/>
      <c r="HZZ232" s="16"/>
      <c r="IAA232" s="16"/>
      <c r="IAB232" s="15"/>
      <c r="IAC232" s="15"/>
      <c r="IAD232" s="10"/>
      <c r="IAE232" s="10"/>
      <c r="IAF232" s="19"/>
      <c r="IAG232" s="19"/>
      <c r="IAJ232" s="16"/>
      <c r="IAK232" s="15"/>
      <c r="IAL232" s="15"/>
      <c r="IAM232" s="15"/>
      <c r="IAN232" s="16"/>
      <c r="IAO232" s="16"/>
      <c r="IAP232" s="16"/>
      <c r="IAQ232" s="16"/>
      <c r="IAR232" s="16"/>
      <c r="IAS232" s="15"/>
      <c r="IAT232" s="15"/>
      <c r="IAU232" s="10"/>
      <c r="IAV232" s="10"/>
      <c r="IAW232" s="19"/>
      <c r="IAX232" s="19"/>
      <c r="IBA232" s="16"/>
      <c r="IBB232" s="15"/>
      <c r="IBC232" s="15"/>
      <c r="IBD232" s="15"/>
      <c r="IBE232" s="16"/>
      <c r="IBF232" s="16"/>
      <c r="IBG232" s="16"/>
      <c r="IBH232" s="16"/>
      <c r="IBI232" s="16"/>
      <c r="IBJ232" s="15"/>
      <c r="IBK232" s="15"/>
      <c r="IBL232" s="10"/>
      <c r="IBM232" s="10"/>
      <c r="IBN232" s="19"/>
      <c r="IBO232" s="19"/>
      <c r="IBR232" s="16"/>
      <c r="IBS232" s="15"/>
      <c r="IBT232" s="15"/>
      <c r="IBU232" s="15"/>
      <c r="IBV232" s="16"/>
      <c r="IBW232" s="16"/>
      <c r="IBX232" s="16"/>
      <c r="IBY232" s="16"/>
      <c r="IBZ232" s="16"/>
      <c r="ICA232" s="15"/>
      <c r="ICB232" s="15"/>
      <c r="ICC232" s="10"/>
      <c r="ICD232" s="10"/>
      <c r="ICE232" s="19"/>
      <c r="ICF232" s="19"/>
      <c r="ICI232" s="16"/>
      <c r="ICJ232" s="15"/>
      <c r="ICK232" s="15"/>
      <c r="ICL232" s="15"/>
      <c r="ICM232" s="16"/>
      <c r="ICN232" s="16"/>
      <c r="ICO232" s="16"/>
      <c r="ICP232" s="16"/>
      <c r="ICQ232" s="16"/>
      <c r="ICR232" s="15"/>
      <c r="ICS232" s="15"/>
      <c r="ICT232" s="10"/>
      <c r="ICU232" s="10"/>
      <c r="ICV232" s="19"/>
      <c r="ICW232" s="19"/>
      <c r="ICZ232" s="16"/>
      <c r="IDA232" s="15"/>
      <c r="IDB232" s="15"/>
      <c r="IDC232" s="15"/>
      <c r="IDD232" s="16"/>
      <c r="IDE232" s="16"/>
      <c r="IDF232" s="16"/>
      <c r="IDG232" s="16"/>
      <c r="IDH232" s="16"/>
      <c r="IDI232" s="15"/>
      <c r="IDJ232" s="15"/>
      <c r="IDK232" s="10"/>
      <c r="IDL232" s="10"/>
      <c r="IDM232" s="19"/>
      <c r="IDN232" s="19"/>
      <c r="IDQ232" s="16"/>
      <c r="IDR232" s="15"/>
      <c r="IDS232" s="15"/>
      <c r="IDT232" s="15"/>
      <c r="IDU232" s="16"/>
      <c r="IDV232" s="16"/>
      <c r="IDW232" s="16"/>
      <c r="IDX232" s="16"/>
      <c r="IDY232" s="16"/>
      <c r="IDZ232" s="15"/>
      <c r="IEA232" s="15"/>
      <c r="IEB232" s="10"/>
      <c r="IEC232" s="10"/>
      <c r="IED232" s="19"/>
      <c r="IEE232" s="19"/>
      <c r="IEH232" s="16"/>
      <c r="IEI232" s="15"/>
      <c r="IEJ232" s="15"/>
      <c r="IEK232" s="15"/>
      <c r="IEL232" s="16"/>
      <c r="IEM232" s="16"/>
      <c r="IEN232" s="16"/>
      <c r="IEO232" s="16"/>
      <c r="IEP232" s="16"/>
      <c r="IEQ232" s="15"/>
      <c r="IER232" s="15"/>
      <c r="IES232" s="10"/>
      <c r="IET232" s="10"/>
      <c r="IEU232" s="19"/>
      <c r="IEV232" s="19"/>
      <c r="IEY232" s="16"/>
      <c r="IEZ232" s="15"/>
      <c r="IFA232" s="15"/>
      <c r="IFB232" s="15"/>
      <c r="IFC232" s="16"/>
      <c r="IFD232" s="16"/>
      <c r="IFE232" s="16"/>
      <c r="IFF232" s="16"/>
      <c r="IFG232" s="16"/>
      <c r="IFH232" s="15"/>
      <c r="IFI232" s="15"/>
      <c r="IFJ232" s="10"/>
      <c r="IFK232" s="10"/>
      <c r="IFL232" s="19"/>
      <c r="IFM232" s="19"/>
      <c r="IFP232" s="16"/>
      <c r="IFQ232" s="15"/>
      <c r="IFR232" s="15"/>
      <c r="IFS232" s="15"/>
      <c r="IFT232" s="16"/>
      <c r="IFU232" s="16"/>
      <c r="IFV232" s="16"/>
      <c r="IFW232" s="16"/>
      <c r="IFX232" s="16"/>
      <c r="IFY232" s="15"/>
      <c r="IFZ232" s="15"/>
      <c r="IGA232" s="10"/>
      <c r="IGB232" s="10"/>
      <c r="IGC232" s="19"/>
      <c r="IGD232" s="19"/>
      <c r="IGG232" s="16"/>
      <c r="IGH232" s="15"/>
      <c r="IGI232" s="15"/>
      <c r="IGJ232" s="15"/>
      <c r="IGK232" s="16"/>
      <c r="IGL232" s="16"/>
      <c r="IGM232" s="16"/>
      <c r="IGN232" s="16"/>
      <c r="IGO232" s="16"/>
      <c r="IGP232" s="15"/>
      <c r="IGQ232" s="15"/>
      <c r="IGR232" s="10"/>
      <c r="IGS232" s="10"/>
      <c r="IGT232" s="19"/>
      <c r="IGU232" s="19"/>
      <c r="IGX232" s="16"/>
      <c r="IGY232" s="15"/>
      <c r="IGZ232" s="15"/>
      <c r="IHA232" s="15"/>
      <c r="IHB232" s="16"/>
      <c r="IHC232" s="16"/>
      <c r="IHD232" s="16"/>
      <c r="IHE232" s="16"/>
      <c r="IHF232" s="16"/>
      <c r="IHG232" s="15"/>
      <c r="IHH232" s="15"/>
      <c r="IHI232" s="10"/>
      <c r="IHJ232" s="10"/>
      <c r="IHK232" s="19"/>
      <c r="IHL232" s="19"/>
      <c r="IHO232" s="16"/>
      <c r="IHP232" s="15"/>
      <c r="IHQ232" s="15"/>
      <c r="IHR232" s="15"/>
      <c r="IHS232" s="16"/>
      <c r="IHT232" s="16"/>
      <c r="IHU232" s="16"/>
      <c r="IHV232" s="16"/>
      <c r="IHW232" s="16"/>
      <c r="IHX232" s="15"/>
      <c r="IHY232" s="15"/>
      <c r="IHZ232" s="10"/>
      <c r="IIA232" s="10"/>
      <c r="IIB232" s="19"/>
      <c r="IIC232" s="19"/>
      <c r="IIF232" s="16"/>
      <c r="IIG232" s="15"/>
      <c r="IIH232" s="15"/>
      <c r="III232" s="15"/>
      <c r="IIJ232" s="16"/>
      <c r="IIK232" s="16"/>
      <c r="IIL232" s="16"/>
      <c r="IIM232" s="16"/>
      <c r="IIN232" s="16"/>
      <c r="IIO232" s="15"/>
      <c r="IIP232" s="15"/>
      <c r="IIQ232" s="10"/>
      <c r="IIR232" s="10"/>
      <c r="IIS232" s="19"/>
      <c r="IIT232" s="19"/>
      <c r="IIW232" s="16"/>
      <c r="IIX232" s="15"/>
      <c r="IIY232" s="15"/>
      <c r="IIZ232" s="15"/>
      <c r="IJA232" s="16"/>
      <c r="IJB232" s="16"/>
      <c r="IJC232" s="16"/>
      <c r="IJD232" s="16"/>
      <c r="IJE232" s="16"/>
      <c r="IJF232" s="15"/>
      <c r="IJG232" s="15"/>
      <c r="IJH232" s="10"/>
      <c r="IJI232" s="10"/>
      <c r="IJJ232" s="19"/>
      <c r="IJK232" s="19"/>
      <c r="IJN232" s="16"/>
      <c r="IJO232" s="15"/>
      <c r="IJP232" s="15"/>
      <c r="IJQ232" s="15"/>
      <c r="IJR232" s="16"/>
      <c r="IJS232" s="16"/>
      <c r="IJT232" s="16"/>
      <c r="IJU232" s="16"/>
      <c r="IJV232" s="16"/>
      <c r="IJW232" s="15"/>
      <c r="IJX232" s="15"/>
      <c r="IJY232" s="10"/>
      <c r="IJZ232" s="10"/>
      <c r="IKA232" s="19"/>
      <c r="IKB232" s="19"/>
      <c r="IKE232" s="16"/>
      <c r="IKF232" s="15"/>
      <c r="IKG232" s="15"/>
      <c r="IKH232" s="15"/>
      <c r="IKI232" s="16"/>
      <c r="IKJ232" s="16"/>
      <c r="IKK232" s="16"/>
      <c r="IKL232" s="16"/>
      <c r="IKM232" s="16"/>
      <c r="IKN232" s="15"/>
      <c r="IKO232" s="15"/>
      <c r="IKP232" s="10"/>
      <c r="IKQ232" s="10"/>
      <c r="IKR232" s="19"/>
      <c r="IKS232" s="19"/>
      <c r="IKV232" s="16"/>
      <c r="IKW232" s="15"/>
      <c r="IKX232" s="15"/>
      <c r="IKY232" s="15"/>
      <c r="IKZ232" s="16"/>
      <c r="ILA232" s="16"/>
      <c r="ILB232" s="16"/>
      <c r="ILC232" s="16"/>
      <c r="ILD232" s="16"/>
      <c r="ILE232" s="15"/>
      <c r="ILF232" s="15"/>
      <c r="ILG232" s="10"/>
      <c r="ILH232" s="10"/>
      <c r="ILI232" s="19"/>
      <c r="ILJ232" s="19"/>
      <c r="ILM232" s="16"/>
      <c r="ILN232" s="15"/>
      <c r="ILO232" s="15"/>
      <c r="ILP232" s="15"/>
      <c r="ILQ232" s="16"/>
      <c r="ILR232" s="16"/>
      <c r="ILS232" s="16"/>
      <c r="ILT232" s="16"/>
      <c r="ILU232" s="16"/>
      <c r="ILV232" s="15"/>
      <c r="ILW232" s="15"/>
      <c r="ILX232" s="10"/>
      <c r="ILY232" s="10"/>
      <c r="ILZ232" s="19"/>
      <c r="IMA232" s="19"/>
      <c r="IMD232" s="16"/>
      <c r="IME232" s="15"/>
      <c r="IMF232" s="15"/>
      <c r="IMG232" s="15"/>
      <c r="IMH232" s="16"/>
      <c r="IMI232" s="16"/>
      <c r="IMJ232" s="16"/>
      <c r="IMK232" s="16"/>
      <c r="IML232" s="16"/>
      <c r="IMM232" s="15"/>
      <c r="IMN232" s="15"/>
      <c r="IMO232" s="10"/>
      <c r="IMP232" s="10"/>
      <c r="IMQ232" s="19"/>
      <c r="IMR232" s="19"/>
      <c r="IMU232" s="16"/>
      <c r="IMV232" s="15"/>
      <c r="IMW232" s="15"/>
      <c r="IMX232" s="15"/>
      <c r="IMY232" s="16"/>
      <c r="IMZ232" s="16"/>
      <c r="INA232" s="16"/>
      <c r="INB232" s="16"/>
      <c r="INC232" s="16"/>
      <c r="IND232" s="15"/>
      <c r="INE232" s="15"/>
      <c r="INF232" s="10"/>
      <c r="ING232" s="10"/>
      <c r="INH232" s="19"/>
      <c r="INI232" s="19"/>
      <c r="INL232" s="16"/>
      <c r="INM232" s="15"/>
      <c r="INN232" s="15"/>
      <c r="INO232" s="15"/>
      <c r="INP232" s="16"/>
      <c r="INQ232" s="16"/>
      <c r="INR232" s="16"/>
      <c r="INS232" s="16"/>
      <c r="INT232" s="16"/>
      <c r="INU232" s="15"/>
      <c r="INV232" s="15"/>
      <c r="INW232" s="10"/>
      <c r="INX232" s="10"/>
      <c r="INY232" s="19"/>
      <c r="INZ232" s="19"/>
      <c r="IOC232" s="16"/>
      <c r="IOD232" s="15"/>
      <c r="IOE232" s="15"/>
      <c r="IOF232" s="15"/>
      <c r="IOG232" s="16"/>
      <c r="IOH232" s="16"/>
      <c r="IOI232" s="16"/>
      <c r="IOJ232" s="16"/>
      <c r="IOK232" s="16"/>
      <c r="IOL232" s="15"/>
      <c r="IOM232" s="15"/>
      <c r="ION232" s="10"/>
      <c r="IOO232" s="10"/>
      <c r="IOP232" s="19"/>
      <c r="IOQ232" s="19"/>
      <c r="IOT232" s="16"/>
      <c r="IOU232" s="15"/>
      <c r="IOV232" s="15"/>
      <c r="IOW232" s="15"/>
      <c r="IOX232" s="16"/>
      <c r="IOY232" s="16"/>
      <c r="IOZ232" s="16"/>
      <c r="IPA232" s="16"/>
      <c r="IPB232" s="16"/>
      <c r="IPC232" s="15"/>
      <c r="IPD232" s="15"/>
      <c r="IPE232" s="10"/>
      <c r="IPF232" s="10"/>
      <c r="IPG232" s="19"/>
      <c r="IPH232" s="19"/>
      <c r="IPK232" s="16"/>
      <c r="IPL232" s="15"/>
      <c r="IPM232" s="15"/>
      <c r="IPN232" s="15"/>
      <c r="IPO232" s="16"/>
      <c r="IPP232" s="16"/>
      <c r="IPQ232" s="16"/>
      <c r="IPR232" s="16"/>
      <c r="IPS232" s="16"/>
      <c r="IPT232" s="15"/>
      <c r="IPU232" s="15"/>
      <c r="IPV232" s="10"/>
      <c r="IPW232" s="10"/>
      <c r="IPX232" s="19"/>
      <c r="IPY232" s="19"/>
      <c r="IQB232" s="16"/>
      <c r="IQC232" s="15"/>
      <c r="IQD232" s="15"/>
      <c r="IQE232" s="15"/>
      <c r="IQF232" s="16"/>
      <c r="IQG232" s="16"/>
      <c r="IQH232" s="16"/>
      <c r="IQI232" s="16"/>
      <c r="IQJ232" s="16"/>
      <c r="IQK232" s="15"/>
      <c r="IQL232" s="15"/>
      <c r="IQM232" s="10"/>
      <c r="IQN232" s="10"/>
      <c r="IQO232" s="19"/>
      <c r="IQP232" s="19"/>
      <c r="IQS232" s="16"/>
      <c r="IQT232" s="15"/>
      <c r="IQU232" s="15"/>
      <c r="IQV232" s="15"/>
      <c r="IQW232" s="16"/>
      <c r="IQX232" s="16"/>
      <c r="IQY232" s="16"/>
      <c r="IQZ232" s="16"/>
      <c r="IRA232" s="16"/>
      <c r="IRB232" s="15"/>
      <c r="IRC232" s="15"/>
      <c r="IRD232" s="10"/>
      <c r="IRE232" s="10"/>
      <c r="IRF232" s="19"/>
      <c r="IRG232" s="19"/>
      <c r="IRJ232" s="16"/>
      <c r="IRK232" s="15"/>
      <c r="IRL232" s="15"/>
      <c r="IRM232" s="15"/>
      <c r="IRN232" s="16"/>
      <c r="IRO232" s="16"/>
      <c r="IRP232" s="16"/>
      <c r="IRQ232" s="16"/>
      <c r="IRR232" s="16"/>
      <c r="IRS232" s="15"/>
      <c r="IRT232" s="15"/>
      <c r="IRU232" s="10"/>
      <c r="IRV232" s="10"/>
      <c r="IRW232" s="19"/>
      <c r="IRX232" s="19"/>
      <c r="ISA232" s="16"/>
      <c r="ISB232" s="15"/>
      <c r="ISC232" s="15"/>
      <c r="ISD232" s="15"/>
      <c r="ISE232" s="16"/>
      <c r="ISF232" s="16"/>
      <c r="ISG232" s="16"/>
      <c r="ISH232" s="16"/>
      <c r="ISI232" s="16"/>
      <c r="ISJ232" s="15"/>
      <c r="ISK232" s="15"/>
      <c r="ISL232" s="10"/>
      <c r="ISM232" s="10"/>
      <c r="ISN232" s="19"/>
      <c r="ISO232" s="19"/>
      <c r="ISR232" s="16"/>
      <c r="ISS232" s="15"/>
      <c r="IST232" s="15"/>
      <c r="ISU232" s="15"/>
      <c r="ISV232" s="16"/>
      <c r="ISW232" s="16"/>
      <c r="ISX232" s="16"/>
      <c r="ISY232" s="16"/>
      <c r="ISZ232" s="16"/>
      <c r="ITA232" s="15"/>
      <c r="ITB232" s="15"/>
      <c r="ITC232" s="10"/>
      <c r="ITD232" s="10"/>
      <c r="ITE232" s="19"/>
      <c r="ITF232" s="19"/>
      <c r="ITI232" s="16"/>
      <c r="ITJ232" s="15"/>
      <c r="ITK232" s="15"/>
      <c r="ITL232" s="15"/>
      <c r="ITM232" s="16"/>
      <c r="ITN232" s="16"/>
      <c r="ITO232" s="16"/>
      <c r="ITP232" s="16"/>
      <c r="ITQ232" s="16"/>
      <c r="ITR232" s="15"/>
      <c r="ITS232" s="15"/>
      <c r="ITT232" s="10"/>
      <c r="ITU232" s="10"/>
      <c r="ITV232" s="19"/>
      <c r="ITW232" s="19"/>
      <c r="ITZ232" s="16"/>
      <c r="IUA232" s="15"/>
      <c r="IUB232" s="15"/>
      <c r="IUC232" s="15"/>
      <c r="IUD232" s="16"/>
      <c r="IUE232" s="16"/>
      <c r="IUF232" s="16"/>
      <c r="IUG232" s="16"/>
      <c r="IUH232" s="16"/>
      <c r="IUI232" s="15"/>
      <c r="IUJ232" s="15"/>
      <c r="IUK232" s="10"/>
      <c r="IUL232" s="10"/>
      <c r="IUM232" s="19"/>
      <c r="IUN232" s="19"/>
      <c r="IUQ232" s="16"/>
      <c r="IUR232" s="15"/>
      <c r="IUS232" s="15"/>
      <c r="IUT232" s="15"/>
      <c r="IUU232" s="16"/>
      <c r="IUV232" s="16"/>
      <c r="IUW232" s="16"/>
      <c r="IUX232" s="16"/>
      <c r="IUY232" s="16"/>
      <c r="IUZ232" s="15"/>
      <c r="IVA232" s="15"/>
      <c r="IVB232" s="10"/>
      <c r="IVC232" s="10"/>
      <c r="IVD232" s="19"/>
      <c r="IVE232" s="19"/>
      <c r="IVH232" s="16"/>
      <c r="IVI232" s="15"/>
      <c r="IVJ232" s="15"/>
      <c r="IVK232" s="15"/>
      <c r="IVL232" s="16"/>
      <c r="IVM232" s="16"/>
      <c r="IVN232" s="16"/>
      <c r="IVO232" s="16"/>
      <c r="IVP232" s="16"/>
      <c r="IVQ232" s="15"/>
      <c r="IVR232" s="15"/>
      <c r="IVS232" s="10"/>
      <c r="IVT232" s="10"/>
      <c r="IVU232" s="19"/>
      <c r="IVV232" s="19"/>
      <c r="IVY232" s="16"/>
      <c r="IVZ232" s="15"/>
      <c r="IWA232" s="15"/>
      <c r="IWB232" s="15"/>
      <c r="IWC232" s="16"/>
      <c r="IWD232" s="16"/>
      <c r="IWE232" s="16"/>
      <c r="IWF232" s="16"/>
      <c r="IWG232" s="16"/>
      <c r="IWH232" s="15"/>
      <c r="IWI232" s="15"/>
      <c r="IWJ232" s="10"/>
      <c r="IWK232" s="10"/>
      <c r="IWL232" s="19"/>
      <c r="IWM232" s="19"/>
      <c r="IWP232" s="16"/>
      <c r="IWQ232" s="15"/>
      <c r="IWR232" s="15"/>
      <c r="IWS232" s="15"/>
      <c r="IWT232" s="16"/>
      <c r="IWU232" s="16"/>
      <c r="IWV232" s="16"/>
      <c r="IWW232" s="16"/>
      <c r="IWX232" s="16"/>
      <c r="IWY232" s="15"/>
      <c r="IWZ232" s="15"/>
      <c r="IXA232" s="10"/>
      <c r="IXB232" s="10"/>
      <c r="IXC232" s="19"/>
      <c r="IXD232" s="19"/>
      <c r="IXG232" s="16"/>
      <c r="IXH232" s="15"/>
      <c r="IXI232" s="15"/>
      <c r="IXJ232" s="15"/>
      <c r="IXK232" s="16"/>
      <c r="IXL232" s="16"/>
      <c r="IXM232" s="16"/>
      <c r="IXN232" s="16"/>
      <c r="IXO232" s="16"/>
      <c r="IXP232" s="15"/>
      <c r="IXQ232" s="15"/>
      <c r="IXR232" s="10"/>
      <c r="IXS232" s="10"/>
      <c r="IXT232" s="19"/>
      <c r="IXU232" s="19"/>
      <c r="IXX232" s="16"/>
      <c r="IXY232" s="15"/>
      <c r="IXZ232" s="15"/>
      <c r="IYA232" s="15"/>
      <c r="IYB232" s="16"/>
      <c r="IYC232" s="16"/>
      <c r="IYD232" s="16"/>
      <c r="IYE232" s="16"/>
      <c r="IYF232" s="16"/>
      <c r="IYG232" s="15"/>
      <c r="IYH232" s="15"/>
      <c r="IYI232" s="10"/>
      <c r="IYJ232" s="10"/>
      <c r="IYK232" s="19"/>
      <c r="IYL232" s="19"/>
      <c r="IYO232" s="16"/>
      <c r="IYP232" s="15"/>
      <c r="IYQ232" s="15"/>
      <c r="IYR232" s="15"/>
      <c r="IYS232" s="16"/>
      <c r="IYT232" s="16"/>
      <c r="IYU232" s="16"/>
      <c r="IYV232" s="16"/>
      <c r="IYW232" s="16"/>
      <c r="IYX232" s="15"/>
      <c r="IYY232" s="15"/>
      <c r="IYZ232" s="10"/>
      <c r="IZA232" s="10"/>
      <c r="IZB232" s="19"/>
      <c r="IZC232" s="19"/>
      <c r="IZF232" s="16"/>
      <c r="IZG232" s="15"/>
      <c r="IZH232" s="15"/>
      <c r="IZI232" s="15"/>
      <c r="IZJ232" s="16"/>
      <c r="IZK232" s="16"/>
      <c r="IZL232" s="16"/>
      <c r="IZM232" s="16"/>
      <c r="IZN232" s="16"/>
      <c r="IZO232" s="15"/>
      <c r="IZP232" s="15"/>
      <c r="IZQ232" s="10"/>
      <c r="IZR232" s="10"/>
      <c r="IZS232" s="19"/>
      <c r="IZT232" s="19"/>
      <c r="IZW232" s="16"/>
      <c r="IZX232" s="15"/>
      <c r="IZY232" s="15"/>
      <c r="IZZ232" s="15"/>
      <c r="JAA232" s="16"/>
      <c r="JAB232" s="16"/>
      <c r="JAC232" s="16"/>
      <c r="JAD232" s="16"/>
      <c r="JAE232" s="16"/>
      <c r="JAF232" s="15"/>
      <c r="JAG232" s="15"/>
      <c r="JAH232" s="10"/>
      <c r="JAI232" s="10"/>
      <c r="JAJ232" s="19"/>
      <c r="JAK232" s="19"/>
      <c r="JAN232" s="16"/>
      <c r="JAO232" s="15"/>
      <c r="JAP232" s="15"/>
      <c r="JAQ232" s="15"/>
      <c r="JAR232" s="16"/>
      <c r="JAS232" s="16"/>
      <c r="JAT232" s="16"/>
      <c r="JAU232" s="16"/>
      <c r="JAV232" s="16"/>
      <c r="JAW232" s="15"/>
      <c r="JAX232" s="15"/>
      <c r="JAY232" s="10"/>
      <c r="JAZ232" s="10"/>
      <c r="JBA232" s="19"/>
      <c r="JBB232" s="19"/>
      <c r="JBE232" s="16"/>
      <c r="JBF232" s="15"/>
      <c r="JBG232" s="15"/>
      <c r="JBH232" s="15"/>
      <c r="JBI232" s="16"/>
      <c r="JBJ232" s="16"/>
      <c r="JBK232" s="16"/>
      <c r="JBL232" s="16"/>
      <c r="JBM232" s="16"/>
      <c r="JBN232" s="15"/>
      <c r="JBO232" s="15"/>
      <c r="JBP232" s="10"/>
      <c r="JBQ232" s="10"/>
      <c r="JBR232" s="19"/>
      <c r="JBS232" s="19"/>
      <c r="JBV232" s="16"/>
      <c r="JBW232" s="15"/>
      <c r="JBX232" s="15"/>
      <c r="JBY232" s="15"/>
      <c r="JBZ232" s="16"/>
      <c r="JCA232" s="16"/>
      <c r="JCB232" s="16"/>
      <c r="JCC232" s="16"/>
      <c r="JCD232" s="16"/>
      <c r="JCE232" s="15"/>
      <c r="JCF232" s="15"/>
      <c r="JCG232" s="10"/>
      <c r="JCH232" s="10"/>
      <c r="JCI232" s="19"/>
      <c r="JCJ232" s="19"/>
      <c r="JCM232" s="16"/>
      <c r="JCN232" s="15"/>
      <c r="JCO232" s="15"/>
      <c r="JCP232" s="15"/>
      <c r="JCQ232" s="16"/>
      <c r="JCR232" s="16"/>
      <c r="JCS232" s="16"/>
      <c r="JCT232" s="16"/>
      <c r="JCU232" s="16"/>
      <c r="JCV232" s="15"/>
      <c r="JCW232" s="15"/>
      <c r="JCX232" s="10"/>
      <c r="JCY232" s="10"/>
      <c r="JCZ232" s="19"/>
      <c r="JDA232" s="19"/>
      <c r="JDD232" s="16"/>
      <c r="JDE232" s="15"/>
      <c r="JDF232" s="15"/>
      <c r="JDG232" s="15"/>
      <c r="JDH232" s="16"/>
      <c r="JDI232" s="16"/>
      <c r="JDJ232" s="16"/>
      <c r="JDK232" s="16"/>
      <c r="JDL232" s="16"/>
      <c r="JDM232" s="15"/>
      <c r="JDN232" s="15"/>
      <c r="JDO232" s="10"/>
      <c r="JDP232" s="10"/>
      <c r="JDQ232" s="19"/>
      <c r="JDR232" s="19"/>
      <c r="JDU232" s="16"/>
      <c r="JDV232" s="15"/>
      <c r="JDW232" s="15"/>
      <c r="JDX232" s="15"/>
      <c r="JDY232" s="16"/>
      <c r="JDZ232" s="16"/>
      <c r="JEA232" s="16"/>
      <c r="JEB232" s="16"/>
      <c r="JEC232" s="16"/>
      <c r="JED232" s="15"/>
      <c r="JEE232" s="15"/>
      <c r="JEF232" s="10"/>
      <c r="JEG232" s="10"/>
      <c r="JEH232" s="19"/>
      <c r="JEI232" s="19"/>
      <c r="JEL232" s="16"/>
      <c r="JEM232" s="15"/>
      <c r="JEN232" s="15"/>
      <c r="JEO232" s="15"/>
      <c r="JEP232" s="16"/>
      <c r="JEQ232" s="16"/>
      <c r="JER232" s="16"/>
      <c r="JES232" s="16"/>
      <c r="JET232" s="16"/>
      <c r="JEU232" s="15"/>
      <c r="JEV232" s="15"/>
      <c r="JEW232" s="10"/>
      <c r="JEX232" s="10"/>
      <c r="JEY232" s="19"/>
      <c r="JEZ232" s="19"/>
      <c r="JFC232" s="16"/>
      <c r="JFD232" s="15"/>
      <c r="JFE232" s="15"/>
      <c r="JFF232" s="15"/>
      <c r="JFG232" s="16"/>
      <c r="JFH232" s="16"/>
      <c r="JFI232" s="16"/>
      <c r="JFJ232" s="16"/>
      <c r="JFK232" s="16"/>
      <c r="JFL232" s="15"/>
      <c r="JFM232" s="15"/>
      <c r="JFN232" s="10"/>
      <c r="JFO232" s="10"/>
      <c r="JFP232" s="19"/>
      <c r="JFQ232" s="19"/>
      <c r="JFT232" s="16"/>
      <c r="JFU232" s="15"/>
      <c r="JFV232" s="15"/>
      <c r="JFW232" s="15"/>
      <c r="JFX232" s="16"/>
      <c r="JFY232" s="16"/>
      <c r="JFZ232" s="16"/>
      <c r="JGA232" s="16"/>
      <c r="JGB232" s="16"/>
      <c r="JGC232" s="15"/>
      <c r="JGD232" s="15"/>
      <c r="JGE232" s="10"/>
      <c r="JGF232" s="10"/>
      <c r="JGG232" s="19"/>
      <c r="JGH232" s="19"/>
      <c r="JGK232" s="16"/>
      <c r="JGL232" s="15"/>
      <c r="JGM232" s="15"/>
      <c r="JGN232" s="15"/>
      <c r="JGO232" s="16"/>
      <c r="JGP232" s="16"/>
      <c r="JGQ232" s="16"/>
      <c r="JGR232" s="16"/>
      <c r="JGS232" s="16"/>
      <c r="JGT232" s="15"/>
      <c r="JGU232" s="15"/>
      <c r="JGV232" s="10"/>
      <c r="JGW232" s="10"/>
      <c r="JGX232" s="19"/>
      <c r="JGY232" s="19"/>
      <c r="JHB232" s="16"/>
      <c r="JHC232" s="15"/>
      <c r="JHD232" s="15"/>
      <c r="JHE232" s="15"/>
      <c r="JHF232" s="16"/>
      <c r="JHG232" s="16"/>
      <c r="JHH232" s="16"/>
      <c r="JHI232" s="16"/>
      <c r="JHJ232" s="16"/>
      <c r="JHK232" s="15"/>
      <c r="JHL232" s="15"/>
      <c r="JHM232" s="10"/>
      <c r="JHN232" s="10"/>
      <c r="JHO232" s="19"/>
      <c r="JHP232" s="19"/>
      <c r="JHS232" s="16"/>
      <c r="JHT232" s="15"/>
      <c r="JHU232" s="15"/>
      <c r="JHV232" s="15"/>
      <c r="JHW232" s="16"/>
      <c r="JHX232" s="16"/>
      <c r="JHY232" s="16"/>
      <c r="JHZ232" s="16"/>
      <c r="JIA232" s="16"/>
      <c r="JIB232" s="15"/>
      <c r="JIC232" s="15"/>
      <c r="JID232" s="10"/>
      <c r="JIE232" s="10"/>
      <c r="JIF232" s="19"/>
      <c r="JIG232" s="19"/>
      <c r="JIJ232" s="16"/>
      <c r="JIK232" s="15"/>
      <c r="JIL232" s="15"/>
      <c r="JIM232" s="15"/>
      <c r="JIN232" s="16"/>
      <c r="JIO232" s="16"/>
      <c r="JIP232" s="16"/>
      <c r="JIQ232" s="16"/>
      <c r="JIR232" s="16"/>
      <c r="JIS232" s="15"/>
      <c r="JIT232" s="15"/>
      <c r="JIU232" s="10"/>
      <c r="JIV232" s="10"/>
      <c r="JIW232" s="19"/>
      <c r="JIX232" s="19"/>
      <c r="JJA232" s="16"/>
      <c r="JJB232" s="15"/>
      <c r="JJC232" s="15"/>
      <c r="JJD232" s="15"/>
      <c r="JJE232" s="16"/>
      <c r="JJF232" s="16"/>
      <c r="JJG232" s="16"/>
      <c r="JJH232" s="16"/>
      <c r="JJI232" s="16"/>
      <c r="JJJ232" s="15"/>
      <c r="JJK232" s="15"/>
      <c r="JJL232" s="10"/>
      <c r="JJM232" s="10"/>
      <c r="JJN232" s="19"/>
      <c r="JJO232" s="19"/>
      <c r="JJR232" s="16"/>
      <c r="JJS232" s="15"/>
      <c r="JJT232" s="15"/>
      <c r="JJU232" s="15"/>
      <c r="JJV232" s="16"/>
      <c r="JJW232" s="16"/>
      <c r="JJX232" s="16"/>
      <c r="JJY232" s="16"/>
      <c r="JJZ232" s="16"/>
      <c r="JKA232" s="15"/>
      <c r="JKB232" s="15"/>
      <c r="JKC232" s="10"/>
      <c r="JKD232" s="10"/>
      <c r="JKE232" s="19"/>
      <c r="JKF232" s="19"/>
      <c r="JKI232" s="16"/>
      <c r="JKJ232" s="15"/>
      <c r="JKK232" s="15"/>
      <c r="JKL232" s="15"/>
      <c r="JKM232" s="16"/>
      <c r="JKN232" s="16"/>
      <c r="JKO232" s="16"/>
      <c r="JKP232" s="16"/>
      <c r="JKQ232" s="16"/>
      <c r="JKR232" s="15"/>
      <c r="JKS232" s="15"/>
      <c r="JKT232" s="10"/>
      <c r="JKU232" s="10"/>
      <c r="JKV232" s="19"/>
      <c r="JKW232" s="19"/>
      <c r="JKZ232" s="16"/>
      <c r="JLA232" s="15"/>
      <c r="JLB232" s="15"/>
      <c r="JLC232" s="15"/>
      <c r="JLD232" s="16"/>
      <c r="JLE232" s="16"/>
      <c r="JLF232" s="16"/>
      <c r="JLG232" s="16"/>
      <c r="JLH232" s="16"/>
      <c r="JLI232" s="15"/>
      <c r="JLJ232" s="15"/>
      <c r="JLK232" s="10"/>
      <c r="JLL232" s="10"/>
      <c r="JLM232" s="19"/>
      <c r="JLN232" s="19"/>
      <c r="JLQ232" s="16"/>
      <c r="JLR232" s="15"/>
      <c r="JLS232" s="15"/>
      <c r="JLT232" s="15"/>
      <c r="JLU232" s="16"/>
      <c r="JLV232" s="16"/>
      <c r="JLW232" s="16"/>
      <c r="JLX232" s="16"/>
      <c r="JLY232" s="16"/>
      <c r="JLZ232" s="15"/>
      <c r="JMA232" s="15"/>
      <c r="JMB232" s="10"/>
      <c r="JMC232" s="10"/>
      <c r="JMD232" s="19"/>
      <c r="JME232" s="19"/>
      <c r="JMH232" s="16"/>
      <c r="JMI232" s="15"/>
      <c r="JMJ232" s="15"/>
      <c r="JMK232" s="15"/>
      <c r="JML232" s="16"/>
      <c r="JMM232" s="16"/>
      <c r="JMN232" s="16"/>
      <c r="JMO232" s="16"/>
      <c r="JMP232" s="16"/>
      <c r="JMQ232" s="15"/>
      <c r="JMR232" s="15"/>
      <c r="JMS232" s="10"/>
      <c r="JMT232" s="10"/>
      <c r="JMU232" s="19"/>
      <c r="JMV232" s="19"/>
      <c r="JMY232" s="16"/>
      <c r="JMZ232" s="15"/>
      <c r="JNA232" s="15"/>
      <c r="JNB232" s="15"/>
      <c r="JNC232" s="16"/>
      <c r="JND232" s="16"/>
      <c r="JNE232" s="16"/>
      <c r="JNF232" s="16"/>
      <c r="JNG232" s="16"/>
      <c r="JNH232" s="15"/>
      <c r="JNI232" s="15"/>
      <c r="JNJ232" s="10"/>
      <c r="JNK232" s="10"/>
      <c r="JNL232" s="19"/>
      <c r="JNM232" s="19"/>
      <c r="JNP232" s="16"/>
      <c r="JNQ232" s="15"/>
      <c r="JNR232" s="15"/>
      <c r="JNS232" s="15"/>
      <c r="JNT232" s="16"/>
      <c r="JNU232" s="16"/>
      <c r="JNV232" s="16"/>
      <c r="JNW232" s="16"/>
      <c r="JNX232" s="16"/>
      <c r="JNY232" s="15"/>
      <c r="JNZ232" s="15"/>
      <c r="JOA232" s="10"/>
      <c r="JOB232" s="10"/>
      <c r="JOC232" s="19"/>
      <c r="JOD232" s="19"/>
      <c r="JOG232" s="16"/>
      <c r="JOH232" s="15"/>
      <c r="JOI232" s="15"/>
      <c r="JOJ232" s="15"/>
      <c r="JOK232" s="16"/>
      <c r="JOL232" s="16"/>
      <c r="JOM232" s="16"/>
      <c r="JON232" s="16"/>
      <c r="JOO232" s="16"/>
      <c r="JOP232" s="15"/>
      <c r="JOQ232" s="15"/>
      <c r="JOR232" s="10"/>
      <c r="JOS232" s="10"/>
      <c r="JOT232" s="19"/>
      <c r="JOU232" s="19"/>
      <c r="JOX232" s="16"/>
      <c r="JOY232" s="15"/>
      <c r="JOZ232" s="15"/>
      <c r="JPA232" s="15"/>
      <c r="JPB232" s="16"/>
      <c r="JPC232" s="16"/>
      <c r="JPD232" s="16"/>
      <c r="JPE232" s="16"/>
      <c r="JPF232" s="16"/>
      <c r="JPG232" s="15"/>
      <c r="JPH232" s="15"/>
      <c r="JPI232" s="10"/>
      <c r="JPJ232" s="10"/>
      <c r="JPK232" s="19"/>
      <c r="JPL232" s="19"/>
      <c r="JPO232" s="16"/>
      <c r="JPP232" s="15"/>
      <c r="JPQ232" s="15"/>
      <c r="JPR232" s="15"/>
      <c r="JPS232" s="16"/>
      <c r="JPT232" s="16"/>
      <c r="JPU232" s="16"/>
      <c r="JPV232" s="16"/>
      <c r="JPW232" s="16"/>
      <c r="JPX232" s="15"/>
      <c r="JPY232" s="15"/>
      <c r="JPZ232" s="10"/>
      <c r="JQA232" s="10"/>
      <c r="JQB232" s="19"/>
      <c r="JQC232" s="19"/>
      <c r="JQF232" s="16"/>
      <c r="JQG232" s="15"/>
      <c r="JQH232" s="15"/>
      <c r="JQI232" s="15"/>
      <c r="JQJ232" s="16"/>
      <c r="JQK232" s="16"/>
      <c r="JQL232" s="16"/>
      <c r="JQM232" s="16"/>
      <c r="JQN232" s="16"/>
      <c r="JQO232" s="15"/>
      <c r="JQP232" s="15"/>
      <c r="JQQ232" s="10"/>
      <c r="JQR232" s="10"/>
      <c r="JQS232" s="19"/>
      <c r="JQT232" s="19"/>
      <c r="JQW232" s="16"/>
      <c r="JQX232" s="15"/>
      <c r="JQY232" s="15"/>
      <c r="JQZ232" s="15"/>
      <c r="JRA232" s="16"/>
      <c r="JRB232" s="16"/>
      <c r="JRC232" s="16"/>
      <c r="JRD232" s="16"/>
      <c r="JRE232" s="16"/>
      <c r="JRF232" s="15"/>
      <c r="JRG232" s="15"/>
      <c r="JRH232" s="10"/>
      <c r="JRI232" s="10"/>
      <c r="JRJ232" s="19"/>
      <c r="JRK232" s="19"/>
      <c r="JRN232" s="16"/>
      <c r="JRO232" s="15"/>
      <c r="JRP232" s="15"/>
      <c r="JRQ232" s="15"/>
      <c r="JRR232" s="16"/>
      <c r="JRS232" s="16"/>
      <c r="JRT232" s="16"/>
      <c r="JRU232" s="16"/>
      <c r="JRV232" s="16"/>
      <c r="JRW232" s="15"/>
      <c r="JRX232" s="15"/>
      <c r="JRY232" s="10"/>
      <c r="JRZ232" s="10"/>
      <c r="JSA232" s="19"/>
      <c r="JSB232" s="19"/>
      <c r="JSE232" s="16"/>
      <c r="JSF232" s="15"/>
      <c r="JSG232" s="15"/>
      <c r="JSH232" s="15"/>
      <c r="JSI232" s="16"/>
      <c r="JSJ232" s="16"/>
      <c r="JSK232" s="16"/>
      <c r="JSL232" s="16"/>
      <c r="JSM232" s="16"/>
      <c r="JSN232" s="15"/>
      <c r="JSO232" s="15"/>
      <c r="JSP232" s="10"/>
      <c r="JSQ232" s="10"/>
      <c r="JSR232" s="19"/>
      <c r="JSS232" s="19"/>
      <c r="JSV232" s="16"/>
      <c r="JSW232" s="15"/>
      <c r="JSX232" s="15"/>
      <c r="JSY232" s="15"/>
      <c r="JSZ232" s="16"/>
      <c r="JTA232" s="16"/>
      <c r="JTB232" s="16"/>
      <c r="JTC232" s="16"/>
      <c r="JTD232" s="16"/>
      <c r="JTE232" s="15"/>
      <c r="JTF232" s="15"/>
      <c r="JTG232" s="10"/>
      <c r="JTH232" s="10"/>
      <c r="JTI232" s="19"/>
      <c r="JTJ232" s="19"/>
      <c r="JTM232" s="16"/>
      <c r="JTN232" s="15"/>
      <c r="JTO232" s="15"/>
      <c r="JTP232" s="15"/>
      <c r="JTQ232" s="16"/>
      <c r="JTR232" s="16"/>
      <c r="JTS232" s="16"/>
      <c r="JTT232" s="16"/>
      <c r="JTU232" s="16"/>
      <c r="JTV232" s="15"/>
      <c r="JTW232" s="15"/>
      <c r="JTX232" s="10"/>
      <c r="JTY232" s="10"/>
      <c r="JTZ232" s="19"/>
      <c r="JUA232" s="19"/>
      <c r="JUD232" s="16"/>
      <c r="JUE232" s="15"/>
      <c r="JUF232" s="15"/>
      <c r="JUG232" s="15"/>
      <c r="JUH232" s="16"/>
      <c r="JUI232" s="16"/>
      <c r="JUJ232" s="16"/>
      <c r="JUK232" s="16"/>
      <c r="JUL232" s="16"/>
      <c r="JUM232" s="15"/>
      <c r="JUN232" s="15"/>
      <c r="JUO232" s="10"/>
      <c r="JUP232" s="10"/>
      <c r="JUQ232" s="19"/>
      <c r="JUR232" s="19"/>
      <c r="JUU232" s="16"/>
      <c r="JUV232" s="15"/>
      <c r="JUW232" s="15"/>
      <c r="JUX232" s="15"/>
      <c r="JUY232" s="16"/>
      <c r="JUZ232" s="16"/>
      <c r="JVA232" s="16"/>
      <c r="JVB232" s="16"/>
      <c r="JVC232" s="16"/>
      <c r="JVD232" s="15"/>
      <c r="JVE232" s="15"/>
      <c r="JVF232" s="10"/>
      <c r="JVG232" s="10"/>
      <c r="JVH232" s="19"/>
      <c r="JVI232" s="19"/>
      <c r="JVL232" s="16"/>
      <c r="JVM232" s="15"/>
      <c r="JVN232" s="15"/>
      <c r="JVO232" s="15"/>
      <c r="JVP232" s="16"/>
      <c r="JVQ232" s="16"/>
      <c r="JVR232" s="16"/>
      <c r="JVS232" s="16"/>
      <c r="JVT232" s="16"/>
      <c r="JVU232" s="15"/>
      <c r="JVV232" s="15"/>
      <c r="JVW232" s="10"/>
      <c r="JVX232" s="10"/>
      <c r="JVY232" s="19"/>
      <c r="JVZ232" s="19"/>
      <c r="JWC232" s="16"/>
      <c r="JWD232" s="15"/>
      <c r="JWE232" s="15"/>
      <c r="JWF232" s="15"/>
      <c r="JWG232" s="16"/>
      <c r="JWH232" s="16"/>
      <c r="JWI232" s="16"/>
      <c r="JWJ232" s="16"/>
      <c r="JWK232" s="16"/>
      <c r="JWL232" s="15"/>
      <c r="JWM232" s="15"/>
      <c r="JWN232" s="10"/>
      <c r="JWO232" s="10"/>
      <c r="JWP232" s="19"/>
      <c r="JWQ232" s="19"/>
      <c r="JWT232" s="16"/>
      <c r="JWU232" s="15"/>
      <c r="JWV232" s="15"/>
      <c r="JWW232" s="15"/>
      <c r="JWX232" s="16"/>
      <c r="JWY232" s="16"/>
      <c r="JWZ232" s="16"/>
      <c r="JXA232" s="16"/>
      <c r="JXB232" s="16"/>
      <c r="JXC232" s="15"/>
      <c r="JXD232" s="15"/>
      <c r="JXE232" s="10"/>
      <c r="JXF232" s="10"/>
      <c r="JXG232" s="19"/>
      <c r="JXH232" s="19"/>
      <c r="JXK232" s="16"/>
      <c r="JXL232" s="15"/>
      <c r="JXM232" s="15"/>
      <c r="JXN232" s="15"/>
      <c r="JXO232" s="16"/>
      <c r="JXP232" s="16"/>
      <c r="JXQ232" s="16"/>
      <c r="JXR232" s="16"/>
      <c r="JXS232" s="16"/>
      <c r="JXT232" s="15"/>
      <c r="JXU232" s="15"/>
      <c r="JXV232" s="10"/>
      <c r="JXW232" s="10"/>
      <c r="JXX232" s="19"/>
      <c r="JXY232" s="19"/>
      <c r="JYB232" s="16"/>
      <c r="JYC232" s="15"/>
      <c r="JYD232" s="15"/>
      <c r="JYE232" s="15"/>
      <c r="JYF232" s="16"/>
      <c r="JYG232" s="16"/>
      <c r="JYH232" s="16"/>
      <c r="JYI232" s="16"/>
      <c r="JYJ232" s="16"/>
      <c r="JYK232" s="15"/>
      <c r="JYL232" s="15"/>
      <c r="JYM232" s="10"/>
      <c r="JYN232" s="10"/>
      <c r="JYO232" s="19"/>
      <c r="JYP232" s="19"/>
      <c r="JYS232" s="16"/>
      <c r="JYT232" s="15"/>
      <c r="JYU232" s="15"/>
      <c r="JYV232" s="15"/>
      <c r="JYW232" s="16"/>
      <c r="JYX232" s="16"/>
      <c r="JYY232" s="16"/>
      <c r="JYZ232" s="16"/>
      <c r="JZA232" s="16"/>
      <c r="JZB232" s="15"/>
      <c r="JZC232" s="15"/>
      <c r="JZD232" s="10"/>
      <c r="JZE232" s="10"/>
      <c r="JZF232" s="19"/>
      <c r="JZG232" s="19"/>
      <c r="JZJ232" s="16"/>
      <c r="JZK232" s="15"/>
      <c r="JZL232" s="15"/>
      <c r="JZM232" s="15"/>
      <c r="JZN232" s="16"/>
      <c r="JZO232" s="16"/>
      <c r="JZP232" s="16"/>
      <c r="JZQ232" s="16"/>
      <c r="JZR232" s="16"/>
      <c r="JZS232" s="15"/>
      <c r="JZT232" s="15"/>
      <c r="JZU232" s="10"/>
      <c r="JZV232" s="10"/>
      <c r="JZW232" s="19"/>
      <c r="JZX232" s="19"/>
      <c r="KAA232" s="16"/>
      <c r="KAB232" s="15"/>
      <c r="KAC232" s="15"/>
      <c r="KAD232" s="15"/>
      <c r="KAE232" s="16"/>
      <c r="KAF232" s="16"/>
      <c r="KAG232" s="16"/>
      <c r="KAH232" s="16"/>
      <c r="KAI232" s="16"/>
      <c r="KAJ232" s="15"/>
      <c r="KAK232" s="15"/>
      <c r="KAL232" s="10"/>
      <c r="KAM232" s="10"/>
      <c r="KAN232" s="19"/>
      <c r="KAO232" s="19"/>
      <c r="KAR232" s="16"/>
      <c r="KAS232" s="15"/>
      <c r="KAT232" s="15"/>
      <c r="KAU232" s="15"/>
      <c r="KAV232" s="16"/>
      <c r="KAW232" s="16"/>
      <c r="KAX232" s="16"/>
      <c r="KAY232" s="16"/>
      <c r="KAZ232" s="16"/>
      <c r="KBA232" s="15"/>
      <c r="KBB232" s="15"/>
      <c r="KBC232" s="10"/>
      <c r="KBD232" s="10"/>
      <c r="KBE232" s="19"/>
      <c r="KBF232" s="19"/>
      <c r="KBI232" s="16"/>
      <c r="KBJ232" s="15"/>
      <c r="KBK232" s="15"/>
      <c r="KBL232" s="15"/>
      <c r="KBM232" s="16"/>
      <c r="KBN232" s="16"/>
      <c r="KBO232" s="16"/>
      <c r="KBP232" s="16"/>
      <c r="KBQ232" s="16"/>
      <c r="KBR232" s="15"/>
      <c r="KBS232" s="15"/>
      <c r="KBT232" s="10"/>
      <c r="KBU232" s="10"/>
      <c r="KBV232" s="19"/>
      <c r="KBW232" s="19"/>
      <c r="KBZ232" s="16"/>
      <c r="KCA232" s="15"/>
      <c r="KCB232" s="15"/>
      <c r="KCC232" s="15"/>
      <c r="KCD232" s="16"/>
      <c r="KCE232" s="16"/>
      <c r="KCF232" s="16"/>
      <c r="KCG232" s="16"/>
      <c r="KCH232" s="16"/>
      <c r="KCI232" s="15"/>
      <c r="KCJ232" s="15"/>
      <c r="KCK232" s="10"/>
      <c r="KCL232" s="10"/>
      <c r="KCM232" s="19"/>
      <c r="KCN232" s="19"/>
      <c r="KCQ232" s="16"/>
      <c r="KCR232" s="15"/>
      <c r="KCS232" s="15"/>
      <c r="KCT232" s="15"/>
      <c r="KCU232" s="16"/>
      <c r="KCV232" s="16"/>
      <c r="KCW232" s="16"/>
      <c r="KCX232" s="16"/>
      <c r="KCY232" s="16"/>
      <c r="KCZ232" s="15"/>
      <c r="KDA232" s="15"/>
      <c r="KDB232" s="10"/>
      <c r="KDC232" s="10"/>
      <c r="KDD232" s="19"/>
      <c r="KDE232" s="19"/>
      <c r="KDH232" s="16"/>
      <c r="KDI232" s="15"/>
      <c r="KDJ232" s="15"/>
      <c r="KDK232" s="15"/>
      <c r="KDL232" s="16"/>
      <c r="KDM232" s="16"/>
      <c r="KDN232" s="16"/>
      <c r="KDO232" s="16"/>
      <c r="KDP232" s="16"/>
      <c r="KDQ232" s="15"/>
      <c r="KDR232" s="15"/>
      <c r="KDS232" s="10"/>
      <c r="KDT232" s="10"/>
      <c r="KDU232" s="19"/>
      <c r="KDV232" s="19"/>
      <c r="KDY232" s="16"/>
      <c r="KDZ232" s="15"/>
      <c r="KEA232" s="15"/>
      <c r="KEB232" s="15"/>
      <c r="KEC232" s="16"/>
      <c r="KED232" s="16"/>
      <c r="KEE232" s="16"/>
      <c r="KEF232" s="16"/>
      <c r="KEG232" s="16"/>
      <c r="KEH232" s="15"/>
      <c r="KEI232" s="15"/>
      <c r="KEJ232" s="10"/>
      <c r="KEK232" s="10"/>
      <c r="KEL232" s="19"/>
      <c r="KEM232" s="19"/>
      <c r="KEP232" s="16"/>
      <c r="KEQ232" s="15"/>
      <c r="KER232" s="15"/>
      <c r="KES232" s="15"/>
      <c r="KET232" s="16"/>
      <c r="KEU232" s="16"/>
      <c r="KEV232" s="16"/>
      <c r="KEW232" s="16"/>
      <c r="KEX232" s="16"/>
      <c r="KEY232" s="15"/>
      <c r="KEZ232" s="15"/>
      <c r="KFA232" s="10"/>
      <c r="KFB232" s="10"/>
      <c r="KFC232" s="19"/>
      <c r="KFD232" s="19"/>
      <c r="KFG232" s="16"/>
      <c r="KFH232" s="15"/>
      <c r="KFI232" s="15"/>
      <c r="KFJ232" s="15"/>
      <c r="KFK232" s="16"/>
      <c r="KFL232" s="16"/>
      <c r="KFM232" s="16"/>
      <c r="KFN232" s="16"/>
      <c r="KFO232" s="16"/>
      <c r="KFP232" s="15"/>
      <c r="KFQ232" s="15"/>
      <c r="KFR232" s="10"/>
      <c r="KFS232" s="10"/>
      <c r="KFT232" s="19"/>
      <c r="KFU232" s="19"/>
      <c r="KFX232" s="16"/>
      <c r="KFY232" s="15"/>
      <c r="KFZ232" s="15"/>
      <c r="KGA232" s="15"/>
      <c r="KGB232" s="16"/>
      <c r="KGC232" s="16"/>
      <c r="KGD232" s="16"/>
      <c r="KGE232" s="16"/>
      <c r="KGF232" s="16"/>
      <c r="KGG232" s="15"/>
      <c r="KGH232" s="15"/>
      <c r="KGI232" s="10"/>
      <c r="KGJ232" s="10"/>
      <c r="KGK232" s="19"/>
      <c r="KGL232" s="19"/>
      <c r="KGO232" s="16"/>
      <c r="KGP232" s="15"/>
      <c r="KGQ232" s="15"/>
      <c r="KGR232" s="15"/>
      <c r="KGS232" s="16"/>
      <c r="KGT232" s="16"/>
      <c r="KGU232" s="16"/>
      <c r="KGV232" s="16"/>
      <c r="KGW232" s="16"/>
      <c r="KGX232" s="15"/>
      <c r="KGY232" s="15"/>
      <c r="KGZ232" s="10"/>
      <c r="KHA232" s="10"/>
      <c r="KHB232" s="19"/>
      <c r="KHC232" s="19"/>
      <c r="KHF232" s="16"/>
      <c r="KHG232" s="15"/>
      <c r="KHH232" s="15"/>
      <c r="KHI232" s="15"/>
      <c r="KHJ232" s="16"/>
      <c r="KHK232" s="16"/>
      <c r="KHL232" s="16"/>
      <c r="KHM232" s="16"/>
      <c r="KHN232" s="16"/>
      <c r="KHO232" s="15"/>
      <c r="KHP232" s="15"/>
      <c r="KHQ232" s="10"/>
      <c r="KHR232" s="10"/>
      <c r="KHS232" s="19"/>
      <c r="KHT232" s="19"/>
      <c r="KHW232" s="16"/>
      <c r="KHX232" s="15"/>
      <c r="KHY232" s="15"/>
      <c r="KHZ232" s="15"/>
      <c r="KIA232" s="16"/>
      <c r="KIB232" s="16"/>
      <c r="KIC232" s="16"/>
      <c r="KID232" s="16"/>
      <c r="KIE232" s="16"/>
      <c r="KIF232" s="15"/>
      <c r="KIG232" s="15"/>
      <c r="KIH232" s="10"/>
      <c r="KII232" s="10"/>
      <c r="KIJ232" s="19"/>
      <c r="KIK232" s="19"/>
      <c r="KIN232" s="16"/>
      <c r="KIO232" s="15"/>
      <c r="KIP232" s="15"/>
      <c r="KIQ232" s="15"/>
      <c r="KIR232" s="16"/>
      <c r="KIS232" s="16"/>
      <c r="KIT232" s="16"/>
      <c r="KIU232" s="16"/>
      <c r="KIV232" s="16"/>
      <c r="KIW232" s="15"/>
      <c r="KIX232" s="15"/>
      <c r="KIY232" s="10"/>
      <c r="KIZ232" s="10"/>
      <c r="KJA232" s="19"/>
      <c r="KJB232" s="19"/>
      <c r="KJE232" s="16"/>
      <c r="KJF232" s="15"/>
      <c r="KJG232" s="15"/>
      <c r="KJH232" s="15"/>
      <c r="KJI232" s="16"/>
      <c r="KJJ232" s="16"/>
      <c r="KJK232" s="16"/>
      <c r="KJL232" s="16"/>
      <c r="KJM232" s="16"/>
      <c r="KJN232" s="15"/>
      <c r="KJO232" s="15"/>
      <c r="KJP232" s="10"/>
      <c r="KJQ232" s="10"/>
      <c r="KJR232" s="19"/>
      <c r="KJS232" s="19"/>
      <c r="KJV232" s="16"/>
      <c r="KJW232" s="15"/>
      <c r="KJX232" s="15"/>
      <c r="KJY232" s="15"/>
      <c r="KJZ232" s="16"/>
      <c r="KKA232" s="16"/>
      <c r="KKB232" s="16"/>
      <c r="KKC232" s="16"/>
      <c r="KKD232" s="16"/>
      <c r="KKE232" s="15"/>
      <c r="KKF232" s="15"/>
      <c r="KKG232" s="10"/>
      <c r="KKH232" s="10"/>
      <c r="KKI232" s="19"/>
      <c r="KKJ232" s="19"/>
      <c r="KKM232" s="16"/>
      <c r="KKN232" s="15"/>
      <c r="KKO232" s="15"/>
      <c r="KKP232" s="15"/>
      <c r="KKQ232" s="16"/>
      <c r="KKR232" s="16"/>
      <c r="KKS232" s="16"/>
      <c r="KKT232" s="16"/>
      <c r="KKU232" s="16"/>
      <c r="KKV232" s="15"/>
      <c r="KKW232" s="15"/>
      <c r="KKX232" s="10"/>
      <c r="KKY232" s="10"/>
      <c r="KKZ232" s="19"/>
      <c r="KLA232" s="19"/>
      <c r="KLD232" s="16"/>
      <c r="KLE232" s="15"/>
      <c r="KLF232" s="15"/>
      <c r="KLG232" s="15"/>
      <c r="KLH232" s="16"/>
      <c r="KLI232" s="16"/>
      <c r="KLJ232" s="16"/>
      <c r="KLK232" s="16"/>
      <c r="KLL232" s="16"/>
      <c r="KLM232" s="15"/>
      <c r="KLN232" s="15"/>
      <c r="KLO232" s="10"/>
      <c r="KLP232" s="10"/>
      <c r="KLQ232" s="19"/>
      <c r="KLR232" s="19"/>
      <c r="KLU232" s="16"/>
      <c r="KLV232" s="15"/>
      <c r="KLW232" s="15"/>
      <c r="KLX232" s="15"/>
      <c r="KLY232" s="16"/>
      <c r="KLZ232" s="16"/>
      <c r="KMA232" s="16"/>
      <c r="KMB232" s="16"/>
      <c r="KMC232" s="16"/>
      <c r="KMD232" s="15"/>
      <c r="KME232" s="15"/>
      <c r="KMF232" s="10"/>
      <c r="KMG232" s="10"/>
      <c r="KMH232" s="19"/>
      <c r="KMI232" s="19"/>
      <c r="KML232" s="16"/>
      <c r="KMM232" s="15"/>
      <c r="KMN232" s="15"/>
      <c r="KMO232" s="15"/>
      <c r="KMP232" s="16"/>
      <c r="KMQ232" s="16"/>
      <c r="KMR232" s="16"/>
      <c r="KMS232" s="16"/>
      <c r="KMT232" s="16"/>
      <c r="KMU232" s="15"/>
      <c r="KMV232" s="15"/>
      <c r="KMW232" s="10"/>
      <c r="KMX232" s="10"/>
      <c r="KMY232" s="19"/>
      <c r="KMZ232" s="19"/>
      <c r="KNC232" s="16"/>
      <c r="KND232" s="15"/>
      <c r="KNE232" s="15"/>
      <c r="KNF232" s="15"/>
      <c r="KNG232" s="16"/>
      <c r="KNH232" s="16"/>
      <c r="KNI232" s="16"/>
      <c r="KNJ232" s="16"/>
      <c r="KNK232" s="16"/>
      <c r="KNL232" s="15"/>
      <c r="KNM232" s="15"/>
      <c r="KNN232" s="10"/>
      <c r="KNO232" s="10"/>
      <c r="KNP232" s="19"/>
      <c r="KNQ232" s="19"/>
      <c r="KNT232" s="16"/>
      <c r="KNU232" s="15"/>
      <c r="KNV232" s="15"/>
      <c r="KNW232" s="15"/>
      <c r="KNX232" s="16"/>
      <c r="KNY232" s="16"/>
      <c r="KNZ232" s="16"/>
      <c r="KOA232" s="16"/>
      <c r="KOB232" s="16"/>
      <c r="KOC232" s="15"/>
      <c r="KOD232" s="15"/>
      <c r="KOE232" s="10"/>
      <c r="KOF232" s="10"/>
      <c r="KOG232" s="19"/>
      <c r="KOH232" s="19"/>
      <c r="KOK232" s="16"/>
      <c r="KOL232" s="15"/>
      <c r="KOM232" s="15"/>
      <c r="KON232" s="15"/>
      <c r="KOO232" s="16"/>
      <c r="KOP232" s="16"/>
      <c r="KOQ232" s="16"/>
      <c r="KOR232" s="16"/>
      <c r="KOS232" s="16"/>
      <c r="KOT232" s="15"/>
      <c r="KOU232" s="15"/>
      <c r="KOV232" s="10"/>
      <c r="KOW232" s="10"/>
      <c r="KOX232" s="19"/>
      <c r="KOY232" s="19"/>
      <c r="KPB232" s="16"/>
      <c r="KPC232" s="15"/>
      <c r="KPD232" s="15"/>
      <c r="KPE232" s="15"/>
      <c r="KPF232" s="16"/>
      <c r="KPG232" s="16"/>
      <c r="KPH232" s="16"/>
      <c r="KPI232" s="16"/>
      <c r="KPJ232" s="16"/>
      <c r="KPK232" s="15"/>
      <c r="KPL232" s="15"/>
      <c r="KPM232" s="10"/>
      <c r="KPN232" s="10"/>
      <c r="KPO232" s="19"/>
      <c r="KPP232" s="19"/>
      <c r="KPS232" s="16"/>
      <c r="KPT232" s="15"/>
      <c r="KPU232" s="15"/>
      <c r="KPV232" s="15"/>
      <c r="KPW232" s="16"/>
      <c r="KPX232" s="16"/>
      <c r="KPY232" s="16"/>
      <c r="KPZ232" s="16"/>
      <c r="KQA232" s="16"/>
      <c r="KQB232" s="15"/>
      <c r="KQC232" s="15"/>
      <c r="KQD232" s="10"/>
      <c r="KQE232" s="10"/>
      <c r="KQF232" s="19"/>
      <c r="KQG232" s="19"/>
      <c r="KQJ232" s="16"/>
      <c r="KQK232" s="15"/>
      <c r="KQL232" s="15"/>
      <c r="KQM232" s="15"/>
      <c r="KQN232" s="16"/>
      <c r="KQO232" s="16"/>
      <c r="KQP232" s="16"/>
      <c r="KQQ232" s="16"/>
      <c r="KQR232" s="16"/>
      <c r="KQS232" s="15"/>
      <c r="KQT232" s="15"/>
      <c r="KQU232" s="10"/>
      <c r="KQV232" s="10"/>
      <c r="KQW232" s="19"/>
      <c r="KQX232" s="19"/>
      <c r="KRA232" s="16"/>
      <c r="KRB232" s="15"/>
      <c r="KRC232" s="15"/>
      <c r="KRD232" s="15"/>
      <c r="KRE232" s="16"/>
      <c r="KRF232" s="16"/>
      <c r="KRG232" s="16"/>
      <c r="KRH232" s="16"/>
      <c r="KRI232" s="16"/>
      <c r="KRJ232" s="15"/>
      <c r="KRK232" s="15"/>
      <c r="KRL232" s="10"/>
      <c r="KRM232" s="10"/>
      <c r="KRN232" s="19"/>
      <c r="KRO232" s="19"/>
      <c r="KRR232" s="16"/>
      <c r="KRS232" s="15"/>
      <c r="KRT232" s="15"/>
      <c r="KRU232" s="15"/>
      <c r="KRV232" s="16"/>
      <c r="KRW232" s="16"/>
      <c r="KRX232" s="16"/>
      <c r="KRY232" s="16"/>
      <c r="KRZ232" s="16"/>
      <c r="KSA232" s="15"/>
      <c r="KSB232" s="15"/>
      <c r="KSC232" s="10"/>
      <c r="KSD232" s="10"/>
      <c r="KSE232" s="19"/>
      <c r="KSF232" s="19"/>
      <c r="KSI232" s="16"/>
      <c r="KSJ232" s="15"/>
      <c r="KSK232" s="15"/>
      <c r="KSL232" s="15"/>
      <c r="KSM232" s="16"/>
      <c r="KSN232" s="16"/>
      <c r="KSO232" s="16"/>
      <c r="KSP232" s="16"/>
      <c r="KSQ232" s="16"/>
      <c r="KSR232" s="15"/>
      <c r="KSS232" s="15"/>
      <c r="KST232" s="10"/>
      <c r="KSU232" s="10"/>
      <c r="KSV232" s="19"/>
      <c r="KSW232" s="19"/>
      <c r="KSZ232" s="16"/>
      <c r="KTA232" s="15"/>
      <c r="KTB232" s="15"/>
      <c r="KTC232" s="15"/>
      <c r="KTD232" s="16"/>
      <c r="KTE232" s="16"/>
      <c r="KTF232" s="16"/>
      <c r="KTG232" s="16"/>
      <c r="KTH232" s="16"/>
      <c r="KTI232" s="15"/>
      <c r="KTJ232" s="15"/>
      <c r="KTK232" s="10"/>
      <c r="KTL232" s="10"/>
      <c r="KTM232" s="19"/>
      <c r="KTN232" s="19"/>
      <c r="KTQ232" s="16"/>
      <c r="KTR232" s="15"/>
      <c r="KTS232" s="15"/>
      <c r="KTT232" s="15"/>
      <c r="KTU232" s="16"/>
      <c r="KTV232" s="16"/>
      <c r="KTW232" s="16"/>
      <c r="KTX232" s="16"/>
      <c r="KTY232" s="16"/>
      <c r="KTZ232" s="15"/>
      <c r="KUA232" s="15"/>
      <c r="KUB232" s="10"/>
      <c r="KUC232" s="10"/>
      <c r="KUD232" s="19"/>
      <c r="KUE232" s="19"/>
      <c r="KUH232" s="16"/>
      <c r="KUI232" s="15"/>
      <c r="KUJ232" s="15"/>
      <c r="KUK232" s="15"/>
      <c r="KUL232" s="16"/>
      <c r="KUM232" s="16"/>
      <c r="KUN232" s="16"/>
      <c r="KUO232" s="16"/>
      <c r="KUP232" s="16"/>
      <c r="KUQ232" s="15"/>
      <c r="KUR232" s="15"/>
      <c r="KUS232" s="10"/>
      <c r="KUT232" s="10"/>
      <c r="KUU232" s="19"/>
      <c r="KUV232" s="19"/>
      <c r="KUY232" s="16"/>
      <c r="KUZ232" s="15"/>
      <c r="KVA232" s="15"/>
      <c r="KVB232" s="15"/>
      <c r="KVC232" s="16"/>
      <c r="KVD232" s="16"/>
      <c r="KVE232" s="16"/>
      <c r="KVF232" s="16"/>
      <c r="KVG232" s="16"/>
      <c r="KVH232" s="15"/>
      <c r="KVI232" s="15"/>
      <c r="KVJ232" s="10"/>
      <c r="KVK232" s="10"/>
      <c r="KVL232" s="19"/>
      <c r="KVM232" s="19"/>
      <c r="KVP232" s="16"/>
      <c r="KVQ232" s="15"/>
      <c r="KVR232" s="15"/>
      <c r="KVS232" s="15"/>
      <c r="KVT232" s="16"/>
      <c r="KVU232" s="16"/>
      <c r="KVV232" s="16"/>
      <c r="KVW232" s="16"/>
      <c r="KVX232" s="16"/>
      <c r="KVY232" s="15"/>
      <c r="KVZ232" s="15"/>
      <c r="KWA232" s="10"/>
      <c r="KWB232" s="10"/>
      <c r="KWC232" s="19"/>
      <c r="KWD232" s="19"/>
      <c r="KWG232" s="16"/>
      <c r="KWH232" s="15"/>
      <c r="KWI232" s="15"/>
      <c r="KWJ232" s="15"/>
      <c r="KWK232" s="16"/>
      <c r="KWL232" s="16"/>
      <c r="KWM232" s="16"/>
      <c r="KWN232" s="16"/>
      <c r="KWO232" s="16"/>
      <c r="KWP232" s="15"/>
      <c r="KWQ232" s="15"/>
      <c r="KWR232" s="10"/>
      <c r="KWS232" s="10"/>
      <c r="KWT232" s="19"/>
      <c r="KWU232" s="19"/>
      <c r="KWX232" s="16"/>
      <c r="KWY232" s="15"/>
      <c r="KWZ232" s="15"/>
      <c r="KXA232" s="15"/>
      <c r="KXB232" s="16"/>
      <c r="KXC232" s="16"/>
      <c r="KXD232" s="16"/>
      <c r="KXE232" s="16"/>
      <c r="KXF232" s="16"/>
      <c r="KXG232" s="15"/>
      <c r="KXH232" s="15"/>
      <c r="KXI232" s="10"/>
      <c r="KXJ232" s="10"/>
      <c r="KXK232" s="19"/>
      <c r="KXL232" s="19"/>
      <c r="KXO232" s="16"/>
      <c r="KXP232" s="15"/>
      <c r="KXQ232" s="15"/>
      <c r="KXR232" s="15"/>
      <c r="KXS232" s="16"/>
      <c r="KXT232" s="16"/>
      <c r="KXU232" s="16"/>
      <c r="KXV232" s="16"/>
      <c r="KXW232" s="16"/>
      <c r="KXX232" s="15"/>
      <c r="KXY232" s="15"/>
      <c r="KXZ232" s="10"/>
      <c r="KYA232" s="10"/>
      <c r="KYB232" s="19"/>
      <c r="KYC232" s="19"/>
      <c r="KYF232" s="16"/>
      <c r="KYG232" s="15"/>
      <c r="KYH232" s="15"/>
      <c r="KYI232" s="15"/>
      <c r="KYJ232" s="16"/>
      <c r="KYK232" s="16"/>
      <c r="KYL232" s="16"/>
      <c r="KYM232" s="16"/>
      <c r="KYN232" s="16"/>
      <c r="KYO232" s="15"/>
      <c r="KYP232" s="15"/>
      <c r="KYQ232" s="10"/>
      <c r="KYR232" s="10"/>
      <c r="KYS232" s="19"/>
      <c r="KYT232" s="19"/>
      <c r="KYW232" s="16"/>
      <c r="KYX232" s="15"/>
      <c r="KYY232" s="15"/>
      <c r="KYZ232" s="15"/>
      <c r="KZA232" s="16"/>
      <c r="KZB232" s="16"/>
      <c r="KZC232" s="16"/>
      <c r="KZD232" s="16"/>
      <c r="KZE232" s="16"/>
      <c r="KZF232" s="15"/>
      <c r="KZG232" s="15"/>
      <c r="KZH232" s="10"/>
      <c r="KZI232" s="10"/>
      <c r="KZJ232" s="19"/>
      <c r="KZK232" s="19"/>
      <c r="KZN232" s="16"/>
      <c r="KZO232" s="15"/>
      <c r="KZP232" s="15"/>
      <c r="KZQ232" s="15"/>
      <c r="KZR232" s="16"/>
      <c r="KZS232" s="16"/>
      <c r="KZT232" s="16"/>
      <c r="KZU232" s="16"/>
      <c r="KZV232" s="16"/>
      <c r="KZW232" s="15"/>
      <c r="KZX232" s="15"/>
      <c r="KZY232" s="10"/>
      <c r="KZZ232" s="10"/>
      <c r="LAA232" s="19"/>
      <c r="LAB232" s="19"/>
      <c r="LAE232" s="16"/>
      <c r="LAF232" s="15"/>
      <c r="LAG232" s="15"/>
      <c r="LAH232" s="15"/>
      <c r="LAI232" s="16"/>
      <c r="LAJ232" s="16"/>
      <c r="LAK232" s="16"/>
      <c r="LAL232" s="16"/>
      <c r="LAM232" s="16"/>
      <c r="LAN232" s="15"/>
      <c r="LAO232" s="15"/>
      <c r="LAP232" s="10"/>
      <c r="LAQ232" s="10"/>
      <c r="LAR232" s="19"/>
      <c r="LAS232" s="19"/>
      <c r="LAV232" s="16"/>
      <c r="LAW232" s="15"/>
      <c r="LAX232" s="15"/>
      <c r="LAY232" s="15"/>
      <c r="LAZ232" s="16"/>
      <c r="LBA232" s="16"/>
      <c r="LBB232" s="16"/>
      <c r="LBC232" s="16"/>
      <c r="LBD232" s="16"/>
      <c r="LBE232" s="15"/>
      <c r="LBF232" s="15"/>
      <c r="LBG232" s="10"/>
      <c r="LBH232" s="10"/>
      <c r="LBI232" s="19"/>
      <c r="LBJ232" s="19"/>
      <c r="LBM232" s="16"/>
      <c r="LBN232" s="15"/>
      <c r="LBO232" s="15"/>
      <c r="LBP232" s="15"/>
      <c r="LBQ232" s="16"/>
      <c r="LBR232" s="16"/>
      <c r="LBS232" s="16"/>
      <c r="LBT232" s="16"/>
      <c r="LBU232" s="16"/>
      <c r="LBV232" s="15"/>
      <c r="LBW232" s="15"/>
      <c r="LBX232" s="10"/>
      <c r="LBY232" s="10"/>
      <c r="LBZ232" s="19"/>
      <c r="LCA232" s="19"/>
      <c r="LCD232" s="16"/>
      <c r="LCE232" s="15"/>
      <c r="LCF232" s="15"/>
      <c r="LCG232" s="15"/>
      <c r="LCH232" s="16"/>
      <c r="LCI232" s="16"/>
      <c r="LCJ232" s="16"/>
      <c r="LCK232" s="16"/>
      <c r="LCL232" s="16"/>
      <c r="LCM232" s="15"/>
      <c r="LCN232" s="15"/>
      <c r="LCO232" s="10"/>
      <c r="LCP232" s="10"/>
      <c r="LCQ232" s="19"/>
      <c r="LCR232" s="19"/>
      <c r="LCU232" s="16"/>
      <c r="LCV232" s="15"/>
      <c r="LCW232" s="15"/>
      <c r="LCX232" s="15"/>
      <c r="LCY232" s="16"/>
      <c r="LCZ232" s="16"/>
      <c r="LDA232" s="16"/>
      <c r="LDB232" s="16"/>
      <c r="LDC232" s="16"/>
      <c r="LDD232" s="15"/>
      <c r="LDE232" s="15"/>
      <c r="LDF232" s="10"/>
      <c r="LDG232" s="10"/>
      <c r="LDH232" s="19"/>
      <c r="LDI232" s="19"/>
      <c r="LDL232" s="16"/>
      <c r="LDM232" s="15"/>
      <c r="LDN232" s="15"/>
      <c r="LDO232" s="15"/>
      <c r="LDP232" s="16"/>
      <c r="LDQ232" s="16"/>
      <c r="LDR232" s="16"/>
      <c r="LDS232" s="16"/>
      <c r="LDT232" s="16"/>
      <c r="LDU232" s="15"/>
      <c r="LDV232" s="15"/>
      <c r="LDW232" s="10"/>
      <c r="LDX232" s="10"/>
      <c r="LDY232" s="19"/>
      <c r="LDZ232" s="19"/>
      <c r="LEC232" s="16"/>
      <c r="LED232" s="15"/>
      <c r="LEE232" s="15"/>
      <c r="LEF232" s="15"/>
      <c r="LEG232" s="16"/>
      <c r="LEH232" s="16"/>
      <c r="LEI232" s="16"/>
      <c r="LEJ232" s="16"/>
      <c r="LEK232" s="16"/>
      <c r="LEL232" s="15"/>
      <c r="LEM232" s="15"/>
      <c r="LEN232" s="10"/>
      <c r="LEO232" s="10"/>
      <c r="LEP232" s="19"/>
      <c r="LEQ232" s="19"/>
      <c r="LET232" s="16"/>
      <c r="LEU232" s="15"/>
      <c r="LEV232" s="15"/>
      <c r="LEW232" s="15"/>
      <c r="LEX232" s="16"/>
      <c r="LEY232" s="16"/>
      <c r="LEZ232" s="16"/>
      <c r="LFA232" s="16"/>
      <c r="LFB232" s="16"/>
      <c r="LFC232" s="15"/>
      <c r="LFD232" s="15"/>
      <c r="LFE232" s="10"/>
      <c r="LFF232" s="10"/>
      <c r="LFG232" s="19"/>
      <c r="LFH232" s="19"/>
      <c r="LFK232" s="16"/>
      <c r="LFL232" s="15"/>
      <c r="LFM232" s="15"/>
      <c r="LFN232" s="15"/>
      <c r="LFO232" s="16"/>
      <c r="LFP232" s="16"/>
      <c r="LFQ232" s="16"/>
      <c r="LFR232" s="16"/>
      <c r="LFS232" s="16"/>
      <c r="LFT232" s="15"/>
      <c r="LFU232" s="15"/>
      <c r="LFV232" s="10"/>
      <c r="LFW232" s="10"/>
      <c r="LFX232" s="19"/>
      <c r="LFY232" s="19"/>
      <c r="LGB232" s="16"/>
      <c r="LGC232" s="15"/>
      <c r="LGD232" s="15"/>
      <c r="LGE232" s="15"/>
      <c r="LGF232" s="16"/>
      <c r="LGG232" s="16"/>
      <c r="LGH232" s="16"/>
      <c r="LGI232" s="16"/>
      <c r="LGJ232" s="16"/>
      <c r="LGK232" s="15"/>
      <c r="LGL232" s="15"/>
      <c r="LGM232" s="10"/>
      <c r="LGN232" s="10"/>
      <c r="LGO232" s="19"/>
      <c r="LGP232" s="19"/>
      <c r="LGS232" s="16"/>
      <c r="LGT232" s="15"/>
      <c r="LGU232" s="15"/>
      <c r="LGV232" s="15"/>
      <c r="LGW232" s="16"/>
      <c r="LGX232" s="16"/>
      <c r="LGY232" s="16"/>
      <c r="LGZ232" s="16"/>
      <c r="LHA232" s="16"/>
      <c r="LHB232" s="15"/>
      <c r="LHC232" s="15"/>
      <c r="LHD232" s="10"/>
      <c r="LHE232" s="10"/>
      <c r="LHF232" s="19"/>
      <c r="LHG232" s="19"/>
      <c r="LHJ232" s="16"/>
      <c r="LHK232" s="15"/>
      <c r="LHL232" s="15"/>
      <c r="LHM232" s="15"/>
      <c r="LHN232" s="16"/>
      <c r="LHO232" s="16"/>
      <c r="LHP232" s="16"/>
      <c r="LHQ232" s="16"/>
      <c r="LHR232" s="16"/>
      <c r="LHS232" s="15"/>
      <c r="LHT232" s="15"/>
      <c r="LHU232" s="10"/>
      <c r="LHV232" s="10"/>
      <c r="LHW232" s="19"/>
      <c r="LHX232" s="19"/>
      <c r="LIA232" s="16"/>
      <c r="LIB232" s="15"/>
      <c r="LIC232" s="15"/>
      <c r="LID232" s="15"/>
      <c r="LIE232" s="16"/>
      <c r="LIF232" s="16"/>
      <c r="LIG232" s="16"/>
      <c r="LIH232" s="16"/>
      <c r="LII232" s="16"/>
      <c r="LIJ232" s="15"/>
      <c r="LIK232" s="15"/>
      <c r="LIL232" s="10"/>
      <c r="LIM232" s="10"/>
      <c r="LIN232" s="19"/>
      <c r="LIO232" s="19"/>
      <c r="LIR232" s="16"/>
      <c r="LIS232" s="15"/>
      <c r="LIT232" s="15"/>
      <c r="LIU232" s="15"/>
      <c r="LIV232" s="16"/>
      <c r="LIW232" s="16"/>
      <c r="LIX232" s="16"/>
      <c r="LIY232" s="16"/>
      <c r="LIZ232" s="16"/>
      <c r="LJA232" s="15"/>
      <c r="LJB232" s="15"/>
      <c r="LJC232" s="10"/>
      <c r="LJD232" s="10"/>
      <c r="LJE232" s="19"/>
      <c r="LJF232" s="19"/>
      <c r="LJI232" s="16"/>
      <c r="LJJ232" s="15"/>
      <c r="LJK232" s="15"/>
      <c r="LJL232" s="15"/>
      <c r="LJM232" s="16"/>
      <c r="LJN232" s="16"/>
      <c r="LJO232" s="16"/>
      <c r="LJP232" s="16"/>
      <c r="LJQ232" s="16"/>
      <c r="LJR232" s="15"/>
      <c r="LJS232" s="15"/>
      <c r="LJT232" s="10"/>
      <c r="LJU232" s="10"/>
      <c r="LJV232" s="19"/>
      <c r="LJW232" s="19"/>
      <c r="LJZ232" s="16"/>
      <c r="LKA232" s="15"/>
      <c r="LKB232" s="15"/>
      <c r="LKC232" s="15"/>
      <c r="LKD232" s="16"/>
      <c r="LKE232" s="16"/>
      <c r="LKF232" s="16"/>
      <c r="LKG232" s="16"/>
      <c r="LKH232" s="16"/>
      <c r="LKI232" s="15"/>
      <c r="LKJ232" s="15"/>
      <c r="LKK232" s="10"/>
      <c r="LKL232" s="10"/>
      <c r="LKM232" s="19"/>
      <c r="LKN232" s="19"/>
      <c r="LKQ232" s="16"/>
      <c r="LKR232" s="15"/>
      <c r="LKS232" s="15"/>
      <c r="LKT232" s="15"/>
      <c r="LKU232" s="16"/>
      <c r="LKV232" s="16"/>
      <c r="LKW232" s="16"/>
      <c r="LKX232" s="16"/>
      <c r="LKY232" s="16"/>
      <c r="LKZ232" s="15"/>
      <c r="LLA232" s="15"/>
      <c r="LLB232" s="10"/>
      <c r="LLC232" s="10"/>
      <c r="LLD232" s="19"/>
      <c r="LLE232" s="19"/>
      <c r="LLH232" s="16"/>
      <c r="LLI232" s="15"/>
      <c r="LLJ232" s="15"/>
      <c r="LLK232" s="15"/>
      <c r="LLL232" s="16"/>
      <c r="LLM232" s="16"/>
      <c r="LLN232" s="16"/>
      <c r="LLO232" s="16"/>
      <c r="LLP232" s="16"/>
      <c r="LLQ232" s="15"/>
      <c r="LLR232" s="15"/>
      <c r="LLS232" s="10"/>
      <c r="LLT232" s="10"/>
      <c r="LLU232" s="19"/>
      <c r="LLV232" s="19"/>
      <c r="LLY232" s="16"/>
      <c r="LLZ232" s="15"/>
      <c r="LMA232" s="15"/>
      <c r="LMB232" s="15"/>
      <c r="LMC232" s="16"/>
      <c r="LMD232" s="16"/>
      <c r="LME232" s="16"/>
      <c r="LMF232" s="16"/>
      <c r="LMG232" s="16"/>
      <c r="LMH232" s="15"/>
      <c r="LMI232" s="15"/>
      <c r="LMJ232" s="10"/>
      <c r="LMK232" s="10"/>
      <c r="LML232" s="19"/>
      <c r="LMM232" s="19"/>
      <c r="LMP232" s="16"/>
      <c r="LMQ232" s="15"/>
      <c r="LMR232" s="15"/>
      <c r="LMS232" s="15"/>
      <c r="LMT232" s="16"/>
      <c r="LMU232" s="16"/>
      <c r="LMV232" s="16"/>
      <c r="LMW232" s="16"/>
      <c r="LMX232" s="16"/>
      <c r="LMY232" s="15"/>
      <c r="LMZ232" s="15"/>
      <c r="LNA232" s="10"/>
      <c r="LNB232" s="10"/>
      <c r="LNC232" s="19"/>
      <c r="LND232" s="19"/>
      <c r="LNG232" s="16"/>
      <c r="LNH232" s="15"/>
      <c r="LNI232" s="15"/>
      <c r="LNJ232" s="15"/>
      <c r="LNK232" s="16"/>
      <c r="LNL232" s="16"/>
      <c r="LNM232" s="16"/>
      <c r="LNN232" s="16"/>
      <c r="LNO232" s="16"/>
      <c r="LNP232" s="15"/>
      <c r="LNQ232" s="15"/>
      <c r="LNR232" s="10"/>
      <c r="LNS232" s="10"/>
      <c r="LNT232" s="19"/>
      <c r="LNU232" s="19"/>
      <c r="LNX232" s="16"/>
      <c r="LNY232" s="15"/>
      <c r="LNZ232" s="15"/>
      <c r="LOA232" s="15"/>
      <c r="LOB232" s="16"/>
      <c r="LOC232" s="16"/>
      <c r="LOD232" s="16"/>
      <c r="LOE232" s="16"/>
      <c r="LOF232" s="16"/>
      <c r="LOG232" s="15"/>
      <c r="LOH232" s="15"/>
      <c r="LOI232" s="10"/>
      <c r="LOJ232" s="10"/>
      <c r="LOK232" s="19"/>
      <c r="LOL232" s="19"/>
      <c r="LOO232" s="16"/>
      <c r="LOP232" s="15"/>
      <c r="LOQ232" s="15"/>
      <c r="LOR232" s="15"/>
      <c r="LOS232" s="16"/>
      <c r="LOT232" s="16"/>
      <c r="LOU232" s="16"/>
      <c r="LOV232" s="16"/>
      <c r="LOW232" s="16"/>
      <c r="LOX232" s="15"/>
      <c r="LOY232" s="15"/>
      <c r="LOZ232" s="10"/>
      <c r="LPA232" s="10"/>
      <c r="LPB232" s="19"/>
      <c r="LPC232" s="19"/>
      <c r="LPF232" s="16"/>
      <c r="LPG232" s="15"/>
      <c r="LPH232" s="15"/>
      <c r="LPI232" s="15"/>
      <c r="LPJ232" s="16"/>
      <c r="LPK232" s="16"/>
      <c r="LPL232" s="16"/>
      <c r="LPM232" s="16"/>
      <c r="LPN232" s="16"/>
      <c r="LPO232" s="15"/>
      <c r="LPP232" s="15"/>
      <c r="LPQ232" s="10"/>
      <c r="LPR232" s="10"/>
      <c r="LPS232" s="19"/>
      <c r="LPT232" s="19"/>
      <c r="LPW232" s="16"/>
      <c r="LPX232" s="15"/>
      <c r="LPY232" s="15"/>
      <c r="LPZ232" s="15"/>
      <c r="LQA232" s="16"/>
      <c r="LQB232" s="16"/>
      <c r="LQC232" s="16"/>
      <c r="LQD232" s="16"/>
      <c r="LQE232" s="16"/>
      <c r="LQF232" s="15"/>
      <c r="LQG232" s="15"/>
      <c r="LQH232" s="10"/>
      <c r="LQI232" s="10"/>
      <c r="LQJ232" s="19"/>
      <c r="LQK232" s="19"/>
      <c r="LQN232" s="16"/>
      <c r="LQO232" s="15"/>
      <c r="LQP232" s="15"/>
      <c r="LQQ232" s="15"/>
      <c r="LQR232" s="16"/>
      <c r="LQS232" s="16"/>
      <c r="LQT232" s="16"/>
      <c r="LQU232" s="16"/>
      <c r="LQV232" s="16"/>
      <c r="LQW232" s="15"/>
      <c r="LQX232" s="15"/>
      <c r="LQY232" s="10"/>
      <c r="LQZ232" s="10"/>
      <c r="LRA232" s="19"/>
      <c r="LRB232" s="19"/>
      <c r="LRE232" s="16"/>
      <c r="LRF232" s="15"/>
      <c r="LRG232" s="15"/>
      <c r="LRH232" s="15"/>
      <c r="LRI232" s="16"/>
      <c r="LRJ232" s="16"/>
      <c r="LRK232" s="16"/>
      <c r="LRL232" s="16"/>
      <c r="LRM232" s="16"/>
      <c r="LRN232" s="15"/>
      <c r="LRO232" s="15"/>
      <c r="LRP232" s="10"/>
      <c r="LRQ232" s="10"/>
      <c r="LRR232" s="19"/>
      <c r="LRS232" s="19"/>
      <c r="LRV232" s="16"/>
      <c r="LRW232" s="15"/>
      <c r="LRX232" s="15"/>
      <c r="LRY232" s="15"/>
      <c r="LRZ232" s="16"/>
      <c r="LSA232" s="16"/>
      <c r="LSB232" s="16"/>
      <c r="LSC232" s="16"/>
      <c r="LSD232" s="16"/>
      <c r="LSE232" s="15"/>
      <c r="LSF232" s="15"/>
      <c r="LSG232" s="10"/>
      <c r="LSH232" s="10"/>
      <c r="LSI232" s="19"/>
      <c r="LSJ232" s="19"/>
      <c r="LSM232" s="16"/>
      <c r="LSN232" s="15"/>
      <c r="LSO232" s="15"/>
      <c r="LSP232" s="15"/>
      <c r="LSQ232" s="16"/>
      <c r="LSR232" s="16"/>
      <c r="LSS232" s="16"/>
      <c r="LST232" s="16"/>
      <c r="LSU232" s="16"/>
      <c r="LSV232" s="15"/>
      <c r="LSW232" s="15"/>
      <c r="LSX232" s="10"/>
      <c r="LSY232" s="10"/>
      <c r="LSZ232" s="19"/>
      <c r="LTA232" s="19"/>
      <c r="LTD232" s="16"/>
      <c r="LTE232" s="15"/>
      <c r="LTF232" s="15"/>
      <c r="LTG232" s="15"/>
      <c r="LTH232" s="16"/>
      <c r="LTI232" s="16"/>
      <c r="LTJ232" s="16"/>
      <c r="LTK232" s="16"/>
      <c r="LTL232" s="16"/>
      <c r="LTM232" s="15"/>
      <c r="LTN232" s="15"/>
      <c r="LTO232" s="10"/>
      <c r="LTP232" s="10"/>
      <c r="LTQ232" s="19"/>
      <c r="LTR232" s="19"/>
      <c r="LTU232" s="16"/>
      <c r="LTV232" s="15"/>
      <c r="LTW232" s="15"/>
      <c r="LTX232" s="15"/>
      <c r="LTY232" s="16"/>
      <c r="LTZ232" s="16"/>
      <c r="LUA232" s="16"/>
      <c r="LUB232" s="16"/>
      <c r="LUC232" s="16"/>
      <c r="LUD232" s="15"/>
      <c r="LUE232" s="15"/>
      <c r="LUF232" s="10"/>
      <c r="LUG232" s="10"/>
      <c r="LUH232" s="19"/>
      <c r="LUI232" s="19"/>
      <c r="LUL232" s="16"/>
      <c r="LUM232" s="15"/>
      <c r="LUN232" s="15"/>
      <c r="LUO232" s="15"/>
      <c r="LUP232" s="16"/>
      <c r="LUQ232" s="16"/>
      <c r="LUR232" s="16"/>
      <c r="LUS232" s="16"/>
      <c r="LUT232" s="16"/>
      <c r="LUU232" s="15"/>
      <c r="LUV232" s="15"/>
      <c r="LUW232" s="10"/>
      <c r="LUX232" s="10"/>
      <c r="LUY232" s="19"/>
      <c r="LUZ232" s="19"/>
      <c r="LVC232" s="16"/>
      <c r="LVD232" s="15"/>
      <c r="LVE232" s="15"/>
      <c r="LVF232" s="15"/>
      <c r="LVG232" s="16"/>
      <c r="LVH232" s="16"/>
      <c r="LVI232" s="16"/>
      <c r="LVJ232" s="16"/>
      <c r="LVK232" s="16"/>
      <c r="LVL232" s="15"/>
      <c r="LVM232" s="15"/>
      <c r="LVN232" s="10"/>
      <c r="LVO232" s="10"/>
      <c r="LVP232" s="19"/>
      <c r="LVQ232" s="19"/>
      <c r="LVT232" s="16"/>
      <c r="LVU232" s="15"/>
      <c r="LVV232" s="15"/>
      <c r="LVW232" s="15"/>
      <c r="LVX232" s="16"/>
      <c r="LVY232" s="16"/>
      <c r="LVZ232" s="16"/>
      <c r="LWA232" s="16"/>
      <c r="LWB232" s="16"/>
      <c r="LWC232" s="15"/>
      <c r="LWD232" s="15"/>
      <c r="LWE232" s="10"/>
      <c r="LWF232" s="10"/>
      <c r="LWG232" s="19"/>
      <c r="LWH232" s="19"/>
      <c r="LWK232" s="16"/>
      <c r="LWL232" s="15"/>
      <c r="LWM232" s="15"/>
      <c r="LWN232" s="15"/>
      <c r="LWO232" s="16"/>
      <c r="LWP232" s="16"/>
      <c r="LWQ232" s="16"/>
      <c r="LWR232" s="16"/>
      <c r="LWS232" s="16"/>
      <c r="LWT232" s="15"/>
      <c r="LWU232" s="15"/>
      <c r="LWV232" s="10"/>
      <c r="LWW232" s="10"/>
      <c r="LWX232" s="19"/>
      <c r="LWY232" s="19"/>
      <c r="LXB232" s="16"/>
      <c r="LXC232" s="15"/>
      <c r="LXD232" s="15"/>
      <c r="LXE232" s="15"/>
      <c r="LXF232" s="16"/>
      <c r="LXG232" s="16"/>
      <c r="LXH232" s="16"/>
      <c r="LXI232" s="16"/>
      <c r="LXJ232" s="16"/>
      <c r="LXK232" s="15"/>
      <c r="LXL232" s="15"/>
      <c r="LXM232" s="10"/>
      <c r="LXN232" s="10"/>
      <c r="LXO232" s="19"/>
      <c r="LXP232" s="19"/>
      <c r="LXS232" s="16"/>
      <c r="LXT232" s="15"/>
      <c r="LXU232" s="15"/>
      <c r="LXV232" s="15"/>
      <c r="LXW232" s="16"/>
      <c r="LXX232" s="16"/>
      <c r="LXY232" s="16"/>
      <c r="LXZ232" s="16"/>
      <c r="LYA232" s="16"/>
      <c r="LYB232" s="15"/>
      <c r="LYC232" s="15"/>
      <c r="LYD232" s="10"/>
      <c r="LYE232" s="10"/>
      <c r="LYF232" s="19"/>
      <c r="LYG232" s="19"/>
      <c r="LYJ232" s="16"/>
      <c r="LYK232" s="15"/>
      <c r="LYL232" s="15"/>
      <c r="LYM232" s="15"/>
      <c r="LYN232" s="16"/>
      <c r="LYO232" s="16"/>
      <c r="LYP232" s="16"/>
      <c r="LYQ232" s="16"/>
      <c r="LYR232" s="16"/>
      <c r="LYS232" s="15"/>
      <c r="LYT232" s="15"/>
      <c r="LYU232" s="10"/>
      <c r="LYV232" s="10"/>
      <c r="LYW232" s="19"/>
      <c r="LYX232" s="19"/>
      <c r="LZA232" s="16"/>
      <c r="LZB232" s="15"/>
      <c r="LZC232" s="15"/>
      <c r="LZD232" s="15"/>
      <c r="LZE232" s="16"/>
      <c r="LZF232" s="16"/>
      <c r="LZG232" s="16"/>
      <c r="LZH232" s="16"/>
      <c r="LZI232" s="16"/>
      <c r="LZJ232" s="15"/>
      <c r="LZK232" s="15"/>
      <c r="LZL232" s="10"/>
      <c r="LZM232" s="10"/>
      <c r="LZN232" s="19"/>
      <c r="LZO232" s="19"/>
      <c r="LZR232" s="16"/>
      <c r="LZS232" s="15"/>
      <c r="LZT232" s="15"/>
      <c r="LZU232" s="15"/>
      <c r="LZV232" s="16"/>
      <c r="LZW232" s="16"/>
      <c r="LZX232" s="16"/>
      <c r="LZY232" s="16"/>
      <c r="LZZ232" s="16"/>
      <c r="MAA232" s="15"/>
      <c r="MAB232" s="15"/>
      <c r="MAC232" s="10"/>
      <c r="MAD232" s="10"/>
      <c r="MAE232" s="19"/>
      <c r="MAF232" s="19"/>
      <c r="MAI232" s="16"/>
      <c r="MAJ232" s="15"/>
      <c r="MAK232" s="15"/>
      <c r="MAL232" s="15"/>
      <c r="MAM232" s="16"/>
      <c r="MAN232" s="16"/>
      <c r="MAO232" s="16"/>
      <c r="MAP232" s="16"/>
      <c r="MAQ232" s="16"/>
      <c r="MAR232" s="15"/>
      <c r="MAS232" s="15"/>
      <c r="MAT232" s="10"/>
      <c r="MAU232" s="10"/>
      <c r="MAV232" s="19"/>
      <c r="MAW232" s="19"/>
      <c r="MAZ232" s="16"/>
      <c r="MBA232" s="15"/>
      <c r="MBB232" s="15"/>
      <c r="MBC232" s="15"/>
      <c r="MBD232" s="16"/>
      <c r="MBE232" s="16"/>
      <c r="MBF232" s="16"/>
      <c r="MBG232" s="16"/>
      <c r="MBH232" s="16"/>
      <c r="MBI232" s="15"/>
      <c r="MBJ232" s="15"/>
      <c r="MBK232" s="10"/>
      <c r="MBL232" s="10"/>
      <c r="MBM232" s="19"/>
      <c r="MBN232" s="19"/>
      <c r="MBQ232" s="16"/>
      <c r="MBR232" s="15"/>
      <c r="MBS232" s="15"/>
      <c r="MBT232" s="15"/>
      <c r="MBU232" s="16"/>
      <c r="MBV232" s="16"/>
      <c r="MBW232" s="16"/>
      <c r="MBX232" s="16"/>
      <c r="MBY232" s="16"/>
      <c r="MBZ232" s="15"/>
      <c r="MCA232" s="15"/>
      <c r="MCB232" s="10"/>
      <c r="MCC232" s="10"/>
      <c r="MCD232" s="19"/>
      <c r="MCE232" s="19"/>
      <c r="MCH232" s="16"/>
      <c r="MCI232" s="15"/>
      <c r="MCJ232" s="15"/>
      <c r="MCK232" s="15"/>
      <c r="MCL232" s="16"/>
      <c r="MCM232" s="16"/>
      <c r="MCN232" s="16"/>
      <c r="MCO232" s="16"/>
      <c r="MCP232" s="16"/>
      <c r="MCQ232" s="15"/>
      <c r="MCR232" s="15"/>
      <c r="MCS232" s="10"/>
      <c r="MCT232" s="10"/>
      <c r="MCU232" s="19"/>
      <c r="MCV232" s="19"/>
      <c r="MCY232" s="16"/>
      <c r="MCZ232" s="15"/>
      <c r="MDA232" s="15"/>
      <c r="MDB232" s="15"/>
      <c r="MDC232" s="16"/>
      <c r="MDD232" s="16"/>
      <c r="MDE232" s="16"/>
      <c r="MDF232" s="16"/>
      <c r="MDG232" s="16"/>
      <c r="MDH232" s="15"/>
      <c r="MDI232" s="15"/>
      <c r="MDJ232" s="10"/>
      <c r="MDK232" s="10"/>
      <c r="MDL232" s="19"/>
      <c r="MDM232" s="19"/>
      <c r="MDP232" s="16"/>
      <c r="MDQ232" s="15"/>
      <c r="MDR232" s="15"/>
      <c r="MDS232" s="15"/>
      <c r="MDT232" s="16"/>
      <c r="MDU232" s="16"/>
      <c r="MDV232" s="16"/>
      <c r="MDW232" s="16"/>
      <c r="MDX232" s="16"/>
      <c r="MDY232" s="15"/>
      <c r="MDZ232" s="15"/>
      <c r="MEA232" s="10"/>
      <c r="MEB232" s="10"/>
      <c r="MEC232" s="19"/>
      <c r="MED232" s="19"/>
      <c r="MEG232" s="16"/>
      <c r="MEH232" s="15"/>
      <c r="MEI232" s="15"/>
      <c r="MEJ232" s="15"/>
      <c r="MEK232" s="16"/>
      <c r="MEL232" s="16"/>
      <c r="MEM232" s="16"/>
      <c r="MEN232" s="16"/>
      <c r="MEO232" s="16"/>
      <c r="MEP232" s="15"/>
      <c r="MEQ232" s="15"/>
      <c r="MER232" s="10"/>
      <c r="MES232" s="10"/>
      <c r="MET232" s="19"/>
      <c r="MEU232" s="19"/>
      <c r="MEX232" s="16"/>
      <c r="MEY232" s="15"/>
      <c r="MEZ232" s="15"/>
      <c r="MFA232" s="15"/>
      <c r="MFB232" s="16"/>
      <c r="MFC232" s="16"/>
      <c r="MFD232" s="16"/>
      <c r="MFE232" s="16"/>
      <c r="MFF232" s="16"/>
      <c r="MFG232" s="15"/>
      <c r="MFH232" s="15"/>
      <c r="MFI232" s="10"/>
      <c r="MFJ232" s="10"/>
      <c r="MFK232" s="19"/>
      <c r="MFL232" s="19"/>
      <c r="MFO232" s="16"/>
      <c r="MFP232" s="15"/>
      <c r="MFQ232" s="15"/>
      <c r="MFR232" s="15"/>
      <c r="MFS232" s="16"/>
      <c r="MFT232" s="16"/>
      <c r="MFU232" s="16"/>
      <c r="MFV232" s="16"/>
      <c r="MFW232" s="16"/>
      <c r="MFX232" s="15"/>
      <c r="MFY232" s="15"/>
      <c r="MFZ232" s="10"/>
      <c r="MGA232" s="10"/>
      <c r="MGB232" s="19"/>
      <c r="MGC232" s="19"/>
      <c r="MGF232" s="16"/>
      <c r="MGG232" s="15"/>
      <c r="MGH232" s="15"/>
      <c r="MGI232" s="15"/>
      <c r="MGJ232" s="16"/>
      <c r="MGK232" s="16"/>
      <c r="MGL232" s="16"/>
      <c r="MGM232" s="16"/>
      <c r="MGN232" s="16"/>
      <c r="MGO232" s="15"/>
      <c r="MGP232" s="15"/>
      <c r="MGQ232" s="10"/>
      <c r="MGR232" s="10"/>
      <c r="MGS232" s="19"/>
      <c r="MGT232" s="19"/>
      <c r="MGW232" s="16"/>
      <c r="MGX232" s="15"/>
      <c r="MGY232" s="15"/>
      <c r="MGZ232" s="15"/>
      <c r="MHA232" s="16"/>
      <c r="MHB232" s="16"/>
      <c r="MHC232" s="16"/>
      <c r="MHD232" s="16"/>
      <c r="MHE232" s="16"/>
      <c r="MHF232" s="15"/>
      <c r="MHG232" s="15"/>
      <c r="MHH232" s="10"/>
      <c r="MHI232" s="10"/>
      <c r="MHJ232" s="19"/>
      <c r="MHK232" s="19"/>
      <c r="MHN232" s="16"/>
      <c r="MHO232" s="15"/>
      <c r="MHP232" s="15"/>
      <c r="MHQ232" s="15"/>
      <c r="MHR232" s="16"/>
      <c r="MHS232" s="16"/>
      <c r="MHT232" s="16"/>
      <c r="MHU232" s="16"/>
      <c r="MHV232" s="16"/>
      <c r="MHW232" s="15"/>
      <c r="MHX232" s="15"/>
      <c r="MHY232" s="10"/>
      <c r="MHZ232" s="10"/>
      <c r="MIA232" s="19"/>
      <c r="MIB232" s="19"/>
      <c r="MIE232" s="16"/>
      <c r="MIF232" s="15"/>
      <c r="MIG232" s="15"/>
      <c r="MIH232" s="15"/>
      <c r="MII232" s="16"/>
      <c r="MIJ232" s="16"/>
      <c r="MIK232" s="16"/>
      <c r="MIL232" s="16"/>
      <c r="MIM232" s="16"/>
      <c r="MIN232" s="15"/>
      <c r="MIO232" s="15"/>
      <c r="MIP232" s="10"/>
      <c r="MIQ232" s="10"/>
      <c r="MIR232" s="19"/>
      <c r="MIS232" s="19"/>
      <c r="MIV232" s="16"/>
      <c r="MIW232" s="15"/>
      <c r="MIX232" s="15"/>
      <c r="MIY232" s="15"/>
      <c r="MIZ232" s="16"/>
      <c r="MJA232" s="16"/>
      <c r="MJB232" s="16"/>
      <c r="MJC232" s="16"/>
      <c r="MJD232" s="16"/>
      <c r="MJE232" s="15"/>
      <c r="MJF232" s="15"/>
      <c r="MJG232" s="10"/>
      <c r="MJH232" s="10"/>
      <c r="MJI232" s="19"/>
      <c r="MJJ232" s="19"/>
      <c r="MJM232" s="16"/>
      <c r="MJN232" s="15"/>
      <c r="MJO232" s="15"/>
      <c r="MJP232" s="15"/>
      <c r="MJQ232" s="16"/>
      <c r="MJR232" s="16"/>
      <c r="MJS232" s="16"/>
      <c r="MJT232" s="16"/>
      <c r="MJU232" s="16"/>
      <c r="MJV232" s="15"/>
      <c r="MJW232" s="15"/>
      <c r="MJX232" s="10"/>
      <c r="MJY232" s="10"/>
      <c r="MJZ232" s="19"/>
      <c r="MKA232" s="19"/>
      <c r="MKD232" s="16"/>
      <c r="MKE232" s="15"/>
      <c r="MKF232" s="15"/>
      <c r="MKG232" s="15"/>
      <c r="MKH232" s="16"/>
      <c r="MKI232" s="16"/>
      <c r="MKJ232" s="16"/>
      <c r="MKK232" s="16"/>
      <c r="MKL232" s="16"/>
      <c r="MKM232" s="15"/>
      <c r="MKN232" s="15"/>
      <c r="MKO232" s="10"/>
      <c r="MKP232" s="10"/>
      <c r="MKQ232" s="19"/>
      <c r="MKR232" s="19"/>
      <c r="MKU232" s="16"/>
      <c r="MKV232" s="15"/>
      <c r="MKW232" s="15"/>
      <c r="MKX232" s="15"/>
      <c r="MKY232" s="16"/>
      <c r="MKZ232" s="16"/>
      <c r="MLA232" s="16"/>
      <c r="MLB232" s="16"/>
      <c r="MLC232" s="16"/>
      <c r="MLD232" s="15"/>
      <c r="MLE232" s="15"/>
      <c r="MLF232" s="10"/>
      <c r="MLG232" s="10"/>
      <c r="MLH232" s="19"/>
      <c r="MLI232" s="19"/>
      <c r="MLL232" s="16"/>
      <c r="MLM232" s="15"/>
      <c r="MLN232" s="15"/>
      <c r="MLO232" s="15"/>
      <c r="MLP232" s="16"/>
      <c r="MLQ232" s="16"/>
      <c r="MLR232" s="16"/>
      <c r="MLS232" s="16"/>
      <c r="MLT232" s="16"/>
      <c r="MLU232" s="15"/>
      <c r="MLV232" s="15"/>
      <c r="MLW232" s="10"/>
      <c r="MLX232" s="10"/>
      <c r="MLY232" s="19"/>
      <c r="MLZ232" s="19"/>
      <c r="MMC232" s="16"/>
      <c r="MMD232" s="15"/>
      <c r="MME232" s="15"/>
      <c r="MMF232" s="15"/>
      <c r="MMG232" s="16"/>
      <c r="MMH232" s="16"/>
      <c r="MMI232" s="16"/>
      <c r="MMJ232" s="16"/>
      <c r="MMK232" s="16"/>
      <c r="MML232" s="15"/>
      <c r="MMM232" s="15"/>
      <c r="MMN232" s="10"/>
      <c r="MMO232" s="10"/>
      <c r="MMP232" s="19"/>
      <c r="MMQ232" s="19"/>
      <c r="MMT232" s="16"/>
      <c r="MMU232" s="15"/>
      <c r="MMV232" s="15"/>
      <c r="MMW232" s="15"/>
      <c r="MMX232" s="16"/>
      <c r="MMY232" s="16"/>
      <c r="MMZ232" s="16"/>
      <c r="MNA232" s="16"/>
      <c r="MNB232" s="16"/>
      <c r="MNC232" s="15"/>
      <c r="MND232" s="15"/>
      <c r="MNE232" s="10"/>
      <c r="MNF232" s="10"/>
      <c r="MNG232" s="19"/>
      <c r="MNH232" s="19"/>
      <c r="MNK232" s="16"/>
      <c r="MNL232" s="15"/>
      <c r="MNM232" s="15"/>
      <c r="MNN232" s="15"/>
      <c r="MNO232" s="16"/>
      <c r="MNP232" s="16"/>
      <c r="MNQ232" s="16"/>
      <c r="MNR232" s="16"/>
      <c r="MNS232" s="16"/>
      <c r="MNT232" s="15"/>
      <c r="MNU232" s="15"/>
      <c r="MNV232" s="10"/>
      <c r="MNW232" s="10"/>
      <c r="MNX232" s="19"/>
      <c r="MNY232" s="19"/>
      <c r="MOB232" s="16"/>
      <c r="MOC232" s="15"/>
      <c r="MOD232" s="15"/>
      <c r="MOE232" s="15"/>
      <c r="MOF232" s="16"/>
      <c r="MOG232" s="16"/>
      <c r="MOH232" s="16"/>
      <c r="MOI232" s="16"/>
      <c r="MOJ232" s="16"/>
      <c r="MOK232" s="15"/>
      <c r="MOL232" s="15"/>
      <c r="MOM232" s="10"/>
      <c r="MON232" s="10"/>
      <c r="MOO232" s="19"/>
      <c r="MOP232" s="19"/>
      <c r="MOS232" s="16"/>
      <c r="MOT232" s="15"/>
      <c r="MOU232" s="15"/>
      <c r="MOV232" s="15"/>
      <c r="MOW232" s="16"/>
      <c r="MOX232" s="16"/>
      <c r="MOY232" s="16"/>
      <c r="MOZ232" s="16"/>
      <c r="MPA232" s="16"/>
      <c r="MPB232" s="15"/>
      <c r="MPC232" s="15"/>
      <c r="MPD232" s="10"/>
      <c r="MPE232" s="10"/>
      <c r="MPF232" s="19"/>
      <c r="MPG232" s="19"/>
      <c r="MPJ232" s="16"/>
      <c r="MPK232" s="15"/>
      <c r="MPL232" s="15"/>
      <c r="MPM232" s="15"/>
      <c r="MPN232" s="16"/>
      <c r="MPO232" s="16"/>
      <c r="MPP232" s="16"/>
      <c r="MPQ232" s="16"/>
      <c r="MPR232" s="16"/>
      <c r="MPS232" s="15"/>
      <c r="MPT232" s="15"/>
      <c r="MPU232" s="10"/>
      <c r="MPV232" s="10"/>
      <c r="MPW232" s="19"/>
      <c r="MPX232" s="19"/>
      <c r="MQA232" s="16"/>
      <c r="MQB232" s="15"/>
      <c r="MQC232" s="15"/>
      <c r="MQD232" s="15"/>
      <c r="MQE232" s="16"/>
      <c r="MQF232" s="16"/>
      <c r="MQG232" s="16"/>
      <c r="MQH232" s="16"/>
      <c r="MQI232" s="16"/>
      <c r="MQJ232" s="15"/>
      <c r="MQK232" s="15"/>
      <c r="MQL232" s="10"/>
      <c r="MQM232" s="10"/>
      <c r="MQN232" s="19"/>
      <c r="MQO232" s="19"/>
      <c r="MQR232" s="16"/>
      <c r="MQS232" s="15"/>
      <c r="MQT232" s="15"/>
      <c r="MQU232" s="15"/>
      <c r="MQV232" s="16"/>
      <c r="MQW232" s="16"/>
      <c r="MQX232" s="16"/>
      <c r="MQY232" s="16"/>
      <c r="MQZ232" s="16"/>
      <c r="MRA232" s="15"/>
      <c r="MRB232" s="15"/>
      <c r="MRC232" s="10"/>
      <c r="MRD232" s="10"/>
      <c r="MRE232" s="19"/>
      <c r="MRF232" s="19"/>
      <c r="MRI232" s="16"/>
      <c r="MRJ232" s="15"/>
      <c r="MRK232" s="15"/>
      <c r="MRL232" s="15"/>
      <c r="MRM232" s="16"/>
      <c r="MRN232" s="16"/>
      <c r="MRO232" s="16"/>
      <c r="MRP232" s="16"/>
      <c r="MRQ232" s="16"/>
      <c r="MRR232" s="15"/>
      <c r="MRS232" s="15"/>
      <c r="MRT232" s="10"/>
      <c r="MRU232" s="10"/>
      <c r="MRV232" s="19"/>
      <c r="MRW232" s="19"/>
      <c r="MRZ232" s="16"/>
      <c r="MSA232" s="15"/>
      <c r="MSB232" s="15"/>
      <c r="MSC232" s="15"/>
      <c r="MSD232" s="16"/>
      <c r="MSE232" s="16"/>
      <c r="MSF232" s="16"/>
      <c r="MSG232" s="16"/>
      <c r="MSH232" s="16"/>
      <c r="MSI232" s="15"/>
      <c r="MSJ232" s="15"/>
      <c r="MSK232" s="10"/>
      <c r="MSL232" s="10"/>
      <c r="MSM232" s="19"/>
      <c r="MSN232" s="19"/>
      <c r="MSQ232" s="16"/>
      <c r="MSR232" s="15"/>
      <c r="MSS232" s="15"/>
      <c r="MST232" s="15"/>
      <c r="MSU232" s="16"/>
      <c r="MSV232" s="16"/>
      <c r="MSW232" s="16"/>
      <c r="MSX232" s="16"/>
      <c r="MSY232" s="16"/>
      <c r="MSZ232" s="15"/>
      <c r="MTA232" s="15"/>
      <c r="MTB232" s="10"/>
      <c r="MTC232" s="10"/>
      <c r="MTD232" s="19"/>
      <c r="MTE232" s="19"/>
      <c r="MTH232" s="16"/>
      <c r="MTI232" s="15"/>
      <c r="MTJ232" s="15"/>
      <c r="MTK232" s="15"/>
      <c r="MTL232" s="16"/>
      <c r="MTM232" s="16"/>
      <c r="MTN232" s="16"/>
      <c r="MTO232" s="16"/>
      <c r="MTP232" s="16"/>
      <c r="MTQ232" s="15"/>
      <c r="MTR232" s="15"/>
      <c r="MTS232" s="10"/>
      <c r="MTT232" s="10"/>
      <c r="MTU232" s="19"/>
      <c r="MTV232" s="19"/>
      <c r="MTY232" s="16"/>
      <c r="MTZ232" s="15"/>
      <c r="MUA232" s="15"/>
      <c r="MUB232" s="15"/>
      <c r="MUC232" s="16"/>
      <c r="MUD232" s="16"/>
      <c r="MUE232" s="16"/>
      <c r="MUF232" s="16"/>
      <c r="MUG232" s="16"/>
      <c r="MUH232" s="15"/>
      <c r="MUI232" s="15"/>
      <c r="MUJ232" s="10"/>
      <c r="MUK232" s="10"/>
      <c r="MUL232" s="19"/>
      <c r="MUM232" s="19"/>
      <c r="MUP232" s="16"/>
      <c r="MUQ232" s="15"/>
      <c r="MUR232" s="15"/>
      <c r="MUS232" s="15"/>
      <c r="MUT232" s="16"/>
      <c r="MUU232" s="16"/>
      <c r="MUV232" s="16"/>
      <c r="MUW232" s="16"/>
      <c r="MUX232" s="16"/>
      <c r="MUY232" s="15"/>
      <c r="MUZ232" s="15"/>
      <c r="MVA232" s="10"/>
      <c r="MVB232" s="10"/>
      <c r="MVC232" s="19"/>
      <c r="MVD232" s="19"/>
      <c r="MVG232" s="16"/>
      <c r="MVH232" s="15"/>
      <c r="MVI232" s="15"/>
      <c r="MVJ232" s="15"/>
      <c r="MVK232" s="16"/>
      <c r="MVL232" s="16"/>
      <c r="MVM232" s="16"/>
      <c r="MVN232" s="16"/>
      <c r="MVO232" s="16"/>
      <c r="MVP232" s="15"/>
      <c r="MVQ232" s="15"/>
      <c r="MVR232" s="10"/>
      <c r="MVS232" s="10"/>
      <c r="MVT232" s="19"/>
      <c r="MVU232" s="19"/>
      <c r="MVX232" s="16"/>
      <c r="MVY232" s="15"/>
      <c r="MVZ232" s="15"/>
      <c r="MWA232" s="15"/>
      <c r="MWB232" s="16"/>
      <c r="MWC232" s="16"/>
      <c r="MWD232" s="16"/>
      <c r="MWE232" s="16"/>
      <c r="MWF232" s="16"/>
      <c r="MWG232" s="15"/>
      <c r="MWH232" s="15"/>
      <c r="MWI232" s="10"/>
      <c r="MWJ232" s="10"/>
      <c r="MWK232" s="19"/>
      <c r="MWL232" s="19"/>
      <c r="MWO232" s="16"/>
      <c r="MWP232" s="15"/>
      <c r="MWQ232" s="15"/>
      <c r="MWR232" s="15"/>
      <c r="MWS232" s="16"/>
      <c r="MWT232" s="16"/>
      <c r="MWU232" s="16"/>
      <c r="MWV232" s="16"/>
      <c r="MWW232" s="16"/>
      <c r="MWX232" s="15"/>
      <c r="MWY232" s="15"/>
      <c r="MWZ232" s="10"/>
      <c r="MXA232" s="10"/>
      <c r="MXB232" s="19"/>
      <c r="MXC232" s="19"/>
      <c r="MXF232" s="16"/>
      <c r="MXG232" s="15"/>
      <c r="MXH232" s="15"/>
      <c r="MXI232" s="15"/>
      <c r="MXJ232" s="16"/>
      <c r="MXK232" s="16"/>
      <c r="MXL232" s="16"/>
      <c r="MXM232" s="16"/>
      <c r="MXN232" s="16"/>
      <c r="MXO232" s="15"/>
      <c r="MXP232" s="15"/>
      <c r="MXQ232" s="10"/>
      <c r="MXR232" s="10"/>
      <c r="MXS232" s="19"/>
      <c r="MXT232" s="19"/>
      <c r="MXW232" s="16"/>
      <c r="MXX232" s="15"/>
      <c r="MXY232" s="15"/>
      <c r="MXZ232" s="15"/>
      <c r="MYA232" s="16"/>
      <c r="MYB232" s="16"/>
      <c r="MYC232" s="16"/>
      <c r="MYD232" s="16"/>
      <c r="MYE232" s="16"/>
      <c r="MYF232" s="15"/>
      <c r="MYG232" s="15"/>
      <c r="MYH232" s="10"/>
      <c r="MYI232" s="10"/>
      <c r="MYJ232" s="19"/>
      <c r="MYK232" s="19"/>
      <c r="MYN232" s="16"/>
      <c r="MYO232" s="15"/>
      <c r="MYP232" s="15"/>
      <c r="MYQ232" s="15"/>
      <c r="MYR232" s="16"/>
      <c r="MYS232" s="16"/>
      <c r="MYT232" s="16"/>
      <c r="MYU232" s="16"/>
      <c r="MYV232" s="16"/>
      <c r="MYW232" s="15"/>
      <c r="MYX232" s="15"/>
      <c r="MYY232" s="10"/>
      <c r="MYZ232" s="10"/>
      <c r="MZA232" s="19"/>
      <c r="MZB232" s="19"/>
      <c r="MZE232" s="16"/>
      <c r="MZF232" s="15"/>
      <c r="MZG232" s="15"/>
      <c r="MZH232" s="15"/>
      <c r="MZI232" s="16"/>
      <c r="MZJ232" s="16"/>
      <c r="MZK232" s="16"/>
      <c r="MZL232" s="16"/>
      <c r="MZM232" s="16"/>
      <c r="MZN232" s="15"/>
      <c r="MZO232" s="15"/>
      <c r="MZP232" s="10"/>
      <c r="MZQ232" s="10"/>
      <c r="MZR232" s="19"/>
      <c r="MZS232" s="19"/>
      <c r="MZV232" s="16"/>
      <c r="MZW232" s="15"/>
      <c r="MZX232" s="15"/>
      <c r="MZY232" s="15"/>
      <c r="MZZ232" s="16"/>
      <c r="NAA232" s="16"/>
      <c r="NAB232" s="16"/>
      <c r="NAC232" s="16"/>
      <c r="NAD232" s="16"/>
      <c r="NAE232" s="15"/>
      <c r="NAF232" s="15"/>
      <c r="NAG232" s="10"/>
      <c r="NAH232" s="10"/>
      <c r="NAI232" s="19"/>
      <c r="NAJ232" s="19"/>
      <c r="NAM232" s="16"/>
      <c r="NAN232" s="15"/>
      <c r="NAO232" s="15"/>
      <c r="NAP232" s="15"/>
      <c r="NAQ232" s="16"/>
      <c r="NAR232" s="16"/>
      <c r="NAS232" s="16"/>
      <c r="NAT232" s="16"/>
      <c r="NAU232" s="16"/>
      <c r="NAV232" s="15"/>
      <c r="NAW232" s="15"/>
      <c r="NAX232" s="10"/>
      <c r="NAY232" s="10"/>
      <c r="NAZ232" s="19"/>
      <c r="NBA232" s="19"/>
      <c r="NBD232" s="16"/>
      <c r="NBE232" s="15"/>
      <c r="NBF232" s="15"/>
      <c r="NBG232" s="15"/>
      <c r="NBH232" s="16"/>
      <c r="NBI232" s="16"/>
      <c r="NBJ232" s="16"/>
      <c r="NBK232" s="16"/>
      <c r="NBL232" s="16"/>
      <c r="NBM232" s="15"/>
      <c r="NBN232" s="15"/>
      <c r="NBO232" s="10"/>
      <c r="NBP232" s="10"/>
      <c r="NBQ232" s="19"/>
      <c r="NBR232" s="19"/>
      <c r="NBU232" s="16"/>
      <c r="NBV232" s="15"/>
      <c r="NBW232" s="15"/>
      <c r="NBX232" s="15"/>
      <c r="NBY232" s="16"/>
      <c r="NBZ232" s="16"/>
      <c r="NCA232" s="16"/>
      <c r="NCB232" s="16"/>
      <c r="NCC232" s="16"/>
      <c r="NCD232" s="15"/>
      <c r="NCE232" s="15"/>
      <c r="NCF232" s="10"/>
      <c r="NCG232" s="10"/>
      <c r="NCH232" s="19"/>
      <c r="NCI232" s="19"/>
      <c r="NCL232" s="16"/>
      <c r="NCM232" s="15"/>
      <c r="NCN232" s="15"/>
      <c r="NCO232" s="15"/>
      <c r="NCP232" s="16"/>
      <c r="NCQ232" s="16"/>
      <c r="NCR232" s="16"/>
      <c r="NCS232" s="16"/>
      <c r="NCT232" s="16"/>
      <c r="NCU232" s="15"/>
      <c r="NCV232" s="15"/>
      <c r="NCW232" s="10"/>
      <c r="NCX232" s="10"/>
      <c r="NCY232" s="19"/>
      <c r="NCZ232" s="19"/>
      <c r="NDC232" s="16"/>
      <c r="NDD232" s="15"/>
      <c r="NDE232" s="15"/>
      <c r="NDF232" s="15"/>
      <c r="NDG232" s="16"/>
      <c r="NDH232" s="16"/>
      <c r="NDI232" s="16"/>
      <c r="NDJ232" s="16"/>
      <c r="NDK232" s="16"/>
      <c r="NDL232" s="15"/>
      <c r="NDM232" s="15"/>
      <c r="NDN232" s="10"/>
      <c r="NDO232" s="10"/>
      <c r="NDP232" s="19"/>
      <c r="NDQ232" s="19"/>
      <c r="NDT232" s="16"/>
      <c r="NDU232" s="15"/>
      <c r="NDV232" s="15"/>
      <c r="NDW232" s="15"/>
      <c r="NDX232" s="16"/>
      <c r="NDY232" s="16"/>
      <c r="NDZ232" s="16"/>
      <c r="NEA232" s="16"/>
      <c r="NEB232" s="16"/>
      <c r="NEC232" s="15"/>
      <c r="NED232" s="15"/>
      <c r="NEE232" s="10"/>
      <c r="NEF232" s="10"/>
      <c r="NEG232" s="19"/>
      <c r="NEH232" s="19"/>
      <c r="NEK232" s="16"/>
      <c r="NEL232" s="15"/>
      <c r="NEM232" s="15"/>
      <c r="NEN232" s="15"/>
      <c r="NEO232" s="16"/>
      <c r="NEP232" s="16"/>
      <c r="NEQ232" s="16"/>
      <c r="NER232" s="16"/>
      <c r="NES232" s="16"/>
      <c r="NET232" s="15"/>
      <c r="NEU232" s="15"/>
      <c r="NEV232" s="10"/>
      <c r="NEW232" s="10"/>
      <c r="NEX232" s="19"/>
      <c r="NEY232" s="19"/>
      <c r="NFB232" s="16"/>
      <c r="NFC232" s="15"/>
      <c r="NFD232" s="15"/>
      <c r="NFE232" s="15"/>
      <c r="NFF232" s="16"/>
      <c r="NFG232" s="16"/>
      <c r="NFH232" s="16"/>
      <c r="NFI232" s="16"/>
      <c r="NFJ232" s="16"/>
      <c r="NFK232" s="15"/>
      <c r="NFL232" s="15"/>
      <c r="NFM232" s="10"/>
      <c r="NFN232" s="10"/>
      <c r="NFO232" s="19"/>
      <c r="NFP232" s="19"/>
      <c r="NFS232" s="16"/>
      <c r="NFT232" s="15"/>
      <c r="NFU232" s="15"/>
      <c r="NFV232" s="15"/>
      <c r="NFW232" s="16"/>
      <c r="NFX232" s="16"/>
      <c r="NFY232" s="16"/>
      <c r="NFZ232" s="16"/>
      <c r="NGA232" s="16"/>
      <c r="NGB232" s="15"/>
      <c r="NGC232" s="15"/>
      <c r="NGD232" s="10"/>
      <c r="NGE232" s="10"/>
      <c r="NGF232" s="19"/>
      <c r="NGG232" s="19"/>
      <c r="NGJ232" s="16"/>
      <c r="NGK232" s="15"/>
      <c r="NGL232" s="15"/>
      <c r="NGM232" s="15"/>
      <c r="NGN232" s="16"/>
      <c r="NGO232" s="16"/>
      <c r="NGP232" s="16"/>
      <c r="NGQ232" s="16"/>
      <c r="NGR232" s="16"/>
      <c r="NGS232" s="15"/>
      <c r="NGT232" s="15"/>
      <c r="NGU232" s="10"/>
      <c r="NGV232" s="10"/>
      <c r="NGW232" s="19"/>
      <c r="NGX232" s="19"/>
      <c r="NHA232" s="16"/>
      <c r="NHB232" s="15"/>
      <c r="NHC232" s="15"/>
      <c r="NHD232" s="15"/>
      <c r="NHE232" s="16"/>
      <c r="NHF232" s="16"/>
      <c r="NHG232" s="16"/>
      <c r="NHH232" s="16"/>
      <c r="NHI232" s="16"/>
      <c r="NHJ232" s="15"/>
      <c r="NHK232" s="15"/>
      <c r="NHL232" s="10"/>
      <c r="NHM232" s="10"/>
      <c r="NHN232" s="19"/>
      <c r="NHO232" s="19"/>
      <c r="NHR232" s="16"/>
      <c r="NHS232" s="15"/>
      <c r="NHT232" s="15"/>
      <c r="NHU232" s="15"/>
      <c r="NHV232" s="16"/>
      <c r="NHW232" s="16"/>
      <c r="NHX232" s="16"/>
      <c r="NHY232" s="16"/>
      <c r="NHZ232" s="16"/>
      <c r="NIA232" s="15"/>
      <c r="NIB232" s="15"/>
      <c r="NIC232" s="10"/>
      <c r="NID232" s="10"/>
      <c r="NIE232" s="19"/>
      <c r="NIF232" s="19"/>
      <c r="NII232" s="16"/>
      <c r="NIJ232" s="15"/>
      <c r="NIK232" s="15"/>
      <c r="NIL232" s="15"/>
      <c r="NIM232" s="16"/>
      <c r="NIN232" s="16"/>
      <c r="NIO232" s="16"/>
      <c r="NIP232" s="16"/>
      <c r="NIQ232" s="16"/>
      <c r="NIR232" s="15"/>
      <c r="NIS232" s="15"/>
      <c r="NIT232" s="10"/>
      <c r="NIU232" s="10"/>
      <c r="NIV232" s="19"/>
      <c r="NIW232" s="19"/>
      <c r="NIZ232" s="16"/>
      <c r="NJA232" s="15"/>
      <c r="NJB232" s="15"/>
      <c r="NJC232" s="15"/>
      <c r="NJD232" s="16"/>
      <c r="NJE232" s="16"/>
      <c r="NJF232" s="16"/>
      <c r="NJG232" s="16"/>
      <c r="NJH232" s="16"/>
      <c r="NJI232" s="15"/>
      <c r="NJJ232" s="15"/>
      <c r="NJK232" s="10"/>
      <c r="NJL232" s="10"/>
      <c r="NJM232" s="19"/>
      <c r="NJN232" s="19"/>
      <c r="NJQ232" s="16"/>
      <c r="NJR232" s="15"/>
      <c r="NJS232" s="15"/>
      <c r="NJT232" s="15"/>
      <c r="NJU232" s="16"/>
      <c r="NJV232" s="16"/>
      <c r="NJW232" s="16"/>
      <c r="NJX232" s="16"/>
      <c r="NJY232" s="16"/>
      <c r="NJZ232" s="15"/>
      <c r="NKA232" s="15"/>
      <c r="NKB232" s="10"/>
      <c r="NKC232" s="10"/>
      <c r="NKD232" s="19"/>
      <c r="NKE232" s="19"/>
      <c r="NKH232" s="16"/>
      <c r="NKI232" s="15"/>
      <c r="NKJ232" s="15"/>
      <c r="NKK232" s="15"/>
      <c r="NKL232" s="16"/>
      <c r="NKM232" s="16"/>
      <c r="NKN232" s="16"/>
      <c r="NKO232" s="16"/>
      <c r="NKP232" s="16"/>
      <c r="NKQ232" s="15"/>
      <c r="NKR232" s="15"/>
      <c r="NKS232" s="10"/>
      <c r="NKT232" s="10"/>
      <c r="NKU232" s="19"/>
      <c r="NKV232" s="19"/>
      <c r="NKY232" s="16"/>
      <c r="NKZ232" s="15"/>
      <c r="NLA232" s="15"/>
      <c r="NLB232" s="15"/>
      <c r="NLC232" s="16"/>
      <c r="NLD232" s="16"/>
      <c r="NLE232" s="16"/>
      <c r="NLF232" s="16"/>
      <c r="NLG232" s="16"/>
      <c r="NLH232" s="15"/>
      <c r="NLI232" s="15"/>
      <c r="NLJ232" s="10"/>
      <c r="NLK232" s="10"/>
      <c r="NLL232" s="19"/>
      <c r="NLM232" s="19"/>
      <c r="NLP232" s="16"/>
      <c r="NLQ232" s="15"/>
      <c r="NLR232" s="15"/>
      <c r="NLS232" s="15"/>
      <c r="NLT232" s="16"/>
      <c r="NLU232" s="16"/>
      <c r="NLV232" s="16"/>
      <c r="NLW232" s="16"/>
      <c r="NLX232" s="16"/>
      <c r="NLY232" s="15"/>
      <c r="NLZ232" s="15"/>
      <c r="NMA232" s="10"/>
      <c r="NMB232" s="10"/>
      <c r="NMC232" s="19"/>
      <c r="NMD232" s="19"/>
      <c r="NMG232" s="16"/>
      <c r="NMH232" s="15"/>
      <c r="NMI232" s="15"/>
      <c r="NMJ232" s="15"/>
      <c r="NMK232" s="16"/>
      <c r="NML232" s="16"/>
      <c r="NMM232" s="16"/>
      <c r="NMN232" s="16"/>
      <c r="NMO232" s="16"/>
      <c r="NMP232" s="15"/>
      <c r="NMQ232" s="15"/>
      <c r="NMR232" s="10"/>
      <c r="NMS232" s="10"/>
      <c r="NMT232" s="19"/>
      <c r="NMU232" s="19"/>
      <c r="NMX232" s="16"/>
      <c r="NMY232" s="15"/>
      <c r="NMZ232" s="15"/>
      <c r="NNA232" s="15"/>
      <c r="NNB232" s="16"/>
      <c r="NNC232" s="16"/>
      <c r="NND232" s="16"/>
      <c r="NNE232" s="16"/>
      <c r="NNF232" s="16"/>
      <c r="NNG232" s="15"/>
      <c r="NNH232" s="15"/>
      <c r="NNI232" s="10"/>
      <c r="NNJ232" s="10"/>
      <c r="NNK232" s="19"/>
      <c r="NNL232" s="19"/>
      <c r="NNO232" s="16"/>
      <c r="NNP232" s="15"/>
      <c r="NNQ232" s="15"/>
      <c r="NNR232" s="15"/>
      <c r="NNS232" s="16"/>
      <c r="NNT232" s="16"/>
      <c r="NNU232" s="16"/>
      <c r="NNV232" s="16"/>
      <c r="NNW232" s="16"/>
      <c r="NNX232" s="15"/>
      <c r="NNY232" s="15"/>
      <c r="NNZ232" s="10"/>
      <c r="NOA232" s="10"/>
      <c r="NOB232" s="19"/>
      <c r="NOC232" s="19"/>
      <c r="NOF232" s="16"/>
      <c r="NOG232" s="15"/>
      <c r="NOH232" s="15"/>
      <c r="NOI232" s="15"/>
      <c r="NOJ232" s="16"/>
      <c r="NOK232" s="16"/>
      <c r="NOL232" s="16"/>
      <c r="NOM232" s="16"/>
      <c r="NON232" s="16"/>
      <c r="NOO232" s="15"/>
      <c r="NOP232" s="15"/>
      <c r="NOQ232" s="10"/>
      <c r="NOR232" s="10"/>
      <c r="NOS232" s="19"/>
      <c r="NOT232" s="19"/>
      <c r="NOW232" s="16"/>
      <c r="NOX232" s="15"/>
      <c r="NOY232" s="15"/>
      <c r="NOZ232" s="15"/>
      <c r="NPA232" s="16"/>
      <c r="NPB232" s="16"/>
      <c r="NPC232" s="16"/>
      <c r="NPD232" s="16"/>
      <c r="NPE232" s="16"/>
      <c r="NPF232" s="15"/>
      <c r="NPG232" s="15"/>
      <c r="NPH232" s="10"/>
      <c r="NPI232" s="10"/>
      <c r="NPJ232" s="19"/>
      <c r="NPK232" s="19"/>
      <c r="NPN232" s="16"/>
      <c r="NPO232" s="15"/>
      <c r="NPP232" s="15"/>
      <c r="NPQ232" s="15"/>
      <c r="NPR232" s="16"/>
      <c r="NPS232" s="16"/>
      <c r="NPT232" s="16"/>
      <c r="NPU232" s="16"/>
      <c r="NPV232" s="16"/>
      <c r="NPW232" s="15"/>
      <c r="NPX232" s="15"/>
      <c r="NPY232" s="10"/>
      <c r="NPZ232" s="10"/>
      <c r="NQA232" s="19"/>
      <c r="NQB232" s="19"/>
      <c r="NQE232" s="16"/>
      <c r="NQF232" s="15"/>
      <c r="NQG232" s="15"/>
      <c r="NQH232" s="15"/>
      <c r="NQI232" s="16"/>
      <c r="NQJ232" s="16"/>
      <c r="NQK232" s="16"/>
      <c r="NQL232" s="16"/>
      <c r="NQM232" s="16"/>
      <c r="NQN232" s="15"/>
      <c r="NQO232" s="15"/>
      <c r="NQP232" s="10"/>
      <c r="NQQ232" s="10"/>
      <c r="NQR232" s="19"/>
      <c r="NQS232" s="19"/>
      <c r="NQV232" s="16"/>
      <c r="NQW232" s="15"/>
      <c r="NQX232" s="15"/>
      <c r="NQY232" s="15"/>
      <c r="NQZ232" s="16"/>
      <c r="NRA232" s="16"/>
      <c r="NRB232" s="16"/>
      <c r="NRC232" s="16"/>
      <c r="NRD232" s="16"/>
      <c r="NRE232" s="15"/>
      <c r="NRF232" s="15"/>
      <c r="NRG232" s="10"/>
      <c r="NRH232" s="10"/>
      <c r="NRI232" s="19"/>
      <c r="NRJ232" s="19"/>
      <c r="NRM232" s="16"/>
      <c r="NRN232" s="15"/>
      <c r="NRO232" s="15"/>
      <c r="NRP232" s="15"/>
      <c r="NRQ232" s="16"/>
      <c r="NRR232" s="16"/>
      <c r="NRS232" s="16"/>
      <c r="NRT232" s="16"/>
      <c r="NRU232" s="16"/>
      <c r="NRV232" s="15"/>
      <c r="NRW232" s="15"/>
      <c r="NRX232" s="10"/>
      <c r="NRY232" s="10"/>
      <c r="NRZ232" s="19"/>
      <c r="NSA232" s="19"/>
      <c r="NSD232" s="16"/>
      <c r="NSE232" s="15"/>
      <c r="NSF232" s="15"/>
      <c r="NSG232" s="15"/>
      <c r="NSH232" s="16"/>
      <c r="NSI232" s="16"/>
      <c r="NSJ232" s="16"/>
      <c r="NSK232" s="16"/>
      <c r="NSL232" s="16"/>
      <c r="NSM232" s="15"/>
      <c r="NSN232" s="15"/>
      <c r="NSO232" s="10"/>
      <c r="NSP232" s="10"/>
      <c r="NSQ232" s="19"/>
      <c r="NSR232" s="19"/>
      <c r="NSU232" s="16"/>
      <c r="NSV232" s="15"/>
      <c r="NSW232" s="15"/>
      <c r="NSX232" s="15"/>
      <c r="NSY232" s="16"/>
      <c r="NSZ232" s="16"/>
      <c r="NTA232" s="16"/>
      <c r="NTB232" s="16"/>
      <c r="NTC232" s="16"/>
      <c r="NTD232" s="15"/>
      <c r="NTE232" s="15"/>
      <c r="NTF232" s="10"/>
      <c r="NTG232" s="10"/>
      <c r="NTH232" s="19"/>
      <c r="NTI232" s="19"/>
      <c r="NTL232" s="16"/>
      <c r="NTM232" s="15"/>
      <c r="NTN232" s="15"/>
      <c r="NTO232" s="15"/>
      <c r="NTP232" s="16"/>
      <c r="NTQ232" s="16"/>
      <c r="NTR232" s="16"/>
      <c r="NTS232" s="16"/>
      <c r="NTT232" s="16"/>
      <c r="NTU232" s="15"/>
      <c r="NTV232" s="15"/>
      <c r="NTW232" s="10"/>
      <c r="NTX232" s="10"/>
      <c r="NTY232" s="19"/>
      <c r="NTZ232" s="19"/>
      <c r="NUC232" s="16"/>
      <c r="NUD232" s="15"/>
      <c r="NUE232" s="15"/>
      <c r="NUF232" s="15"/>
      <c r="NUG232" s="16"/>
      <c r="NUH232" s="16"/>
      <c r="NUI232" s="16"/>
      <c r="NUJ232" s="16"/>
      <c r="NUK232" s="16"/>
      <c r="NUL232" s="15"/>
      <c r="NUM232" s="15"/>
      <c r="NUN232" s="10"/>
      <c r="NUO232" s="10"/>
      <c r="NUP232" s="19"/>
      <c r="NUQ232" s="19"/>
      <c r="NUT232" s="16"/>
      <c r="NUU232" s="15"/>
      <c r="NUV232" s="15"/>
      <c r="NUW232" s="15"/>
      <c r="NUX232" s="16"/>
      <c r="NUY232" s="16"/>
      <c r="NUZ232" s="16"/>
      <c r="NVA232" s="16"/>
      <c r="NVB232" s="16"/>
      <c r="NVC232" s="15"/>
      <c r="NVD232" s="15"/>
      <c r="NVE232" s="10"/>
      <c r="NVF232" s="10"/>
      <c r="NVG232" s="19"/>
      <c r="NVH232" s="19"/>
      <c r="NVK232" s="16"/>
      <c r="NVL232" s="15"/>
      <c r="NVM232" s="15"/>
      <c r="NVN232" s="15"/>
      <c r="NVO232" s="16"/>
      <c r="NVP232" s="16"/>
      <c r="NVQ232" s="16"/>
      <c r="NVR232" s="16"/>
      <c r="NVS232" s="16"/>
      <c r="NVT232" s="15"/>
      <c r="NVU232" s="15"/>
      <c r="NVV232" s="10"/>
      <c r="NVW232" s="10"/>
      <c r="NVX232" s="19"/>
      <c r="NVY232" s="19"/>
      <c r="NWB232" s="16"/>
      <c r="NWC232" s="15"/>
      <c r="NWD232" s="15"/>
      <c r="NWE232" s="15"/>
      <c r="NWF232" s="16"/>
      <c r="NWG232" s="16"/>
      <c r="NWH232" s="16"/>
      <c r="NWI232" s="16"/>
      <c r="NWJ232" s="16"/>
      <c r="NWK232" s="15"/>
      <c r="NWL232" s="15"/>
      <c r="NWM232" s="10"/>
      <c r="NWN232" s="10"/>
      <c r="NWO232" s="19"/>
      <c r="NWP232" s="19"/>
      <c r="NWS232" s="16"/>
      <c r="NWT232" s="15"/>
      <c r="NWU232" s="15"/>
      <c r="NWV232" s="15"/>
      <c r="NWW232" s="16"/>
      <c r="NWX232" s="16"/>
      <c r="NWY232" s="16"/>
      <c r="NWZ232" s="16"/>
      <c r="NXA232" s="16"/>
      <c r="NXB232" s="15"/>
      <c r="NXC232" s="15"/>
      <c r="NXD232" s="10"/>
      <c r="NXE232" s="10"/>
      <c r="NXF232" s="19"/>
      <c r="NXG232" s="19"/>
      <c r="NXJ232" s="16"/>
      <c r="NXK232" s="15"/>
      <c r="NXL232" s="15"/>
      <c r="NXM232" s="15"/>
      <c r="NXN232" s="16"/>
      <c r="NXO232" s="16"/>
      <c r="NXP232" s="16"/>
      <c r="NXQ232" s="16"/>
      <c r="NXR232" s="16"/>
      <c r="NXS232" s="15"/>
      <c r="NXT232" s="15"/>
      <c r="NXU232" s="10"/>
      <c r="NXV232" s="10"/>
      <c r="NXW232" s="19"/>
      <c r="NXX232" s="19"/>
      <c r="NYA232" s="16"/>
      <c r="NYB232" s="15"/>
      <c r="NYC232" s="15"/>
      <c r="NYD232" s="15"/>
      <c r="NYE232" s="16"/>
      <c r="NYF232" s="16"/>
      <c r="NYG232" s="16"/>
      <c r="NYH232" s="16"/>
      <c r="NYI232" s="16"/>
      <c r="NYJ232" s="15"/>
      <c r="NYK232" s="15"/>
      <c r="NYL232" s="10"/>
      <c r="NYM232" s="10"/>
      <c r="NYN232" s="19"/>
      <c r="NYO232" s="19"/>
      <c r="NYR232" s="16"/>
      <c r="NYS232" s="15"/>
      <c r="NYT232" s="15"/>
      <c r="NYU232" s="15"/>
      <c r="NYV232" s="16"/>
      <c r="NYW232" s="16"/>
      <c r="NYX232" s="16"/>
      <c r="NYY232" s="16"/>
      <c r="NYZ232" s="16"/>
      <c r="NZA232" s="15"/>
      <c r="NZB232" s="15"/>
      <c r="NZC232" s="10"/>
      <c r="NZD232" s="10"/>
      <c r="NZE232" s="19"/>
      <c r="NZF232" s="19"/>
      <c r="NZI232" s="16"/>
      <c r="NZJ232" s="15"/>
      <c r="NZK232" s="15"/>
      <c r="NZL232" s="15"/>
      <c r="NZM232" s="16"/>
      <c r="NZN232" s="16"/>
      <c r="NZO232" s="16"/>
      <c r="NZP232" s="16"/>
      <c r="NZQ232" s="16"/>
      <c r="NZR232" s="15"/>
      <c r="NZS232" s="15"/>
      <c r="NZT232" s="10"/>
      <c r="NZU232" s="10"/>
      <c r="NZV232" s="19"/>
      <c r="NZW232" s="19"/>
      <c r="NZZ232" s="16"/>
      <c r="OAA232" s="15"/>
      <c r="OAB232" s="15"/>
      <c r="OAC232" s="15"/>
      <c r="OAD232" s="16"/>
      <c r="OAE232" s="16"/>
      <c r="OAF232" s="16"/>
      <c r="OAG232" s="16"/>
      <c r="OAH232" s="16"/>
      <c r="OAI232" s="15"/>
      <c r="OAJ232" s="15"/>
      <c r="OAK232" s="10"/>
      <c r="OAL232" s="10"/>
      <c r="OAM232" s="19"/>
      <c r="OAN232" s="19"/>
      <c r="OAQ232" s="16"/>
      <c r="OAR232" s="15"/>
      <c r="OAS232" s="15"/>
      <c r="OAT232" s="15"/>
      <c r="OAU232" s="16"/>
      <c r="OAV232" s="16"/>
      <c r="OAW232" s="16"/>
      <c r="OAX232" s="16"/>
      <c r="OAY232" s="16"/>
      <c r="OAZ232" s="15"/>
      <c r="OBA232" s="15"/>
      <c r="OBB232" s="10"/>
      <c r="OBC232" s="10"/>
      <c r="OBD232" s="19"/>
      <c r="OBE232" s="19"/>
      <c r="OBH232" s="16"/>
      <c r="OBI232" s="15"/>
      <c r="OBJ232" s="15"/>
      <c r="OBK232" s="15"/>
      <c r="OBL232" s="16"/>
      <c r="OBM232" s="16"/>
      <c r="OBN232" s="16"/>
      <c r="OBO232" s="16"/>
      <c r="OBP232" s="16"/>
      <c r="OBQ232" s="15"/>
      <c r="OBR232" s="15"/>
      <c r="OBS232" s="10"/>
      <c r="OBT232" s="10"/>
      <c r="OBU232" s="19"/>
      <c r="OBV232" s="19"/>
      <c r="OBY232" s="16"/>
      <c r="OBZ232" s="15"/>
      <c r="OCA232" s="15"/>
      <c r="OCB232" s="15"/>
      <c r="OCC232" s="16"/>
      <c r="OCD232" s="16"/>
      <c r="OCE232" s="16"/>
      <c r="OCF232" s="16"/>
      <c r="OCG232" s="16"/>
      <c r="OCH232" s="15"/>
      <c r="OCI232" s="15"/>
      <c r="OCJ232" s="10"/>
      <c r="OCK232" s="10"/>
      <c r="OCL232" s="19"/>
      <c r="OCM232" s="19"/>
      <c r="OCP232" s="16"/>
      <c r="OCQ232" s="15"/>
      <c r="OCR232" s="15"/>
      <c r="OCS232" s="15"/>
      <c r="OCT232" s="16"/>
      <c r="OCU232" s="16"/>
      <c r="OCV232" s="16"/>
      <c r="OCW232" s="16"/>
      <c r="OCX232" s="16"/>
      <c r="OCY232" s="15"/>
      <c r="OCZ232" s="15"/>
      <c r="ODA232" s="10"/>
      <c r="ODB232" s="10"/>
      <c r="ODC232" s="19"/>
      <c r="ODD232" s="19"/>
      <c r="ODG232" s="16"/>
      <c r="ODH232" s="15"/>
      <c r="ODI232" s="15"/>
      <c r="ODJ232" s="15"/>
      <c r="ODK232" s="16"/>
      <c r="ODL232" s="16"/>
      <c r="ODM232" s="16"/>
      <c r="ODN232" s="16"/>
      <c r="ODO232" s="16"/>
      <c r="ODP232" s="15"/>
      <c r="ODQ232" s="15"/>
      <c r="ODR232" s="10"/>
      <c r="ODS232" s="10"/>
      <c r="ODT232" s="19"/>
      <c r="ODU232" s="19"/>
      <c r="ODX232" s="16"/>
      <c r="ODY232" s="15"/>
      <c r="ODZ232" s="15"/>
      <c r="OEA232" s="15"/>
      <c r="OEB232" s="16"/>
      <c r="OEC232" s="16"/>
      <c r="OED232" s="16"/>
      <c r="OEE232" s="16"/>
      <c r="OEF232" s="16"/>
      <c r="OEG232" s="15"/>
      <c r="OEH232" s="15"/>
      <c r="OEI232" s="10"/>
      <c r="OEJ232" s="10"/>
      <c r="OEK232" s="19"/>
      <c r="OEL232" s="19"/>
      <c r="OEO232" s="16"/>
      <c r="OEP232" s="15"/>
      <c r="OEQ232" s="15"/>
      <c r="OER232" s="15"/>
      <c r="OES232" s="16"/>
      <c r="OET232" s="16"/>
      <c r="OEU232" s="16"/>
      <c r="OEV232" s="16"/>
      <c r="OEW232" s="16"/>
      <c r="OEX232" s="15"/>
      <c r="OEY232" s="15"/>
      <c r="OEZ232" s="10"/>
      <c r="OFA232" s="10"/>
      <c r="OFB232" s="19"/>
      <c r="OFC232" s="19"/>
      <c r="OFF232" s="16"/>
      <c r="OFG232" s="15"/>
      <c r="OFH232" s="15"/>
      <c r="OFI232" s="15"/>
      <c r="OFJ232" s="16"/>
      <c r="OFK232" s="16"/>
      <c r="OFL232" s="16"/>
      <c r="OFM232" s="16"/>
      <c r="OFN232" s="16"/>
      <c r="OFO232" s="15"/>
      <c r="OFP232" s="15"/>
      <c r="OFQ232" s="10"/>
      <c r="OFR232" s="10"/>
      <c r="OFS232" s="19"/>
      <c r="OFT232" s="19"/>
      <c r="OFW232" s="16"/>
      <c r="OFX232" s="15"/>
      <c r="OFY232" s="15"/>
      <c r="OFZ232" s="15"/>
      <c r="OGA232" s="16"/>
      <c r="OGB232" s="16"/>
      <c r="OGC232" s="16"/>
      <c r="OGD232" s="16"/>
      <c r="OGE232" s="16"/>
      <c r="OGF232" s="15"/>
      <c r="OGG232" s="15"/>
      <c r="OGH232" s="10"/>
      <c r="OGI232" s="10"/>
      <c r="OGJ232" s="19"/>
      <c r="OGK232" s="19"/>
      <c r="OGN232" s="16"/>
      <c r="OGO232" s="15"/>
      <c r="OGP232" s="15"/>
      <c r="OGQ232" s="15"/>
      <c r="OGR232" s="16"/>
      <c r="OGS232" s="16"/>
      <c r="OGT232" s="16"/>
      <c r="OGU232" s="16"/>
      <c r="OGV232" s="16"/>
      <c r="OGW232" s="15"/>
      <c r="OGX232" s="15"/>
      <c r="OGY232" s="10"/>
      <c r="OGZ232" s="10"/>
      <c r="OHA232" s="19"/>
      <c r="OHB232" s="19"/>
      <c r="OHE232" s="16"/>
      <c r="OHF232" s="15"/>
      <c r="OHG232" s="15"/>
      <c r="OHH232" s="15"/>
      <c r="OHI232" s="16"/>
      <c r="OHJ232" s="16"/>
      <c r="OHK232" s="16"/>
      <c r="OHL232" s="16"/>
      <c r="OHM232" s="16"/>
      <c r="OHN232" s="15"/>
      <c r="OHO232" s="15"/>
      <c r="OHP232" s="10"/>
      <c r="OHQ232" s="10"/>
      <c r="OHR232" s="19"/>
      <c r="OHS232" s="19"/>
      <c r="OHV232" s="16"/>
      <c r="OHW232" s="15"/>
      <c r="OHX232" s="15"/>
      <c r="OHY232" s="15"/>
      <c r="OHZ232" s="16"/>
      <c r="OIA232" s="16"/>
      <c r="OIB232" s="16"/>
      <c r="OIC232" s="16"/>
      <c r="OID232" s="16"/>
      <c r="OIE232" s="15"/>
      <c r="OIF232" s="15"/>
      <c r="OIG232" s="10"/>
      <c r="OIH232" s="10"/>
      <c r="OII232" s="19"/>
      <c r="OIJ232" s="19"/>
      <c r="OIM232" s="16"/>
      <c r="OIN232" s="15"/>
      <c r="OIO232" s="15"/>
      <c r="OIP232" s="15"/>
      <c r="OIQ232" s="16"/>
      <c r="OIR232" s="16"/>
      <c r="OIS232" s="16"/>
      <c r="OIT232" s="16"/>
      <c r="OIU232" s="16"/>
      <c r="OIV232" s="15"/>
      <c r="OIW232" s="15"/>
      <c r="OIX232" s="10"/>
      <c r="OIY232" s="10"/>
      <c r="OIZ232" s="19"/>
      <c r="OJA232" s="19"/>
      <c r="OJD232" s="16"/>
      <c r="OJE232" s="15"/>
      <c r="OJF232" s="15"/>
      <c r="OJG232" s="15"/>
      <c r="OJH232" s="16"/>
      <c r="OJI232" s="16"/>
      <c r="OJJ232" s="16"/>
      <c r="OJK232" s="16"/>
      <c r="OJL232" s="16"/>
      <c r="OJM232" s="15"/>
      <c r="OJN232" s="15"/>
      <c r="OJO232" s="10"/>
      <c r="OJP232" s="10"/>
      <c r="OJQ232" s="19"/>
      <c r="OJR232" s="19"/>
      <c r="OJU232" s="16"/>
      <c r="OJV232" s="15"/>
      <c r="OJW232" s="15"/>
      <c r="OJX232" s="15"/>
      <c r="OJY232" s="16"/>
      <c r="OJZ232" s="16"/>
      <c r="OKA232" s="16"/>
      <c r="OKB232" s="16"/>
      <c r="OKC232" s="16"/>
      <c r="OKD232" s="15"/>
      <c r="OKE232" s="15"/>
      <c r="OKF232" s="10"/>
      <c r="OKG232" s="10"/>
      <c r="OKH232" s="19"/>
      <c r="OKI232" s="19"/>
      <c r="OKL232" s="16"/>
      <c r="OKM232" s="15"/>
      <c r="OKN232" s="15"/>
      <c r="OKO232" s="15"/>
      <c r="OKP232" s="16"/>
      <c r="OKQ232" s="16"/>
      <c r="OKR232" s="16"/>
      <c r="OKS232" s="16"/>
      <c r="OKT232" s="16"/>
      <c r="OKU232" s="15"/>
      <c r="OKV232" s="15"/>
      <c r="OKW232" s="10"/>
      <c r="OKX232" s="10"/>
      <c r="OKY232" s="19"/>
      <c r="OKZ232" s="19"/>
      <c r="OLC232" s="16"/>
      <c r="OLD232" s="15"/>
      <c r="OLE232" s="15"/>
      <c r="OLF232" s="15"/>
      <c r="OLG232" s="16"/>
      <c r="OLH232" s="16"/>
      <c r="OLI232" s="16"/>
      <c r="OLJ232" s="16"/>
      <c r="OLK232" s="16"/>
      <c r="OLL232" s="15"/>
      <c r="OLM232" s="15"/>
      <c r="OLN232" s="10"/>
      <c r="OLO232" s="10"/>
      <c r="OLP232" s="19"/>
      <c r="OLQ232" s="19"/>
      <c r="OLT232" s="16"/>
      <c r="OLU232" s="15"/>
      <c r="OLV232" s="15"/>
      <c r="OLW232" s="15"/>
      <c r="OLX232" s="16"/>
      <c r="OLY232" s="16"/>
      <c r="OLZ232" s="16"/>
      <c r="OMA232" s="16"/>
      <c r="OMB232" s="16"/>
      <c r="OMC232" s="15"/>
      <c r="OMD232" s="15"/>
      <c r="OME232" s="10"/>
      <c r="OMF232" s="10"/>
      <c r="OMG232" s="19"/>
      <c r="OMH232" s="19"/>
      <c r="OMK232" s="16"/>
      <c r="OML232" s="15"/>
      <c r="OMM232" s="15"/>
      <c r="OMN232" s="15"/>
      <c r="OMO232" s="16"/>
      <c r="OMP232" s="16"/>
      <c r="OMQ232" s="16"/>
      <c r="OMR232" s="16"/>
      <c r="OMS232" s="16"/>
      <c r="OMT232" s="15"/>
      <c r="OMU232" s="15"/>
      <c r="OMV232" s="10"/>
      <c r="OMW232" s="10"/>
      <c r="OMX232" s="19"/>
      <c r="OMY232" s="19"/>
      <c r="ONB232" s="16"/>
      <c r="ONC232" s="15"/>
      <c r="OND232" s="15"/>
      <c r="ONE232" s="15"/>
      <c r="ONF232" s="16"/>
      <c r="ONG232" s="16"/>
      <c r="ONH232" s="16"/>
      <c r="ONI232" s="16"/>
      <c r="ONJ232" s="16"/>
      <c r="ONK232" s="15"/>
      <c r="ONL232" s="15"/>
      <c r="ONM232" s="10"/>
      <c r="ONN232" s="10"/>
      <c r="ONO232" s="19"/>
      <c r="ONP232" s="19"/>
      <c r="ONS232" s="16"/>
      <c r="ONT232" s="15"/>
      <c r="ONU232" s="15"/>
      <c r="ONV232" s="15"/>
      <c r="ONW232" s="16"/>
      <c r="ONX232" s="16"/>
      <c r="ONY232" s="16"/>
      <c r="ONZ232" s="16"/>
      <c r="OOA232" s="16"/>
      <c r="OOB232" s="15"/>
      <c r="OOC232" s="15"/>
      <c r="OOD232" s="10"/>
      <c r="OOE232" s="10"/>
      <c r="OOF232" s="19"/>
      <c r="OOG232" s="19"/>
      <c r="OOJ232" s="16"/>
      <c r="OOK232" s="15"/>
      <c r="OOL232" s="15"/>
      <c r="OOM232" s="15"/>
      <c r="OON232" s="16"/>
      <c r="OOO232" s="16"/>
      <c r="OOP232" s="16"/>
      <c r="OOQ232" s="16"/>
      <c r="OOR232" s="16"/>
      <c r="OOS232" s="15"/>
      <c r="OOT232" s="15"/>
      <c r="OOU232" s="10"/>
      <c r="OOV232" s="10"/>
      <c r="OOW232" s="19"/>
      <c r="OOX232" s="19"/>
      <c r="OPA232" s="16"/>
      <c r="OPB232" s="15"/>
      <c r="OPC232" s="15"/>
      <c r="OPD232" s="15"/>
      <c r="OPE232" s="16"/>
      <c r="OPF232" s="16"/>
      <c r="OPG232" s="16"/>
      <c r="OPH232" s="16"/>
      <c r="OPI232" s="16"/>
      <c r="OPJ232" s="15"/>
      <c r="OPK232" s="15"/>
      <c r="OPL232" s="10"/>
      <c r="OPM232" s="10"/>
      <c r="OPN232" s="19"/>
      <c r="OPO232" s="19"/>
      <c r="OPR232" s="16"/>
      <c r="OPS232" s="15"/>
      <c r="OPT232" s="15"/>
      <c r="OPU232" s="15"/>
      <c r="OPV232" s="16"/>
      <c r="OPW232" s="16"/>
      <c r="OPX232" s="16"/>
      <c r="OPY232" s="16"/>
      <c r="OPZ232" s="16"/>
      <c r="OQA232" s="15"/>
      <c r="OQB232" s="15"/>
      <c r="OQC232" s="10"/>
      <c r="OQD232" s="10"/>
      <c r="OQE232" s="19"/>
      <c r="OQF232" s="19"/>
      <c r="OQI232" s="16"/>
      <c r="OQJ232" s="15"/>
      <c r="OQK232" s="15"/>
      <c r="OQL232" s="15"/>
      <c r="OQM232" s="16"/>
      <c r="OQN232" s="16"/>
      <c r="OQO232" s="16"/>
      <c r="OQP232" s="16"/>
      <c r="OQQ232" s="16"/>
      <c r="OQR232" s="15"/>
      <c r="OQS232" s="15"/>
      <c r="OQT232" s="10"/>
      <c r="OQU232" s="10"/>
      <c r="OQV232" s="19"/>
      <c r="OQW232" s="19"/>
      <c r="OQZ232" s="16"/>
      <c r="ORA232" s="15"/>
      <c r="ORB232" s="15"/>
      <c r="ORC232" s="15"/>
      <c r="ORD232" s="16"/>
      <c r="ORE232" s="16"/>
      <c r="ORF232" s="16"/>
      <c r="ORG232" s="16"/>
      <c r="ORH232" s="16"/>
      <c r="ORI232" s="15"/>
      <c r="ORJ232" s="15"/>
      <c r="ORK232" s="10"/>
      <c r="ORL232" s="10"/>
      <c r="ORM232" s="19"/>
      <c r="ORN232" s="19"/>
      <c r="ORQ232" s="16"/>
      <c r="ORR232" s="15"/>
      <c r="ORS232" s="15"/>
      <c r="ORT232" s="15"/>
      <c r="ORU232" s="16"/>
      <c r="ORV232" s="16"/>
      <c r="ORW232" s="16"/>
      <c r="ORX232" s="16"/>
      <c r="ORY232" s="16"/>
      <c r="ORZ232" s="15"/>
      <c r="OSA232" s="15"/>
      <c r="OSB232" s="10"/>
      <c r="OSC232" s="10"/>
      <c r="OSD232" s="19"/>
      <c r="OSE232" s="19"/>
      <c r="OSH232" s="16"/>
      <c r="OSI232" s="15"/>
      <c r="OSJ232" s="15"/>
      <c r="OSK232" s="15"/>
      <c r="OSL232" s="16"/>
      <c r="OSM232" s="16"/>
      <c r="OSN232" s="16"/>
      <c r="OSO232" s="16"/>
      <c r="OSP232" s="16"/>
      <c r="OSQ232" s="15"/>
      <c r="OSR232" s="15"/>
      <c r="OSS232" s="10"/>
      <c r="OST232" s="10"/>
      <c r="OSU232" s="19"/>
      <c r="OSV232" s="19"/>
      <c r="OSY232" s="16"/>
      <c r="OSZ232" s="15"/>
      <c r="OTA232" s="15"/>
      <c r="OTB232" s="15"/>
      <c r="OTC232" s="16"/>
      <c r="OTD232" s="16"/>
      <c r="OTE232" s="16"/>
      <c r="OTF232" s="16"/>
      <c r="OTG232" s="16"/>
      <c r="OTH232" s="15"/>
      <c r="OTI232" s="15"/>
      <c r="OTJ232" s="10"/>
      <c r="OTK232" s="10"/>
      <c r="OTL232" s="19"/>
      <c r="OTM232" s="19"/>
      <c r="OTP232" s="16"/>
      <c r="OTQ232" s="15"/>
      <c r="OTR232" s="15"/>
      <c r="OTS232" s="15"/>
      <c r="OTT232" s="16"/>
      <c r="OTU232" s="16"/>
      <c r="OTV232" s="16"/>
      <c r="OTW232" s="16"/>
      <c r="OTX232" s="16"/>
      <c r="OTY232" s="15"/>
      <c r="OTZ232" s="15"/>
      <c r="OUA232" s="10"/>
      <c r="OUB232" s="10"/>
      <c r="OUC232" s="19"/>
      <c r="OUD232" s="19"/>
      <c r="OUG232" s="16"/>
      <c r="OUH232" s="15"/>
      <c r="OUI232" s="15"/>
      <c r="OUJ232" s="15"/>
      <c r="OUK232" s="16"/>
      <c r="OUL232" s="16"/>
      <c r="OUM232" s="16"/>
      <c r="OUN232" s="16"/>
      <c r="OUO232" s="16"/>
      <c r="OUP232" s="15"/>
      <c r="OUQ232" s="15"/>
      <c r="OUR232" s="10"/>
      <c r="OUS232" s="10"/>
      <c r="OUT232" s="19"/>
      <c r="OUU232" s="19"/>
      <c r="OUX232" s="16"/>
      <c r="OUY232" s="15"/>
      <c r="OUZ232" s="15"/>
      <c r="OVA232" s="15"/>
      <c r="OVB232" s="16"/>
      <c r="OVC232" s="16"/>
      <c r="OVD232" s="16"/>
      <c r="OVE232" s="16"/>
      <c r="OVF232" s="16"/>
      <c r="OVG232" s="15"/>
      <c r="OVH232" s="15"/>
      <c r="OVI232" s="10"/>
      <c r="OVJ232" s="10"/>
      <c r="OVK232" s="19"/>
      <c r="OVL232" s="19"/>
      <c r="OVO232" s="16"/>
      <c r="OVP232" s="15"/>
      <c r="OVQ232" s="15"/>
      <c r="OVR232" s="15"/>
      <c r="OVS232" s="16"/>
      <c r="OVT232" s="16"/>
      <c r="OVU232" s="16"/>
      <c r="OVV232" s="16"/>
      <c r="OVW232" s="16"/>
      <c r="OVX232" s="15"/>
      <c r="OVY232" s="15"/>
      <c r="OVZ232" s="10"/>
      <c r="OWA232" s="10"/>
      <c r="OWB232" s="19"/>
      <c r="OWC232" s="19"/>
      <c r="OWF232" s="16"/>
      <c r="OWG232" s="15"/>
      <c r="OWH232" s="15"/>
      <c r="OWI232" s="15"/>
      <c r="OWJ232" s="16"/>
      <c r="OWK232" s="16"/>
      <c r="OWL232" s="16"/>
      <c r="OWM232" s="16"/>
      <c r="OWN232" s="16"/>
      <c r="OWO232" s="15"/>
      <c r="OWP232" s="15"/>
      <c r="OWQ232" s="10"/>
      <c r="OWR232" s="10"/>
      <c r="OWS232" s="19"/>
      <c r="OWT232" s="19"/>
      <c r="OWW232" s="16"/>
      <c r="OWX232" s="15"/>
      <c r="OWY232" s="15"/>
      <c r="OWZ232" s="15"/>
      <c r="OXA232" s="16"/>
      <c r="OXB232" s="16"/>
      <c r="OXC232" s="16"/>
      <c r="OXD232" s="16"/>
      <c r="OXE232" s="16"/>
      <c r="OXF232" s="15"/>
      <c r="OXG232" s="15"/>
      <c r="OXH232" s="10"/>
      <c r="OXI232" s="10"/>
      <c r="OXJ232" s="19"/>
      <c r="OXK232" s="19"/>
      <c r="OXN232" s="16"/>
      <c r="OXO232" s="15"/>
      <c r="OXP232" s="15"/>
      <c r="OXQ232" s="15"/>
      <c r="OXR232" s="16"/>
      <c r="OXS232" s="16"/>
      <c r="OXT232" s="16"/>
      <c r="OXU232" s="16"/>
      <c r="OXV232" s="16"/>
      <c r="OXW232" s="15"/>
      <c r="OXX232" s="15"/>
      <c r="OXY232" s="10"/>
      <c r="OXZ232" s="10"/>
      <c r="OYA232" s="19"/>
      <c r="OYB232" s="19"/>
      <c r="OYE232" s="16"/>
      <c r="OYF232" s="15"/>
      <c r="OYG232" s="15"/>
      <c r="OYH232" s="15"/>
      <c r="OYI232" s="16"/>
      <c r="OYJ232" s="16"/>
      <c r="OYK232" s="16"/>
      <c r="OYL232" s="16"/>
      <c r="OYM232" s="16"/>
      <c r="OYN232" s="15"/>
      <c r="OYO232" s="15"/>
      <c r="OYP232" s="10"/>
      <c r="OYQ232" s="10"/>
      <c r="OYR232" s="19"/>
      <c r="OYS232" s="19"/>
      <c r="OYV232" s="16"/>
      <c r="OYW232" s="15"/>
      <c r="OYX232" s="15"/>
      <c r="OYY232" s="15"/>
      <c r="OYZ232" s="16"/>
      <c r="OZA232" s="16"/>
      <c r="OZB232" s="16"/>
      <c r="OZC232" s="16"/>
      <c r="OZD232" s="16"/>
      <c r="OZE232" s="15"/>
      <c r="OZF232" s="15"/>
      <c r="OZG232" s="10"/>
      <c r="OZH232" s="10"/>
      <c r="OZI232" s="19"/>
      <c r="OZJ232" s="19"/>
      <c r="OZM232" s="16"/>
      <c r="OZN232" s="15"/>
      <c r="OZO232" s="15"/>
      <c r="OZP232" s="15"/>
      <c r="OZQ232" s="16"/>
      <c r="OZR232" s="16"/>
      <c r="OZS232" s="16"/>
      <c r="OZT232" s="16"/>
      <c r="OZU232" s="16"/>
      <c r="OZV232" s="15"/>
      <c r="OZW232" s="15"/>
      <c r="OZX232" s="10"/>
      <c r="OZY232" s="10"/>
      <c r="OZZ232" s="19"/>
      <c r="PAA232" s="19"/>
      <c r="PAD232" s="16"/>
      <c r="PAE232" s="15"/>
      <c r="PAF232" s="15"/>
      <c r="PAG232" s="15"/>
      <c r="PAH232" s="16"/>
      <c r="PAI232" s="16"/>
      <c r="PAJ232" s="16"/>
      <c r="PAK232" s="16"/>
      <c r="PAL232" s="16"/>
      <c r="PAM232" s="15"/>
      <c r="PAN232" s="15"/>
      <c r="PAO232" s="10"/>
      <c r="PAP232" s="10"/>
      <c r="PAQ232" s="19"/>
      <c r="PAR232" s="19"/>
      <c r="PAU232" s="16"/>
      <c r="PAV232" s="15"/>
      <c r="PAW232" s="15"/>
      <c r="PAX232" s="15"/>
      <c r="PAY232" s="16"/>
      <c r="PAZ232" s="16"/>
      <c r="PBA232" s="16"/>
      <c r="PBB232" s="16"/>
      <c r="PBC232" s="16"/>
      <c r="PBD232" s="15"/>
      <c r="PBE232" s="15"/>
      <c r="PBF232" s="10"/>
      <c r="PBG232" s="10"/>
      <c r="PBH232" s="19"/>
      <c r="PBI232" s="19"/>
      <c r="PBL232" s="16"/>
      <c r="PBM232" s="15"/>
      <c r="PBN232" s="15"/>
      <c r="PBO232" s="15"/>
      <c r="PBP232" s="16"/>
      <c r="PBQ232" s="16"/>
      <c r="PBR232" s="16"/>
      <c r="PBS232" s="16"/>
      <c r="PBT232" s="16"/>
      <c r="PBU232" s="15"/>
      <c r="PBV232" s="15"/>
      <c r="PBW232" s="10"/>
      <c r="PBX232" s="10"/>
      <c r="PBY232" s="19"/>
      <c r="PBZ232" s="19"/>
      <c r="PCC232" s="16"/>
      <c r="PCD232" s="15"/>
      <c r="PCE232" s="15"/>
      <c r="PCF232" s="15"/>
      <c r="PCG232" s="16"/>
      <c r="PCH232" s="16"/>
      <c r="PCI232" s="16"/>
      <c r="PCJ232" s="16"/>
      <c r="PCK232" s="16"/>
      <c r="PCL232" s="15"/>
      <c r="PCM232" s="15"/>
      <c r="PCN232" s="10"/>
      <c r="PCO232" s="10"/>
      <c r="PCP232" s="19"/>
      <c r="PCQ232" s="19"/>
      <c r="PCT232" s="16"/>
      <c r="PCU232" s="15"/>
      <c r="PCV232" s="15"/>
      <c r="PCW232" s="15"/>
      <c r="PCX232" s="16"/>
      <c r="PCY232" s="16"/>
      <c r="PCZ232" s="16"/>
      <c r="PDA232" s="16"/>
      <c r="PDB232" s="16"/>
      <c r="PDC232" s="15"/>
      <c r="PDD232" s="15"/>
      <c r="PDE232" s="10"/>
      <c r="PDF232" s="10"/>
      <c r="PDG232" s="19"/>
      <c r="PDH232" s="19"/>
      <c r="PDK232" s="16"/>
      <c r="PDL232" s="15"/>
      <c r="PDM232" s="15"/>
      <c r="PDN232" s="15"/>
      <c r="PDO232" s="16"/>
      <c r="PDP232" s="16"/>
      <c r="PDQ232" s="16"/>
      <c r="PDR232" s="16"/>
      <c r="PDS232" s="16"/>
      <c r="PDT232" s="15"/>
      <c r="PDU232" s="15"/>
      <c r="PDV232" s="10"/>
      <c r="PDW232" s="10"/>
      <c r="PDX232" s="19"/>
      <c r="PDY232" s="19"/>
      <c r="PEB232" s="16"/>
      <c r="PEC232" s="15"/>
      <c r="PED232" s="15"/>
      <c r="PEE232" s="15"/>
      <c r="PEF232" s="16"/>
      <c r="PEG232" s="16"/>
      <c r="PEH232" s="16"/>
      <c r="PEI232" s="16"/>
      <c r="PEJ232" s="16"/>
      <c r="PEK232" s="15"/>
      <c r="PEL232" s="15"/>
      <c r="PEM232" s="10"/>
      <c r="PEN232" s="10"/>
      <c r="PEO232" s="19"/>
      <c r="PEP232" s="19"/>
      <c r="PES232" s="16"/>
      <c r="PET232" s="15"/>
      <c r="PEU232" s="15"/>
      <c r="PEV232" s="15"/>
      <c r="PEW232" s="16"/>
      <c r="PEX232" s="16"/>
      <c r="PEY232" s="16"/>
      <c r="PEZ232" s="16"/>
      <c r="PFA232" s="16"/>
      <c r="PFB232" s="15"/>
      <c r="PFC232" s="15"/>
      <c r="PFD232" s="10"/>
      <c r="PFE232" s="10"/>
      <c r="PFF232" s="19"/>
      <c r="PFG232" s="19"/>
      <c r="PFJ232" s="16"/>
      <c r="PFK232" s="15"/>
      <c r="PFL232" s="15"/>
      <c r="PFM232" s="15"/>
      <c r="PFN232" s="16"/>
      <c r="PFO232" s="16"/>
      <c r="PFP232" s="16"/>
      <c r="PFQ232" s="16"/>
      <c r="PFR232" s="16"/>
      <c r="PFS232" s="15"/>
      <c r="PFT232" s="15"/>
      <c r="PFU232" s="10"/>
      <c r="PFV232" s="10"/>
      <c r="PFW232" s="19"/>
      <c r="PFX232" s="19"/>
      <c r="PGA232" s="16"/>
      <c r="PGB232" s="15"/>
      <c r="PGC232" s="15"/>
      <c r="PGD232" s="15"/>
      <c r="PGE232" s="16"/>
      <c r="PGF232" s="16"/>
      <c r="PGG232" s="16"/>
      <c r="PGH232" s="16"/>
      <c r="PGI232" s="16"/>
      <c r="PGJ232" s="15"/>
      <c r="PGK232" s="15"/>
      <c r="PGL232" s="10"/>
      <c r="PGM232" s="10"/>
      <c r="PGN232" s="19"/>
      <c r="PGO232" s="19"/>
      <c r="PGR232" s="16"/>
      <c r="PGS232" s="15"/>
      <c r="PGT232" s="15"/>
      <c r="PGU232" s="15"/>
      <c r="PGV232" s="16"/>
      <c r="PGW232" s="16"/>
      <c r="PGX232" s="16"/>
      <c r="PGY232" s="16"/>
      <c r="PGZ232" s="16"/>
      <c r="PHA232" s="15"/>
      <c r="PHB232" s="15"/>
      <c r="PHC232" s="10"/>
      <c r="PHD232" s="10"/>
      <c r="PHE232" s="19"/>
      <c r="PHF232" s="19"/>
      <c r="PHI232" s="16"/>
      <c r="PHJ232" s="15"/>
      <c r="PHK232" s="15"/>
      <c r="PHL232" s="15"/>
      <c r="PHM232" s="16"/>
      <c r="PHN232" s="16"/>
      <c r="PHO232" s="16"/>
      <c r="PHP232" s="16"/>
      <c r="PHQ232" s="16"/>
      <c r="PHR232" s="15"/>
      <c r="PHS232" s="15"/>
      <c r="PHT232" s="10"/>
      <c r="PHU232" s="10"/>
      <c r="PHV232" s="19"/>
      <c r="PHW232" s="19"/>
      <c r="PHZ232" s="16"/>
      <c r="PIA232" s="15"/>
      <c r="PIB232" s="15"/>
      <c r="PIC232" s="15"/>
      <c r="PID232" s="16"/>
      <c r="PIE232" s="16"/>
      <c r="PIF232" s="16"/>
      <c r="PIG232" s="16"/>
      <c r="PIH232" s="16"/>
      <c r="PII232" s="15"/>
      <c r="PIJ232" s="15"/>
      <c r="PIK232" s="10"/>
      <c r="PIL232" s="10"/>
      <c r="PIM232" s="19"/>
      <c r="PIN232" s="19"/>
      <c r="PIQ232" s="16"/>
      <c r="PIR232" s="15"/>
      <c r="PIS232" s="15"/>
      <c r="PIT232" s="15"/>
      <c r="PIU232" s="16"/>
      <c r="PIV232" s="16"/>
      <c r="PIW232" s="16"/>
      <c r="PIX232" s="16"/>
      <c r="PIY232" s="16"/>
      <c r="PIZ232" s="15"/>
      <c r="PJA232" s="15"/>
      <c r="PJB232" s="10"/>
      <c r="PJC232" s="10"/>
      <c r="PJD232" s="19"/>
      <c r="PJE232" s="19"/>
      <c r="PJH232" s="16"/>
      <c r="PJI232" s="15"/>
      <c r="PJJ232" s="15"/>
      <c r="PJK232" s="15"/>
      <c r="PJL232" s="16"/>
      <c r="PJM232" s="16"/>
      <c r="PJN232" s="16"/>
      <c r="PJO232" s="16"/>
      <c r="PJP232" s="16"/>
      <c r="PJQ232" s="15"/>
      <c r="PJR232" s="15"/>
      <c r="PJS232" s="10"/>
      <c r="PJT232" s="10"/>
      <c r="PJU232" s="19"/>
      <c r="PJV232" s="19"/>
      <c r="PJY232" s="16"/>
      <c r="PJZ232" s="15"/>
      <c r="PKA232" s="15"/>
      <c r="PKB232" s="15"/>
      <c r="PKC232" s="16"/>
      <c r="PKD232" s="16"/>
      <c r="PKE232" s="16"/>
      <c r="PKF232" s="16"/>
      <c r="PKG232" s="16"/>
      <c r="PKH232" s="15"/>
      <c r="PKI232" s="15"/>
      <c r="PKJ232" s="10"/>
      <c r="PKK232" s="10"/>
      <c r="PKL232" s="19"/>
      <c r="PKM232" s="19"/>
      <c r="PKP232" s="16"/>
      <c r="PKQ232" s="15"/>
      <c r="PKR232" s="15"/>
      <c r="PKS232" s="15"/>
      <c r="PKT232" s="16"/>
      <c r="PKU232" s="16"/>
      <c r="PKV232" s="16"/>
      <c r="PKW232" s="16"/>
      <c r="PKX232" s="16"/>
      <c r="PKY232" s="15"/>
      <c r="PKZ232" s="15"/>
      <c r="PLA232" s="10"/>
      <c r="PLB232" s="10"/>
      <c r="PLC232" s="19"/>
      <c r="PLD232" s="19"/>
      <c r="PLG232" s="16"/>
      <c r="PLH232" s="15"/>
      <c r="PLI232" s="15"/>
      <c r="PLJ232" s="15"/>
      <c r="PLK232" s="16"/>
      <c r="PLL232" s="16"/>
      <c r="PLM232" s="16"/>
      <c r="PLN232" s="16"/>
      <c r="PLO232" s="16"/>
      <c r="PLP232" s="15"/>
      <c r="PLQ232" s="15"/>
      <c r="PLR232" s="10"/>
      <c r="PLS232" s="10"/>
      <c r="PLT232" s="19"/>
      <c r="PLU232" s="19"/>
      <c r="PLX232" s="16"/>
      <c r="PLY232" s="15"/>
      <c r="PLZ232" s="15"/>
      <c r="PMA232" s="15"/>
      <c r="PMB232" s="16"/>
      <c r="PMC232" s="16"/>
      <c r="PMD232" s="16"/>
      <c r="PME232" s="16"/>
      <c r="PMF232" s="16"/>
      <c r="PMG232" s="15"/>
      <c r="PMH232" s="15"/>
      <c r="PMI232" s="10"/>
      <c r="PMJ232" s="10"/>
      <c r="PMK232" s="19"/>
      <c r="PML232" s="19"/>
      <c r="PMO232" s="16"/>
      <c r="PMP232" s="15"/>
      <c r="PMQ232" s="15"/>
      <c r="PMR232" s="15"/>
      <c r="PMS232" s="16"/>
      <c r="PMT232" s="16"/>
      <c r="PMU232" s="16"/>
      <c r="PMV232" s="16"/>
      <c r="PMW232" s="16"/>
      <c r="PMX232" s="15"/>
      <c r="PMY232" s="15"/>
      <c r="PMZ232" s="10"/>
      <c r="PNA232" s="10"/>
      <c r="PNB232" s="19"/>
      <c r="PNC232" s="19"/>
      <c r="PNF232" s="16"/>
      <c r="PNG232" s="15"/>
      <c r="PNH232" s="15"/>
      <c r="PNI232" s="15"/>
      <c r="PNJ232" s="16"/>
      <c r="PNK232" s="16"/>
      <c r="PNL232" s="16"/>
      <c r="PNM232" s="16"/>
      <c r="PNN232" s="16"/>
      <c r="PNO232" s="15"/>
      <c r="PNP232" s="15"/>
      <c r="PNQ232" s="10"/>
      <c r="PNR232" s="10"/>
      <c r="PNS232" s="19"/>
      <c r="PNT232" s="19"/>
      <c r="PNW232" s="16"/>
      <c r="PNX232" s="15"/>
      <c r="PNY232" s="15"/>
      <c r="PNZ232" s="15"/>
      <c r="POA232" s="16"/>
      <c r="POB232" s="16"/>
      <c r="POC232" s="16"/>
      <c r="POD232" s="16"/>
      <c r="POE232" s="16"/>
      <c r="POF232" s="15"/>
      <c r="POG232" s="15"/>
      <c r="POH232" s="10"/>
      <c r="POI232" s="10"/>
      <c r="POJ232" s="19"/>
      <c r="POK232" s="19"/>
      <c r="PON232" s="16"/>
      <c r="POO232" s="15"/>
      <c r="POP232" s="15"/>
      <c r="POQ232" s="15"/>
      <c r="POR232" s="16"/>
      <c r="POS232" s="16"/>
      <c r="POT232" s="16"/>
      <c r="POU232" s="16"/>
      <c r="POV232" s="16"/>
      <c r="POW232" s="15"/>
      <c r="POX232" s="15"/>
      <c r="POY232" s="10"/>
      <c r="POZ232" s="10"/>
      <c r="PPA232" s="19"/>
      <c r="PPB232" s="19"/>
      <c r="PPE232" s="16"/>
      <c r="PPF232" s="15"/>
      <c r="PPG232" s="15"/>
      <c r="PPH232" s="15"/>
      <c r="PPI232" s="16"/>
      <c r="PPJ232" s="16"/>
      <c r="PPK232" s="16"/>
      <c r="PPL232" s="16"/>
      <c r="PPM232" s="16"/>
      <c r="PPN232" s="15"/>
      <c r="PPO232" s="15"/>
      <c r="PPP232" s="10"/>
      <c r="PPQ232" s="10"/>
      <c r="PPR232" s="19"/>
      <c r="PPS232" s="19"/>
      <c r="PPV232" s="16"/>
      <c r="PPW232" s="15"/>
      <c r="PPX232" s="15"/>
      <c r="PPY232" s="15"/>
      <c r="PPZ232" s="16"/>
      <c r="PQA232" s="16"/>
      <c r="PQB232" s="16"/>
      <c r="PQC232" s="16"/>
      <c r="PQD232" s="16"/>
      <c r="PQE232" s="15"/>
      <c r="PQF232" s="15"/>
      <c r="PQG232" s="10"/>
      <c r="PQH232" s="10"/>
      <c r="PQI232" s="19"/>
      <c r="PQJ232" s="19"/>
      <c r="PQM232" s="16"/>
      <c r="PQN232" s="15"/>
      <c r="PQO232" s="15"/>
      <c r="PQP232" s="15"/>
      <c r="PQQ232" s="16"/>
      <c r="PQR232" s="16"/>
      <c r="PQS232" s="16"/>
      <c r="PQT232" s="16"/>
      <c r="PQU232" s="16"/>
      <c r="PQV232" s="15"/>
      <c r="PQW232" s="15"/>
      <c r="PQX232" s="10"/>
      <c r="PQY232" s="10"/>
      <c r="PQZ232" s="19"/>
      <c r="PRA232" s="19"/>
      <c r="PRD232" s="16"/>
      <c r="PRE232" s="15"/>
      <c r="PRF232" s="15"/>
      <c r="PRG232" s="15"/>
      <c r="PRH232" s="16"/>
      <c r="PRI232" s="16"/>
      <c r="PRJ232" s="16"/>
      <c r="PRK232" s="16"/>
      <c r="PRL232" s="16"/>
      <c r="PRM232" s="15"/>
      <c r="PRN232" s="15"/>
      <c r="PRO232" s="10"/>
      <c r="PRP232" s="10"/>
      <c r="PRQ232" s="19"/>
      <c r="PRR232" s="19"/>
      <c r="PRU232" s="16"/>
      <c r="PRV232" s="15"/>
      <c r="PRW232" s="15"/>
      <c r="PRX232" s="15"/>
      <c r="PRY232" s="16"/>
      <c r="PRZ232" s="16"/>
      <c r="PSA232" s="16"/>
      <c r="PSB232" s="16"/>
      <c r="PSC232" s="16"/>
      <c r="PSD232" s="15"/>
      <c r="PSE232" s="15"/>
      <c r="PSF232" s="10"/>
      <c r="PSG232" s="10"/>
      <c r="PSH232" s="19"/>
      <c r="PSI232" s="19"/>
      <c r="PSL232" s="16"/>
      <c r="PSM232" s="15"/>
      <c r="PSN232" s="15"/>
      <c r="PSO232" s="15"/>
      <c r="PSP232" s="16"/>
      <c r="PSQ232" s="16"/>
      <c r="PSR232" s="16"/>
      <c r="PSS232" s="16"/>
      <c r="PST232" s="16"/>
      <c r="PSU232" s="15"/>
      <c r="PSV232" s="15"/>
      <c r="PSW232" s="10"/>
      <c r="PSX232" s="10"/>
      <c r="PSY232" s="19"/>
      <c r="PSZ232" s="19"/>
      <c r="PTC232" s="16"/>
      <c r="PTD232" s="15"/>
      <c r="PTE232" s="15"/>
      <c r="PTF232" s="15"/>
      <c r="PTG232" s="16"/>
      <c r="PTH232" s="16"/>
      <c r="PTI232" s="16"/>
      <c r="PTJ232" s="16"/>
      <c r="PTK232" s="16"/>
      <c r="PTL232" s="15"/>
      <c r="PTM232" s="15"/>
      <c r="PTN232" s="10"/>
      <c r="PTO232" s="10"/>
      <c r="PTP232" s="19"/>
      <c r="PTQ232" s="19"/>
      <c r="PTT232" s="16"/>
      <c r="PTU232" s="15"/>
      <c r="PTV232" s="15"/>
      <c r="PTW232" s="15"/>
      <c r="PTX232" s="16"/>
      <c r="PTY232" s="16"/>
      <c r="PTZ232" s="16"/>
      <c r="PUA232" s="16"/>
      <c r="PUB232" s="16"/>
      <c r="PUC232" s="15"/>
      <c r="PUD232" s="15"/>
      <c r="PUE232" s="10"/>
      <c r="PUF232" s="10"/>
      <c r="PUG232" s="19"/>
      <c r="PUH232" s="19"/>
      <c r="PUK232" s="16"/>
      <c r="PUL232" s="15"/>
      <c r="PUM232" s="15"/>
      <c r="PUN232" s="15"/>
      <c r="PUO232" s="16"/>
      <c r="PUP232" s="16"/>
      <c r="PUQ232" s="16"/>
      <c r="PUR232" s="16"/>
      <c r="PUS232" s="16"/>
      <c r="PUT232" s="15"/>
      <c r="PUU232" s="15"/>
      <c r="PUV232" s="10"/>
      <c r="PUW232" s="10"/>
      <c r="PUX232" s="19"/>
      <c r="PUY232" s="19"/>
      <c r="PVB232" s="16"/>
      <c r="PVC232" s="15"/>
      <c r="PVD232" s="15"/>
      <c r="PVE232" s="15"/>
      <c r="PVF232" s="16"/>
      <c r="PVG232" s="16"/>
      <c r="PVH232" s="16"/>
      <c r="PVI232" s="16"/>
      <c r="PVJ232" s="16"/>
      <c r="PVK232" s="15"/>
      <c r="PVL232" s="15"/>
      <c r="PVM232" s="10"/>
      <c r="PVN232" s="10"/>
      <c r="PVO232" s="19"/>
      <c r="PVP232" s="19"/>
      <c r="PVS232" s="16"/>
      <c r="PVT232" s="15"/>
      <c r="PVU232" s="15"/>
      <c r="PVV232" s="15"/>
      <c r="PVW232" s="16"/>
      <c r="PVX232" s="16"/>
      <c r="PVY232" s="16"/>
      <c r="PVZ232" s="16"/>
      <c r="PWA232" s="16"/>
      <c r="PWB232" s="15"/>
      <c r="PWC232" s="15"/>
      <c r="PWD232" s="10"/>
      <c r="PWE232" s="10"/>
      <c r="PWF232" s="19"/>
      <c r="PWG232" s="19"/>
      <c r="PWJ232" s="16"/>
      <c r="PWK232" s="15"/>
      <c r="PWL232" s="15"/>
      <c r="PWM232" s="15"/>
      <c r="PWN232" s="16"/>
      <c r="PWO232" s="16"/>
      <c r="PWP232" s="16"/>
      <c r="PWQ232" s="16"/>
      <c r="PWR232" s="16"/>
      <c r="PWS232" s="15"/>
      <c r="PWT232" s="15"/>
      <c r="PWU232" s="10"/>
      <c r="PWV232" s="10"/>
      <c r="PWW232" s="19"/>
      <c r="PWX232" s="19"/>
      <c r="PXA232" s="16"/>
      <c r="PXB232" s="15"/>
      <c r="PXC232" s="15"/>
      <c r="PXD232" s="15"/>
      <c r="PXE232" s="16"/>
      <c r="PXF232" s="16"/>
      <c r="PXG232" s="16"/>
      <c r="PXH232" s="16"/>
      <c r="PXI232" s="16"/>
      <c r="PXJ232" s="15"/>
      <c r="PXK232" s="15"/>
      <c r="PXL232" s="10"/>
      <c r="PXM232" s="10"/>
      <c r="PXN232" s="19"/>
      <c r="PXO232" s="19"/>
      <c r="PXR232" s="16"/>
      <c r="PXS232" s="15"/>
      <c r="PXT232" s="15"/>
      <c r="PXU232" s="15"/>
      <c r="PXV232" s="16"/>
      <c r="PXW232" s="16"/>
      <c r="PXX232" s="16"/>
      <c r="PXY232" s="16"/>
      <c r="PXZ232" s="16"/>
      <c r="PYA232" s="15"/>
      <c r="PYB232" s="15"/>
      <c r="PYC232" s="10"/>
      <c r="PYD232" s="10"/>
      <c r="PYE232" s="19"/>
      <c r="PYF232" s="19"/>
      <c r="PYI232" s="16"/>
      <c r="PYJ232" s="15"/>
      <c r="PYK232" s="15"/>
      <c r="PYL232" s="15"/>
      <c r="PYM232" s="16"/>
      <c r="PYN232" s="16"/>
      <c r="PYO232" s="16"/>
      <c r="PYP232" s="16"/>
      <c r="PYQ232" s="16"/>
      <c r="PYR232" s="15"/>
      <c r="PYS232" s="15"/>
      <c r="PYT232" s="10"/>
      <c r="PYU232" s="10"/>
      <c r="PYV232" s="19"/>
      <c r="PYW232" s="19"/>
      <c r="PYZ232" s="16"/>
      <c r="PZA232" s="15"/>
      <c r="PZB232" s="15"/>
      <c r="PZC232" s="15"/>
      <c r="PZD232" s="16"/>
      <c r="PZE232" s="16"/>
      <c r="PZF232" s="16"/>
      <c r="PZG232" s="16"/>
      <c r="PZH232" s="16"/>
      <c r="PZI232" s="15"/>
      <c r="PZJ232" s="15"/>
      <c r="PZK232" s="10"/>
      <c r="PZL232" s="10"/>
      <c r="PZM232" s="19"/>
      <c r="PZN232" s="19"/>
      <c r="PZQ232" s="16"/>
      <c r="PZR232" s="15"/>
      <c r="PZS232" s="15"/>
      <c r="PZT232" s="15"/>
      <c r="PZU232" s="16"/>
      <c r="PZV232" s="16"/>
      <c r="PZW232" s="16"/>
      <c r="PZX232" s="16"/>
      <c r="PZY232" s="16"/>
      <c r="PZZ232" s="15"/>
      <c r="QAA232" s="15"/>
      <c r="QAB232" s="10"/>
      <c r="QAC232" s="10"/>
      <c r="QAD232" s="19"/>
      <c r="QAE232" s="19"/>
      <c r="QAH232" s="16"/>
      <c r="QAI232" s="15"/>
      <c r="QAJ232" s="15"/>
      <c r="QAK232" s="15"/>
      <c r="QAL232" s="16"/>
      <c r="QAM232" s="16"/>
      <c r="QAN232" s="16"/>
      <c r="QAO232" s="16"/>
      <c r="QAP232" s="16"/>
      <c r="QAQ232" s="15"/>
      <c r="QAR232" s="15"/>
      <c r="QAS232" s="10"/>
      <c r="QAT232" s="10"/>
      <c r="QAU232" s="19"/>
      <c r="QAV232" s="19"/>
      <c r="QAY232" s="16"/>
      <c r="QAZ232" s="15"/>
      <c r="QBA232" s="15"/>
      <c r="QBB232" s="15"/>
      <c r="QBC232" s="16"/>
      <c r="QBD232" s="16"/>
      <c r="QBE232" s="16"/>
      <c r="QBF232" s="16"/>
      <c r="QBG232" s="16"/>
      <c r="QBH232" s="15"/>
      <c r="QBI232" s="15"/>
      <c r="QBJ232" s="10"/>
      <c r="QBK232" s="10"/>
      <c r="QBL232" s="19"/>
      <c r="QBM232" s="19"/>
      <c r="QBP232" s="16"/>
      <c r="QBQ232" s="15"/>
      <c r="QBR232" s="15"/>
      <c r="QBS232" s="15"/>
      <c r="QBT232" s="16"/>
      <c r="QBU232" s="16"/>
      <c r="QBV232" s="16"/>
      <c r="QBW232" s="16"/>
      <c r="QBX232" s="16"/>
      <c r="QBY232" s="15"/>
      <c r="QBZ232" s="15"/>
      <c r="QCA232" s="10"/>
      <c r="QCB232" s="10"/>
      <c r="QCC232" s="19"/>
      <c r="QCD232" s="19"/>
      <c r="QCG232" s="16"/>
      <c r="QCH232" s="15"/>
      <c r="QCI232" s="15"/>
      <c r="QCJ232" s="15"/>
      <c r="QCK232" s="16"/>
      <c r="QCL232" s="16"/>
      <c r="QCM232" s="16"/>
      <c r="QCN232" s="16"/>
      <c r="QCO232" s="16"/>
      <c r="QCP232" s="15"/>
      <c r="QCQ232" s="15"/>
      <c r="QCR232" s="10"/>
      <c r="QCS232" s="10"/>
      <c r="QCT232" s="19"/>
      <c r="QCU232" s="19"/>
      <c r="QCX232" s="16"/>
      <c r="QCY232" s="15"/>
      <c r="QCZ232" s="15"/>
      <c r="QDA232" s="15"/>
      <c r="QDB232" s="16"/>
      <c r="QDC232" s="16"/>
      <c r="QDD232" s="16"/>
      <c r="QDE232" s="16"/>
      <c r="QDF232" s="16"/>
      <c r="QDG232" s="15"/>
      <c r="QDH232" s="15"/>
      <c r="QDI232" s="10"/>
      <c r="QDJ232" s="10"/>
      <c r="QDK232" s="19"/>
      <c r="QDL232" s="19"/>
      <c r="QDO232" s="16"/>
      <c r="QDP232" s="15"/>
      <c r="QDQ232" s="15"/>
      <c r="QDR232" s="15"/>
      <c r="QDS232" s="16"/>
      <c r="QDT232" s="16"/>
      <c r="QDU232" s="16"/>
      <c r="QDV232" s="16"/>
      <c r="QDW232" s="16"/>
      <c r="QDX232" s="15"/>
      <c r="QDY232" s="15"/>
      <c r="QDZ232" s="10"/>
      <c r="QEA232" s="10"/>
      <c r="QEB232" s="19"/>
      <c r="QEC232" s="19"/>
      <c r="QEF232" s="16"/>
      <c r="QEG232" s="15"/>
      <c r="QEH232" s="15"/>
      <c r="QEI232" s="15"/>
      <c r="QEJ232" s="16"/>
      <c r="QEK232" s="16"/>
      <c r="QEL232" s="16"/>
      <c r="QEM232" s="16"/>
      <c r="QEN232" s="16"/>
      <c r="QEO232" s="15"/>
      <c r="QEP232" s="15"/>
      <c r="QEQ232" s="10"/>
      <c r="QER232" s="10"/>
      <c r="QES232" s="19"/>
      <c r="QET232" s="19"/>
      <c r="QEW232" s="16"/>
      <c r="QEX232" s="15"/>
      <c r="QEY232" s="15"/>
      <c r="QEZ232" s="15"/>
      <c r="QFA232" s="16"/>
      <c r="QFB232" s="16"/>
      <c r="QFC232" s="16"/>
      <c r="QFD232" s="16"/>
      <c r="QFE232" s="16"/>
      <c r="QFF232" s="15"/>
      <c r="QFG232" s="15"/>
      <c r="QFH232" s="10"/>
      <c r="QFI232" s="10"/>
      <c r="QFJ232" s="19"/>
      <c r="QFK232" s="19"/>
      <c r="QFN232" s="16"/>
      <c r="QFO232" s="15"/>
      <c r="QFP232" s="15"/>
      <c r="QFQ232" s="15"/>
      <c r="QFR232" s="16"/>
      <c r="QFS232" s="16"/>
      <c r="QFT232" s="16"/>
      <c r="QFU232" s="16"/>
      <c r="QFV232" s="16"/>
      <c r="QFW232" s="15"/>
      <c r="QFX232" s="15"/>
      <c r="QFY232" s="10"/>
      <c r="QFZ232" s="10"/>
      <c r="QGA232" s="19"/>
      <c r="QGB232" s="19"/>
      <c r="QGE232" s="16"/>
      <c r="QGF232" s="15"/>
      <c r="QGG232" s="15"/>
      <c r="QGH232" s="15"/>
      <c r="QGI232" s="16"/>
      <c r="QGJ232" s="16"/>
      <c r="QGK232" s="16"/>
      <c r="QGL232" s="16"/>
      <c r="QGM232" s="16"/>
      <c r="QGN232" s="15"/>
      <c r="QGO232" s="15"/>
      <c r="QGP232" s="10"/>
      <c r="QGQ232" s="10"/>
      <c r="QGR232" s="19"/>
      <c r="QGS232" s="19"/>
      <c r="QGV232" s="16"/>
      <c r="QGW232" s="15"/>
      <c r="QGX232" s="15"/>
      <c r="QGY232" s="15"/>
      <c r="QGZ232" s="16"/>
      <c r="QHA232" s="16"/>
      <c r="QHB232" s="16"/>
      <c r="QHC232" s="16"/>
      <c r="QHD232" s="16"/>
      <c r="QHE232" s="15"/>
      <c r="QHF232" s="15"/>
      <c r="QHG232" s="10"/>
      <c r="QHH232" s="10"/>
      <c r="QHI232" s="19"/>
      <c r="QHJ232" s="19"/>
      <c r="QHM232" s="16"/>
      <c r="QHN232" s="15"/>
      <c r="QHO232" s="15"/>
      <c r="QHP232" s="15"/>
      <c r="QHQ232" s="16"/>
      <c r="QHR232" s="16"/>
      <c r="QHS232" s="16"/>
      <c r="QHT232" s="16"/>
      <c r="QHU232" s="16"/>
      <c r="QHV232" s="15"/>
      <c r="QHW232" s="15"/>
      <c r="QHX232" s="10"/>
      <c r="QHY232" s="10"/>
      <c r="QHZ232" s="19"/>
      <c r="QIA232" s="19"/>
      <c r="QID232" s="16"/>
      <c r="QIE232" s="15"/>
      <c r="QIF232" s="15"/>
      <c r="QIG232" s="15"/>
      <c r="QIH232" s="16"/>
      <c r="QII232" s="16"/>
      <c r="QIJ232" s="16"/>
      <c r="QIK232" s="16"/>
      <c r="QIL232" s="16"/>
      <c r="QIM232" s="15"/>
      <c r="QIN232" s="15"/>
      <c r="QIO232" s="10"/>
      <c r="QIP232" s="10"/>
      <c r="QIQ232" s="19"/>
      <c r="QIR232" s="19"/>
      <c r="QIU232" s="16"/>
      <c r="QIV232" s="15"/>
      <c r="QIW232" s="15"/>
      <c r="QIX232" s="15"/>
      <c r="QIY232" s="16"/>
      <c r="QIZ232" s="16"/>
      <c r="QJA232" s="16"/>
      <c r="QJB232" s="16"/>
      <c r="QJC232" s="16"/>
      <c r="QJD232" s="15"/>
      <c r="QJE232" s="15"/>
      <c r="QJF232" s="10"/>
      <c r="QJG232" s="10"/>
      <c r="QJH232" s="19"/>
      <c r="QJI232" s="19"/>
      <c r="QJL232" s="16"/>
      <c r="QJM232" s="15"/>
      <c r="QJN232" s="15"/>
      <c r="QJO232" s="15"/>
      <c r="QJP232" s="16"/>
      <c r="QJQ232" s="16"/>
      <c r="QJR232" s="16"/>
      <c r="QJS232" s="16"/>
      <c r="QJT232" s="16"/>
      <c r="QJU232" s="15"/>
      <c r="QJV232" s="15"/>
      <c r="QJW232" s="10"/>
      <c r="QJX232" s="10"/>
      <c r="QJY232" s="19"/>
      <c r="QJZ232" s="19"/>
      <c r="QKC232" s="16"/>
      <c r="QKD232" s="15"/>
      <c r="QKE232" s="15"/>
      <c r="QKF232" s="15"/>
      <c r="QKG232" s="16"/>
      <c r="QKH232" s="16"/>
      <c r="QKI232" s="16"/>
      <c r="QKJ232" s="16"/>
      <c r="QKK232" s="16"/>
      <c r="QKL232" s="15"/>
      <c r="QKM232" s="15"/>
      <c r="QKN232" s="10"/>
      <c r="QKO232" s="10"/>
      <c r="QKP232" s="19"/>
      <c r="QKQ232" s="19"/>
      <c r="QKT232" s="16"/>
      <c r="QKU232" s="15"/>
      <c r="QKV232" s="15"/>
      <c r="QKW232" s="15"/>
      <c r="QKX232" s="16"/>
      <c r="QKY232" s="16"/>
      <c r="QKZ232" s="16"/>
      <c r="QLA232" s="16"/>
      <c r="QLB232" s="16"/>
      <c r="QLC232" s="15"/>
      <c r="QLD232" s="15"/>
      <c r="QLE232" s="10"/>
      <c r="QLF232" s="10"/>
      <c r="QLG232" s="19"/>
      <c r="QLH232" s="19"/>
      <c r="QLK232" s="16"/>
      <c r="QLL232" s="15"/>
      <c r="QLM232" s="15"/>
      <c r="QLN232" s="15"/>
      <c r="QLO232" s="16"/>
      <c r="QLP232" s="16"/>
      <c r="QLQ232" s="16"/>
      <c r="QLR232" s="16"/>
      <c r="QLS232" s="16"/>
      <c r="QLT232" s="15"/>
      <c r="QLU232" s="15"/>
      <c r="QLV232" s="10"/>
      <c r="QLW232" s="10"/>
      <c r="QLX232" s="19"/>
      <c r="QLY232" s="19"/>
      <c r="QMB232" s="16"/>
      <c r="QMC232" s="15"/>
      <c r="QMD232" s="15"/>
      <c r="QME232" s="15"/>
      <c r="QMF232" s="16"/>
      <c r="QMG232" s="16"/>
      <c r="QMH232" s="16"/>
      <c r="QMI232" s="16"/>
      <c r="QMJ232" s="16"/>
      <c r="QMK232" s="15"/>
      <c r="QML232" s="15"/>
      <c r="QMM232" s="10"/>
      <c r="QMN232" s="10"/>
      <c r="QMO232" s="19"/>
      <c r="QMP232" s="19"/>
      <c r="QMS232" s="16"/>
      <c r="QMT232" s="15"/>
      <c r="QMU232" s="15"/>
      <c r="QMV232" s="15"/>
      <c r="QMW232" s="16"/>
      <c r="QMX232" s="16"/>
      <c r="QMY232" s="16"/>
      <c r="QMZ232" s="16"/>
      <c r="QNA232" s="16"/>
      <c r="QNB232" s="15"/>
      <c r="QNC232" s="15"/>
      <c r="QND232" s="10"/>
      <c r="QNE232" s="10"/>
      <c r="QNF232" s="19"/>
      <c r="QNG232" s="19"/>
      <c r="QNJ232" s="16"/>
      <c r="QNK232" s="15"/>
      <c r="QNL232" s="15"/>
      <c r="QNM232" s="15"/>
      <c r="QNN232" s="16"/>
      <c r="QNO232" s="16"/>
      <c r="QNP232" s="16"/>
      <c r="QNQ232" s="16"/>
      <c r="QNR232" s="16"/>
      <c r="QNS232" s="15"/>
      <c r="QNT232" s="15"/>
      <c r="QNU232" s="10"/>
      <c r="QNV232" s="10"/>
      <c r="QNW232" s="19"/>
      <c r="QNX232" s="19"/>
      <c r="QOA232" s="16"/>
      <c r="QOB232" s="15"/>
      <c r="QOC232" s="15"/>
      <c r="QOD232" s="15"/>
      <c r="QOE232" s="16"/>
      <c r="QOF232" s="16"/>
      <c r="QOG232" s="16"/>
      <c r="QOH232" s="16"/>
      <c r="QOI232" s="16"/>
      <c r="QOJ232" s="15"/>
      <c r="QOK232" s="15"/>
      <c r="QOL232" s="10"/>
      <c r="QOM232" s="10"/>
      <c r="QON232" s="19"/>
      <c r="QOO232" s="19"/>
      <c r="QOR232" s="16"/>
      <c r="QOS232" s="15"/>
      <c r="QOT232" s="15"/>
      <c r="QOU232" s="15"/>
      <c r="QOV232" s="16"/>
      <c r="QOW232" s="16"/>
      <c r="QOX232" s="16"/>
      <c r="QOY232" s="16"/>
      <c r="QOZ232" s="16"/>
      <c r="QPA232" s="15"/>
      <c r="QPB232" s="15"/>
      <c r="QPC232" s="10"/>
      <c r="QPD232" s="10"/>
      <c r="QPE232" s="19"/>
      <c r="QPF232" s="19"/>
      <c r="QPI232" s="16"/>
      <c r="QPJ232" s="15"/>
      <c r="QPK232" s="15"/>
      <c r="QPL232" s="15"/>
      <c r="QPM232" s="16"/>
      <c r="QPN232" s="16"/>
      <c r="QPO232" s="16"/>
      <c r="QPP232" s="16"/>
      <c r="QPQ232" s="16"/>
      <c r="QPR232" s="15"/>
      <c r="QPS232" s="15"/>
      <c r="QPT232" s="10"/>
      <c r="QPU232" s="10"/>
      <c r="QPV232" s="19"/>
      <c r="QPW232" s="19"/>
      <c r="QPZ232" s="16"/>
      <c r="QQA232" s="15"/>
      <c r="QQB232" s="15"/>
      <c r="QQC232" s="15"/>
      <c r="QQD232" s="16"/>
      <c r="QQE232" s="16"/>
      <c r="QQF232" s="16"/>
      <c r="QQG232" s="16"/>
      <c r="QQH232" s="16"/>
      <c r="QQI232" s="15"/>
      <c r="QQJ232" s="15"/>
      <c r="QQK232" s="10"/>
      <c r="QQL232" s="10"/>
      <c r="QQM232" s="19"/>
      <c r="QQN232" s="19"/>
      <c r="QQQ232" s="16"/>
      <c r="QQR232" s="15"/>
      <c r="QQS232" s="15"/>
      <c r="QQT232" s="15"/>
      <c r="QQU232" s="16"/>
      <c r="QQV232" s="16"/>
      <c r="QQW232" s="16"/>
      <c r="QQX232" s="16"/>
      <c r="QQY232" s="16"/>
      <c r="QQZ232" s="15"/>
      <c r="QRA232" s="15"/>
      <c r="QRB232" s="10"/>
      <c r="QRC232" s="10"/>
      <c r="QRD232" s="19"/>
      <c r="QRE232" s="19"/>
      <c r="QRH232" s="16"/>
      <c r="QRI232" s="15"/>
      <c r="QRJ232" s="15"/>
      <c r="QRK232" s="15"/>
      <c r="QRL232" s="16"/>
      <c r="QRM232" s="16"/>
      <c r="QRN232" s="16"/>
      <c r="QRO232" s="16"/>
      <c r="QRP232" s="16"/>
      <c r="QRQ232" s="15"/>
      <c r="QRR232" s="15"/>
      <c r="QRS232" s="10"/>
      <c r="QRT232" s="10"/>
      <c r="QRU232" s="19"/>
      <c r="QRV232" s="19"/>
      <c r="QRY232" s="16"/>
      <c r="QRZ232" s="15"/>
      <c r="QSA232" s="15"/>
      <c r="QSB232" s="15"/>
      <c r="QSC232" s="16"/>
      <c r="QSD232" s="16"/>
      <c r="QSE232" s="16"/>
      <c r="QSF232" s="16"/>
      <c r="QSG232" s="16"/>
      <c r="QSH232" s="15"/>
      <c r="QSI232" s="15"/>
      <c r="QSJ232" s="10"/>
      <c r="QSK232" s="10"/>
      <c r="QSL232" s="19"/>
      <c r="QSM232" s="19"/>
      <c r="QSP232" s="16"/>
      <c r="QSQ232" s="15"/>
      <c r="QSR232" s="15"/>
      <c r="QSS232" s="15"/>
      <c r="QST232" s="16"/>
      <c r="QSU232" s="16"/>
      <c r="QSV232" s="16"/>
      <c r="QSW232" s="16"/>
      <c r="QSX232" s="16"/>
      <c r="QSY232" s="15"/>
      <c r="QSZ232" s="15"/>
      <c r="QTA232" s="10"/>
      <c r="QTB232" s="10"/>
      <c r="QTC232" s="19"/>
      <c r="QTD232" s="19"/>
      <c r="QTG232" s="16"/>
      <c r="QTH232" s="15"/>
      <c r="QTI232" s="15"/>
      <c r="QTJ232" s="15"/>
      <c r="QTK232" s="16"/>
      <c r="QTL232" s="16"/>
      <c r="QTM232" s="16"/>
      <c r="QTN232" s="16"/>
      <c r="QTO232" s="16"/>
      <c r="QTP232" s="15"/>
      <c r="QTQ232" s="15"/>
      <c r="QTR232" s="10"/>
      <c r="QTS232" s="10"/>
      <c r="QTT232" s="19"/>
      <c r="QTU232" s="19"/>
      <c r="QTX232" s="16"/>
      <c r="QTY232" s="15"/>
      <c r="QTZ232" s="15"/>
      <c r="QUA232" s="15"/>
      <c r="QUB232" s="16"/>
      <c r="QUC232" s="16"/>
      <c r="QUD232" s="16"/>
      <c r="QUE232" s="16"/>
      <c r="QUF232" s="16"/>
      <c r="QUG232" s="15"/>
      <c r="QUH232" s="15"/>
      <c r="QUI232" s="10"/>
      <c r="QUJ232" s="10"/>
      <c r="QUK232" s="19"/>
      <c r="QUL232" s="19"/>
      <c r="QUO232" s="16"/>
      <c r="QUP232" s="15"/>
      <c r="QUQ232" s="15"/>
      <c r="QUR232" s="15"/>
      <c r="QUS232" s="16"/>
      <c r="QUT232" s="16"/>
      <c r="QUU232" s="16"/>
      <c r="QUV232" s="16"/>
      <c r="QUW232" s="16"/>
      <c r="QUX232" s="15"/>
      <c r="QUY232" s="15"/>
      <c r="QUZ232" s="10"/>
      <c r="QVA232" s="10"/>
      <c r="QVB232" s="19"/>
      <c r="QVC232" s="19"/>
      <c r="QVF232" s="16"/>
      <c r="QVG232" s="15"/>
      <c r="QVH232" s="15"/>
      <c r="QVI232" s="15"/>
      <c r="QVJ232" s="16"/>
      <c r="QVK232" s="16"/>
      <c r="QVL232" s="16"/>
      <c r="QVM232" s="16"/>
      <c r="QVN232" s="16"/>
      <c r="QVO232" s="15"/>
      <c r="QVP232" s="15"/>
      <c r="QVQ232" s="10"/>
      <c r="QVR232" s="10"/>
      <c r="QVS232" s="19"/>
      <c r="QVT232" s="19"/>
      <c r="QVW232" s="16"/>
      <c r="QVX232" s="15"/>
      <c r="QVY232" s="15"/>
      <c r="QVZ232" s="15"/>
      <c r="QWA232" s="16"/>
      <c r="QWB232" s="16"/>
      <c r="QWC232" s="16"/>
      <c r="QWD232" s="16"/>
      <c r="QWE232" s="16"/>
      <c r="QWF232" s="15"/>
      <c r="QWG232" s="15"/>
      <c r="QWH232" s="10"/>
      <c r="QWI232" s="10"/>
      <c r="QWJ232" s="19"/>
      <c r="QWK232" s="19"/>
      <c r="QWN232" s="16"/>
      <c r="QWO232" s="15"/>
      <c r="QWP232" s="15"/>
      <c r="QWQ232" s="15"/>
      <c r="QWR232" s="16"/>
      <c r="QWS232" s="16"/>
      <c r="QWT232" s="16"/>
      <c r="QWU232" s="16"/>
      <c r="QWV232" s="16"/>
      <c r="QWW232" s="15"/>
      <c r="QWX232" s="15"/>
      <c r="QWY232" s="10"/>
      <c r="QWZ232" s="10"/>
      <c r="QXA232" s="19"/>
      <c r="QXB232" s="19"/>
      <c r="QXE232" s="16"/>
      <c r="QXF232" s="15"/>
      <c r="QXG232" s="15"/>
      <c r="QXH232" s="15"/>
      <c r="QXI232" s="16"/>
      <c r="QXJ232" s="16"/>
      <c r="QXK232" s="16"/>
      <c r="QXL232" s="16"/>
      <c r="QXM232" s="16"/>
      <c r="QXN232" s="15"/>
      <c r="QXO232" s="15"/>
      <c r="QXP232" s="10"/>
      <c r="QXQ232" s="10"/>
      <c r="QXR232" s="19"/>
      <c r="QXS232" s="19"/>
      <c r="QXV232" s="16"/>
      <c r="QXW232" s="15"/>
      <c r="QXX232" s="15"/>
      <c r="QXY232" s="15"/>
      <c r="QXZ232" s="16"/>
      <c r="QYA232" s="16"/>
      <c r="QYB232" s="16"/>
      <c r="QYC232" s="16"/>
      <c r="QYD232" s="16"/>
      <c r="QYE232" s="15"/>
      <c r="QYF232" s="15"/>
      <c r="QYG232" s="10"/>
      <c r="QYH232" s="10"/>
      <c r="QYI232" s="19"/>
      <c r="QYJ232" s="19"/>
      <c r="QYM232" s="16"/>
      <c r="QYN232" s="15"/>
      <c r="QYO232" s="15"/>
      <c r="QYP232" s="15"/>
      <c r="QYQ232" s="16"/>
      <c r="QYR232" s="16"/>
      <c r="QYS232" s="16"/>
      <c r="QYT232" s="16"/>
      <c r="QYU232" s="16"/>
      <c r="QYV232" s="15"/>
      <c r="QYW232" s="15"/>
      <c r="QYX232" s="10"/>
      <c r="QYY232" s="10"/>
      <c r="QYZ232" s="19"/>
      <c r="QZA232" s="19"/>
      <c r="QZD232" s="16"/>
      <c r="QZE232" s="15"/>
      <c r="QZF232" s="15"/>
      <c r="QZG232" s="15"/>
      <c r="QZH232" s="16"/>
      <c r="QZI232" s="16"/>
      <c r="QZJ232" s="16"/>
      <c r="QZK232" s="16"/>
      <c r="QZL232" s="16"/>
      <c r="QZM232" s="15"/>
      <c r="QZN232" s="15"/>
      <c r="QZO232" s="10"/>
      <c r="QZP232" s="10"/>
      <c r="QZQ232" s="19"/>
      <c r="QZR232" s="19"/>
      <c r="QZU232" s="16"/>
      <c r="QZV232" s="15"/>
      <c r="QZW232" s="15"/>
      <c r="QZX232" s="15"/>
      <c r="QZY232" s="16"/>
      <c r="QZZ232" s="16"/>
      <c r="RAA232" s="16"/>
      <c r="RAB232" s="16"/>
      <c r="RAC232" s="16"/>
      <c r="RAD232" s="15"/>
      <c r="RAE232" s="15"/>
      <c r="RAF232" s="10"/>
      <c r="RAG232" s="10"/>
      <c r="RAH232" s="19"/>
      <c r="RAI232" s="19"/>
      <c r="RAL232" s="16"/>
      <c r="RAM232" s="15"/>
      <c r="RAN232" s="15"/>
      <c r="RAO232" s="15"/>
      <c r="RAP232" s="16"/>
      <c r="RAQ232" s="16"/>
      <c r="RAR232" s="16"/>
      <c r="RAS232" s="16"/>
      <c r="RAT232" s="16"/>
      <c r="RAU232" s="15"/>
      <c r="RAV232" s="15"/>
      <c r="RAW232" s="10"/>
      <c r="RAX232" s="10"/>
      <c r="RAY232" s="19"/>
      <c r="RAZ232" s="19"/>
      <c r="RBC232" s="16"/>
      <c r="RBD232" s="15"/>
      <c r="RBE232" s="15"/>
      <c r="RBF232" s="15"/>
      <c r="RBG232" s="16"/>
      <c r="RBH232" s="16"/>
      <c r="RBI232" s="16"/>
      <c r="RBJ232" s="16"/>
      <c r="RBK232" s="16"/>
      <c r="RBL232" s="15"/>
      <c r="RBM232" s="15"/>
      <c r="RBN232" s="10"/>
      <c r="RBO232" s="10"/>
      <c r="RBP232" s="19"/>
      <c r="RBQ232" s="19"/>
      <c r="RBT232" s="16"/>
      <c r="RBU232" s="15"/>
      <c r="RBV232" s="15"/>
      <c r="RBW232" s="15"/>
      <c r="RBX232" s="16"/>
      <c r="RBY232" s="16"/>
      <c r="RBZ232" s="16"/>
      <c r="RCA232" s="16"/>
      <c r="RCB232" s="16"/>
      <c r="RCC232" s="15"/>
      <c r="RCD232" s="15"/>
      <c r="RCE232" s="10"/>
      <c r="RCF232" s="10"/>
      <c r="RCG232" s="19"/>
      <c r="RCH232" s="19"/>
      <c r="RCK232" s="16"/>
      <c r="RCL232" s="15"/>
      <c r="RCM232" s="15"/>
      <c r="RCN232" s="15"/>
      <c r="RCO232" s="16"/>
      <c r="RCP232" s="16"/>
      <c r="RCQ232" s="16"/>
      <c r="RCR232" s="16"/>
      <c r="RCS232" s="16"/>
      <c r="RCT232" s="15"/>
      <c r="RCU232" s="15"/>
      <c r="RCV232" s="10"/>
      <c r="RCW232" s="10"/>
      <c r="RCX232" s="19"/>
      <c r="RCY232" s="19"/>
      <c r="RDB232" s="16"/>
      <c r="RDC232" s="15"/>
      <c r="RDD232" s="15"/>
      <c r="RDE232" s="15"/>
      <c r="RDF232" s="16"/>
      <c r="RDG232" s="16"/>
      <c r="RDH232" s="16"/>
      <c r="RDI232" s="16"/>
      <c r="RDJ232" s="16"/>
      <c r="RDK232" s="15"/>
      <c r="RDL232" s="15"/>
      <c r="RDM232" s="10"/>
      <c r="RDN232" s="10"/>
      <c r="RDO232" s="19"/>
      <c r="RDP232" s="19"/>
      <c r="RDS232" s="16"/>
      <c r="RDT232" s="15"/>
      <c r="RDU232" s="15"/>
      <c r="RDV232" s="15"/>
      <c r="RDW232" s="16"/>
      <c r="RDX232" s="16"/>
      <c r="RDY232" s="16"/>
      <c r="RDZ232" s="16"/>
      <c r="REA232" s="16"/>
      <c r="REB232" s="15"/>
      <c r="REC232" s="15"/>
      <c r="RED232" s="10"/>
      <c r="REE232" s="10"/>
      <c r="REF232" s="19"/>
      <c r="REG232" s="19"/>
      <c r="REJ232" s="16"/>
      <c r="REK232" s="15"/>
      <c r="REL232" s="15"/>
      <c r="REM232" s="15"/>
      <c r="REN232" s="16"/>
      <c r="REO232" s="16"/>
      <c r="REP232" s="16"/>
      <c r="REQ232" s="16"/>
      <c r="RER232" s="16"/>
      <c r="RES232" s="15"/>
      <c r="RET232" s="15"/>
      <c r="REU232" s="10"/>
      <c r="REV232" s="10"/>
      <c r="REW232" s="19"/>
      <c r="REX232" s="19"/>
      <c r="RFA232" s="16"/>
      <c r="RFB232" s="15"/>
      <c r="RFC232" s="15"/>
      <c r="RFD232" s="15"/>
      <c r="RFE232" s="16"/>
      <c r="RFF232" s="16"/>
      <c r="RFG232" s="16"/>
      <c r="RFH232" s="16"/>
      <c r="RFI232" s="16"/>
      <c r="RFJ232" s="15"/>
      <c r="RFK232" s="15"/>
      <c r="RFL232" s="10"/>
      <c r="RFM232" s="10"/>
      <c r="RFN232" s="19"/>
      <c r="RFO232" s="19"/>
      <c r="RFR232" s="16"/>
      <c r="RFS232" s="15"/>
      <c r="RFT232" s="15"/>
      <c r="RFU232" s="15"/>
      <c r="RFV232" s="16"/>
      <c r="RFW232" s="16"/>
      <c r="RFX232" s="16"/>
      <c r="RFY232" s="16"/>
      <c r="RFZ232" s="16"/>
      <c r="RGA232" s="15"/>
      <c r="RGB232" s="15"/>
      <c r="RGC232" s="10"/>
      <c r="RGD232" s="10"/>
      <c r="RGE232" s="19"/>
      <c r="RGF232" s="19"/>
      <c r="RGI232" s="16"/>
      <c r="RGJ232" s="15"/>
      <c r="RGK232" s="15"/>
      <c r="RGL232" s="15"/>
      <c r="RGM232" s="16"/>
      <c r="RGN232" s="16"/>
      <c r="RGO232" s="16"/>
      <c r="RGP232" s="16"/>
      <c r="RGQ232" s="16"/>
      <c r="RGR232" s="15"/>
      <c r="RGS232" s="15"/>
      <c r="RGT232" s="10"/>
      <c r="RGU232" s="10"/>
      <c r="RGV232" s="19"/>
      <c r="RGW232" s="19"/>
      <c r="RGZ232" s="16"/>
      <c r="RHA232" s="15"/>
      <c r="RHB232" s="15"/>
      <c r="RHC232" s="15"/>
      <c r="RHD232" s="16"/>
      <c r="RHE232" s="16"/>
      <c r="RHF232" s="16"/>
      <c r="RHG232" s="16"/>
      <c r="RHH232" s="16"/>
      <c r="RHI232" s="15"/>
      <c r="RHJ232" s="15"/>
      <c r="RHK232" s="10"/>
      <c r="RHL232" s="10"/>
      <c r="RHM232" s="19"/>
      <c r="RHN232" s="19"/>
      <c r="RHQ232" s="16"/>
      <c r="RHR232" s="15"/>
      <c r="RHS232" s="15"/>
      <c r="RHT232" s="15"/>
      <c r="RHU232" s="16"/>
      <c r="RHV232" s="16"/>
      <c r="RHW232" s="16"/>
      <c r="RHX232" s="16"/>
      <c r="RHY232" s="16"/>
      <c r="RHZ232" s="15"/>
      <c r="RIA232" s="15"/>
      <c r="RIB232" s="10"/>
      <c r="RIC232" s="10"/>
      <c r="RID232" s="19"/>
      <c r="RIE232" s="19"/>
      <c r="RIH232" s="16"/>
      <c r="RII232" s="15"/>
      <c r="RIJ232" s="15"/>
      <c r="RIK232" s="15"/>
      <c r="RIL232" s="16"/>
      <c r="RIM232" s="16"/>
      <c r="RIN232" s="16"/>
      <c r="RIO232" s="16"/>
      <c r="RIP232" s="16"/>
      <c r="RIQ232" s="15"/>
      <c r="RIR232" s="15"/>
      <c r="RIS232" s="10"/>
      <c r="RIT232" s="10"/>
      <c r="RIU232" s="19"/>
      <c r="RIV232" s="19"/>
      <c r="RIY232" s="16"/>
      <c r="RIZ232" s="15"/>
      <c r="RJA232" s="15"/>
      <c r="RJB232" s="15"/>
      <c r="RJC232" s="16"/>
      <c r="RJD232" s="16"/>
      <c r="RJE232" s="16"/>
      <c r="RJF232" s="16"/>
      <c r="RJG232" s="16"/>
      <c r="RJH232" s="15"/>
      <c r="RJI232" s="15"/>
      <c r="RJJ232" s="10"/>
      <c r="RJK232" s="10"/>
      <c r="RJL232" s="19"/>
      <c r="RJM232" s="19"/>
      <c r="RJP232" s="16"/>
      <c r="RJQ232" s="15"/>
      <c r="RJR232" s="15"/>
      <c r="RJS232" s="15"/>
      <c r="RJT232" s="16"/>
      <c r="RJU232" s="16"/>
      <c r="RJV232" s="16"/>
      <c r="RJW232" s="16"/>
      <c r="RJX232" s="16"/>
      <c r="RJY232" s="15"/>
      <c r="RJZ232" s="15"/>
      <c r="RKA232" s="10"/>
      <c r="RKB232" s="10"/>
      <c r="RKC232" s="19"/>
      <c r="RKD232" s="19"/>
      <c r="RKG232" s="16"/>
      <c r="RKH232" s="15"/>
      <c r="RKI232" s="15"/>
      <c r="RKJ232" s="15"/>
      <c r="RKK232" s="16"/>
      <c r="RKL232" s="16"/>
      <c r="RKM232" s="16"/>
      <c r="RKN232" s="16"/>
      <c r="RKO232" s="16"/>
      <c r="RKP232" s="15"/>
      <c r="RKQ232" s="15"/>
      <c r="RKR232" s="10"/>
      <c r="RKS232" s="10"/>
      <c r="RKT232" s="19"/>
      <c r="RKU232" s="19"/>
      <c r="RKX232" s="16"/>
      <c r="RKY232" s="15"/>
      <c r="RKZ232" s="15"/>
      <c r="RLA232" s="15"/>
      <c r="RLB232" s="16"/>
      <c r="RLC232" s="16"/>
      <c r="RLD232" s="16"/>
      <c r="RLE232" s="16"/>
      <c r="RLF232" s="16"/>
      <c r="RLG232" s="15"/>
      <c r="RLH232" s="15"/>
      <c r="RLI232" s="10"/>
      <c r="RLJ232" s="10"/>
      <c r="RLK232" s="19"/>
      <c r="RLL232" s="19"/>
      <c r="RLO232" s="16"/>
      <c r="RLP232" s="15"/>
      <c r="RLQ232" s="15"/>
      <c r="RLR232" s="15"/>
      <c r="RLS232" s="16"/>
      <c r="RLT232" s="16"/>
      <c r="RLU232" s="16"/>
      <c r="RLV232" s="16"/>
      <c r="RLW232" s="16"/>
      <c r="RLX232" s="15"/>
      <c r="RLY232" s="15"/>
      <c r="RLZ232" s="10"/>
      <c r="RMA232" s="10"/>
      <c r="RMB232" s="19"/>
      <c r="RMC232" s="19"/>
      <c r="RMF232" s="16"/>
      <c r="RMG232" s="15"/>
      <c r="RMH232" s="15"/>
      <c r="RMI232" s="15"/>
      <c r="RMJ232" s="16"/>
      <c r="RMK232" s="16"/>
      <c r="RML232" s="16"/>
      <c r="RMM232" s="16"/>
      <c r="RMN232" s="16"/>
      <c r="RMO232" s="15"/>
      <c r="RMP232" s="15"/>
      <c r="RMQ232" s="10"/>
      <c r="RMR232" s="10"/>
      <c r="RMS232" s="19"/>
      <c r="RMT232" s="19"/>
      <c r="RMW232" s="16"/>
      <c r="RMX232" s="15"/>
      <c r="RMY232" s="15"/>
      <c r="RMZ232" s="15"/>
      <c r="RNA232" s="16"/>
      <c r="RNB232" s="16"/>
      <c r="RNC232" s="16"/>
      <c r="RND232" s="16"/>
      <c r="RNE232" s="16"/>
      <c r="RNF232" s="15"/>
      <c r="RNG232" s="15"/>
      <c r="RNH232" s="10"/>
      <c r="RNI232" s="10"/>
      <c r="RNJ232" s="19"/>
      <c r="RNK232" s="19"/>
      <c r="RNN232" s="16"/>
      <c r="RNO232" s="15"/>
      <c r="RNP232" s="15"/>
      <c r="RNQ232" s="15"/>
      <c r="RNR232" s="16"/>
      <c r="RNS232" s="16"/>
      <c r="RNT232" s="16"/>
      <c r="RNU232" s="16"/>
      <c r="RNV232" s="16"/>
      <c r="RNW232" s="15"/>
      <c r="RNX232" s="15"/>
      <c r="RNY232" s="10"/>
      <c r="RNZ232" s="10"/>
      <c r="ROA232" s="19"/>
      <c r="ROB232" s="19"/>
      <c r="ROE232" s="16"/>
      <c r="ROF232" s="15"/>
      <c r="ROG232" s="15"/>
      <c r="ROH232" s="15"/>
      <c r="ROI232" s="16"/>
      <c r="ROJ232" s="16"/>
      <c r="ROK232" s="16"/>
      <c r="ROL232" s="16"/>
      <c r="ROM232" s="16"/>
      <c r="RON232" s="15"/>
      <c r="ROO232" s="15"/>
      <c r="ROP232" s="10"/>
      <c r="ROQ232" s="10"/>
      <c r="ROR232" s="19"/>
      <c r="ROS232" s="19"/>
      <c r="ROV232" s="16"/>
      <c r="ROW232" s="15"/>
      <c r="ROX232" s="15"/>
      <c r="ROY232" s="15"/>
      <c r="ROZ232" s="16"/>
      <c r="RPA232" s="16"/>
      <c r="RPB232" s="16"/>
      <c r="RPC232" s="16"/>
      <c r="RPD232" s="16"/>
      <c r="RPE232" s="15"/>
      <c r="RPF232" s="15"/>
      <c r="RPG232" s="10"/>
      <c r="RPH232" s="10"/>
      <c r="RPI232" s="19"/>
      <c r="RPJ232" s="19"/>
      <c r="RPM232" s="16"/>
      <c r="RPN232" s="15"/>
      <c r="RPO232" s="15"/>
      <c r="RPP232" s="15"/>
      <c r="RPQ232" s="16"/>
      <c r="RPR232" s="16"/>
      <c r="RPS232" s="16"/>
      <c r="RPT232" s="16"/>
      <c r="RPU232" s="16"/>
      <c r="RPV232" s="15"/>
      <c r="RPW232" s="15"/>
      <c r="RPX232" s="10"/>
      <c r="RPY232" s="10"/>
      <c r="RPZ232" s="19"/>
      <c r="RQA232" s="19"/>
      <c r="RQD232" s="16"/>
      <c r="RQE232" s="15"/>
      <c r="RQF232" s="15"/>
      <c r="RQG232" s="15"/>
      <c r="RQH232" s="16"/>
      <c r="RQI232" s="16"/>
      <c r="RQJ232" s="16"/>
      <c r="RQK232" s="16"/>
      <c r="RQL232" s="16"/>
      <c r="RQM232" s="15"/>
      <c r="RQN232" s="15"/>
      <c r="RQO232" s="10"/>
      <c r="RQP232" s="10"/>
      <c r="RQQ232" s="19"/>
      <c r="RQR232" s="19"/>
      <c r="RQU232" s="16"/>
      <c r="RQV232" s="15"/>
      <c r="RQW232" s="15"/>
      <c r="RQX232" s="15"/>
      <c r="RQY232" s="16"/>
      <c r="RQZ232" s="16"/>
      <c r="RRA232" s="16"/>
      <c r="RRB232" s="16"/>
      <c r="RRC232" s="16"/>
      <c r="RRD232" s="15"/>
      <c r="RRE232" s="15"/>
      <c r="RRF232" s="10"/>
      <c r="RRG232" s="10"/>
      <c r="RRH232" s="19"/>
      <c r="RRI232" s="19"/>
      <c r="RRL232" s="16"/>
      <c r="RRM232" s="15"/>
      <c r="RRN232" s="15"/>
      <c r="RRO232" s="15"/>
      <c r="RRP232" s="16"/>
      <c r="RRQ232" s="16"/>
      <c r="RRR232" s="16"/>
      <c r="RRS232" s="16"/>
      <c r="RRT232" s="16"/>
      <c r="RRU232" s="15"/>
      <c r="RRV232" s="15"/>
      <c r="RRW232" s="10"/>
      <c r="RRX232" s="10"/>
      <c r="RRY232" s="19"/>
      <c r="RRZ232" s="19"/>
      <c r="RSC232" s="16"/>
      <c r="RSD232" s="15"/>
      <c r="RSE232" s="15"/>
      <c r="RSF232" s="15"/>
      <c r="RSG232" s="16"/>
      <c r="RSH232" s="16"/>
      <c r="RSI232" s="16"/>
      <c r="RSJ232" s="16"/>
      <c r="RSK232" s="16"/>
      <c r="RSL232" s="15"/>
      <c r="RSM232" s="15"/>
      <c r="RSN232" s="10"/>
      <c r="RSO232" s="10"/>
      <c r="RSP232" s="19"/>
      <c r="RSQ232" s="19"/>
      <c r="RST232" s="16"/>
      <c r="RSU232" s="15"/>
      <c r="RSV232" s="15"/>
      <c r="RSW232" s="15"/>
      <c r="RSX232" s="16"/>
      <c r="RSY232" s="16"/>
      <c r="RSZ232" s="16"/>
      <c r="RTA232" s="16"/>
      <c r="RTB232" s="16"/>
      <c r="RTC232" s="15"/>
      <c r="RTD232" s="15"/>
      <c r="RTE232" s="10"/>
      <c r="RTF232" s="10"/>
      <c r="RTG232" s="19"/>
      <c r="RTH232" s="19"/>
      <c r="RTK232" s="16"/>
      <c r="RTL232" s="15"/>
      <c r="RTM232" s="15"/>
      <c r="RTN232" s="15"/>
      <c r="RTO232" s="16"/>
      <c r="RTP232" s="16"/>
      <c r="RTQ232" s="16"/>
      <c r="RTR232" s="16"/>
      <c r="RTS232" s="16"/>
      <c r="RTT232" s="15"/>
      <c r="RTU232" s="15"/>
      <c r="RTV232" s="10"/>
      <c r="RTW232" s="10"/>
      <c r="RTX232" s="19"/>
      <c r="RTY232" s="19"/>
      <c r="RUB232" s="16"/>
      <c r="RUC232" s="15"/>
      <c r="RUD232" s="15"/>
      <c r="RUE232" s="15"/>
      <c r="RUF232" s="16"/>
      <c r="RUG232" s="16"/>
      <c r="RUH232" s="16"/>
      <c r="RUI232" s="16"/>
      <c r="RUJ232" s="16"/>
      <c r="RUK232" s="15"/>
      <c r="RUL232" s="15"/>
      <c r="RUM232" s="10"/>
      <c r="RUN232" s="10"/>
      <c r="RUO232" s="19"/>
      <c r="RUP232" s="19"/>
      <c r="RUS232" s="16"/>
      <c r="RUT232" s="15"/>
      <c r="RUU232" s="15"/>
      <c r="RUV232" s="15"/>
      <c r="RUW232" s="16"/>
      <c r="RUX232" s="16"/>
      <c r="RUY232" s="16"/>
      <c r="RUZ232" s="16"/>
      <c r="RVA232" s="16"/>
      <c r="RVB232" s="15"/>
      <c r="RVC232" s="15"/>
      <c r="RVD232" s="10"/>
      <c r="RVE232" s="10"/>
      <c r="RVF232" s="19"/>
      <c r="RVG232" s="19"/>
      <c r="RVJ232" s="16"/>
      <c r="RVK232" s="15"/>
      <c r="RVL232" s="15"/>
      <c r="RVM232" s="15"/>
      <c r="RVN232" s="16"/>
      <c r="RVO232" s="16"/>
      <c r="RVP232" s="16"/>
      <c r="RVQ232" s="16"/>
      <c r="RVR232" s="16"/>
      <c r="RVS232" s="15"/>
      <c r="RVT232" s="15"/>
      <c r="RVU232" s="10"/>
      <c r="RVV232" s="10"/>
      <c r="RVW232" s="19"/>
      <c r="RVX232" s="19"/>
      <c r="RWA232" s="16"/>
      <c r="RWB232" s="15"/>
      <c r="RWC232" s="15"/>
      <c r="RWD232" s="15"/>
      <c r="RWE232" s="16"/>
      <c r="RWF232" s="16"/>
      <c r="RWG232" s="16"/>
      <c r="RWH232" s="16"/>
      <c r="RWI232" s="16"/>
      <c r="RWJ232" s="15"/>
      <c r="RWK232" s="15"/>
      <c r="RWL232" s="10"/>
      <c r="RWM232" s="10"/>
      <c r="RWN232" s="19"/>
      <c r="RWO232" s="19"/>
      <c r="RWR232" s="16"/>
      <c r="RWS232" s="15"/>
      <c r="RWT232" s="15"/>
      <c r="RWU232" s="15"/>
      <c r="RWV232" s="16"/>
      <c r="RWW232" s="16"/>
      <c r="RWX232" s="16"/>
      <c r="RWY232" s="16"/>
      <c r="RWZ232" s="16"/>
      <c r="RXA232" s="15"/>
      <c r="RXB232" s="15"/>
      <c r="RXC232" s="10"/>
      <c r="RXD232" s="10"/>
      <c r="RXE232" s="19"/>
      <c r="RXF232" s="19"/>
      <c r="RXI232" s="16"/>
      <c r="RXJ232" s="15"/>
      <c r="RXK232" s="15"/>
      <c r="RXL232" s="15"/>
      <c r="RXM232" s="16"/>
      <c r="RXN232" s="16"/>
      <c r="RXO232" s="16"/>
      <c r="RXP232" s="16"/>
      <c r="RXQ232" s="16"/>
      <c r="RXR232" s="15"/>
      <c r="RXS232" s="15"/>
      <c r="RXT232" s="10"/>
      <c r="RXU232" s="10"/>
      <c r="RXV232" s="19"/>
      <c r="RXW232" s="19"/>
      <c r="RXZ232" s="16"/>
      <c r="RYA232" s="15"/>
      <c r="RYB232" s="15"/>
      <c r="RYC232" s="15"/>
      <c r="RYD232" s="16"/>
      <c r="RYE232" s="16"/>
      <c r="RYF232" s="16"/>
      <c r="RYG232" s="16"/>
      <c r="RYH232" s="16"/>
      <c r="RYI232" s="15"/>
      <c r="RYJ232" s="15"/>
      <c r="RYK232" s="10"/>
      <c r="RYL232" s="10"/>
      <c r="RYM232" s="19"/>
      <c r="RYN232" s="19"/>
      <c r="RYQ232" s="16"/>
      <c r="RYR232" s="15"/>
      <c r="RYS232" s="15"/>
      <c r="RYT232" s="15"/>
      <c r="RYU232" s="16"/>
      <c r="RYV232" s="16"/>
      <c r="RYW232" s="16"/>
      <c r="RYX232" s="16"/>
      <c r="RYY232" s="16"/>
      <c r="RYZ232" s="15"/>
      <c r="RZA232" s="15"/>
      <c r="RZB232" s="10"/>
      <c r="RZC232" s="10"/>
      <c r="RZD232" s="19"/>
      <c r="RZE232" s="19"/>
      <c r="RZH232" s="16"/>
      <c r="RZI232" s="15"/>
      <c r="RZJ232" s="15"/>
      <c r="RZK232" s="15"/>
      <c r="RZL232" s="16"/>
      <c r="RZM232" s="16"/>
      <c r="RZN232" s="16"/>
      <c r="RZO232" s="16"/>
      <c r="RZP232" s="16"/>
      <c r="RZQ232" s="15"/>
      <c r="RZR232" s="15"/>
      <c r="RZS232" s="10"/>
      <c r="RZT232" s="10"/>
      <c r="RZU232" s="19"/>
      <c r="RZV232" s="19"/>
      <c r="RZY232" s="16"/>
      <c r="RZZ232" s="15"/>
      <c r="SAA232" s="15"/>
      <c r="SAB232" s="15"/>
      <c r="SAC232" s="16"/>
      <c r="SAD232" s="16"/>
      <c r="SAE232" s="16"/>
      <c r="SAF232" s="16"/>
      <c r="SAG232" s="16"/>
      <c r="SAH232" s="15"/>
      <c r="SAI232" s="15"/>
      <c r="SAJ232" s="10"/>
      <c r="SAK232" s="10"/>
      <c r="SAL232" s="19"/>
      <c r="SAM232" s="19"/>
      <c r="SAP232" s="16"/>
      <c r="SAQ232" s="15"/>
      <c r="SAR232" s="15"/>
      <c r="SAS232" s="15"/>
      <c r="SAT232" s="16"/>
      <c r="SAU232" s="16"/>
      <c r="SAV232" s="16"/>
      <c r="SAW232" s="16"/>
      <c r="SAX232" s="16"/>
      <c r="SAY232" s="15"/>
      <c r="SAZ232" s="15"/>
      <c r="SBA232" s="10"/>
      <c r="SBB232" s="10"/>
      <c r="SBC232" s="19"/>
      <c r="SBD232" s="19"/>
      <c r="SBG232" s="16"/>
      <c r="SBH232" s="15"/>
      <c r="SBI232" s="15"/>
      <c r="SBJ232" s="15"/>
      <c r="SBK232" s="16"/>
      <c r="SBL232" s="16"/>
      <c r="SBM232" s="16"/>
      <c r="SBN232" s="16"/>
      <c r="SBO232" s="16"/>
      <c r="SBP232" s="15"/>
      <c r="SBQ232" s="15"/>
      <c r="SBR232" s="10"/>
      <c r="SBS232" s="10"/>
      <c r="SBT232" s="19"/>
      <c r="SBU232" s="19"/>
      <c r="SBX232" s="16"/>
      <c r="SBY232" s="15"/>
      <c r="SBZ232" s="15"/>
      <c r="SCA232" s="15"/>
      <c r="SCB232" s="16"/>
      <c r="SCC232" s="16"/>
      <c r="SCD232" s="16"/>
      <c r="SCE232" s="16"/>
      <c r="SCF232" s="16"/>
      <c r="SCG232" s="15"/>
      <c r="SCH232" s="15"/>
      <c r="SCI232" s="10"/>
      <c r="SCJ232" s="10"/>
      <c r="SCK232" s="19"/>
      <c r="SCL232" s="19"/>
      <c r="SCO232" s="16"/>
      <c r="SCP232" s="15"/>
      <c r="SCQ232" s="15"/>
      <c r="SCR232" s="15"/>
      <c r="SCS232" s="16"/>
      <c r="SCT232" s="16"/>
      <c r="SCU232" s="16"/>
      <c r="SCV232" s="16"/>
      <c r="SCW232" s="16"/>
      <c r="SCX232" s="15"/>
      <c r="SCY232" s="15"/>
      <c r="SCZ232" s="10"/>
      <c r="SDA232" s="10"/>
      <c r="SDB232" s="19"/>
      <c r="SDC232" s="19"/>
      <c r="SDF232" s="16"/>
      <c r="SDG232" s="15"/>
      <c r="SDH232" s="15"/>
      <c r="SDI232" s="15"/>
      <c r="SDJ232" s="16"/>
      <c r="SDK232" s="16"/>
      <c r="SDL232" s="16"/>
      <c r="SDM232" s="16"/>
      <c r="SDN232" s="16"/>
      <c r="SDO232" s="15"/>
      <c r="SDP232" s="15"/>
      <c r="SDQ232" s="10"/>
      <c r="SDR232" s="10"/>
      <c r="SDS232" s="19"/>
      <c r="SDT232" s="19"/>
      <c r="SDW232" s="16"/>
      <c r="SDX232" s="15"/>
      <c r="SDY232" s="15"/>
      <c r="SDZ232" s="15"/>
      <c r="SEA232" s="16"/>
      <c r="SEB232" s="16"/>
      <c r="SEC232" s="16"/>
      <c r="SED232" s="16"/>
      <c r="SEE232" s="16"/>
      <c r="SEF232" s="15"/>
      <c r="SEG232" s="15"/>
      <c r="SEH232" s="10"/>
      <c r="SEI232" s="10"/>
      <c r="SEJ232" s="19"/>
      <c r="SEK232" s="19"/>
      <c r="SEN232" s="16"/>
      <c r="SEO232" s="15"/>
      <c r="SEP232" s="15"/>
      <c r="SEQ232" s="15"/>
      <c r="SER232" s="16"/>
      <c r="SES232" s="16"/>
      <c r="SET232" s="16"/>
      <c r="SEU232" s="16"/>
      <c r="SEV232" s="16"/>
      <c r="SEW232" s="15"/>
      <c r="SEX232" s="15"/>
      <c r="SEY232" s="10"/>
      <c r="SEZ232" s="10"/>
      <c r="SFA232" s="19"/>
      <c r="SFB232" s="19"/>
      <c r="SFE232" s="16"/>
      <c r="SFF232" s="15"/>
      <c r="SFG232" s="15"/>
      <c r="SFH232" s="15"/>
      <c r="SFI232" s="16"/>
      <c r="SFJ232" s="16"/>
      <c r="SFK232" s="16"/>
      <c r="SFL232" s="16"/>
      <c r="SFM232" s="16"/>
      <c r="SFN232" s="15"/>
      <c r="SFO232" s="15"/>
      <c r="SFP232" s="10"/>
      <c r="SFQ232" s="10"/>
      <c r="SFR232" s="19"/>
      <c r="SFS232" s="19"/>
      <c r="SFV232" s="16"/>
      <c r="SFW232" s="15"/>
      <c r="SFX232" s="15"/>
      <c r="SFY232" s="15"/>
      <c r="SFZ232" s="16"/>
      <c r="SGA232" s="16"/>
      <c r="SGB232" s="16"/>
      <c r="SGC232" s="16"/>
      <c r="SGD232" s="16"/>
      <c r="SGE232" s="15"/>
      <c r="SGF232" s="15"/>
      <c r="SGG232" s="10"/>
      <c r="SGH232" s="10"/>
      <c r="SGI232" s="19"/>
      <c r="SGJ232" s="19"/>
      <c r="SGM232" s="16"/>
      <c r="SGN232" s="15"/>
      <c r="SGO232" s="15"/>
      <c r="SGP232" s="15"/>
      <c r="SGQ232" s="16"/>
      <c r="SGR232" s="16"/>
      <c r="SGS232" s="16"/>
      <c r="SGT232" s="16"/>
      <c r="SGU232" s="16"/>
      <c r="SGV232" s="15"/>
      <c r="SGW232" s="15"/>
      <c r="SGX232" s="10"/>
      <c r="SGY232" s="10"/>
      <c r="SGZ232" s="19"/>
      <c r="SHA232" s="19"/>
      <c r="SHD232" s="16"/>
      <c r="SHE232" s="15"/>
      <c r="SHF232" s="15"/>
      <c r="SHG232" s="15"/>
      <c r="SHH232" s="16"/>
      <c r="SHI232" s="16"/>
      <c r="SHJ232" s="16"/>
      <c r="SHK232" s="16"/>
      <c r="SHL232" s="16"/>
      <c r="SHM232" s="15"/>
      <c r="SHN232" s="15"/>
      <c r="SHO232" s="10"/>
      <c r="SHP232" s="10"/>
      <c r="SHQ232" s="19"/>
      <c r="SHR232" s="19"/>
      <c r="SHU232" s="16"/>
      <c r="SHV232" s="15"/>
      <c r="SHW232" s="15"/>
      <c r="SHX232" s="15"/>
      <c r="SHY232" s="16"/>
      <c r="SHZ232" s="16"/>
      <c r="SIA232" s="16"/>
      <c r="SIB232" s="16"/>
      <c r="SIC232" s="16"/>
      <c r="SID232" s="15"/>
      <c r="SIE232" s="15"/>
      <c r="SIF232" s="10"/>
      <c r="SIG232" s="10"/>
      <c r="SIH232" s="19"/>
      <c r="SII232" s="19"/>
      <c r="SIL232" s="16"/>
      <c r="SIM232" s="15"/>
      <c r="SIN232" s="15"/>
      <c r="SIO232" s="15"/>
      <c r="SIP232" s="16"/>
      <c r="SIQ232" s="16"/>
      <c r="SIR232" s="16"/>
      <c r="SIS232" s="16"/>
      <c r="SIT232" s="16"/>
      <c r="SIU232" s="15"/>
      <c r="SIV232" s="15"/>
      <c r="SIW232" s="10"/>
      <c r="SIX232" s="10"/>
      <c r="SIY232" s="19"/>
      <c r="SIZ232" s="19"/>
      <c r="SJC232" s="16"/>
      <c r="SJD232" s="15"/>
      <c r="SJE232" s="15"/>
      <c r="SJF232" s="15"/>
      <c r="SJG232" s="16"/>
      <c r="SJH232" s="16"/>
      <c r="SJI232" s="16"/>
      <c r="SJJ232" s="16"/>
      <c r="SJK232" s="16"/>
      <c r="SJL232" s="15"/>
      <c r="SJM232" s="15"/>
      <c r="SJN232" s="10"/>
      <c r="SJO232" s="10"/>
      <c r="SJP232" s="19"/>
      <c r="SJQ232" s="19"/>
      <c r="SJT232" s="16"/>
      <c r="SJU232" s="15"/>
      <c r="SJV232" s="15"/>
      <c r="SJW232" s="15"/>
      <c r="SJX232" s="16"/>
      <c r="SJY232" s="16"/>
      <c r="SJZ232" s="16"/>
      <c r="SKA232" s="16"/>
      <c r="SKB232" s="16"/>
      <c r="SKC232" s="15"/>
      <c r="SKD232" s="15"/>
      <c r="SKE232" s="10"/>
      <c r="SKF232" s="10"/>
      <c r="SKG232" s="19"/>
      <c r="SKH232" s="19"/>
      <c r="SKK232" s="16"/>
      <c r="SKL232" s="15"/>
      <c r="SKM232" s="15"/>
      <c r="SKN232" s="15"/>
      <c r="SKO232" s="16"/>
      <c r="SKP232" s="16"/>
      <c r="SKQ232" s="16"/>
      <c r="SKR232" s="16"/>
      <c r="SKS232" s="16"/>
      <c r="SKT232" s="15"/>
      <c r="SKU232" s="15"/>
      <c r="SKV232" s="10"/>
      <c r="SKW232" s="10"/>
      <c r="SKX232" s="19"/>
      <c r="SKY232" s="19"/>
      <c r="SLB232" s="16"/>
      <c r="SLC232" s="15"/>
      <c r="SLD232" s="15"/>
      <c r="SLE232" s="15"/>
      <c r="SLF232" s="16"/>
      <c r="SLG232" s="16"/>
      <c r="SLH232" s="16"/>
      <c r="SLI232" s="16"/>
      <c r="SLJ232" s="16"/>
      <c r="SLK232" s="15"/>
      <c r="SLL232" s="15"/>
      <c r="SLM232" s="10"/>
      <c r="SLN232" s="10"/>
      <c r="SLO232" s="19"/>
      <c r="SLP232" s="19"/>
      <c r="SLS232" s="16"/>
      <c r="SLT232" s="15"/>
      <c r="SLU232" s="15"/>
      <c r="SLV232" s="15"/>
      <c r="SLW232" s="16"/>
      <c r="SLX232" s="16"/>
      <c r="SLY232" s="16"/>
      <c r="SLZ232" s="16"/>
      <c r="SMA232" s="16"/>
      <c r="SMB232" s="15"/>
      <c r="SMC232" s="15"/>
      <c r="SMD232" s="10"/>
      <c r="SME232" s="10"/>
      <c r="SMF232" s="19"/>
      <c r="SMG232" s="19"/>
      <c r="SMJ232" s="16"/>
      <c r="SMK232" s="15"/>
      <c r="SML232" s="15"/>
      <c r="SMM232" s="15"/>
      <c r="SMN232" s="16"/>
      <c r="SMO232" s="16"/>
      <c r="SMP232" s="16"/>
      <c r="SMQ232" s="16"/>
      <c r="SMR232" s="16"/>
      <c r="SMS232" s="15"/>
      <c r="SMT232" s="15"/>
      <c r="SMU232" s="10"/>
      <c r="SMV232" s="10"/>
      <c r="SMW232" s="19"/>
      <c r="SMX232" s="19"/>
      <c r="SNA232" s="16"/>
      <c r="SNB232" s="15"/>
      <c r="SNC232" s="15"/>
      <c r="SND232" s="15"/>
      <c r="SNE232" s="16"/>
      <c r="SNF232" s="16"/>
      <c r="SNG232" s="16"/>
      <c r="SNH232" s="16"/>
      <c r="SNI232" s="16"/>
      <c r="SNJ232" s="15"/>
      <c r="SNK232" s="15"/>
      <c r="SNL232" s="10"/>
      <c r="SNM232" s="10"/>
      <c r="SNN232" s="19"/>
      <c r="SNO232" s="19"/>
      <c r="SNR232" s="16"/>
      <c r="SNS232" s="15"/>
      <c r="SNT232" s="15"/>
      <c r="SNU232" s="15"/>
      <c r="SNV232" s="16"/>
      <c r="SNW232" s="16"/>
      <c r="SNX232" s="16"/>
      <c r="SNY232" s="16"/>
      <c r="SNZ232" s="16"/>
      <c r="SOA232" s="15"/>
      <c r="SOB232" s="15"/>
      <c r="SOC232" s="10"/>
      <c r="SOD232" s="10"/>
      <c r="SOE232" s="19"/>
      <c r="SOF232" s="19"/>
      <c r="SOI232" s="16"/>
      <c r="SOJ232" s="15"/>
      <c r="SOK232" s="15"/>
      <c r="SOL232" s="15"/>
      <c r="SOM232" s="16"/>
      <c r="SON232" s="16"/>
      <c r="SOO232" s="16"/>
      <c r="SOP232" s="16"/>
      <c r="SOQ232" s="16"/>
      <c r="SOR232" s="15"/>
      <c r="SOS232" s="15"/>
      <c r="SOT232" s="10"/>
      <c r="SOU232" s="10"/>
      <c r="SOV232" s="19"/>
      <c r="SOW232" s="19"/>
      <c r="SOZ232" s="16"/>
      <c r="SPA232" s="15"/>
      <c r="SPB232" s="15"/>
      <c r="SPC232" s="15"/>
      <c r="SPD232" s="16"/>
      <c r="SPE232" s="16"/>
      <c r="SPF232" s="16"/>
      <c r="SPG232" s="16"/>
      <c r="SPH232" s="16"/>
      <c r="SPI232" s="15"/>
      <c r="SPJ232" s="15"/>
      <c r="SPK232" s="10"/>
      <c r="SPL232" s="10"/>
      <c r="SPM232" s="19"/>
      <c r="SPN232" s="19"/>
      <c r="SPQ232" s="16"/>
      <c r="SPR232" s="15"/>
      <c r="SPS232" s="15"/>
      <c r="SPT232" s="15"/>
      <c r="SPU232" s="16"/>
      <c r="SPV232" s="16"/>
      <c r="SPW232" s="16"/>
      <c r="SPX232" s="16"/>
      <c r="SPY232" s="16"/>
      <c r="SPZ232" s="15"/>
      <c r="SQA232" s="15"/>
      <c r="SQB232" s="10"/>
      <c r="SQC232" s="10"/>
      <c r="SQD232" s="19"/>
      <c r="SQE232" s="19"/>
      <c r="SQH232" s="16"/>
      <c r="SQI232" s="15"/>
      <c r="SQJ232" s="15"/>
      <c r="SQK232" s="15"/>
      <c r="SQL232" s="16"/>
      <c r="SQM232" s="16"/>
      <c r="SQN232" s="16"/>
      <c r="SQO232" s="16"/>
      <c r="SQP232" s="16"/>
      <c r="SQQ232" s="15"/>
      <c r="SQR232" s="15"/>
      <c r="SQS232" s="10"/>
      <c r="SQT232" s="10"/>
      <c r="SQU232" s="19"/>
      <c r="SQV232" s="19"/>
      <c r="SQY232" s="16"/>
      <c r="SQZ232" s="15"/>
      <c r="SRA232" s="15"/>
      <c r="SRB232" s="15"/>
      <c r="SRC232" s="16"/>
      <c r="SRD232" s="16"/>
      <c r="SRE232" s="16"/>
      <c r="SRF232" s="16"/>
      <c r="SRG232" s="16"/>
      <c r="SRH232" s="15"/>
      <c r="SRI232" s="15"/>
      <c r="SRJ232" s="10"/>
      <c r="SRK232" s="10"/>
      <c r="SRL232" s="19"/>
      <c r="SRM232" s="19"/>
      <c r="SRP232" s="16"/>
      <c r="SRQ232" s="15"/>
      <c r="SRR232" s="15"/>
      <c r="SRS232" s="15"/>
      <c r="SRT232" s="16"/>
      <c r="SRU232" s="16"/>
      <c r="SRV232" s="16"/>
      <c r="SRW232" s="16"/>
      <c r="SRX232" s="16"/>
      <c r="SRY232" s="15"/>
      <c r="SRZ232" s="15"/>
      <c r="SSA232" s="10"/>
      <c r="SSB232" s="10"/>
      <c r="SSC232" s="19"/>
      <c r="SSD232" s="19"/>
      <c r="SSG232" s="16"/>
      <c r="SSH232" s="15"/>
      <c r="SSI232" s="15"/>
      <c r="SSJ232" s="15"/>
      <c r="SSK232" s="16"/>
      <c r="SSL232" s="16"/>
      <c r="SSM232" s="16"/>
      <c r="SSN232" s="16"/>
      <c r="SSO232" s="16"/>
      <c r="SSP232" s="15"/>
      <c r="SSQ232" s="15"/>
      <c r="SSR232" s="10"/>
      <c r="SSS232" s="10"/>
      <c r="SST232" s="19"/>
      <c r="SSU232" s="19"/>
      <c r="SSX232" s="16"/>
      <c r="SSY232" s="15"/>
      <c r="SSZ232" s="15"/>
      <c r="STA232" s="15"/>
      <c r="STB232" s="16"/>
      <c r="STC232" s="16"/>
      <c r="STD232" s="16"/>
      <c r="STE232" s="16"/>
      <c r="STF232" s="16"/>
      <c r="STG232" s="15"/>
      <c r="STH232" s="15"/>
      <c r="STI232" s="10"/>
      <c r="STJ232" s="10"/>
      <c r="STK232" s="19"/>
      <c r="STL232" s="19"/>
      <c r="STO232" s="16"/>
      <c r="STP232" s="15"/>
      <c r="STQ232" s="15"/>
      <c r="STR232" s="15"/>
      <c r="STS232" s="16"/>
      <c r="STT232" s="16"/>
      <c r="STU232" s="16"/>
      <c r="STV232" s="16"/>
      <c r="STW232" s="16"/>
      <c r="STX232" s="15"/>
      <c r="STY232" s="15"/>
      <c r="STZ232" s="10"/>
      <c r="SUA232" s="10"/>
      <c r="SUB232" s="19"/>
      <c r="SUC232" s="19"/>
      <c r="SUF232" s="16"/>
      <c r="SUG232" s="15"/>
      <c r="SUH232" s="15"/>
      <c r="SUI232" s="15"/>
      <c r="SUJ232" s="16"/>
      <c r="SUK232" s="16"/>
      <c r="SUL232" s="16"/>
      <c r="SUM232" s="16"/>
      <c r="SUN232" s="16"/>
      <c r="SUO232" s="15"/>
      <c r="SUP232" s="15"/>
      <c r="SUQ232" s="10"/>
      <c r="SUR232" s="10"/>
      <c r="SUS232" s="19"/>
      <c r="SUT232" s="19"/>
      <c r="SUW232" s="16"/>
      <c r="SUX232" s="15"/>
      <c r="SUY232" s="15"/>
      <c r="SUZ232" s="15"/>
      <c r="SVA232" s="16"/>
      <c r="SVB232" s="16"/>
      <c r="SVC232" s="16"/>
      <c r="SVD232" s="16"/>
      <c r="SVE232" s="16"/>
      <c r="SVF232" s="15"/>
      <c r="SVG232" s="15"/>
      <c r="SVH232" s="10"/>
      <c r="SVI232" s="10"/>
      <c r="SVJ232" s="19"/>
      <c r="SVK232" s="19"/>
      <c r="SVN232" s="16"/>
      <c r="SVO232" s="15"/>
      <c r="SVP232" s="15"/>
      <c r="SVQ232" s="15"/>
      <c r="SVR232" s="16"/>
      <c r="SVS232" s="16"/>
      <c r="SVT232" s="16"/>
      <c r="SVU232" s="16"/>
      <c r="SVV232" s="16"/>
      <c r="SVW232" s="15"/>
      <c r="SVX232" s="15"/>
      <c r="SVY232" s="10"/>
      <c r="SVZ232" s="10"/>
      <c r="SWA232" s="19"/>
      <c r="SWB232" s="19"/>
      <c r="SWE232" s="16"/>
      <c r="SWF232" s="15"/>
      <c r="SWG232" s="15"/>
      <c r="SWH232" s="15"/>
      <c r="SWI232" s="16"/>
      <c r="SWJ232" s="16"/>
      <c r="SWK232" s="16"/>
      <c r="SWL232" s="16"/>
      <c r="SWM232" s="16"/>
      <c r="SWN232" s="15"/>
      <c r="SWO232" s="15"/>
      <c r="SWP232" s="10"/>
      <c r="SWQ232" s="10"/>
      <c r="SWR232" s="19"/>
      <c r="SWS232" s="19"/>
      <c r="SWV232" s="16"/>
      <c r="SWW232" s="15"/>
      <c r="SWX232" s="15"/>
      <c r="SWY232" s="15"/>
      <c r="SWZ232" s="16"/>
      <c r="SXA232" s="16"/>
      <c r="SXB232" s="16"/>
      <c r="SXC232" s="16"/>
      <c r="SXD232" s="16"/>
      <c r="SXE232" s="15"/>
      <c r="SXF232" s="15"/>
      <c r="SXG232" s="10"/>
      <c r="SXH232" s="10"/>
      <c r="SXI232" s="19"/>
      <c r="SXJ232" s="19"/>
      <c r="SXM232" s="16"/>
      <c r="SXN232" s="15"/>
      <c r="SXO232" s="15"/>
      <c r="SXP232" s="15"/>
      <c r="SXQ232" s="16"/>
      <c r="SXR232" s="16"/>
      <c r="SXS232" s="16"/>
      <c r="SXT232" s="16"/>
      <c r="SXU232" s="16"/>
      <c r="SXV232" s="15"/>
      <c r="SXW232" s="15"/>
      <c r="SXX232" s="10"/>
      <c r="SXY232" s="10"/>
      <c r="SXZ232" s="19"/>
      <c r="SYA232" s="19"/>
      <c r="SYD232" s="16"/>
      <c r="SYE232" s="15"/>
      <c r="SYF232" s="15"/>
      <c r="SYG232" s="15"/>
      <c r="SYH232" s="16"/>
      <c r="SYI232" s="16"/>
      <c r="SYJ232" s="16"/>
      <c r="SYK232" s="16"/>
      <c r="SYL232" s="16"/>
      <c r="SYM232" s="15"/>
      <c r="SYN232" s="15"/>
      <c r="SYO232" s="10"/>
      <c r="SYP232" s="10"/>
      <c r="SYQ232" s="19"/>
      <c r="SYR232" s="19"/>
      <c r="SYU232" s="16"/>
      <c r="SYV232" s="15"/>
      <c r="SYW232" s="15"/>
      <c r="SYX232" s="15"/>
      <c r="SYY232" s="16"/>
      <c r="SYZ232" s="16"/>
      <c r="SZA232" s="16"/>
      <c r="SZB232" s="16"/>
      <c r="SZC232" s="16"/>
      <c r="SZD232" s="15"/>
      <c r="SZE232" s="15"/>
      <c r="SZF232" s="10"/>
      <c r="SZG232" s="10"/>
      <c r="SZH232" s="19"/>
      <c r="SZI232" s="19"/>
      <c r="SZL232" s="16"/>
      <c r="SZM232" s="15"/>
      <c r="SZN232" s="15"/>
      <c r="SZO232" s="15"/>
      <c r="SZP232" s="16"/>
      <c r="SZQ232" s="16"/>
      <c r="SZR232" s="16"/>
      <c r="SZS232" s="16"/>
      <c r="SZT232" s="16"/>
      <c r="SZU232" s="15"/>
      <c r="SZV232" s="15"/>
      <c r="SZW232" s="10"/>
      <c r="SZX232" s="10"/>
      <c r="SZY232" s="19"/>
      <c r="SZZ232" s="19"/>
      <c r="TAC232" s="16"/>
      <c r="TAD232" s="15"/>
      <c r="TAE232" s="15"/>
      <c r="TAF232" s="15"/>
      <c r="TAG232" s="16"/>
      <c r="TAH232" s="16"/>
      <c r="TAI232" s="16"/>
      <c r="TAJ232" s="16"/>
      <c r="TAK232" s="16"/>
      <c r="TAL232" s="15"/>
      <c r="TAM232" s="15"/>
      <c r="TAN232" s="10"/>
      <c r="TAO232" s="10"/>
      <c r="TAP232" s="19"/>
      <c r="TAQ232" s="19"/>
      <c r="TAT232" s="16"/>
      <c r="TAU232" s="15"/>
      <c r="TAV232" s="15"/>
      <c r="TAW232" s="15"/>
      <c r="TAX232" s="16"/>
      <c r="TAY232" s="16"/>
      <c r="TAZ232" s="16"/>
      <c r="TBA232" s="16"/>
      <c r="TBB232" s="16"/>
      <c r="TBC232" s="15"/>
      <c r="TBD232" s="15"/>
      <c r="TBE232" s="10"/>
      <c r="TBF232" s="10"/>
      <c r="TBG232" s="19"/>
      <c r="TBH232" s="19"/>
      <c r="TBK232" s="16"/>
      <c r="TBL232" s="15"/>
      <c r="TBM232" s="15"/>
      <c r="TBN232" s="15"/>
      <c r="TBO232" s="16"/>
      <c r="TBP232" s="16"/>
      <c r="TBQ232" s="16"/>
      <c r="TBR232" s="16"/>
      <c r="TBS232" s="16"/>
      <c r="TBT232" s="15"/>
      <c r="TBU232" s="15"/>
      <c r="TBV232" s="10"/>
      <c r="TBW232" s="10"/>
      <c r="TBX232" s="19"/>
      <c r="TBY232" s="19"/>
      <c r="TCB232" s="16"/>
      <c r="TCC232" s="15"/>
      <c r="TCD232" s="15"/>
      <c r="TCE232" s="15"/>
      <c r="TCF232" s="16"/>
      <c r="TCG232" s="16"/>
      <c r="TCH232" s="16"/>
      <c r="TCI232" s="16"/>
      <c r="TCJ232" s="16"/>
      <c r="TCK232" s="15"/>
      <c r="TCL232" s="15"/>
      <c r="TCM232" s="10"/>
      <c r="TCN232" s="10"/>
      <c r="TCO232" s="19"/>
      <c r="TCP232" s="19"/>
      <c r="TCS232" s="16"/>
      <c r="TCT232" s="15"/>
      <c r="TCU232" s="15"/>
      <c r="TCV232" s="15"/>
      <c r="TCW232" s="16"/>
      <c r="TCX232" s="16"/>
      <c r="TCY232" s="16"/>
      <c r="TCZ232" s="16"/>
      <c r="TDA232" s="16"/>
      <c r="TDB232" s="15"/>
      <c r="TDC232" s="15"/>
      <c r="TDD232" s="10"/>
      <c r="TDE232" s="10"/>
      <c r="TDF232" s="19"/>
      <c r="TDG232" s="19"/>
      <c r="TDJ232" s="16"/>
      <c r="TDK232" s="15"/>
      <c r="TDL232" s="15"/>
      <c r="TDM232" s="15"/>
      <c r="TDN232" s="16"/>
      <c r="TDO232" s="16"/>
      <c r="TDP232" s="16"/>
      <c r="TDQ232" s="16"/>
      <c r="TDR232" s="16"/>
      <c r="TDS232" s="15"/>
      <c r="TDT232" s="15"/>
      <c r="TDU232" s="10"/>
      <c r="TDV232" s="10"/>
      <c r="TDW232" s="19"/>
      <c r="TDX232" s="19"/>
      <c r="TEA232" s="16"/>
      <c r="TEB232" s="15"/>
      <c r="TEC232" s="15"/>
      <c r="TED232" s="15"/>
      <c r="TEE232" s="16"/>
      <c r="TEF232" s="16"/>
      <c r="TEG232" s="16"/>
      <c r="TEH232" s="16"/>
      <c r="TEI232" s="16"/>
      <c r="TEJ232" s="15"/>
      <c r="TEK232" s="15"/>
      <c r="TEL232" s="10"/>
      <c r="TEM232" s="10"/>
      <c r="TEN232" s="19"/>
      <c r="TEO232" s="19"/>
      <c r="TER232" s="16"/>
      <c r="TES232" s="15"/>
      <c r="TET232" s="15"/>
      <c r="TEU232" s="15"/>
      <c r="TEV232" s="16"/>
      <c r="TEW232" s="16"/>
      <c r="TEX232" s="16"/>
      <c r="TEY232" s="16"/>
      <c r="TEZ232" s="16"/>
      <c r="TFA232" s="15"/>
      <c r="TFB232" s="15"/>
      <c r="TFC232" s="10"/>
      <c r="TFD232" s="10"/>
      <c r="TFE232" s="19"/>
      <c r="TFF232" s="19"/>
      <c r="TFI232" s="16"/>
      <c r="TFJ232" s="15"/>
      <c r="TFK232" s="15"/>
      <c r="TFL232" s="15"/>
      <c r="TFM232" s="16"/>
      <c r="TFN232" s="16"/>
      <c r="TFO232" s="16"/>
      <c r="TFP232" s="16"/>
      <c r="TFQ232" s="16"/>
      <c r="TFR232" s="15"/>
      <c r="TFS232" s="15"/>
      <c r="TFT232" s="10"/>
      <c r="TFU232" s="10"/>
      <c r="TFV232" s="19"/>
      <c r="TFW232" s="19"/>
      <c r="TFZ232" s="16"/>
      <c r="TGA232" s="15"/>
      <c r="TGB232" s="15"/>
      <c r="TGC232" s="15"/>
      <c r="TGD232" s="16"/>
      <c r="TGE232" s="16"/>
      <c r="TGF232" s="16"/>
      <c r="TGG232" s="16"/>
      <c r="TGH232" s="16"/>
      <c r="TGI232" s="15"/>
      <c r="TGJ232" s="15"/>
      <c r="TGK232" s="10"/>
      <c r="TGL232" s="10"/>
      <c r="TGM232" s="19"/>
      <c r="TGN232" s="19"/>
      <c r="TGQ232" s="16"/>
      <c r="TGR232" s="15"/>
      <c r="TGS232" s="15"/>
      <c r="TGT232" s="15"/>
      <c r="TGU232" s="16"/>
      <c r="TGV232" s="16"/>
      <c r="TGW232" s="16"/>
      <c r="TGX232" s="16"/>
      <c r="TGY232" s="16"/>
      <c r="TGZ232" s="15"/>
      <c r="THA232" s="15"/>
      <c r="THB232" s="10"/>
      <c r="THC232" s="10"/>
      <c r="THD232" s="19"/>
      <c r="THE232" s="19"/>
      <c r="THH232" s="16"/>
      <c r="THI232" s="15"/>
      <c r="THJ232" s="15"/>
      <c r="THK232" s="15"/>
      <c r="THL232" s="16"/>
      <c r="THM232" s="16"/>
      <c r="THN232" s="16"/>
      <c r="THO232" s="16"/>
      <c r="THP232" s="16"/>
      <c r="THQ232" s="15"/>
      <c r="THR232" s="15"/>
      <c r="THS232" s="10"/>
      <c r="THT232" s="10"/>
      <c r="THU232" s="19"/>
      <c r="THV232" s="19"/>
      <c r="THY232" s="16"/>
      <c r="THZ232" s="15"/>
      <c r="TIA232" s="15"/>
      <c r="TIB232" s="15"/>
      <c r="TIC232" s="16"/>
      <c r="TID232" s="16"/>
      <c r="TIE232" s="16"/>
      <c r="TIF232" s="16"/>
      <c r="TIG232" s="16"/>
      <c r="TIH232" s="15"/>
      <c r="TII232" s="15"/>
      <c r="TIJ232" s="10"/>
      <c r="TIK232" s="10"/>
      <c r="TIL232" s="19"/>
      <c r="TIM232" s="19"/>
      <c r="TIP232" s="16"/>
      <c r="TIQ232" s="15"/>
      <c r="TIR232" s="15"/>
      <c r="TIS232" s="15"/>
      <c r="TIT232" s="16"/>
      <c r="TIU232" s="16"/>
      <c r="TIV232" s="16"/>
      <c r="TIW232" s="16"/>
      <c r="TIX232" s="16"/>
      <c r="TIY232" s="15"/>
      <c r="TIZ232" s="15"/>
      <c r="TJA232" s="10"/>
      <c r="TJB232" s="10"/>
      <c r="TJC232" s="19"/>
      <c r="TJD232" s="19"/>
      <c r="TJG232" s="16"/>
      <c r="TJH232" s="15"/>
      <c r="TJI232" s="15"/>
      <c r="TJJ232" s="15"/>
      <c r="TJK232" s="16"/>
      <c r="TJL232" s="16"/>
      <c r="TJM232" s="16"/>
      <c r="TJN232" s="16"/>
      <c r="TJO232" s="16"/>
      <c r="TJP232" s="15"/>
      <c r="TJQ232" s="15"/>
      <c r="TJR232" s="10"/>
      <c r="TJS232" s="10"/>
      <c r="TJT232" s="19"/>
      <c r="TJU232" s="19"/>
      <c r="TJX232" s="16"/>
      <c r="TJY232" s="15"/>
      <c r="TJZ232" s="15"/>
      <c r="TKA232" s="15"/>
      <c r="TKB232" s="16"/>
      <c r="TKC232" s="16"/>
      <c r="TKD232" s="16"/>
      <c r="TKE232" s="16"/>
      <c r="TKF232" s="16"/>
      <c r="TKG232" s="15"/>
      <c r="TKH232" s="15"/>
      <c r="TKI232" s="10"/>
      <c r="TKJ232" s="10"/>
      <c r="TKK232" s="19"/>
      <c r="TKL232" s="19"/>
      <c r="TKO232" s="16"/>
      <c r="TKP232" s="15"/>
      <c r="TKQ232" s="15"/>
      <c r="TKR232" s="15"/>
      <c r="TKS232" s="16"/>
      <c r="TKT232" s="16"/>
      <c r="TKU232" s="16"/>
      <c r="TKV232" s="16"/>
      <c r="TKW232" s="16"/>
      <c r="TKX232" s="15"/>
      <c r="TKY232" s="15"/>
      <c r="TKZ232" s="10"/>
      <c r="TLA232" s="10"/>
      <c r="TLB232" s="19"/>
      <c r="TLC232" s="19"/>
      <c r="TLF232" s="16"/>
      <c r="TLG232" s="15"/>
      <c r="TLH232" s="15"/>
      <c r="TLI232" s="15"/>
      <c r="TLJ232" s="16"/>
      <c r="TLK232" s="16"/>
      <c r="TLL232" s="16"/>
      <c r="TLM232" s="16"/>
      <c r="TLN232" s="16"/>
      <c r="TLO232" s="15"/>
      <c r="TLP232" s="15"/>
      <c r="TLQ232" s="10"/>
      <c r="TLR232" s="10"/>
      <c r="TLS232" s="19"/>
      <c r="TLT232" s="19"/>
      <c r="TLW232" s="16"/>
      <c r="TLX232" s="15"/>
      <c r="TLY232" s="15"/>
      <c r="TLZ232" s="15"/>
      <c r="TMA232" s="16"/>
      <c r="TMB232" s="16"/>
      <c r="TMC232" s="16"/>
      <c r="TMD232" s="16"/>
      <c r="TME232" s="16"/>
      <c r="TMF232" s="15"/>
      <c r="TMG232" s="15"/>
      <c r="TMH232" s="10"/>
      <c r="TMI232" s="10"/>
      <c r="TMJ232" s="19"/>
      <c r="TMK232" s="19"/>
      <c r="TMN232" s="16"/>
      <c r="TMO232" s="15"/>
      <c r="TMP232" s="15"/>
      <c r="TMQ232" s="15"/>
      <c r="TMR232" s="16"/>
      <c r="TMS232" s="16"/>
      <c r="TMT232" s="16"/>
      <c r="TMU232" s="16"/>
      <c r="TMV232" s="16"/>
      <c r="TMW232" s="15"/>
      <c r="TMX232" s="15"/>
      <c r="TMY232" s="10"/>
      <c r="TMZ232" s="10"/>
      <c r="TNA232" s="19"/>
      <c r="TNB232" s="19"/>
      <c r="TNE232" s="16"/>
      <c r="TNF232" s="15"/>
      <c r="TNG232" s="15"/>
      <c r="TNH232" s="15"/>
      <c r="TNI232" s="16"/>
      <c r="TNJ232" s="16"/>
      <c r="TNK232" s="16"/>
      <c r="TNL232" s="16"/>
      <c r="TNM232" s="16"/>
      <c r="TNN232" s="15"/>
      <c r="TNO232" s="15"/>
      <c r="TNP232" s="10"/>
      <c r="TNQ232" s="10"/>
      <c r="TNR232" s="19"/>
      <c r="TNS232" s="19"/>
      <c r="TNV232" s="16"/>
      <c r="TNW232" s="15"/>
      <c r="TNX232" s="15"/>
      <c r="TNY232" s="15"/>
      <c r="TNZ232" s="16"/>
      <c r="TOA232" s="16"/>
      <c r="TOB232" s="16"/>
      <c r="TOC232" s="16"/>
      <c r="TOD232" s="16"/>
      <c r="TOE232" s="15"/>
      <c r="TOF232" s="15"/>
      <c r="TOG232" s="10"/>
      <c r="TOH232" s="10"/>
      <c r="TOI232" s="19"/>
      <c r="TOJ232" s="19"/>
      <c r="TOM232" s="16"/>
      <c r="TON232" s="15"/>
      <c r="TOO232" s="15"/>
      <c r="TOP232" s="15"/>
      <c r="TOQ232" s="16"/>
      <c r="TOR232" s="16"/>
      <c r="TOS232" s="16"/>
      <c r="TOT232" s="16"/>
      <c r="TOU232" s="16"/>
      <c r="TOV232" s="15"/>
      <c r="TOW232" s="15"/>
      <c r="TOX232" s="10"/>
      <c r="TOY232" s="10"/>
      <c r="TOZ232" s="19"/>
      <c r="TPA232" s="19"/>
      <c r="TPD232" s="16"/>
      <c r="TPE232" s="15"/>
      <c r="TPF232" s="15"/>
      <c r="TPG232" s="15"/>
      <c r="TPH232" s="16"/>
      <c r="TPI232" s="16"/>
      <c r="TPJ232" s="16"/>
      <c r="TPK232" s="16"/>
      <c r="TPL232" s="16"/>
      <c r="TPM232" s="15"/>
      <c r="TPN232" s="15"/>
      <c r="TPO232" s="10"/>
      <c r="TPP232" s="10"/>
      <c r="TPQ232" s="19"/>
      <c r="TPR232" s="19"/>
      <c r="TPU232" s="16"/>
      <c r="TPV232" s="15"/>
      <c r="TPW232" s="15"/>
      <c r="TPX232" s="15"/>
      <c r="TPY232" s="16"/>
      <c r="TPZ232" s="16"/>
      <c r="TQA232" s="16"/>
      <c r="TQB232" s="16"/>
      <c r="TQC232" s="16"/>
      <c r="TQD232" s="15"/>
      <c r="TQE232" s="15"/>
      <c r="TQF232" s="10"/>
      <c r="TQG232" s="10"/>
      <c r="TQH232" s="19"/>
      <c r="TQI232" s="19"/>
      <c r="TQL232" s="16"/>
      <c r="TQM232" s="15"/>
      <c r="TQN232" s="15"/>
      <c r="TQO232" s="15"/>
      <c r="TQP232" s="16"/>
      <c r="TQQ232" s="16"/>
      <c r="TQR232" s="16"/>
      <c r="TQS232" s="16"/>
      <c r="TQT232" s="16"/>
      <c r="TQU232" s="15"/>
      <c r="TQV232" s="15"/>
      <c r="TQW232" s="10"/>
      <c r="TQX232" s="10"/>
      <c r="TQY232" s="19"/>
      <c r="TQZ232" s="19"/>
      <c r="TRC232" s="16"/>
      <c r="TRD232" s="15"/>
      <c r="TRE232" s="15"/>
      <c r="TRF232" s="15"/>
      <c r="TRG232" s="16"/>
      <c r="TRH232" s="16"/>
      <c r="TRI232" s="16"/>
      <c r="TRJ232" s="16"/>
      <c r="TRK232" s="16"/>
      <c r="TRL232" s="15"/>
      <c r="TRM232" s="15"/>
      <c r="TRN232" s="10"/>
      <c r="TRO232" s="10"/>
      <c r="TRP232" s="19"/>
      <c r="TRQ232" s="19"/>
      <c r="TRT232" s="16"/>
      <c r="TRU232" s="15"/>
      <c r="TRV232" s="15"/>
      <c r="TRW232" s="15"/>
      <c r="TRX232" s="16"/>
      <c r="TRY232" s="16"/>
      <c r="TRZ232" s="16"/>
      <c r="TSA232" s="16"/>
      <c r="TSB232" s="16"/>
      <c r="TSC232" s="15"/>
      <c r="TSD232" s="15"/>
      <c r="TSE232" s="10"/>
      <c r="TSF232" s="10"/>
      <c r="TSG232" s="19"/>
      <c r="TSH232" s="19"/>
      <c r="TSK232" s="16"/>
      <c r="TSL232" s="15"/>
      <c r="TSM232" s="15"/>
      <c r="TSN232" s="15"/>
      <c r="TSO232" s="16"/>
      <c r="TSP232" s="16"/>
      <c r="TSQ232" s="16"/>
      <c r="TSR232" s="16"/>
      <c r="TSS232" s="16"/>
      <c r="TST232" s="15"/>
      <c r="TSU232" s="15"/>
      <c r="TSV232" s="10"/>
      <c r="TSW232" s="10"/>
      <c r="TSX232" s="19"/>
      <c r="TSY232" s="19"/>
      <c r="TTB232" s="16"/>
      <c r="TTC232" s="15"/>
      <c r="TTD232" s="15"/>
      <c r="TTE232" s="15"/>
      <c r="TTF232" s="16"/>
      <c r="TTG232" s="16"/>
      <c r="TTH232" s="16"/>
      <c r="TTI232" s="16"/>
      <c r="TTJ232" s="16"/>
      <c r="TTK232" s="15"/>
      <c r="TTL232" s="15"/>
      <c r="TTM232" s="10"/>
      <c r="TTN232" s="10"/>
      <c r="TTO232" s="19"/>
      <c r="TTP232" s="19"/>
      <c r="TTS232" s="16"/>
      <c r="TTT232" s="15"/>
      <c r="TTU232" s="15"/>
      <c r="TTV232" s="15"/>
      <c r="TTW232" s="16"/>
      <c r="TTX232" s="16"/>
      <c r="TTY232" s="16"/>
      <c r="TTZ232" s="16"/>
      <c r="TUA232" s="16"/>
      <c r="TUB232" s="15"/>
      <c r="TUC232" s="15"/>
      <c r="TUD232" s="10"/>
      <c r="TUE232" s="10"/>
      <c r="TUF232" s="19"/>
      <c r="TUG232" s="19"/>
      <c r="TUJ232" s="16"/>
      <c r="TUK232" s="15"/>
      <c r="TUL232" s="15"/>
      <c r="TUM232" s="15"/>
      <c r="TUN232" s="16"/>
      <c r="TUO232" s="16"/>
      <c r="TUP232" s="16"/>
      <c r="TUQ232" s="16"/>
      <c r="TUR232" s="16"/>
      <c r="TUS232" s="15"/>
      <c r="TUT232" s="15"/>
      <c r="TUU232" s="10"/>
      <c r="TUV232" s="10"/>
      <c r="TUW232" s="19"/>
      <c r="TUX232" s="19"/>
      <c r="TVA232" s="16"/>
      <c r="TVB232" s="15"/>
      <c r="TVC232" s="15"/>
      <c r="TVD232" s="15"/>
      <c r="TVE232" s="16"/>
      <c r="TVF232" s="16"/>
      <c r="TVG232" s="16"/>
      <c r="TVH232" s="16"/>
      <c r="TVI232" s="16"/>
      <c r="TVJ232" s="15"/>
      <c r="TVK232" s="15"/>
      <c r="TVL232" s="10"/>
      <c r="TVM232" s="10"/>
      <c r="TVN232" s="19"/>
      <c r="TVO232" s="19"/>
      <c r="TVR232" s="16"/>
      <c r="TVS232" s="15"/>
      <c r="TVT232" s="15"/>
      <c r="TVU232" s="15"/>
      <c r="TVV232" s="16"/>
      <c r="TVW232" s="16"/>
      <c r="TVX232" s="16"/>
      <c r="TVY232" s="16"/>
      <c r="TVZ232" s="16"/>
      <c r="TWA232" s="15"/>
      <c r="TWB232" s="15"/>
      <c r="TWC232" s="10"/>
      <c r="TWD232" s="10"/>
      <c r="TWE232" s="19"/>
      <c r="TWF232" s="19"/>
      <c r="TWI232" s="16"/>
      <c r="TWJ232" s="15"/>
      <c r="TWK232" s="15"/>
      <c r="TWL232" s="15"/>
      <c r="TWM232" s="16"/>
      <c r="TWN232" s="16"/>
      <c r="TWO232" s="16"/>
      <c r="TWP232" s="16"/>
      <c r="TWQ232" s="16"/>
      <c r="TWR232" s="15"/>
      <c r="TWS232" s="15"/>
      <c r="TWT232" s="10"/>
      <c r="TWU232" s="10"/>
      <c r="TWV232" s="19"/>
      <c r="TWW232" s="19"/>
      <c r="TWZ232" s="16"/>
      <c r="TXA232" s="15"/>
      <c r="TXB232" s="15"/>
      <c r="TXC232" s="15"/>
      <c r="TXD232" s="16"/>
      <c r="TXE232" s="16"/>
      <c r="TXF232" s="16"/>
      <c r="TXG232" s="16"/>
      <c r="TXH232" s="16"/>
      <c r="TXI232" s="15"/>
      <c r="TXJ232" s="15"/>
      <c r="TXK232" s="10"/>
      <c r="TXL232" s="10"/>
      <c r="TXM232" s="19"/>
      <c r="TXN232" s="19"/>
      <c r="TXQ232" s="16"/>
      <c r="TXR232" s="15"/>
      <c r="TXS232" s="15"/>
      <c r="TXT232" s="15"/>
      <c r="TXU232" s="16"/>
      <c r="TXV232" s="16"/>
      <c r="TXW232" s="16"/>
      <c r="TXX232" s="16"/>
      <c r="TXY232" s="16"/>
      <c r="TXZ232" s="15"/>
      <c r="TYA232" s="15"/>
      <c r="TYB232" s="10"/>
      <c r="TYC232" s="10"/>
      <c r="TYD232" s="19"/>
      <c r="TYE232" s="19"/>
      <c r="TYH232" s="16"/>
      <c r="TYI232" s="15"/>
      <c r="TYJ232" s="15"/>
      <c r="TYK232" s="15"/>
      <c r="TYL232" s="16"/>
      <c r="TYM232" s="16"/>
      <c r="TYN232" s="16"/>
      <c r="TYO232" s="16"/>
      <c r="TYP232" s="16"/>
      <c r="TYQ232" s="15"/>
      <c r="TYR232" s="15"/>
      <c r="TYS232" s="10"/>
      <c r="TYT232" s="10"/>
      <c r="TYU232" s="19"/>
      <c r="TYV232" s="19"/>
      <c r="TYY232" s="16"/>
      <c r="TYZ232" s="15"/>
      <c r="TZA232" s="15"/>
      <c r="TZB232" s="15"/>
      <c r="TZC232" s="16"/>
      <c r="TZD232" s="16"/>
      <c r="TZE232" s="16"/>
      <c r="TZF232" s="16"/>
      <c r="TZG232" s="16"/>
      <c r="TZH232" s="15"/>
      <c r="TZI232" s="15"/>
      <c r="TZJ232" s="10"/>
      <c r="TZK232" s="10"/>
      <c r="TZL232" s="19"/>
      <c r="TZM232" s="19"/>
      <c r="TZP232" s="16"/>
      <c r="TZQ232" s="15"/>
      <c r="TZR232" s="15"/>
      <c r="TZS232" s="15"/>
      <c r="TZT232" s="16"/>
      <c r="TZU232" s="16"/>
      <c r="TZV232" s="16"/>
      <c r="TZW232" s="16"/>
      <c r="TZX232" s="16"/>
      <c r="TZY232" s="15"/>
      <c r="TZZ232" s="15"/>
      <c r="UAA232" s="10"/>
      <c r="UAB232" s="10"/>
      <c r="UAC232" s="19"/>
      <c r="UAD232" s="19"/>
      <c r="UAG232" s="16"/>
      <c r="UAH232" s="15"/>
      <c r="UAI232" s="15"/>
      <c r="UAJ232" s="15"/>
      <c r="UAK232" s="16"/>
      <c r="UAL232" s="16"/>
      <c r="UAM232" s="16"/>
      <c r="UAN232" s="16"/>
      <c r="UAO232" s="16"/>
      <c r="UAP232" s="15"/>
      <c r="UAQ232" s="15"/>
      <c r="UAR232" s="10"/>
      <c r="UAS232" s="10"/>
      <c r="UAT232" s="19"/>
      <c r="UAU232" s="19"/>
      <c r="UAX232" s="16"/>
      <c r="UAY232" s="15"/>
      <c r="UAZ232" s="15"/>
      <c r="UBA232" s="15"/>
      <c r="UBB232" s="16"/>
      <c r="UBC232" s="16"/>
      <c r="UBD232" s="16"/>
      <c r="UBE232" s="16"/>
      <c r="UBF232" s="16"/>
      <c r="UBG232" s="15"/>
      <c r="UBH232" s="15"/>
      <c r="UBI232" s="10"/>
      <c r="UBJ232" s="10"/>
      <c r="UBK232" s="19"/>
      <c r="UBL232" s="19"/>
      <c r="UBO232" s="16"/>
      <c r="UBP232" s="15"/>
      <c r="UBQ232" s="15"/>
      <c r="UBR232" s="15"/>
      <c r="UBS232" s="16"/>
      <c r="UBT232" s="16"/>
      <c r="UBU232" s="16"/>
      <c r="UBV232" s="16"/>
      <c r="UBW232" s="16"/>
      <c r="UBX232" s="15"/>
      <c r="UBY232" s="15"/>
      <c r="UBZ232" s="10"/>
      <c r="UCA232" s="10"/>
      <c r="UCB232" s="19"/>
      <c r="UCC232" s="19"/>
      <c r="UCF232" s="16"/>
      <c r="UCG232" s="15"/>
      <c r="UCH232" s="15"/>
      <c r="UCI232" s="15"/>
      <c r="UCJ232" s="16"/>
      <c r="UCK232" s="16"/>
      <c r="UCL232" s="16"/>
      <c r="UCM232" s="16"/>
      <c r="UCN232" s="16"/>
      <c r="UCO232" s="15"/>
      <c r="UCP232" s="15"/>
      <c r="UCQ232" s="10"/>
      <c r="UCR232" s="10"/>
      <c r="UCS232" s="19"/>
      <c r="UCT232" s="19"/>
      <c r="UCW232" s="16"/>
      <c r="UCX232" s="15"/>
      <c r="UCY232" s="15"/>
      <c r="UCZ232" s="15"/>
      <c r="UDA232" s="16"/>
      <c r="UDB232" s="16"/>
      <c r="UDC232" s="16"/>
      <c r="UDD232" s="16"/>
      <c r="UDE232" s="16"/>
      <c r="UDF232" s="15"/>
      <c r="UDG232" s="15"/>
      <c r="UDH232" s="10"/>
      <c r="UDI232" s="10"/>
      <c r="UDJ232" s="19"/>
      <c r="UDK232" s="19"/>
      <c r="UDN232" s="16"/>
      <c r="UDO232" s="15"/>
      <c r="UDP232" s="15"/>
      <c r="UDQ232" s="15"/>
      <c r="UDR232" s="16"/>
      <c r="UDS232" s="16"/>
      <c r="UDT232" s="16"/>
      <c r="UDU232" s="16"/>
      <c r="UDV232" s="16"/>
      <c r="UDW232" s="15"/>
      <c r="UDX232" s="15"/>
      <c r="UDY232" s="10"/>
      <c r="UDZ232" s="10"/>
      <c r="UEA232" s="19"/>
      <c r="UEB232" s="19"/>
      <c r="UEE232" s="16"/>
      <c r="UEF232" s="15"/>
      <c r="UEG232" s="15"/>
      <c r="UEH232" s="15"/>
      <c r="UEI232" s="16"/>
      <c r="UEJ232" s="16"/>
      <c r="UEK232" s="16"/>
      <c r="UEL232" s="16"/>
      <c r="UEM232" s="16"/>
      <c r="UEN232" s="15"/>
      <c r="UEO232" s="15"/>
      <c r="UEP232" s="10"/>
      <c r="UEQ232" s="10"/>
      <c r="UER232" s="19"/>
      <c r="UES232" s="19"/>
      <c r="UEV232" s="16"/>
      <c r="UEW232" s="15"/>
      <c r="UEX232" s="15"/>
      <c r="UEY232" s="15"/>
      <c r="UEZ232" s="16"/>
      <c r="UFA232" s="16"/>
      <c r="UFB232" s="16"/>
      <c r="UFC232" s="16"/>
      <c r="UFD232" s="16"/>
      <c r="UFE232" s="15"/>
      <c r="UFF232" s="15"/>
      <c r="UFG232" s="10"/>
      <c r="UFH232" s="10"/>
      <c r="UFI232" s="19"/>
      <c r="UFJ232" s="19"/>
      <c r="UFM232" s="16"/>
      <c r="UFN232" s="15"/>
      <c r="UFO232" s="15"/>
      <c r="UFP232" s="15"/>
      <c r="UFQ232" s="16"/>
      <c r="UFR232" s="16"/>
      <c r="UFS232" s="16"/>
      <c r="UFT232" s="16"/>
      <c r="UFU232" s="16"/>
      <c r="UFV232" s="15"/>
      <c r="UFW232" s="15"/>
      <c r="UFX232" s="10"/>
      <c r="UFY232" s="10"/>
      <c r="UFZ232" s="19"/>
      <c r="UGA232" s="19"/>
      <c r="UGD232" s="16"/>
      <c r="UGE232" s="15"/>
      <c r="UGF232" s="15"/>
      <c r="UGG232" s="15"/>
      <c r="UGH232" s="16"/>
      <c r="UGI232" s="16"/>
      <c r="UGJ232" s="16"/>
      <c r="UGK232" s="16"/>
      <c r="UGL232" s="16"/>
      <c r="UGM232" s="15"/>
      <c r="UGN232" s="15"/>
      <c r="UGO232" s="10"/>
      <c r="UGP232" s="10"/>
      <c r="UGQ232" s="19"/>
      <c r="UGR232" s="19"/>
      <c r="UGU232" s="16"/>
      <c r="UGV232" s="15"/>
      <c r="UGW232" s="15"/>
      <c r="UGX232" s="15"/>
      <c r="UGY232" s="16"/>
      <c r="UGZ232" s="16"/>
      <c r="UHA232" s="16"/>
      <c r="UHB232" s="16"/>
      <c r="UHC232" s="16"/>
      <c r="UHD232" s="15"/>
      <c r="UHE232" s="15"/>
      <c r="UHF232" s="10"/>
      <c r="UHG232" s="10"/>
      <c r="UHH232" s="19"/>
      <c r="UHI232" s="19"/>
      <c r="UHL232" s="16"/>
      <c r="UHM232" s="15"/>
      <c r="UHN232" s="15"/>
      <c r="UHO232" s="15"/>
      <c r="UHP232" s="16"/>
      <c r="UHQ232" s="16"/>
      <c r="UHR232" s="16"/>
      <c r="UHS232" s="16"/>
      <c r="UHT232" s="16"/>
      <c r="UHU232" s="15"/>
      <c r="UHV232" s="15"/>
      <c r="UHW232" s="10"/>
      <c r="UHX232" s="10"/>
      <c r="UHY232" s="19"/>
      <c r="UHZ232" s="19"/>
      <c r="UIC232" s="16"/>
      <c r="UID232" s="15"/>
      <c r="UIE232" s="15"/>
      <c r="UIF232" s="15"/>
      <c r="UIG232" s="16"/>
      <c r="UIH232" s="16"/>
      <c r="UII232" s="16"/>
      <c r="UIJ232" s="16"/>
      <c r="UIK232" s="16"/>
      <c r="UIL232" s="15"/>
      <c r="UIM232" s="15"/>
      <c r="UIN232" s="10"/>
      <c r="UIO232" s="10"/>
      <c r="UIP232" s="19"/>
      <c r="UIQ232" s="19"/>
      <c r="UIT232" s="16"/>
      <c r="UIU232" s="15"/>
      <c r="UIV232" s="15"/>
      <c r="UIW232" s="15"/>
      <c r="UIX232" s="16"/>
      <c r="UIY232" s="16"/>
      <c r="UIZ232" s="16"/>
      <c r="UJA232" s="16"/>
      <c r="UJB232" s="16"/>
      <c r="UJC232" s="15"/>
      <c r="UJD232" s="15"/>
      <c r="UJE232" s="10"/>
      <c r="UJF232" s="10"/>
      <c r="UJG232" s="19"/>
      <c r="UJH232" s="19"/>
      <c r="UJK232" s="16"/>
      <c r="UJL232" s="15"/>
      <c r="UJM232" s="15"/>
      <c r="UJN232" s="15"/>
      <c r="UJO232" s="16"/>
      <c r="UJP232" s="16"/>
      <c r="UJQ232" s="16"/>
      <c r="UJR232" s="16"/>
      <c r="UJS232" s="16"/>
      <c r="UJT232" s="15"/>
      <c r="UJU232" s="15"/>
      <c r="UJV232" s="10"/>
      <c r="UJW232" s="10"/>
      <c r="UJX232" s="19"/>
      <c r="UJY232" s="19"/>
      <c r="UKB232" s="16"/>
      <c r="UKC232" s="15"/>
      <c r="UKD232" s="15"/>
      <c r="UKE232" s="15"/>
      <c r="UKF232" s="16"/>
      <c r="UKG232" s="16"/>
      <c r="UKH232" s="16"/>
      <c r="UKI232" s="16"/>
      <c r="UKJ232" s="16"/>
      <c r="UKK232" s="15"/>
      <c r="UKL232" s="15"/>
      <c r="UKM232" s="10"/>
      <c r="UKN232" s="10"/>
      <c r="UKO232" s="19"/>
      <c r="UKP232" s="19"/>
      <c r="UKS232" s="16"/>
      <c r="UKT232" s="15"/>
      <c r="UKU232" s="15"/>
      <c r="UKV232" s="15"/>
      <c r="UKW232" s="16"/>
      <c r="UKX232" s="16"/>
      <c r="UKY232" s="16"/>
      <c r="UKZ232" s="16"/>
      <c r="ULA232" s="16"/>
      <c r="ULB232" s="15"/>
      <c r="ULC232" s="15"/>
      <c r="ULD232" s="10"/>
      <c r="ULE232" s="10"/>
      <c r="ULF232" s="19"/>
      <c r="ULG232" s="19"/>
      <c r="ULJ232" s="16"/>
      <c r="ULK232" s="15"/>
      <c r="ULL232" s="15"/>
      <c r="ULM232" s="15"/>
      <c r="ULN232" s="16"/>
      <c r="ULO232" s="16"/>
      <c r="ULP232" s="16"/>
      <c r="ULQ232" s="16"/>
      <c r="ULR232" s="16"/>
      <c r="ULS232" s="15"/>
      <c r="ULT232" s="15"/>
      <c r="ULU232" s="10"/>
      <c r="ULV232" s="10"/>
      <c r="ULW232" s="19"/>
      <c r="ULX232" s="19"/>
      <c r="UMA232" s="16"/>
      <c r="UMB232" s="15"/>
      <c r="UMC232" s="15"/>
      <c r="UMD232" s="15"/>
      <c r="UME232" s="16"/>
      <c r="UMF232" s="16"/>
      <c r="UMG232" s="16"/>
      <c r="UMH232" s="16"/>
      <c r="UMI232" s="16"/>
      <c r="UMJ232" s="15"/>
      <c r="UMK232" s="15"/>
      <c r="UML232" s="10"/>
      <c r="UMM232" s="10"/>
      <c r="UMN232" s="19"/>
      <c r="UMO232" s="19"/>
      <c r="UMR232" s="16"/>
      <c r="UMS232" s="15"/>
      <c r="UMT232" s="15"/>
      <c r="UMU232" s="15"/>
      <c r="UMV232" s="16"/>
      <c r="UMW232" s="16"/>
      <c r="UMX232" s="16"/>
      <c r="UMY232" s="16"/>
      <c r="UMZ232" s="16"/>
      <c r="UNA232" s="15"/>
      <c r="UNB232" s="15"/>
      <c r="UNC232" s="10"/>
      <c r="UND232" s="10"/>
      <c r="UNE232" s="19"/>
      <c r="UNF232" s="19"/>
      <c r="UNI232" s="16"/>
      <c r="UNJ232" s="15"/>
      <c r="UNK232" s="15"/>
      <c r="UNL232" s="15"/>
      <c r="UNM232" s="16"/>
      <c r="UNN232" s="16"/>
      <c r="UNO232" s="16"/>
      <c r="UNP232" s="16"/>
      <c r="UNQ232" s="16"/>
      <c r="UNR232" s="15"/>
      <c r="UNS232" s="15"/>
      <c r="UNT232" s="10"/>
      <c r="UNU232" s="10"/>
      <c r="UNV232" s="19"/>
      <c r="UNW232" s="19"/>
      <c r="UNZ232" s="16"/>
      <c r="UOA232" s="15"/>
      <c r="UOB232" s="15"/>
      <c r="UOC232" s="15"/>
      <c r="UOD232" s="16"/>
      <c r="UOE232" s="16"/>
      <c r="UOF232" s="16"/>
      <c r="UOG232" s="16"/>
      <c r="UOH232" s="16"/>
      <c r="UOI232" s="15"/>
      <c r="UOJ232" s="15"/>
      <c r="UOK232" s="10"/>
      <c r="UOL232" s="10"/>
      <c r="UOM232" s="19"/>
      <c r="UON232" s="19"/>
      <c r="UOQ232" s="16"/>
      <c r="UOR232" s="15"/>
      <c r="UOS232" s="15"/>
      <c r="UOT232" s="15"/>
      <c r="UOU232" s="16"/>
      <c r="UOV232" s="16"/>
      <c r="UOW232" s="16"/>
      <c r="UOX232" s="16"/>
      <c r="UOY232" s="16"/>
      <c r="UOZ232" s="15"/>
      <c r="UPA232" s="15"/>
      <c r="UPB232" s="10"/>
      <c r="UPC232" s="10"/>
      <c r="UPD232" s="19"/>
      <c r="UPE232" s="19"/>
      <c r="UPH232" s="16"/>
      <c r="UPI232" s="15"/>
      <c r="UPJ232" s="15"/>
      <c r="UPK232" s="15"/>
      <c r="UPL232" s="16"/>
      <c r="UPM232" s="16"/>
      <c r="UPN232" s="16"/>
      <c r="UPO232" s="16"/>
      <c r="UPP232" s="16"/>
      <c r="UPQ232" s="15"/>
      <c r="UPR232" s="15"/>
      <c r="UPS232" s="10"/>
      <c r="UPT232" s="10"/>
      <c r="UPU232" s="19"/>
      <c r="UPV232" s="19"/>
      <c r="UPY232" s="16"/>
      <c r="UPZ232" s="15"/>
      <c r="UQA232" s="15"/>
      <c r="UQB232" s="15"/>
      <c r="UQC232" s="16"/>
      <c r="UQD232" s="16"/>
      <c r="UQE232" s="16"/>
      <c r="UQF232" s="16"/>
      <c r="UQG232" s="16"/>
      <c r="UQH232" s="15"/>
      <c r="UQI232" s="15"/>
      <c r="UQJ232" s="10"/>
      <c r="UQK232" s="10"/>
      <c r="UQL232" s="19"/>
      <c r="UQM232" s="19"/>
      <c r="UQP232" s="16"/>
      <c r="UQQ232" s="15"/>
      <c r="UQR232" s="15"/>
      <c r="UQS232" s="15"/>
      <c r="UQT232" s="16"/>
      <c r="UQU232" s="16"/>
      <c r="UQV232" s="16"/>
      <c r="UQW232" s="16"/>
      <c r="UQX232" s="16"/>
      <c r="UQY232" s="15"/>
      <c r="UQZ232" s="15"/>
      <c r="URA232" s="10"/>
      <c r="URB232" s="10"/>
      <c r="URC232" s="19"/>
      <c r="URD232" s="19"/>
      <c r="URG232" s="16"/>
      <c r="URH232" s="15"/>
      <c r="URI232" s="15"/>
      <c r="URJ232" s="15"/>
      <c r="URK232" s="16"/>
      <c r="URL232" s="16"/>
      <c r="URM232" s="16"/>
      <c r="URN232" s="16"/>
      <c r="URO232" s="16"/>
      <c r="URP232" s="15"/>
      <c r="URQ232" s="15"/>
      <c r="URR232" s="10"/>
      <c r="URS232" s="10"/>
      <c r="URT232" s="19"/>
      <c r="URU232" s="19"/>
      <c r="URX232" s="16"/>
      <c r="URY232" s="15"/>
      <c r="URZ232" s="15"/>
      <c r="USA232" s="15"/>
      <c r="USB232" s="16"/>
      <c r="USC232" s="16"/>
      <c r="USD232" s="16"/>
      <c r="USE232" s="16"/>
      <c r="USF232" s="16"/>
      <c r="USG232" s="15"/>
      <c r="USH232" s="15"/>
      <c r="USI232" s="10"/>
      <c r="USJ232" s="10"/>
      <c r="USK232" s="19"/>
      <c r="USL232" s="19"/>
      <c r="USO232" s="16"/>
      <c r="USP232" s="15"/>
      <c r="USQ232" s="15"/>
      <c r="USR232" s="15"/>
      <c r="USS232" s="16"/>
      <c r="UST232" s="16"/>
      <c r="USU232" s="16"/>
      <c r="USV232" s="16"/>
      <c r="USW232" s="16"/>
      <c r="USX232" s="15"/>
      <c r="USY232" s="15"/>
      <c r="USZ232" s="10"/>
      <c r="UTA232" s="10"/>
      <c r="UTB232" s="19"/>
      <c r="UTC232" s="19"/>
      <c r="UTF232" s="16"/>
      <c r="UTG232" s="15"/>
      <c r="UTH232" s="15"/>
      <c r="UTI232" s="15"/>
      <c r="UTJ232" s="16"/>
      <c r="UTK232" s="16"/>
      <c r="UTL232" s="16"/>
      <c r="UTM232" s="16"/>
      <c r="UTN232" s="16"/>
      <c r="UTO232" s="15"/>
      <c r="UTP232" s="15"/>
      <c r="UTQ232" s="10"/>
      <c r="UTR232" s="10"/>
      <c r="UTS232" s="19"/>
      <c r="UTT232" s="19"/>
      <c r="UTW232" s="16"/>
      <c r="UTX232" s="15"/>
      <c r="UTY232" s="15"/>
      <c r="UTZ232" s="15"/>
      <c r="UUA232" s="16"/>
      <c r="UUB232" s="16"/>
      <c r="UUC232" s="16"/>
      <c r="UUD232" s="16"/>
      <c r="UUE232" s="16"/>
      <c r="UUF232" s="15"/>
      <c r="UUG232" s="15"/>
      <c r="UUH232" s="10"/>
      <c r="UUI232" s="10"/>
      <c r="UUJ232" s="19"/>
      <c r="UUK232" s="19"/>
      <c r="UUN232" s="16"/>
      <c r="UUO232" s="15"/>
      <c r="UUP232" s="15"/>
      <c r="UUQ232" s="15"/>
      <c r="UUR232" s="16"/>
      <c r="UUS232" s="16"/>
      <c r="UUT232" s="16"/>
      <c r="UUU232" s="16"/>
      <c r="UUV232" s="16"/>
      <c r="UUW232" s="15"/>
      <c r="UUX232" s="15"/>
      <c r="UUY232" s="10"/>
      <c r="UUZ232" s="10"/>
      <c r="UVA232" s="19"/>
      <c r="UVB232" s="19"/>
      <c r="UVE232" s="16"/>
      <c r="UVF232" s="15"/>
      <c r="UVG232" s="15"/>
      <c r="UVH232" s="15"/>
      <c r="UVI232" s="16"/>
      <c r="UVJ232" s="16"/>
      <c r="UVK232" s="16"/>
      <c r="UVL232" s="16"/>
      <c r="UVM232" s="16"/>
      <c r="UVN232" s="15"/>
      <c r="UVO232" s="15"/>
      <c r="UVP232" s="10"/>
      <c r="UVQ232" s="10"/>
      <c r="UVR232" s="19"/>
      <c r="UVS232" s="19"/>
      <c r="UVV232" s="16"/>
      <c r="UVW232" s="15"/>
      <c r="UVX232" s="15"/>
      <c r="UVY232" s="15"/>
      <c r="UVZ232" s="16"/>
      <c r="UWA232" s="16"/>
      <c r="UWB232" s="16"/>
      <c r="UWC232" s="16"/>
      <c r="UWD232" s="16"/>
      <c r="UWE232" s="15"/>
      <c r="UWF232" s="15"/>
      <c r="UWG232" s="10"/>
      <c r="UWH232" s="10"/>
      <c r="UWI232" s="19"/>
      <c r="UWJ232" s="19"/>
      <c r="UWM232" s="16"/>
      <c r="UWN232" s="15"/>
      <c r="UWO232" s="15"/>
      <c r="UWP232" s="15"/>
      <c r="UWQ232" s="16"/>
      <c r="UWR232" s="16"/>
      <c r="UWS232" s="16"/>
      <c r="UWT232" s="16"/>
      <c r="UWU232" s="16"/>
      <c r="UWV232" s="15"/>
      <c r="UWW232" s="15"/>
      <c r="UWX232" s="10"/>
      <c r="UWY232" s="10"/>
      <c r="UWZ232" s="19"/>
      <c r="UXA232" s="19"/>
      <c r="UXD232" s="16"/>
      <c r="UXE232" s="15"/>
      <c r="UXF232" s="15"/>
      <c r="UXG232" s="15"/>
      <c r="UXH232" s="16"/>
      <c r="UXI232" s="16"/>
      <c r="UXJ232" s="16"/>
      <c r="UXK232" s="16"/>
      <c r="UXL232" s="16"/>
      <c r="UXM232" s="15"/>
      <c r="UXN232" s="15"/>
      <c r="UXO232" s="10"/>
      <c r="UXP232" s="10"/>
      <c r="UXQ232" s="19"/>
      <c r="UXR232" s="19"/>
      <c r="UXU232" s="16"/>
      <c r="UXV232" s="15"/>
      <c r="UXW232" s="15"/>
      <c r="UXX232" s="15"/>
      <c r="UXY232" s="16"/>
      <c r="UXZ232" s="16"/>
      <c r="UYA232" s="16"/>
      <c r="UYB232" s="16"/>
      <c r="UYC232" s="16"/>
      <c r="UYD232" s="15"/>
      <c r="UYE232" s="15"/>
      <c r="UYF232" s="10"/>
      <c r="UYG232" s="10"/>
      <c r="UYH232" s="19"/>
      <c r="UYI232" s="19"/>
      <c r="UYL232" s="16"/>
      <c r="UYM232" s="15"/>
      <c r="UYN232" s="15"/>
      <c r="UYO232" s="15"/>
      <c r="UYP232" s="16"/>
      <c r="UYQ232" s="16"/>
      <c r="UYR232" s="16"/>
      <c r="UYS232" s="16"/>
      <c r="UYT232" s="16"/>
      <c r="UYU232" s="15"/>
      <c r="UYV232" s="15"/>
      <c r="UYW232" s="10"/>
      <c r="UYX232" s="10"/>
      <c r="UYY232" s="19"/>
      <c r="UYZ232" s="19"/>
      <c r="UZC232" s="16"/>
      <c r="UZD232" s="15"/>
      <c r="UZE232" s="15"/>
      <c r="UZF232" s="15"/>
      <c r="UZG232" s="16"/>
      <c r="UZH232" s="16"/>
      <c r="UZI232" s="16"/>
      <c r="UZJ232" s="16"/>
      <c r="UZK232" s="16"/>
      <c r="UZL232" s="15"/>
      <c r="UZM232" s="15"/>
      <c r="UZN232" s="10"/>
      <c r="UZO232" s="10"/>
      <c r="UZP232" s="19"/>
      <c r="UZQ232" s="19"/>
      <c r="UZT232" s="16"/>
      <c r="UZU232" s="15"/>
      <c r="UZV232" s="15"/>
      <c r="UZW232" s="15"/>
      <c r="UZX232" s="16"/>
      <c r="UZY232" s="16"/>
      <c r="UZZ232" s="16"/>
      <c r="VAA232" s="16"/>
      <c r="VAB232" s="16"/>
      <c r="VAC232" s="15"/>
      <c r="VAD232" s="15"/>
      <c r="VAE232" s="10"/>
      <c r="VAF232" s="10"/>
      <c r="VAG232" s="19"/>
      <c r="VAH232" s="19"/>
      <c r="VAK232" s="16"/>
      <c r="VAL232" s="15"/>
      <c r="VAM232" s="15"/>
      <c r="VAN232" s="15"/>
      <c r="VAO232" s="16"/>
      <c r="VAP232" s="16"/>
      <c r="VAQ232" s="16"/>
      <c r="VAR232" s="16"/>
      <c r="VAS232" s="16"/>
      <c r="VAT232" s="15"/>
      <c r="VAU232" s="15"/>
      <c r="VAV232" s="10"/>
      <c r="VAW232" s="10"/>
      <c r="VAX232" s="19"/>
      <c r="VAY232" s="19"/>
      <c r="VBB232" s="16"/>
      <c r="VBC232" s="15"/>
      <c r="VBD232" s="15"/>
      <c r="VBE232" s="15"/>
      <c r="VBF232" s="16"/>
      <c r="VBG232" s="16"/>
      <c r="VBH232" s="16"/>
      <c r="VBI232" s="16"/>
      <c r="VBJ232" s="16"/>
      <c r="VBK232" s="15"/>
      <c r="VBL232" s="15"/>
      <c r="VBM232" s="10"/>
      <c r="VBN232" s="10"/>
      <c r="VBO232" s="19"/>
      <c r="VBP232" s="19"/>
      <c r="VBS232" s="16"/>
      <c r="VBT232" s="15"/>
      <c r="VBU232" s="15"/>
      <c r="VBV232" s="15"/>
      <c r="VBW232" s="16"/>
      <c r="VBX232" s="16"/>
      <c r="VBY232" s="16"/>
      <c r="VBZ232" s="16"/>
      <c r="VCA232" s="16"/>
      <c r="VCB232" s="15"/>
      <c r="VCC232" s="15"/>
      <c r="VCD232" s="10"/>
      <c r="VCE232" s="10"/>
      <c r="VCF232" s="19"/>
      <c r="VCG232" s="19"/>
      <c r="VCJ232" s="16"/>
      <c r="VCK232" s="15"/>
      <c r="VCL232" s="15"/>
      <c r="VCM232" s="15"/>
      <c r="VCN232" s="16"/>
      <c r="VCO232" s="16"/>
      <c r="VCP232" s="16"/>
      <c r="VCQ232" s="16"/>
      <c r="VCR232" s="16"/>
      <c r="VCS232" s="15"/>
      <c r="VCT232" s="15"/>
      <c r="VCU232" s="10"/>
      <c r="VCV232" s="10"/>
      <c r="VCW232" s="19"/>
      <c r="VCX232" s="19"/>
      <c r="VDA232" s="16"/>
      <c r="VDB232" s="15"/>
      <c r="VDC232" s="15"/>
      <c r="VDD232" s="15"/>
      <c r="VDE232" s="16"/>
      <c r="VDF232" s="16"/>
      <c r="VDG232" s="16"/>
      <c r="VDH232" s="16"/>
      <c r="VDI232" s="16"/>
      <c r="VDJ232" s="15"/>
      <c r="VDK232" s="15"/>
      <c r="VDL232" s="10"/>
      <c r="VDM232" s="10"/>
      <c r="VDN232" s="19"/>
      <c r="VDO232" s="19"/>
      <c r="VDR232" s="16"/>
      <c r="VDS232" s="15"/>
      <c r="VDT232" s="15"/>
      <c r="VDU232" s="15"/>
      <c r="VDV232" s="16"/>
      <c r="VDW232" s="16"/>
      <c r="VDX232" s="16"/>
      <c r="VDY232" s="16"/>
      <c r="VDZ232" s="16"/>
      <c r="VEA232" s="15"/>
      <c r="VEB232" s="15"/>
      <c r="VEC232" s="10"/>
      <c r="VED232" s="10"/>
      <c r="VEE232" s="19"/>
      <c r="VEF232" s="19"/>
      <c r="VEI232" s="16"/>
      <c r="VEJ232" s="15"/>
      <c r="VEK232" s="15"/>
      <c r="VEL232" s="15"/>
      <c r="VEM232" s="16"/>
      <c r="VEN232" s="16"/>
      <c r="VEO232" s="16"/>
      <c r="VEP232" s="16"/>
      <c r="VEQ232" s="16"/>
      <c r="VER232" s="15"/>
      <c r="VES232" s="15"/>
      <c r="VET232" s="10"/>
      <c r="VEU232" s="10"/>
      <c r="VEV232" s="19"/>
      <c r="VEW232" s="19"/>
      <c r="VEZ232" s="16"/>
      <c r="VFA232" s="15"/>
      <c r="VFB232" s="15"/>
      <c r="VFC232" s="15"/>
      <c r="VFD232" s="16"/>
      <c r="VFE232" s="16"/>
      <c r="VFF232" s="16"/>
      <c r="VFG232" s="16"/>
      <c r="VFH232" s="16"/>
      <c r="VFI232" s="15"/>
      <c r="VFJ232" s="15"/>
      <c r="VFK232" s="10"/>
      <c r="VFL232" s="10"/>
      <c r="VFM232" s="19"/>
      <c r="VFN232" s="19"/>
      <c r="VFQ232" s="16"/>
      <c r="VFR232" s="15"/>
      <c r="VFS232" s="15"/>
      <c r="VFT232" s="15"/>
      <c r="VFU232" s="16"/>
      <c r="VFV232" s="16"/>
      <c r="VFW232" s="16"/>
      <c r="VFX232" s="16"/>
      <c r="VFY232" s="16"/>
      <c r="VFZ232" s="15"/>
      <c r="VGA232" s="15"/>
      <c r="VGB232" s="10"/>
      <c r="VGC232" s="10"/>
      <c r="VGD232" s="19"/>
      <c r="VGE232" s="19"/>
      <c r="VGH232" s="16"/>
      <c r="VGI232" s="15"/>
      <c r="VGJ232" s="15"/>
      <c r="VGK232" s="15"/>
      <c r="VGL232" s="16"/>
      <c r="VGM232" s="16"/>
      <c r="VGN232" s="16"/>
      <c r="VGO232" s="16"/>
      <c r="VGP232" s="16"/>
      <c r="VGQ232" s="15"/>
      <c r="VGR232" s="15"/>
      <c r="VGS232" s="10"/>
      <c r="VGT232" s="10"/>
      <c r="VGU232" s="19"/>
      <c r="VGV232" s="19"/>
      <c r="VGY232" s="16"/>
      <c r="VGZ232" s="15"/>
      <c r="VHA232" s="15"/>
      <c r="VHB232" s="15"/>
      <c r="VHC232" s="16"/>
      <c r="VHD232" s="16"/>
      <c r="VHE232" s="16"/>
      <c r="VHF232" s="16"/>
      <c r="VHG232" s="16"/>
      <c r="VHH232" s="15"/>
      <c r="VHI232" s="15"/>
      <c r="VHJ232" s="10"/>
      <c r="VHK232" s="10"/>
      <c r="VHL232" s="19"/>
      <c r="VHM232" s="19"/>
      <c r="VHP232" s="16"/>
      <c r="VHQ232" s="15"/>
      <c r="VHR232" s="15"/>
      <c r="VHS232" s="15"/>
      <c r="VHT232" s="16"/>
      <c r="VHU232" s="16"/>
      <c r="VHV232" s="16"/>
      <c r="VHW232" s="16"/>
      <c r="VHX232" s="16"/>
      <c r="VHY232" s="15"/>
      <c r="VHZ232" s="15"/>
      <c r="VIA232" s="10"/>
      <c r="VIB232" s="10"/>
      <c r="VIC232" s="19"/>
      <c r="VID232" s="19"/>
      <c r="VIG232" s="16"/>
      <c r="VIH232" s="15"/>
      <c r="VII232" s="15"/>
      <c r="VIJ232" s="15"/>
      <c r="VIK232" s="16"/>
      <c r="VIL232" s="16"/>
      <c r="VIM232" s="16"/>
      <c r="VIN232" s="16"/>
      <c r="VIO232" s="16"/>
      <c r="VIP232" s="15"/>
      <c r="VIQ232" s="15"/>
      <c r="VIR232" s="10"/>
      <c r="VIS232" s="10"/>
      <c r="VIT232" s="19"/>
      <c r="VIU232" s="19"/>
      <c r="VIX232" s="16"/>
      <c r="VIY232" s="15"/>
      <c r="VIZ232" s="15"/>
      <c r="VJA232" s="15"/>
      <c r="VJB232" s="16"/>
      <c r="VJC232" s="16"/>
      <c r="VJD232" s="16"/>
      <c r="VJE232" s="16"/>
      <c r="VJF232" s="16"/>
      <c r="VJG232" s="15"/>
      <c r="VJH232" s="15"/>
      <c r="VJI232" s="10"/>
      <c r="VJJ232" s="10"/>
      <c r="VJK232" s="19"/>
      <c r="VJL232" s="19"/>
      <c r="VJO232" s="16"/>
      <c r="VJP232" s="15"/>
      <c r="VJQ232" s="15"/>
      <c r="VJR232" s="15"/>
      <c r="VJS232" s="16"/>
      <c r="VJT232" s="16"/>
      <c r="VJU232" s="16"/>
      <c r="VJV232" s="16"/>
      <c r="VJW232" s="16"/>
      <c r="VJX232" s="15"/>
      <c r="VJY232" s="15"/>
      <c r="VJZ232" s="10"/>
      <c r="VKA232" s="10"/>
      <c r="VKB232" s="19"/>
      <c r="VKC232" s="19"/>
      <c r="VKF232" s="16"/>
      <c r="VKG232" s="15"/>
      <c r="VKH232" s="15"/>
      <c r="VKI232" s="15"/>
      <c r="VKJ232" s="16"/>
      <c r="VKK232" s="16"/>
      <c r="VKL232" s="16"/>
      <c r="VKM232" s="16"/>
      <c r="VKN232" s="16"/>
      <c r="VKO232" s="15"/>
      <c r="VKP232" s="15"/>
      <c r="VKQ232" s="10"/>
      <c r="VKR232" s="10"/>
      <c r="VKS232" s="19"/>
      <c r="VKT232" s="19"/>
      <c r="VKW232" s="16"/>
      <c r="VKX232" s="15"/>
      <c r="VKY232" s="15"/>
      <c r="VKZ232" s="15"/>
      <c r="VLA232" s="16"/>
      <c r="VLB232" s="16"/>
      <c r="VLC232" s="16"/>
      <c r="VLD232" s="16"/>
      <c r="VLE232" s="16"/>
      <c r="VLF232" s="15"/>
      <c r="VLG232" s="15"/>
      <c r="VLH232" s="10"/>
      <c r="VLI232" s="10"/>
      <c r="VLJ232" s="19"/>
      <c r="VLK232" s="19"/>
      <c r="VLN232" s="16"/>
      <c r="VLO232" s="15"/>
      <c r="VLP232" s="15"/>
      <c r="VLQ232" s="15"/>
      <c r="VLR232" s="16"/>
      <c r="VLS232" s="16"/>
      <c r="VLT232" s="16"/>
      <c r="VLU232" s="16"/>
      <c r="VLV232" s="16"/>
      <c r="VLW232" s="15"/>
      <c r="VLX232" s="15"/>
      <c r="VLY232" s="10"/>
      <c r="VLZ232" s="10"/>
      <c r="VMA232" s="19"/>
      <c r="VMB232" s="19"/>
      <c r="VME232" s="16"/>
      <c r="VMF232" s="15"/>
      <c r="VMG232" s="15"/>
      <c r="VMH232" s="15"/>
      <c r="VMI232" s="16"/>
      <c r="VMJ232" s="16"/>
      <c r="VMK232" s="16"/>
      <c r="VML232" s="16"/>
      <c r="VMM232" s="16"/>
      <c r="VMN232" s="15"/>
      <c r="VMO232" s="15"/>
      <c r="VMP232" s="10"/>
      <c r="VMQ232" s="10"/>
      <c r="VMR232" s="19"/>
      <c r="VMS232" s="19"/>
      <c r="VMV232" s="16"/>
      <c r="VMW232" s="15"/>
      <c r="VMX232" s="15"/>
      <c r="VMY232" s="15"/>
      <c r="VMZ232" s="16"/>
      <c r="VNA232" s="16"/>
      <c r="VNB232" s="16"/>
      <c r="VNC232" s="16"/>
      <c r="VND232" s="16"/>
      <c r="VNE232" s="15"/>
      <c r="VNF232" s="15"/>
      <c r="VNG232" s="10"/>
      <c r="VNH232" s="10"/>
      <c r="VNI232" s="19"/>
      <c r="VNJ232" s="19"/>
      <c r="VNM232" s="16"/>
      <c r="VNN232" s="15"/>
      <c r="VNO232" s="15"/>
      <c r="VNP232" s="15"/>
      <c r="VNQ232" s="16"/>
      <c r="VNR232" s="16"/>
      <c r="VNS232" s="16"/>
      <c r="VNT232" s="16"/>
      <c r="VNU232" s="16"/>
      <c r="VNV232" s="15"/>
      <c r="VNW232" s="15"/>
      <c r="VNX232" s="10"/>
      <c r="VNY232" s="10"/>
      <c r="VNZ232" s="19"/>
      <c r="VOA232" s="19"/>
      <c r="VOD232" s="16"/>
      <c r="VOE232" s="15"/>
      <c r="VOF232" s="15"/>
      <c r="VOG232" s="15"/>
      <c r="VOH232" s="16"/>
      <c r="VOI232" s="16"/>
      <c r="VOJ232" s="16"/>
      <c r="VOK232" s="16"/>
      <c r="VOL232" s="16"/>
      <c r="VOM232" s="15"/>
      <c r="VON232" s="15"/>
      <c r="VOO232" s="10"/>
      <c r="VOP232" s="10"/>
      <c r="VOQ232" s="19"/>
      <c r="VOR232" s="19"/>
      <c r="VOU232" s="16"/>
      <c r="VOV232" s="15"/>
      <c r="VOW232" s="15"/>
      <c r="VOX232" s="15"/>
      <c r="VOY232" s="16"/>
      <c r="VOZ232" s="16"/>
      <c r="VPA232" s="16"/>
      <c r="VPB232" s="16"/>
      <c r="VPC232" s="16"/>
      <c r="VPD232" s="15"/>
      <c r="VPE232" s="15"/>
      <c r="VPF232" s="10"/>
      <c r="VPG232" s="10"/>
      <c r="VPH232" s="19"/>
      <c r="VPI232" s="19"/>
      <c r="VPL232" s="16"/>
      <c r="VPM232" s="15"/>
      <c r="VPN232" s="15"/>
      <c r="VPO232" s="15"/>
      <c r="VPP232" s="16"/>
      <c r="VPQ232" s="16"/>
      <c r="VPR232" s="16"/>
      <c r="VPS232" s="16"/>
      <c r="VPT232" s="16"/>
      <c r="VPU232" s="15"/>
      <c r="VPV232" s="15"/>
      <c r="VPW232" s="10"/>
      <c r="VPX232" s="10"/>
      <c r="VPY232" s="19"/>
      <c r="VPZ232" s="19"/>
      <c r="VQC232" s="16"/>
      <c r="VQD232" s="15"/>
      <c r="VQE232" s="15"/>
      <c r="VQF232" s="15"/>
      <c r="VQG232" s="16"/>
      <c r="VQH232" s="16"/>
      <c r="VQI232" s="16"/>
      <c r="VQJ232" s="16"/>
      <c r="VQK232" s="16"/>
      <c r="VQL232" s="15"/>
      <c r="VQM232" s="15"/>
      <c r="VQN232" s="10"/>
      <c r="VQO232" s="10"/>
      <c r="VQP232" s="19"/>
      <c r="VQQ232" s="19"/>
      <c r="VQT232" s="16"/>
      <c r="VQU232" s="15"/>
      <c r="VQV232" s="15"/>
      <c r="VQW232" s="15"/>
      <c r="VQX232" s="16"/>
      <c r="VQY232" s="16"/>
      <c r="VQZ232" s="16"/>
      <c r="VRA232" s="16"/>
      <c r="VRB232" s="16"/>
      <c r="VRC232" s="15"/>
      <c r="VRD232" s="15"/>
      <c r="VRE232" s="10"/>
      <c r="VRF232" s="10"/>
      <c r="VRG232" s="19"/>
      <c r="VRH232" s="19"/>
      <c r="VRK232" s="16"/>
      <c r="VRL232" s="15"/>
      <c r="VRM232" s="15"/>
      <c r="VRN232" s="15"/>
      <c r="VRO232" s="16"/>
      <c r="VRP232" s="16"/>
      <c r="VRQ232" s="16"/>
      <c r="VRR232" s="16"/>
      <c r="VRS232" s="16"/>
      <c r="VRT232" s="15"/>
      <c r="VRU232" s="15"/>
      <c r="VRV232" s="10"/>
      <c r="VRW232" s="10"/>
      <c r="VRX232" s="19"/>
      <c r="VRY232" s="19"/>
      <c r="VSB232" s="16"/>
      <c r="VSC232" s="15"/>
      <c r="VSD232" s="15"/>
      <c r="VSE232" s="15"/>
      <c r="VSF232" s="16"/>
      <c r="VSG232" s="16"/>
      <c r="VSH232" s="16"/>
      <c r="VSI232" s="16"/>
      <c r="VSJ232" s="16"/>
      <c r="VSK232" s="15"/>
      <c r="VSL232" s="15"/>
      <c r="VSM232" s="10"/>
      <c r="VSN232" s="10"/>
      <c r="VSO232" s="19"/>
      <c r="VSP232" s="19"/>
      <c r="VSS232" s="16"/>
      <c r="VST232" s="15"/>
      <c r="VSU232" s="15"/>
      <c r="VSV232" s="15"/>
      <c r="VSW232" s="16"/>
      <c r="VSX232" s="16"/>
      <c r="VSY232" s="16"/>
      <c r="VSZ232" s="16"/>
      <c r="VTA232" s="16"/>
      <c r="VTB232" s="15"/>
      <c r="VTC232" s="15"/>
      <c r="VTD232" s="10"/>
      <c r="VTE232" s="10"/>
      <c r="VTF232" s="19"/>
      <c r="VTG232" s="19"/>
      <c r="VTJ232" s="16"/>
      <c r="VTK232" s="15"/>
      <c r="VTL232" s="15"/>
      <c r="VTM232" s="15"/>
      <c r="VTN232" s="16"/>
      <c r="VTO232" s="16"/>
      <c r="VTP232" s="16"/>
      <c r="VTQ232" s="16"/>
      <c r="VTR232" s="16"/>
      <c r="VTS232" s="15"/>
      <c r="VTT232" s="15"/>
      <c r="VTU232" s="10"/>
      <c r="VTV232" s="10"/>
      <c r="VTW232" s="19"/>
      <c r="VTX232" s="19"/>
      <c r="VUA232" s="16"/>
      <c r="VUB232" s="15"/>
      <c r="VUC232" s="15"/>
      <c r="VUD232" s="15"/>
      <c r="VUE232" s="16"/>
      <c r="VUF232" s="16"/>
      <c r="VUG232" s="16"/>
      <c r="VUH232" s="16"/>
      <c r="VUI232" s="16"/>
      <c r="VUJ232" s="15"/>
      <c r="VUK232" s="15"/>
      <c r="VUL232" s="10"/>
      <c r="VUM232" s="10"/>
      <c r="VUN232" s="19"/>
      <c r="VUO232" s="19"/>
      <c r="VUR232" s="16"/>
      <c r="VUS232" s="15"/>
      <c r="VUT232" s="15"/>
      <c r="VUU232" s="15"/>
      <c r="VUV232" s="16"/>
      <c r="VUW232" s="16"/>
      <c r="VUX232" s="16"/>
      <c r="VUY232" s="16"/>
      <c r="VUZ232" s="16"/>
      <c r="VVA232" s="15"/>
      <c r="VVB232" s="15"/>
      <c r="VVC232" s="10"/>
      <c r="VVD232" s="10"/>
      <c r="VVE232" s="19"/>
      <c r="VVF232" s="19"/>
      <c r="VVI232" s="16"/>
      <c r="VVJ232" s="15"/>
      <c r="VVK232" s="15"/>
      <c r="VVL232" s="15"/>
      <c r="VVM232" s="16"/>
      <c r="VVN232" s="16"/>
      <c r="VVO232" s="16"/>
      <c r="VVP232" s="16"/>
      <c r="VVQ232" s="16"/>
      <c r="VVR232" s="15"/>
      <c r="VVS232" s="15"/>
      <c r="VVT232" s="10"/>
      <c r="VVU232" s="10"/>
      <c r="VVV232" s="19"/>
      <c r="VVW232" s="19"/>
      <c r="VVZ232" s="16"/>
      <c r="VWA232" s="15"/>
      <c r="VWB232" s="15"/>
      <c r="VWC232" s="15"/>
      <c r="VWD232" s="16"/>
      <c r="VWE232" s="16"/>
      <c r="VWF232" s="16"/>
      <c r="VWG232" s="16"/>
      <c r="VWH232" s="16"/>
      <c r="VWI232" s="15"/>
      <c r="VWJ232" s="15"/>
      <c r="VWK232" s="10"/>
      <c r="VWL232" s="10"/>
      <c r="VWM232" s="19"/>
      <c r="VWN232" s="19"/>
      <c r="VWQ232" s="16"/>
      <c r="VWR232" s="15"/>
      <c r="VWS232" s="15"/>
      <c r="VWT232" s="15"/>
      <c r="VWU232" s="16"/>
      <c r="VWV232" s="16"/>
      <c r="VWW232" s="16"/>
      <c r="VWX232" s="16"/>
      <c r="VWY232" s="16"/>
      <c r="VWZ232" s="15"/>
      <c r="VXA232" s="15"/>
      <c r="VXB232" s="10"/>
      <c r="VXC232" s="10"/>
      <c r="VXD232" s="19"/>
      <c r="VXE232" s="19"/>
      <c r="VXH232" s="16"/>
      <c r="VXI232" s="15"/>
      <c r="VXJ232" s="15"/>
      <c r="VXK232" s="15"/>
      <c r="VXL232" s="16"/>
      <c r="VXM232" s="16"/>
      <c r="VXN232" s="16"/>
      <c r="VXO232" s="16"/>
      <c r="VXP232" s="16"/>
      <c r="VXQ232" s="15"/>
      <c r="VXR232" s="15"/>
      <c r="VXS232" s="10"/>
      <c r="VXT232" s="10"/>
      <c r="VXU232" s="19"/>
      <c r="VXV232" s="19"/>
      <c r="VXY232" s="16"/>
      <c r="VXZ232" s="15"/>
      <c r="VYA232" s="15"/>
      <c r="VYB232" s="15"/>
      <c r="VYC232" s="16"/>
      <c r="VYD232" s="16"/>
      <c r="VYE232" s="16"/>
      <c r="VYF232" s="16"/>
      <c r="VYG232" s="16"/>
      <c r="VYH232" s="15"/>
      <c r="VYI232" s="15"/>
      <c r="VYJ232" s="10"/>
      <c r="VYK232" s="10"/>
      <c r="VYL232" s="19"/>
      <c r="VYM232" s="19"/>
      <c r="VYP232" s="16"/>
      <c r="VYQ232" s="15"/>
      <c r="VYR232" s="15"/>
      <c r="VYS232" s="15"/>
      <c r="VYT232" s="16"/>
      <c r="VYU232" s="16"/>
      <c r="VYV232" s="16"/>
      <c r="VYW232" s="16"/>
      <c r="VYX232" s="16"/>
      <c r="VYY232" s="15"/>
      <c r="VYZ232" s="15"/>
      <c r="VZA232" s="10"/>
      <c r="VZB232" s="10"/>
      <c r="VZC232" s="19"/>
      <c r="VZD232" s="19"/>
      <c r="VZG232" s="16"/>
      <c r="VZH232" s="15"/>
      <c r="VZI232" s="15"/>
      <c r="VZJ232" s="15"/>
      <c r="VZK232" s="16"/>
      <c r="VZL232" s="16"/>
      <c r="VZM232" s="16"/>
      <c r="VZN232" s="16"/>
      <c r="VZO232" s="16"/>
      <c r="VZP232" s="15"/>
      <c r="VZQ232" s="15"/>
      <c r="VZR232" s="10"/>
      <c r="VZS232" s="10"/>
      <c r="VZT232" s="19"/>
      <c r="VZU232" s="19"/>
      <c r="VZX232" s="16"/>
      <c r="VZY232" s="15"/>
      <c r="VZZ232" s="15"/>
      <c r="WAA232" s="15"/>
      <c r="WAB232" s="16"/>
      <c r="WAC232" s="16"/>
      <c r="WAD232" s="16"/>
      <c r="WAE232" s="16"/>
      <c r="WAF232" s="16"/>
      <c r="WAG232" s="15"/>
      <c r="WAH232" s="15"/>
      <c r="WAI232" s="10"/>
      <c r="WAJ232" s="10"/>
      <c r="WAK232" s="19"/>
      <c r="WAL232" s="19"/>
      <c r="WAO232" s="16"/>
      <c r="WAP232" s="15"/>
      <c r="WAQ232" s="15"/>
      <c r="WAR232" s="15"/>
      <c r="WAS232" s="16"/>
      <c r="WAT232" s="16"/>
      <c r="WAU232" s="16"/>
      <c r="WAV232" s="16"/>
      <c r="WAW232" s="16"/>
      <c r="WAX232" s="15"/>
      <c r="WAY232" s="15"/>
      <c r="WAZ232" s="10"/>
      <c r="WBA232" s="10"/>
      <c r="WBB232" s="19"/>
      <c r="WBC232" s="19"/>
      <c r="WBF232" s="16"/>
      <c r="WBG232" s="15"/>
      <c r="WBH232" s="15"/>
      <c r="WBI232" s="15"/>
      <c r="WBJ232" s="16"/>
      <c r="WBK232" s="16"/>
      <c r="WBL232" s="16"/>
      <c r="WBM232" s="16"/>
      <c r="WBN232" s="16"/>
      <c r="WBO232" s="15"/>
      <c r="WBP232" s="15"/>
      <c r="WBQ232" s="10"/>
      <c r="WBR232" s="10"/>
      <c r="WBS232" s="19"/>
      <c r="WBT232" s="19"/>
      <c r="WBW232" s="16"/>
      <c r="WBX232" s="15"/>
      <c r="WBY232" s="15"/>
      <c r="WBZ232" s="15"/>
      <c r="WCA232" s="16"/>
      <c r="WCB232" s="16"/>
      <c r="WCC232" s="16"/>
      <c r="WCD232" s="16"/>
      <c r="WCE232" s="16"/>
      <c r="WCF232" s="15"/>
      <c r="WCG232" s="15"/>
      <c r="WCH232" s="10"/>
      <c r="WCI232" s="10"/>
      <c r="WCJ232" s="19"/>
      <c r="WCK232" s="19"/>
      <c r="WCN232" s="16"/>
      <c r="WCO232" s="15"/>
      <c r="WCP232" s="15"/>
      <c r="WCQ232" s="15"/>
      <c r="WCR232" s="16"/>
      <c r="WCS232" s="16"/>
      <c r="WCT232" s="16"/>
      <c r="WCU232" s="16"/>
      <c r="WCV232" s="16"/>
      <c r="WCW232" s="15"/>
      <c r="WCX232" s="15"/>
      <c r="WCY232" s="10"/>
      <c r="WCZ232" s="10"/>
      <c r="WDA232" s="19"/>
      <c r="WDB232" s="19"/>
      <c r="WDE232" s="16"/>
      <c r="WDF232" s="15"/>
      <c r="WDG232" s="15"/>
      <c r="WDH232" s="15"/>
      <c r="WDI232" s="16"/>
      <c r="WDJ232" s="16"/>
      <c r="WDK232" s="16"/>
      <c r="WDL232" s="16"/>
      <c r="WDM232" s="16"/>
      <c r="WDN232" s="15"/>
      <c r="WDO232" s="15"/>
      <c r="WDP232" s="10"/>
      <c r="WDQ232" s="10"/>
      <c r="WDR232" s="19"/>
      <c r="WDS232" s="19"/>
      <c r="WDV232" s="16"/>
      <c r="WDW232" s="15"/>
      <c r="WDX232" s="15"/>
      <c r="WDY232" s="15"/>
      <c r="WDZ232" s="16"/>
      <c r="WEA232" s="16"/>
      <c r="WEB232" s="16"/>
      <c r="WEC232" s="16"/>
      <c r="WED232" s="16"/>
      <c r="WEE232" s="15"/>
      <c r="WEF232" s="15"/>
      <c r="WEG232" s="10"/>
      <c r="WEH232" s="10"/>
      <c r="WEI232" s="19"/>
      <c r="WEJ232" s="19"/>
      <c r="WEM232" s="16"/>
      <c r="WEN232" s="15"/>
      <c r="WEO232" s="15"/>
      <c r="WEP232" s="15"/>
      <c r="WEQ232" s="16"/>
      <c r="WER232" s="16"/>
      <c r="WES232" s="16"/>
      <c r="WET232" s="16"/>
      <c r="WEU232" s="16"/>
      <c r="WEV232" s="15"/>
      <c r="WEW232" s="15"/>
      <c r="WEX232" s="10"/>
      <c r="WEY232" s="10"/>
      <c r="WEZ232" s="19"/>
      <c r="WFA232" s="19"/>
      <c r="WFD232" s="16"/>
      <c r="WFE232" s="15"/>
      <c r="WFF232" s="15"/>
      <c r="WFG232" s="15"/>
      <c r="WFH232" s="16"/>
      <c r="WFI232" s="16"/>
      <c r="WFJ232" s="16"/>
      <c r="WFK232" s="16"/>
      <c r="WFL232" s="16"/>
      <c r="WFM232" s="15"/>
      <c r="WFN232" s="15"/>
      <c r="WFO232" s="10"/>
      <c r="WFP232" s="10"/>
      <c r="WFQ232" s="19"/>
      <c r="WFR232" s="19"/>
      <c r="WFU232" s="16"/>
      <c r="WFV232" s="15"/>
      <c r="WFW232" s="15"/>
      <c r="WFX232" s="15"/>
      <c r="WFY232" s="16"/>
      <c r="WFZ232" s="16"/>
      <c r="WGA232" s="16"/>
      <c r="WGB232" s="16"/>
      <c r="WGC232" s="16"/>
      <c r="WGD232" s="15"/>
      <c r="WGE232" s="15"/>
      <c r="WGF232" s="10"/>
      <c r="WGG232" s="10"/>
      <c r="WGH232" s="19"/>
      <c r="WGI232" s="19"/>
      <c r="WGL232" s="16"/>
      <c r="WGM232" s="15"/>
      <c r="WGN232" s="15"/>
      <c r="WGO232" s="15"/>
      <c r="WGP232" s="16"/>
      <c r="WGQ232" s="16"/>
      <c r="WGR232" s="16"/>
      <c r="WGS232" s="16"/>
      <c r="WGT232" s="16"/>
      <c r="WGU232" s="15"/>
      <c r="WGV232" s="15"/>
      <c r="WGW232" s="10"/>
      <c r="WGX232" s="10"/>
      <c r="WGY232" s="19"/>
      <c r="WGZ232" s="19"/>
      <c r="WHC232" s="16"/>
      <c r="WHD232" s="15"/>
      <c r="WHE232" s="15"/>
      <c r="WHF232" s="15"/>
      <c r="WHG232" s="16"/>
      <c r="WHH232" s="16"/>
      <c r="WHI232" s="16"/>
      <c r="WHJ232" s="16"/>
      <c r="WHK232" s="16"/>
      <c r="WHL232" s="15"/>
      <c r="WHM232" s="15"/>
      <c r="WHN232" s="10"/>
      <c r="WHO232" s="10"/>
      <c r="WHP232" s="19"/>
      <c r="WHQ232" s="19"/>
      <c r="WHT232" s="16"/>
      <c r="WHU232" s="15"/>
      <c r="WHV232" s="15"/>
      <c r="WHW232" s="15"/>
      <c r="WHX232" s="16"/>
      <c r="WHY232" s="16"/>
      <c r="WHZ232" s="16"/>
      <c r="WIA232" s="16"/>
      <c r="WIB232" s="16"/>
      <c r="WIC232" s="15"/>
      <c r="WID232" s="15"/>
      <c r="WIE232" s="10"/>
      <c r="WIF232" s="10"/>
      <c r="WIG232" s="19"/>
      <c r="WIH232" s="19"/>
      <c r="WIK232" s="16"/>
      <c r="WIL232" s="15"/>
      <c r="WIM232" s="15"/>
      <c r="WIN232" s="15"/>
      <c r="WIO232" s="16"/>
      <c r="WIP232" s="16"/>
      <c r="WIQ232" s="16"/>
      <c r="WIR232" s="16"/>
      <c r="WIS232" s="16"/>
      <c r="WIT232" s="15"/>
      <c r="WIU232" s="15"/>
      <c r="WIV232" s="10"/>
      <c r="WIW232" s="10"/>
      <c r="WIX232" s="19"/>
      <c r="WIY232" s="19"/>
      <c r="WJB232" s="16"/>
      <c r="WJC232" s="15"/>
      <c r="WJD232" s="15"/>
      <c r="WJE232" s="15"/>
      <c r="WJF232" s="16"/>
      <c r="WJG232" s="16"/>
      <c r="WJH232" s="16"/>
      <c r="WJI232" s="16"/>
      <c r="WJJ232" s="16"/>
      <c r="WJK232" s="15"/>
      <c r="WJL232" s="15"/>
      <c r="WJM232" s="10"/>
      <c r="WJN232" s="10"/>
      <c r="WJO232" s="19"/>
      <c r="WJP232" s="19"/>
      <c r="WJS232" s="16"/>
      <c r="WJT232" s="15"/>
      <c r="WJU232" s="15"/>
      <c r="WJV232" s="15"/>
      <c r="WJW232" s="16"/>
      <c r="WJX232" s="16"/>
      <c r="WJY232" s="16"/>
      <c r="WJZ232" s="16"/>
      <c r="WKA232" s="16"/>
      <c r="WKB232" s="15"/>
      <c r="WKC232" s="15"/>
      <c r="WKD232" s="10"/>
      <c r="WKE232" s="10"/>
      <c r="WKF232" s="19"/>
      <c r="WKG232" s="19"/>
      <c r="WKJ232" s="16"/>
      <c r="WKK232" s="15"/>
      <c r="WKL232" s="15"/>
      <c r="WKM232" s="15"/>
      <c r="WKN232" s="16"/>
      <c r="WKO232" s="16"/>
      <c r="WKP232" s="16"/>
      <c r="WKQ232" s="16"/>
      <c r="WKR232" s="16"/>
      <c r="WKS232" s="15"/>
      <c r="WKT232" s="15"/>
      <c r="WKU232" s="10"/>
      <c r="WKV232" s="10"/>
      <c r="WKW232" s="19"/>
      <c r="WKX232" s="19"/>
      <c r="WLA232" s="16"/>
      <c r="WLB232" s="15"/>
      <c r="WLC232" s="15"/>
      <c r="WLD232" s="15"/>
      <c r="WLE232" s="16"/>
      <c r="WLF232" s="16"/>
      <c r="WLG232" s="16"/>
      <c r="WLH232" s="16"/>
      <c r="WLI232" s="16"/>
      <c r="WLJ232" s="15"/>
      <c r="WLK232" s="15"/>
      <c r="WLL232" s="10"/>
      <c r="WLM232" s="10"/>
      <c r="WLN232" s="19"/>
      <c r="WLO232" s="19"/>
      <c r="WLR232" s="16"/>
      <c r="WLS232" s="15"/>
      <c r="WLT232" s="15"/>
      <c r="WLU232" s="15"/>
      <c r="WLV232" s="16"/>
      <c r="WLW232" s="16"/>
      <c r="WLX232" s="16"/>
      <c r="WLY232" s="16"/>
      <c r="WLZ232" s="16"/>
      <c r="WMA232" s="15"/>
      <c r="WMB232" s="15"/>
      <c r="WMC232" s="10"/>
      <c r="WMD232" s="10"/>
      <c r="WME232" s="19"/>
      <c r="WMF232" s="19"/>
      <c r="WMI232" s="16"/>
      <c r="WMJ232" s="15"/>
      <c r="WMK232" s="15"/>
      <c r="WML232" s="15"/>
      <c r="WMM232" s="16"/>
      <c r="WMN232" s="16"/>
      <c r="WMO232" s="16"/>
      <c r="WMP232" s="16"/>
      <c r="WMQ232" s="16"/>
      <c r="WMR232" s="15"/>
      <c r="WMS232" s="15"/>
      <c r="WMT232" s="10"/>
      <c r="WMU232" s="10"/>
      <c r="WMV232" s="19"/>
      <c r="WMW232" s="19"/>
      <c r="WMZ232" s="16"/>
      <c r="WNA232" s="15"/>
      <c r="WNB232" s="15"/>
      <c r="WNC232" s="15"/>
      <c r="WND232" s="16"/>
      <c r="WNE232" s="16"/>
      <c r="WNF232" s="16"/>
      <c r="WNG232" s="16"/>
      <c r="WNH232" s="16"/>
      <c r="WNI232" s="15"/>
      <c r="WNJ232" s="15"/>
      <c r="WNK232" s="10"/>
      <c r="WNL232" s="10"/>
      <c r="WNM232" s="19"/>
      <c r="WNN232" s="19"/>
      <c r="WNQ232" s="16"/>
      <c r="WNR232" s="15"/>
      <c r="WNS232" s="15"/>
      <c r="WNT232" s="15"/>
      <c r="WNU232" s="16"/>
      <c r="WNV232" s="16"/>
      <c r="WNW232" s="16"/>
      <c r="WNX232" s="16"/>
      <c r="WNY232" s="16"/>
      <c r="WNZ232" s="15"/>
      <c r="WOA232" s="15"/>
      <c r="WOB232" s="10"/>
      <c r="WOC232" s="10"/>
      <c r="WOD232" s="19"/>
      <c r="WOE232" s="19"/>
      <c r="WOH232" s="16"/>
      <c r="WOI232" s="15"/>
      <c r="WOJ232" s="15"/>
      <c r="WOK232" s="15"/>
      <c r="WOL232" s="16"/>
      <c r="WOM232" s="16"/>
      <c r="WON232" s="16"/>
      <c r="WOO232" s="16"/>
      <c r="WOP232" s="16"/>
      <c r="WOQ232" s="15"/>
      <c r="WOR232" s="15"/>
      <c r="WOS232" s="10"/>
      <c r="WOT232" s="10"/>
      <c r="WOU232" s="19"/>
      <c r="WOV232" s="19"/>
      <c r="WOY232" s="16"/>
      <c r="WOZ232" s="15"/>
      <c r="WPA232" s="15"/>
      <c r="WPB232" s="15"/>
      <c r="WPC232" s="16"/>
      <c r="WPD232" s="16"/>
      <c r="WPE232" s="16"/>
      <c r="WPF232" s="16"/>
      <c r="WPG232" s="16"/>
      <c r="WPH232" s="15"/>
      <c r="WPI232" s="15"/>
      <c r="WPJ232" s="10"/>
      <c r="WPK232" s="10"/>
      <c r="WPL232" s="19"/>
      <c r="WPM232" s="19"/>
      <c r="WPP232" s="16"/>
      <c r="WPQ232" s="15"/>
      <c r="WPR232" s="15"/>
      <c r="WPS232" s="15"/>
      <c r="WPT232" s="16"/>
      <c r="WPU232" s="16"/>
      <c r="WPV232" s="16"/>
      <c r="WPW232" s="16"/>
      <c r="WPX232" s="16"/>
      <c r="WPY232" s="15"/>
      <c r="WPZ232" s="15"/>
      <c r="WQA232" s="10"/>
      <c r="WQB232" s="10"/>
      <c r="WQC232" s="19"/>
      <c r="WQD232" s="19"/>
      <c r="WQG232" s="16"/>
      <c r="WQH232" s="15"/>
      <c r="WQI232" s="15"/>
      <c r="WQJ232" s="15"/>
      <c r="WQK232" s="16"/>
      <c r="WQL232" s="16"/>
      <c r="WQM232" s="16"/>
      <c r="WQN232" s="16"/>
      <c r="WQO232" s="16"/>
      <c r="WQP232" s="15"/>
      <c r="WQQ232" s="15"/>
      <c r="WQR232" s="10"/>
      <c r="WQS232" s="10"/>
      <c r="WQT232" s="19"/>
      <c r="WQU232" s="19"/>
      <c r="WQX232" s="16"/>
      <c r="WQY232" s="15"/>
      <c r="WQZ232" s="15"/>
      <c r="WRA232" s="15"/>
      <c r="WRB232" s="16"/>
      <c r="WRC232" s="16"/>
      <c r="WRD232" s="16"/>
      <c r="WRE232" s="16"/>
      <c r="WRF232" s="16"/>
      <c r="WRG232" s="15"/>
      <c r="WRH232" s="15"/>
      <c r="WRI232" s="10"/>
      <c r="WRJ232" s="10"/>
      <c r="WRK232" s="19"/>
      <c r="WRL232" s="19"/>
      <c r="WRO232" s="16"/>
      <c r="WRP232" s="15"/>
      <c r="WRQ232" s="15"/>
      <c r="WRR232" s="15"/>
      <c r="WRS232" s="16"/>
      <c r="WRT232" s="16"/>
      <c r="WRU232" s="16"/>
      <c r="WRV232" s="16"/>
      <c r="WRW232" s="16"/>
      <c r="WRX232" s="15"/>
      <c r="WRY232" s="15"/>
      <c r="WRZ232" s="10"/>
      <c r="WSA232" s="10"/>
      <c r="WSB232" s="19"/>
      <c r="WSC232" s="19"/>
      <c r="WSF232" s="16"/>
      <c r="WSG232" s="15"/>
      <c r="WSH232" s="15"/>
      <c r="WSI232" s="15"/>
      <c r="WSJ232" s="16"/>
      <c r="WSK232" s="16"/>
      <c r="WSL232" s="16"/>
      <c r="WSM232" s="16"/>
      <c r="WSN232" s="16"/>
      <c r="WSO232" s="15"/>
      <c r="WSP232" s="15"/>
      <c r="WSQ232" s="10"/>
      <c r="WSR232" s="10"/>
      <c r="WSS232" s="19"/>
      <c r="WST232" s="19"/>
      <c r="WSW232" s="16"/>
      <c r="WSX232" s="15"/>
      <c r="WSY232" s="15"/>
      <c r="WSZ232" s="15"/>
      <c r="WTA232" s="16"/>
      <c r="WTB232" s="16"/>
      <c r="WTC232" s="16"/>
      <c r="WTD232" s="16"/>
      <c r="WTE232" s="16"/>
      <c r="WTF232" s="15"/>
      <c r="WTG232" s="15"/>
      <c r="WTH232" s="10"/>
      <c r="WTI232" s="10"/>
      <c r="WTJ232" s="19"/>
      <c r="WTK232" s="19"/>
      <c r="WTN232" s="16"/>
      <c r="WTO232" s="15"/>
      <c r="WTP232" s="15"/>
      <c r="WTQ232" s="15"/>
      <c r="WTR232" s="16"/>
      <c r="WTS232" s="16"/>
      <c r="WTT232" s="16"/>
      <c r="WTU232" s="16"/>
      <c r="WTV232" s="16"/>
      <c r="WTW232" s="15"/>
      <c r="WTX232" s="15"/>
      <c r="WTY232" s="10"/>
      <c r="WTZ232" s="10"/>
      <c r="WUA232" s="19"/>
      <c r="WUB232" s="19"/>
      <c r="WUE232" s="16"/>
      <c r="WUF232" s="15"/>
      <c r="WUG232" s="15"/>
      <c r="WUH232" s="15"/>
      <c r="WUI232" s="16"/>
      <c r="WUJ232" s="16"/>
      <c r="WUK232" s="16"/>
      <c r="WUL232" s="16"/>
      <c r="WUM232" s="16"/>
      <c r="WUN232" s="15"/>
      <c r="WUO232" s="15"/>
      <c r="WUP232" s="10"/>
      <c r="WUQ232" s="10"/>
      <c r="WUR232" s="19"/>
      <c r="WUS232" s="19"/>
      <c r="WUV232" s="16"/>
      <c r="WUW232" s="15"/>
      <c r="WUX232" s="15"/>
      <c r="WUY232" s="15"/>
      <c r="WUZ232" s="16"/>
      <c r="WVA232" s="16"/>
      <c r="WVB232" s="16"/>
      <c r="WVC232" s="16"/>
      <c r="WVD232" s="16"/>
      <c r="WVE232" s="15"/>
      <c r="WVF232" s="15"/>
      <c r="WVG232" s="10"/>
      <c r="WVH232" s="10"/>
      <c r="WVI232" s="19"/>
      <c r="WVJ232" s="19"/>
      <c r="WVM232" s="16"/>
      <c r="WVN232" s="15"/>
      <c r="WVO232" s="15"/>
      <c r="WVP232" s="15"/>
      <c r="WVQ232" s="16"/>
      <c r="WVR232" s="16"/>
      <c r="WVS232" s="16"/>
      <c r="WVT232" s="16"/>
      <c r="WVU232" s="16"/>
      <c r="WVV232" s="15"/>
      <c r="WVW232" s="15"/>
      <c r="WVX232" s="10"/>
      <c r="WVY232" s="10"/>
      <c r="WVZ232" s="19"/>
      <c r="WWA232" s="19"/>
      <c r="WWD232" s="16"/>
      <c r="WWE232" s="15"/>
      <c r="WWF232" s="15"/>
      <c r="WWG232" s="15"/>
      <c r="WWH232" s="16"/>
      <c r="WWI232" s="16"/>
      <c r="WWJ232" s="16"/>
      <c r="WWK232" s="16"/>
      <c r="WWL232" s="16"/>
      <c r="WWM232" s="15"/>
      <c r="WWN232" s="15"/>
      <c r="WWO232" s="10"/>
      <c r="WWP232" s="10"/>
      <c r="WWQ232" s="19"/>
      <c r="WWR232" s="19"/>
      <c r="WWU232" s="16"/>
      <c r="WWV232" s="15"/>
      <c r="WWW232" s="15"/>
      <c r="WWX232" s="15"/>
      <c r="WWY232" s="16"/>
      <c r="WWZ232" s="16"/>
      <c r="WXA232" s="16"/>
      <c r="WXB232" s="16"/>
      <c r="WXC232" s="16"/>
      <c r="WXD232" s="15"/>
      <c r="WXE232" s="15"/>
      <c r="WXF232" s="10"/>
      <c r="WXG232" s="10"/>
      <c r="WXH232" s="19"/>
      <c r="WXI232" s="19"/>
      <c r="WXL232" s="16"/>
      <c r="WXM232" s="15"/>
      <c r="WXN232" s="15"/>
      <c r="WXO232" s="15"/>
      <c r="WXP232" s="16"/>
      <c r="WXQ232" s="16"/>
      <c r="WXR232" s="16"/>
      <c r="WXS232" s="16"/>
      <c r="WXT232" s="16"/>
      <c r="WXU232" s="15"/>
      <c r="WXV232" s="15"/>
      <c r="WXW232" s="10"/>
      <c r="WXX232" s="10"/>
      <c r="WXY232" s="19"/>
      <c r="WXZ232" s="19"/>
      <c r="WYC232" s="16"/>
      <c r="WYD232" s="15"/>
      <c r="WYE232" s="15"/>
      <c r="WYF232" s="15"/>
      <c r="WYG232" s="16"/>
      <c r="WYH232" s="16"/>
      <c r="WYI232" s="16"/>
      <c r="WYJ232" s="16"/>
      <c r="WYK232" s="16"/>
      <c r="WYL232" s="15"/>
      <c r="WYM232" s="15"/>
      <c r="WYN232" s="10"/>
      <c r="WYO232" s="10"/>
      <c r="WYP232" s="19"/>
      <c r="WYQ232" s="19"/>
      <c r="WYT232" s="16"/>
      <c r="WYU232" s="15"/>
      <c r="WYV232" s="15"/>
      <c r="WYW232" s="15"/>
      <c r="WYX232" s="16"/>
      <c r="WYY232" s="16"/>
      <c r="WYZ232" s="16"/>
      <c r="WZA232" s="16"/>
      <c r="WZB232" s="16"/>
      <c r="WZC232" s="15"/>
      <c r="WZD232" s="15"/>
      <c r="WZE232" s="10"/>
      <c r="WZF232" s="10"/>
      <c r="WZG232" s="19"/>
      <c r="WZH232" s="19"/>
      <c r="WZK232" s="16"/>
      <c r="WZL232" s="15"/>
      <c r="WZM232" s="15"/>
      <c r="WZN232" s="15"/>
      <c r="WZO232" s="16"/>
      <c r="WZP232" s="16"/>
      <c r="WZQ232" s="16"/>
      <c r="WZR232" s="16"/>
      <c r="WZS232" s="16"/>
      <c r="WZT232" s="15"/>
      <c r="WZU232" s="15"/>
      <c r="WZV232" s="10"/>
      <c r="WZW232" s="10"/>
      <c r="WZX232" s="19"/>
      <c r="WZY232" s="19"/>
      <c r="XAB232" s="16"/>
      <c r="XAC232" s="15"/>
      <c r="XAD232" s="15"/>
      <c r="XAE232" s="15"/>
      <c r="XAF232" s="16"/>
      <c r="XAG232" s="16"/>
      <c r="XAH232" s="16"/>
      <c r="XAI232" s="16"/>
      <c r="XAJ232" s="16"/>
      <c r="XAK232" s="15"/>
      <c r="XAL232" s="15"/>
      <c r="XAM232" s="10"/>
      <c r="XAN232" s="10"/>
      <c r="XAO232" s="19"/>
      <c r="XAP232" s="19"/>
      <c r="XAS232" s="16"/>
      <c r="XAT232" s="15"/>
      <c r="XAU232" s="15"/>
      <c r="XAV232" s="15"/>
      <c r="XAW232" s="16"/>
      <c r="XAX232" s="16"/>
      <c r="XAY232" s="16"/>
      <c r="XAZ232" s="16"/>
      <c r="XBA232" s="16"/>
      <c r="XBB232" s="15"/>
      <c r="XBC232" s="15"/>
      <c r="XBD232" s="10"/>
      <c r="XBE232" s="10"/>
      <c r="XBF232" s="19"/>
      <c r="XBG232" s="19"/>
      <c r="XBJ232" s="16"/>
      <c r="XBK232" s="15"/>
      <c r="XBL232" s="15"/>
      <c r="XBM232" s="15"/>
      <c r="XBN232" s="16"/>
      <c r="XBO232" s="16"/>
      <c r="XBP232" s="16"/>
      <c r="XBQ232" s="16"/>
      <c r="XBR232" s="16"/>
      <c r="XBS232" s="15"/>
      <c r="XBT232" s="15"/>
      <c r="XBU232" s="10"/>
      <c r="XBV232" s="10"/>
      <c r="XBW232" s="19"/>
      <c r="XBX232" s="19"/>
      <c r="XCA232" s="16"/>
      <c r="XCB232" s="15"/>
      <c r="XCC232" s="15"/>
      <c r="XCD232" s="15"/>
      <c r="XCE232" s="16"/>
      <c r="XCF232" s="16"/>
      <c r="XCG232" s="16"/>
      <c r="XCH232" s="16"/>
      <c r="XCI232" s="16"/>
      <c r="XCJ232" s="15"/>
      <c r="XCK232" s="15"/>
      <c r="XCL232" s="10"/>
      <c r="XCM232" s="10"/>
      <c r="XCN232" s="19"/>
      <c r="XCO232" s="19"/>
      <c r="XCR232" s="16"/>
      <c r="XCS232" s="15"/>
      <c r="XCT232" s="15"/>
      <c r="XCU232" s="15"/>
      <c r="XCV232" s="16"/>
      <c r="XCW232" s="16"/>
      <c r="XCX232" s="16"/>
      <c r="XCY232" s="16"/>
      <c r="XCZ232" s="16"/>
      <c r="XDA232" s="15"/>
      <c r="XDB232" s="15"/>
      <c r="XDC232" s="10"/>
      <c r="XDD232" s="10"/>
      <c r="XDE232" s="19"/>
      <c r="XDF232" s="19"/>
      <c r="XDI232" s="16"/>
      <c r="XDJ232" s="15"/>
      <c r="XDK232" s="15"/>
      <c r="XDL232" s="15"/>
      <c r="XDM232" s="16"/>
      <c r="XDN232" s="16"/>
      <c r="XDO232" s="16"/>
      <c r="XDP232" s="16"/>
      <c r="XDQ232" s="16"/>
      <c r="XDR232" s="15"/>
      <c r="XDS232" s="15"/>
      <c r="XDT232" s="10"/>
      <c r="XDU232" s="10"/>
      <c r="XDV232" s="19"/>
      <c r="XDW232" s="19"/>
      <c r="XDZ232" s="16"/>
      <c r="XEA232" s="15"/>
      <c r="XEB232" s="15"/>
      <c r="XEC232" s="15"/>
      <c r="XED232" s="16"/>
      <c r="XEE232" s="16"/>
      <c r="XEF232" s="16"/>
      <c r="XEG232" s="16"/>
      <c r="XEH232" s="16"/>
      <c r="XEI232" s="15"/>
      <c r="XEJ232" s="15"/>
      <c r="XEK232" s="10"/>
      <c r="XEL232" s="10"/>
      <c r="XEM232" s="19"/>
      <c r="XEN232" s="19"/>
      <c r="XEQ232" s="16"/>
      <c r="XER232" s="15"/>
      <c r="XES232" s="15"/>
      <c r="XET232" s="15"/>
      <c r="XEU232" s="16"/>
      <c r="XEV232" s="16"/>
      <c r="XEW232" s="16"/>
      <c r="XEX232" s="16"/>
      <c r="XEY232" s="16"/>
      <c r="XEZ232" s="15"/>
      <c r="XFA232" s="15"/>
      <c r="XFB232" s="10"/>
      <c r="XFC232" s="10"/>
      <c r="XFD232" s="19"/>
    </row>
    <row r="233" spans="1:4094 4097:8191 8194:12288 1229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1072</v>
      </c>
      <c r="E233" s="32" t="s">
        <v>166</v>
      </c>
      <c r="F233" s="32" t="s">
        <v>656</v>
      </c>
      <c r="G233" s="32" t="s">
        <v>178</v>
      </c>
      <c r="H233" s="32" t="s">
        <v>352</v>
      </c>
      <c r="I233" s="31" t="s">
        <v>379</v>
      </c>
      <c r="J233" s="31">
        <v>10</v>
      </c>
      <c r="K233" s="33" t="s">
        <v>718</v>
      </c>
      <c r="L233" s="33" t="s">
        <v>700</v>
      </c>
      <c r="M233" s="34" t="s">
        <v>703</v>
      </c>
      <c r="N233" s="34" t="s">
        <v>1734</v>
      </c>
      <c r="O233" s="35">
        <v>1</v>
      </c>
      <c r="P233" s="35"/>
      <c r="Q233" s="32"/>
      <c r="S233" s="1">
        <f t="shared" si="71"/>
        <v>0</v>
      </c>
      <c r="T233" s="1">
        <f t="shared" si="72"/>
        <v>0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1</v>
      </c>
      <c r="AD233" s="1">
        <f t="shared" si="81"/>
        <v>0</v>
      </c>
      <c r="AE233" s="1">
        <f t="shared" si="82"/>
        <v>1</v>
      </c>
      <c r="AF233" s="1">
        <f t="shared" si="67"/>
        <v>0</v>
      </c>
      <c r="AG233" s="1">
        <f t="shared" si="68"/>
        <v>1</v>
      </c>
      <c r="AH233" s="1">
        <f t="shared" si="69"/>
        <v>0</v>
      </c>
      <c r="AI233" s="1">
        <f t="shared" si="70"/>
        <v>1</v>
      </c>
    </row>
    <row r="234" spans="1:4094 4097:8191 8194:12288 1229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1213</v>
      </c>
      <c r="E234" s="32" t="s">
        <v>164</v>
      </c>
      <c r="F234" s="32" t="s">
        <v>1214</v>
      </c>
      <c r="G234" s="32" t="s">
        <v>1216</v>
      </c>
      <c r="H234" s="32" t="s">
        <v>352</v>
      </c>
      <c r="I234" s="31" t="s">
        <v>1215</v>
      </c>
      <c r="J234" s="31">
        <v>99</v>
      </c>
      <c r="K234" s="33" t="s">
        <v>718</v>
      </c>
      <c r="L234" s="33" t="s">
        <v>689</v>
      </c>
      <c r="M234" s="34" t="s">
        <v>1385</v>
      </c>
      <c r="N234" s="34" t="s">
        <v>1727</v>
      </c>
      <c r="O234" s="35">
        <v>1</v>
      </c>
      <c r="P234" s="35"/>
      <c r="Q234" s="32"/>
      <c r="R234" s="15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67"/>
        <v>0</v>
      </c>
      <c r="AG234" s="1">
        <f t="shared" si="68"/>
        <v>1</v>
      </c>
      <c r="AH234" s="1">
        <f t="shared" si="69"/>
        <v>0</v>
      </c>
      <c r="AI234" s="1">
        <f t="shared" si="70"/>
        <v>1</v>
      </c>
      <c r="AJ234" s="15"/>
      <c r="AK234" s="15"/>
      <c r="AL234" s="15"/>
      <c r="AM234" s="15"/>
      <c r="AN234" s="15"/>
      <c r="AO234" s="15"/>
      <c r="AP234" s="15"/>
      <c r="AQ234" s="15"/>
      <c r="AR234" s="15"/>
      <c r="AS234" s="10"/>
      <c r="AT234" s="10"/>
      <c r="AU234" s="21"/>
      <c r="AV234" s="21"/>
      <c r="AY234" s="21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0"/>
      <c r="BK234" s="10"/>
      <c r="BL234" s="21"/>
      <c r="BM234" s="21"/>
      <c r="BP234" s="21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0"/>
      <c r="CB234" s="10"/>
      <c r="CC234" s="21"/>
      <c r="CD234" s="21"/>
      <c r="CG234" s="21"/>
      <c r="CH234" s="15"/>
      <c r="CI234" s="15"/>
      <c r="CJ234" s="15"/>
      <c r="CK234" s="15"/>
      <c r="CL234" s="15"/>
      <c r="CM234" s="15"/>
      <c r="CN234" s="15"/>
      <c r="CO234" s="15"/>
      <c r="CP234" s="15"/>
      <c r="CQ234" s="15"/>
      <c r="CR234" s="10"/>
      <c r="CS234" s="10"/>
      <c r="CT234" s="21"/>
      <c r="CU234" s="21"/>
      <c r="CX234" s="21"/>
      <c r="CY234" s="15"/>
      <c r="CZ234" s="15"/>
      <c r="DA234" s="15"/>
      <c r="DB234" s="15"/>
      <c r="DC234" s="15"/>
      <c r="DD234" s="15"/>
      <c r="DE234" s="15"/>
      <c r="DF234" s="15"/>
      <c r="DG234" s="15"/>
      <c r="DH234" s="15"/>
      <c r="DI234" s="10"/>
      <c r="DJ234" s="10"/>
      <c r="DK234" s="21"/>
      <c r="DL234" s="21"/>
      <c r="DO234" s="21"/>
      <c r="DP234" s="15"/>
      <c r="DQ234" s="15"/>
      <c r="DR234" s="15"/>
      <c r="DS234" s="15"/>
      <c r="DT234" s="15"/>
      <c r="DU234" s="15"/>
      <c r="DV234" s="15"/>
      <c r="DW234" s="15"/>
      <c r="DX234" s="15"/>
      <c r="DY234" s="15"/>
      <c r="DZ234" s="10"/>
      <c r="EA234" s="10"/>
      <c r="EB234" s="21"/>
      <c r="EC234" s="21"/>
      <c r="EF234" s="21"/>
      <c r="EG234" s="15"/>
      <c r="EH234" s="15"/>
      <c r="EI234" s="15"/>
      <c r="EJ234" s="15"/>
      <c r="EK234" s="15"/>
      <c r="EL234" s="15"/>
      <c r="EM234" s="15"/>
      <c r="EN234" s="15"/>
      <c r="EO234" s="15"/>
      <c r="EP234" s="15"/>
      <c r="EQ234" s="10"/>
      <c r="ER234" s="10"/>
      <c r="ES234" s="21"/>
      <c r="ET234" s="21"/>
      <c r="EW234" s="21"/>
      <c r="EX234" s="15"/>
      <c r="EY234" s="15"/>
      <c r="EZ234" s="15"/>
      <c r="FA234" s="15"/>
      <c r="FB234" s="15"/>
      <c r="FC234" s="15"/>
      <c r="FD234" s="15"/>
      <c r="FE234" s="15"/>
      <c r="FF234" s="15"/>
      <c r="FG234" s="15"/>
      <c r="FH234" s="10"/>
      <c r="FI234" s="10"/>
      <c r="FJ234" s="21"/>
      <c r="FK234" s="21"/>
      <c r="FN234" s="21"/>
      <c r="FO234" s="15"/>
      <c r="FP234" s="15"/>
      <c r="FQ234" s="15"/>
      <c r="FR234" s="15"/>
      <c r="FS234" s="15"/>
      <c r="FT234" s="15"/>
      <c r="FU234" s="15"/>
      <c r="FV234" s="15"/>
      <c r="FW234" s="15"/>
      <c r="FX234" s="15"/>
      <c r="FY234" s="10"/>
      <c r="FZ234" s="10"/>
      <c r="GA234" s="21"/>
      <c r="GB234" s="21"/>
      <c r="GE234" s="21"/>
      <c r="GF234" s="15"/>
      <c r="GG234" s="15"/>
      <c r="GH234" s="15"/>
      <c r="GI234" s="15"/>
      <c r="GJ234" s="15"/>
      <c r="GK234" s="15"/>
      <c r="GL234" s="15"/>
      <c r="GM234" s="15"/>
      <c r="GN234" s="15"/>
      <c r="GO234" s="15"/>
      <c r="GP234" s="10"/>
      <c r="GQ234" s="10"/>
      <c r="GR234" s="21"/>
      <c r="GS234" s="21"/>
      <c r="GV234" s="21"/>
      <c r="GW234" s="15"/>
      <c r="GX234" s="15"/>
      <c r="GY234" s="15"/>
      <c r="GZ234" s="15"/>
      <c r="HA234" s="15"/>
      <c r="HB234" s="15"/>
      <c r="HC234" s="15"/>
      <c r="HD234" s="15"/>
      <c r="HE234" s="15"/>
      <c r="HF234" s="15"/>
      <c r="HG234" s="10"/>
      <c r="HH234" s="10"/>
      <c r="HI234" s="21"/>
      <c r="HJ234" s="21"/>
      <c r="HM234" s="21"/>
      <c r="HN234" s="15"/>
      <c r="HO234" s="15"/>
      <c r="HP234" s="15"/>
      <c r="HQ234" s="15"/>
      <c r="HR234" s="15"/>
      <c r="HS234" s="15"/>
      <c r="HT234" s="15"/>
      <c r="HU234" s="15"/>
      <c r="HV234" s="15"/>
      <c r="HW234" s="15"/>
      <c r="HX234" s="10"/>
      <c r="HY234" s="10"/>
      <c r="HZ234" s="21"/>
      <c r="IA234" s="21"/>
      <c r="ID234" s="21"/>
      <c r="IE234" s="15"/>
      <c r="IF234" s="15"/>
      <c r="IG234" s="15"/>
      <c r="IH234" s="15"/>
      <c r="II234" s="15"/>
      <c r="IJ234" s="15"/>
      <c r="IK234" s="15"/>
      <c r="IL234" s="15"/>
      <c r="IM234" s="15"/>
      <c r="IN234" s="15"/>
      <c r="IO234" s="10"/>
      <c r="IP234" s="10"/>
      <c r="IQ234" s="21"/>
      <c r="IR234" s="21"/>
      <c r="IU234" s="21"/>
      <c r="IV234" s="15"/>
      <c r="IW234" s="15"/>
      <c r="IX234" s="15"/>
      <c r="IY234" s="15"/>
      <c r="IZ234" s="15"/>
      <c r="JA234" s="15"/>
      <c r="JB234" s="15"/>
      <c r="JC234" s="15"/>
      <c r="JD234" s="15"/>
      <c r="JE234" s="15"/>
      <c r="JF234" s="10"/>
      <c r="JG234" s="10"/>
      <c r="JH234" s="21"/>
      <c r="JI234" s="21"/>
      <c r="JL234" s="21"/>
      <c r="JM234" s="15"/>
      <c r="JN234" s="15"/>
      <c r="JO234" s="15"/>
      <c r="JP234" s="15"/>
      <c r="JQ234" s="15"/>
      <c r="JR234" s="15"/>
      <c r="JS234" s="15"/>
      <c r="JT234" s="15"/>
      <c r="JU234" s="15"/>
      <c r="JV234" s="15"/>
      <c r="JW234" s="10"/>
      <c r="JX234" s="10"/>
      <c r="JY234" s="21"/>
      <c r="JZ234" s="21"/>
      <c r="KC234" s="21"/>
      <c r="KD234" s="15"/>
      <c r="KE234" s="15"/>
      <c r="KF234" s="15"/>
      <c r="KG234" s="15"/>
      <c r="KH234" s="15"/>
      <c r="KI234" s="15"/>
      <c r="KJ234" s="15"/>
      <c r="KK234" s="15"/>
      <c r="KL234" s="15"/>
      <c r="KM234" s="15"/>
      <c r="KN234" s="10"/>
      <c r="KO234" s="10"/>
      <c r="KP234" s="21"/>
      <c r="KQ234" s="21"/>
      <c r="KT234" s="21"/>
      <c r="KU234" s="15"/>
      <c r="KV234" s="15"/>
      <c r="KW234" s="15"/>
      <c r="KX234" s="15"/>
      <c r="KY234" s="15"/>
      <c r="KZ234" s="15"/>
      <c r="LA234" s="15"/>
      <c r="LB234" s="15"/>
      <c r="LC234" s="15"/>
      <c r="LD234" s="15"/>
      <c r="LE234" s="10"/>
      <c r="LF234" s="10"/>
      <c r="LG234" s="21"/>
      <c r="LH234" s="21"/>
      <c r="LK234" s="21"/>
      <c r="LL234" s="15"/>
      <c r="LM234" s="15"/>
      <c r="LN234" s="15"/>
      <c r="LO234" s="15"/>
      <c r="LP234" s="15"/>
      <c r="LQ234" s="15"/>
      <c r="LR234" s="15"/>
      <c r="LS234" s="15"/>
      <c r="LT234" s="15"/>
      <c r="LU234" s="15"/>
      <c r="LV234" s="10"/>
      <c r="LW234" s="10"/>
      <c r="LX234" s="21"/>
      <c r="LY234" s="21"/>
      <c r="MB234" s="21"/>
      <c r="MC234" s="15"/>
      <c r="MD234" s="15"/>
      <c r="ME234" s="15"/>
      <c r="MF234" s="15"/>
      <c r="MG234" s="15"/>
      <c r="MH234" s="15"/>
      <c r="MI234" s="15"/>
      <c r="MJ234" s="15"/>
      <c r="MK234" s="15"/>
      <c r="ML234" s="15"/>
      <c r="MM234" s="10"/>
      <c r="MN234" s="10"/>
      <c r="MO234" s="21"/>
      <c r="MP234" s="21"/>
      <c r="MS234" s="21"/>
      <c r="MT234" s="15"/>
      <c r="MU234" s="15"/>
      <c r="MV234" s="15"/>
      <c r="MW234" s="15"/>
      <c r="MX234" s="15"/>
      <c r="MY234" s="15"/>
      <c r="MZ234" s="15"/>
      <c r="NA234" s="15"/>
      <c r="NB234" s="15"/>
      <c r="NC234" s="15"/>
      <c r="ND234" s="10"/>
      <c r="NE234" s="10"/>
      <c r="NF234" s="21"/>
      <c r="NG234" s="21"/>
      <c r="NJ234" s="21"/>
      <c r="NK234" s="15"/>
      <c r="NL234" s="15"/>
      <c r="NM234" s="15"/>
      <c r="NN234" s="15"/>
      <c r="NO234" s="15"/>
      <c r="NP234" s="15"/>
      <c r="NQ234" s="15"/>
      <c r="NR234" s="15"/>
      <c r="NS234" s="15"/>
      <c r="NT234" s="15"/>
      <c r="NU234" s="10"/>
      <c r="NV234" s="10"/>
      <c r="NW234" s="21"/>
      <c r="NX234" s="21"/>
      <c r="OA234" s="21"/>
      <c r="OB234" s="15"/>
      <c r="OC234" s="15"/>
      <c r="OD234" s="15"/>
      <c r="OE234" s="15"/>
      <c r="OF234" s="15"/>
      <c r="OG234" s="15"/>
      <c r="OH234" s="15"/>
      <c r="OI234" s="15"/>
      <c r="OJ234" s="15"/>
      <c r="OK234" s="15"/>
      <c r="OL234" s="10"/>
      <c r="OM234" s="10"/>
      <c r="ON234" s="21"/>
      <c r="OO234" s="21"/>
      <c r="OR234" s="21"/>
      <c r="OS234" s="15"/>
      <c r="OT234" s="15"/>
      <c r="OU234" s="15"/>
      <c r="OV234" s="15"/>
      <c r="OW234" s="15"/>
      <c r="OX234" s="15"/>
      <c r="OY234" s="15"/>
      <c r="OZ234" s="15"/>
      <c r="PA234" s="15"/>
      <c r="PB234" s="15"/>
      <c r="PC234" s="10"/>
      <c r="PD234" s="10"/>
      <c r="PE234" s="21"/>
      <c r="PF234" s="21"/>
      <c r="PI234" s="21"/>
      <c r="PJ234" s="15"/>
      <c r="PK234" s="15"/>
      <c r="PL234" s="15"/>
      <c r="PM234" s="15"/>
      <c r="PN234" s="15"/>
      <c r="PO234" s="15"/>
      <c r="PP234" s="15"/>
      <c r="PQ234" s="15"/>
      <c r="PR234" s="15"/>
      <c r="PS234" s="15"/>
      <c r="PT234" s="10"/>
      <c r="PU234" s="10"/>
      <c r="PV234" s="21"/>
      <c r="PW234" s="21"/>
      <c r="PZ234" s="21"/>
      <c r="QA234" s="15"/>
      <c r="QB234" s="15"/>
      <c r="QC234" s="15"/>
      <c r="QD234" s="15"/>
      <c r="QE234" s="15"/>
      <c r="QF234" s="15"/>
      <c r="QG234" s="15"/>
      <c r="QH234" s="15"/>
      <c r="QI234" s="15"/>
      <c r="QJ234" s="15"/>
      <c r="QK234" s="10"/>
      <c r="QL234" s="10"/>
      <c r="QM234" s="21"/>
      <c r="QN234" s="21"/>
      <c r="QQ234" s="21"/>
      <c r="QR234" s="15"/>
      <c r="QS234" s="15"/>
      <c r="QT234" s="15"/>
      <c r="QU234" s="15"/>
      <c r="QV234" s="15"/>
      <c r="QW234" s="15"/>
      <c r="QX234" s="15"/>
      <c r="QY234" s="15"/>
      <c r="QZ234" s="15"/>
      <c r="RA234" s="15"/>
      <c r="RB234" s="10"/>
      <c r="RC234" s="10"/>
      <c r="RD234" s="21"/>
      <c r="RE234" s="21"/>
      <c r="RH234" s="21"/>
      <c r="RI234" s="15"/>
      <c r="RJ234" s="15"/>
      <c r="RK234" s="15"/>
      <c r="RL234" s="15"/>
      <c r="RM234" s="15"/>
      <c r="RN234" s="15"/>
      <c r="RO234" s="15"/>
      <c r="RP234" s="15"/>
      <c r="RQ234" s="15"/>
      <c r="RR234" s="15"/>
      <c r="RS234" s="10"/>
      <c r="RT234" s="10"/>
      <c r="RU234" s="21"/>
      <c r="RV234" s="21"/>
      <c r="RY234" s="21"/>
      <c r="RZ234" s="15"/>
      <c r="SA234" s="15"/>
      <c r="SB234" s="15"/>
      <c r="SC234" s="15"/>
      <c r="SD234" s="15"/>
      <c r="SE234" s="15"/>
      <c r="SF234" s="15"/>
      <c r="SG234" s="15"/>
      <c r="SH234" s="15"/>
      <c r="SI234" s="15"/>
      <c r="SJ234" s="10"/>
      <c r="SK234" s="10"/>
      <c r="SL234" s="21"/>
      <c r="SM234" s="21"/>
      <c r="SP234" s="21"/>
      <c r="SQ234" s="15"/>
      <c r="SR234" s="15"/>
      <c r="SS234" s="15"/>
      <c r="ST234" s="15"/>
      <c r="SU234" s="15"/>
      <c r="SV234" s="15"/>
      <c r="SW234" s="15"/>
      <c r="SX234" s="15"/>
      <c r="SY234" s="15"/>
      <c r="SZ234" s="15"/>
      <c r="TA234" s="10"/>
      <c r="TB234" s="10"/>
      <c r="TC234" s="21"/>
      <c r="TD234" s="21"/>
      <c r="TG234" s="21"/>
      <c r="TH234" s="15"/>
      <c r="TI234" s="15"/>
      <c r="TJ234" s="15"/>
      <c r="TK234" s="15"/>
      <c r="TL234" s="15"/>
      <c r="TM234" s="15"/>
      <c r="TN234" s="15"/>
      <c r="TO234" s="15"/>
      <c r="TP234" s="15"/>
      <c r="TQ234" s="15"/>
      <c r="TR234" s="10"/>
      <c r="TS234" s="10"/>
      <c r="TT234" s="21"/>
      <c r="TU234" s="21"/>
      <c r="TX234" s="21"/>
      <c r="TY234" s="15"/>
      <c r="TZ234" s="15"/>
      <c r="UA234" s="15"/>
      <c r="UB234" s="15"/>
      <c r="UC234" s="15"/>
      <c r="UD234" s="15"/>
      <c r="UE234" s="15"/>
      <c r="UF234" s="15"/>
      <c r="UG234" s="15"/>
      <c r="UH234" s="15"/>
      <c r="UI234" s="10"/>
      <c r="UJ234" s="10"/>
      <c r="UK234" s="21"/>
      <c r="UL234" s="21"/>
      <c r="UO234" s="21"/>
      <c r="UP234" s="15"/>
      <c r="UQ234" s="15"/>
      <c r="UR234" s="15"/>
      <c r="US234" s="15"/>
      <c r="UT234" s="15"/>
      <c r="UU234" s="15"/>
      <c r="UV234" s="15"/>
      <c r="UW234" s="15"/>
      <c r="UX234" s="15"/>
      <c r="UY234" s="15"/>
      <c r="UZ234" s="10"/>
      <c r="VA234" s="10"/>
      <c r="VB234" s="21"/>
      <c r="VC234" s="21"/>
      <c r="VF234" s="21"/>
      <c r="VG234" s="15"/>
      <c r="VH234" s="15"/>
      <c r="VI234" s="15"/>
      <c r="VJ234" s="15"/>
      <c r="VK234" s="15"/>
      <c r="VL234" s="15"/>
      <c r="VM234" s="15"/>
      <c r="VN234" s="15"/>
      <c r="VO234" s="15"/>
      <c r="VP234" s="15"/>
      <c r="VQ234" s="10"/>
      <c r="VR234" s="10"/>
      <c r="VS234" s="21"/>
      <c r="VT234" s="21"/>
      <c r="VW234" s="21"/>
      <c r="VX234" s="15"/>
      <c r="VY234" s="15"/>
      <c r="VZ234" s="15"/>
      <c r="WA234" s="15"/>
      <c r="WB234" s="15"/>
      <c r="WC234" s="15"/>
      <c r="WD234" s="15"/>
      <c r="WE234" s="15"/>
      <c r="WF234" s="15"/>
      <c r="WG234" s="15"/>
      <c r="WH234" s="10"/>
      <c r="WI234" s="10"/>
      <c r="WJ234" s="21"/>
      <c r="WK234" s="21"/>
      <c r="WN234" s="21"/>
      <c r="WO234" s="15"/>
      <c r="WP234" s="15"/>
      <c r="WQ234" s="15"/>
      <c r="WR234" s="15"/>
      <c r="WS234" s="15"/>
      <c r="WT234" s="15"/>
      <c r="WU234" s="15"/>
      <c r="WV234" s="15"/>
      <c r="WW234" s="15"/>
      <c r="WX234" s="15"/>
      <c r="WY234" s="10"/>
      <c r="WZ234" s="10"/>
      <c r="XA234" s="21"/>
      <c r="XB234" s="21"/>
      <c r="XE234" s="21"/>
      <c r="XF234" s="15"/>
      <c r="XG234" s="15"/>
      <c r="XH234" s="15"/>
      <c r="XI234" s="15"/>
      <c r="XJ234" s="15"/>
      <c r="XK234" s="15"/>
      <c r="XL234" s="15"/>
      <c r="XM234" s="15"/>
      <c r="XN234" s="15"/>
      <c r="XO234" s="15"/>
      <c r="XP234" s="10"/>
      <c r="XQ234" s="10"/>
      <c r="XR234" s="21"/>
      <c r="XS234" s="21"/>
      <c r="XV234" s="21"/>
      <c r="XW234" s="15"/>
      <c r="XX234" s="15"/>
      <c r="XY234" s="15"/>
      <c r="XZ234" s="15"/>
      <c r="YA234" s="15"/>
      <c r="YB234" s="15"/>
      <c r="YC234" s="15"/>
      <c r="YD234" s="15"/>
      <c r="YE234" s="15"/>
      <c r="YF234" s="15"/>
      <c r="YG234" s="10"/>
      <c r="YH234" s="10"/>
      <c r="YI234" s="21"/>
      <c r="YJ234" s="21"/>
      <c r="YM234" s="21"/>
      <c r="YN234" s="15"/>
      <c r="YO234" s="15"/>
      <c r="YP234" s="15"/>
      <c r="YQ234" s="15"/>
      <c r="YR234" s="15"/>
      <c r="YS234" s="15"/>
      <c r="YT234" s="15"/>
      <c r="YU234" s="15"/>
      <c r="YV234" s="15"/>
      <c r="YW234" s="15"/>
      <c r="YX234" s="10"/>
      <c r="YY234" s="10"/>
      <c r="YZ234" s="21"/>
      <c r="ZA234" s="21"/>
      <c r="ZD234" s="21"/>
      <c r="ZE234" s="15"/>
      <c r="ZF234" s="15"/>
      <c r="ZG234" s="15"/>
      <c r="ZH234" s="15"/>
      <c r="ZI234" s="15"/>
      <c r="ZJ234" s="15"/>
      <c r="ZK234" s="15"/>
      <c r="ZL234" s="15"/>
      <c r="ZM234" s="15"/>
      <c r="ZN234" s="15"/>
      <c r="ZO234" s="10"/>
      <c r="ZP234" s="10"/>
      <c r="ZQ234" s="21"/>
      <c r="ZR234" s="21"/>
      <c r="ZU234" s="21"/>
      <c r="ZV234" s="15"/>
      <c r="ZW234" s="15"/>
      <c r="ZX234" s="15"/>
      <c r="ZY234" s="15"/>
      <c r="ZZ234" s="15"/>
      <c r="AAA234" s="15"/>
      <c r="AAB234" s="15"/>
      <c r="AAC234" s="15"/>
      <c r="AAD234" s="15"/>
      <c r="AAE234" s="15"/>
      <c r="AAF234" s="10"/>
      <c r="AAG234" s="10"/>
      <c r="AAH234" s="21"/>
      <c r="AAI234" s="21"/>
      <c r="AAL234" s="21"/>
      <c r="AAM234" s="15"/>
      <c r="AAN234" s="15"/>
      <c r="AAO234" s="15"/>
      <c r="AAP234" s="15"/>
      <c r="AAQ234" s="15"/>
      <c r="AAR234" s="15"/>
      <c r="AAS234" s="15"/>
      <c r="AAT234" s="15"/>
      <c r="AAU234" s="15"/>
      <c r="AAV234" s="15"/>
      <c r="AAW234" s="10"/>
      <c r="AAX234" s="10"/>
      <c r="AAY234" s="21"/>
      <c r="AAZ234" s="21"/>
      <c r="ABC234" s="21"/>
      <c r="ABD234" s="15"/>
      <c r="ABE234" s="15"/>
      <c r="ABF234" s="15"/>
      <c r="ABG234" s="15"/>
      <c r="ABH234" s="15"/>
      <c r="ABI234" s="15"/>
      <c r="ABJ234" s="15"/>
      <c r="ABK234" s="15"/>
      <c r="ABL234" s="15"/>
      <c r="ABM234" s="15"/>
      <c r="ABN234" s="10"/>
      <c r="ABO234" s="10"/>
      <c r="ABP234" s="21"/>
      <c r="ABQ234" s="21"/>
      <c r="ABT234" s="21"/>
      <c r="ABU234" s="15"/>
      <c r="ABV234" s="15"/>
      <c r="ABW234" s="15"/>
      <c r="ABX234" s="15"/>
      <c r="ABY234" s="15"/>
      <c r="ABZ234" s="15"/>
      <c r="ACA234" s="15"/>
      <c r="ACB234" s="15"/>
      <c r="ACC234" s="15"/>
      <c r="ACD234" s="15"/>
      <c r="ACE234" s="10"/>
      <c r="ACF234" s="10"/>
      <c r="ACG234" s="21"/>
      <c r="ACH234" s="21"/>
      <c r="ACK234" s="21"/>
      <c r="ACL234" s="15"/>
      <c r="ACM234" s="15"/>
      <c r="ACN234" s="15"/>
      <c r="ACO234" s="15"/>
      <c r="ACP234" s="15"/>
      <c r="ACQ234" s="15"/>
      <c r="ACR234" s="15"/>
      <c r="ACS234" s="15"/>
      <c r="ACT234" s="15"/>
      <c r="ACU234" s="15"/>
      <c r="ACV234" s="10"/>
      <c r="ACW234" s="10"/>
      <c r="ACX234" s="21"/>
      <c r="ACY234" s="21"/>
      <c r="ADB234" s="21"/>
      <c r="ADC234" s="15"/>
      <c r="ADD234" s="15"/>
      <c r="ADE234" s="15"/>
      <c r="ADF234" s="15"/>
      <c r="ADG234" s="15"/>
      <c r="ADH234" s="15"/>
      <c r="ADI234" s="15"/>
      <c r="ADJ234" s="15"/>
      <c r="ADK234" s="15"/>
      <c r="ADL234" s="15"/>
      <c r="ADM234" s="10"/>
      <c r="ADN234" s="10"/>
      <c r="ADO234" s="21"/>
      <c r="ADP234" s="21"/>
      <c r="ADS234" s="21"/>
      <c r="ADT234" s="15"/>
      <c r="ADU234" s="15"/>
      <c r="ADV234" s="15"/>
      <c r="ADW234" s="15"/>
      <c r="ADX234" s="15"/>
      <c r="ADY234" s="15"/>
      <c r="ADZ234" s="15"/>
      <c r="AEA234" s="15"/>
      <c r="AEB234" s="15"/>
      <c r="AEC234" s="15"/>
      <c r="AED234" s="10"/>
      <c r="AEE234" s="10"/>
      <c r="AEF234" s="21"/>
      <c r="AEG234" s="21"/>
      <c r="AEJ234" s="21"/>
      <c r="AEK234" s="15"/>
      <c r="AEL234" s="15"/>
      <c r="AEM234" s="15"/>
      <c r="AEN234" s="15"/>
      <c r="AEO234" s="15"/>
      <c r="AEP234" s="15"/>
      <c r="AEQ234" s="15"/>
      <c r="AER234" s="15"/>
      <c r="AES234" s="15"/>
      <c r="AET234" s="15"/>
      <c r="AEU234" s="10"/>
      <c r="AEV234" s="10"/>
      <c r="AEW234" s="21"/>
      <c r="AEX234" s="21"/>
      <c r="AFA234" s="21"/>
      <c r="AFB234" s="15"/>
      <c r="AFC234" s="15"/>
      <c r="AFD234" s="15"/>
      <c r="AFE234" s="15"/>
      <c r="AFF234" s="15"/>
      <c r="AFG234" s="15"/>
      <c r="AFH234" s="15"/>
      <c r="AFI234" s="15"/>
      <c r="AFJ234" s="15"/>
      <c r="AFK234" s="15"/>
      <c r="AFL234" s="10"/>
      <c r="AFM234" s="10"/>
      <c r="AFN234" s="21"/>
      <c r="AFO234" s="21"/>
      <c r="AFR234" s="21"/>
      <c r="AFS234" s="15"/>
      <c r="AFT234" s="15"/>
      <c r="AFU234" s="15"/>
      <c r="AFV234" s="15"/>
      <c r="AFW234" s="15"/>
      <c r="AFX234" s="15"/>
      <c r="AFY234" s="15"/>
      <c r="AFZ234" s="15"/>
      <c r="AGA234" s="15"/>
      <c r="AGB234" s="15"/>
      <c r="AGC234" s="10"/>
      <c r="AGD234" s="10"/>
      <c r="AGE234" s="21"/>
      <c r="AGF234" s="21"/>
      <c r="AGI234" s="21"/>
      <c r="AGJ234" s="15"/>
      <c r="AGK234" s="15"/>
      <c r="AGL234" s="15"/>
      <c r="AGM234" s="15"/>
      <c r="AGN234" s="15"/>
      <c r="AGO234" s="15"/>
      <c r="AGP234" s="15"/>
      <c r="AGQ234" s="15"/>
      <c r="AGR234" s="15"/>
      <c r="AGS234" s="15"/>
      <c r="AGT234" s="10"/>
      <c r="AGU234" s="10"/>
      <c r="AGV234" s="21"/>
      <c r="AGW234" s="21"/>
      <c r="AGZ234" s="21"/>
      <c r="AHA234" s="15"/>
      <c r="AHB234" s="15"/>
      <c r="AHC234" s="15"/>
      <c r="AHD234" s="15"/>
      <c r="AHE234" s="15"/>
      <c r="AHF234" s="15"/>
      <c r="AHG234" s="15"/>
      <c r="AHH234" s="15"/>
      <c r="AHI234" s="15"/>
      <c r="AHJ234" s="15"/>
      <c r="AHK234" s="10"/>
      <c r="AHL234" s="10"/>
      <c r="AHM234" s="21"/>
      <c r="AHN234" s="21"/>
      <c r="AHQ234" s="21"/>
      <c r="AHR234" s="15"/>
      <c r="AHS234" s="15"/>
      <c r="AHT234" s="15"/>
      <c r="AHU234" s="15"/>
      <c r="AHV234" s="15"/>
      <c r="AHW234" s="15"/>
      <c r="AHX234" s="15"/>
      <c r="AHY234" s="15"/>
      <c r="AHZ234" s="15"/>
      <c r="AIA234" s="15"/>
      <c r="AIB234" s="10"/>
      <c r="AIC234" s="10"/>
      <c r="AID234" s="21"/>
      <c r="AIE234" s="21"/>
      <c r="AIH234" s="21"/>
      <c r="AII234" s="15"/>
      <c r="AIJ234" s="15"/>
      <c r="AIK234" s="15"/>
      <c r="AIL234" s="15"/>
      <c r="AIM234" s="15"/>
      <c r="AIN234" s="15"/>
      <c r="AIO234" s="15"/>
      <c r="AIP234" s="15"/>
      <c r="AIQ234" s="15"/>
      <c r="AIR234" s="15"/>
      <c r="AIS234" s="10"/>
      <c r="AIT234" s="10"/>
      <c r="AIU234" s="21"/>
      <c r="AIV234" s="21"/>
      <c r="AIY234" s="21"/>
      <c r="AIZ234" s="15"/>
      <c r="AJA234" s="15"/>
      <c r="AJB234" s="15"/>
      <c r="AJC234" s="15"/>
      <c r="AJD234" s="15"/>
      <c r="AJE234" s="15"/>
      <c r="AJF234" s="15"/>
      <c r="AJG234" s="15"/>
      <c r="AJH234" s="15"/>
      <c r="AJI234" s="15"/>
      <c r="AJJ234" s="10"/>
      <c r="AJK234" s="10"/>
      <c r="AJL234" s="21"/>
      <c r="AJM234" s="21"/>
      <c r="AJP234" s="21"/>
      <c r="AJQ234" s="15"/>
      <c r="AJR234" s="15"/>
      <c r="AJS234" s="15"/>
      <c r="AJT234" s="15"/>
      <c r="AJU234" s="15"/>
      <c r="AJV234" s="15"/>
      <c r="AJW234" s="15"/>
      <c r="AJX234" s="15"/>
      <c r="AJY234" s="15"/>
      <c r="AJZ234" s="15"/>
      <c r="AKA234" s="10"/>
      <c r="AKB234" s="10"/>
      <c r="AKC234" s="21"/>
      <c r="AKD234" s="21"/>
      <c r="AKG234" s="21"/>
      <c r="AKH234" s="15"/>
      <c r="AKI234" s="15"/>
      <c r="AKJ234" s="15"/>
      <c r="AKK234" s="15"/>
      <c r="AKL234" s="15"/>
      <c r="AKM234" s="15"/>
      <c r="AKN234" s="15"/>
      <c r="AKO234" s="15"/>
      <c r="AKP234" s="15"/>
      <c r="AKQ234" s="15"/>
      <c r="AKR234" s="10"/>
      <c r="AKS234" s="10"/>
      <c r="AKT234" s="21"/>
      <c r="AKU234" s="21"/>
      <c r="AKX234" s="21"/>
      <c r="AKY234" s="15"/>
      <c r="AKZ234" s="15"/>
      <c r="ALA234" s="15"/>
      <c r="ALB234" s="15"/>
      <c r="ALC234" s="15"/>
      <c r="ALD234" s="15"/>
      <c r="ALE234" s="15"/>
      <c r="ALF234" s="15"/>
      <c r="ALG234" s="15"/>
      <c r="ALH234" s="15"/>
      <c r="ALI234" s="10"/>
      <c r="ALJ234" s="10"/>
      <c r="ALK234" s="21"/>
      <c r="ALL234" s="21"/>
      <c r="ALO234" s="21"/>
      <c r="ALP234" s="15"/>
      <c r="ALQ234" s="15"/>
      <c r="ALR234" s="15"/>
      <c r="ALS234" s="15"/>
      <c r="ALT234" s="15"/>
      <c r="ALU234" s="15"/>
      <c r="ALV234" s="15"/>
      <c r="ALW234" s="15"/>
      <c r="ALX234" s="15"/>
      <c r="ALY234" s="15"/>
      <c r="ALZ234" s="10"/>
      <c r="AMA234" s="10"/>
      <c r="AMB234" s="21"/>
      <c r="AMC234" s="21"/>
      <c r="AMF234" s="21"/>
      <c r="AMG234" s="15"/>
      <c r="AMH234" s="15"/>
      <c r="AMI234" s="15"/>
      <c r="AMJ234" s="15"/>
      <c r="AMK234" s="15"/>
      <c r="AML234" s="15"/>
      <c r="AMM234" s="15"/>
      <c r="AMN234" s="15"/>
      <c r="AMO234" s="15"/>
      <c r="AMP234" s="15"/>
      <c r="AMQ234" s="10"/>
      <c r="AMR234" s="10"/>
      <c r="AMS234" s="21"/>
      <c r="AMT234" s="21"/>
      <c r="AMW234" s="21"/>
      <c r="AMX234" s="15"/>
      <c r="AMY234" s="15"/>
      <c r="AMZ234" s="15"/>
      <c r="ANA234" s="15"/>
      <c r="ANB234" s="15"/>
      <c r="ANC234" s="15"/>
      <c r="AND234" s="15"/>
      <c r="ANE234" s="15"/>
      <c r="ANF234" s="15"/>
      <c r="ANG234" s="15"/>
      <c r="ANH234" s="10"/>
      <c r="ANI234" s="10"/>
      <c r="ANJ234" s="21"/>
      <c r="ANK234" s="21"/>
      <c r="ANN234" s="21"/>
      <c r="ANO234" s="15"/>
      <c r="ANP234" s="15"/>
      <c r="ANQ234" s="15"/>
      <c r="ANR234" s="15"/>
      <c r="ANS234" s="15"/>
      <c r="ANT234" s="15"/>
      <c r="ANU234" s="15"/>
      <c r="ANV234" s="15"/>
      <c r="ANW234" s="15"/>
      <c r="ANX234" s="15"/>
      <c r="ANY234" s="10"/>
      <c r="ANZ234" s="10"/>
      <c r="AOA234" s="21"/>
      <c r="AOB234" s="21"/>
      <c r="AOE234" s="21"/>
      <c r="AOF234" s="15"/>
      <c r="AOG234" s="15"/>
      <c r="AOH234" s="15"/>
      <c r="AOI234" s="15"/>
      <c r="AOJ234" s="15"/>
      <c r="AOK234" s="15"/>
      <c r="AOL234" s="15"/>
      <c r="AOM234" s="15"/>
      <c r="AON234" s="15"/>
      <c r="AOO234" s="15"/>
      <c r="AOP234" s="10"/>
      <c r="AOQ234" s="10"/>
      <c r="AOR234" s="21"/>
      <c r="AOS234" s="21"/>
      <c r="AOV234" s="21"/>
      <c r="AOW234" s="15"/>
      <c r="AOX234" s="15"/>
      <c r="AOY234" s="15"/>
      <c r="AOZ234" s="15"/>
      <c r="APA234" s="15"/>
      <c r="APB234" s="15"/>
      <c r="APC234" s="15"/>
      <c r="APD234" s="15"/>
      <c r="APE234" s="15"/>
      <c r="APF234" s="15"/>
      <c r="APG234" s="10"/>
      <c r="APH234" s="10"/>
      <c r="API234" s="21"/>
      <c r="APJ234" s="21"/>
      <c r="APM234" s="21"/>
      <c r="APN234" s="15"/>
      <c r="APO234" s="15"/>
      <c r="APP234" s="15"/>
      <c r="APQ234" s="15"/>
      <c r="APR234" s="15"/>
      <c r="APS234" s="15"/>
      <c r="APT234" s="15"/>
      <c r="APU234" s="15"/>
      <c r="APV234" s="15"/>
      <c r="APW234" s="15"/>
      <c r="APX234" s="10"/>
      <c r="APY234" s="10"/>
      <c r="APZ234" s="21"/>
      <c r="AQA234" s="21"/>
      <c r="AQD234" s="21"/>
      <c r="AQE234" s="15"/>
      <c r="AQF234" s="15"/>
      <c r="AQG234" s="15"/>
      <c r="AQH234" s="15"/>
      <c r="AQI234" s="15"/>
      <c r="AQJ234" s="15"/>
      <c r="AQK234" s="15"/>
      <c r="AQL234" s="15"/>
      <c r="AQM234" s="15"/>
      <c r="AQN234" s="15"/>
      <c r="AQO234" s="10"/>
      <c r="AQP234" s="10"/>
      <c r="AQQ234" s="21"/>
      <c r="AQR234" s="21"/>
      <c r="AQU234" s="21"/>
      <c r="AQV234" s="15"/>
      <c r="AQW234" s="15"/>
      <c r="AQX234" s="15"/>
      <c r="AQY234" s="15"/>
      <c r="AQZ234" s="15"/>
      <c r="ARA234" s="15"/>
      <c r="ARB234" s="15"/>
      <c r="ARC234" s="15"/>
      <c r="ARD234" s="15"/>
      <c r="ARE234" s="15"/>
      <c r="ARF234" s="10"/>
      <c r="ARG234" s="10"/>
      <c r="ARH234" s="21"/>
      <c r="ARI234" s="21"/>
      <c r="ARL234" s="21"/>
      <c r="ARM234" s="15"/>
      <c r="ARN234" s="15"/>
      <c r="ARO234" s="15"/>
      <c r="ARP234" s="15"/>
      <c r="ARQ234" s="15"/>
      <c r="ARR234" s="15"/>
      <c r="ARS234" s="15"/>
      <c r="ART234" s="15"/>
      <c r="ARU234" s="15"/>
      <c r="ARV234" s="15"/>
      <c r="ARW234" s="10"/>
      <c r="ARX234" s="10"/>
      <c r="ARY234" s="21"/>
      <c r="ARZ234" s="21"/>
      <c r="ASC234" s="21"/>
      <c r="ASD234" s="15"/>
      <c r="ASE234" s="15"/>
      <c r="ASF234" s="15"/>
      <c r="ASG234" s="15"/>
      <c r="ASH234" s="15"/>
      <c r="ASI234" s="15"/>
      <c r="ASJ234" s="15"/>
      <c r="ASK234" s="15"/>
      <c r="ASL234" s="15"/>
      <c r="ASM234" s="15"/>
      <c r="ASN234" s="10"/>
      <c r="ASO234" s="10"/>
      <c r="ASP234" s="21"/>
      <c r="ASQ234" s="21"/>
      <c r="AST234" s="21"/>
      <c r="ASU234" s="15"/>
      <c r="ASV234" s="15"/>
      <c r="ASW234" s="15"/>
      <c r="ASX234" s="15"/>
      <c r="ASY234" s="15"/>
      <c r="ASZ234" s="15"/>
      <c r="ATA234" s="15"/>
      <c r="ATB234" s="15"/>
      <c r="ATC234" s="15"/>
      <c r="ATD234" s="15"/>
      <c r="ATE234" s="10"/>
      <c r="ATF234" s="10"/>
      <c r="ATG234" s="21"/>
      <c r="ATH234" s="21"/>
      <c r="ATK234" s="21"/>
      <c r="ATL234" s="15"/>
      <c r="ATM234" s="15"/>
      <c r="ATN234" s="15"/>
      <c r="ATO234" s="15"/>
      <c r="ATP234" s="15"/>
      <c r="ATQ234" s="15"/>
      <c r="ATR234" s="15"/>
      <c r="ATS234" s="15"/>
      <c r="ATT234" s="15"/>
      <c r="ATU234" s="15"/>
      <c r="ATV234" s="10"/>
      <c r="ATW234" s="10"/>
      <c r="ATX234" s="21"/>
      <c r="ATY234" s="21"/>
      <c r="AUB234" s="21"/>
      <c r="AUC234" s="15"/>
      <c r="AUD234" s="15"/>
      <c r="AUE234" s="15"/>
      <c r="AUF234" s="15"/>
      <c r="AUG234" s="15"/>
      <c r="AUH234" s="15"/>
      <c r="AUI234" s="15"/>
      <c r="AUJ234" s="15"/>
      <c r="AUK234" s="15"/>
      <c r="AUL234" s="15"/>
      <c r="AUM234" s="10"/>
      <c r="AUN234" s="10"/>
      <c r="AUO234" s="21"/>
      <c r="AUP234" s="21"/>
      <c r="AUS234" s="21"/>
      <c r="AUT234" s="15"/>
      <c r="AUU234" s="15"/>
      <c r="AUV234" s="15"/>
      <c r="AUW234" s="15"/>
      <c r="AUX234" s="15"/>
      <c r="AUY234" s="15"/>
      <c r="AUZ234" s="15"/>
      <c r="AVA234" s="15"/>
      <c r="AVB234" s="15"/>
      <c r="AVC234" s="15"/>
      <c r="AVD234" s="10"/>
      <c r="AVE234" s="10"/>
      <c r="AVF234" s="21"/>
      <c r="AVG234" s="21"/>
      <c r="AVJ234" s="21"/>
      <c r="AVK234" s="15"/>
      <c r="AVL234" s="15"/>
      <c r="AVM234" s="15"/>
      <c r="AVN234" s="15"/>
      <c r="AVO234" s="15"/>
      <c r="AVP234" s="15"/>
      <c r="AVQ234" s="15"/>
      <c r="AVR234" s="15"/>
      <c r="AVS234" s="15"/>
      <c r="AVT234" s="15"/>
      <c r="AVU234" s="10"/>
      <c r="AVV234" s="10"/>
      <c r="AVW234" s="21"/>
      <c r="AVX234" s="21"/>
      <c r="AWA234" s="21"/>
      <c r="AWB234" s="15"/>
      <c r="AWC234" s="15"/>
      <c r="AWD234" s="15"/>
      <c r="AWE234" s="15"/>
      <c r="AWF234" s="15"/>
      <c r="AWG234" s="15"/>
      <c r="AWH234" s="15"/>
      <c r="AWI234" s="15"/>
      <c r="AWJ234" s="15"/>
      <c r="AWK234" s="15"/>
      <c r="AWL234" s="10"/>
      <c r="AWM234" s="10"/>
      <c r="AWN234" s="21"/>
      <c r="AWO234" s="21"/>
      <c r="AWR234" s="21"/>
      <c r="AWS234" s="15"/>
      <c r="AWT234" s="15"/>
      <c r="AWU234" s="15"/>
      <c r="AWV234" s="15"/>
      <c r="AWW234" s="15"/>
      <c r="AWX234" s="15"/>
      <c r="AWY234" s="15"/>
      <c r="AWZ234" s="15"/>
      <c r="AXA234" s="15"/>
      <c r="AXB234" s="15"/>
      <c r="AXC234" s="10"/>
      <c r="AXD234" s="10"/>
      <c r="AXE234" s="21"/>
      <c r="AXF234" s="21"/>
      <c r="AXI234" s="21"/>
      <c r="AXJ234" s="15"/>
      <c r="AXK234" s="15"/>
      <c r="AXL234" s="15"/>
      <c r="AXM234" s="15"/>
      <c r="AXN234" s="15"/>
      <c r="AXO234" s="15"/>
      <c r="AXP234" s="15"/>
      <c r="AXQ234" s="15"/>
      <c r="AXR234" s="15"/>
      <c r="AXS234" s="15"/>
      <c r="AXT234" s="10"/>
      <c r="AXU234" s="10"/>
      <c r="AXV234" s="21"/>
      <c r="AXW234" s="21"/>
      <c r="AXZ234" s="21"/>
      <c r="AYA234" s="15"/>
      <c r="AYB234" s="15"/>
      <c r="AYC234" s="15"/>
      <c r="AYD234" s="15"/>
      <c r="AYE234" s="15"/>
      <c r="AYF234" s="15"/>
      <c r="AYG234" s="15"/>
      <c r="AYH234" s="15"/>
      <c r="AYI234" s="15"/>
      <c r="AYJ234" s="15"/>
      <c r="AYK234" s="10"/>
      <c r="AYL234" s="10"/>
      <c r="AYM234" s="21"/>
      <c r="AYN234" s="21"/>
      <c r="AYQ234" s="21"/>
      <c r="AYR234" s="15"/>
      <c r="AYS234" s="15"/>
      <c r="AYT234" s="15"/>
      <c r="AYU234" s="15"/>
      <c r="AYV234" s="15"/>
      <c r="AYW234" s="15"/>
      <c r="AYX234" s="15"/>
      <c r="AYY234" s="15"/>
      <c r="AYZ234" s="15"/>
      <c r="AZA234" s="15"/>
      <c r="AZB234" s="10"/>
      <c r="AZC234" s="10"/>
      <c r="AZD234" s="21"/>
      <c r="AZE234" s="21"/>
      <c r="AZH234" s="21"/>
      <c r="AZI234" s="15"/>
      <c r="AZJ234" s="15"/>
      <c r="AZK234" s="15"/>
      <c r="AZL234" s="15"/>
      <c r="AZM234" s="15"/>
      <c r="AZN234" s="15"/>
      <c r="AZO234" s="15"/>
      <c r="AZP234" s="15"/>
      <c r="AZQ234" s="15"/>
      <c r="AZR234" s="15"/>
      <c r="AZS234" s="10"/>
      <c r="AZT234" s="10"/>
      <c r="AZU234" s="21"/>
      <c r="AZV234" s="21"/>
      <c r="AZY234" s="21"/>
      <c r="AZZ234" s="15"/>
      <c r="BAA234" s="15"/>
      <c r="BAB234" s="15"/>
      <c r="BAC234" s="15"/>
      <c r="BAD234" s="15"/>
      <c r="BAE234" s="15"/>
      <c r="BAF234" s="15"/>
      <c r="BAG234" s="15"/>
      <c r="BAH234" s="15"/>
      <c r="BAI234" s="15"/>
      <c r="BAJ234" s="10"/>
      <c r="BAK234" s="10"/>
      <c r="BAL234" s="21"/>
      <c r="BAM234" s="21"/>
      <c r="BAP234" s="21"/>
      <c r="BAQ234" s="15"/>
      <c r="BAR234" s="15"/>
      <c r="BAS234" s="15"/>
      <c r="BAT234" s="15"/>
      <c r="BAU234" s="15"/>
      <c r="BAV234" s="15"/>
      <c r="BAW234" s="15"/>
      <c r="BAX234" s="15"/>
      <c r="BAY234" s="15"/>
      <c r="BAZ234" s="15"/>
      <c r="BBA234" s="10"/>
      <c r="BBB234" s="10"/>
      <c r="BBC234" s="21"/>
      <c r="BBD234" s="21"/>
      <c r="BBG234" s="21"/>
      <c r="BBH234" s="15"/>
      <c r="BBI234" s="15"/>
      <c r="BBJ234" s="15"/>
      <c r="BBK234" s="15"/>
      <c r="BBL234" s="15"/>
      <c r="BBM234" s="15"/>
      <c r="BBN234" s="15"/>
      <c r="BBO234" s="15"/>
      <c r="BBP234" s="15"/>
      <c r="BBQ234" s="15"/>
      <c r="BBR234" s="10"/>
      <c r="BBS234" s="10"/>
      <c r="BBT234" s="21"/>
      <c r="BBU234" s="21"/>
      <c r="BBX234" s="21"/>
      <c r="BBY234" s="15"/>
      <c r="BBZ234" s="15"/>
      <c r="BCA234" s="15"/>
      <c r="BCB234" s="15"/>
      <c r="BCC234" s="15"/>
      <c r="BCD234" s="15"/>
      <c r="BCE234" s="15"/>
      <c r="BCF234" s="15"/>
      <c r="BCG234" s="15"/>
      <c r="BCH234" s="15"/>
      <c r="BCI234" s="10"/>
      <c r="BCJ234" s="10"/>
      <c r="BCK234" s="21"/>
      <c r="BCL234" s="21"/>
      <c r="BCO234" s="21"/>
      <c r="BCP234" s="15"/>
      <c r="BCQ234" s="15"/>
      <c r="BCR234" s="15"/>
      <c r="BCS234" s="15"/>
      <c r="BCT234" s="15"/>
      <c r="BCU234" s="15"/>
      <c r="BCV234" s="15"/>
      <c r="BCW234" s="15"/>
      <c r="BCX234" s="15"/>
      <c r="BCY234" s="15"/>
      <c r="BCZ234" s="10"/>
      <c r="BDA234" s="10"/>
      <c r="BDB234" s="21"/>
      <c r="BDC234" s="21"/>
      <c r="BDF234" s="21"/>
      <c r="BDG234" s="15"/>
      <c r="BDH234" s="15"/>
      <c r="BDI234" s="15"/>
      <c r="BDJ234" s="15"/>
      <c r="BDK234" s="15"/>
      <c r="BDL234" s="15"/>
      <c r="BDM234" s="15"/>
      <c r="BDN234" s="15"/>
      <c r="BDO234" s="15"/>
      <c r="BDP234" s="15"/>
      <c r="BDQ234" s="10"/>
      <c r="BDR234" s="10"/>
      <c r="BDS234" s="21"/>
      <c r="BDT234" s="21"/>
      <c r="BDW234" s="21"/>
      <c r="BDX234" s="15"/>
      <c r="BDY234" s="15"/>
      <c r="BDZ234" s="15"/>
      <c r="BEA234" s="15"/>
      <c r="BEB234" s="15"/>
      <c r="BEC234" s="15"/>
      <c r="BED234" s="15"/>
      <c r="BEE234" s="15"/>
      <c r="BEF234" s="15"/>
      <c r="BEG234" s="15"/>
      <c r="BEH234" s="10"/>
      <c r="BEI234" s="10"/>
      <c r="BEJ234" s="21"/>
      <c r="BEK234" s="21"/>
      <c r="BEN234" s="21"/>
      <c r="BEO234" s="15"/>
      <c r="BEP234" s="15"/>
      <c r="BEQ234" s="15"/>
      <c r="BER234" s="15"/>
      <c r="BES234" s="15"/>
      <c r="BET234" s="15"/>
      <c r="BEU234" s="15"/>
      <c r="BEV234" s="15"/>
      <c r="BEW234" s="15"/>
      <c r="BEX234" s="15"/>
      <c r="BEY234" s="10"/>
      <c r="BEZ234" s="10"/>
      <c r="BFA234" s="21"/>
      <c r="BFB234" s="21"/>
      <c r="BFE234" s="21"/>
      <c r="BFF234" s="15"/>
      <c r="BFG234" s="15"/>
      <c r="BFH234" s="15"/>
      <c r="BFI234" s="15"/>
      <c r="BFJ234" s="15"/>
      <c r="BFK234" s="15"/>
      <c r="BFL234" s="15"/>
      <c r="BFM234" s="15"/>
      <c r="BFN234" s="15"/>
      <c r="BFO234" s="15"/>
      <c r="BFP234" s="10"/>
      <c r="BFQ234" s="10"/>
      <c r="BFR234" s="21"/>
      <c r="BFS234" s="21"/>
      <c r="BFV234" s="21"/>
      <c r="BFW234" s="15"/>
      <c r="BFX234" s="15"/>
      <c r="BFY234" s="15"/>
      <c r="BFZ234" s="15"/>
      <c r="BGA234" s="15"/>
      <c r="BGB234" s="15"/>
      <c r="BGC234" s="15"/>
      <c r="BGD234" s="15"/>
      <c r="BGE234" s="15"/>
      <c r="BGF234" s="15"/>
      <c r="BGG234" s="10"/>
      <c r="BGH234" s="10"/>
      <c r="BGI234" s="21"/>
      <c r="BGJ234" s="21"/>
      <c r="BGM234" s="21"/>
      <c r="BGN234" s="15"/>
      <c r="BGO234" s="15"/>
      <c r="BGP234" s="15"/>
      <c r="BGQ234" s="15"/>
      <c r="BGR234" s="15"/>
      <c r="BGS234" s="15"/>
      <c r="BGT234" s="15"/>
      <c r="BGU234" s="15"/>
      <c r="BGV234" s="15"/>
      <c r="BGW234" s="15"/>
      <c r="BGX234" s="10"/>
      <c r="BGY234" s="10"/>
      <c r="BGZ234" s="21"/>
      <c r="BHA234" s="21"/>
      <c r="BHD234" s="21"/>
      <c r="BHE234" s="15"/>
      <c r="BHF234" s="15"/>
      <c r="BHG234" s="15"/>
      <c r="BHH234" s="15"/>
      <c r="BHI234" s="15"/>
      <c r="BHJ234" s="15"/>
      <c r="BHK234" s="15"/>
      <c r="BHL234" s="15"/>
      <c r="BHM234" s="15"/>
      <c r="BHN234" s="15"/>
      <c r="BHO234" s="10"/>
      <c r="BHP234" s="10"/>
      <c r="BHQ234" s="21"/>
      <c r="BHR234" s="21"/>
      <c r="BHU234" s="21"/>
      <c r="BHV234" s="15"/>
      <c r="BHW234" s="15"/>
      <c r="BHX234" s="15"/>
      <c r="BHY234" s="15"/>
      <c r="BHZ234" s="15"/>
      <c r="BIA234" s="15"/>
      <c r="BIB234" s="15"/>
      <c r="BIC234" s="15"/>
      <c r="BID234" s="15"/>
      <c r="BIE234" s="15"/>
      <c r="BIF234" s="10"/>
      <c r="BIG234" s="10"/>
      <c r="BIH234" s="21"/>
      <c r="BII234" s="21"/>
      <c r="BIL234" s="21"/>
      <c r="BIM234" s="15"/>
      <c r="BIN234" s="15"/>
      <c r="BIO234" s="15"/>
      <c r="BIP234" s="15"/>
      <c r="BIQ234" s="15"/>
      <c r="BIR234" s="15"/>
      <c r="BIS234" s="15"/>
      <c r="BIT234" s="15"/>
      <c r="BIU234" s="15"/>
      <c r="BIV234" s="15"/>
      <c r="BIW234" s="10"/>
      <c r="BIX234" s="10"/>
      <c r="BIY234" s="21"/>
      <c r="BIZ234" s="21"/>
      <c r="BJC234" s="21"/>
      <c r="BJD234" s="15"/>
      <c r="BJE234" s="15"/>
      <c r="BJF234" s="15"/>
      <c r="BJG234" s="15"/>
      <c r="BJH234" s="15"/>
      <c r="BJI234" s="15"/>
      <c r="BJJ234" s="15"/>
      <c r="BJK234" s="15"/>
      <c r="BJL234" s="15"/>
      <c r="BJM234" s="15"/>
      <c r="BJN234" s="10"/>
      <c r="BJO234" s="10"/>
      <c r="BJP234" s="21"/>
      <c r="BJQ234" s="21"/>
      <c r="BJT234" s="21"/>
      <c r="BJU234" s="15"/>
      <c r="BJV234" s="15"/>
      <c r="BJW234" s="15"/>
      <c r="BJX234" s="15"/>
      <c r="BJY234" s="15"/>
      <c r="BJZ234" s="15"/>
      <c r="BKA234" s="15"/>
      <c r="BKB234" s="15"/>
      <c r="BKC234" s="15"/>
      <c r="BKD234" s="15"/>
      <c r="BKE234" s="10"/>
      <c r="BKF234" s="10"/>
      <c r="BKG234" s="21"/>
      <c r="BKH234" s="21"/>
      <c r="BKK234" s="21"/>
      <c r="BKL234" s="15"/>
      <c r="BKM234" s="15"/>
      <c r="BKN234" s="15"/>
      <c r="BKO234" s="15"/>
      <c r="BKP234" s="15"/>
      <c r="BKQ234" s="15"/>
      <c r="BKR234" s="15"/>
      <c r="BKS234" s="15"/>
      <c r="BKT234" s="15"/>
      <c r="BKU234" s="15"/>
      <c r="BKV234" s="10"/>
      <c r="BKW234" s="10"/>
      <c r="BKX234" s="21"/>
      <c r="BKY234" s="21"/>
      <c r="BLB234" s="21"/>
      <c r="BLC234" s="15"/>
      <c r="BLD234" s="15"/>
      <c r="BLE234" s="15"/>
      <c r="BLF234" s="15"/>
      <c r="BLG234" s="15"/>
      <c r="BLH234" s="15"/>
      <c r="BLI234" s="15"/>
      <c r="BLJ234" s="15"/>
      <c r="BLK234" s="15"/>
      <c r="BLL234" s="15"/>
      <c r="BLM234" s="10"/>
      <c r="BLN234" s="10"/>
      <c r="BLO234" s="21"/>
      <c r="BLP234" s="21"/>
      <c r="BLS234" s="21"/>
      <c r="BLT234" s="15"/>
      <c r="BLU234" s="15"/>
      <c r="BLV234" s="15"/>
      <c r="BLW234" s="15"/>
      <c r="BLX234" s="15"/>
      <c r="BLY234" s="15"/>
      <c r="BLZ234" s="15"/>
      <c r="BMA234" s="15"/>
      <c r="BMB234" s="15"/>
      <c r="BMC234" s="15"/>
      <c r="BMD234" s="10"/>
      <c r="BME234" s="10"/>
      <c r="BMF234" s="21"/>
      <c r="BMG234" s="21"/>
      <c r="BMJ234" s="21"/>
      <c r="BMK234" s="15"/>
      <c r="BML234" s="15"/>
      <c r="BMM234" s="15"/>
      <c r="BMN234" s="15"/>
      <c r="BMO234" s="15"/>
      <c r="BMP234" s="15"/>
      <c r="BMQ234" s="15"/>
      <c r="BMR234" s="15"/>
      <c r="BMS234" s="15"/>
      <c r="BMT234" s="15"/>
      <c r="BMU234" s="10"/>
      <c r="BMV234" s="10"/>
      <c r="BMW234" s="21"/>
      <c r="BMX234" s="21"/>
      <c r="BNA234" s="21"/>
      <c r="BNB234" s="15"/>
      <c r="BNC234" s="15"/>
      <c r="BND234" s="15"/>
      <c r="BNE234" s="15"/>
      <c r="BNF234" s="15"/>
      <c r="BNG234" s="15"/>
      <c r="BNH234" s="15"/>
      <c r="BNI234" s="15"/>
      <c r="BNJ234" s="15"/>
      <c r="BNK234" s="15"/>
      <c r="BNL234" s="10"/>
      <c r="BNM234" s="10"/>
      <c r="BNN234" s="21"/>
      <c r="BNO234" s="21"/>
      <c r="BNR234" s="21"/>
      <c r="BNS234" s="15"/>
      <c r="BNT234" s="15"/>
      <c r="BNU234" s="15"/>
      <c r="BNV234" s="15"/>
      <c r="BNW234" s="15"/>
      <c r="BNX234" s="15"/>
      <c r="BNY234" s="15"/>
      <c r="BNZ234" s="15"/>
      <c r="BOA234" s="15"/>
      <c r="BOB234" s="15"/>
      <c r="BOC234" s="10"/>
      <c r="BOD234" s="10"/>
      <c r="BOE234" s="21"/>
      <c r="BOF234" s="21"/>
      <c r="BOI234" s="21"/>
      <c r="BOJ234" s="15"/>
      <c r="BOK234" s="15"/>
      <c r="BOL234" s="15"/>
      <c r="BOM234" s="15"/>
      <c r="BON234" s="15"/>
      <c r="BOO234" s="15"/>
      <c r="BOP234" s="15"/>
      <c r="BOQ234" s="15"/>
      <c r="BOR234" s="15"/>
      <c r="BOS234" s="15"/>
      <c r="BOT234" s="10"/>
      <c r="BOU234" s="10"/>
      <c r="BOV234" s="21"/>
      <c r="BOW234" s="21"/>
      <c r="BOZ234" s="21"/>
      <c r="BPA234" s="15"/>
      <c r="BPB234" s="15"/>
      <c r="BPC234" s="15"/>
      <c r="BPD234" s="15"/>
      <c r="BPE234" s="15"/>
      <c r="BPF234" s="15"/>
      <c r="BPG234" s="15"/>
      <c r="BPH234" s="15"/>
      <c r="BPI234" s="15"/>
      <c r="BPJ234" s="15"/>
      <c r="BPK234" s="10"/>
      <c r="BPL234" s="10"/>
      <c r="BPM234" s="21"/>
      <c r="BPN234" s="21"/>
      <c r="BPQ234" s="21"/>
      <c r="BPR234" s="15"/>
      <c r="BPS234" s="15"/>
      <c r="BPT234" s="15"/>
      <c r="BPU234" s="15"/>
      <c r="BPV234" s="15"/>
      <c r="BPW234" s="15"/>
      <c r="BPX234" s="15"/>
      <c r="BPY234" s="15"/>
      <c r="BPZ234" s="15"/>
      <c r="BQA234" s="15"/>
      <c r="BQB234" s="10"/>
      <c r="BQC234" s="10"/>
      <c r="BQD234" s="21"/>
      <c r="BQE234" s="21"/>
      <c r="BQH234" s="21"/>
      <c r="BQI234" s="15"/>
      <c r="BQJ234" s="15"/>
      <c r="BQK234" s="15"/>
      <c r="BQL234" s="15"/>
      <c r="BQM234" s="15"/>
      <c r="BQN234" s="15"/>
      <c r="BQO234" s="15"/>
      <c r="BQP234" s="15"/>
      <c r="BQQ234" s="15"/>
      <c r="BQR234" s="15"/>
      <c r="BQS234" s="10"/>
      <c r="BQT234" s="10"/>
      <c r="BQU234" s="21"/>
      <c r="BQV234" s="21"/>
      <c r="BQY234" s="21"/>
      <c r="BQZ234" s="15"/>
      <c r="BRA234" s="15"/>
      <c r="BRB234" s="15"/>
      <c r="BRC234" s="15"/>
      <c r="BRD234" s="15"/>
      <c r="BRE234" s="15"/>
      <c r="BRF234" s="15"/>
      <c r="BRG234" s="15"/>
      <c r="BRH234" s="15"/>
      <c r="BRI234" s="15"/>
      <c r="BRJ234" s="10"/>
      <c r="BRK234" s="10"/>
      <c r="BRL234" s="21"/>
      <c r="BRM234" s="21"/>
      <c r="BRP234" s="21"/>
      <c r="BRQ234" s="15"/>
      <c r="BRR234" s="15"/>
      <c r="BRS234" s="15"/>
      <c r="BRT234" s="15"/>
      <c r="BRU234" s="15"/>
      <c r="BRV234" s="15"/>
      <c r="BRW234" s="15"/>
      <c r="BRX234" s="15"/>
      <c r="BRY234" s="15"/>
      <c r="BRZ234" s="15"/>
      <c r="BSA234" s="10"/>
      <c r="BSB234" s="10"/>
      <c r="BSC234" s="21"/>
      <c r="BSD234" s="21"/>
      <c r="BSG234" s="21"/>
      <c r="BSH234" s="15"/>
      <c r="BSI234" s="15"/>
      <c r="BSJ234" s="15"/>
      <c r="BSK234" s="15"/>
      <c r="BSL234" s="15"/>
      <c r="BSM234" s="15"/>
      <c r="BSN234" s="15"/>
      <c r="BSO234" s="15"/>
      <c r="BSP234" s="15"/>
      <c r="BSQ234" s="15"/>
      <c r="BSR234" s="10"/>
      <c r="BSS234" s="10"/>
      <c r="BST234" s="21"/>
      <c r="BSU234" s="21"/>
      <c r="BSX234" s="21"/>
      <c r="BSY234" s="15"/>
      <c r="BSZ234" s="15"/>
      <c r="BTA234" s="15"/>
      <c r="BTB234" s="15"/>
      <c r="BTC234" s="15"/>
      <c r="BTD234" s="15"/>
      <c r="BTE234" s="15"/>
      <c r="BTF234" s="15"/>
      <c r="BTG234" s="15"/>
      <c r="BTH234" s="15"/>
      <c r="BTI234" s="10"/>
      <c r="BTJ234" s="10"/>
      <c r="BTK234" s="21"/>
      <c r="BTL234" s="21"/>
      <c r="BTO234" s="21"/>
      <c r="BTP234" s="15"/>
      <c r="BTQ234" s="15"/>
      <c r="BTR234" s="15"/>
      <c r="BTS234" s="15"/>
      <c r="BTT234" s="15"/>
      <c r="BTU234" s="15"/>
      <c r="BTV234" s="15"/>
      <c r="BTW234" s="15"/>
      <c r="BTX234" s="15"/>
      <c r="BTY234" s="15"/>
      <c r="BTZ234" s="10"/>
      <c r="BUA234" s="10"/>
      <c r="BUB234" s="21"/>
      <c r="BUC234" s="21"/>
      <c r="BUF234" s="21"/>
      <c r="BUG234" s="15"/>
      <c r="BUH234" s="15"/>
      <c r="BUI234" s="15"/>
      <c r="BUJ234" s="15"/>
      <c r="BUK234" s="15"/>
      <c r="BUL234" s="15"/>
      <c r="BUM234" s="15"/>
      <c r="BUN234" s="15"/>
      <c r="BUO234" s="15"/>
      <c r="BUP234" s="15"/>
      <c r="BUQ234" s="10"/>
      <c r="BUR234" s="10"/>
      <c r="BUS234" s="21"/>
      <c r="BUT234" s="21"/>
      <c r="BUW234" s="21"/>
      <c r="BUX234" s="15"/>
      <c r="BUY234" s="15"/>
      <c r="BUZ234" s="15"/>
      <c r="BVA234" s="15"/>
      <c r="BVB234" s="15"/>
      <c r="BVC234" s="15"/>
      <c r="BVD234" s="15"/>
      <c r="BVE234" s="15"/>
      <c r="BVF234" s="15"/>
      <c r="BVG234" s="15"/>
      <c r="BVH234" s="10"/>
      <c r="BVI234" s="10"/>
      <c r="BVJ234" s="21"/>
      <c r="BVK234" s="21"/>
      <c r="BVN234" s="21"/>
      <c r="BVO234" s="15"/>
      <c r="BVP234" s="15"/>
      <c r="BVQ234" s="15"/>
      <c r="BVR234" s="15"/>
      <c r="BVS234" s="15"/>
      <c r="BVT234" s="15"/>
      <c r="BVU234" s="15"/>
      <c r="BVV234" s="15"/>
      <c r="BVW234" s="15"/>
      <c r="BVX234" s="15"/>
      <c r="BVY234" s="10"/>
      <c r="BVZ234" s="10"/>
      <c r="BWA234" s="21"/>
      <c r="BWB234" s="21"/>
      <c r="BWE234" s="21"/>
      <c r="BWF234" s="15"/>
      <c r="BWG234" s="15"/>
      <c r="BWH234" s="15"/>
      <c r="BWI234" s="15"/>
      <c r="BWJ234" s="15"/>
      <c r="BWK234" s="15"/>
      <c r="BWL234" s="15"/>
      <c r="BWM234" s="15"/>
      <c r="BWN234" s="15"/>
      <c r="BWO234" s="15"/>
      <c r="BWP234" s="10"/>
      <c r="BWQ234" s="10"/>
      <c r="BWR234" s="21"/>
      <c r="BWS234" s="21"/>
      <c r="BWV234" s="21"/>
      <c r="BWW234" s="15"/>
      <c r="BWX234" s="15"/>
      <c r="BWY234" s="15"/>
      <c r="BWZ234" s="15"/>
      <c r="BXA234" s="15"/>
      <c r="BXB234" s="15"/>
      <c r="BXC234" s="15"/>
      <c r="BXD234" s="15"/>
      <c r="BXE234" s="15"/>
      <c r="BXF234" s="15"/>
      <c r="BXG234" s="10"/>
      <c r="BXH234" s="10"/>
      <c r="BXI234" s="21"/>
      <c r="BXJ234" s="21"/>
      <c r="BXM234" s="21"/>
      <c r="BXN234" s="15"/>
      <c r="BXO234" s="15"/>
      <c r="BXP234" s="15"/>
      <c r="BXQ234" s="15"/>
      <c r="BXR234" s="15"/>
      <c r="BXS234" s="15"/>
      <c r="BXT234" s="15"/>
      <c r="BXU234" s="15"/>
      <c r="BXV234" s="15"/>
      <c r="BXW234" s="15"/>
      <c r="BXX234" s="10"/>
      <c r="BXY234" s="10"/>
      <c r="BXZ234" s="21"/>
      <c r="BYA234" s="21"/>
      <c r="BYD234" s="21"/>
      <c r="BYE234" s="15"/>
      <c r="BYF234" s="15"/>
      <c r="BYG234" s="15"/>
      <c r="BYH234" s="15"/>
      <c r="BYI234" s="15"/>
      <c r="BYJ234" s="15"/>
      <c r="BYK234" s="15"/>
      <c r="BYL234" s="15"/>
      <c r="BYM234" s="15"/>
      <c r="BYN234" s="15"/>
      <c r="BYO234" s="10"/>
      <c r="BYP234" s="10"/>
      <c r="BYQ234" s="21"/>
      <c r="BYR234" s="21"/>
      <c r="BYU234" s="21"/>
      <c r="BYV234" s="15"/>
      <c r="BYW234" s="15"/>
      <c r="BYX234" s="15"/>
      <c r="BYY234" s="15"/>
      <c r="BYZ234" s="15"/>
      <c r="BZA234" s="15"/>
      <c r="BZB234" s="15"/>
      <c r="BZC234" s="15"/>
      <c r="BZD234" s="15"/>
      <c r="BZE234" s="15"/>
      <c r="BZF234" s="10"/>
      <c r="BZG234" s="10"/>
      <c r="BZH234" s="21"/>
      <c r="BZI234" s="21"/>
      <c r="BZL234" s="21"/>
      <c r="BZM234" s="15"/>
      <c r="BZN234" s="15"/>
      <c r="BZO234" s="15"/>
      <c r="BZP234" s="15"/>
      <c r="BZQ234" s="15"/>
      <c r="BZR234" s="15"/>
      <c r="BZS234" s="15"/>
      <c r="BZT234" s="15"/>
      <c r="BZU234" s="15"/>
      <c r="BZV234" s="15"/>
      <c r="BZW234" s="10"/>
      <c r="BZX234" s="10"/>
      <c r="BZY234" s="21"/>
      <c r="BZZ234" s="21"/>
      <c r="CAC234" s="21"/>
      <c r="CAD234" s="15"/>
      <c r="CAE234" s="15"/>
      <c r="CAF234" s="15"/>
      <c r="CAG234" s="15"/>
      <c r="CAH234" s="15"/>
      <c r="CAI234" s="15"/>
      <c r="CAJ234" s="15"/>
      <c r="CAK234" s="15"/>
      <c r="CAL234" s="15"/>
      <c r="CAM234" s="15"/>
      <c r="CAN234" s="10"/>
      <c r="CAO234" s="10"/>
      <c r="CAP234" s="21"/>
      <c r="CAQ234" s="21"/>
      <c r="CAT234" s="21"/>
      <c r="CAU234" s="15"/>
      <c r="CAV234" s="15"/>
      <c r="CAW234" s="15"/>
      <c r="CAX234" s="15"/>
      <c r="CAY234" s="15"/>
      <c r="CAZ234" s="15"/>
      <c r="CBA234" s="15"/>
      <c r="CBB234" s="15"/>
      <c r="CBC234" s="15"/>
      <c r="CBD234" s="15"/>
      <c r="CBE234" s="10"/>
      <c r="CBF234" s="10"/>
      <c r="CBG234" s="21"/>
      <c r="CBH234" s="21"/>
      <c r="CBK234" s="21"/>
      <c r="CBL234" s="15"/>
      <c r="CBM234" s="15"/>
      <c r="CBN234" s="15"/>
      <c r="CBO234" s="15"/>
      <c r="CBP234" s="15"/>
      <c r="CBQ234" s="15"/>
      <c r="CBR234" s="15"/>
      <c r="CBS234" s="15"/>
      <c r="CBT234" s="15"/>
      <c r="CBU234" s="15"/>
      <c r="CBV234" s="10"/>
      <c r="CBW234" s="10"/>
      <c r="CBX234" s="21"/>
      <c r="CBY234" s="21"/>
      <c r="CCB234" s="21"/>
      <c r="CCC234" s="15"/>
      <c r="CCD234" s="15"/>
      <c r="CCE234" s="15"/>
      <c r="CCF234" s="15"/>
      <c r="CCG234" s="15"/>
      <c r="CCH234" s="15"/>
      <c r="CCI234" s="15"/>
      <c r="CCJ234" s="15"/>
      <c r="CCK234" s="15"/>
      <c r="CCL234" s="15"/>
      <c r="CCM234" s="10"/>
      <c r="CCN234" s="10"/>
      <c r="CCO234" s="21"/>
      <c r="CCP234" s="21"/>
      <c r="CCS234" s="21"/>
      <c r="CCT234" s="15"/>
      <c r="CCU234" s="15"/>
      <c r="CCV234" s="15"/>
      <c r="CCW234" s="15"/>
      <c r="CCX234" s="15"/>
      <c r="CCY234" s="15"/>
      <c r="CCZ234" s="15"/>
      <c r="CDA234" s="15"/>
      <c r="CDB234" s="15"/>
      <c r="CDC234" s="15"/>
      <c r="CDD234" s="10"/>
      <c r="CDE234" s="10"/>
      <c r="CDF234" s="21"/>
      <c r="CDG234" s="21"/>
      <c r="CDJ234" s="21"/>
      <c r="CDK234" s="15"/>
      <c r="CDL234" s="15"/>
      <c r="CDM234" s="15"/>
      <c r="CDN234" s="15"/>
      <c r="CDO234" s="15"/>
      <c r="CDP234" s="15"/>
      <c r="CDQ234" s="15"/>
      <c r="CDR234" s="15"/>
      <c r="CDS234" s="15"/>
      <c r="CDT234" s="15"/>
      <c r="CDU234" s="10"/>
      <c r="CDV234" s="10"/>
      <c r="CDW234" s="21"/>
      <c r="CDX234" s="21"/>
      <c r="CEA234" s="21"/>
      <c r="CEB234" s="15"/>
      <c r="CEC234" s="15"/>
      <c r="CED234" s="15"/>
      <c r="CEE234" s="15"/>
      <c r="CEF234" s="15"/>
      <c r="CEG234" s="15"/>
      <c r="CEH234" s="15"/>
      <c r="CEI234" s="15"/>
      <c r="CEJ234" s="15"/>
      <c r="CEK234" s="15"/>
      <c r="CEL234" s="10"/>
      <c r="CEM234" s="10"/>
      <c r="CEN234" s="21"/>
      <c r="CEO234" s="21"/>
      <c r="CER234" s="21"/>
      <c r="CES234" s="15"/>
      <c r="CET234" s="15"/>
      <c r="CEU234" s="15"/>
      <c r="CEV234" s="15"/>
      <c r="CEW234" s="15"/>
      <c r="CEX234" s="15"/>
      <c r="CEY234" s="15"/>
      <c r="CEZ234" s="15"/>
      <c r="CFA234" s="15"/>
      <c r="CFB234" s="15"/>
      <c r="CFC234" s="10"/>
      <c r="CFD234" s="10"/>
      <c r="CFE234" s="21"/>
      <c r="CFF234" s="21"/>
      <c r="CFI234" s="21"/>
      <c r="CFJ234" s="15"/>
      <c r="CFK234" s="15"/>
      <c r="CFL234" s="15"/>
      <c r="CFM234" s="15"/>
      <c r="CFN234" s="15"/>
      <c r="CFO234" s="15"/>
      <c r="CFP234" s="15"/>
      <c r="CFQ234" s="15"/>
      <c r="CFR234" s="15"/>
      <c r="CFS234" s="15"/>
      <c r="CFT234" s="10"/>
      <c r="CFU234" s="10"/>
      <c r="CFV234" s="21"/>
      <c r="CFW234" s="21"/>
      <c r="CFZ234" s="21"/>
      <c r="CGA234" s="15"/>
      <c r="CGB234" s="15"/>
      <c r="CGC234" s="15"/>
      <c r="CGD234" s="15"/>
      <c r="CGE234" s="15"/>
      <c r="CGF234" s="15"/>
      <c r="CGG234" s="15"/>
      <c r="CGH234" s="15"/>
      <c r="CGI234" s="15"/>
      <c r="CGJ234" s="15"/>
      <c r="CGK234" s="10"/>
      <c r="CGL234" s="10"/>
      <c r="CGM234" s="21"/>
      <c r="CGN234" s="21"/>
      <c r="CGQ234" s="21"/>
      <c r="CGR234" s="15"/>
      <c r="CGS234" s="15"/>
      <c r="CGT234" s="15"/>
      <c r="CGU234" s="15"/>
      <c r="CGV234" s="15"/>
      <c r="CGW234" s="15"/>
      <c r="CGX234" s="15"/>
      <c r="CGY234" s="15"/>
      <c r="CGZ234" s="15"/>
      <c r="CHA234" s="15"/>
      <c r="CHB234" s="10"/>
      <c r="CHC234" s="10"/>
      <c r="CHD234" s="21"/>
      <c r="CHE234" s="21"/>
      <c r="CHH234" s="21"/>
      <c r="CHI234" s="15"/>
      <c r="CHJ234" s="15"/>
      <c r="CHK234" s="15"/>
      <c r="CHL234" s="15"/>
      <c r="CHM234" s="15"/>
      <c r="CHN234" s="15"/>
      <c r="CHO234" s="15"/>
      <c r="CHP234" s="15"/>
      <c r="CHQ234" s="15"/>
      <c r="CHR234" s="15"/>
      <c r="CHS234" s="10"/>
      <c r="CHT234" s="10"/>
      <c r="CHU234" s="21"/>
      <c r="CHV234" s="21"/>
      <c r="CHY234" s="21"/>
      <c r="CHZ234" s="15"/>
      <c r="CIA234" s="15"/>
      <c r="CIB234" s="15"/>
      <c r="CIC234" s="15"/>
      <c r="CID234" s="15"/>
      <c r="CIE234" s="15"/>
      <c r="CIF234" s="15"/>
      <c r="CIG234" s="15"/>
      <c r="CIH234" s="15"/>
      <c r="CII234" s="15"/>
      <c r="CIJ234" s="10"/>
      <c r="CIK234" s="10"/>
      <c r="CIL234" s="21"/>
      <c r="CIM234" s="21"/>
      <c r="CIP234" s="21"/>
      <c r="CIQ234" s="15"/>
      <c r="CIR234" s="15"/>
      <c r="CIS234" s="15"/>
      <c r="CIT234" s="15"/>
      <c r="CIU234" s="15"/>
      <c r="CIV234" s="15"/>
      <c r="CIW234" s="15"/>
      <c r="CIX234" s="15"/>
      <c r="CIY234" s="15"/>
      <c r="CIZ234" s="15"/>
      <c r="CJA234" s="10"/>
      <c r="CJB234" s="10"/>
      <c r="CJC234" s="21"/>
      <c r="CJD234" s="21"/>
      <c r="CJG234" s="21"/>
      <c r="CJH234" s="15"/>
      <c r="CJI234" s="15"/>
      <c r="CJJ234" s="15"/>
      <c r="CJK234" s="15"/>
      <c r="CJL234" s="15"/>
      <c r="CJM234" s="15"/>
      <c r="CJN234" s="15"/>
      <c r="CJO234" s="15"/>
      <c r="CJP234" s="15"/>
      <c r="CJQ234" s="15"/>
      <c r="CJR234" s="10"/>
      <c r="CJS234" s="10"/>
      <c r="CJT234" s="21"/>
      <c r="CJU234" s="21"/>
      <c r="CJX234" s="21"/>
      <c r="CJY234" s="15"/>
      <c r="CJZ234" s="15"/>
      <c r="CKA234" s="15"/>
      <c r="CKB234" s="15"/>
      <c r="CKC234" s="15"/>
      <c r="CKD234" s="15"/>
      <c r="CKE234" s="15"/>
      <c r="CKF234" s="15"/>
      <c r="CKG234" s="15"/>
      <c r="CKH234" s="15"/>
      <c r="CKI234" s="10"/>
      <c r="CKJ234" s="10"/>
      <c r="CKK234" s="21"/>
      <c r="CKL234" s="21"/>
      <c r="CKO234" s="21"/>
      <c r="CKP234" s="15"/>
      <c r="CKQ234" s="15"/>
      <c r="CKR234" s="15"/>
      <c r="CKS234" s="15"/>
      <c r="CKT234" s="15"/>
      <c r="CKU234" s="15"/>
      <c r="CKV234" s="15"/>
      <c r="CKW234" s="15"/>
      <c r="CKX234" s="15"/>
      <c r="CKY234" s="15"/>
      <c r="CKZ234" s="10"/>
      <c r="CLA234" s="10"/>
      <c r="CLB234" s="21"/>
      <c r="CLC234" s="21"/>
      <c r="CLF234" s="21"/>
      <c r="CLG234" s="15"/>
      <c r="CLH234" s="15"/>
      <c r="CLI234" s="15"/>
      <c r="CLJ234" s="15"/>
      <c r="CLK234" s="15"/>
      <c r="CLL234" s="15"/>
      <c r="CLM234" s="15"/>
      <c r="CLN234" s="15"/>
      <c r="CLO234" s="15"/>
      <c r="CLP234" s="15"/>
      <c r="CLQ234" s="10"/>
      <c r="CLR234" s="10"/>
      <c r="CLS234" s="21"/>
      <c r="CLT234" s="21"/>
      <c r="CLW234" s="21"/>
      <c r="CLX234" s="15"/>
      <c r="CLY234" s="15"/>
      <c r="CLZ234" s="15"/>
      <c r="CMA234" s="15"/>
      <c r="CMB234" s="15"/>
      <c r="CMC234" s="15"/>
      <c r="CMD234" s="15"/>
      <c r="CME234" s="15"/>
      <c r="CMF234" s="15"/>
      <c r="CMG234" s="15"/>
      <c r="CMH234" s="10"/>
      <c r="CMI234" s="10"/>
      <c r="CMJ234" s="21"/>
      <c r="CMK234" s="21"/>
      <c r="CMN234" s="21"/>
      <c r="CMO234" s="15"/>
      <c r="CMP234" s="15"/>
      <c r="CMQ234" s="15"/>
      <c r="CMR234" s="15"/>
      <c r="CMS234" s="15"/>
      <c r="CMT234" s="15"/>
      <c r="CMU234" s="15"/>
      <c r="CMV234" s="15"/>
      <c r="CMW234" s="15"/>
      <c r="CMX234" s="15"/>
      <c r="CMY234" s="10"/>
      <c r="CMZ234" s="10"/>
      <c r="CNA234" s="21"/>
      <c r="CNB234" s="21"/>
      <c r="CNE234" s="21"/>
      <c r="CNF234" s="15"/>
      <c r="CNG234" s="15"/>
      <c r="CNH234" s="15"/>
      <c r="CNI234" s="15"/>
      <c r="CNJ234" s="15"/>
      <c r="CNK234" s="15"/>
      <c r="CNL234" s="15"/>
      <c r="CNM234" s="15"/>
      <c r="CNN234" s="15"/>
      <c r="CNO234" s="15"/>
      <c r="CNP234" s="10"/>
      <c r="CNQ234" s="10"/>
      <c r="CNR234" s="21"/>
      <c r="CNS234" s="21"/>
      <c r="CNV234" s="21"/>
      <c r="CNW234" s="15"/>
      <c r="CNX234" s="15"/>
      <c r="CNY234" s="15"/>
      <c r="CNZ234" s="15"/>
      <c r="COA234" s="15"/>
      <c r="COB234" s="15"/>
      <c r="COC234" s="15"/>
      <c r="COD234" s="15"/>
      <c r="COE234" s="15"/>
      <c r="COF234" s="15"/>
      <c r="COG234" s="10"/>
      <c r="COH234" s="10"/>
      <c r="COI234" s="21"/>
      <c r="COJ234" s="21"/>
      <c r="COM234" s="21"/>
      <c r="CON234" s="15"/>
      <c r="COO234" s="15"/>
      <c r="COP234" s="15"/>
      <c r="COQ234" s="15"/>
      <c r="COR234" s="15"/>
      <c r="COS234" s="15"/>
      <c r="COT234" s="15"/>
      <c r="COU234" s="15"/>
      <c r="COV234" s="15"/>
      <c r="COW234" s="15"/>
      <c r="COX234" s="10"/>
      <c r="COY234" s="10"/>
      <c r="COZ234" s="21"/>
      <c r="CPA234" s="21"/>
      <c r="CPD234" s="21"/>
      <c r="CPE234" s="15"/>
      <c r="CPF234" s="15"/>
      <c r="CPG234" s="15"/>
      <c r="CPH234" s="15"/>
      <c r="CPI234" s="15"/>
      <c r="CPJ234" s="15"/>
      <c r="CPK234" s="15"/>
      <c r="CPL234" s="15"/>
      <c r="CPM234" s="15"/>
      <c r="CPN234" s="15"/>
      <c r="CPO234" s="10"/>
      <c r="CPP234" s="10"/>
      <c r="CPQ234" s="21"/>
      <c r="CPR234" s="21"/>
      <c r="CPU234" s="21"/>
      <c r="CPV234" s="15"/>
      <c r="CPW234" s="15"/>
      <c r="CPX234" s="15"/>
      <c r="CPY234" s="15"/>
      <c r="CPZ234" s="15"/>
      <c r="CQA234" s="15"/>
      <c r="CQB234" s="15"/>
      <c r="CQC234" s="15"/>
      <c r="CQD234" s="15"/>
      <c r="CQE234" s="15"/>
      <c r="CQF234" s="10"/>
      <c r="CQG234" s="10"/>
      <c r="CQH234" s="21"/>
      <c r="CQI234" s="21"/>
      <c r="CQL234" s="21"/>
      <c r="CQM234" s="15"/>
      <c r="CQN234" s="15"/>
      <c r="CQO234" s="15"/>
      <c r="CQP234" s="15"/>
      <c r="CQQ234" s="15"/>
      <c r="CQR234" s="15"/>
      <c r="CQS234" s="15"/>
      <c r="CQT234" s="15"/>
      <c r="CQU234" s="15"/>
      <c r="CQV234" s="15"/>
      <c r="CQW234" s="10"/>
      <c r="CQX234" s="10"/>
      <c r="CQY234" s="21"/>
      <c r="CQZ234" s="21"/>
      <c r="CRC234" s="21"/>
      <c r="CRD234" s="15"/>
      <c r="CRE234" s="15"/>
      <c r="CRF234" s="15"/>
      <c r="CRG234" s="15"/>
      <c r="CRH234" s="15"/>
      <c r="CRI234" s="15"/>
      <c r="CRJ234" s="15"/>
      <c r="CRK234" s="15"/>
      <c r="CRL234" s="15"/>
      <c r="CRM234" s="15"/>
      <c r="CRN234" s="10"/>
      <c r="CRO234" s="10"/>
      <c r="CRP234" s="21"/>
      <c r="CRQ234" s="21"/>
      <c r="CRT234" s="21"/>
      <c r="CRU234" s="15"/>
      <c r="CRV234" s="15"/>
      <c r="CRW234" s="15"/>
      <c r="CRX234" s="15"/>
      <c r="CRY234" s="15"/>
      <c r="CRZ234" s="15"/>
      <c r="CSA234" s="15"/>
      <c r="CSB234" s="15"/>
      <c r="CSC234" s="15"/>
      <c r="CSD234" s="15"/>
      <c r="CSE234" s="10"/>
      <c r="CSF234" s="10"/>
      <c r="CSG234" s="21"/>
      <c r="CSH234" s="21"/>
      <c r="CSK234" s="21"/>
      <c r="CSL234" s="15"/>
      <c r="CSM234" s="15"/>
      <c r="CSN234" s="15"/>
      <c r="CSO234" s="15"/>
      <c r="CSP234" s="15"/>
      <c r="CSQ234" s="15"/>
      <c r="CSR234" s="15"/>
      <c r="CSS234" s="15"/>
      <c r="CST234" s="15"/>
      <c r="CSU234" s="15"/>
      <c r="CSV234" s="10"/>
      <c r="CSW234" s="10"/>
      <c r="CSX234" s="21"/>
      <c r="CSY234" s="21"/>
      <c r="CTB234" s="21"/>
      <c r="CTC234" s="15"/>
      <c r="CTD234" s="15"/>
      <c r="CTE234" s="15"/>
      <c r="CTF234" s="15"/>
      <c r="CTG234" s="15"/>
      <c r="CTH234" s="15"/>
      <c r="CTI234" s="15"/>
      <c r="CTJ234" s="15"/>
      <c r="CTK234" s="15"/>
      <c r="CTL234" s="15"/>
      <c r="CTM234" s="10"/>
      <c r="CTN234" s="10"/>
      <c r="CTO234" s="21"/>
      <c r="CTP234" s="21"/>
      <c r="CTS234" s="21"/>
      <c r="CTT234" s="15"/>
      <c r="CTU234" s="15"/>
      <c r="CTV234" s="15"/>
      <c r="CTW234" s="15"/>
      <c r="CTX234" s="15"/>
      <c r="CTY234" s="15"/>
      <c r="CTZ234" s="15"/>
      <c r="CUA234" s="15"/>
      <c r="CUB234" s="15"/>
      <c r="CUC234" s="15"/>
      <c r="CUD234" s="10"/>
      <c r="CUE234" s="10"/>
      <c r="CUF234" s="21"/>
      <c r="CUG234" s="21"/>
      <c r="CUJ234" s="21"/>
      <c r="CUK234" s="15"/>
      <c r="CUL234" s="15"/>
      <c r="CUM234" s="15"/>
      <c r="CUN234" s="15"/>
      <c r="CUO234" s="15"/>
      <c r="CUP234" s="15"/>
      <c r="CUQ234" s="15"/>
      <c r="CUR234" s="15"/>
      <c r="CUS234" s="15"/>
      <c r="CUT234" s="15"/>
      <c r="CUU234" s="10"/>
      <c r="CUV234" s="10"/>
      <c r="CUW234" s="21"/>
      <c r="CUX234" s="21"/>
      <c r="CVA234" s="21"/>
      <c r="CVB234" s="15"/>
      <c r="CVC234" s="15"/>
      <c r="CVD234" s="15"/>
      <c r="CVE234" s="15"/>
      <c r="CVF234" s="15"/>
      <c r="CVG234" s="15"/>
      <c r="CVH234" s="15"/>
      <c r="CVI234" s="15"/>
      <c r="CVJ234" s="15"/>
      <c r="CVK234" s="15"/>
      <c r="CVL234" s="10"/>
      <c r="CVM234" s="10"/>
      <c r="CVN234" s="21"/>
      <c r="CVO234" s="21"/>
      <c r="CVR234" s="21"/>
      <c r="CVS234" s="15"/>
      <c r="CVT234" s="15"/>
      <c r="CVU234" s="15"/>
      <c r="CVV234" s="15"/>
      <c r="CVW234" s="15"/>
      <c r="CVX234" s="15"/>
      <c r="CVY234" s="15"/>
      <c r="CVZ234" s="15"/>
      <c r="CWA234" s="15"/>
      <c r="CWB234" s="15"/>
      <c r="CWC234" s="10"/>
      <c r="CWD234" s="10"/>
      <c r="CWE234" s="21"/>
      <c r="CWF234" s="21"/>
      <c r="CWI234" s="21"/>
      <c r="CWJ234" s="15"/>
      <c r="CWK234" s="15"/>
      <c r="CWL234" s="15"/>
      <c r="CWM234" s="15"/>
      <c r="CWN234" s="15"/>
      <c r="CWO234" s="15"/>
      <c r="CWP234" s="15"/>
      <c r="CWQ234" s="15"/>
      <c r="CWR234" s="15"/>
      <c r="CWS234" s="15"/>
      <c r="CWT234" s="10"/>
      <c r="CWU234" s="10"/>
      <c r="CWV234" s="21"/>
      <c r="CWW234" s="21"/>
      <c r="CWZ234" s="21"/>
      <c r="CXA234" s="15"/>
      <c r="CXB234" s="15"/>
      <c r="CXC234" s="15"/>
      <c r="CXD234" s="15"/>
      <c r="CXE234" s="15"/>
      <c r="CXF234" s="15"/>
      <c r="CXG234" s="15"/>
      <c r="CXH234" s="15"/>
      <c r="CXI234" s="15"/>
      <c r="CXJ234" s="15"/>
      <c r="CXK234" s="10"/>
      <c r="CXL234" s="10"/>
      <c r="CXM234" s="21"/>
      <c r="CXN234" s="21"/>
      <c r="CXQ234" s="21"/>
      <c r="CXR234" s="15"/>
      <c r="CXS234" s="15"/>
      <c r="CXT234" s="15"/>
      <c r="CXU234" s="15"/>
      <c r="CXV234" s="15"/>
      <c r="CXW234" s="15"/>
      <c r="CXX234" s="15"/>
      <c r="CXY234" s="15"/>
      <c r="CXZ234" s="15"/>
      <c r="CYA234" s="15"/>
      <c r="CYB234" s="10"/>
      <c r="CYC234" s="10"/>
      <c r="CYD234" s="21"/>
      <c r="CYE234" s="21"/>
      <c r="CYH234" s="21"/>
      <c r="CYI234" s="15"/>
      <c r="CYJ234" s="15"/>
      <c r="CYK234" s="15"/>
      <c r="CYL234" s="15"/>
      <c r="CYM234" s="15"/>
      <c r="CYN234" s="15"/>
      <c r="CYO234" s="15"/>
      <c r="CYP234" s="15"/>
      <c r="CYQ234" s="15"/>
      <c r="CYR234" s="15"/>
      <c r="CYS234" s="10"/>
      <c r="CYT234" s="10"/>
      <c r="CYU234" s="21"/>
      <c r="CYV234" s="21"/>
      <c r="CYY234" s="21"/>
      <c r="CYZ234" s="15"/>
      <c r="CZA234" s="15"/>
      <c r="CZB234" s="15"/>
      <c r="CZC234" s="15"/>
      <c r="CZD234" s="15"/>
      <c r="CZE234" s="15"/>
      <c r="CZF234" s="15"/>
      <c r="CZG234" s="15"/>
      <c r="CZH234" s="15"/>
      <c r="CZI234" s="15"/>
      <c r="CZJ234" s="10"/>
      <c r="CZK234" s="10"/>
      <c r="CZL234" s="21"/>
      <c r="CZM234" s="21"/>
      <c r="CZP234" s="21"/>
      <c r="CZQ234" s="15"/>
      <c r="CZR234" s="15"/>
      <c r="CZS234" s="15"/>
      <c r="CZT234" s="15"/>
      <c r="CZU234" s="15"/>
      <c r="CZV234" s="15"/>
      <c r="CZW234" s="15"/>
      <c r="CZX234" s="15"/>
      <c r="CZY234" s="15"/>
      <c r="CZZ234" s="15"/>
      <c r="DAA234" s="10"/>
      <c r="DAB234" s="10"/>
      <c r="DAC234" s="21"/>
      <c r="DAD234" s="21"/>
      <c r="DAG234" s="21"/>
      <c r="DAH234" s="15"/>
      <c r="DAI234" s="15"/>
      <c r="DAJ234" s="15"/>
      <c r="DAK234" s="15"/>
      <c r="DAL234" s="15"/>
      <c r="DAM234" s="15"/>
      <c r="DAN234" s="15"/>
      <c r="DAO234" s="15"/>
      <c r="DAP234" s="15"/>
      <c r="DAQ234" s="15"/>
      <c r="DAR234" s="10"/>
      <c r="DAS234" s="10"/>
      <c r="DAT234" s="21"/>
      <c r="DAU234" s="21"/>
      <c r="DAX234" s="21"/>
      <c r="DAY234" s="15"/>
      <c r="DAZ234" s="15"/>
      <c r="DBA234" s="15"/>
      <c r="DBB234" s="15"/>
      <c r="DBC234" s="15"/>
      <c r="DBD234" s="15"/>
      <c r="DBE234" s="15"/>
      <c r="DBF234" s="15"/>
      <c r="DBG234" s="15"/>
      <c r="DBH234" s="15"/>
      <c r="DBI234" s="10"/>
      <c r="DBJ234" s="10"/>
      <c r="DBK234" s="21"/>
      <c r="DBL234" s="21"/>
      <c r="DBO234" s="21"/>
      <c r="DBP234" s="15"/>
      <c r="DBQ234" s="15"/>
      <c r="DBR234" s="15"/>
      <c r="DBS234" s="15"/>
      <c r="DBT234" s="15"/>
      <c r="DBU234" s="15"/>
      <c r="DBV234" s="15"/>
      <c r="DBW234" s="15"/>
      <c r="DBX234" s="15"/>
      <c r="DBY234" s="15"/>
      <c r="DBZ234" s="10"/>
      <c r="DCA234" s="10"/>
      <c r="DCB234" s="21"/>
      <c r="DCC234" s="21"/>
      <c r="DCF234" s="21"/>
      <c r="DCG234" s="15"/>
      <c r="DCH234" s="15"/>
      <c r="DCI234" s="15"/>
      <c r="DCJ234" s="15"/>
      <c r="DCK234" s="15"/>
      <c r="DCL234" s="15"/>
      <c r="DCM234" s="15"/>
      <c r="DCN234" s="15"/>
      <c r="DCO234" s="15"/>
      <c r="DCP234" s="15"/>
      <c r="DCQ234" s="10"/>
      <c r="DCR234" s="10"/>
      <c r="DCS234" s="21"/>
      <c r="DCT234" s="21"/>
      <c r="DCW234" s="21"/>
      <c r="DCX234" s="15"/>
      <c r="DCY234" s="15"/>
      <c r="DCZ234" s="15"/>
      <c r="DDA234" s="15"/>
      <c r="DDB234" s="15"/>
      <c r="DDC234" s="15"/>
      <c r="DDD234" s="15"/>
      <c r="DDE234" s="15"/>
      <c r="DDF234" s="15"/>
      <c r="DDG234" s="15"/>
      <c r="DDH234" s="10"/>
      <c r="DDI234" s="10"/>
      <c r="DDJ234" s="21"/>
      <c r="DDK234" s="21"/>
      <c r="DDN234" s="21"/>
      <c r="DDO234" s="15"/>
      <c r="DDP234" s="15"/>
      <c r="DDQ234" s="15"/>
      <c r="DDR234" s="15"/>
      <c r="DDS234" s="15"/>
      <c r="DDT234" s="15"/>
      <c r="DDU234" s="15"/>
      <c r="DDV234" s="15"/>
      <c r="DDW234" s="15"/>
      <c r="DDX234" s="15"/>
      <c r="DDY234" s="10"/>
      <c r="DDZ234" s="10"/>
      <c r="DEA234" s="21"/>
      <c r="DEB234" s="21"/>
      <c r="DEE234" s="21"/>
      <c r="DEF234" s="15"/>
      <c r="DEG234" s="15"/>
      <c r="DEH234" s="15"/>
      <c r="DEI234" s="15"/>
      <c r="DEJ234" s="15"/>
      <c r="DEK234" s="15"/>
      <c r="DEL234" s="15"/>
      <c r="DEM234" s="15"/>
      <c r="DEN234" s="15"/>
      <c r="DEO234" s="15"/>
      <c r="DEP234" s="10"/>
      <c r="DEQ234" s="10"/>
      <c r="DER234" s="21"/>
      <c r="DES234" s="21"/>
      <c r="DEV234" s="21"/>
      <c r="DEW234" s="15"/>
      <c r="DEX234" s="15"/>
      <c r="DEY234" s="15"/>
      <c r="DEZ234" s="15"/>
      <c r="DFA234" s="15"/>
      <c r="DFB234" s="15"/>
      <c r="DFC234" s="15"/>
      <c r="DFD234" s="15"/>
      <c r="DFE234" s="15"/>
      <c r="DFF234" s="15"/>
      <c r="DFG234" s="10"/>
      <c r="DFH234" s="10"/>
      <c r="DFI234" s="21"/>
      <c r="DFJ234" s="21"/>
      <c r="DFM234" s="21"/>
      <c r="DFN234" s="15"/>
      <c r="DFO234" s="15"/>
      <c r="DFP234" s="15"/>
      <c r="DFQ234" s="15"/>
      <c r="DFR234" s="15"/>
      <c r="DFS234" s="15"/>
      <c r="DFT234" s="15"/>
      <c r="DFU234" s="15"/>
      <c r="DFV234" s="15"/>
      <c r="DFW234" s="15"/>
      <c r="DFX234" s="10"/>
      <c r="DFY234" s="10"/>
      <c r="DFZ234" s="21"/>
      <c r="DGA234" s="21"/>
      <c r="DGD234" s="21"/>
      <c r="DGE234" s="15"/>
      <c r="DGF234" s="15"/>
      <c r="DGG234" s="15"/>
      <c r="DGH234" s="15"/>
      <c r="DGI234" s="15"/>
      <c r="DGJ234" s="15"/>
      <c r="DGK234" s="15"/>
      <c r="DGL234" s="15"/>
      <c r="DGM234" s="15"/>
      <c r="DGN234" s="15"/>
      <c r="DGO234" s="10"/>
      <c r="DGP234" s="10"/>
      <c r="DGQ234" s="21"/>
      <c r="DGR234" s="21"/>
      <c r="DGU234" s="21"/>
      <c r="DGV234" s="15"/>
      <c r="DGW234" s="15"/>
      <c r="DGX234" s="15"/>
      <c r="DGY234" s="15"/>
      <c r="DGZ234" s="15"/>
      <c r="DHA234" s="15"/>
      <c r="DHB234" s="15"/>
      <c r="DHC234" s="15"/>
      <c r="DHD234" s="15"/>
      <c r="DHE234" s="15"/>
      <c r="DHF234" s="10"/>
      <c r="DHG234" s="10"/>
      <c r="DHH234" s="21"/>
      <c r="DHI234" s="21"/>
      <c r="DHL234" s="21"/>
      <c r="DHM234" s="15"/>
      <c r="DHN234" s="15"/>
      <c r="DHO234" s="15"/>
      <c r="DHP234" s="15"/>
      <c r="DHQ234" s="15"/>
      <c r="DHR234" s="15"/>
      <c r="DHS234" s="15"/>
      <c r="DHT234" s="15"/>
      <c r="DHU234" s="15"/>
      <c r="DHV234" s="15"/>
      <c r="DHW234" s="10"/>
      <c r="DHX234" s="10"/>
      <c r="DHY234" s="21"/>
      <c r="DHZ234" s="21"/>
      <c r="DIC234" s="21"/>
      <c r="DID234" s="15"/>
      <c r="DIE234" s="15"/>
      <c r="DIF234" s="15"/>
      <c r="DIG234" s="15"/>
      <c r="DIH234" s="15"/>
      <c r="DII234" s="15"/>
      <c r="DIJ234" s="15"/>
      <c r="DIK234" s="15"/>
      <c r="DIL234" s="15"/>
      <c r="DIM234" s="15"/>
      <c r="DIN234" s="10"/>
      <c r="DIO234" s="10"/>
      <c r="DIP234" s="21"/>
      <c r="DIQ234" s="21"/>
      <c r="DIT234" s="21"/>
      <c r="DIU234" s="15"/>
      <c r="DIV234" s="15"/>
      <c r="DIW234" s="15"/>
      <c r="DIX234" s="15"/>
      <c r="DIY234" s="15"/>
      <c r="DIZ234" s="15"/>
      <c r="DJA234" s="15"/>
      <c r="DJB234" s="15"/>
      <c r="DJC234" s="15"/>
      <c r="DJD234" s="15"/>
      <c r="DJE234" s="10"/>
      <c r="DJF234" s="10"/>
      <c r="DJG234" s="21"/>
      <c r="DJH234" s="21"/>
      <c r="DJK234" s="21"/>
      <c r="DJL234" s="15"/>
      <c r="DJM234" s="15"/>
      <c r="DJN234" s="15"/>
      <c r="DJO234" s="15"/>
      <c r="DJP234" s="15"/>
      <c r="DJQ234" s="15"/>
      <c r="DJR234" s="15"/>
      <c r="DJS234" s="15"/>
      <c r="DJT234" s="15"/>
      <c r="DJU234" s="15"/>
      <c r="DJV234" s="10"/>
      <c r="DJW234" s="10"/>
      <c r="DJX234" s="21"/>
      <c r="DJY234" s="21"/>
      <c r="DKB234" s="21"/>
      <c r="DKC234" s="15"/>
      <c r="DKD234" s="15"/>
      <c r="DKE234" s="15"/>
      <c r="DKF234" s="15"/>
      <c r="DKG234" s="15"/>
      <c r="DKH234" s="15"/>
      <c r="DKI234" s="15"/>
      <c r="DKJ234" s="15"/>
      <c r="DKK234" s="15"/>
      <c r="DKL234" s="15"/>
      <c r="DKM234" s="10"/>
      <c r="DKN234" s="10"/>
      <c r="DKO234" s="21"/>
      <c r="DKP234" s="21"/>
      <c r="DKS234" s="21"/>
      <c r="DKT234" s="15"/>
      <c r="DKU234" s="15"/>
      <c r="DKV234" s="15"/>
      <c r="DKW234" s="15"/>
      <c r="DKX234" s="15"/>
      <c r="DKY234" s="15"/>
      <c r="DKZ234" s="15"/>
      <c r="DLA234" s="15"/>
      <c r="DLB234" s="15"/>
      <c r="DLC234" s="15"/>
      <c r="DLD234" s="10"/>
      <c r="DLE234" s="10"/>
      <c r="DLF234" s="21"/>
      <c r="DLG234" s="21"/>
      <c r="DLJ234" s="21"/>
      <c r="DLK234" s="15"/>
      <c r="DLL234" s="15"/>
      <c r="DLM234" s="15"/>
      <c r="DLN234" s="15"/>
      <c r="DLO234" s="15"/>
      <c r="DLP234" s="15"/>
      <c r="DLQ234" s="15"/>
      <c r="DLR234" s="15"/>
      <c r="DLS234" s="15"/>
      <c r="DLT234" s="15"/>
      <c r="DLU234" s="10"/>
      <c r="DLV234" s="10"/>
      <c r="DLW234" s="21"/>
      <c r="DLX234" s="21"/>
      <c r="DMA234" s="21"/>
      <c r="DMB234" s="15"/>
      <c r="DMC234" s="15"/>
      <c r="DMD234" s="15"/>
      <c r="DME234" s="15"/>
      <c r="DMF234" s="15"/>
      <c r="DMG234" s="15"/>
      <c r="DMH234" s="15"/>
      <c r="DMI234" s="15"/>
      <c r="DMJ234" s="15"/>
      <c r="DMK234" s="15"/>
      <c r="DML234" s="10"/>
      <c r="DMM234" s="10"/>
      <c r="DMN234" s="21"/>
      <c r="DMO234" s="21"/>
      <c r="DMR234" s="21"/>
      <c r="DMS234" s="15"/>
      <c r="DMT234" s="15"/>
      <c r="DMU234" s="15"/>
      <c r="DMV234" s="15"/>
      <c r="DMW234" s="15"/>
      <c r="DMX234" s="15"/>
      <c r="DMY234" s="15"/>
      <c r="DMZ234" s="15"/>
      <c r="DNA234" s="15"/>
      <c r="DNB234" s="15"/>
      <c r="DNC234" s="10"/>
      <c r="DND234" s="10"/>
      <c r="DNE234" s="21"/>
      <c r="DNF234" s="21"/>
      <c r="DNI234" s="21"/>
      <c r="DNJ234" s="15"/>
      <c r="DNK234" s="15"/>
      <c r="DNL234" s="15"/>
      <c r="DNM234" s="15"/>
      <c r="DNN234" s="15"/>
      <c r="DNO234" s="15"/>
      <c r="DNP234" s="15"/>
      <c r="DNQ234" s="15"/>
      <c r="DNR234" s="15"/>
      <c r="DNS234" s="15"/>
      <c r="DNT234" s="10"/>
      <c r="DNU234" s="10"/>
      <c r="DNV234" s="21"/>
      <c r="DNW234" s="21"/>
      <c r="DNZ234" s="21"/>
      <c r="DOA234" s="15"/>
      <c r="DOB234" s="15"/>
      <c r="DOC234" s="15"/>
      <c r="DOD234" s="15"/>
      <c r="DOE234" s="15"/>
      <c r="DOF234" s="15"/>
      <c r="DOG234" s="15"/>
      <c r="DOH234" s="15"/>
      <c r="DOI234" s="15"/>
      <c r="DOJ234" s="15"/>
      <c r="DOK234" s="10"/>
      <c r="DOL234" s="10"/>
      <c r="DOM234" s="21"/>
      <c r="DON234" s="21"/>
      <c r="DOQ234" s="21"/>
      <c r="DOR234" s="15"/>
      <c r="DOS234" s="15"/>
      <c r="DOT234" s="15"/>
      <c r="DOU234" s="15"/>
      <c r="DOV234" s="15"/>
      <c r="DOW234" s="15"/>
      <c r="DOX234" s="15"/>
      <c r="DOY234" s="15"/>
      <c r="DOZ234" s="15"/>
      <c r="DPA234" s="15"/>
      <c r="DPB234" s="10"/>
      <c r="DPC234" s="10"/>
      <c r="DPD234" s="21"/>
      <c r="DPE234" s="21"/>
      <c r="DPH234" s="21"/>
      <c r="DPI234" s="15"/>
      <c r="DPJ234" s="15"/>
      <c r="DPK234" s="15"/>
      <c r="DPL234" s="15"/>
      <c r="DPM234" s="15"/>
      <c r="DPN234" s="15"/>
      <c r="DPO234" s="15"/>
      <c r="DPP234" s="15"/>
      <c r="DPQ234" s="15"/>
      <c r="DPR234" s="15"/>
      <c r="DPS234" s="10"/>
      <c r="DPT234" s="10"/>
      <c r="DPU234" s="21"/>
      <c r="DPV234" s="21"/>
      <c r="DPY234" s="21"/>
      <c r="DPZ234" s="15"/>
      <c r="DQA234" s="15"/>
      <c r="DQB234" s="15"/>
      <c r="DQC234" s="15"/>
      <c r="DQD234" s="15"/>
      <c r="DQE234" s="15"/>
      <c r="DQF234" s="15"/>
      <c r="DQG234" s="15"/>
      <c r="DQH234" s="15"/>
      <c r="DQI234" s="15"/>
      <c r="DQJ234" s="10"/>
      <c r="DQK234" s="10"/>
      <c r="DQL234" s="21"/>
      <c r="DQM234" s="21"/>
      <c r="DQP234" s="21"/>
      <c r="DQQ234" s="15"/>
      <c r="DQR234" s="15"/>
      <c r="DQS234" s="15"/>
      <c r="DQT234" s="15"/>
      <c r="DQU234" s="15"/>
      <c r="DQV234" s="15"/>
      <c r="DQW234" s="15"/>
      <c r="DQX234" s="15"/>
      <c r="DQY234" s="15"/>
      <c r="DQZ234" s="15"/>
      <c r="DRA234" s="10"/>
      <c r="DRB234" s="10"/>
      <c r="DRC234" s="21"/>
      <c r="DRD234" s="21"/>
      <c r="DRG234" s="21"/>
      <c r="DRH234" s="15"/>
      <c r="DRI234" s="15"/>
      <c r="DRJ234" s="15"/>
      <c r="DRK234" s="15"/>
      <c r="DRL234" s="15"/>
      <c r="DRM234" s="15"/>
      <c r="DRN234" s="15"/>
      <c r="DRO234" s="15"/>
      <c r="DRP234" s="15"/>
      <c r="DRQ234" s="15"/>
      <c r="DRR234" s="10"/>
      <c r="DRS234" s="10"/>
      <c r="DRT234" s="21"/>
      <c r="DRU234" s="21"/>
      <c r="DRX234" s="21"/>
      <c r="DRY234" s="15"/>
      <c r="DRZ234" s="15"/>
      <c r="DSA234" s="15"/>
      <c r="DSB234" s="15"/>
      <c r="DSC234" s="15"/>
      <c r="DSD234" s="15"/>
      <c r="DSE234" s="15"/>
      <c r="DSF234" s="15"/>
      <c r="DSG234" s="15"/>
      <c r="DSH234" s="15"/>
      <c r="DSI234" s="10"/>
      <c r="DSJ234" s="10"/>
      <c r="DSK234" s="21"/>
      <c r="DSL234" s="21"/>
      <c r="DSO234" s="21"/>
      <c r="DSP234" s="15"/>
      <c r="DSQ234" s="15"/>
      <c r="DSR234" s="15"/>
      <c r="DSS234" s="15"/>
      <c r="DST234" s="15"/>
      <c r="DSU234" s="15"/>
      <c r="DSV234" s="15"/>
      <c r="DSW234" s="15"/>
      <c r="DSX234" s="15"/>
      <c r="DSY234" s="15"/>
      <c r="DSZ234" s="10"/>
      <c r="DTA234" s="10"/>
      <c r="DTB234" s="21"/>
      <c r="DTC234" s="21"/>
      <c r="DTF234" s="21"/>
      <c r="DTG234" s="15"/>
      <c r="DTH234" s="15"/>
      <c r="DTI234" s="15"/>
      <c r="DTJ234" s="15"/>
      <c r="DTK234" s="15"/>
      <c r="DTL234" s="15"/>
      <c r="DTM234" s="15"/>
      <c r="DTN234" s="15"/>
      <c r="DTO234" s="15"/>
      <c r="DTP234" s="15"/>
      <c r="DTQ234" s="10"/>
      <c r="DTR234" s="10"/>
      <c r="DTS234" s="21"/>
      <c r="DTT234" s="21"/>
      <c r="DTW234" s="21"/>
      <c r="DTX234" s="15"/>
      <c r="DTY234" s="15"/>
      <c r="DTZ234" s="15"/>
      <c r="DUA234" s="15"/>
      <c r="DUB234" s="15"/>
      <c r="DUC234" s="15"/>
      <c r="DUD234" s="15"/>
      <c r="DUE234" s="15"/>
      <c r="DUF234" s="15"/>
      <c r="DUG234" s="15"/>
      <c r="DUH234" s="10"/>
      <c r="DUI234" s="10"/>
      <c r="DUJ234" s="21"/>
      <c r="DUK234" s="21"/>
      <c r="DUN234" s="21"/>
      <c r="DUO234" s="15"/>
      <c r="DUP234" s="15"/>
      <c r="DUQ234" s="15"/>
      <c r="DUR234" s="15"/>
      <c r="DUS234" s="15"/>
      <c r="DUT234" s="15"/>
      <c r="DUU234" s="15"/>
      <c r="DUV234" s="15"/>
      <c r="DUW234" s="15"/>
      <c r="DUX234" s="15"/>
      <c r="DUY234" s="10"/>
      <c r="DUZ234" s="10"/>
      <c r="DVA234" s="21"/>
      <c r="DVB234" s="21"/>
      <c r="DVE234" s="21"/>
      <c r="DVF234" s="15"/>
      <c r="DVG234" s="15"/>
      <c r="DVH234" s="15"/>
      <c r="DVI234" s="15"/>
      <c r="DVJ234" s="15"/>
      <c r="DVK234" s="15"/>
      <c r="DVL234" s="15"/>
      <c r="DVM234" s="15"/>
      <c r="DVN234" s="15"/>
      <c r="DVO234" s="15"/>
      <c r="DVP234" s="10"/>
      <c r="DVQ234" s="10"/>
      <c r="DVR234" s="21"/>
      <c r="DVS234" s="21"/>
      <c r="DVV234" s="21"/>
      <c r="DVW234" s="15"/>
      <c r="DVX234" s="15"/>
      <c r="DVY234" s="15"/>
      <c r="DVZ234" s="15"/>
      <c r="DWA234" s="15"/>
      <c r="DWB234" s="15"/>
      <c r="DWC234" s="15"/>
      <c r="DWD234" s="15"/>
      <c r="DWE234" s="15"/>
      <c r="DWF234" s="15"/>
      <c r="DWG234" s="10"/>
      <c r="DWH234" s="10"/>
      <c r="DWI234" s="21"/>
      <c r="DWJ234" s="21"/>
      <c r="DWM234" s="21"/>
      <c r="DWN234" s="15"/>
      <c r="DWO234" s="15"/>
      <c r="DWP234" s="15"/>
      <c r="DWQ234" s="15"/>
      <c r="DWR234" s="15"/>
      <c r="DWS234" s="15"/>
      <c r="DWT234" s="15"/>
      <c r="DWU234" s="15"/>
      <c r="DWV234" s="15"/>
      <c r="DWW234" s="15"/>
      <c r="DWX234" s="10"/>
      <c r="DWY234" s="10"/>
      <c r="DWZ234" s="21"/>
      <c r="DXA234" s="21"/>
      <c r="DXD234" s="21"/>
      <c r="DXE234" s="15"/>
      <c r="DXF234" s="15"/>
      <c r="DXG234" s="15"/>
      <c r="DXH234" s="15"/>
      <c r="DXI234" s="15"/>
      <c r="DXJ234" s="15"/>
      <c r="DXK234" s="15"/>
      <c r="DXL234" s="15"/>
      <c r="DXM234" s="15"/>
      <c r="DXN234" s="15"/>
      <c r="DXO234" s="10"/>
      <c r="DXP234" s="10"/>
      <c r="DXQ234" s="21"/>
      <c r="DXR234" s="21"/>
      <c r="DXU234" s="21"/>
      <c r="DXV234" s="15"/>
      <c r="DXW234" s="15"/>
      <c r="DXX234" s="15"/>
      <c r="DXY234" s="15"/>
      <c r="DXZ234" s="15"/>
      <c r="DYA234" s="15"/>
      <c r="DYB234" s="15"/>
      <c r="DYC234" s="15"/>
      <c r="DYD234" s="15"/>
      <c r="DYE234" s="15"/>
      <c r="DYF234" s="10"/>
      <c r="DYG234" s="10"/>
      <c r="DYH234" s="21"/>
      <c r="DYI234" s="21"/>
      <c r="DYL234" s="21"/>
      <c r="DYM234" s="15"/>
      <c r="DYN234" s="15"/>
      <c r="DYO234" s="15"/>
      <c r="DYP234" s="15"/>
      <c r="DYQ234" s="15"/>
      <c r="DYR234" s="15"/>
      <c r="DYS234" s="15"/>
      <c r="DYT234" s="15"/>
      <c r="DYU234" s="15"/>
      <c r="DYV234" s="15"/>
      <c r="DYW234" s="10"/>
      <c r="DYX234" s="10"/>
      <c r="DYY234" s="21"/>
      <c r="DYZ234" s="21"/>
      <c r="DZC234" s="21"/>
      <c r="DZD234" s="15"/>
      <c r="DZE234" s="15"/>
      <c r="DZF234" s="15"/>
      <c r="DZG234" s="15"/>
      <c r="DZH234" s="15"/>
      <c r="DZI234" s="15"/>
      <c r="DZJ234" s="15"/>
      <c r="DZK234" s="15"/>
      <c r="DZL234" s="15"/>
      <c r="DZM234" s="15"/>
      <c r="DZN234" s="10"/>
      <c r="DZO234" s="10"/>
      <c r="DZP234" s="21"/>
      <c r="DZQ234" s="21"/>
      <c r="DZT234" s="21"/>
      <c r="DZU234" s="15"/>
      <c r="DZV234" s="15"/>
      <c r="DZW234" s="15"/>
      <c r="DZX234" s="15"/>
      <c r="DZY234" s="15"/>
      <c r="DZZ234" s="15"/>
      <c r="EAA234" s="15"/>
      <c r="EAB234" s="15"/>
      <c r="EAC234" s="15"/>
      <c r="EAD234" s="15"/>
      <c r="EAE234" s="10"/>
      <c r="EAF234" s="10"/>
      <c r="EAG234" s="21"/>
      <c r="EAH234" s="21"/>
      <c r="EAK234" s="21"/>
      <c r="EAL234" s="15"/>
      <c r="EAM234" s="15"/>
      <c r="EAN234" s="15"/>
      <c r="EAO234" s="15"/>
      <c r="EAP234" s="15"/>
      <c r="EAQ234" s="15"/>
      <c r="EAR234" s="15"/>
      <c r="EAS234" s="15"/>
      <c r="EAT234" s="15"/>
      <c r="EAU234" s="15"/>
      <c r="EAV234" s="10"/>
      <c r="EAW234" s="10"/>
      <c r="EAX234" s="21"/>
      <c r="EAY234" s="21"/>
      <c r="EBB234" s="21"/>
      <c r="EBC234" s="15"/>
      <c r="EBD234" s="15"/>
      <c r="EBE234" s="15"/>
      <c r="EBF234" s="15"/>
      <c r="EBG234" s="15"/>
      <c r="EBH234" s="15"/>
      <c r="EBI234" s="15"/>
      <c r="EBJ234" s="15"/>
      <c r="EBK234" s="15"/>
      <c r="EBL234" s="15"/>
      <c r="EBM234" s="10"/>
      <c r="EBN234" s="10"/>
      <c r="EBO234" s="21"/>
      <c r="EBP234" s="21"/>
      <c r="EBS234" s="21"/>
      <c r="EBT234" s="15"/>
      <c r="EBU234" s="15"/>
      <c r="EBV234" s="15"/>
      <c r="EBW234" s="15"/>
      <c r="EBX234" s="15"/>
      <c r="EBY234" s="15"/>
      <c r="EBZ234" s="15"/>
      <c r="ECA234" s="15"/>
      <c r="ECB234" s="15"/>
      <c r="ECC234" s="15"/>
      <c r="ECD234" s="10"/>
      <c r="ECE234" s="10"/>
      <c r="ECF234" s="21"/>
      <c r="ECG234" s="21"/>
      <c r="ECJ234" s="21"/>
      <c r="ECK234" s="15"/>
      <c r="ECL234" s="15"/>
      <c r="ECM234" s="15"/>
      <c r="ECN234" s="15"/>
      <c r="ECO234" s="15"/>
      <c r="ECP234" s="15"/>
      <c r="ECQ234" s="15"/>
      <c r="ECR234" s="15"/>
      <c r="ECS234" s="15"/>
      <c r="ECT234" s="15"/>
      <c r="ECU234" s="10"/>
      <c r="ECV234" s="10"/>
      <c r="ECW234" s="21"/>
      <c r="ECX234" s="21"/>
      <c r="EDA234" s="21"/>
      <c r="EDB234" s="15"/>
      <c r="EDC234" s="15"/>
      <c r="EDD234" s="15"/>
      <c r="EDE234" s="15"/>
      <c r="EDF234" s="15"/>
      <c r="EDG234" s="15"/>
      <c r="EDH234" s="15"/>
      <c r="EDI234" s="15"/>
      <c r="EDJ234" s="15"/>
      <c r="EDK234" s="15"/>
      <c r="EDL234" s="10"/>
      <c r="EDM234" s="10"/>
      <c r="EDN234" s="21"/>
      <c r="EDO234" s="21"/>
      <c r="EDR234" s="21"/>
      <c r="EDS234" s="15"/>
      <c r="EDT234" s="15"/>
      <c r="EDU234" s="15"/>
      <c r="EDV234" s="15"/>
      <c r="EDW234" s="15"/>
      <c r="EDX234" s="15"/>
      <c r="EDY234" s="15"/>
      <c r="EDZ234" s="15"/>
      <c r="EEA234" s="15"/>
      <c r="EEB234" s="15"/>
      <c r="EEC234" s="10"/>
      <c r="EED234" s="10"/>
      <c r="EEE234" s="21"/>
      <c r="EEF234" s="21"/>
      <c r="EEI234" s="21"/>
      <c r="EEJ234" s="15"/>
      <c r="EEK234" s="15"/>
      <c r="EEL234" s="15"/>
      <c r="EEM234" s="15"/>
      <c r="EEN234" s="15"/>
      <c r="EEO234" s="15"/>
      <c r="EEP234" s="15"/>
      <c r="EEQ234" s="15"/>
      <c r="EER234" s="15"/>
      <c r="EES234" s="15"/>
      <c r="EET234" s="10"/>
      <c r="EEU234" s="10"/>
      <c r="EEV234" s="21"/>
      <c r="EEW234" s="21"/>
      <c r="EEZ234" s="21"/>
      <c r="EFA234" s="15"/>
      <c r="EFB234" s="15"/>
      <c r="EFC234" s="15"/>
      <c r="EFD234" s="15"/>
      <c r="EFE234" s="15"/>
      <c r="EFF234" s="15"/>
      <c r="EFG234" s="15"/>
      <c r="EFH234" s="15"/>
      <c r="EFI234" s="15"/>
      <c r="EFJ234" s="15"/>
      <c r="EFK234" s="10"/>
      <c r="EFL234" s="10"/>
      <c r="EFM234" s="21"/>
      <c r="EFN234" s="21"/>
      <c r="EFQ234" s="21"/>
      <c r="EFR234" s="15"/>
      <c r="EFS234" s="15"/>
      <c r="EFT234" s="15"/>
      <c r="EFU234" s="15"/>
      <c r="EFV234" s="15"/>
      <c r="EFW234" s="15"/>
      <c r="EFX234" s="15"/>
      <c r="EFY234" s="15"/>
      <c r="EFZ234" s="15"/>
      <c r="EGA234" s="15"/>
      <c r="EGB234" s="10"/>
      <c r="EGC234" s="10"/>
      <c r="EGD234" s="21"/>
      <c r="EGE234" s="21"/>
      <c r="EGH234" s="21"/>
      <c r="EGI234" s="15"/>
      <c r="EGJ234" s="15"/>
      <c r="EGK234" s="15"/>
      <c r="EGL234" s="15"/>
      <c r="EGM234" s="15"/>
      <c r="EGN234" s="15"/>
      <c r="EGO234" s="15"/>
      <c r="EGP234" s="15"/>
      <c r="EGQ234" s="15"/>
      <c r="EGR234" s="15"/>
      <c r="EGS234" s="10"/>
      <c r="EGT234" s="10"/>
      <c r="EGU234" s="21"/>
      <c r="EGV234" s="21"/>
      <c r="EGY234" s="21"/>
      <c r="EGZ234" s="15"/>
      <c r="EHA234" s="15"/>
      <c r="EHB234" s="15"/>
      <c r="EHC234" s="15"/>
      <c r="EHD234" s="15"/>
      <c r="EHE234" s="15"/>
      <c r="EHF234" s="15"/>
      <c r="EHG234" s="15"/>
      <c r="EHH234" s="15"/>
      <c r="EHI234" s="15"/>
      <c r="EHJ234" s="10"/>
      <c r="EHK234" s="10"/>
      <c r="EHL234" s="21"/>
      <c r="EHM234" s="21"/>
      <c r="EHP234" s="21"/>
      <c r="EHQ234" s="15"/>
      <c r="EHR234" s="15"/>
      <c r="EHS234" s="15"/>
      <c r="EHT234" s="15"/>
      <c r="EHU234" s="15"/>
      <c r="EHV234" s="15"/>
      <c r="EHW234" s="15"/>
      <c r="EHX234" s="15"/>
      <c r="EHY234" s="15"/>
      <c r="EHZ234" s="15"/>
      <c r="EIA234" s="10"/>
      <c r="EIB234" s="10"/>
      <c r="EIC234" s="21"/>
      <c r="EID234" s="21"/>
      <c r="EIG234" s="21"/>
      <c r="EIH234" s="15"/>
      <c r="EII234" s="15"/>
      <c r="EIJ234" s="15"/>
      <c r="EIK234" s="15"/>
      <c r="EIL234" s="15"/>
      <c r="EIM234" s="15"/>
      <c r="EIN234" s="15"/>
      <c r="EIO234" s="15"/>
      <c r="EIP234" s="15"/>
      <c r="EIQ234" s="15"/>
      <c r="EIR234" s="10"/>
      <c r="EIS234" s="10"/>
      <c r="EIT234" s="21"/>
      <c r="EIU234" s="21"/>
      <c r="EIX234" s="21"/>
      <c r="EIY234" s="15"/>
      <c r="EIZ234" s="15"/>
      <c r="EJA234" s="15"/>
      <c r="EJB234" s="15"/>
      <c r="EJC234" s="15"/>
      <c r="EJD234" s="15"/>
      <c r="EJE234" s="15"/>
      <c r="EJF234" s="15"/>
      <c r="EJG234" s="15"/>
      <c r="EJH234" s="15"/>
      <c r="EJI234" s="10"/>
      <c r="EJJ234" s="10"/>
      <c r="EJK234" s="21"/>
      <c r="EJL234" s="21"/>
      <c r="EJO234" s="21"/>
      <c r="EJP234" s="15"/>
      <c r="EJQ234" s="15"/>
      <c r="EJR234" s="15"/>
      <c r="EJS234" s="15"/>
      <c r="EJT234" s="15"/>
      <c r="EJU234" s="15"/>
      <c r="EJV234" s="15"/>
      <c r="EJW234" s="15"/>
      <c r="EJX234" s="15"/>
      <c r="EJY234" s="15"/>
      <c r="EJZ234" s="10"/>
      <c r="EKA234" s="10"/>
      <c r="EKB234" s="21"/>
      <c r="EKC234" s="21"/>
      <c r="EKF234" s="21"/>
      <c r="EKG234" s="15"/>
      <c r="EKH234" s="15"/>
      <c r="EKI234" s="15"/>
      <c r="EKJ234" s="15"/>
      <c r="EKK234" s="15"/>
      <c r="EKL234" s="15"/>
      <c r="EKM234" s="15"/>
      <c r="EKN234" s="15"/>
      <c r="EKO234" s="15"/>
      <c r="EKP234" s="15"/>
      <c r="EKQ234" s="10"/>
      <c r="EKR234" s="10"/>
      <c r="EKS234" s="21"/>
      <c r="EKT234" s="21"/>
      <c r="EKW234" s="21"/>
      <c r="EKX234" s="15"/>
      <c r="EKY234" s="15"/>
      <c r="EKZ234" s="15"/>
      <c r="ELA234" s="15"/>
      <c r="ELB234" s="15"/>
      <c r="ELC234" s="15"/>
      <c r="ELD234" s="15"/>
      <c r="ELE234" s="15"/>
      <c r="ELF234" s="15"/>
      <c r="ELG234" s="15"/>
      <c r="ELH234" s="10"/>
      <c r="ELI234" s="10"/>
      <c r="ELJ234" s="21"/>
      <c r="ELK234" s="21"/>
      <c r="ELN234" s="21"/>
      <c r="ELO234" s="15"/>
      <c r="ELP234" s="15"/>
      <c r="ELQ234" s="15"/>
      <c r="ELR234" s="15"/>
      <c r="ELS234" s="15"/>
      <c r="ELT234" s="15"/>
      <c r="ELU234" s="15"/>
      <c r="ELV234" s="15"/>
      <c r="ELW234" s="15"/>
      <c r="ELX234" s="15"/>
      <c r="ELY234" s="10"/>
      <c r="ELZ234" s="10"/>
      <c r="EMA234" s="21"/>
      <c r="EMB234" s="21"/>
      <c r="EME234" s="21"/>
      <c r="EMF234" s="15"/>
      <c r="EMG234" s="15"/>
      <c r="EMH234" s="15"/>
      <c r="EMI234" s="15"/>
      <c r="EMJ234" s="15"/>
      <c r="EMK234" s="15"/>
      <c r="EML234" s="15"/>
      <c r="EMM234" s="15"/>
      <c r="EMN234" s="15"/>
      <c r="EMO234" s="15"/>
      <c r="EMP234" s="10"/>
      <c r="EMQ234" s="10"/>
      <c r="EMR234" s="21"/>
      <c r="EMS234" s="21"/>
      <c r="EMV234" s="21"/>
      <c r="EMW234" s="15"/>
      <c r="EMX234" s="15"/>
      <c r="EMY234" s="15"/>
      <c r="EMZ234" s="15"/>
      <c r="ENA234" s="15"/>
      <c r="ENB234" s="15"/>
      <c r="ENC234" s="15"/>
      <c r="END234" s="15"/>
      <c r="ENE234" s="15"/>
      <c r="ENF234" s="15"/>
      <c r="ENG234" s="10"/>
      <c r="ENH234" s="10"/>
      <c r="ENI234" s="21"/>
      <c r="ENJ234" s="21"/>
      <c r="ENM234" s="21"/>
      <c r="ENN234" s="15"/>
      <c r="ENO234" s="15"/>
      <c r="ENP234" s="15"/>
      <c r="ENQ234" s="15"/>
      <c r="ENR234" s="15"/>
      <c r="ENS234" s="15"/>
      <c r="ENT234" s="15"/>
      <c r="ENU234" s="15"/>
      <c r="ENV234" s="15"/>
      <c r="ENW234" s="15"/>
      <c r="ENX234" s="10"/>
      <c r="ENY234" s="10"/>
      <c r="ENZ234" s="21"/>
      <c r="EOA234" s="21"/>
      <c r="EOD234" s="21"/>
      <c r="EOE234" s="15"/>
      <c r="EOF234" s="15"/>
      <c r="EOG234" s="15"/>
      <c r="EOH234" s="15"/>
      <c r="EOI234" s="15"/>
      <c r="EOJ234" s="15"/>
      <c r="EOK234" s="15"/>
      <c r="EOL234" s="15"/>
      <c r="EOM234" s="15"/>
      <c r="EON234" s="15"/>
      <c r="EOO234" s="10"/>
      <c r="EOP234" s="10"/>
      <c r="EOQ234" s="21"/>
      <c r="EOR234" s="21"/>
      <c r="EOU234" s="21"/>
      <c r="EOV234" s="15"/>
      <c r="EOW234" s="15"/>
      <c r="EOX234" s="15"/>
      <c r="EOY234" s="15"/>
      <c r="EOZ234" s="15"/>
      <c r="EPA234" s="15"/>
      <c r="EPB234" s="15"/>
      <c r="EPC234" s="15"/>
      <c r="EPD234" s="15"/>
      <c r="EPE234" s="15"/>
      <c r="EPF234" s="10"/>
      <c r="EPG234" s="10"/>
      <c r="EPH234" s="21"/>
      <c r="EPI234" s="21"/>
      <c r="EPL234" s="21"/>
      <c r="EPM234" s="15"/>
      <c r="EPN234" s="15"/>
      <c r="EPO234" s="15"/>
      <c r="EPP234" s="15"/>
      <c r="EPQ234" s="15"/>
      <c r="EPR234" s="15"/>
      <c r="EPS234" s="15"/>
      <c r="EPT234" s="15"/>
      <c r="EPU234" s="15"/>
      <c r="EPV234" s="15"/>
      <c r="EPW234" s="10"/>
      <c r="EPX234" s="10"/>
      <c r="EPY234" s="21"/>
      <c r="EPZ234" s="21"/>
      <c r="EQC234" s="21"/>
      <c r="EQD234" s="15"/>
      <c r="EQE234" s="15"/>
      <c r="EQF234" s="15"/>
      <c r="EQG234" s="15"/>
      <c r="EQH234" s="15"/>
      <c r="EQI234" s="15"/>
      <c r="EQJ234" s="15"/>
      <c r="EQK234" s="15"/>
      <c r="EQL234" s="15"/>
      <c r="EQM234" s="15"/>
      <c r="EQN234" s="10"/>
      <c r="EQO234" s="10"/>
      <c r="EQP234" s="21"/>
      <c r="EQQ234" s="21"/>
      <c r="EQT234" s="21"/>
      <c r="EQU234" s="15"/>
      <c r="EQV234" s="15"/>
      <c r="EQW234" s="15"/>
      <c r="EQX234" s="15"/>
      <c r="EQY234" s="15"/>
      <c r="EQZ234" s="15"/>
      <c r="ERA234" s="15"/>
      <c r="ERB234" s="15"/>
      <c r="ERC234" s="15"/>
      <c r="ERD234" s="15"/>
      <c r="ERE234" s="10"/>
      <c r="ERF234" s="10"/>
      <c r="ERG234" s="21"/>
      <c r="ERH234" s="21"/>
      <c r="ERK234" s="21"/>
      <c r="ERL234" s="15"/>
      <c r="ERM234" s="15"/>
      <c r="ERN234" s="15"/>
      <c r="ERO234" s="15"/>
      <c r="ERP234" s="15"/>
      <c r="ERQ234" s="15"/>
      <c r="ERR234" s="15"/>
      <c r="ERS234" s="15"/>
      <c r="ERT234" s="15"/>
      <c r="ERU234" s="15"/>
      <c r="ERV234" s="10"/>
      <c r="ERW234" s="10"/>
      <c r="ERX234" s="21"/>
      <c r="ERY234" s="21"/>
      <c r="ESB234" s="21"/>
      <c r="ESC234" s="15"/>
      <c r="ESD234" s="15"/>
      <c r="ESE234" s="15"/>
      <c r="ESF234" s="15"/>
      <c r="ESG234" s="15"/>
      <c r="ESH234" s="15"/>
      <c r="ESI234" s="15"/>
      <c r="ESJ234" s="15"/>
      <c r="ESK234" s="15"/>
      <c r="ESL234" s="15"/>
      <c r="ESM234" s="10"/>
      <c r="ESN234" s="10"/>
      <c r="ESO234" s="21"/>
      <c r="ESP234" s="21"/>
      <c r="ESS234" s="21"/>
      <c r="EST234" s="15"/>
      <c r="ESU234" s="15"/>
      <c r="ESV234" s="15"/>
      <c r="ESW234" s="15"/>
      <c r="ESX234" s="15"/>
      <c r="ESY234" s="15"/>
      <c r="ESZ234" s="15"/>
      <c r="ETA234" s="15"/>
      <c r="ETB234" s="15"/>
      <c r="ETC234" s="15"/>
      <c r="ETD234" s="10"/>
      <c r="ETE234" s="10"/>
      <c r="ETF234" s="21"/>
      <c r="ETG234" s="21"/>
      <c r="ETJ234" s="21"/>
      <c r="ETK234" s="15"/>
      <c r="ETL234" s="15"/>
      <c r="ETM234" s="15"/>
      <c r="ETN234" s="15"/>
      <c r="ETO234" s="15"/>
      <c r="ETP234" s="15"/>
      <c r="ETQ234" s="15"/>
      <c r="ETR234" s="15"/>
      <c r="ETS234" s="15"/>
      <c r="ETT234" s="15"/>
      <c r="ETU234" s="10"/>
      <c r="ETV234" s="10"/>
      <c r="ETW234" s="21"/>
      <c r="ETX234" s="21"/>
      <c r="EUA234" s="21"/>
      <c r="EUB234" s="15"/>
      <c r="EUC234" s="15"/>
      <c r="EUD234" s="15"/>
      <c r="EUE234" s="15"/>
      <c r="EUF234" s="15"/>
      <c r="EUG234" s="15"/>
      <c r="EUH234" s="15"/>
      <c r="EUI234" s="15"/>
      <c r="EUJ234" s="15"/>
      <c r="EUK234" s="15"/>
      <c r="EUL234" s="10"/>
      <c r="EUM234" s="10"/>
      <c r="EUN234" s="21"/>
      <c r="EUO234" s="21"/>
      <c r="EUR234" s="21"/>
      <c r="EUS234" s="15"/>
      <c r="EUT234" s="15"/>
      <c r="EUU234" s="15"/>
      <c r="EUV234" s="15"/>
      <c r="EUW234" s="15"/>
      <c r="EUX234" s="15"/>
      <c r="EUY234" s="15"/>
      <c r="EUZ234" s="15"/>
      <c r="EVA234" s="15"/>
      <c r="EVB234" s="15"/>
      <c r="EVC234" s="10"/>
      <c r="EVD234" s="10"/>
      <c r="EVE234" s="21"/>
      <c r="EVF234" s="21"/>
      <c r="EVI234" s="21"/>
      <c r="EVJ234" s="15"/>
      <c r="EVK234" s="15"/>
      <c r="EVL234" s="15"/>
      <c r="EVM234" s="15"/>
      <c r="EVN234" s="15"/>
      <c r="EVO234" s="15"/>
      <c r="EVP234" s="15"/>
      <c r="EVQ234" s="15"/>
      <c r="EVR234" s="15"/>
      <c r="EVS234" s="15"/>
      <c r="EVT234" s="10"/>
      <c r="EVU234" s="10"/>
      <c r="EVV234" s="21"/>
      <c r="EVW234" s="21"/>
      <c r="EVZ234" s="21"/>
      <c r="EWA234" s="15"/>
      <c r="EWB234" s="15"/>
      <c r="EWC234" s="15"/>
      <c r="EWD234" s="15"/>
      <c r="EWE234" s="15"/>
      <c r="EWF234" s="15"/>
      <c r="EWG234" s="15"/>
      <c r="EWH234" s="15"/>
      <c r="EWI234" s="15"/>
      <c r="EWJ234" s="15"/>
      <c r="EWK234" s="10"/>
      <c r="EWL234" s="10"/>
      <c r="EWM234" s="21"/>
      <c r="EWN234" s="21"/>
      <c r="EWQ234" s="21"/>
      <c r="EWR234" s="15"/>
      <c r="EWS234" s="15"/>
      <c r="EWT234" s="15"/>
      <c r="EWU234" s="15"/>
      <c r="EWV234" s="15"/>
      <c r="EWW234" s="15"/>
      <c r="EWX234" s="15"/>
      <c r="EWY234" s="15"/>
      <c r="EWZ234" s="15"/>
      <c r="EXA234" s="15"/>
      <c r="EXB234" s="10"/>
      <c r="EXC234" s="10"/>
      <c r="EXD234" s="21"/>
      <c r="EXE234" s="21"/>
      <c r="EXH234" s="21"/>
      <c r="EXI234" s="15"/>
      <c r="EXJ234" s="15"/>
      <c r="EXK234" s="15"/>
      <c r="EXL234" s="15"/>
      <c r="EXM234" s="15"/>
      <c r="EXN234" s="15"/>
      <c r="EXO234" s="15"/>
      <c r="EXP234" s="15"/>
      <c r="EXQ234" s="15"/>
      <c r="EXR234" s="15"/>
      <c r="EXS234" s="10"/>
      <c r="EXT234" s="10"/>
      <c r="EXU234" s="21"/>
      <c r="EXV234" s="21"/>
      <c r="EXY234" s="21"/>
      <c r="EXZ234" s="15"/>
      <c r="EYA234" s="15"/>
      <c r="EYB234" s="15"/>
      <c r="EYC234" s="15"/>
      <c r="EYD234" s="15"/>
      <c r="EYE234" s="15"/>
      <c r="EYF234" s="15"/>
      <c r="EYG234" s="15"/>
      <c r="EYH234" s="15"/>
      <c r="EYI234" s="15"/>
      <c r="EYJ234" s="10"/>
      <c r="EYK234" s="10"/>
      <c r="EYL234" s="21"/>
      <c r="EYM234" s="21"/>
      <c r="EYP234" s="21"/>
      <c r="EYQ234" s="15"/>
      <c r="EYR234" s="15"/>
      <c r="EYS234" s="15"/>
      <c r="EYT234" s="15"/>
      <c r="EYU234" s="15"/>
      <c r="EYV234" s="15"/>
      <c r="EYW234" s="15"/>
      <c r="EYX234" s="15"/>
      <c r="EYY234" s="15"/>
      <c r="EYZ234" s="15"/>
      <c r="EZA234" s="10"/>
      <c r="EZB234" s="10"/>
      <c r="EZC234" s="21"/>
      <c r="EZD234" s="21"/>
      <c r="EZG234" s="21"/>
      <c r="EZH234" s="15"/>
      <c r="EZI234" s="15"/>
      <c r="EZJ234" s="15"/>
      <c r="EZK234" s="15"/>
      <c r="EZL234" s="15"/>
      <c r="EZM234" s="15"/>
      <c r="EZN234" s="15"/>
      <c r="EZO234" s="15"/>
      <c r="EZP234" s="15"/>
      <c r="EZQ234" s="15"/>
      <c r="EZR234" s="10"/>
      <c r="EZS234" s="10"/>
      <c r="EZT234" s="21"/>
      <c r="EZU234" s="21"/>
      <c r="EZX234" s="21"/>
      <c r="EZY234" s="15"/>
      <c r="EZZ234" s="15"/>
      <c r="FAA234" s="15"/>
      <c r="FAB234" s="15"/>
      <c r="FAC234" s="15"/>
      <c r="FAD234" s="15"/>
      <c r="FAE234" s="15"/>
      <c r="FAF234" s="15"/>
      <c r="FAG234" s="15"/>
      <c r="FAH234" s="15"/>
      <c r="FAI234" s="10"/>
      <c r="FAJ234" s="10"/>
      <c r="FAK234" s="21"/>
      <c r="FAL234" s="21"/>
      <c r="FAO234" s="21"/>
      <c r="FAP234" s="15"/>
      <c r="FAQ234" s="15"/>
      <c r="FAR234" s="15"/>
      <c r="FAS234" s="15"/>
      <c r="FAT234" s="15"/>
      <c r="FAU234" s="15"/>
      <c r="FAV234" s="15"/>
      <c r="FAW234" s="15"/>
      <c r="FAX234" s="15"/>
      <c r="FAY234" s="15"/>
      <c r="FAZ234" s="10"/>
      <c r="FBA234" s="10"/>
      <c r="FBB234" s="21"/>
      <c r="FBC234" s="21"/>
      <c r="FBF234" s="21"/>
      <c r="FBG234" s="15"/>
      <c r="FBH234" s="15"/>
      <c r="FBI234" s="15"/>
      <c r="FBJ234" s="15"/>
      <c r="FBK234" s="15"/>
      <c r="FBL234" s="15"/>
      <c r="FBM234" s="15"/>
      <c r="FBN234" s="15"/>
      <c r="FBO234" s="15"/>
      <c r="FBP234" s="15"/>
      <c r="FBQ234" s="10"/>
      <c r="FBR234" s="10"/>
      <c r="FBS234" s="21"/>
      <c r="FBT234" s="21"/>
      <c r="FBW234" s="21"/>
      <c r="FBX234" s="15"/>
      <c r="FBY234" s="15"/>
      <c r="FBZ234" s="15"/>
      <c r="FCA234" s="15"/>
      <c r="FCB234" s="15"/>
      <c r="FCC234" s="15"/>
      <c r="FCD234" s="15"/>
      <c r="FCE234" s="15"/>
      <c r="FCF234" s="15"/>
      <c r="FCG234" s="15"/>
      <c r="FCH234" s="10"/>
      <c r="FCI234" s="10"/>
      <c r="FCJ234" s="21"/>
      <c r="FCK234" s="21"/>
      <c r="FCN234" s="21"/>
      <c r="FCO234" s="15"/>
      <c r="FCP234" s="15"/>
      <c r="FCQ234" s="15"/>
      <c r="FCR234" s="15"/>
      <c r="FCS234" s="15"/>
      <c r="FCT234" s="15"/>
      <c r="FCU234" s="15"/>
      <c r="FCV234" s="15"/>
      <c r="FCW234" s="15"/>
      <c r="FCX234" s="15"/>
      <c r="FCY234" s="10"/>
      <c r="FCZ234" s="10"/>
      <c r="FDA234" s="21"/>
      <c r="FDB234" s="21"/>
      <c r="FDE234" s="21"/>
      <c r="FDF234" s="15"/>
      <c r="FDG234" s="15"/>
      <c r="FDH234" s="15"/>
      <c r="FDI234" s="15"/>
      <c r="FDJ234" s="15"/>
      <c r="FDK234" s="15"/>
      <c r="FDL234" s="15"/>
      <c r="FDM234" s="15"/>
      <c r="FDN234" s="15"/>
      <c r="FDO234" s="15"/>
      <c r="FDP234" s="10"/>
      <c r="FDQ234" s="10"/>
      <c r="FDR234" s="21"/>
      <c r="FDS234" s="21"/>
      <c r="FDV234" s="21"/>
      <c r="FDW234" s="15"/>
      <c r="FDX234" s="15"/>
      <c r="FDY234" s="15"/>
      <c r="FDZ234" s="15"/>
      <c r="FEA234" s="15"/>
      <c r="FEB234" s="15"/>
      <c r="FEC234" s="15"/>
      <c r="FED234" s="15"/>
      <c r="FEE234" s="15"/>
      <c r="FEF234" s="15"/>
      <c r="FEG234" s="10"/>
      <c r="FEH234" s="10"/>
      <c r="FEI234" s="21"/>
      <c r="FEJ234" s="21"/>
      <c r="FEM234" s="21"/>
      <c r="FEN234" s="15"/>
      <c r="FEO234" s="15"/>
      <c r="FEP234" s="15"/>
      <c r="FEQ234" s="15"/>
      <c r="FER234" s="15"/>
      <c r="FES234" s="15"/>
      <c r="FET234" s="15"/>
      <c r="FEU234" s="15"/>
      <c r="FEV234" s="15"/>
      <c r="FEW234" s="15"/>
      <c r="FEX234" s="10"/>
      <c r="FEY234" s="10"/>
      <c r="FEZ234" s="21"/>
      <c r="FFA234" s="21"/>
      <c r="FFD234" s="21"/>
      <c r="FFE234" s="15"/>
      <c r="FFF234" s="15"/>
      <c r="FFG234" s="15"/>
      <c r="FFH234" s="15"/>
      <c r="FFI234" s="15"/>
      <c r="FFJ234" s="15"/>
      <c r="FFK234" s="15"/>
      <c r="FFL234" s="15"/>
      <c r="FFM234" s="15"/>
      <c r="FFN234" s="15"/>
      <c r="FFO234" s="10"/>
      <c r="FFP234" s="10"/>
      <c r="FFQ234" s="21"/>
      <c r="FFR234" s="21"/>
      <c r="FFU234" s="21"/>
      <c r="FFV234" s="15"/>
      <c r="FFW234" s="15"/>
      <c r="FFX234" s="15"/>
      <c r="FFY234" s="15"/>
      <c r="FFZ234" s="15"/>
      <c r="FGA234" s="15"/>
      <c r="FGB234" s="15"/>
      <c r="FGC234" s="15"/>
      <c r="FGD234" s="15"/>
      <c r="FGE234" s="15"/>
      <c r="FGF234" s="10"/>
      <c r="FGG234" s="10"/>
      <c r="FGH234" s="21"/>
      <c r="FGI234" s="21"/>
      <c r="FGL234" s="21"/>
      <c r="FGM234" s="15"/>
      <c r="FGN234" s="15"/>
      <c r="FGO234" s="15"/>
      <c r="FGP234" s="15"/>
      <c r="FGQ234" s="15"/>
      <c r="FGR234" s="15"/>
      <c r="FGS234" s="15"/>
      <c r="FGT234" s="15"/>
      <c r="FGU234" s="15"/>
      <c r="FGV234" s="15"/>
      <c r="FGW234" s="10"/>
      <c r="FGX234" s="10"/>
      <c r="FGY234" s="21"/>
      <c r="FGZ234" s="21"/>
      <c r="FHC234" s="21"/>
      <c r="FHD234" s="15"/>
      <c r="FHE234" s="15"/>
      <c r="FHF234" s="15"/>
      <c r="FHG234" s="15"/>
      <c r="FHH234" s="15"/>
      <c r="FHI234" s="15"/>
      <c r="FHJ234" s="15"/>
      <c r="FHK234" s="15"/>
      <c r="FHL234" s="15"/>
      <c r="FHM234" s="15"/>
      <c r="FHN234" s="10"/>
      <c r="FHO234" s="10"/>
      <c r="FHP234" s="21"/>
      <c r="FHQ234" s="21"/>
      <c r="FHT234" s="21"/>
      <c r="FHU234" s="15"/>
      <c r="FHV234" s="15"/>
      <c r="FHW234" s="15"/>
      <c r="FHX234" s="15"/>
      <c r="FHY234" s="15"/>
      <c r="FHZ234" s="15"/>
      <c r="FIA234" s="15"/>
      <c r="FIB234" s="15"/>
      <c r="FIC234" s="15"/>
      <c r="FID234" s="15"/>
      <c r="FIE234" s="10"/>
      <c r="FIF234" s="10"/>
      <c r="FIG234" s="21"/>
      <c r="FIH234" s="21"/>
      <c r="FIK234" s="21"/>
      <c r="FIL234" s="15"/>
      <c r="FIM234" s="15"/>
      <c r="FIN234" s="15"/>
      <c r="FIO234" s="15"/>
      <c r="FIP234" s="15"/>
      <c r="FIQ234" s="15"/>
      <c r="FIR234" s="15"/>
      <c r="FIS234" s="15"/>
      <c r="FIT234" s="15"/>
      <c r="FIU234" s="15"/>
      <c r="FIV234" s="10"/>
      <c r="FIW234" s="10"/>
      <c r="FIX234" s="21"/>
      <c r="FIY234" s="21"/>
      <c r="FJB234" s="21"/>
      <c r="FJC234" s="15"/>
      <c r="FJD234" s="15"/>
      <c r="FJE234" s="15"/>
      <c r="FJF234" s="15"/>
      <c r="FJG234" s="15"/>
      <c r="FJH234" s="15"/>
      <c r="FJI234" s="15"/>
      <c r="FJJ234" s="15"/>
      <c r="FJK234" s="15"/>
      <c r="FJL234" s="15"/>
      <c r="FJM234" s="10"/>
      <c r="FJN234" s="10"/>
      <c r="FJO234" s="21"/>
      <c r="FJP234" s="21"/>
      <c r="FJS234" s="21"/>
      <c r="FJT234" s="15"/>
      <c r="FJU234" s="15"/>
      <c r="FJV234" s="15"/>
      <c r="FJW234" s="15"/>
      <c r="FJX234" s="15"/>
      <c r="FJY234" s="15"/>
      <c r="FJZ234" s="15"/>
      <c r="FKA234" s="15"/>
      <c r="FKB234" s="15"/>
      <c r="FKC234" s="15"/>
      <c r="FKD234" s="10"/>
      <c r="FKE234" s="10"/>
      <c r="FKF234" s="21"/>
      <c r="FKG234" s="21"/>
      <c r="FKJ234" s="21"/>
      <c r="FKK234" s="15"/>
      <c r="FKL234" s="15"/>
      <c r="FKM234" s="15"/>
      <c r="FKN234" s="15"/>
      <c r="FKO234" s="15"/>
      <c r="FKP234" s="15"/>
      <c r="FKQ234" s="15"/>
      <c r="FKR234" s="15"/>
      <c r="FKS234" s="15"/>
      <c r="FKT234" s="15"/>
      <c r="FKU234" s="10"/>
      <c r="FKV234" s="10"/>
      <c r="FKW234" s="21"/>
      <c r="FKX234" s="21"/>
      <c r="FLA234" s="21"/>
      <c r="FLB234" s="15"/>
      <c r="FLC234" s="15"/>
      <c r="FLD234" s="15"/>
      <c r="FLE234" s="15"/>
      <c r="FLF234" s="15"/>
      <c r="FLG234" s="15"/>
      <c r="FLH234" s="15"/>
      <c r="FLI234" s="15"/>
      <c r="FLJ234" s="15"/>
      <c r="FLK234" s="15"/>
      <c r="FLL234" s="10"/>
      <c r="FLM234" s="10"/>
      <c r="FLN234" s="21"/>
      <c r="FLO234" s="21"/>
      <c r="FLR234" s="21"/>
      <c r="FLS234" s="15"/>
      <c r="FLT234" s="15"/>
      <c r="FLU234" s="15"/>
      <c r="FLV234" s="15"/>
      <c r="FLW234" s="15"/>
      <c r="FLX234" s="15"/>
      <c r="FLY234" s="15"/>
      <c r="FLZ234" s="15"/>
      <c r="FMA234" s="15"/>
      <c r="FMB234" s="15"/>
      <c r="FMC234" s="10"/>
      <c r="FMD234" s="10"/>
      <c r="FME234" s="21"/>
      <c r="FMF234" s="21"/>
      <c r="FMI234" s="21"/>
      <c r="FMJ234" s="15"/>
      <c r="FMK234" s="15"/>
      <c r="FML234" s="15"/>
      <c r="FMM234" s="15"/>
      <c r="FMN234" s="15"/>
      <c r="FMO234" s="15"/>
      <c r="FMP234" s="15"/>
      <c r="FMQ234" s="15"/>
      <c r="FMR234" s="15"/>
      <c r="FMS234" s="15"/>
      <c r="FMT234" s="10"/>
      <c r="FMU234" s="10"/>
      <c r="FMV234" s="21"/>
      <c r="FMW234" s="21"/>
      <c r="FMZ234" s="21"/>
      <c r="FNA234" s="15"/>
      <c r="FNB234" s="15"/>
      <c r="FNC234" s="15"/>
      <c r="FND234" s="15"/>
      <c r="FNE234" s="15"/>
      <c r="FNF234" s="15"/>
      <c r="FNG234" s="15"/>
      <c r="FNH234" s="15"/>
      <c r="FNI234" s="15"/>
      <c r="FNJ234" s="15"/>
      <c r="FNK234" s="10"/>
      <c r="FNL234" s="10"/>
      <c r="FNM234" s="21"/>
      <c r="FNN234" s="21"/>
      <c r="FNQ234" s="21"/>
      <c r="FNR234" s="15"/>
      <c r="FNS234" s="15"/>
      <c r="FNT234" s="15"/>
      <c r="FNU234" s="15"/>
      <c r="FNV234" s="15"/>
      <c r="FNW234" s="15"/>
      <c r="FNX234" s="15"/>
      <c r="FNY234" s="15"/>
      <c r="FNZ234" s="15"/>
      <c r="FOA234" s="15"/>
      <c r="FOB234" s="10"/>
      <c r="FOC234" s="10"/>
      <c r="FOD234" s="21"/>
      <c r="FOE234" s="21"/>
      <c r="FOH234" s="21"/>
      <c r="FOI234" s="15"/>
      <c r="FOJ234" s="15"/>
      <c r="FOK234" s="15"/>
      <c r="FOL234" s="15"/>
      <c r="FOM234" s="15"/>
      <c r="FON234" s="15"/>
      <c r="FOO234" s="15"/>
      <c r="FOP234" s="15"/>
      <c r="FOQ234" s="15"/>
      <c r="FOR234" s="15"/>
      <c r="FOS234" s="10"/>
      <c r="FOT234" s="10"/>
      <c r="FOU234" s="21"/>
      <c r="FOV234" s="21"/>
      <c r="FOY234" s="21"/>
      <c r="FOZ234" s="15"/>
      <c r="FPA234" s="15"/>
      <c r="FPB234" s="15"/>
      <c r="FPC234" s="15"/>
      <c r="FPD234" s="15"/>
      <c r="FPE234" s="15"/>
      <c r="FPF234" s="15"/>
      <c r="FPG234" s="15"/>
      <c r="FPH234" s="15"/>
      <c r="FPI234" s="15"/>
      <c r="FPJ234" s="10"/>
      <c r="FPK234" s="10"/>
      <c r="FPL234" s="21"/>
      <c r="FPM234" s="21"/>
      <c r="FPP234" s="21"/>
      <c r="FPQ234" s="15"/>
      <c r="FPR234" s="15"/>
      <c r="FPS234" s="15"/>
      <c r="FPT234" s="15"/>
      <c r="FPU234" s="15"/>
      <c r="FPV234" s="15"/>
      <c r="FPW234" s="15"/>
      <c r="FPX234" s="15"/>
      <c r="FPY234" s="15"/>
      <c r="FPZ234" s="15"/>
      <c r="FQA234" s="10"/>
      <c r="FQB234" s="10"/>
      <c r="FQC234" s="21"/>
      <c r="FQD234" s="21"/>
      <c r="FQG234" s="21"/>
      <c r="FQH234" s="15"/>
      <c r="FQI234" s="15"/>
      <c r="FQJ234" s="15"/>
      <c r="FQK234" s="15"/>
      <c r="FQL234" s="15"/>
      <c r="FQM234" s="15"/>
      <c r="FQN234" s="15"/>
      <c r="FQO234" s="15"/>
      <c r="FQP234" s="15"/>
      <c r="FQQ234" s="15"/>
      <c r="FQR234" s="10"/>
      <c r="FQS234" s="10"/>
      <c r="FQT234" s="21"/>
      <c r="FQU234" s="21"/>
      <c r="FQX234" s="21"/>
      <c r="FQY234" s="15"/>
      <c r="FQZ234" s="15"/>
      <c r="FRA234" s="15"/>
      <c r="FRB234" s="15"/>
      <c r="FRC234" s="15"/>
      <c r="FRD234" s="15"/>
      <c r="FRE234" s="15"/>
      <c r="FRF234" s="15"/>
      <c r="FRG234" s="15"/>
      <c r="FRH234" s="15"/>
      <c r="FRI234" s="10"/>
      <c r="FRJ234" s="10"/>
      <c r="FRK234" s="21"/>
      <c r="FRL234" s="21"/>
      <c r="FRO234" s="21"/>
      <c r="FRP234" s="15"/>
      <c r="FRQ234" s="15"/>
      <c r="FRR234" s="15"/>
      <c r="FRS234" s="15"/>
      <c r="FRT234" s="15"/>
      <c r="FRU234" s="15"/>
      <c r="FRV234" s="15"/>
      <c r="FRW234" s="15"/>
      <c r="FRX234" s="15"/>
      <c r="FRY234" s="15"/>
      <c r="FRZ234" s="10"/>
      <c r="FSA234" s="10"/>
      <c r="FSB234" s="21"/>
      <c r="FSC234" s="21"/>
      <c r="FSF234" s="21"/>
      <c r="FSG234" s="15"/>
      <c r="FSH234" s="15"/>
      <c r="FSI234" s="15"/>
      <c r="FSJ234" s="15"/>
      <c r="FSK234" s="15"/>
      <c r="FSL234" s="15"/>
      <c r="FSM234" s="15"/>
      <c r="FSN234" s="15"/>
      <c r="FSO234" s="15"/>
      <c r="FSP234" s="15"/>
      <c r="FSQ234" s="10"/>
      <c r="FSR234" s="10"/>
      <c r="FSS234" s="21"/>
      <c r="FST234" s="21"/>
      <c r="FSW234" s="21"/>
      <c r="FSX234" s="15"/>
      <c r="FSY234" s="15"/>
      <c r="FSZ234" s="15"/>
      <c r="FTA234" s="15"/>
      <c r="FTB234" s="15"/>
      <c r="FTC234" s="15"/>
      <c r="FTD234" s="15"/>
      <c r="FTE234" s="15"/>
      <c r="FTF234" s="15"/>
      <c r="FTG234" s="15"/>
      <c r="FTH234" s="10"/>
      <c r="FTI234" s="10"/>
      <c r="FTJ234" s="21"/>
      <c r="FTK234" s="21"/>
      <c r="FTN234" s="21"/>
      <c r="FTO234" s="15"/>
      <c r="FTP234" s="15"/>
      <c r="FTQ234" s="15"/>
      <c r="FTR234" s="15"/>
      <c r="FTS234" s="15"/>
      <c r="FTT234" s="15"/>
      <c r="FTU234" s="15"/>
      <c r="FTV234" s="15"/>
      <c r="FTW234" s="15"/>
      <c r="FTX234" s="15"/>
      <c r="FTY234" s="10"/>
      <c r="FTZ234" s="10"/>
      <c r="FUA234" s="21"/>
      <c r="FUB234" s="21"/>
      <c r="FUE234" s="21"/>
      <c r="FUF234" s="15"/>
      <c r="FUG234" s="15"/>
      <c r="FUH234" s="15"/>
      <c r="FUI234" s="15"/>
      <c r="FUJ234" s="15"/>
      <c r="FUK234" s="15"/>
      <c r="FUL234" s="15"/>
      <c r="FUM234" s="15"/>
      <c r="FUN234" s="15"/>
      <c r="FUO234" s="15"/>
      <c r="FUP234" s="10"/>
      <c r="FUQ234" s="10"/>
      <c r="FUR234" s="21"/>
      <c r="FUS234" s="21"/>
      <c r="FUV234" s="21"/>
      <c r="FUW234" s="15"/>
      <c r="FUX234" s="15"/>
      <c r="FUY234" s="15"/>
      <c r="FUZ234" s="15"/>
      <c r="FVA234" s="15"/>
      <c r="FVB234" s="15"/>
      <c r="FVC234" s="15"/>
      <c r="FVD234" s="15"/>
      <c r="FVE234" s="15"/>
      <c r="FVF234" s="15"/>
      <c r="FVG234" s="10"/>
      <c r="FVH234" s="10"/>
      <c r="FVI234" s="21"/>
      <c r="FVJ234" s="21"/>
      <c r="FVM234" s="21"/>
      <c r="FVN234" s="15"/>
      <c r="FVO234" s="15"/>
      <c r="FVP234" s="15"/>
      <c r="FVQ234" s="15"/>
      <c r="FVR234" s="15"/>
      <c r="FVS234" s="15"/>
      <c r="FVT234" s="15"/>
      <c r="FVU234" s="15"/>
      <c r="FVV234" s="15"/>
      <c r="FVW234" s="15"/>
      <c r="FVX234" s="10"/>
      <c r="FVY234" s="10"/>
      <c r="FVZ234" s="21"/>
      <c r="FWA234" s="21"/>
      <c r="FWD234" s="21"/>
      <c r="FWE234" s="15"/>
      <c r="FWF234" s="15"/>
      <c r="FWG234" s="15"/>
      <c r="FWH234" s="15"/>
      <c r="FWI234" s="15"/>
      <c r="FWJ234" s="15"/>
      <c r="FWK234" s="15"/>
      <c r="FWL234" s="15"/>
      <c r="FWM234" s="15"/>
      <c r="FWN234" s="15"/>
      <c r="FWO234" s="10"/>
      <c r="FWP234" s="10"/>
      <c r="FWQ234" s="21"/>
      <c r="FWR234" s="21"/>
      <c r="FWU234" s="21"/>
      <c r="FWV234" s="15"/>
      <c r="FWW234" s="15"/>
      <c r="FWX234" s="15"/>
      <c r="FWY234" s="15"/>
      <c r="FWZ234" s="15"/>
      <c r="FXA234" s="15"/>
      <c r="FXB234" s="15"/>
      <c r="FXC234" s="15"/>
      <c r="FXD234" s="15"/>
      <c r="FXE234" s="15"/>
      <c r="FXF234" s="10"/>
      <c r="FXG234" s="10"/>
      <c r="FXH234" s="21"/>
      <c r="FXI234" s="21"/>
      <c r="FXL234" s="21"/>
      <c r="FXM234" s="15"/>
      <c r="FXN234" s="15"/>
      <c r="FXO234" s="15"/>
      <c r="FXP234" s="15"/>
      <c r="FXQ234" s="15"/>
      <c r="FXR234" s="15"/>
      <c r="FXS234" s="15"/>
      <c r="FXT234" s="15"/>
      <c r="FXU234" s="15"/>
      <c r="FXV234" s="15"/>
      <c r="FXW234" s="10"/>
      <c r="FXX234" s="10"/>
      <c r="FXY234" s="21"/>
      <c r="FXZ234" s="21"/>
      <c r="FYC234" s="21"/>
      <c r="FYD234" s="15"/>
      <c r="FYE234" s="15"/>
      <c r="FYF234" s="15"/>
      <c r="FYG234" s="15"/>
      <c r="FYH234" s="15"/>
      <c r="FYI234" s="15"/>
      <c r="FYJ234" s="15"/>
      <c r="FYK234" s="15"/>
      <c r="FYL234" s="15"/>
      <c r="FYM234" s="15"/>
      <c r="FYN234" s="10"/>
      <c r="FYO234" s="10"/>
      <c r="FYP234" s="21"/>
      <c r="FYQ234" s="21"/>
      <c r="FYT234" s="21"/>
      <c r="FYU234" s="15"/>
      <c r="FYV234" s="15"/>
      <c r="FYW234" s="15"/>
      <c r="FYX234" s="15"/>
      <c r="FYY234" s="15"/>
      <c r="FYZ234" s="15"/>
      <c r="FZA234" s="15"/>
      <c r="FZB234" s="15"/>
      <c r="FZC234" s="15"/>
      <c r="FZD234" s="15"/>
      <c r="FZE234" s="10"/>
      <c r="FZF234" s="10"/>
      <c r="FZG234" s="21"/>
      <c r="FZH234" s="21"/>
      <c r="FZK234" s="21"/>
      <c r="FZL234" s="15"/>
      <c r="FZM234" s="15"/>
      <c r="FZN234" s="15"/>
      <c r="FZO234" s="15"/>
      <c r="FZP234" s="15"/>
      <c r="FZQ234" s="15"/>
      <c r="FZR234" s="15"/>
      <c r="FZS234" s="15"/>
      <c r="FZT234" s="15"/>
      <c r="FZU234" s="15"/>
      <c r="FZV234" s="10"/>
      <c r="FZW234" s="10"/>
      <c r="FZX234" s="21"/>
      <c r="FZY234" s="21"/>
      <c r="GAB234" s="21"/>
      <c r="GAC234" s="15"/>
      <c r="GAD234" s="15"/>
      <c r="GAE234" s="15"/>
      <c r="GAF234" s="15"/>
      <c r="GAG234" s="15"/>
      <c r="GAH234" s="15"/>
      <c r="GAI234" s="15"/>
      <c r="GAJ234" s="15"/>
      <c r="GAK234" s="15"/>
      <c r="GAL234" s="15"/>
      <c r="GAM234" s="10"/>
      <c r="GAN234" s="10"/>
      <c r="GAO234" s="21"/>
      <c r="GAP234" s="21"/>
      <c r="GAS234" s="21"/>
      <c r="GAT234" s="15"/>
      <c r="GAU234" s="15"/>
      <c r="GAV234" s="15"/>
      <c r="GAW234" s="15"/>
      <c r="GAX234" s="15"/>
      <c r="GAY234" s="15"/>
      <c r="GAZ234" s="15"/>
      <c r="GBA234" s="15"/>
      <c r="GBB234" s="15"/>
      <c r="GBC234" s="15"/>
      <c r="GBD234" s="10"/>
      <c r="GBE234" s="10"/>
      <c r="GBF234" s="21"/>
      <c r="GBG234" s="21"/>
      <c r="GBJ234" s="21"/>
      <c r="GBK234" s="15"/>
      <c r="GBL234" s="15"/>
      <c r="GBM234" s="15"/>
      <c r="GBN234" s="15"/>
      <c r="GBO234" s="15"/>
      <c r="GBP234" s="15"/>
      <c r="GBQ234" s="15"/>
      <c r="GBR234" s="15"/>
      <c r="GBS234" s="15"/>
      <c r="GBT234" s="15"/>
      <c r="GBU234" s="10"/>
      <c r="GBV234" s="10"/>
      <c r="GBW234" s="21"/>
      <c r="GBX234" s="21"/>
      <c r="GCA234" s="21"/>
      <c r="GCB234" s="15"/>
      <c r="GCC234" s="15"/>
      <c r="GCD234" s="15"/>
      <c r="GCE234" s="15"/>
      <c r="GCF234" s="15"/>
      <c r="GCG234" s="15"/>
      <c r="GCH234" s="15"/>
      <c r="GCI234" s="15"/>
      <c r="GCJ234" s="15"/>
      <c r="GCK234" s="15"/>
      <c r="GCL234" s="10"/>
      <c r="GCM234" s="10"/>
      <c r="GCN234" s="21"/>
      <c r="GCO234" s="21"/>
      <c r="GCR234" s="21"/>
      <c r="GCS234" s="15"/>
      <c r="GCT234" s="15"/>
      <c r="GCU234" s="15"/>
      <c r="GCV234" s="15"/>
      <c r="GCW234" s="15"/>
      <c r="GCX234" s="15"/>
      <c r="GCY234" s="15"/>
      <c r="GCZ234" s="15"/>
      <c r="GDA234" s="15"/>
      <c r="GDB234" s="15"/>
      <c r="GDC234" s="10"/>
      <c r="GDD234" s="10"/>
      <c r="GDE234" s="21"/>
      <c r="GDF234" s="21"/>
      <c r="GDI234" s="21"/>
      <c r="GDJ234" s="15"/>
      <c r="GDK234" s="15"/>
      <c r="GDL234" s="15"/>
      <c r="GDM234" s="15"/>
      <c r="GDN234" s="15"/>
      <c r="GDO234" s="15"/>
      <c r="GDP234" s="15"/>
      <c r="GDQ234" s="15"/>
      <c r="GDR234" s="15"/>
      <c r="GDS234" s="15"/>
      <c r="GDT234" s="10"/>
      <c r="GDU234" s="10"/>
      <c r="GDV234" s="21"/>
      <c r="GDW234" s="21"/>
      <c r="GDZ234" s="21"/>
      <c r="GEA234" s="15"/>
      <c r="GEB234" s="15"/>
      <c r="GEC234" s="15"/>
      <c r="GED234" s="15"/>
      <c r="GEE234" s="15"/>
      <c r="GEF234" s="15"/>
      <c r="GEG234" s="15"/>
      <c r="GEH234" s="15"/>
      <c r="GEI234" s="15"/>
      <c r="GEJ234" s="15"/>
      <c r="GEK234" s="10"/>
      <c r="GEL234" s="10"/>
      <c r="GEM234" s="21"/>
      <c r="GEN234" s="21"/>
      <c r="GEQ234" s="21"/>
      <c r="GER234" s="15"/>
      <c r="GES234" s="15"/>
      <c r="GET234" s="15"/>
      <c r="GEU234" s="15"/>
      <c r="GEV234" s="15"/>
      <c r="GEW234" s="15"/>
      <c r="GEX234" s="15"/>
      <c r="GEY234" s="15"/>
      <c r="GEZ234" s="15"/>
      <c r="GFA234" s="15"/>
      <c r="GFB234" s="10"/>
      <c r="GFC234" s="10"/>
      <c r="GFD234" s="21"/>
      <c r="GFE234" s="21"/>
      <c r="GFH234" s="21"/>
      <c r="GFI234" s="15"/>
      <c r="GFJ234" s="15"/>
      <c r="GFK234" s="15"/>
      <c r="GFL234" s="15"/>
      <c r="GFM234" s="15"/>
      <c r="GFN234" s="15"/>
      <c r="GFO234" s="15"/>
      <c r="GFP234" s="15"/>
      <c r="GFQ234" s="15"/>
      <c r="GFR234" s="15"/>
      <c r="GFS234" s="10"/>
      <c r="GFT234" s="10"/>
      <c r="GFU234" s="21"/>
      <c r="GFV234" s="21"/>
      <c r="GFY234" s="21"/>
      <c r="GFZ234" s="15"/>
      <c r="GGA234" s="15"/>
      <c r="GGB234" s="15"/>
      <c r="GGC234" s="15"/>
      <c r="GGD234" s="15"/>
      <c r="GGE234" s="15"/>
      <c r="GGF234" s="15"/>
      <c r="GGG234" s="15"/>
      <c r="GGH234" s="15"/>
      <c r="GGI234" s="15"/>
      <c r="GGJ234" s="10"/>
      <c r="GGK234" s="10"/>
      <c r="GGL234" s="21"/>
      <c r="GGM234" s="21"/>
      <c r="GGP234" s="21"/>
      <c r="GGQ234" s="15"/>
      <c r="GGR234" s="15"/>
      <c r="GGS234" s="15"/>
      <c r="GGT234" s="15"/>
      <c r="GGU234" s="15"/>
      <c r="GGV234" s="15"/>
      <c r="GGW234" s="15"/>
      <c r="GGX234" s="15"/>
      <c r="GGY234" s="15"/>
      <c r="GGZ234" s="15"/>
      <c r="GHA234" s="10"/>
      <c r="GHB234" s="10"/>
      <c r="GHC234" s="21"/>
      <c r="GHD234" s="21"/>
      <c r="GHG234" s="21"/>
      <c r="GHH234" s="15"/>
      <c r="GHI234" s="15"/>
      <c r="GHJ234" s="15"/>
      <c r="GHK234" s="15"/>
      <c r="GHL234" s="15"/>
      <c r="GHM234" s="15"/>
      <c r="GHN234" s="15"/>
      <c r="GHO234" s="15"/>
      <c r="GHP234" s="15"/>
      <c r="GHQ234" s="15"/>
      <c r="GHR234" s="10"/>
      <c r="GHS234" s="10"/>
      <c r="GHT234" s="21"/>
      <c r="GHU234" s="21"/>
      <c r="GHX234" s="21"/>
      <c r="GHY234" s="15"/>
      <c r="GHZ234" s="15"/>
      <c r="GIA234" s="15"/>
      <c r="GIB234" s="15"/>
      <c r="GIC234" s="15"/>
      <c r="GID234" s="15"/>
      <c r="GIE234" s="15"/>
      <c r="GIF234" s="15"/>
      <c r="GIG234" s="15"/>
      <c r="GIH234" s="15"/>
      <c r="GII234" s="10"/>
      <c r="GIJ234" s="10"/>
      <c r="GIK234" s="21"/>
      <c r="GIL234" s="21"/>
      <c r="GIO234" s="21"/>
      <c r="GIP234" s="15"/>
      <c r="GIQ234" s="15"/>
      <c r="GIR234" s="15"/>
      <c r="GIS234" s="15"/>
      <c r="GIT234" s="15"/>
      <c r="GIU234" s="15"/>
      <c r="GIV234" s="15"/>
      <c r="GIW234" s="15"/>
      <c r="GIX234" s="15"/>
      <c r="GIY234" s="15"/>
      <c r="GIZ234" s="10"/>
      <c r="GJA234" s="10"/>
      <c r="GJB234" s="21"/>
      <c r="GJC234" s="21"/>
      <c r="GJF234" s="21"/>
      <c r="GJG234" s="15"/>
      <c r="GJH234" s="15"/>
      <c r="GJI234" s="15"/>
      <c r="GJJ234" s="15"/>
      <c r="GJK234" s="15"/>
      <c r="GJL234" s="15"/>
      <c r="GJM234" s="15"/>
      <c r="GJN234" s="15"/>
      <c r="GJO234" s="15"/>
      <c r="GJP234" s="15"/>
      <c r="GJQ234" s="10"/>
      <c r="GJR234" s="10"/>
      <c r="GJS234" s="21"/>
      <c r="GJT234" s="21"/>
      <c r="GJW234" s="21"/>
      <c r="GJX234" s="15"/>
      <c r="GJY234" s="15"/>
      <c r="GJZ234" s="15"/>
      <c r="GKA234" s="15"/>
      <c r="GKB234" s="15"/>
      <c r="GKC234" s="15"/>
      <c r="GKD234" s="15"/>
      <c r="GKE234" s="15"/>
      <c r="GKF234" s="15"/>
      <c r="GKG234" s="15"/>
      <c r="GKH234" s="10"/>
      <c r="GKI234" s="10"/>
      <c r="GKJ234" s="21"/>
      <c r="GKK234" s="21"/>
      <c r="GKN234" s="21"/>
      <c r="GKO234" s="15"/>
      <c r="GKP234" s="15"/>
      <c r="GKQ234" s="15"/>
      <c r="GKR234" s="15"/>
      <c r="GKS234" s="15"/>
      <c r="GKT234" s="15"/>
      <c r="GKU234" s="15"/>
      <c r="GKV234" s="15"/>
      <c r="GKW234" s="15"/>
      <c r="GKX234" s="15"/>
      <c r="GKY234" s="10"/>
      <c r="GKZ234" s="10"/>
      <c r="GLA234" s="21"/>
      <c r="GLB234" s="21"/>
      <c r="GLE234" s="21"/>
      <c r="GLF234" s="15"/>
      <c r="GLG234" s="15"/>
      <c r="GLH234" s="15"/>
      <c r="GLI234" s="15"/>
      <c r="GLJ234" s="15"/>
      <c r="GLK234" s="15"/>
      <c r="GLL234" s="15"/>
      <c r="GLM234" s="15"/>
      <c r="GLN234" s="15"/>
      <c r="GLO234" s="15"/>
      <c r="GLP234" s="10"/>
      <c r="GLQ234" s="10"/>
      <c r="GLR234" s="21"/>
      <c r="GLS234" s="21"/>
      <c r="GLV234" s="21"/>
      <c r="GLW234" s="15"/>
      <c r="GLX234" s="15"/>
      <c r="GLY234" s="15"/>
      <c r="GLZ234" s="15"/>
      <c r="GMA234" s="15"/>
      <c r="GMB234" s="15"/>
      <c r="GMC234" s="15"/>
      <c r="GMD234" s="15"/>
      <c r="GME234" s="15"/>
      <c r="GMF234" s="15"/>
      <c r="GMG234" s="10"/>
      <c r="GMH234" s="10"/>
      <c r="GMI234" s="21"/>
      <c r="GMJ234" s="21"/>
      <c r="GMM234" s="21"/>
      <c r="GMN234" s="15"/>
      <c r="GMO234" s="15"/>
      <c r="GMP234" s="15"/>
      <c r="GMQ234" s="15"/>
      <c r="GMR234" s="15"/>
      <c r="GMS234" s="15"/>
      <c r="GMT234" s="15"/>
      <c r="GMU234" s="15"/>
      <c r="GMV234" s="15"/>
      <c r="GMW234" s="15"/>
      <c r="GMX234" s="10"/>
      <c r="GMY234" s="10"/>
      <c r="GMZ234" s="21"/>
      <c r="GNA234" s="21"/>
      <c r="GND234" s="21"/>
      <c r="GNE234" s="15"/>
      <c r="GNF234" s="15"/>
      <c r="GNG234" s="15"/>
      <c r="GNH234" s="15"/>
      <c r="GNI234" s="15"/>
      <c r="GNJ234" s="15"/>
      <c r="GNK234" s="15"/>
      <c r="GNL234" s="15"/>
      <c r="GNM234" s="15"/>
      <c r="GNN234" s="15"/>
      <c r="GNO234" s="10"/>
      <c r="GNP234" s="10"/>
      <c r="GNQ234" s="21"/>
      <c r="GNR234" s="21"/>
      <c r="GNU234" s="21"/>
      <c r="GNV234" s="15"/>
      <c r="GNW234" s="15"/>
      <c r="GNX234" s="15"/>
      <c r="GNY234" s="15"/>
      <c r="GNZ234" s="15"/>
      <c r="GOA234" s="15"/>
      <c r="GOB234" s="15"/>
      <c r="GOC234" s="15"/>
      <c r="GOD234" s="15"/>
      <c r="GOE234" s="15"/>
      <c r="GOF234" s="10"/>
      <c r="GOG234" s="10"/>
      <c r="GOH234" s="21"/>
      <c r="GOI234" s="21"/>
      <c r="GOL234" s="21"/>
      <c r="GOM234" s="15"/>
      <c r="GON234" s="15"/>
      <c r="GOO234" s="15"/>
      <c r="GOP234" s="15"/>
      <c r="GOQ234" s="15"/>
      <c r="GOR234" s="15"/>
      <c r="GOS234" s="15"/>
      <c r="GOT234" s="15"/>
      <c r="GOU234" s="15"/>
      <c r="GOV234" s="15"/>
      <c r="GOW234" s="10"/>
      <c r="GOX234" s="10"/>
      <c r="GOY234" s="21"/>
      <c r="GOZ234" s="21"/>
      <c r="GPC234" s="21"/>
      <c r="GPD234" s="15"/>
      <c r="GPE234" s="15"/>
      <c r="GPF234" s="15"/>
      <c r="GPG234" s="15"/>
      <c r="GPH234" s="15"/>
      <c r="GPI234" s="15"/>
      <c r="GPJ234" s="15"/>
      <c r="GPK234" s="15"/>
      <c r="GPL234" s="15"/>
      <c r="GPM234" s="15"/>
      <c r="GPN234" s="10"/>
      <c r="GPO234" s="10"/>
      <c r="GPP234" s="21"/>
      <c r="GPQ234" s="21"/>
      <c r="GPT234" s="21"/>
      <c r="GPU234" s="15"/>
      <c r="GPV234" s="15"/>
      <c r="GPW234" s="15"/>
      <c r="GPX234" s="15"/>
      <c r="GPY234" s="15"/>
      <c r="GPZ234" s="15"/>
      <c r="GQA234" s="15"/>
      <c r="GQB234" s="15"/>
      <c r="GQC234" s="15"/>
      <c r="GQD234" s="15"/>
      <c r="GQE234" s="10"/>
      <c r="GQF234" s="10"/>
      <c r="GQG234" s="21"/>
      <c r="GQH234" s="21"/>
      <c r="GQK234" s="21"/>
      <c r="GQL234" s="15"/>
      <c r="GQM234" s="15"/>
      <c r="GQN234" s="15"/>
      <c r="GQO234" s="15"/>
      <c r="GQP234" s="15"/>
      <c r="GQQ234" s="15"/>
      <c r="GQR234" s="15"/>
      <c r="GQS234" s="15"/>
      <c r="GQT234" s="15"/>
      <c r="GQU234" s="15"/>
      <c r="GQV234" s="10"/>
      <c r="GQW234" s="10"/>
      <c r="GQX234" s="21"/>
      <c r="GQY234" s="21"/>
      <c r="GRB234" s="21"/>
      <c r="GRC234" s="15"/>
      <c r="GRD234" s="15"/>
      <c r="GRE234" s="15"/>
      <c r="GRF234" s="15"/>
      <c r="GRG234" s="15"/>
      <c r="GRH234" s="15"/>
      <c r="GRI234" s="15"/>
      <c r="GRJ234" s="15"/>
      <c r="GRK234" s="15"/>
      <c r="GRL234" s="15"/>
      <c r="GRM234" s="10"/>
      <c r="GRN234" s="10"/>
      <c r="GRO234" s="21"/>
      <c r="GRP234" s="21"/>
      <c r="GRS234" s="21"/>
      <c r="GRT234" s="15"/>
      <c r="GRU234" s="15"/>
      <c r="GRV234" s="15"/>
      <c r="GRW234" s="15"/>
      <c r="GRX234" s="15"/>
      <c r="GRY234" s="15"/>
      <c r="GRZ234" s="15"/>
      <c r="GSA234" s="15"/>
      <c r="GSB234" s="15"/>
      <c r="GSC234" s="15"/>
      <c r="GSD234" s="10"/>
      <c r="GSE234" s="10"/>
      <c r="GSF234" s="21"/>
      <c r="GSG234" s="21"/>
      <c r="GSJ234" s="21"/>
      <c r="GSK234" s="15"/>
      <c r="GSL234" s="15"/>
      <c r="GSM234" s="15"/>
      <c r="GSN234" s="15"/>
      <c r="GSO234" s="15"/>
      <c r="GSP234" s="15"/>
      <c r="GSQ234" s="15"/>
      <c r="GSR234" s="15"/>
      <c r="GSS234" s="15"/>
      <c r="GST234" s="15"/>
      <c r="GSU234" s="10"/>
      <c r="GSV234" s="10"/>
      <c r="GSW234" s="21"/>
      <c r="GSX234" s="21"/>
      <c r="GTA234" s="21"/>
      <c r="GTB234" s="15"/>
      <c r="GTC234" s="15"/>
      <c r="GTD234" s="15"/>
      <c r="GTE234" s="15"/>
      <c r="GTF234" s="15"/>
      <c r="GTG234" s="15"/>
      <c r="GTH234" s="15"/>
      <c r="GTI234" s="15"/>
      <c r="GTJ234" s="15"/>
      <c r="GTK234" s="15"/>
      <c r="GTL234" s="10"/>
      <c r="GTM234" s="10"/>
      <c r="GTN234" s="21"/>
      <c r="GTO234" s="21"/>
      <c r="GTR234" s="21"/>
      <c r="GTS234" s="15"/>
      <c r="GTT234" s="15"/>
      <c r="GTU234" s="15"/>
      <c r="GTV234" s="15"/>
      <c r="GTW234" s="15"/>
      <c r="GTX234" s="15"/>
      <c r="GTY234" s="15"/>
      <c r="GTZ234" s="15"/>
      <c r="GUA234" s="15"/>
      <c r="GUB234" s="15"/>
      <c r="GUC234" s="10"/>
      <c r="GUD234" s="10"/>
      <c r="GUE234" s="21"/>
      <c r="GUF234" s="21"/>
      <c r="GUI234" s="21"/>
      <c r="GUJ234" s="15"/>
      <c r="GUK234" s="15"/>
      <c r="GUL234" s="15"/>
      <c r="GUM234" s="15"/>
      <c r="GUN234" s="15"/>
      <c r="GUO234" s="15"/>
      <c r="GUP234" s="15"/>
      <c r="GUQ234" s="15"/>
      <c r="GUR234" s="15"/>
      <c r="GUS234" s="15"/>
      <c r="GUT234" s="10"/>
      <c r="GUU234" s="10"/>
      <c r="GUV234" s="21"/>
      <c r="GUW234" s="21"/>
      <c r="GUZ234" s="21"/>
      <c r="GVA234" s="15"/>
      <c r="GVB234" s="15"/>
      <c r="GVC234" s="15"/>
      <c r="GVD234" s="15"/>
      <c r="GVE234" s="15"/>
      <c r="GVF234" s="15"/>
      <c r="GVG234" s="15"/>
      <c r="GVH234" s="15"/>
      <c r="GVI234" s="15"/>
      <c r="GVJ234" s="15"/>
      <c r="GVK234" s="10"/>
      <c r="GVL234" s="10"/>
      <c r="GVM234" s="21"/>
      <c r="GVN234" s="21"/>
      <c r="GVQ234" s="21"/>
      <c r="GVR234" s="15"/>
      <c r="GVS234" s="15"/>
      <c r="GVT234" s="15"/>
      <c r="GVU234" s="15"/>
      <c r="GVV234" s="15"/>
      <c r="GVW234" s="15"/>
      <c r="GVX234" s="15"/>
      <c r="GVY234" s="15"/>
      <c r="GVZ234" s="15"/>
      <c r="GWA234" s="15"/>
      <c r="GWB234" s="10"/>
      <c r="GWC234" s="10"/>
      <c r="GWD234" s="21"/>
      <c r="GWE234" s="21"/>
      <c r="GWH234" s="21"/>
      <c r="GWI234" s="15"/>
      <c r="GWJ234" s="15"/>
      <c r="GWK234" s="15"/>
      <c r="GWL234" s="15"/>
      <c r="GWM234" s="15"/>
      <c r="GWN234" s="15"/>
      <c r="GWO234" s="15"/>
      <c r="GWP234" s="15"/>
      <c r="GWQ234" s="15"/>
      <c r="GWR234" s="15"/>
      <c r="GWS234" s="10"/>
      <c r="GWT234" s="10"/>
      <c r="GWU234" s="21"/>
      <c r="GWV234" s="21"/>
      <c r="GWY234" s="21"/>
      <c r="GWZ234" s="15"/>
      <c r="GXA234" s="15"/>
      <c r="GXB234" s="15"/>
      <c r="GXC234" s="15"/>
      <c r="GXD234" s="15"/>
      <c r="GXE234" s="15"/>
      <c r="GXF234" s="15"/>
      <c r="GXG234" s="15"/>
      <c r="GXH234" s="15"/>
      <c r="GXI234" s="15"/>
      <c r="GXJ234" s="10"/>
      <c r="GXK234" s="10"/>
      <c r="GXL234" s="21"/>
      <c r="GXM234" s="21"/>
      <c r="GXP234" s="21"/>
      <c r="GXQ234" s="15"/>
      <c r="GXR234" s="15"/>
      <c r="GXS234" s="15"/>
      <c r="GXT234" s="15"/>
      <c r="GXU234" s="15"/>
      <c r="GXV234" s="15"/>
      <c r="GXW234" s="15"/>
      <c r="GXX234" s="15"/>
      <c r="GXY234" s="15"/>
      <c r="GXZ234" s="15"/>
      <c r="GYA234" s="10"/>
      <c r="GYB234" s="10"/>
      <c r="GYC234" s="21"/>
      <c r="GYD234" s="21"/>
      <c r="GYG234" s="21"/>
      <c r="GYH234" s="15"/>
      <c r="GYI234" s="15"/>
      <c r="GYJ234" s="15"/>
      <c r="GYK234" s="15"/>
      <c r="GYL234" s="15"/>
      <c r="GYM234" s="15"/>
      <c r="GYN234" s="15"/>
      <c r="GYO234" s="15"/>
      <c r="GYP234" s="15"/>
      <c r="GYQ234" s="15"/>
      <c r="GYR234" s="10"/>
      <c r="GYS234" s="10"/>
      <c r="GYT234" s="21"/>
      <c r="GYU234" s="21"/>
      <c r="GYX234" s="21"/>
      <c r="GYY234" s="15"/>
      <c r="GYZ234" s="15"/>
      <c r="GZA234" s="15"/>
      <c r="GZB234" s="15"/>
      <c r="GZC234" s="15"/>
      <c r="GZD234" s="15"/>
      <c r="GZE234" s="15"/>
      <c r="GZF234" s="15"/>
      <c r="GZG234" s="15"/>
      <c r="GZH234" s="15"/>
      <c r="GZI234" s="10"/>
      <c r="GZJ234" s="10"/>
      <c r="GZK234" s="21"/>
      <c r="GZL234" s="21"/>
      <c r="GZO234" s="21"/>
      <c r="GZP234" s="15"/>
      <c r="GZQ234" s="15"/>
      <c r="GZR234" s="15"/>
      <c r="GZS234" s="15"/>
      <c r="GZT234" s="15"/>
      <c r="GZU234" s="15"/>
      <c r="GZV234" s="15"/>
      <c r="GZW234" s="15"/>
      <c r="GZX234" s="15"/>
      <c r="GZY234" s="15"/>
      <c r="GZZ234" s="10"/>
      <c r="HAA234" s="10"/>
      <c r="HAB234" s="21"/>
      <c r="HAC234" s="21"/>
      <c r="HAF234" s="21"/>
      <c r="HAG234" s="15"/>
      <c r="HAH234" s="15"/>
      <c r="HAI234" s="15"/>
      <c r="HAJ234" s="15"/>
      <c r="HAK234" s="15"/>
      <c r="HAL234" s="15"/>
      <c r="HAM234" s="15"/>
      <c r="HAN234" s="15"/>
      <c r="HAO234" s="15"/>
      <c r="HAP234" s="15"/>
      <c r="HAQ234" s="10"/>
      <c r="HAR234" s="10"/>
      <c r="HAS234" s="21"/>
      <c r="HAT234" s="21"/>
      <c r="HAW234" s="21"/>
      <c r="HAX234" s="15"/>
      <c r="HAY234" s="15"/>
      <c r="HAZ234" s="15"/>
      <c r="HBA234" s="15"/>
      <c r="HBB234" s="15"/>
      <c r="HBC234" s="15"/>
      <c r="HBD234" s="15"/>
      <c r="HBE234" s="15"/>
      <c r="HBF234" s="15"/>
      <c r="HBG234" s="15"/>
      <c r="HBH234" s="10"/>
      <c r="HBI234" s="10"/>
      <c r="HBJ234" s="21"/>
      <c r="HBK234" s="21"/>
      <c r="HBN234" s="21"/>
      <c r="HBO234" s="15"/>
      <c r="HBP234" s="15"/>
      <c r="HBQ234" s="15"/>
      <c r="HBR234" s="15"/>
      <c r="HBS234" s="15"/>
      <c r="HBT234" s="15"/>
      <c r="HBU234" s="15"/>
      <c r="HBV234" s="15"/>
      <c r="HBW234" s="15"/>
      <c r="HBX234" s="15"/>
      <c r="HBY234" s="10"/>
      <c r="HBZ234" s="10"/>
      <c r="HCA234" s="21"/>
      <c r="HCB234" s="21"/>
      <c r="HCE234" s="21"/>
      <c r="HCF234" s="15"/>
      <c r="HCG234" s="15"/>
      <c r="HCH234" s="15"/>
      <c r="HCI234" s="15"/>
      <c r="HCJ234" s="15"/>
      <c r="HCK234" s="15"/>
      <c r="HCL234" s="15"/>
      <c r="HCM234" s="15"/>
      <c r="HCN234" s="15"/>
      <c r="HCO234" s="15"/>
      <c r="HCP234" s="10"/>
      <c r="HCQ234" s="10"/>
      <c r="HCR234" s="21"/>
      <c r="HCS234" s="21"/>
      <c r="HCV234" s="21"/>
      <c r="HCW234" s="15"/>
      <c r="HCX234" s="15"/>
      <c r="HCY234" s="15"/>
      <c r="HCZ234" s="15"/>
      <c r="HDA234" s="15"/>
      <c r="HDB234" s="15"/>
      <c r="HDC234" s="15"/>
      <c r="HDD234" s="15"/>
      <c r="HDE234" s="15"/>
      <c r="HDF234" s="15"/>
      <c r="HDG234" s="10"/>
      <c r="HDH234" s="10"/>
      <c r="HDI234" s="21"/>
      <c r="HDJ234" s="21"/>
      <c r="HDM234" s="21"/>
      <c r="HDN234" s="15"/>
      <c r="HDO234" s="15"/>
      <c r="HDP234" s="15"/>
      <c r="HDQ234" s="15"/>
      <c r="HDR234" s="15"/>
      <c r="HDS234" s="15"/>
      <c r="HDT234" s="15"/>
      <c r="HDU234" s="15"/>
      <c r="HDV234" s="15"/>
      <c r="HDW234" s="15"/>
      <c r="HDX234" s="10"/>
      <c r="HDY234" s="10"/>
      <c r="HDZ234" s="21"/>
      <c r="HEA234" s="21"/>
      <c r="HED234" s="21"/>
      <c r="HEE234" s="15"/>
      <c r="HEF234" s="15"/>
      <c r="HEG234" s="15"/>
      <c r="HEH234" s="15"/>
      <c r="HEI234" s="15"/>
      <c r="HEJ234" s="15"/>
      <c r="HEK234" s="15"/>
      <c r="HEL234" s="15"/>
      <c r="HEM234" s="15"/>
      <c r="HEN234" s="15"/>
      <c r="HEO234" s="10"/>
      <c r="HEP234" s="10"/>
      <c r="HEQ234" s="21"/>
      <c r="HER234" s="21"/>
      <c r="HEU234" s="21"/>
      <c r="HEV234" s="15"/>
      <c r="HEW234" s="15"/>
      <c r="HEX234" s="15"/>
      <c r="HEY234" s="15"/>
      <c r="HEZ234" s="15"/>
      <c r="HFA234" s="15"/>
      <c r="HFB234" s="15"/>
      <c r="HFC234" s="15"/>
      <c r="HFD234" s="15"/>
      <c r="HFE234" s="15"/>
      <c r="HFF234" s="10"/>
      <c r="HFG234" s="10"/>
      <c r="HFH234" s="21"/>
      <c r="HFI234" s="21"/>
      <c r="HFL234" s="21"/>
      <c r="HFM234" s="15"/>
      <c r="HFN234" s="15"/>
      <c r="HFO234" s="15"/>
      <c r="HFP234" s="15"/>
      <c r="HFQ234" s="15"/>
      <c r="HFR234" s="15"/>
      <c r="HFS234" s="15"/>
      <c r="HFT234" s="15"/>
      <c r="HFU234" s="15"/>
      <c r="HFV234" s="15"/>
      <c r="HFW234" s="10"/>
      <c r="HFX234" s="10"/>
      <c r="HFY234" s="21"/>
      <c r="HFZ234" s="21"/>
      <c r="HGC234" s="21"/>
      <c r="HGD234" s="15"/>
      <c r="HGE234" s="15"/>
      <c r="HGF234" s="15"/>
      <c r="HGG234" s="15"/>
      <c r="HGH234" s="15"/>
      <c r="HGI234" s="15"/>
      <c r="HGJ234" s="15"/>
      <c r="HGK234" s="15"/>
      <c r="HGL234" s="15"/>
      <c r="HGM234" s="15"/>
      <c r="HGN234" s="10"/>
      <c r="HGO234" s="10"/>
      <c r="HGP234" s="21"/>
      <c r="HGQ234" s="21"/>
      <c r="HGT234" s="21"/>
      <c r="HGU234" s="15"/>
      <c r="HGV234" s="15"/>
      <c r="HGW234" s="15"/>
      <c r="HGX234" s="15"/>
      <c r="HGY234" s="15"/>
      <c r="HGZ234" s="15"/>
      <c r="HHA234" s="15"/>
      <c r="HHB234" s="15"/>
      <c r="HHC234" s="15"/>
      <c r="HHD234" s="15"/>
      <c r="HHE234" s="10"/>
      <c r="HHF234" s="10"/>
      <c r="HHG234" s="21"/>
      <c r="HHH234" s="21"/>
      <c r="HHK234" s="21"/>
      <c r="HHL234" s="15"/>
      <c r="HHM234" s="15"/>
      <c r="HHN234" s="15"/>
      <c r="HHO234" s="15"/>
      <c r="HHP234" s="15"/>
      <c r="HHQ234" s="15"/>
      <c r="HHR234" s="15"/>
      <c r="HHS234" s="15"/>
      <c r="HHT234" s="15"/>
      <c r="HHU234" s="15"/>
      <c r="HHV234" s="10"/>
      <c r="HHW234" s="10"/>
      <c r="HHX234" s="21"/>
      <c r="HHY234" s="21"/>
      <c r="HIB234" s="21"/>
      <c r="HIC234" s="15"/>
      <c r="HID234" s="15"/>
      <c r="HIE234" s="15"/>
      <c r="HIF234" s="15"/>
      <c r="HIG234" s="15"/>
      <c r="HIH234" s="15"/>
      <c r="HII234" s="15"/>
      <c r="HIJ234" s="15"/>
      <c r="HIK234" s="15"/>
      <c r="HIL234" s="15"/>
      <c r="HIM234" s="10"/>
      <c r="HIN234" s="10"/>
      <c r="HIO234" s="21"/>
      <c r="HIP234" s="21"/>
      <c r="HIS234" s="21"/>
      <c r="HIT234" s="15"/>
      <c r="HIU234" s="15"/>
      <c r="HIV234" s="15"/>
      <c r="HIW234" s="15"/>
      <c r="HIX234" s="15"/>
      <c r="HIY234" s="15"/>
      <c r="HIZ234" s="15"/>
      <c r="HJA234" s="15"/>
      <c r="HJB234" s="15"/>
      <c r="HJC234" s="15"/>
      <c r="HJD234" s="10"/>
      <c r="HJE234" s="10"/>
      <c r="HJF234" s="21"/>
      <c r="HJG234" s="21"/>
      <c r="HJJ234" s="21"/>
      <c r="HJK234" s="15"/>
      <c r="HJL234" s="15"/>
      <c r="HJM234" s="15"/>
      <c r="HJN234" s="15"/>
      <c r="HJO234" s="15"/>
      <c r="HJP234" s="15"/>
      <c r="HJQ234" s="15"/>
      <c r="HJR234" s="15"/>
      <c r="HJS234" s="15"/>
      <c r="HJT234" s="15"/>
      <c r="HJU234" s="10"/>
      <c r="HJV234" s="10"/>
      <c r="HJW234" s="21"/>
      <c r="HJX234" s="21"/>
      <c r="HKA234" s="21"/>
      <c r="HKB234" s="15"/>
      <c r="HKC234" s="15"/>
      <c r="HKD234" s="15"/>
      <c r="HKE234" s="15"/>
      <c r="HKF234" s="15"/>
      <c r="HKG234" s="15"/>
      <c r="HKH234" s="15"/>
      <c r="HKI234" s="15"/>
      <c r="HKJ234" s="15"/>
      <c r="HKK234" s="15"/>
      <c r="HKL234" s="10"/>
      <c r="HKM234" s="10"/>
      <c r="HKN234" s="21"/>
      <c r="HKO234" s="21"/>
      <c r="HKR234" s="21"/>
      <c r="HKS234" s="15"/>
      <c r="HKT234" s="15"/>
      <c r="HKU234" s="15"/>
      <c r="HKV234" s="15"/>
      <c r="HKW234" s="15"/>
      <c r="HKX234" s="15"/>
      <c r="HKY234" s="15"/>
      <c r="HKZ234" s="15"/>
      <c r="HLA234" s="15"/>
      <c r="HLB234" s="15"/>
      <c r="HLC234" s="10"/>
      <c r="HLD234" s="10"/>
      <c r="HLE234" s="21"/>
      <c r="HLF234" s="21"/>
      <c r="HLI234" s="21"/>
      <c r="HLJ234" s="15"/>
      <c r="HLK234" s="15"/>
      <c r="HLL234" s="15"/>
      <c r="HLM234" s="15"/>
      <c r="HLN234" s="15"/>
      <c r="HLO234" s="15"/>
      <c r="HLP234" s="15"/>
      <c r="HLQ234" s="15"/>
      <c r="HLR234" s="15"/>
      <c r="HLS234" s="15"/>
      <c r="HLT234" s="10"/>
      <c r="HLU234" s="10"/>
      <c r="HLV234" s="21"/>
      <c r="HLW234" s="21"/>
      <c r="HLZ234" s="21"/>
      <c r="HMA234" s="15"/>
      <c r="HMB234" s="15"/>
      <c r="HMC234" s="15"/>
      <c r="HMD234" s="15"/>
      <c r="HME234" s="15"/>
      <c r="HMF234" s="15"/>
      <c r="HMG234" s="15"/>
      <c r="HMH234" s="15"/>
      <c r="HMI234" s="15"/>
      <c r="HMJ234" s="15"/>
      <c r="HMK234" s="10"/>
      <c r="HML234" s="10"/>
      <c r="HMM234" s="21"/>
      <c r="HMN234" s="21"/>
      <c r="HMQ234" s="21"/>
      <c r="HMR234" s="15"/>
      <c r="HMS234" s="15"/>
      <c r="HMT234" s="15"/>
      <c r="HMU234" s="15"/>
      <c r="HMV234" s="15"/>
      <c r="HMW234" s="15"/>
      <c r="HMX234" s="15"/>
      <c r="HMY234" s="15"/>
      <c r="HMZ234" s="15"/>
      <c r="HNA234" s="15"/>
      <c r="HNB234" s="10"/>
      <c r="HNC234" s="10"/>
      <c r="HND234" s="21"/>
      <c r="HNE234" s="21"/>
      <c r="HNH234" s="21"/>
      <c r="HNI234" s="15"/>
      <c r="HNJ234" s="15"/>
      <c r="HNK234" s="15"/>
      <c r="HNL234" s="15"/>
      <c r="HNM234" s="15"/>
      <c r="HNN234" s="15"/>
      <c r="HNO234" s="15"/>
      <c r="HNP234" s="15"/>
      <c r="HNQ234" s="15"/>
      <c r="HNR234" s="15"/>
      <c r="HNS234" s="10"/>
      <c r="HNT234" s="10"/>
      <c r="HNU234" s="21"/>
      <c r="HNV234" s="21"/>
      <c r="HNY234" s="21"/>
      <c r="HNZ234" s="15"/>
      <c r="HOA234" s="15"/>
      <c r="HOB234" s="15"/>
      <c r="HOC234" s="15"/>
      <c r="HOD234" s="15"/>
      <c r="HOE234" s="15"/>
      <c r="HOF234" s="15"/>
      <c r="HOG234" s="15"/>
      <c r="HOH234" s="15"/>
      <c r="HOI234" s="15"/>
      <c r="HOJ234" s="10"/>
      <c r="HOK234" s="10"/>
      <c r="HOL234" s="21"/>
      <c r="HOM234" s="21"/>
      <c r="HOP234" s="21"/>
      <c r="HOQ234" s="15"/>
      <c r="HOR234" s="15"/>
      <c r="HOS234" s="15"/>
      <c r="HOT234" s="15"/>
      <c r="HOU234" s="15"/>
      <c r="HOV234" s="15"/>
      <c r="HOW234" s="15"/>
      <c r="HOX234" s="15"/>
      <c r="HOY234" s="15"/>
      <c r="HOZ234" s="15"/>
      <c r="HPA234" s="10"/>
      <c r="HPB234" s="10"/>
      <c r="HPC234" s="21"/>
      <c r="HPD234" s="21"/>
      <c r="HPG234" s="21"/>
      <c r="HPH234" s="15"/>
      <c r="HPI234" s="15"/>
      <c r="HPJ234" s="15"/>
      <c r="HPK234" s="15"/>
      <c r="HPL234" s="15"/>
      <c r="HPM234" s="15"/>
      <c r="HPN234" s="15"/>
      <c r="HPO234" s="15"/>
      <c r="HPP234" s="15"/>
      <c r="HPQ234" s="15"/>
      <c r="HPR234" s="10"/>
      <c r="HPS234" s="10"/>
      <c r="HPT234" s="21"/>
      <c r="HPU234" s="21"/>
      <c r="HPX234" s="21"/>
      <c r="HPY234" s="15"/>
      <c r="HPZ234" s="15"/>
      <c r="HQA234" s="15"/>
      <c r="HQB234" s="15"/>
      <c r="HQC234" s="15"/>
      <c r="HQD234" s="15"/>
      <c r="HQE234" s="15"/>
      <c r="HQF234" s="15"/>
      <c r="HQG234" s="15"/>
      <c r="HQH234" s="15"/>
      <c r="HQI234" s="10"/>
      <c r="HQJ234" s="10"/>
      <c r="HQK234" s="21"/>
      <c r="HQL234" s="21"/>
      <c r="HQO234" s="21"/>
      <c r="HQP234" s="15"/>
      <c r="HQQ234" s="15"/>
      <c r="HQR234" s="15"/>
      <c r="HQS234" s="15"/>
      <c r="HQT234" s="15"/>
      <c r="HQU234" s="15"/>
      <c r="HQV234" s="15"/>
      <c r="HQW234" s="15"/>
      <c r="HQX234" s="15"/>
      <c r="HQY234" s="15"/>
      <c r="HQZ234" s="10"/>
      <c r="HRA234" s="10"/>
      <c r="HRB234" s="21"/>
      <c r="HRC234" s="21"/>
      <c r="HRF234" s="21"/>
      <c r="HRG234" s="15"/>
      <c r="HRH234" s="15"/>
      <c r="HRI234" s="15"/>
      <c r="HRJ234" s="15"/>
      <c r="HRK234" s="15"/>
      <c r="HRL234" s="15"/>
      <c r="HRM234" s="15"/>
      <c r="HRN234" s="15"/>
      <c r="HRO234" s="15"/>
      <c r="HRP234" s="15"/>
      <c r="HRQ234" s="10"/>
      <c r="HRR234" s="10"/>
      <c r="HRS234" s="21"/>
      <c r="HRT234" s="21"/>
      <c r="HRW234" s="21"/>
      <c r="HRX234" s="15"/>
      <c r="HRY234" s="15"/>
      <c r="HRZ234" s="15"/>
      <c r="HSA234" s="15"/>
      <c r="HSB234" s="15"/>
      <c r="HSC234" s="15"/>
      <c r="HSD234" s="15"/>
      <c r="HSE234" s="15"/>
      <c r="HSF234" s="15"/>
      <c r="HSG234" s="15"/>
      <c r="HSH234" s="10"/>
      <c r="HSI234" s="10"/>
      <c r="HSJ234" s="21"/>
      <c r="HSK234" s="21"/>
      <c r="HSN234" s="21"/>
      <c r="HSO234" s="15"/>
      <c r="HSP234" s="15"/>
      <c r="HSQ234" s="15"/>
      <c r="HSR234" s="15"/>
      <c r="HSS234" s="15"/>
      <c r="HST234" s="15"/>
      <c r="HSU234" s="15"/>
      <c r="HSV234" s="15"/>
      <c r="HSW234" s="15"/>
      <c r="HSX234" s="15"/>
      <c r="HSY234" s="10"/>
      <c r="HSZ234" s="10"/>
      <c r="HTA234" s="21"/>
      <c r="HTB234" s="21"/>
      <c r="HTE234" s="21"/>
      <c r="HTF234" s="15"/>
      <c r="HTG234" s="15"/>
      <c r="HTH234" s="15"/>
      <c r="HTI234" s="15"/>
      <c r="HTJ234" s="15"/>
      <c r="HTK234" s="15"/>
      <c r="HTL234" s="15"/>
      <c r="HTM234" s="15"/>
      <c r="HTN234" s="15"/>
      <c r="HTO234" s="15"/>
      <c r="HTP234" s="10"/>
      <c r="HTQ234" s="10"/>
      <c r="HTR234" s="21"/>
      <c r="HTS234" s="21"/>
      <c r="HTV234" s="21"/>
      <c r="HTW234" s="15"/>
      <c r="HTX234" s="15"/>
      <c r="HTY234" s="15"/>
      <c r="HTZ234" s="15"/>
      <c r="HUA234" s="15"/>
      <c r="HUB234" s="15"/>
      <c r="HUC234" s="15"/>
      <c r="HUD234" s="15"/>
      <c r="HUE234" s="15"/>
      <c r="HUF234" s="15"/>
      <c r="HUG234" s="10"/>
      <c r="HUH234" s="10"/>
      <c r="HUI234" s="21"/>
      <c r="HUJ234" s="21"/>
      <c r="HUM234" s="21"/>
      <c r="HUN234" s="15"/>
      <c r="HUO234" s="15"/>
      <c r="HUP234" s="15"/>
      <c r="HUQ234" s="15"/>
      <c r="HUR234" s="15"/>
      <c r="HUS234" s="15"/>
      <c r="HUT234" s="15"/>
      <c r="HUU234" s="15"/>
      <c r="HUV234" s="15"/>
      <c r="HUW234" s="15"/>
      <c r="HUX234" s="10"/>
      <c r="HUY234" s="10"/>
      <c r="HUZ234" s="21"/>
      <c r="HVA234" s="21"/>
      <c r="HVD234" s="21"/>
      <c r="HVE234" s="15"/>
      <c r="HVF234" s="15"/>
      <c r="HVG234" s="15"/>
      <c r="HVH234" s="15"/>
      <c r="HVI234" s="15"/>
      <c r="HVJ234" s="15"/>
      <c r="HVK234" s="15"/>
      <c r="HVL234" s="15"/>
      <c r="HVM234" s="15"/>
      <c r="HVN234" s="15"/>
      <c r="HVO234" s="10"/>
      <c r="HVP234" s="10"/>
      <c r="HVQ234" s="21"/>
      <c r="HVR234" s="21"/>
      <c r="HVU234" s="21"/>
      <c r="HVV234" s="15"/>
      <c r="HVW234" s="15"/>
      <c r="HVX234" s="15"/>
      <c r="HVY234" s="15"/>
      <c r="HVZ234" s="15"/>
      <c r="HWA234" s="15"/>
      <c r="HWB234" s="15"/>
      <c r="HWC234" s="15"/>
      <c r="HWD234" s="15"/>
      <c r="HWE234" s="15"/>
      <c r="HWF234" s="10"/>
      <c r="HWG234" s="10"/>
      <c r="HWH234" s="21"/>
      <c r="HWI234" s="21"/>
      <c r="HWL234" s="21"/>
      <c r="HWM234" s="15"/>
      <c r="HWN234" s="15"/>
      <c r="HWO234" s="15"/>
      <c r="HWP234" s="15"/>
      <c r="HWQ234" s="15"/>
      <c r="HWR234" s="15"/>
      <c r="HWS234" s="15"/>
      <c r="HWT234" s="15"/>
      <c r="HWU234" s="15"/>
      <c r="HWV234" s="15"/>
      <c r="HWW234" s="10"/>
      <c r="HWX234" s="10"/>
      <c r="HWY234" s="21"/>
      <c r="HWZ234" s="21"/>
      <c r="HXC234" s="21"/>
      <c r="HXD234" s="15"/>
      <c r="HXE234" s="15"/>
      <c r="HXF234" s="15"/>
      <c r="HXG234" s="15"/>
      <c r="HXH234" s="15"/>
      <c r="HXI234" s="15"/>
      <c r="HXJ234" s="15"/>
      <c r="HXK234" s="15"/>
      <c r="HXL234" s="15"/>
      <c r="HXM234" s="15"/>
      <c r="HXN234" s="10"/>
      <c r="HXO234" s="10"/>
      <c r="HXP234" s="21"/>
      <c r="HXQ234" s="21"/>
      <c r="HXT234" s="21"/>
      <c r="HXU234" s="15"/>
      <c r="HXV234" s="15"/>
      <c r="HXW234" s="15"/>
      <c r="HXX234" s="15"/>
      <c r="HXY234" s="15"/>
      <c r="HXZ234" s="15"/>
      <c r="HYA234" s="15"/>
      <c r="HYB234" s="15"/>
      <c r="HYC234" s="15"/>
      <c r="HYD234" s="15"/>
      <c r="HYE234" s="10"/>
      <c r="HYF234" s="10"/>
      <c r="HYG234" s="21"/>
      <c r="HYH234" s="21"/>
      <c r="HYK234" s="21"/>
      <c r="HYL234" s="15"/>
      <c r="HYM234" s="15"/>
      <c r="HYN234" s="15"/>
      <c r="HYO234" s="15"/>
      <c r="HYP234" s="15"/>
      <c r="HYQ234" s="15"/>
      <c r="HYR234" s="15"/>
      <c r="HYS234" s="15"/>
      <c r="HYT234" s="15"/>
      <c r="HYU234" s="15"/>
      <c r="HYV234" s="10"/>
      <c r="HYW234" s="10"/>
      <c r="HYX234" s="21"/>
      <c r="HYY234" s="21"/>
      <c r="HZB234" s="21"/>
      <c r="HZC234" s="15"/>
      <c r="HZD234" s="15"/>
      <c r="HZE234" s="15"/>
      <c r="HZF234" s="15"/>
      <c r="HZG234" s="15"/>
      <c r="HZH234" s="15"/>
      <c r="HZI234" s="15"/>
      <c r="HZJ234" s="15"/>
      <c r="HZK234" s="15"/>
      <c r="HZL234" s="15"/>
      <c r="HZM234" s="10"/>
      <c r="HZN234" s="10"/>
      <c r="HZO234" s="21"/>
      <c r="HZP234" s="21"/>
      <c r="HZS234" s="21"/>
      <c r="HZT234" s="15"/>
      <c r="HZU234" s="15"/>
      <c r="HZV234" s="15"/>
      <c r="HZW234" s="15"/>
      <c r="HZX234" s="15"/>
      <c r="HZY234" s="15"/>
      <c r="HZZ234" s="15"/>
      <c r="IAA234" s="15"/>
      <c r="IAB234" s="15"/>
      <c r="IAC234" s="15"/>
      <c r="IAD234" s="10"/>
      <c r="IAE234" s="10"/>
      <c r="IAF234" s="21"/>
      <c r="IAG234" s="21"/>
      <c r="IAJ234" s="21"/>
      <c r="IAK234" s="15"/>
      <c r="IAL234" s="15"/>
      <c r="IAM234" s="15"/>
      <c r="IAN234" s="15"/>
      <c r="IAO234" s="15"/>
      <c r="IAP234" s="15"/>
      <c r="IAQ234" s="15"/>
      <c r="IAR234" s="15"/>
      <c r="IAS234" s="15"/>
      <c r="IAT234" s="15"/>
      <c r="IAU234" s="10"/>
      <c r="IAV234" s="10"/>
      <c r="IAW234" s="21"/>
      <c r="IAX234" s="21"/>
      <c r="IBA234" s="21"/>
      <c r="IBB234" s="15"/>
      <c r="IBC234" s="15"/>
      <c r="IBD234" s="15"/>
      <c r="IBE234" s="15"/>
      <c r="IBF234" s="15"/>
      <c r="IBG234" s="15"/>
      <c r="IBH234" s="15"/>
      <c r="IBI234" s="15"/>
      <c r="IBJ234" s="15"/>
      <c r="IBK234" s="15"/>
      <c r="IBL234" s="10"/>
      <c r="IBM234" s="10"/>
      <c r="IBN234" s="21"/>
      <c r="IBO234" s="21"/>
      <c r="IBR234" s="21"/>
      <c r="IBS234" s="15"/>
      <c r="IBT234" s="15"/>
      <c r="IBU234" s="15"/>
      <c r="IBV234" s="15"/>
      <c r="IBW234" s="15"/>
      <c r="IBX234" s="15"/>
      <c r="IBY234" s="15"/>
      <c r="IBZ234" s="15"/>
      <c r="ICA234" s="15"/>
      <c r="ICB234" s="15"/>
      <c r="ICC234" s="10"/>
      <c r="ICD234" s="10"/>
      <c r="ICE234" s="21"/>
      <c r="ICF234" s="21"/>
      <c r="ICI234" s="21"/>
      <c r="ICJ234" s="15"/>
      <c r="ICK234" s="15"/>
      <c r="ICL234" s="15"/>
      <c r="ICM234" s="15"/>
      <c r="ICN234" s="15"/>
      <c r="ICO234" s="15"/>
      <c r="ICP234" s="15"/>
      <c r="ICQ234" s="15"/>
      <c r="ICR234" s="15"/>
      <c r="ICS234" s="15"/>
      <c r="ICT234" s="10"/>
      <c r="ICU234" s="10"/>
      <c r="ICV234" s="21"/>
      <c r="ICW234" s="21"/>
      <c r="ICZ234" s="21"/>
      <c r="IDA234" s="15"/>
      <c r="IDB234" s="15"/>
      <c r="IDC234" s="15"/>
      <c r="IDD234" s="15"/>
      <c r="IDE234" s="15"/>
      <c r="IDF234" s="15"/>
      <c r="IDG234" s="15"/>
      <c r="IDH234" s="15"/>
      <c r="IDI234" s="15"/>
      <c r="IDJ234" s="15"/>
      <c r="IDK234" s="10"/>
      <c r="IDL234" s="10"/>
      <c r="IDM234" s="21"/>
      <c r="IDN234" s="21"/>
      <c r="IDQ234" s="21"/>
      <c r="IDR234" s="15"/>
      <c r="IDS234" s="15"/>
      <c r="IDT234" s="15"/>
      <c r="IDU234" s="15"/>
      <c r="IDV234" s="15"/>
      <c r="IDW234" s="15"/>
      <c r="IDX234" s="15"/>
      <c r="IDY234" s="15"/>
      <c r="IDZ234" s="15"/>
      <c r="IEA234" s="15"/>
      <c r="IEB234" s="10"/>
      <c r="IEC234" s="10"/>
      <c r="IED234" s="21"/>
      <c r="IEE234" s="21"/>
      <c r="IEH234" s="21"/>
      <c r="IEI234" s="15"/>
      <c r="IEJ234" s="15"/>
      <c r="IEK234" s="15"/>
      <c r="IEL234" s="15"/>
      <c r="IEM234" s="15"/>
      <c r="IEN234" s="15"/>
      <c r="IEO234" s="15"/>
      <c r="IEP234" s="15"/>
      <c r="IEQ234" s="15"/>
      <c r="IER234" s="15"/>
      <c r="IES234" s="10"/>
      <c r="IET234" s="10"/>
      <c r="IEU234" s="21"/>
      <c r="IEV234" s="21"/>
      <c r="IEY234" s="21"/>
      <c r="IEZ234" s="15"/>
      <c r="IFA234" s="15"/>
      <c r="IFB234" s="15"/>
      <c r="IFC234" s="15"/>
      <c r="IFD234" s="15"/>
      <c r="IFE234" s="15"/>
      <c r="IFF234" s="15"/>
      <c r="IFG234" s="15"/>
      <c r="IFH234" s="15"/>
      <c r="IFI234" s="15"/>
      <c r="IFJ234" s="10"/>
      <c r="IFK234" s="10"/>
      <c r="IFL234" s="21"/>
      <c r="IFM234" s="21"/>
      <c r="IFP234" s="21"/>
      <c r="IFQ234" s="15"/>
      <c r="IFR234" s="15"/>
      <c r="IFS234" s="15"/>
      <c r="IFT234" s="15"/>
      <c r="IFU234" s="15"/>
      <c r="IFV234" s="15"/>
      <c r="IFW234" s="15"/>
      <c r="IFX234" s="15"/>
      <c r="IFY234" s="15"/>
      <c r="IFZ234" s="15"/>
      <c r="IGA234" s="10"/>
      <c r="IGB234" s="10"/>
      <c r="IGC234" s="21"/>
      <c r="IGD234" s="21"/>
      <c r="IGG234" s="21"/>
      <c r="IGH234" s="15"/>
      <c r="IGI234" s="15"/>
      <c r="IGJ234" s="15"/>
      <c r="IGK234" s="15"/>
      <c r="IGL234" s="15"/>
      <c r="IGM234" s="15"/>
      <c r="IGN234" s="15"/>
      <c r="IGO234" s="15"/>
      <c r="IGP234" s="15"/>
      <c r="IGQ234" s="15"/>
      <c r="IGR234" s="10"/>
      <c r="IGS234" s="10"/>
      <c r="IGT234" s="21"/>
      <c r="IGU234" s="21"/>
      <c r="IGX234" s="21"/>
      <c r="IGY234" s="15"/>
      <c r="IGZ234" s="15"/>
      <c r="IHA234" s="15"/>
      <c r="IHB234" s="15"/>
      <c r="IHC234" s="15"/>
      <c r="IHD234" s="15"/>
      <c r="IHE234" s="15"/>
      <c r="IHF234" s="15"/>
      <c r="IHG234" s="15"/>
      <c r="IHH234" s="15"/>
      <c r="IHI234" s="10"/>
      <c r="IHJ234" s="10"/>
      <c r="IHK234" s="21"/>
      <c r="IHL234" s="21"/>
      <c r="IHO234" s="21"/>
      <c r="IHP234" s="15"/>
      <c r="IHQ234" s="15"/>
      <c r="IHR234" s="15"/>
      <c r="IHS234" s="15"/>
      <c r="IHT234" s="15"/>
      <c r="IHU234" s="15"/>
      <c r="IHV234" s="15"/>
      <c r="IHW234" s="15"/>
      <c r="IHX234" s="15"/>
      <c r="IHY234" s="15"/>
      <c r="IHZ234" s="10"/>
      <c r="IIA234" s="10"/>
      <c r="IIB234" s="21"/>
      <c r="IIC234" s="21"/>
      <c r="IIF234" s="21"/>
      <c r="IIG234" s="15"/>
      <c r="IIH234" s="15"/>
      <c r="III234" s="15"/>
      <c r="IIJ234" s="15"/>
      <c r="IIK234" s="15"/>
      <c r="IIL234" s="15"/>
      <c r="IIM234" s="15"/>
      <c r="IIN234" s="15"/>
      <c r="IIO234" s="15"/>
      <c r="IIP234" s="15"/>
      <c r="IIQ234" s="10"/>
      <c r="IIR234" s="10"/>
      <c r="IIS234" s="21"/>
      <c r="IIT234" s="21"/>
      <c r="IIW234" s="21"/>
      <c r="IIX234" s="15"/>
      <c r="IIY234" s="15"/>
      <c r="IIZ234" s="15"/>
      <c r="IJA234" s="15"/>
      <c r="IJB234" s="15"/>
      <c r="IJC234" s="15"/>
      <c r="IJD234" s="15"/>
      <c r="IJE234" s="15"/>
      <c r="IJF234" s="15"/>
      <c r="IJG234" s="15"/>
      <c r="IJH234" s="10"/>
      <c r="IJI234" s="10"/>
      <c r="IJJ234" s="21"/>
      <c r="IJK234" s="21"/>
      <c r="IJN234" s="21"/>
      <c r="IJO234" s="15"/>
      <c r="IJP234" s="15"/>
      <c r="IJQ234" s="15"/>
      <c r="IJR234" s="15"/>
      <c r="IJS234" s="15"/>
      <c r="IJT234" s="15"/>
      <c r="IJU234" s="15"/>
      <c r="IJV234" s="15"/>
      <c r="IJW234" s="15"/>
      <c r="IJX234" s="15"/>
      <c r="IJY234" s="10"/>
      <c r="IJZ234" s="10"/>
      <c r="IKA234" s="21"/>
      <c r="IKB234" s="21"/>
      <c r="IKE234" s="21"/>
      <c r="IKF234" s="15"/>
      <c r="IKG234" s="15"/>
      <c r="IKH234" s="15"/>
      <c r="IKI234" s="15"/>
      <c r="IKJ234" s="15"/>
      <c r="IKK234" s="15"/>
      <c r="IKL234" s="15"/>
      <c r="IKM234" s="15"/>
      <c r="IKN234" s="15"/>
      <c r="IKO234" s="15"/>
      <c r="IKP234" s="10"/>
      <c r="IKQ234" s="10"/>
      <c r="IKR234" s="21"/>
      <c r="IKS234" s="21"/>
      <c r="IKV234" s="21"/>
      <c r="IKW234" s="15"/>
      <c r="IKX234" s="15"/>
      <c r="IKY234" s="15"/>
      <c r="IKZ234" s="15"/>
      <c r="ILA234" s="15"/>
      <c r="ILB234" s="15"/>
      <c r="ILC234" s="15"/>
      <c r="ILD234" s="15"/>
      <c r="ILE234" s="15"/>
      <c r="ILF234" s="15"/>
      <c r="ILG234" s="10"/>
      <c r="ILH234" s="10"/>
      <c r="ILI234" s="21"/>
      <c r="ILJ234" s="21"/>
      <c r="ILM234" s="21"/>
      <c r="ILN234" s="15"/>
      <c r="ILO234" s="15"/>
      <c r="ILP234" s="15"/>
      <c r="ILQ234" s="15"/>
      <c r="ILR234" s="15"/>
      <c r="ILS234" s="15"/>
      <c r="ILT234" s="15"/>
      <c r="ILU234" s="15"/>
      <c r="ILV234" s="15"/>
      <c r="ILW234" s="15"/>
      <c r="ILX234" s="10"/>
      <c r="ILY234" s="10"/>
      <c r="ILZ234" s="21"/>
      <c r="IMA234" s="21"/>
      <c r="IMD234" s="21"/>
      <c r="IME234" s="15"/>
      <c r="IMF234" s="15"/>
      <c r="IMG234" s="15"/>
      <c r="IMH234" s="15"/>
      <c r="IMI234" s="15"/>
      <c r="IMJ234" s="15"/>
      <c r="IMK234" s="15"/>
      <c r="IML234" s="15"/>
      <c r="IMM234" s="15"/>
      <c r="IMN234" s="15"/>
      <c r="IMO234" s="10"/>
      <c r="IMP234" s="10"/>
      <c r="IMQ234" s="21"/>
      <c r="IMR234" s="21"/>
      <c r="IMU234" s="21"/>
      <c r="IMV234" s="15"/>
      <c r="IMW234" s="15"/>
      <c r="IMX234" s="15"/>
      <c r="IMY234" s="15"/>
      <c r="IMZ234" s="15"/>
      <c r="INA234" s="15"/>
      <c r="INB234" s="15"/>
      <c r="INC234" s="15"/>
      <c r="IND234" s="15"/>
      <c r="INE234" s="15"/>
      <c r="INF234" s="10"/>
      <c r="ING234" s="10"/>
      <c r="INH234" s="21"/>
      <c r="INI234" s="21"/>
      <c r="INL234" s="21"/>
      <c r="INM234" s="15"/>
      <c r="INN234" s="15"/>
      <c r="INO234" s="15"/>
      <c r="INP234" s="15"/>
      <c r="INQ234" s="15"/>
      <c r="INR234" s="15"/>
      <c r="INS234" s="15"/>
      <c r="INT234" s="15"/>
      <c r="INU234" s="15"/>
      <c r="INV234" s="15"/>
      <c r="INW234" s="10"/>
      <c r="INX234" s="10"/>
      <c r="INY234" s="21"/>
      <c r="INZ234" s="21"/>
      <c r="IOC234" s="21"/>
      <c r="IOD234" s="15"/>
      <c r="IOE234" s="15"/>
      <c r="IOF234" s="15"/>
      <c r="IOG234" s="15"/>
      <c r="IOH234" s="15"/>
      <c r="IOI234" s="15"/>
      <c r="IOJ234" s="15"/>
      <c r="IOK234" s="15"/>
      <c r="IOL234" s="15"/>
      <c r="IOM234" s="15"/>
      <c r="ION234" s="10"/>
      <c r="IOO234" s="10"/>
      <c r="IOP234" s="21"/>
      <c r="IOQ234" s="21"/>
      <c r="IOT234" s="21"/>
      <c r="IOU234" s="15"/>
      <c r="IOV234" s="15"/>
      <c r="IOW234" s="15"/>
      <c r="IOX234" s="15"/>
      <c r="IOY234" s="15"/>
      <c r="IOZ234" s="15"/>
      <c r="IPA234" s="15"/>
      <c r="IPB234" s="15"/>
      <c r="IPC234" s="15"/>
      <c r="IPD234" s="15"/>
      <c r="IPE234" s="10"/>
      <c r="IPF234" s="10"/>
      <c r="IPG234" s="21"/>
      <c r="IPH234" s="21"/>
      <c r="IPK234" s="21"/>
      <c r="IPL234" s="15"/>
      <c r="IPM234" s="15"/>
      <c r="IPN234" s="15"/>
      <c r="IPO234" s="15"/>
      <c r="IPP234" s="15"/>
      <c r="IPQ234" s="15"/>
      <c r="IPR234" s="15"/>
      <c r="IPS234" s="15"/>
      <c r="IPT234" s="15"/>
      <c r="IPU234" s="15"/>
      <c r="IPV234" s="10"/>
      <c r="IPW234" s="10"/>
      <c r="IPX234" s="21"/>
      <c r="IPY234" s="21"/>
      <c r="IQB234" s="21"/>
      <c r="IQC234" s="15"/>
      <c r="IQD234" s="15"/>
      <c r="IQE234" s="15"/>
      <c r="IQF234" s="15"/>
      <c r="IQG234" s="15"/>
      <c r="IQH234" s="15"/>
      <c r="IQI234" s="15"/>
      <c r="IQJ234" s="15"/>
      <c r="IQK234" s="15"/>
      <c r="IQL234" s="15"/>
      <c r="IQM234" s="10"/>
      <c r="IQN234" s="10"/>
      <c r="IQO234" s="21"/>
      <c r="IQP234" s="21"/>
      <c r="IQS234" s="21"/>
      <c r="IQT234" s="15"/>
      <c r="IQU234" s="15"/>
      <c r="IQV234" s="15"/>
      <c r="IQW234" s="15"/>
      <c r="IQX234" s="15"/>
      <c r="IQY234" s="15"/>
      <c r="IQZ234" s="15"/>
      <c r="IRA234" s="15"/>
      <c r="IRB234" s="15"/>
      <c r="IRC234" s="15"/>
      <c r="IRD234" s="10"/>
      <c r="IRE234" s="10"/>
      <c r="IRF234" s="21"/>
      <c r="IRG234" s="21"/>
      <c r="IRJ234" s="21"/>
      <c r="IRK234" s="15"/>
      <c r="IRL234" s="15"/>
      <c r="IRM234" s="15"/>
      <c r="IRN234" s="15"/>
      <c r="IRO234" s="15"/>
      <c r="IRP234" s="15"/>
      <c r="IRQ234" s="15"/>
      <c r="IRR234" s="15"/>
      <c r="IRS234" s="15"/>
      <c r="IRT234" s="15"/>
      <c r="IRU234" s="10"/>
      <c r="IRV234" s="10"/>
      <c r="IRW234" s="21"/>
      <c r="IRX234" s="21"/>
      <c r="ISA234" s="21"/>
      <c r="ISB234" s="15"/>
      <c r="ISC234" s="15"/>
      <c r="ISD234" s="15"/>
      <c r="ISE234" s="15"/>
      <c r="ISF234" s="15"/>
      <c r="ISG234" s="15"/>
      <c r="ISH234" s="15"/>
      <c r="ISI234" s="15"/>
      <c r="ISJ234" s="15"/>
      <c r="ISK234" s="15"/>
      <c r="ISL234" s="10"/>
      <c r="ISM234" s="10"/>
      <c r="ISN234" s="21"/>
      <c r="ISO234" s="21"/>
      <c r="ISR234" s="21"/>
      <c r="ISS234" s="15"/>
      <c r="IST234" s="15"/>
      <c r="ISU234" s="15"/>
      <c r="ISV234" s="15"/>
      <c r="ISW234" s="15"/>
      <c r="ISX234" s="15"/>
      <c r="ISY234" s="15"/>
      <c r="ISZ234" s="15"/>
      <c r="ITA234" s="15"/>
      <c r="ITB234" s="15"/>
      <c r="ITC234" s="10"/>
      <c r="ITD234" s="10"/>
      <c r="ITE234" s="21"/>
      <c r="ITF234" s="21"/>
      <c r="ITI234" s="21"/>
      <c r="ITJ234" s="15"/>
      <c r="ITK234" s="15"/>
      <c r="ITL234" s="15"/>
      <c r="ITM234" s="15"/>
      <c r="ITN234" s="15"/>
      <c r="ITO234" s="15"/>
      <c r="ITP234" s="15"/>
      <c r="ITQ234" s="15"/>
      <c r="ITR234" s="15"/>
      <c r="ITS234" s="15"/>
      <c r="ITT234" s="10"/>
      <c r="ITU234" s="10"/>
      <c r="ITV234" s="21"/>
      <c r="ITW234" s="21"/>
      <c r="ITZ234" s="21"/>
      <c r="IUA234" s="15"/>
      <c r="IUB234" s="15"/>
      <c r="IUC234" s="15"/>
      <c r="IUD234" s="15"/>
      <c r="IUE234" s="15"/>
      <c r="IUF234" s="15"/>
      <c r="IUG234" s="15"/>
      <c r="IUH234" s="15"/>
      <c r="IUI234" s="15"/>
      <c r="IUJ234" s="15"/>
      <c r="IUK234" s="10"/>
      <c r="IUL234" s="10"/>
      <c r="IUM234" s="21"/>
      <c r="IUN234" s="21"/>
      <c r="IUQ234" s="21"/>
      <c r="IUR234" s="15"/>
      <c r="IUS234" s="15"/>
      <c r="IUT234" s="15"/>
      <c r="IUU234" s="15"/>
      <c r="IUV234" s="15"/>
      <c r="IUW234" s="15"/>
      <c r="IUX234" s="15"/>
      <c r="IUY234" s="15"/>
      <c r="IUZ234" s="15"/>
      <c r="IVA234" s="15"/>
      <c r="IVB234" s="10"/>
      <c r="IVC234" s="10"/>
      <c r="IVD234" s="21"/>
      <c r="IVE234" s="21"/>
      <c r="IVH234" s="21"/>
      <c r="IVI234" s="15"/>
      <c r="IVJ234" s="15"/>
      <c r="IVK234" s="15"/>
      <c r="IVL234" s="15"/>
      <c r="IVM234" s="15"/>
      <c r="IVN234" s="15"/>
      <c r="IVO234" s="15"/>
      <c r="IVP234" s="15"/>
      <c r="IVQ234" s="15"/>
      <c r="IVR234" s="15"/>
      <c r="IVS234" s="10"/>
      <c r="IVT234" s="10"/>
      <c r="IVU234" s="21"/>
      <c r="IVV234" s="21"/>
      <c r="IVY234" s="21"/>
      <c r="IVZ234" s="15"/>
      <c r="IWA234" s="15"/>
      <c r="IWB234" s="15"/>
      <c r="IWC234" s="15"/>
      <c r="IWD234" s="15"/>
      <c r="IWE234" s="15"/>
      <c r="IWF234" s="15"/>
      <c r="IWG234" s="15"/>
      <c r="IWH234" s="15"/>
      <c r="IWI234" s="15"/>
      <c r="IWJ234" s="10"/>
      <c r="IWK234" s="10"/>
      <c r="IWL234" s="21"/>
      <c r="IWM234" s="21"/>
      <c r="IWP234" s="21"/>
      <c r="IWQ234" s="15"/>
      <c r="IWR234" s="15"/>
      <c r="IWS234" s="15"/>
      <c r="IWT234" s="15"/>
      <c r="IWU234" s="15"/>
      <c r="IWV234" s="15"/>
      <c r="IWW234" s="15"/>
      <c r="IWX234" s="15"/>
      <c r="IWY234" s="15"/>
      <c r="IWZ234" s="15"/>
      <c r="IXA234" s="10"/>
      <c r="IXB234" s="10"/>
      <c r="IXC234" s="21"/>
      <c r="IXD234" s="21"/>
      <c r="IXG234" s="21"/>
      <c r="IXH234" s="15"/>
      <c r="IXI234" s="15"/>
      <c r="IXJ234" s="15"/>
      <c r="IXK234" s="15"/>
      <c r="IXL234" s="15"/>
      <c r="IXM234" s="15"/>
      <c r="IXN234" s="15"/>
      <c r="IXO234" s="15"/>
      <c r="IXP234" s="15"/>
      <c r="IXQ234" s="15"/>
      <c r="IXR234" s="10"/>
      <c r="IXS234" s="10"/>
      <c r="IXT234" s="21"/>
      <c r="IXU234" s="21"/>
      <c r="IXX234" s="21"/>
      <c r="IXY234" s="15"/>
      <c r="IXZ234" s="15"/>
      <c r="IYA234" s="15"/>
      <c r="IYB234" s="15"/>
      <c r="IYC234" s="15"/>
      <c r="IYD234" s="15"/>
      <c r="IYE234" s="15"/>
      <c r="IYF234" s="15"/>
      <c r="IYG234" s="15"/>
      <c r="IYH234" s="15"/>
      <c r="IYI234" s="10"/>
      <c r="IYJ234" s="10"/>
      <c r="IYK234" s="21"/>
      <c r="IYL234" s="21"/>
      <c r="IYO234" s="21"/>
      <c r="IYP234" s="15"/>
      <c r="IYQ234" s="15"/>
      <c r="IYR234" s="15"/>
      <c r="IYS234" s="15"/>
      <c r="IYT234" s="15"/>
      <c r="IYU234" s="15"/>
      <c r="IYV234" s="15"/>
      <c r="IYW234" s="15"/>
      <c r="IYX234" s="15"/>
      <c r="IYY234" s="15"/>
      <c r="IYZ234" s="10"/>
      <c r="IZA234" s="10"/>
      <c r="IZB234" s="21"/>
      <c r="IZC234" s="21"/>
      <c r="IZF234" s="21"/>
      <c r="IZG234" s="15"/>
      <c r="IZH234" s="15"/>
      <c r="IZI234" s="15"/>
      <c r="IZJ234" s="15"/>
      <c r="IZK234" s="15"/>
      <c r="IZL234" s="15"/>
      <c r="IZM234" s="15"/>
      <c r="IZN234" s="15"/>
      <c r="IZO234" s="15"/>
      <c r="IZP234" s="15"/>
      <c r="IZQ234" s="10"/>
      <c r="IZR234" s="10"/>
      <c r="IZS234" s="21"/>
      <c r="IZT234" s="21"/>
      <c r="IZW234" s="21"/>
      <c r="IZX234" s="15"/>
      <c r="IZY234" s="15"/>
      <c r="IZZ234" s="15"/>
      <c r="JAA234" s="15"/>
      <c r="JAB234" s="15"/>
      <c r="JAC234" s="15"/>
      <c r="JAD234" s="15"/>
      <c r="JAE234" s="15"/>
      <c r="JAF234" s="15"/>
      <c r="JAG234" s="15"/>
      <c r="JAH234" s="10"/>
      <c r="JAI234" s="10"/>
      <c r="JAJ234" s="21"/>
      <c r="JAK234" s="21"/>
      <c r="JAN234" s="21"/>
      <c r="JAO234" s="15"/>
      <c r="JAP234" s="15"/>
      <c r="JAQ234" s="15"/>
      <c r="JAR234" s="15"/>
      <c r="JAS234" s="15"/>
      <c r="JAT234" s="15"/>
      <c r="JAU234" s="15"/>
      <c r="JAV234" s="15"/>
      <c r="JAW234" s="15"/>
      <c r="JAX234" s="15"/>
      <c r="JAY234" s="10"/>
      <c r="JAZ234" s="10"/>
      <c r="JBA234" s="21"/>
      <c r="JBB234" s="21"/>
      <c r="JBE234" s="21"/>
      <c r="JBF234" s="15"/>
      <c r="JBG234" s="15"/>
      <c r="JBH234" s="15"/>
      <c r="JBI234" s="15"/>
      <c r="JBJ234" s="15"/>
      <c r="JBK234" s="15"/>
      <c r="JBL234" s="15"/>
      <c r="JBM234" s="15"/>
      <c r="JBN234" s="15"/>
      <c r="JBO234" s="15"/>
      <c r="JBP234" s="10"/>
      <c r="JBQ234" s="10"/>
      <c r="JBR234" s="21"/>
      <c r="JBS234" s="21"/>
      <c r="JBV234" s="21"/>
      <c r="JBW234" s="15"/>
      <c r="JBX234" s="15"/>
      <c r="JBY234" s="15"/>
      <c r="JBZ234" s="15"/>
      <c r="JCA234" s="15"/>
      <c r="JCB234" s="15"/>
      <c r="JCC234" s="15"/>
      <c r="JCD234" s="15"/>
      <c r="JCE234" s="15"/>
      <c r="JCF234" s="15"/>
      <c r="JCG234" s="10"/>
      <c r="JCH234" s="10"/>
      <c r="JCI234" s="21"/>
      <c r="JCJ234" s="21"/>
      <c r="JCM234" s="21"/>
      <c r="JCN234" s="15"/>
      <c r="JCO234" s="15"/>
      <c r="JCP234" s="15"/>
      <c r="JCQ234" s="15"/>
      <c r="JCR234" s="15"/>
      <c r="JCS234" s="15"/>
      <c r="JCT234" s="15"/>
      <c r="JCU234" s="15"/>
      <c r="JCV234" s="15"/>
      <c r="JCW234" s="15"/>
      <c r="JCX234" s="10"/>
      <c r="JCY234" s="10"/>
      <c r="JCZ234" s="21"/>
      <c r="JDA234" s="21"/>
      <c r="JDD234" s="21"/>
      <c r="JDE234" s="15"/>
      <c r="JDF234" s="15"/>
      <c r="JDG234" s="15"/>
      <c r="JDH234" s="15"/>
      <c r="JDI234" s="15"/>
      <c r="JDJ234" s="15"/>
      <c r="JDK234" s="15"/>
      <c r="JDL234" s="15"/>
      <c r="JDM234" s="15"/>
      <c r="JDN234" s="15"/>
      <c r="JDO234" s="10"/>
      <c r="JDP234" s="10"/>
      <c r="JDQ234" s="21"/>
      <c r="JDR234" s="21"/>
      <c r="JDU234" s="21"/>
      <c r="JDV234" s="15"/>
      <c r="JDW234" s="15"/>
      <c r="JDX234" s="15"/>
      <c r="JDY234" s="15"/>
      <c r="JDZ234" s="15"/>
      <c r="JEA234" s="15"/>
      <c r="JEB234" s="15"/>
      <c r="JEC234" s="15"/>
      <c r="JED234" s="15"/>
      <c r="JEE234" s="15"/>
      <c r="JEF234" s="10"/>
      <c r="JEG234" s="10"/>
      <c r="JEH234" s="21"/>
      <c r="JEI234" s="21"/>
      <c r="JEL234" s="21"/>
      <c r="JEM234" s="15"/>
      <c r="JEN234" s="15"/>
      <c r="JEO234" s="15"/>
      <c r="JEP234" s="15"/>
      <c r="JEQ234" s="15"/>
      <c r="JER234" s="15"/>
      <c r="JES234" s="15"/>
      <c r="JET234" s="15"/>
      <c r="JEU234" s="15"/>
      <c r="JEV234" s="15"/>
      <c r="JEW234" s="10"/>
      <c r="JEX234" s="10"/>
      <c r="JEY234" s="21"/>
      <c r="JEZ234" s="21"/>
      <c r="JFC234" s="21"/>
      <c r="JFD234" s="15"/>
      <c r="JFE234" s="15"/>
      <c r="JFF234" s="15"/>
      <c r="JFG234" s="15"/>
      <c r="JFH234" s="15"/>
      <c r="JFI234" s="15"/>
      <c r="JFJ234" s="15"/>
      <c r="JFK234" s="15"/>
      <c r="JFL234" s="15"/>
      <c r="JFM234" s="15"/>
      <c r="JFN234" s="10"/>
      <c r="JFO234" s="10"/>
      <c r="JFP234" s="21"/>
      <c r="JFQ234" s="21"/>
      <c r="JFT234" s="21"/>
      <c r="JFU234" s="15"/>
      <c r="JFV234" s="15"/>
      <c r="JFW234" s="15"/>
      <c r="JFX234" s="15"/>
      <c r="JFY234" s="15"/>
      <c r="JFZ234" s="15"/>
      <c r="JGA234" s="15"/>
      <c r="JGB234" s="15"/>
      <c r="JGC234" s="15"/>
      <c r="JGD234" s="15"/>
      <c r="JGE234" s="10"/>
      <c r="JGF234" s="10"/>
      <c r="JGG234" s="21"/>
      <c r="JGH234" s="21"/>
      <c r="JGK234" s="21"/>
      <c r="JGL234" s="15"/>
      <c r="JGM234" s="15"/>
      <c r="JGN234" s="15"/>
      <c r="JGO234" s="15"/>
      <c r="JGP234" s="15"/>
      <c r="JGQ234" s="15"/>
      <c r="JGR234" s="15"/>
      <c r="JGS234" s="15"/>
      <c r="JGT234" s="15"/>
      <c r="JGU234" s="15"/>
      <c r="JGV234" s="10"/>
      <c r="JGW234" s="10"/>
      <c r="JGX234" s="21"/>
      <c r="JGY234" s="21"/>
      <c r="JHB234" s="21"/>
      <c r="JHC234" s="15"/>
      <c r="JHD234" s="15"/>
      <c r="JHE234" s="15"/>
      <c r="JHF234" s="15"/>
      <c r="JHG234" s="15"/>
      <c r="JHH234" s="15"/>
      <c r="JHI234" s="15"/>
      <c r="JHJ234" s="15"/>
      <c r="JHK234" s="15"/>
      <c r="JHL234" s="15"/>
      <c r="JHM234" s="10"/>
      <c r="JHN234" s="10"/>
      <c r="JHO234" s="21"/>
      <c r="JHP234" s="21"/>
      <c r="JHS234" s="21"/>
      <c r="JHT234" s="15"/>
      <c r="JHU234" s="15"/>
      <c r="JHV234" s="15"/>
      <c r="JHW234" s="15"/>
      <c r="JHX234" s="15"/>
      <c r="JHY234" s="15"/>
      <c r="JHZ234" s="15"/>
      <c r="JIA234" s="15"/>
      <c r="JIB234" s="15"/>
      <c r="JIC234" s="15"/>
      <c r="JID234" s="10"/>
      <c r="JIE234" s="10"/>
      <c r="JIF234" s="21"/>
      <c r="JIG234" s="21"/>
      <c r="JIJ234" s="21"/>
      <c r="JIK234" s="15"/>
      <c r="JIL234" s="15"/>
      <c r="JIM234" s="15"/>
      <c r="JIN234" s="15"/>
      <c r="JIO234" s="15"/>
      <c r="JIP234" s="15"/>
      <c r="JIQ234" s="15"/>
      <c r="JIR234" s="15"/>
      <c r="JIS234" s="15"/>
      <c r="JIT234" s="15"/>
      <c r="JIU234" s="10"/>
      <c r="JIV234" s="10"/>
      <c r="JIW234" s="21"/>
      <c r="JIX234" s="21"/>
      <c r="JJA234" s="21"/>
      <c r="JJB234" s="15"/>
      <c r="JJC234" s="15"/>
      <c r="JJD234" s="15"/>
      <c r="JJE234" s="15"/>
      <c r="JJF234" s="15"/>
      <c r="JJG234" s="15"/>
      <c r="JJH234" s="15"/>
      <c r="JJI234" s="15"/>
      <c r="JJJ234" s="15"/>
      <c r="JJK234" s="15"/>
      <c r="JJL234" s="10"/>
      <c r="JJM234" s="10"/>
      <c r="JJN234" s="21"/>
      <c r="JJO234" s="21"/>
      <c r="JJR234" s="21"/>
      <c r="JJS234" s="15"/>
      <c r="JJT234" s="15"/>
      <c r="JJU234" s="15"/>
      <c r="JJV234" s="15"/>
      <c r="JJW234" s="15"/>
      <c r="JJX234" s="15"/>
      <c r="JJY234" s="15"/>
      <c r="JJZ234" s="15"/>
      <c r="JKA234" s="15"/>
      <c r="JKB234" s="15"/>
      <c r="JKC234" s="10"/>
      <c r="JKD234" s="10"/>
      <c r="JKE234" s="21"/>
      <c r="JKF234" s="21"/>
      <c r="JKI234" s="21"/>
      <c r="JKJ234" s="15"/>
      <c r="JKK234" s="15"/>
      <c r="JKL234" s="15"/>
      <c r="JKM234" s="15"/>
      <c r="JKN234" s="15"/>
      <c r="JKO234" s="15"/>
      <c r="JKP234" s="15"/>
      <c r="JKQ234" s="15"/>
      <c r="JKR234" s="15"/>
      <c r="JKS234" s="15"/>
      <c r="JKT234" s="10"/>
      <c r="JKU234" s="10"/>
      <c r="JKV234" s="21"/>
      <c r="JKW234" s="21"/>
      <c r="JKZ234" s="21"/>
      <c r="JLA234" s="15"/>
      <c r="JLB234" s="15"/>
      <c r="JLC234" s="15"/>
      <c r="JLD234" s="15"/>
      <c r="JLE234" s="15"/>
      <c r="JLF234" s="15"/>
      <c r="JLG234" s="15"/>
      <c r="JLH234" s="15"/>
      <c r="JLI234" s="15"/>
      <c r="JLJ234" s="15"/>
      <c r="JLK234" s="10"/>
      <c r="JLL234" s="10"/>
      <c r="JLM234" s="21"/>
      <c r="JLN234" s="21"/>
      <c r="JLQ234" s="21"/>
      <c r="JLR234" s="15"/>
      <c r="JLS234" s="15"/>
      <c r="JLT234" s="15"/>
      <c r="JLU234" s="15"/>
      <c r="JLV234" s="15"/>
      <c r="JLW234" s="15"/>
      <c r="JLX234" s="15"/>
      <c r="JLY234" s="15"/>
      <c r="JLZ234" s="15"/>
      <c r="JMA234" s="15"/>
      <c r="JMB234" s="10"/>
      <c r="JMC234" s="10"/>
      <c r="JMD234" s="21"/>
      <c r="JME234" s="21"/>
      <c r="JMH234" s="21"/>
      <c r="JMI234" s="15"/>
      <c r="JMJ234" s="15"/>
      <c r="JMK234" s="15"/>
      <c r="JML234" s="15"/>
      <c r="JMM234" s="15"/>
      <c r="JMN234" s="15"/>
      <c r="JMO234" s="15"/>
      <c r="JMP234" s="15"/>
      <c r="JMQ234" s="15"/>
      <c r="JMR234" s="15"/>
      <c r="JMS234" s="10"/>
      <c r="JMT234" s="10"/>
      <c r="JMU234" s="21"/>
      <c r="JMV234" s="21"/>
      <c r="JMY234" s="21"/>
      <c r="JMZ234" s="15"/>
      <c r="JNA234" s="15"/>
      <c r="JNB234" s="15"/>
      <c r="JNC234" s="15"/>
      <c r="JND234" s="15"/>
      <c r="JNE234" s="15"/>
      <c r="JNF234" s="15"/>
      <c r="JNG234" s="15"/>
      <c r="JNH234" s="15"/>
      <c r="JNI234" s="15"/>
      <c r="JNJ234" s="10"/>
      <c r="JNK234" s="10"/>
      <c r="JNL234" s="21"/>
      <c r="JNM234" s="21"/>
      <c r="JNP234" s="21"/>
      <c r="JNQ234" s="15"/>
      <c r="JNR234" s="15"/>
      <c r="JNS234" s="15"/>
      <c r="JNT234" s="15"/>
      <c r="JNU234" s="15"/>
      <c r="JNV234" s="15"/>
      <c r="JNW234" s="15"/>
      <c r="JNX234" s="15"/>
      <c r="JNY234" s="15"/>
      <c r="JNZ234" s="15"/>
      <c r="JOA234" s="10"/>
      <c r="JOB234" s="10"/>
      <c r="JOC234" s="21"/>
      <c r="JOD234" s="21"/>
      <c r="JOG234" s="21"/>
      <c r="JOH234" s="15"/>
      <c r="JOI234" s="15"/>
      <c r="JOJ234" s="15"/>
      <c r="JOK234" s="15"/>
      <c r="JOL234" s="15"/>
      <c r="JOM234" s="15"/>
      <c r="JON234" s="15"/>
      <c r="JOO234" s="15"/>
      <c r="JOP234" s="15"/>
      <c r="JOQ234" s="15"/>
      <c r="JOR234" s="10"/>
      <c r="JOS234" s="10"/>
      <c r="JOT234" s="21"/>
      <c r="JOU234" s="21"/>
      <c r="JOX234" s="21"/>
      <c r="JOY234" s="15"/>
      <c r="JOZ234" s="15"/>
      <c r="JPA234" s="15"/>
      <c r="JPB234" s="15"/>
      <c r="JPC234" s="15"/>
      <c r="JPD234" s="15"/>
      <c r="JPE234" s="15"/>
      <c r="JPF234" s="15"/>
      <c r="JPG234" s="15"/>
      <c r="JPH234" s="15"/>
      <c r="JPI234" s="10"/>
      <c r="JPJ234" s="10"/>
      <c r="JPK234" s="21"/>
      <c r="JPL234" s="21"/>
      <c r="JPO234" s="21"/>
      <c r="JPP234" s="15"/>
      <c r="JPQ234" s="15"/>
      <c r="JPR234" s="15"/>
      <c r="JPS234" s="15"/>
      <c r="JPT234" s="15"/>
      <c r="JPU234" s="15"/>
      <c r="JPV234" s="15"/>
      <c r="JPW234" s="15"/>
      <c r="JPX234" s="15"/>
      <c r="JPY234" s="15"/>
      <c r="JPZ234" s="10"/>
      <c r="JQA234" s="10"/>
      <c r="JQB234" s="21"/>
      <c r="JQC234" s="21"/>
      <c r="JQF234" s="21"/>
      <c r="JQG234" s="15"/>
      <c r="JQH234" s="15"/>
      <c r="JQI234" s="15"/>
      <c r="JQJ234" s="15"/>
      <c r="JQK234" s="15"/>
      <c r="JQL234" s="15"/>
      <c r="JQM234" s="15"/>
      <c r="JQN234" s="15"/>
      <c r="JQO234" s="15"/>
      <c r="JQP234" s="15"/>
      <c r="JQQ234" s="10"/>
      <c r="JQR234" s="10"/>
      <c r="JQS234" s="21"/>
      <c r="JQT234" s="21"/>
      <c r="JQW234" s="21"/>
      <c r="JQX234" s="15"/>
      <c r="JQY234" s="15"/>
      <c r="JQZ234" s="15"/>
      <c r="JRA234" s="15"/>
      <c r="JRB234" s="15"/>
      <c r="JRC234" s="15"/>
      <c r="JRD234" s="15"/>
      <c r="JRE234" s="15"/>
      <c r="JRF234" s="15"/>
      <c r="JRG234" s="15"/>
      <c r="JRH234" s="10"/>
      <c r="JRI234" s="10"/>
      <c r="JRJ234" s="21"/>
      <c r="JRK234" s="21"/>
      <c r="JRN234" s="21"/>
      <c r="JRO234" s="15"/>
      <c r="JRP234" s="15"/>
      <c r="JRQ234" s="15"/>
      <c r="JRR234" s="15"/>
      <c r="JRS234" s="15"/>
      <c r="JRT234" s="15"/>
      <c r="JRU234" s="15"/>
      <c r="JRV234" s="15"/>
      <c r="JRW234" s="15"/>
      <c r="JRX234" s="15"/>
      <c r="JRY234" s="10"/>
      <c r="JRZ234" s="10"/>
      <c r="JSA234" s="21"/>
      <c r="JSB234" s="21"/>
      <c r="JSE234" s="21"/>
      <c r="JSF234" s="15"/>
      <c r="JSG234" s="15"/>
      <c r="JSH234" s="15"/>
      <c r="JSI234" s="15"/>
      <c r="JSJ234" s="15"/>
      <c r="JSK234" s="15"/>
      <c r="JSL234" s="15"/>
      <c r="JSM234" s="15"/>
      <c r="JSN234" s="15"/>
      <c r="JSO234" s="15"/>
      <c r="JSP234" s="10"/>
      <c r="JSQ234" s="10"/>
      <c r="JSR234" s="21"/>
      <c r="JSS234" s="21"/>
      <c r="JSV234" s="21"/>
      <c r="JSW234" s="15"/>
      <c r="JSX234" s="15"/>
      <c r="JSY234" s="15"/>
      <c r="JSZ234" s="15"/>
      <c r="JTA234" s="15"/>
      <c r="JTB234" s="15"/>
      <c r="JTC234" s="15"/>
      <c r="JTD234" s="15"/>
      <c r="JTE234" s="15"/>
      <c r="JTF234" s="15"/>
      <c r="JTG234" s="10"/>
      <c r="JTH234" s="10"/>
      <c r="JTI234" s="21"/>
      <c r="JTJ234" s="21"/>
      <c r="JTM234" s="21"/>
      <c r="JTN234" s="15"/>
      <c r="JTO234" s="15"/>
      <c r="JTP234" s="15"/>
      <c r="JTQ234" s="15"/>
      <c r="JTR234" s="15"/>
      <c r="JTS234" s="15"/>
      <c r="JTT234" s="15"/>
      <c r="JTU234" s="15"/>
      <c r="JTV234" s="15"/>
      <c r="JTW234" s="15"/>
      <c r="JTX234" s="10"/>
      <c r="JTY234" s="10"/>
      <c r="JTZ234" s="21"/>
      <c r="JUA234" s="21"/>
      <c r="JUD234" s="21"/>
      <c r="JUE234" s="15"/>
      <c r="JUF234" s="15"/>
      <c r="JUG234" s="15"/>
      <c r="JUH234" s="15"/>
      <c r="JUI234" s="15"/>
      <c r="JUJ234" s="15"/>
      <c r="JUK234" s="15"/>
      <c r="JUL234" s="15"/>
      <c r="JUM234" s="15"/>
      <c r="JUN234" s="15"/>
      <c r="JUO234" s="10"/>
      <c r="JUP234" s="10"/>
      <c r="JUQ234" s="21"/>
      <c r="JUR234" s="21"/>
      <c r="JUU234" s="21"/>
      <c r="JUV234" s="15"/>
      <c r="JUW234" s="15"/>
      <c r="JUX234" s="15"/>
      <c r="JUY234" s="15"/>
      <c r="JUZ234" s="15"/>
      <c r="JVA234" s="15"/>
      <c r="JVB234" s="15"/>
      <c r="JVC234" s="15"/>
      <c r="JVD234" s="15"/>
      <c r="JVE234" s="15"/>
      <c r="JVF234" s="10"/>
      <c r="JVG234" s="10"/>
      <c r="JVH234" s="21"/>
      <c r="JVI234" s="21"/>
      <c r="JVL234" s="21"/>
      <c r="JVM234" s="15"/>
      <c r="JVN234" s="15"/>
      <c r="JVO234" s="15"/>
      <c r="JVP234" s="15"/>
      <c r="JVQ234" s="15"/>
      <c r="JVR234" s="15"/>
      <c r="JVS234" s="15"/>
      <c r="JVT234" s="15"/>
      <c r="JVU234" s="15"/>
      <c r="JVV234" s="15"/>
      <c r="JVW234" s="10"/>
      <c r="JVX234" s="10"/>
      <c r="JVY234" s="21"/>
      <c r="JVZ234" s="21"/>
      <c r="JWC234" s="21"/>
      <c r="JWD234" s="15"/>
      <c r="JWE234" s="15"/>
      <c r="JWF234" s="15"/>
      <c r="JWG234" s="15"/>
      <c r="JWH234" s="15"/>
      <c r="JWI234" s="15"/>
      <c r="JWJ234" s="15"/>
      <c r="JWK234" s="15"/>
      <c r="JWL234" s="15"/>
      <c r="JWM234" s="15"/>
      <c r="JWN234" s="10"/>
      <c r="JWO234" s="10"/>
      <c r="JWP234" s="21"/>
      <c r="JWQ234" s="21"/>
      <c r="JWT234" s="21"/>
      <c r="JWU234" s="15"/>
      <c r="JWV234" s="15"/>
      <c r="JWW234" s="15"/>
      <c r="JWX234" s="15"/>
      <c r="JWY234" s="15"/>
      <c r="JWZ234" s="15"/>
      <c r="JXA234" s="15"/>
      <c r="JXB234" s="15"/>
      <c r="JXC234" s="15"/>
      <c r="JXD234" s="15"/>
      <c r="JXE234" s="10"/>
      <c r="JXF234" s="10"/>
      <c r="JXG234" s="21"/>
      <c r="JXH234" s="21"/>
      <c r="JXK234" s="21"/>
      <c r="JXL234" s="15"/>
      <c r="JXM234" s="15"/>
      <c r="JXN234" s="15"/>
      <c r="JXO234" s="15"/>
      <c r="JXP234" s="15"/>
      <c r="JXQ234" s="15"/>
      <c r="JXR234" s="15"/>
      <c r="JXS234" s="15"/>
      <c r="JXT234" s="15"/>
      <c r="JXU234" s="15"/>
      <c r="JXV234" s="10"/>
      <c r="JXW234" s="10"/>
      <c r="JXX234" s="21"/>
      <c r="JXY234" s="21"/>
      <c r="JYB234" s="21"/>
      <c r="JYC234" s="15"/>
      <c r="JYD234" s="15"/>
      <c r="JYE234" s="15"/>
      <c r="JYF234" s="15"/>
      <c r="JYG234" s="15"/>
      <c r="JYH234" s="15"/>
      <c r="JYI234" s="15"/>
      <c r="JYJ234" s="15"/>
      <c r="JYK234" s="15"/>
      <c r="JYL234" s="15"/>
      <c r="JYM234" s="10"/>
      <c r="JYN234" s="10"/>
      <c r="JYO234" s="21"/>
      <c r="JYP234" s="21"/>
      <c r="JYS234" s="21"/>
      <c r="JYT234" s="15"/>
      <c r="JYU234" s="15"/>
      <c r="JYV234" s="15"/>
      <c r="JYW234" s="15"/>
      <c r="JYX234" s="15"/>
      <c r="JYY234" s="15"/>
      <c r="JYZ234" s="15"/>
      <c r="JZA234" s="15"/>
      <c r="JZB234" s="15"/>
      <c r="JZC234" s="15"/>
      <c r="JZD234" s="10"/>
      <c r="JZE234" s="10"/>
      <c r="JZF234" s="21"/>
      <c r="JZG234" s="21"/>
      <c r="JZJ234" s="21"/>
      <c r="JZK234" s="15"/>
      <c r="JZL234" s="15"/>
      <c r="JZM234" s="15"/>
      <c r="JZN234" s="15"/>
      <c r="JZO234" s="15"/>
      <c r="JZP234" s="15"/>
      <c r="JZQ234" s="15"/>
      <c r="JZR234" s="15"/>
      <c r="JZS234" s="15"/>
      <c r="JZT234" s="15"/>
      <c r="JZU234" s="10"/>
      <c r="JZV234" s="10"/>
      <c r="JZW234" s="21"/>
      <c r="JZX234" s="21"/>
      <c r="KAA234" s="21"/>
      <c r="KAB234" s="15"/>
      <c r="KAC234" s="15"/>
      <c r="KAD234" s="15"/>
      <c r="KAE234" s="15"/>
      <c r="KAF234" s="15"/>
      <c r="KAG234" s="15"/>
      <c r="KAH234" s="15"/>
      <c r="KAI234" s="15"/>
      <c r="KAJ234" s="15"/>
      <c r="KAK234" s="15"/>
      <c r="KAL234" s="10"/>
      <c r="KAM234" s="10"/>
      <c r="KAN234" s="21"/>
      <c r="KAO234" s="21"/>
      <c r="KAR234" s="21"/>
      <c r="KAS234" s="15"/>
      <c r="KAT234" s="15"/>
      <c r="KAU234" s="15"/>
      <c r="KAV234" s="15"/>
      <c r="KAW234" s="15"/>
      <c r="KAX234" s="15"/>
      <c r="KAY234" s="15"/>
      <c r="KAZ234" s="15"/>
      <c r="KBA234" s="15"/>
      <c r="KBB234" s="15"/>
      <c r="KBC234" s="10"/>
      <c r="KBD234" s="10"/>
      <c r="KBE234" s="21"/>
      <c r="KBF234" s="21"/>
      <c r="KBI234" s="21"/>
      <c r="KBJ234" s="15"/>
      <c r="KBK234" s="15"/>
      <c r="KBL234" s="15"/>
      <c r="KBM234" s="15"/>
      <c r="KBN234" s="15"/>
      <c r="KBO234" s="15"/>
      <c r="KBP234" s="15"/>
      <c r="KBQ234" s="15"/>
      <c r="KBR234" s="15"/>
      <c r="KBS234" s="15"/>
      <c r="KBT234" s="10"/>
      <c r="KBU234" s="10"/>
      <c r="KBV234" s="21"/>
      <c r="KBW234" s="21"/>
      <c r="KBZ234" s="21"/>
      <c r="KCA234" s="15"/>
      <c r="KCB234" s="15"/>
      <c r="KCC234" s="15"/>
      <c r="KCD234" s="15"/>
      <c r="KCE234" s="15"/>
      <c r="KCF234" s="15"/>
      <c r="KCG234" s="15"/>
      <c r="KCH234" s="15"/>
      <c r="KCI234" s="15"/>
      <c r="KCJ234" s="15"/>
      <c r="KCK234" s="10"/>
      <c r="KCL234" s="10"/>
      <c r="KCM234" s="21"/>
      <c r="KCN234" s="21"/>
      <c r="KCQ234" s="21"/>
      <c r="KCR234" s="15"/>
      <c r="KCS234" s="15"/>
      <c r="KCT234" s="15"/>
      <c r="KCU234" s="15"/>
      <c r="KCV234" s="15"/>
      <c r="KCW234" s="15"/>
      <c r="KCX234" s="15"/>
      <c r="KCY234" s="15"/>
      <c r="KCZ234" s="15"/>
      <c r="KDA234" s="15"/>
      <c r="KDB234" s="10"/>
      <c r="KDC234" s="10"/>
      <c r="KDD234" s="21"/>
      <c r="KDE234" s="21"/>
      <c r="KDH234" s="21"/>
      <c r="KDI234" s="15"/>
      <c r="KDJ234" s="15"/>
      <c r="KDK234" s="15"/>
      <c r="KDL234" s="15"/>
      <c r="KDM234" s="15"/>
      <c r="KDN234" s="15"/>
      <c r="KDO234" s="15"/>
      <c r="KDP234" s="15"/>
      <c r="KDQ234" s="15"/>
      <c r="KDR234" s="15"/>
      <c r="KDS234" s="10"/>
      <c r="KDT234" s="10"/>
      <c r="KDU234" s="21"/>
      <c r="KDV234" s="21"/>
      <c r="KDY234" s="21"/>
      <c r="KDZ234" s="15"/>
      <c r="KEA234" s="15"/>
      <c r="KEB234" s="15"/>
      <c r="KEC234" s="15"/>
      <c r="KED234" s="15"/>
      <c r="KEE234" s="15"/>
      <c r="KEF234" s="15"/>
      <c r="KEG234" s="15"/>
      <c r="KEH234" s="15"/>
      <c r="KEI234" s="15"/>
      <c r="KEJ234" s="10"/>
      <c r="KEK234" s="10"/>
      <c r="KEL234" s="21"/>
      <c r="KEM234" s="21"/>
      <c r="KEP234" s="21"/>
      <c r="KEQ234" s="15"/>
      <c r="KER234" s="15"/>
      <c r="KES234" s="15"/>
      <c r="KET234" s="15"/>
      <c r="KEU234" s="15"/>
      <c r="KEV234" s="15"/>
      <c r="KEW234" s="15"/>
      <c r="KEX234" s="15"/>
      <c r="KEY234" s="15"/>
      <c r="KEZ234" s="15"/>
      <c r="KFA234" s="10"/>
      <c r="KFB234" s="10"/>
      <c r="KFC234" s="21"/>
      <c r="KFD234" s="21"/>
      <c r="KFG234" s="21"/>
      <c r="KFH234" s="15"/>
      <c r="KFI234" s="15"/>
      <c r="KFJ234" s="15"/>
      <c r="KFK234" s="15"/>
      <c r="KFL234" s="15"/>
      <c r="KFM234" s="15"/>
      <c r="KFN234" s="15"/>
      <c r="KFO234" s="15"/>
      <c r="KFP234" s="15"/>
      <c r="KFQ234" s="15"/>
      <c r="KFR234" s="10"/>
      <c r="KFS234" s="10"/>
      <c r="KFT234" s="21"/>
      <c r="KFU234" s="21"/>
      <c r="KFX234" s="21"/>
      <c r="KFY234" s="15"/>
      <c r="KFZ234" s="15"/>
      <c r="KGA234" s="15"/>
      <c r="KGB234" s="15"/>
      <c r="KGC234" s="15"/>
      <c r="KGD234" s="15"/>
      <c r="KGE234" s="15"/>
      <c r="KGF234" s="15"/>
      <c r="KGG234" s="15"/>
      <c r="KGH234" s="15"/>
      <c r="KGI234" s="10"/>
      <c r="KGJ234" s="10"/>
      <c r="KGK234" s="21"/>
      <c r="KGL234" s="21"/>
      <c r="KGO234" s="21"/>
      <c r="KGP234" s="15"/>
      <c r="KGQ234" s="15"/>
      <c r="KGR234" s="15"/>
      <c r="KGS234" s="15"/>
      <c r="KGT234" s="15"/>
      <c r="KGU234" s="15"/>
      <c r="KGV234" s="15"/>
      <c r="KGW234" s="15"/>
      <c r="KGX234" s="15"/>
      <c r="KGY234" s="15"/>
      <c r="KGZ234" s="10"/>
      <c r="KHA234" s="10"/>
      <c r="KHB234" s="21"/>
      <c r="KHC234" s="21"/>
      <c r="KHF234" s="21"/>
      <c r="KHG234" s="15"/>
      <c r="KHH234" s="15"/>
      <c r="KHI234" s="15"/>
      <c r="KHJ234" s="15"/>
      <c r="KHK234" s="15"/>
      <c r="KHL234" s="15"/>
      <c r="KHM234" s="15"/>
      <c r="KHN234" s="15"/>
      <c r="KHO234" s="15"/>
      <c r="KHP234" s="15"/>
      <c r="KHQ234" s="10"/>
      <c r="KHR234" s="10"/>
      <c r="KHS234" s="21"/>
      <c r="KHT234" s="21"/>
      <c r="KHW234" s="21"/>
      <c r="KHX234" s="15"/>
      <c r="KHY234" s="15"/>
      <c r="KHZ234" s="15"/>
      <c r="KIA234" s="15"/>
      <c r="KIB234" s="15"/>
      <c r="KIC234" s="15"/>
      <c r="KID234" s="15"/>
      <c r="KIE234" s="15"/>
      <c r="KIF234" s="15"/>
      <c r="KIG234" s="15"/>
      <c r="KIH234" s="10"/>
      <c r="KII234" s="10"/>
      <c r="KIJ234" s="21"/>
      <c r="KIK234" s="21"/>
      <c r="KIN234" s="21"/>
      <c r="KIO234" s="15"/>
      <c r="KIP234" s="15"/>
      <c r="KIQ234" s="15"/>
      <c r="KIR234" s="15"/>
      <c r="KIS234" s="15"/>
      <c r="KIT234" s="15"/>
      <c r="KIU234" s="15"/>
      <c r="KIV234" s="15"/>
      <c r="KIW234" s="15"/>
      <c r="KIX234" s="15"/>
      <c r="KIY234" s="10"/>
      <c r="KIZ234" s="10"/>
      <c r="KJA234" s="21"/>
      <c r="KJB234" s="21"/>
      <c r="KJE234" s="21"/>
      <c r="KJF234" s="15"/>
      <c r="KJG234" s="15"/>
      <c r="KJH234" s="15"/>
      <c r="KJI234" s="15"/>
      <c r="KJJ234" s="15"/>
      <c r="KJK234" s="15"/>
      <c r="KJL234" s="15"/>
      <c r="KJM234" s="15"/>
      <c r="KJN234" s="15"/>
      <c r="KJO234" s="15"/>
      <c r="KJP234" s="10"/>
      <c r="KJQ234" s="10"/>
      <c r="KJR234" s="21"/>
      <c r="KJS234" s="21"/>
      <c r="KJV234" s="21"/>
      <c r="KJW234" s="15"/>
      <c r="KJX234" s="15"/>
      <c r="KJY234" s="15"/>
      <c r="KJZ234" s="15"/>
      <c r="KKA234" s="15"/>
      <c r="KKB234" s="15"/>
      <c r="KKC234" s="15"/>
      <c r="KKD234" s="15"/>
      <c r="KKE234" s="15"/>
      <c r="KKF234" s="15"/>
      <c r="KKG234" s="10"/>
      <c r="KKH234" s="10"/>
      <c r="KKI234" s="21"/>
      <c r="KKJ234" s="21"/>
      <c r="KKM234" s="21"/>
      <c r="KKN234" s="15"/>
      <c r="KKO234" s="15"/>
      <c r="KKP234" s="15"/>
      <c r="KKQ234" s="15"/>
      <c r="KKR234" s="15"/>
      <c r="KKS234" s="15"/>
      <c r="KKT234" s="15"/>
      <c r="KKU234" s="15"/>
      <c r="KKV234" s="15"/>
      <c r="KKW234" s="15"/>
      <c r="KKX234" s="10"/>
      <c r="KKY234" s="10"/>
      <c r="KKZ234" s="21"/>
      <c r="KLA234" s="21"/>
      <c r="KLD234" s="21"/>
      <c r="KLE234" s="15"/>
      <c r="KLF234" s="15"/>
      <c r="KLG234" s="15"/>
      <c r="KLH234" s="15"/>
      <c r="KLI234" s="15"/>
      <c r="KLJ234" s="15"/>
      <c r="KLK234" s="15"/>
      <c r="KLL234" s="15"/>
      <c r="KLM234" s="15"/>
      <c r="KLN234" s="15"/>
      <c r="KLO234" s="10"/>
      <c r="KLP234" s="10"/>
      <c r="KLQ234" s="21"/>
      <c r="KLR234" s="21"/>
      <c r="KLU234" s="21"/>
      <c r="KLV234" s="15"/>
      <c r="KLW234" s="15"/>
      <c r="KLX234" s="15"/>
      <c r="KLY234" s="15"/>
      <c r="KLZ234" s="15"/>
      <c r="KMA234" s="15"/>
      <c r="KMB234" s="15"/>
      <c r="KMC234" s="15"/>
      <c r="KMD234" s="15"/>
      <c r="KME234" s="15"/>
      <c r="KMF234" s="10"/>
      <c r="KMG234" s="10"/>
      <c r="KMH234" s="21"/>
      <c r="KMI234" s="21"/>
      <c r="KML234" s="21"/>
      <c r="KMM234" s="15"/>
      <c r="KMN234" s="15"/>
      <c r="KMO234" s="15"/>
      <c r="KMP234" s="15"/>
      <c r="KMQ234" s="15"/>
      <c r="KMR234" s="15"/>
      <c r="KMS234" s="15"/>
      <c r="KMT234" s="15"/>
      <c r="KMU234" s="15"/>
      <c r="KMV234" s="15"/>
      <c r="KMW234" s="10"/>
      <c r="KMX234" s="10"/>
      <c r="KMY234" s="21"/>
      <c r="KMZ234" s="21"/>
      <c r="KNC234" s="21"/>
      <c r="KND234" s="15"/>
      <c r="KNE234" s="15"/>
      <c r="KNF234" s="15"/>
      <c r="KNG234" s="15"/>
      <c r="KNH234" s="15"/>
      <c r="KNI234" s="15"/>
      <c r="KNJ234" s="15"/>
      <c r="KNK234" s="15"/>
      <c r="KNL234" s="15"/>
      <c r="KNM234" s="15"/>
      <c r="KNN234" s="10"/>
      <c r="KNO234" s="10"/>
      <c r="KNP234" s="21"/>
      <c r="KNQ234" s="21"/>
      <c r="KNT234" s="21"/>
      <c r="KNU234" s="15"/>
      <c r="KNV234" s="15"/>
      <c r="KNW234" s="15"/>
      <c r="KNX234" s="15"/>
      <c r="KNY234" s="15"/>
      <c r="KNZ234" s="15"/>
      <c r="KOA234" s="15"/>
      <c r="KOB234" s="15"/>
      <c r="KOC234" s="15"/>
      <c r="KOD234" s="15"/>
      <c r="KOE234" s="10"/>
      <c r="KOF234" s="10"/>
      <c r="KOG234" s="21"/>
      <c r="KOH234" s="21"/>
      <c r="KOK234" s="21"/>
      <c r="KOL234" s="15"/>
      <c r="KOM234" s="15"/>
      <c r="KON234" s="15"/>
      <c r="KOO234" s="15"/>
      <c r="KOP234" s="15"/>
      <c r="KOQ234" s="15"/>
      <c r="KOR234" s="15"/>
      <c r="KOS234" s="15"/>
      <c r="KOT234" s="15"/>
      <c r="KOU234" s="15"/>
      <c r="KOV234" s="10"/>
      <c r="KOW234" s="10"/>
      <c r="KOX234" s="21"/>
      <c r="KOY234" s="21"/>
      <c r="KPB234" s="21"/>
      <c r="KPC234" s="15"/>
      <c r="KPD234" s="15"/>
      <c r="KPE234" s="15"/>
      <c r="KPF234" s="15"/>
      <c r="KPG234" s="15"/>
      <c r="KPH234" s="15"/>
      <c r="KPI234" s="15"/>
      <c r="KPJ234" s="15"/>
      <c r="KPK234" s="15"/>
      <c r="KPL234" s="15"/>
      <c r="KPM234" s="10"/>
      <c r="KPN234" s="10"/>
      <c r="KPO234" s="21"/>
      <c r="KPP234" s="21"/>
      <c r="KPS234" s="21"/>
      <c r="KPT234" s="15"/>
      <c r="KPU234" s="15"/>
      <c r="KPV234" s="15"/>
      <c r="KPW234" s="15"/>
      <c r="KPX234" s="15"/>
      <c r="KPY234" s="15"/>
      <c r="KPZ234" s="15"/>
      <c r="KQA234" s="15"/>
      <c r="KQB234" s="15"/>
      <c r="KQC234" s="15"/>
      <c r="KQD234" s="10"/>
      <c r="KQE234" s="10"/>
      <c r="KQF234" s="21"/>
      <c r="KQG234" s="21"/>
      <c r="KQJ234" s="21"/>
      <c r="KQK234" s="15"/>
      <c r="KQL234" s="15"/>
      <c r="KQM234" s="15"/>
      <c r="KQN234" s="15"/>
      <c r="KQO234" s="15"/>
      <c r="KQP234" s="15"/>
      <c r="KQQ234" s="15"/>
      <c r="KQR234" s="15"/>
      <c r="KQS234" s="15"/>
      <c r="KQT234" s="15"/>
      <c r="KQU234" s="10"/>
      <c r="KQV234" s="10"/>
      <c r="KQW234" s="21"/>
      <c r="KQX234" s="21"/>
      <c r="KRA234" s="21"/>
      <c r="KRB234" s="15"/>
      <c r="KRC234" s="15"/>
      <c r="KRD234" s="15"/>
      <c r="KRE234" s="15"/>
      <c r="KRF234" s="15"/>
      <c r="KRG234" s="15"/>
      <c r="KRH234" s="15"/>
      <c r="KRI234" s="15"/>
      <c r="KRJ234" s="15"/>
      <c r="KRK234" s="15"/>
      <c r="KRL234" s="10"/>
      <c r="KRM234" s="10"/>
      <c r="KRN234" s="21"/>
      <c r="KRO234" s="21"/>
      <c r="KRR234" s="21"/>
      <c r="KRS234" s="15"/>
      <c r="KRT234" s="15"/>
      <c r="KRU234" s="15"/>
      <c r="KRV234" s="15"/>
      <c r="KRW234" s="15"/>
      <c r="KRX234" s="15"/>
      <c r="KRY234" s="15"/>
      <c r="KRZ234" s="15"/>
      <c r="KSA234" s="15"/>
      <c r="KSB234" s="15"/>
      <c r="KSC234" s="10"/>
      <c r="KSD234" s="10"/>
      <c r="KSE234" s="21"/>
      <c r="KSF234" s="21"/>
      <c r="KSI234" s="21"/>
      <c r="KSJ234" s="15"/>
      <c r="KSK234" s="15"/>
      <c r="KSL234" s="15"/>
      <c r="KSM234" s="15"/>
      <c r="KSN234" s="15"/>
      <c r="KSO234" s="15"/>
      <c r="KSP234" s="15"/>
      <c r="KSQ234" s="15"/>
      <c r="KSR234" s="15"/>
      <c r="KSS234" s="15"/>
      <c r="KST234" s="10"/>
      <c r="KSU234" s="10"/>
      <c r="KSV234" s="21"/>
      <c r="KSW234" s="21"/>
      <c r="KSZ234" s="21"/>
      <c r="KTA234" s="15"/>
      <c r="KTB234" s="15"/>
      <c r="KTC234" s="15"/>
      <c r="KTD234" s="15"/>
      <c r="KTE234" s="15"/>
      <c r="KTF234" s="15"/>
      <c r="KTG234" s="15"/>
      <c r="KTH234" s="15"/>
      <c r="KTI234" s="15"/>
      <c r="KTJ234" s="15"/>
      <c r="KTK234" s="10"/>
      <c r="KTL234" s="10"/>
      <c r="KTM234" s="21"/>
      <c r="KTN234" s="21"/>
      <c r="KTQ234" s="21"/>
      <c r="KTR234" s="15"/>
      <c r="KTS234" s="15"/>
      <c r="KTT234" s="15"/>
      <c r="KTU234" s="15"/>
      <c r="KTV234" s="15"/>
      <c r="KTW234" s="15"/>
      <c r="KTX234" s="15"/>
      <c r="KTY234" s="15"/>
      <c r="KTZ234" s="15"/>
      <c r="KUA234" s="15"/>
      <c r="KUB234" s="10"/>
      <c r="KUC234" s="10"/>
      <c r="KUD234" s="21"/>
      <c r="KUE234" s="21"/>
      <c r="KUH234" s="21"/>
      <c r="KUI234" s="15"/>
      <c r="KUJ234" s="15"/>
      <c r="KUK234" s="15"/>
      <c r="KUL234" s="15"/>
      <c r="KUM234" s="15"/>
      <c r="KUN234" s="15"/>
      <c r="KUO234" s="15"/>
      <c r="KUP234" s="15"/>
      <c r="KUQ234" s="15"/>
      <c r="KUR234" s="15"/>
      <c r="KUS234" s="10"/>
      <c r="KUT234" s="10"/>
      <c r="KUU234" s="21"/>
      <c r="KUV234" s="21"/>
      <c r="KUY234" s="21"/>
      <c r="KUZ234" s="15"/>
      <c r="KVA234" s="15"/>
      <c r="KVB234" s="15"/>
      <c r="KVC234" s="15"/>
      <c r="KVD234" s="15"/>
      <c r="KVE234" s="15"/>
      <c r="KVF234" s="15"/>
      <c r="KVG234" s="15"/>
      <c r="KVH234" s="15"/>
      <c r="KVI234" s="15"/>
      <c r="KVJ234" s="10"/>
      <c r="KVK234" s="10"/>
      <c r="KVL234" s="21"/>
      <c r="KVM234" s="21"/>
      <c r="KVP234" s="21"/>
      <c r="KVQ234" s="15"/>
      <c r="KVR234" s="15"/>
      <c r="KVS234" s="15"/>
      <c r="KVT234" s="15"/>
      <c r="KVU234" s="15"/>
      <c r="KVV234" s="15"/>
      <c r="KVW234" s="15"/>
      <c r="KVX234" s="15"/>
      <c r="KVY234" s="15"/>
      <c r="KVZ234" s="15"/>
      <c r="KWA234" s="10"/>
      <c r="KWB234" s="10"/>
      <c r="KWC234" s="21"/>
      <c r="KWD234" s="21"/>
      <c r="KWG234" s="21"/>
      <c r="KWH234" s="15"/>
      <c r="KWI234" s="15"/>
      <c r="KWJ234" s="15"/>
      <c r="KWK234" s="15"/>
      <c r="KWL234" s="15"/>
      <c r="KWM234" s="15"/>
      <c r="KWN234" s="15"/>
      <c r="KWO234" s="15"/>
      <c r="KWP234" s="15"/>
      <c r="KWQ234" s="15"/>
      <c r="KWR234" s="10"/>
      <c r="KWS234" s="10"/>
      <c r="KWT234" s="21"/>
      <c r="KWU234" s="21"/>
      <c r="KWX234" s="21"/>
      <c r="KWY234" s="15"/>
      <c r="KWZ234" s="15"/>
      <c r="KXA234" s="15"/>
      <c r="KXB234" s="15"/>
      <c r="KXC234" s="15"/>
      <c r="KXD234" s="15"/>
      <c r="KXE234" s="15"/>
      <c r="KXF234" s="15"/>
      <c r="KXG234" s="15"/>
      <c r="KXH234" s="15"/>
      <c r="KXI234" s="10"/>
      <c r="KXJ234" s="10"/>
      <c r="KXK234" s="21"/>
      <c r="KXL234" s="21"/>
      <c r="KXO234" s="21"/>
      <c r="KXP234" s="15"/>
      <c r="KXQ234" s="15"/>
      <c r="KXR234" s="15"/>
      <c r="KXS234" s="15"/>
      <c r="KXT234" s="15"/>
      <c r="KXU234" s="15"/>
      <c r="KXV234" s="15"/>
      <c r="KXW234" s="15"/>
      <c r="KXX234" s="15"/>
      <c r="KXY234" s="15"/>
      <c r="KXZ234" s="10"/>
      <c r="KYA234" s="10"/>
      <c r="KYB234" s="21"/>
      <c r="KYC234" s="21"/>
      <c r="KYF234" s="21"/>
      <c r="KYG234" s="15"/>
      <c r="KYH234" s="15"/>
      <c r="KYI234" s="15"/>
      <c r="KYJ234" s="15"/>
      <c r="KYK234" s="15"/>
      <c r="KYL234" s="15"/>
      <c r="KYM234" s="15"/>
      <c r="KYN234" s="15"/>
      <c r="KYO234" s="15"/>
      <c r="KYP234" s="15"/>
      <c r="KYQ234" s="10"/>
      <c r="KYR234" s="10"/>
      <c r="KYS234" s="21"/>
      <c r="KYT234" s="21"/>
      <c r="KYW234" s="21"/>
      <c r="KYX234" s="15"/>
      <c r="KYY234" s="15"/>
      <c r="KYZ234" s="15"/>
      <c r="KZA234" s="15"/>
      <c r="KZB234" s="15"/>
      <c r="KZC234" s="15"/>
      <c r="KZD234" s="15"/>
      <c r="KZE234" s="15"/>
      <c r="KZF234" s="15"/>
      <c r="KZG234" s="15"/>
      <c r="KZH234" s="10"/>
      <c r="KZI234" s="10"/>
      <c r="KZJ234" s="21"/>
      <c r="KZK234" s="21"/>
      <c r="KZN234" s="21"/>
      <c r="KZO234" s="15"/>
      <c r="KZP234" s="15"/>
      <c r="KZQ234" s="15"/>
      <c r="KZR234" s="15"/>
      <c r="KZS234" s="15"/>
      <c r="KZT234" s="15"/>
      <c r="KZU234" s="15"/>
      <c r="KZV234" s="15"/>
      <c r="KZW234" s="15"/>
      <c r="KZX234" s="15"/>
      <c r="KZY234" s="10"/>
      <c r="KZZ234" s="10"/>
      <c r="LAA234" s="21"/>
      <c r="LAB234" s="21"/>
      <c r="LAE234" s="21"/>
      <c r="LAF234" s="15"/>
      <c r="LAG234" s="15"/>
      <c r="LAH234" s="15"/>
      <c r="LAI234" s="15"/>
      <c r="LAJ234" s="15"/>
      <c r="LAK234" s="15"/>
      <c r="LAL234" s="15"/>
      <c r="LAM234" s="15"/>
      <c r="LAN234" s="15"/>
      <c r="LAO234" s="15"/>
      <c r="LAP234" s="10"/>
      <c r="LAQ234" s="10"/>
      <c r="LAR234" s="21"/>
      <c r="LAS234" s="21"/>
      <c r="LAV234" s="21"/>
      <c r="LAW234" s="15"/>
      <c r="LAX234" s="15"/>
      <c r="LAY234" s="15"/>
      <c r="LAZ234" s="15"/>
      <c r="LBA234" s="15"/>
      <c r="LBB234" s="15"/>
      <c r="LBC234" s="15"/>
      <c r="LBD234" s="15"/>
      <c r="LBE234" s="15"/>
      <c r="LBF234" s="15"/>
      <c r="LBG234" s="10"/>
      <c r="LBH234" s="10"/>
      <c r="LBI234" s="21"/>
      <c r="LBJ234" s="21"/>
      <c r="LBM234" s="21"/>
      <c r="LBN234" s="15"/>
      <c r="LBO234" s="15"/>
      <c r="LBP234" s="15"/>
      <c r="LBQ234" s="15"/>
      <c r="LBR234" s="15"/>
      <c r="LBS234" s="15"/>
      <c r="LBT234" s="15"/>
      <c r="LBU234" s="15"/>
      <c r="LBV234" s="15"/>
      <c r="LBW234" s="15"/>
      <c r="LBX234" s="10"/>
      <c r="LBY234" s="10"/>
      <c r="LBZ234" s="21"/>
      <c r="LCA234" s="21"/>
      <c r="LCD234" s="21"/>
      <c r="LCE234" s="15"/>
      <c r="LCF234" s="15"/>
      <c r="LCG234" s="15"/>
      <c r="LCH234" s="15"/>
      <c r="LCI234" s="15"/>
      <c r="LCJ234" s="15"/>
      <c r="LCK234" s="15"/>
      <c r="LCL234" s="15"/>
      <c r="LCM234" s="15"/>
      <c r="LCN234" s="15"/>
      <c r="LCO234" s="10"/>
      <c r="LCP234" s="10"/>
      <c r="LCQ234" s="21"/>
      <c r="LCR234" s="21"/>
      <c r="LCU234" s="21"/>
      <c r="LCV234" s="15"/>
      <c r="LCW234" s="15"/>
      <c r="LCX234" s="15"/>
      <c r="LCY234" s="15"/>
      <c r="LCZ234" s="15"/>
      <c r="LDA234" s="15"/>
      <c r="LDB234" s="15"/>
      <c r="LDC234" s="15"/>
      <c r="LDD234" s="15"/>
      <c r="LDE234" s="15"/>
      <c r="LDF234" s="10"/>
      <c r="LDG234" s="10"/>
      <c r="LDH234" s="21"/>
      <c r="LDI234" s="21"/>
      <c r="LDL234" s="21"/>
      <c r="LDM234" s="15"/>
      <c r="LDN234" s="15"/>
      <c r="LDO234" s="15"/>
      <c r="LDP234" s="15"/>
      <c r="LDQ234" s="15"/>
      <c r="LDR234" s="15"/>
      <c r="LDS234" s="15"/>
      <c r="LDT234" s="15"/>
      <c r="LDU234" s="15"/>
      <c r="LDV234" s="15"/>
      <c r="LDW234" s="10"/>
      <c r="LDX234" s="10"/>
      <c r="LDY234" s="21"/>
      <c r="LDZ234" s="21"/>
      <c r="LEC234" s="21"/>
      <c r="LED234" s="15"/>
      <c r="LEE234" s="15"/>
      <c r="LEF234" s="15"/>
      <c r="LEG234" s="15"/>
      <c r="LEH234" s="15"/>
      <c r="LEI234" s="15"/>
      <c r="LEJ234" s="15"/>
      <c r="LEK234" s="15"/>
      <c r="LEL234" s="15"/>
      <c r="LEM234" s="15"/>
      <c r="LEN234" s="10"/>
      <c r="LEO234" s="10"/>
      <c r="LEP234" s="21"/>
      <c r="LEQ234" s="21"/>
      <c r="LET234" s="21"/>
      <c r="LEU234" s="15"/>
      <c r="LEV234" s="15"/>
      <c r="LEW234" s="15"/>
      <c r="LEX234" s="15"/>
      <c r="LEY234" s="15"/>
      <c r="LEZ234" s="15"/>
      <c r="LFA234" s="15"/>
      <c r="LFB234" s="15"/>
      <c r="LFC234" s="15"/>
      <c r="LFD234" s="15"/>
      <c r="LFE234" s="10"/>
      <c r="LFF234" s="10"/>
      <c r="LFG234" s="21"/>
      <c r="LFH234" s="21"/>
      <c r="LFK234" s="21"/>
      <c r="LFL234" s="15"/>
      <c r="LFM234" s="15"/>
      <c r="LFN234" s="15"/>
      <c r="LFO234" s="15"/>
      <c r="LFP234" s="15"/>
      <c r="LFQ234" s="15"/>
      <c r="LFR234" s="15"/>
      <c r="LFS234" s="15"/>
      <c r="LFT234" s="15"/>
      <c r="LFU234" s="15"/>
      <c r="LFV234" s="10"/>
      <c r="LFW234" s="10"/>
      <c r="LFX234" s="21"/>
      <c r="LFY234" s="21"/>
      <c r="LGB234" s="21"/>
      <c r="LGC234" s="15"/>
      <c r="LGD234" s="15"/>
      <c r="LGE234" s="15"/>
      <c r="LGF234" s="15"/>
      <c r="LGG234" s="15"/>
      <c r="LGH234" s="15"/>
      <c r="LGI234" s="15"/>
      <c r="LGJ234" s="15"/>
      <c r="LGK234" s="15"/>
      <c r="LGL234" s="15"/>
      <c r="LGM234" s="10"/>
      <c r="LGN234" s="10"/>
      <c r="LGO234" s="21"/>
      <c r="LGP234" s="21"/>
      <c r="LGS234" s="21"/>
      <c r="LGT234" s="15"/>
      <c r="LGU234" s="15"/>
      <c r="LGV234" s="15"/>
      <c r="LGW234" s="15"/>
      <c r="LGX234" s="15"/>
      <c r="LGY234" s="15"/>
      <c r="LGZ234" s="15"/>
      <c r="LHA234" s="15"/>
      <c r="LHB234" s="15"/>
      <c r="LHC234" s="15"/>
      <c r="LHD234" s="10"/>
      <c r="LHE234" s="10"/>
      <c r="LHF234" s="21"/>
      <c r="LHG234" s="21"/>
      <c r="LHJ234" s="21"/>
      <c r="LHK234" s="15"/>
      <c r="LHL234" s="15"/>
      <c r="LHM234" s="15"/>
      <c r="LHN234" s="15"/>
      <c r="LHO234" s="15"/>
      <c r="LHP234" s="15"/>
      <c r="LHQ234" s="15"/>
      <c r="LHR234" s="15"/>
      <c r="LHS234" s="15"/>
      <c r="LHT234" s="15"/>
      <c r="LHU234" s="10"/>
      <c r="LHV234" s="10"/>
      <c r="LHW234" s="21"/>
      <c r="LHX234" s="21"/>
      <c r="LIA234" s="21"/>
      <c r="LIB234" s="15"/>
      <c r="LIC234" s="15"/>
      <c r="LID234" s="15"/>
      <c r="LIE234" s="15"/>
      <c r="LIF234" s="15"/>
      <c r="LIG234" s="15"/>
      <c r="LIH234" s="15"/>
      <c r="LII234" s="15"/>
      <c r="LIJ234" s="15"/>
      <c r="LIK234" s="15"/>
      <c r="LIL234" s="10"/>
      <c r="LIM234" s="10"/>
      <c r="LIN234" s="21"/>
      <c r="LIO234" s="21"/>
      <c r="LIR234" s="21"/>
      <c r="LIS234" s="15"/>
      <c r="LIT234" s="15"/>
      <c r="LIU234" s="15"/>
      <c r="LIV234" s="15"/>
      <c r="LIW234" s="15"/>
      <c r="LIX234" s="15"/>
      <c r="LIY234" s="15"/>
      <c r="LIZ234" s="15"/>
      <c r="LJA234" s="15"/>
      <c r="LJB234" s="15"/>
      <c r="LJC234" s="10"/>
      <c r="LJD234" s="10"/>
      <c r="LJE234" s="21"/>
      <c r="LJF234" s="21"/>
      <c r="LJI234" s="21"/>
      <c r="LJJ234" s="15"/>
      <c r="LJK234" s="15"/>
      <c r="LJL234" s="15"/>
      <c r="LJM234" s="15"/>
      <c r="LJN234" s="15"/>
      <c r="LJO234" s="15"/>
      <c r="LJP234" s="15"/>
      <c r="LJQ234" s="15"/>
      <c r="LJR234" s="15"/>
      <c r="LJS234" s="15"/>
      <c r="LJT234" s="10"/>
      <c r="LJU234" s="10"/>
      <c r="LJV234" s="21"/>
      <c r="LJW234" s="21"/>
      <c r="LJZ234" s="21"/>
      <c r="LKA234" s="15"/>
      <c r="LKB234" s="15"/>
      <c r="LKC234" s="15"/>
      <c r="LKD234" s="15"/>
      <c r="LKE234" s="15"/>
      <c r="LKF234" s="15"/>
      <c r="LKG234" s="15"/>
      <c r="LKH234" s="15"/>
      <c r="LKI234" s="15"/>
      <c r="LKJ234" s="15"/>
      <c r="LKK234" s="10"/>
      <c r="LKL234" s="10"/>
      <c r="LKM234" s="21"/>
      <c r="LKN234" s="21"/>
      <c r="LKQ234" s="21"/>
      <c r="LKR234" s="15"/>
      <c r="LKS234" s="15"/>
      <c r="LKT234" s="15"/>
      <c r="LKU234" s="15"/>
      <c r="LKV234" s="15"/>
      <c r="LKW234" s="15"/>
      <c r="LKX234" s="15"/>
      <c r="LKY234" s="15"/>
      <c r="LKZ234" s="15"/>
      <c r="LLA234" s="15"/>
      <c r="LLB234" s="10"/>
      <c r="LLC234" s="10"/>
      <c r="LLD234" s="21"/>
      <c r="LLE234" s="21"/>
      <c r="LLH234" s="21"/>
      <c r="LLI234" s="15"/>
      <c r="LLJ234" s="15"/>
      <c r="LLK234" s="15"/>
      <c r="LLL234" s="15"/>
      <c r="LLM234" s="15"/>
      <c r="LLN234" s="15"/>
      <c r="LLO234" s="15"/>
      <c r="LLP234" s="15"/>
      <c r="LLQ234" s="15"/>
      <c r="LLR234" s="15"/>
      <c r="LLS234" s="10"/>
      <c r="LLT234" s="10"/>
      <c r="LLU234" s="21"/>
      <c r="LLV234" s="21"/>
      <c r="LLY234" s="21"/>
      <c r="LLZ234" s="15"/>
      <c r="LMA234" s="15"/>
      <c r="LMB234" s="15"/>
      <c r="LMC234" s="15"/>
      <c r="LMD234" s="15"/>
      <c r="LME234" s="15"/>
      <c r="LMF234" s="15"/>
      <c r="LMG234" s="15"/>
      <c r="LMH234" s="15"/>
      <c r="LMI234" s="15"/>
      <c r="LMJ234" s="10"/>
      <c r="LMK234" s="10"/>
      <c r="LML234" s="21"/>
      <c r="LMM234" s="21"/>
      <c r="LMP234" s="21"/>
      <c r="LMQ234" s="15"/>
      <c r="LMR234" s="15"/>
      <c r="LMS234" s="15"/>
      <c r="LMT234" s="15"/>
      <c r="LMU234" s="15"/>
      <c r="LMV234" s="15"/>
      <c r="LMW234" s="15"/>
      <c r="LMX234" s="15"/>
      <c r="LMY234" s="15"/>
      <c r="LMZ234" s="15"/>
      <c r="LNA234" s="10"/>
      <c r="LNB234" s="10"/>
      <c r="LNC234" s="21"/>
      <c r="LND234" s="21"/>
      <c r="LNG234" s="21"/>
      <c r="LNH234" s="15"/>
      <c r="LNI234" s="15"/>
      <c r="LNJ234" s="15"/>
      <c r="LNK234" s="15"/>
      <c r="LNL234" s="15"/>
      <c r="LNM234" s="15"/>
      <c r="LNN234" s="15"/>
      <c r="LNO234" s="15"/>
      <c r="LNP234" s="15"/>
      <c r="LNQ234" s="15"/>
      <c r="LNR234" s="10"/>
      <c r="LNS234" s="10"/>
      <c r="LNT234" s="21"/>
      <c r="LNU234" s="21"/>
      <c r="LNX234" s="21"/>
      <c r="LNY234" s="15"/>
      <c r="LNZ234" s="15"/>
      <c r="LOA234" s="15"/>
      <c r="LOB234" s="15"/>
      <c r="LOC234" s="15"/>
      <c r="LOD234" s="15"/>
      <c r="LOE234" s="15"/>
      <c r="LOF234" s="15"/>
      <c r="LOG234" s="15"/>
      <c r="LOH234" s="15"/>
      <c r="LOI234" s="10"/>
      <c r="LOJ234" s="10"/>
      <c r="LOK234" s="21"/>
      <c r="LOL234" s="21"/>
      <c r="LOO234" s="21"/>
      <c r="LOP234" s="15"/>
      <c r="LOQ234" s="15"/>
      <c r="LOR234" s="15"/>
      <c r="LOS234" s="15"/>
      <c r="LOT234" s="15"/>
      <c r="LOU234" s="15"/>
      <c r="LOV234" s="15"/>
      <c r="LOW234" s="15"/>
      <c r="LOX234" s="15"/>
      <c r="LOY234" s="15"/>
      <c r="LOZ234" s="10"/>
      <c r="LPA234" s="10"/>
      <c r="LPB234" s="21"/>
      <c r="LPC234" s="21"/>
      <c r="LPF234" s="21"/>
      <c r="LPG234" s="15"/>
      <c r="LPH234" s="15"/>
      <c r="LPI234" s="15"/>
      <c r="LPJ234" s="15"/>
      <c r="LPK234" s="15"/>
      <c r="LPL234" s="15"/>
      <c r="LPM234" s="15"/>
      <c r="LPN234" s="15"/>
      <c r="LPO234" s="15"/>
      <c r="LPP234" s="15"/>
      <c r="LPQ234" s="10"/>
      <c r="LPR234" s="10"/>
      <c r="LPS234" s="21"/>
      <c r="LPT234" s="21"/>
      <c r="LPW234" s="21"/>
      <c r="LPX234" s="15"/>
      <c r="LPY234" s="15"/>
      <c r="LPZ234" s="15"/>
      <c r="LQA234" s="15"/>
      <c r="LQB234" s="15"/>
      <c r="LQC234" s="15"/>
      <c r="LQD234" s="15"/>
      <c r="LQE234" s="15"/>
      <c r="LQF234" s="15"/>
      <c r="LQG234" s="15"/>
      <c r="LQH234" s="10"/>
      <c r="LQI234" s="10"/>
      <c r="LQJ234" s="21"/>
      <c r="LQK234" s="21"/>
      <c r="LQN234" s="21"/>
      <c r="LQO234" s="15"/>
      <c r="LQP234" s="15"/>
      <c r="LQQ234" s="15"/>
      <c r="LQR234" s="15"/>
      <c r="LQS234" s="15"/>
      <c r="LQT234" s="15"/>
      <c r="LQU234" s="15"/>
      <c r="LQV234" s="15"/>
      <c r="LQW234" s="15"/>
      <c r="LQX234" s="15"/>
      <c r="LQY234" s="10"/>
      <c r="LQZ234" s="10"/>
      <c r="LRA234" s="21"/>
      <c r="LRB234" s="21"/>
      <c r="LRE234" s="21"/>
      <c r="LRF234" s="15"/>
      <c r="LRG234" s="15"/>
      <c r="LRH234" s="15"/>
      <c r="LRI234" s="15"/>
      <c r="LRJ234" s="15"/>
      <c r="LRK234" s="15"/>
      <c r="LRL234" s="15"/>
      <c r="LRM234" s="15"/>
      <c r="LRN234" s="15"/>
      <c r="LRO234" s="15"/>
      <c r="LRP234" s="10"/>
      <c r="LRQ234" s="10"/>
      <c r="LRR234" s="21"/>
      <c r="LRS234" s="21"/>
      <c r="LRV234" s="21"/>
      <c r="LRW234" s="15"/>
      <c r="LRX234" s="15"/>
      <c r="LRY234" s="15"/>
      <c r="LRZ234" s="15"/>
      <c r="LSA234" s="15"/>
      <c r="LSB234" s="15"/>
      <c r="LSC234" s="15"/>
      <c r="LSD234" s="15"/>
      <c r="LSE234" s="15"/>
      <c r="LSF234" s="15"/>
      <c r="LSG234" s="10"/>
      <c r="LSH234" s="10"/>
      <c r="LSI234" s="21"/>
      <c r="LSJ234" s="21"/>
      <c r="LSM234" s="21"/>
      <c r="LSN234" s="15"/>
      <c r="LSO234" s="15"/>
      <c r="LSP234" s="15"/>
      <c r="LSQ234" s="15"/>
      <c r="LSR234" s="15"/>
      <c r="LSS234" s="15"/>
      <c r="LST234" s="15"/>
      <c r="LSU234" s="15"/>
      <c r="LSV234" s="15"/>
      <c r="LSW234" s="15"/>
      <c r="LSX234" s="10"/>
      <c r="LSY234" s="10"/>
      <c r="LSZ234" s="21"/>
      <c r="LTA234" s="21"/>
      <c r="LTD234" s="21"/>
      <c r="LTE234" s="15"/>
      <c r="LTF234" s="15"/>
      <c r="LTG234" s="15"/>
      <c r="LTH234" s="15"/>
      <c r="LTI234" s="15"/>
      <c r="LTJ234" s="15"/>
      <c r="LTK234" s="15"/>
      <c r="LTL234" s="15"/>
      <c r="LTM234" s="15"/>
      <c r="LTN234" s="15"/>
      <c r="LTO234" s="10"/>
      <c r="LTP234" s="10"/>
      <c r="LTQ234" s="21"/>
      <c r="LTR234" s="21"/>
      <c r="LTU234" s="21"/>
      <c r="LTV234" s="15"/>
      <c r="LTW234" s="15"/>
      <c r="LTX234" s="15"/>
      <c r="LTY234" s="15"/>
      <c r="LTZ234" s="15"/>
      <c r="LUA234" s="15"/>
      <c r="LUB234" s="15"/>
      <c r="LUC234" s="15"/>
      <c r="LUD234" s="15"/>
      <c r="LUE234" s="15"/>
      <c r="LUF234" s="10"/>
      <c r="LUG234" s="10"/>
      <c r="LUH234" s="21"/>
      <c r="LUI234" s="21"/>
      <c r="LUL234" s="21"/>
      <c r="LUM234" s="15"/>
      <c r="LUN234" s="15"/>
      <c r="LUO234" s="15"/>
      <c r="LUP234" s="15"/>
      <c r="LUQ234" s="15"/>
      <c r="LUR234" s="15"/>
      <c r="LUS234" s="15"/>
      <c r="LUT234" s="15"/>
      <c r="LUU234" s="15"/>
      <c r="LUV234" s="15"/>
      <c r="LUW234" s="10"/>
      <c r="LUX234" s="10"/>
      <c r="LUY234" s="21"/>
      <c r="LUZ234" s="21"/>
      <c r="LVC234" s="21"/>
      <c r="LVD234" s="15"/>
      <c r="LVE234" s="15"/>
      <c r="LVF234" s="15"/>
      <c r="LVG234" s="15"/>
      <c r="LVH234" s="15"/>
      <c r="LVI234" s="15"/>
      <c r="LVJ234" s="15"/>
      <c r="LVK234" s="15"/>
      <c r="LVL234" s="15"/>
      <c r="LVM234" s="15"/>
      <c r="LVN234" s="10"/>
      <c r="LVO234" s="10"/>
      <c r="LVP234" s="21"/>
      <c r="LVQ234" s="21"/>
      <c r="LVT234" s="21"/>
      <c r="LVU234" s="15"/>
      <c r="LVV234" s="15"/>
      <c r="LVW234" s="15"/>
      <c r="LVX234" s="15"/>
      <c r="LVY234" s="15"/>
      <c r="LVZ234" s="15"/>
      <c r="LWA234" s="15"/>
      <c r="LWB234" s="15"/>
      <c r="LWC234" s="15"/>
      <c r="LWD234" s="15"/>
      <c r="LWE234" s="10"/>
      <c r="LWF234" s="10"/>
      <c r="LWG234" s="21"/>
      <c r="LWH234" s="21"/>
      <c r="LWK234" s="21"/>
      <c r="LWL234" s="15"/>
      <c r="LWM234" s="15"/>
      <c r="LWN234" s="15"/>
      <c r="LWO234" s="15"/>
      <c r="LWP234" s="15"/>
      <c r="LWQ234" s="15"/>
      <c r="LWR234" s="15"/>
      <c r="LWS234" s="15"/>
      <c r="LWT234" s="15"/>
      <c r="LWU234" s="15"/>
      <c r="LWV234" s="10"/>
      <c r="LWW234" s="10"/>
      <c r="LWX234" s="21"/>
      <c r="LWY234" s="21"/>
      <c r="LXB234" s="21"/>
      <c r="LXC234" s="15"/>
      <c r="LXD234" s="15"/>
      <c r="LXE234" s="15"/>
      <c r="LXF234" s="15"/>
      <c r="LXG234" s="15"/>
      <c r="LXH234" s="15"/>
      <c r="LXI234" s="15"/>
      <c r="LXJ234" s="15"/>
      <c r="LXK234" s="15"/>
      <c r="LXL234" s="15"/>
      <c r="LXM234" s="10"/>
      <c r="LXN234" s="10"/>
      <c r="LXO234" s="21"/>
      <c r="LXP234" s="21"/>
      <c r="LXS234" s="21"/>
      <c r="LXT234" s="15"/>
      <c r="LXU234" s="15"/>
      <c r="LXV234" s="15"/>
      <c r="LXW234" s="15"/>
      <c r="LXX234" s="15"/>
      <c r="LXY234" s="15"/>
      <c r="LXZ234" s="15"/>
      <c r="LYA234" s="15"/>
      <c r="LYB234" s="15"/>
      <c r="LYC234" s="15"/>
      <c r="LYD234" s="10"/>
      <c r="LYE234" s="10"/>
      <c r="LYF234" s="21"/>
      <c r="LYG234" s="21"/>
      <c r="LYJ234" s="21"/>
      <c r="LYK234" s="15"/>
      <c r="LYL234" s="15"/>
      <c r="LYM234" s="15"/>
      <c r="LYN234" s="15"/>
      <c r="LYO234" s="15"/>
      <c r="LYP234" s="15"/>
      <c r="LYQ234" s="15"/>
      <c r="LYR234" s="15"/>
      <c r="LYS234" s="15"/>
      <c r="LYT234" s="15"/>
      <c r="LYU234" s="10"/>
      <c r="LYV234" s="10"/>
      <c r="LYW234" s="21"/>
      <c r="LYX234" s="21"/>
      <c r="LZA234" s="21"/>
      <c r="LZB234" s="15"/>
      <c r="LZC234" s="15"/>
      <c r="LZD234" s="15"/>
      <c r="LZE234" s="15"/>
      <c r="LZF234" s="15"/>
      <c r="LZG234" s="15"/>
      <c r="LZH234" s="15"/>
      <c r="LZI234" s="15"/>
      <c r="LZJ234" s="15"/>
      <c r="LZK234" s="15"/>
      <c r="LZL234" s="10"/>
      <c r="LZM234" s="10"/>
      <c r="LZN234" s="21"/>
      <c r="LZO234" s="21"/>
      <c r="LZR234" s="21"/>
      <c r="LZS234" s="15"/>
      <c r="LZT234" s="15"/>
      <c r="LZU234" s="15"/>
      <c r="LZV234" s="15"/>
      <c r="LZW234" s="15"/>
      <c r="LZX234" s="15"/>
      <c r="LZY234" s="15"/>
      <c r="LZZ234" s="15"/>
      <c r="MAA234" s="15"/>
      <c r="MAB234" s="15"/>
      <c r="MAC234" s="10"/>
      <c r="MAD234" s="10"/>
      <c r="MAE234" s="21"/>
      <c r="MAF234" s="21"/>
      <c r="MAI234" s="21"/>
      <c r="MAJ234" s="15"/>
      <c r="MAK234" s="15"/>
      <c r="MAL234" s="15"/>
      <c r="MAM234" s="15"/>
      <c r="MAN234" s="15"/>
      <c r="MAO234" s="15"/>
      <c r="MAP234" s="15"/>
      <c r="MAQ234" s="15"/>
      <c r="MAR234" s="15"/>
      <c r="MAS234" s="15"/>
      <c r="MAT234" s="10"/>
      <c r="MAU234" s="10"/>
      <c r="MAV234" s="21"/>
      <c r="MAW234" s="21"/>
      <c r="MAZ234" s="21"/>
      <c r="MBA234" s="15"/>
      <c r="MBB234" s="15"/>
      <c r="MBC234" s="15"/>
      <c r="MBD234" s="15"/>
      <c r="MBE234" s="15"/>
      <c r="MBF234" s="15"/>
      <c r="MBG234" s="15"/>
      <c r="MBH234" s="15"/>
      <c r="MBI234" s="15"/>
      <c r="MBJ234" s="15"/>
      <c r="MBK234" s="10"/>
      <c r="MBL234" s="10"/>
      <c r="MBM234" s="21"/>
      <c r="MBN234" s="21"/>
      <c r="MBQ234" s="21"/>
      <c r="MBR234" s="15"/>
      <c r="MBS234" s="15"/>
      <c r="MBT234" s="15"/>
      <c r="MBU234" s="15"/>
      <c r="MBV234" s="15"/>
      <c r="MBW234" s="15"/>
      <c r="MBX234" s="15"/>
      <c r="MBY234" s="15"/>
      <c r="MBZ234" s="15"/>
      <c r="MCA234" s="15"/>
      <c r="MCB234" s="10"/>
      <c r="MCC234" s="10"/>
      <c r="MCD234" s="21"/>
      <c r="MCE234" s="21"/>
      <c r="MCH234" s="21"/>
      <c r="MCI234" s="15"/>
      <c r="MCJ234" s="15"/>
      <c r="MCK234" s="15"/>
      <c r="MCL234" s="15"/>
      <c r="MCM234" s="15"/>
      <c r="MCN234" s="15"/>
      <c r="MCO234" s="15"/>
      <c r="MCP234" s="15"/>
      <c r="MCQ234" s="15"/>
      <c r="MCR234" s="15"/>
      <c r="MCS234" s="10"/>
      <c r="MCT234" s="10"/>
      <c r="MCU234" s="21"/>
      <c r="MCV234" s="21"/>
      <c r="MCY234" s="21"/>
      <c r="MCZ234" s="15"/>
      <c r="MDA234" s="15"/>
      <c r="MDB234" s="15"/>
      <c r="MDC234" s="15"/>
      <c r="MDD234" s="15"/>
      <c r="MDE234" s="15"/>
      <c r="MDF234" s="15"/>
      <c r="MDG234" s="15"/>
      <c r="MDH234" s="15"/>
      <c r="MDI234" s="15"/>
      <c r="MDJ234" s="10"/>
      <c r="MDK234" s="10"/>
      <c r="MDL234" s="21"/>
      <c r="MDM234" s="21"/>
      <c r="MDP234" s="21"/>
      <c r="MDQ234" s="15"/>
      <c r="MDR234" s="15"/>
      <c r="MDS234" s="15"/>
      <c r="MDT234" s="15"/>
      <c r="MDU234" s="15"/>
      <c r="MDV234" s="15"/>
      <c r="MDW234" s="15"/>
      <c r="MDX234" s="15"/>
      <c r="MDY234" s="15"/>
      <c r="MDZ234" s="15"/>
      <c r="MEA234" s="10"/>
      <c r="MEB234" s="10"/>
      <c r="MEC234" s="21"/>
      <c r="MED234" s="21"/>
      <c r="MEG234" s="21"/>
      <c r="MEH234" s="15"/>
      <c r="MEI234" s="15"/>
      <c r="MEJ234" s="15"/>
      <c r="MEK234" s="15"/>
      <c r="MEL234" s="15"/>
      <c r="MEM234" s="15"/>
      <c r="MEN234" s="15"/>
      <c r="MEO234" s="15"/>
      <c r="MEP234" s="15"/>
      <c r="MEQ234" s="15"/>
      <c r="MER234" s="10"/>
      <c r="MES234" s="10"/>
      <c r="MET234" s="21"/>
      <c r="MEU234" s="21"/>
      <c r="MEX234" s="21"/>
      <c r="MEY234" s="15"/>
      <c r="MEZ234" s="15"/>
      <c r="MFA234" s="15"/>
      <c r="MFB234" s="15"/>
      <c r="MFC234" s="15"/>
      <c r="MFD234" s="15"/>
      <c r="MFE234" s="15"/>
      <c r="MFF234" s="15"/>
      <c r="MFG234" s="15"/>
      <c r="MFH234" s="15"/>
      <c r="MFI234" s="10"/>
      <c r="MFJ234" s="10"/>
      <c r="MFK234" s="21"/>
      <c r="MFL234" s="21"/>
      <c r="MFO234" s="21"/>
      <c r="MFP234" s="15"/>
      <c r="MFQ234" s="15"/>
      <c r="MFR234" s="15"/>
      <c r="MFS234" s="15"/>
      <c r="MFT234" s="15"/>
      <c r="MFU234" s="15"/>
      <c r="MFV234" s="15"/>
      <c r="MFW234" s="15"/>
      <c r="MFX234" s="15"/>
      <c r="MFY234" s="15"/>
      <c r="MFZ234" s="10"/>
      <c r="MGA234" s="10"/>
      <c r="MGB234" s="21"/>
      <c r="MGC234" s="21"/>
      <c r="MGF234" s="21"/>
      <c r="MGG234" s="15"/>
      <c r="MGH234" s="15"/>
      <c r="MGI234" s="15"/>
      <c r="MGJ234" s="15"/>
      <c r="MGK234" s="15"/>
      <c r="MGL234" s="15"/>
      <c r="MGM234" s="15"/>
      <c r="MGN234" s="15"/>
      <c r="MGO234" s="15"/>
      <c r="MGP234" s="15"/>
      <c r="MGQ234" s="10"/>
      <c r="MGR234" s="10"/>
      <c r="MGS234" s="21"/>
      <c r="MGT234" s="21"/>
      <c r="MGW234" s="21"/>
      <c r="MGX234" s="15"/>
      <c r="MGY234" s="15"/>
      <c r="MGZ234" s="15"/>
      <c r="MHA234" s="15"/>
      <c r="MHB234" s="15"/>
      <c r="MHC234" s="15"/>
      <c r="MHD234" s="15"/>
      <c r="MHE234" s="15"/>
      <c r="MHF234" s="15"/>
      <c r="MHG234" s="15"/>
      <c r="MHH234" s="10"/>
      <c r="MHI234" s="10"/>
      <c r="MHJ234" s="21"/>
      <c r="MHK234" s="21"/>
      <c r="MHN234" s="21"/>
      <c r="MHO234" s="15"/>
      <c r="MHP234" s="15"/>
      <c r="MHQ234" s="15"/>
      <c r="MHR234" s="15"/>
      <c r="MHS234" s="15"/>
      <c r="MHT234" s="15"/>
      <c r="MHU234" s="15"/>
      <c r="MHV234" s="15"/>
      <c r="MHW234" s="15"/>
      <c r="MHX234" s="15"/>
      <c r="MHY234" s="10"/>
      <c r="MHZ234" s="10"/>
      <c r="MIA234" s="21"/>
      <c r="MIB234" s="21"/>
      <c r="MIE234" s="21"/>
      <c r="MIF234" s="15"/>
      <c r="MIG234" s="15"/>
      <c r="MIH234" s="15"/>
      <c r="MII234" s="15"/>
      <c r="MIJ234" s="15"/>
      <c r="MIK234" s="15"/>
      <c r="MIL234" s="15"/>
      <c r="MIM234" s="15"/>
      <c r="MIN234" s="15"/>
      <c r="MIO234" s="15"/>
      <c r="MIP234" s="10"/>
      <c r="MIQ234" s="10"/>
      <c r="MIR234" s="21"/>
      <c r="MIS234" s="21"/>
      <c r="MIV234" s="21"/>
      <c r="MIW234" s="15"/>
      <c r="MIX234" s="15"/>
      <c r="MIY234" s="15"/>
      <c r="MIZ234" s="15"/>
      <c r="MJA234" s="15"/>
      <c r="MJB234" s="15"/>
      <c r="MJC234" s="15"/>
      <c r="MJD234" s="15"/>
      <c r="MJE234" s="15"/>
      <c r="MJF234" s="15"/>
      <c r="MJG234" s="10"/>
      <c r="MJH234" s="10"/>
      <c r="MJI234" s="21"/>
      <c r="MJJ234" s="21"/>
      <c r="MJM234" s="21"/>
      <c r="MJN234" s="15"/>
      <c r="MJO234" s="15"/>
      <c r="MJP234" s="15"/>
      <c r="MJQ234" s="15"/>
      <c r="MJR234" s="15"/>
      <c r="MJS234" s="15"/>
      <c r="MJT234" s="15"/>
      <c r="MJU234" s="15"/>
      <c r="MJV234" s="15"/>
      <c r="MJW234" s="15"/>
      <c r="MJX234" s="10"/>
      <c r="MJY234" s="10"/>
      <c r="MJZ234" s="21"/>
      <c r="MKA234" s="21"/>
      <c r="MKD234" s="21"/>
      <c r="MKE234" s="15"/>
      <c r="MKF234" s="15"/>
      <c r="MKG234" s="15"/>
      <c r="MKH234" s="15"/>
      <c r="MKI234" s="15"/>
      <c r="MKJ234" s="15"/>
      <c r="MKK234" s="15"/>
      <c r="MKL234" s="15"/>
      <c r="MKM234" s="15"/>
      <c r="MKN234" s="15"/>
      <c r="MKO234" s="10"/>
      <c r="MKP234" s="10"/>
      <c r="MKQ234" s="21"/>
      <c r="MKR234" s="21"/>
      <c r="MKU234" s="21"/>
      <c r="MKV234" s="15"/>
      <c r="MKW234" s="15"/>
      <c r="MKX234" s="15"/>
      <c r="MKY234" s="15"/>
      <c r="MKZ234" s="15"/>
      <c r="MLA234" s="15"/>
      <c r="MLB234" s="15"/>
      <c r="MLC234" s="15"/>
      <c r="MLD234" s="15"/>
      <c r="MLE234" s="15"/>
      <c r="MLF234" s="10"/>
      <c r="MLG234" s="10"/>
      <c r="MLH234" s="21"/>
      <c r="MLI234" s="21"/>
      <c r="MLL234" s="21"/>
      <c r="MLM234" s="15"/>
      <c r="MLN234" s="15"/>
      <c r="MLO234" s="15"/>
      <c r="MLP234" s="15"/>
      <c r="MLQ234" s="15"/>
      <c r="MLR234" s="15"/>
      <c r="MLS234" s="15"/>
      <c r="MLT234" s="15"/>
      <c r="MLU234" s="15"/>
      <c r="MLV234" s="15"/>
      <c r="MLW234" s="10"/>
      <c r="MLX234" s="10"/>
      <c r="MLY234" s="21"/>
      <c r="MLZ234" s="21"/>
      <c r="MMC234" s="21"/>
      <c r="MMD234" s="15"/>
      <c r="MME234" s="15"/>
      <c r="MMF234" s="15"/>
      <c r="MMG234" s="15"/>
      <c r="MMH234" s="15"/>
      <c r="MMI234" s="15"/>
      <c r="MMJ234" s="15"/>
      <c r="MMK234" s="15"/>
      <c r="MML234" s="15"/>
      <c r="MMM234" s="15"/>
      <c r="MMN234" s="10"/>
      <c r="MMO234" s="10"/>
      <c r="MMP234" s="21"/>
      <c r="MMQ234" s="21"/>
      <c r="MMT234" s="21"/>
      <c r="MMU234" s="15"/>
      <c r="MMV234" s="15"/>
      <c r="MMW234" s="15"/>
      <c r="MMX234" s="15"/>
      <c r="MMY234" s="15"/>
      <c r="MMZ234" s="15"/>
      <c r="MNA234" s="15"/>
      <c r="MNB234" s="15"/>
      <c r="MNC234" s="15"/>
      <c r="MND234" s="15"/>
      <c r="MNE234" s="10"/>
      <c r="MNF234" s="10"/>
      <c r="MNG234" s="21"/>
      <c r="MNH234" s="21"/>
      <c r="MNK234" s="21"/>
      <c r="MNL234" s="15"/>
      <c r="MNM234" s="15"/>
      <c r="MNN234" s="15"/>
      <c r="MNO234" s="15"/>
      <c r="MNP234" s="15"/>
      <c r="MNQ234" s="15"/>
      <c r="MNR234" s="15"/>
      <c r="MNS234" s="15"/>
      <c r="MNT234" s="15"/>
      <c r="MNU234" s="15"/>
      <c r="MNV234" s="10"/>
      <c r="MNW234" s="10"/>
      <c r="MNX234" s="21"/>
      <c r="MNY234" s="21"/>
      <c r="MOB234" s="21"/>
      <c r="MOC234" s="15"/>
      <c r="MOD234" s="15"/>
      <c r="MOE234" s="15"/>
      <c r="MOF234" s="15"/>
      <c r="MOG234" s="15"/>
      <c r="MOH234" s="15"/>
      <c r="MOI234" s="15"/>
      <c r="MOJ234" s="15"/>
      <c r="MOK234" s="15"/>
      <c r="MOL234" s="15"/>
      <c r="MOM234" s="10"/>
      <c r="MON234" s="10"/>
      <c r="MOO234" s="21"/>
      <c r="MOP234" s="21"/>
      <c r="MOS234" s="21"/>
      <c r="MOT234" s="15"/>
      <c r="MOU234" s="15"/>
      <c r="MOV234" s="15"/>
      <c r="MOW234" s="15"/>
      <c r="MOX234" s="15"/>
      <c r="MOY234" s="15"/>
      <c r="MOZ234" s="15"/>
      <c r="MPA234" s="15"/>
      <c r="MPB234" s="15"/>
      <c r="MPC234" s="15"/>
      <c r="MPD234" s="10"/>
      <c r="MPE234" s="10"/>
      <c r="MPF234" s="21"/>
      <c r="MPG234" s="21"/>
      <c r="MPJ234" s="21"/>
      <c r="MPK234" s="15"/>
      <c r="MPL234" s="15"/>
      <c r="MPM234" s="15"/>
      <c r="MPN234" s="15"/>
      <c r="MPO234" s="15"/>
      <c r="MPP234" s="15"/>
      <c r="MPQ234" s="15"/>
      <c r="MPR234" s="15"/>
      <c r="MPS234" s="15"/>
      <c r="MPT234" s="15"/>
      <c r="MPU234" s="10"/>
      <c r="MPV234" s="10"/>
      <c r="MPW234" s="21"/>
      <c r="MPX234" s="21"/>
      <c r="MQA234" s="21"/>
      <c r="MQB234" s="15"/>
      <c r="MQC234" s="15"/>
      <c r="MQD234" s="15"/>
      <c r="MQE234" s="15"/>
      <c r="MQF234" s="15"/>
      <c r="MQG234" s="15"/>
      <c r="MQH234" s="15"/>
      <c r="MQI234" s="15"/>
      <c r="MQJ234" s="15"/>
      <c r="MQK234" s="15"/>
      <c r="MQL234" s="10"/>
      <c r="MQM234" s="10"/>
      <c r="MQN234" s="21"/>
      <c r="MQO234" s="21"/>
      <c r="MQR234" s="21"/>
      <c r="MQS234" s="15"/>
      <c r="MQT234" s="15"/>
      <c r="MQU234" s="15"/>
      <c r="MQV234" s="15"/>
      <c r="MQW234" s="15"/>
      <c r="MQX234" s="15"/>
      <c r="MQY234" s="15"/>
      <c r="MQZ234" s="15"/>
      <c r="MRA234" s="15"/>
      <c r="MRB234" s="15"/>
      <c r="MRC234" s="10"/>
      <c r="MRD234" s="10"/>
      <c r="MRE234" s="21"/>
      <c r="MRF234" s="21"/>
      <c r="MRI234" s="21"/>
      <c r="MRJ234" s="15"/>
      <c r="MRK234" s="15"/>
      <c r="MRL234" s="15"/>
      <c r="MRM234" s="15"/>
      <c r="MRN234" s="15"/>
      <c r="MRO234" s="15"/>
      <c r="MRP234" s="15"/>
      <c r="MRQ234" s="15"/>
      <c r="MRR234" s="15"/>
      <c r="MRS234" s="15"/>
      <c r="MRT234" s="10"/>
      <c r="MRU234" s="10"/>
      <c r="MRV234" s="21"/>
      <c r="MRW234" s="21"/>
      <c r="MRZ234" s="21"/>
      <c r="MSA234" s="15"/>
      <c r="MSB234" s="15"/>
      <c r="MSC234" s="15"/>
      <c r="MSD234" s="15"/>
      <c r="MSE234" s="15"/>
      <c r="MSF234" s="15"/>
      <c r="MSG234" s="15"/>
      <c r="MSH234" s="15"/>
      <c r="MSI234" s="15"/>
      <c r="MSJ234" s="15"/>
      <c r="MSK234" s="10"/>
      <c r="MSL234" s="10"/>
      <c r="MSM234" s="21"/>
      <c r="MSN234" s="21"/>
      <c r="MSQ234" s="21"/>
      <c r="MSR234" s="15"/>
      <c r="MSS234" s="15"/>
      <c r="MST234" s="15"/>
      <c r="MSU234" s="15"/>
      <c r="MSV234" s="15"/>
      <c r="MSW234" s="15"/>
      <c r="MSX234" s="15"/>
      <c r="MSY234" s="15"/>
      <c r="MSZ234" s="15"/>
      <c r="MTA234" s="15"/>
      <c r="MTB234" s="10"/>
      <c r="MTC234" s="10"/>
      <c r="MTD234" s="21"/>
      <c r="MTE234" s="21"/>
      <c r="MTH234" s="21"/>
      <c r="MTI234" s="15"/>
      <c r="MTJ234" s="15"/>
      <c r="MTK234" s="15"/>
      <c r="MTL234" s="15"/>
      <c r="MTM234" s="15"/>
      <c r="MTN234" s="15"/>
      <c r="MTO234" s="15"/>
      <c r="MTP234" s="15"/>
      <c r="MTQ234" s="15"/>
      <c r="MTR234" s="15"/>
      <c r="MTS234" s="10"/>
      <c r="MTT234" s="10"/>
      <c r="MTU234" s="21"/>
      <c r="MTV234" s="21"/>
      <c r="MTY234" s="21"/>
      <c r="MTZ234" s="15"/>
      <c r="MUA234" s="15"/>
      <c r="MUB234" s="15"/>
      <c r="MUC234" s="15"/>
      <c r="MUD234" s="15"/>
      <c r="MUE234" s="15"/>
      <c r="MUF234" s="15"/>
      <c r="MUG234" s="15"/>
      <c r="MUH234" s="15"/>
      <c r="MUI234" s="15"/>
      <c r="MUJ234" s="10"/>
      <c r="MUK234" s="10"/>
      <c r="MUL234" s="21"/>
      <c r="MUM234" s="21"/>
      <c r="MUP234" s="21"/>
      <c r="MUQ234" s="15"/>
      <c r="MUR234" s="15"/>
      <c r="MUS234" s="15"/>
      <c r="MUT234" s="15"/>
      <c r="MUU234" s="15"/>
      <c r="MUV234" s="15"/>
      <c r="MUW234" s="15"/>
      <c r="MUX234" s="15"/>
      <c r="MUY234" s="15"/>
      <c r="MUZ234" s="15"/>
      <c r="MVA234" s="10"/>
      <c r="MVB234" s="10"/>
      <c r="MVC234" s="21"/>
      <c r="MVD234" s="21"/>
      <c r="MVG234" s="21"/>
      <c r="MVH234" s="15"/>
      <c r="MVI234" s="15"/>
      <c r="MVJ234" s="15"/>
      <c r="MVK234" s="15"/>
      <c r="MVL234" s="15"/>
      <c r="MVM234" s="15"/>
      <c r="MVN234" s="15"/>
      <c r="MVO234" s="15"/>
      <c r="MVP234" s="15"/>
      <c r="MVQ234" s="15"/>
      <c r="MVR234" s="10"/>
      <c r="MVS234" s="10"/>
      <c r="MVT234" s="21"/>
      <c r="MVU234" s="21"/>
      <c r="MVX234" s="21"/>
      <c r="MVY234" s="15"/>
      <c r="MVZ234" s="15"/>
      <c r="MWA234" s="15"/>
      <c r="MWB234" s="15"/>
      <c r="MWC234" s="15"/>
      <c r="MWD234" s="15"/>
      <c r="MWE234" s="15"/>
      <c r="MWF234" s="15"/>
      <c r="MWG234" s="15"/>
      <c r="MWH234" s="15"/>
      <c r="MWI234" s="10"/>
      <c r="MWJ234" s="10"/>
      <c r="MWK234" s="21"/>
      <c r="MWL234" s="21"/>
      <c r="MWO234" s="21"/>
      <c r="MWP234" s="15"/>
      <c r="MWQ234" s="15"/>
      <c r="MWR234" s="15"/>
      <c r="MWS234" s="15"/>
      <c r="MWT234" s="15"/>
      <c r="MWU234" s="15"/>
      <c r="MWV234" s="15"/>
      <c r="MWW234" s="15"/>
      <c r="MWX234" s="15"/>
      <c r="MWY234" s="15"/>
      <c r="MWZ234" s="10"/>
      <c r="MXA234" s="10"/>
      <c r="MXB234" s="21"/>
      <c r="MXC234" s="21"/>
      <c r="MXF234" s="21"/>
      <c r="MXG234" s="15"/>
      <c r="MXH234" s="15"/>
      <c r="MXI234" s="15"/>
      <c r="MXJ234" s="15"/>
      <c r="MXK234" s="15"/>
      <c r="MXL234" s="15"/>
      <c r="MXM234" s="15"/>
      <c r="MXN234" s="15"/>
      <c r="MXO234" s="15"/>
      <c r="MXP234" s="15"/>
      <c r="MXQ234" s="10"/>
      <c r="MXR234" s="10"/>
      <c r="MXS234" s="21"/>
      <c r="MXT234" s="21"/>
      <c r="MXW234" s="21"/>
      <c r="MXX234" s="15"/>
      <c r="MXY234" s="15"/>
      <c r="MXZ234" s="15"/>
      <c r="MYA234" s="15"/>
      <c r="MYB234" s="15"/>
      <c r="MYC234" s="15"/>
      <c r="MYD234" s="15"/>
      <c r="MYE234" s="15"/>
      <c r="MYF234" s="15"/>
      <c r="MYG234" s="15"/>
      <c r="MYH234" s="10"/>
      <c r="MYI234" s="10"/>
      <c r="MYJ234" s="21"/>
      <c r="MYK234" s="21"/>
      <c r="MYN234" s="21"/>
      <c r="MYO234" s="15"/>
      <c r="MYP234" s="15"/>
      <c r="MYQ234" s="15"/>
      <c r="MYR234" s="15"/>
      <c r="MYS234" s="15"/>
      <c r="MYT234" s="15"/>
      <c r="MYU234" s="15"/>
      <c r="MYV234" s="15"/>
      <c r="MYW234" s="15"/>
      <c r="MYX234" s="15"/>
      <c r="MYY234" s="10"/>
      <c r="MYZ234" s="10"/>
      <c r="MZA234" s="21"/>
      <c r="MZB234" s="21"/>
      <c r="MZE234" s="21"/>
      <c r="MZF234" s="15"/>
      <c r="MZG234" s="15"/>
      <c r="MZH234" s="15"/>
      <c r="MZI234" s="15"/>
      <c r="MZJ234" s="15"/>
      <c r="MZK234" s="15"/>
      <c r="MZL234" s="15"/>
      <c r="MZM234" s="15"/>
      <c r="MZN234" s="15"/>
      <c r="MZO234" s="15"/>
      <c r="MZP234" s="10"/>
      <c r="MZQ234" s="10"/>
      <c r="MZR234" s="21"/>
      <c r="MZS234" s="21"/>
      <c r="MZV234" s="21"/>
      <c r="MZW234" s="15"/>
      <c r="MZX234" s="15"/>
      <c r="MZY234" s="15"/>
      <c r="MZZ234" s="15"/>
      <c r="NAA234" s="15"/>
      <c r="NAB234" s="15"/>
      <c r="NAC234" s="15"/>
      <c r="NAD234" s="15"/>
      <c r="NAE234" s="15"/>
      <c r="NAF234" s="15"/>
      <c r="NAG234" s="10"/>
      <c r="NAH234" s="10"/>
      <c r="NAI234" s="21"/>
      <c r="NAJ234" s="21"/>
      <c r="NAM234" s="21"/>
      <c r="NAN234" s="15"/>
      <c r="NAO234" s="15"/>
      <c r="NAP234" s="15"/>
      <c r="NAQ234" s="15"/>
      <c r="NAR234" s="15"/>
      <c r="NAS234" s="15"/>
      <c r="NAT234" s="15"/>
      <c r="NAU234" s="15"/>
      <c r="NAV234" s="15"/>
      <c r="NAW234" s="15"/>
      <c r="NAX234" s="10"/>
      <c r="NAY234" s="10"/>
      <c r="NAZ234" s="21"/>
      <c r="NBA234" s="21"/>
      <c r="NBD234" s="21"/>
      <c r="NBE234" s="15"/>
      <c r="NBF234" s="15"/>
      <c r="NBG234" s="15"/>
      <c r="NBH234" s="15"/>
      <c r="NBI234" s="15"/>
      <c r="NBJ234" s="15"/>
      <c r="NBK234" s="15"/>
      <c r="NBL234" s="15"/>
      <c r="NBM234" s="15"/>
      <c r="NBN234" s="15"/>
      <c r="NBO234" s="10"/>
      <c r="NBP234" s="10"/>
      <c r="NBQ234" s="21"/>
      <c r="NBR234" s="21"/>
      <c r="NBU234" s="21"/>
      <c r="NBV234" s="15"/>
      <c r="NBW234" s="15"/>
      <c r="NBX234" s="15"/>
      <c r="NBY234" s="15"/>
      <c r="NBZ234" s="15"/>
      <c r="NCA234" s="15"/>
      <c r="NCB234" s="15"/>
      <c r="NCC234" s="15"/>
      <c r="NCD234" s="15"/>
      <c r="NCE234" s="15"/>
      <c r="NCF234" s="10"/>
      <c r="NCG234" s="10"/>
      <c r="NCH234" s="21"/>
      <c r="NCI234" s="21"/>
      <c r="NCL234" s="21"/>
      <c r="NCM234" s="15"/>
      <c r="NCN234" s="15"/>
      <c r="NCO234" s="15"/>
      <c r="NCP234" s="15"/>
      <c r="NCQ234" s="15"/>
      <c r="NCR234" s="15"/>
      <c r="NCS234" s="15"/>
      <c r="NCT234" s="15"/>
      <c r="NCU234" s="15"/>
      <c r="NCV234" s="15"/>
      <c r="NCW234" s="10"/>
      <c r="NCX234" s="10"/>
      <c r="NCY234" s="21"/>
      <c r="NCZ234" s="21"/>
      <c r="NDC234" s="21"/>
      <c r="NDD234" s="15"/>
      <c r="NDE234" s="15"/>
      <c r="NDF234" s="15"/>
      <c r="NDG234" s="15"/>
      <c r="NDH234" s="15"/>
      <c r="NDI234" s="15"/>
      <c r="NDJ234" s="15"/>
      <c r="NDK234" s="15"/>
      <c r="NDL234" s="15"/>
      <c r="NDM234" s="15"/>
      <c r="NDN234" s="10"/>
      <c r="NDO234" s="10"/>
      <c r="NDP234" s="21"/>
      <c r="NDQ234" s="21"/>
      <c r="NDT234" s="21"/>
      <c r="NDU234" s="15"/>
      <c r="NDV234" s="15"/>
      <c r="NDW234" s="15"/>
      <c r="NDX234" s="15"/>
      <c r="NDY234" s="15"/>
      <c r="NDZ234" s="15"/>
      <c r="NEA234" s="15"/>
      <c r="NEB234" s="15"/>
      <c r="NEC234" s="15"/>
      <c r="NED234" s="15"/>
      <c r="NEE234" s="10"/>
      <c r="NEF234" s="10"/>
      <c r="NEG234" s="21"/>
      <c r="NEH234" s="21"/>
      <c r="NEK234" s="21"/>
      <c r="NEL234" s="15"/>
      <c r="NEM234" s="15"/>
      <c r="NEN234" s="15"/>
      <c r="NEO234" s="15"/>
      <c r="NEP234" s="15"/>
      <c r="NEQ234" s="15"/>
      <c r="NER234" s="15"/>
      <c r="NES234" s="15"/>
      <c r="NET234" s="15"/>
      <c r="NEU234" s="15"/>
      <c r="NEV234" s="10"/>
      <c r="NEW234" s="10"/>
      <c r="NEX234" s="21"/>
      <c r="NEY234" s="21"/>
      <c r="NFB234" s="21"/>
      <c r="NFC234" s="15"/>
      <c r="NFD234" s="15"/>
      <c r="NFE234" s="15"/>
      <c r="NFF234" s="15"/>
      <c r="NFG234" s="15"/>
      <c r="NFH234" s="15"/>
      <c r="NFI234" s="15"/>
      <c r="NFJ234" s="15"/>
      <c r="NFK234" s="15"/>
      <c r="NFL234" s="15"/>
      <c r="NFM234" s="10"/>
      <c r="NFN234" s="10"/>
      <c r="NFO234" s="21"/>
      <c r="NFP234" s="21"/>
      <c r="NFS234" s="21"/>
      <c r="NFT234" s="15"/>
      <c r="NFU234" s="15"/>
      <c r="NFV234" s="15"/>
      <c r="NFW234" s="15"/>
      <c r="NFX234" s="15"/>
      <c r="NFY234" s="15"/>
      <c r="NFZ234" s="15"/>
      <c r="NGA234" s="15"/>
      <c r="NGB234" s="15"/>
      <c r="NGC234" s="15"/>
      <c r="NGD234" s="10"/>
      <c r="NGE234" s="10"/>
      <c r="NGF234" s="21"/>
      <c r="NGG234" s="21"/>
      <c r="NGJ234" s="21"/>
      <c r="NGK234" s="15"/>
      <c r="NGL234" s="15"/>
      <c r="NGM234" s="15"/>
      <c r="NGN234" s="15"/>
      <c r="NGO234" s="15"/>
      <c r="NGP234" s="15"/>
      <c r="NGQ234" s="15"/>
      <c r="NGR234" s="15"/>
      <c r="NGS234" s="15"/>
      <c r="NGT234" s="15"/>
      <c r="NGU234" s="10"/>
      <c r="NGV234" s="10"/>
      <c r="NGW234" s="21"/>
      <c r="NGX234" s="21"/>
      <c r="NHA234" s="21"/>
      <c r="NHB234" s="15"/>
      <c r="NHC234" s="15"/>
      <c r="NHD234" s="15"/>
      <c r="NHE234" s="15"/>
      <c r="NHF234" s="15"/>
      <c r="NHG234" s="15"/>
      <c r="NHH234" s="15"/>
      <c r="NHI234" s="15"/>
      <c r="NHJ234" s="15"/>
      <c r="NHK234" s="15"/>
      <c r="NHL234" s="10"/>
      <c r="NHM234" s="10"/>
      <c r="NHN234" s="21"/>
      <c r="NHO234" s="21"/>
      <c r="NHR234" s="21"/>
      <c r="NHS234" s="15"/>
      <c r="NHT234" s="15"/>
      <c r="NHU234" s="15"/>
      <c r="NHV234" s="15"/>
      <c r="NHW234" s="15"/>
      <c r="NHX234" s="15"/>
      <c r="NHY234" s="15"/>
      <c r="NHZ234" s="15"/>
      <c r="NIA234" s="15"/>
      <c r="NIB234" s="15"/>
      <c r="NIC234" s="10"/>
      <c r="NID234" s="10"/>
      <c r="NIE234" s="21"/>
      <c r="NIF234" s="21"/>
      <c r="NII234" s="21"/>
      <c r="NIJ234" s="15"/>
      <c r="NIK234" s="15"/>
      <c r="NIL234" s="15"/>
      <c r="NIM234" s="15"/>
      <c r="NIN234" s="15"/>
      <c r="NIO234" s="15"/>
      <c r="NIP234" s="15"/>
      <c r="NIQ234" s="15"/>
      <c r="NIR234" s="15"/>
      <c r="NIS234" s="15"/>
      <c r="NIT234" s="10"/>
      <c r="NIU234" s="10"/>
      <c r="NIV234" s="21"/>
      <c r="NIW234" s="21"/>
      <c r="NIZ234" s="21"/>
      <c r="NJA234" s="15"/>
      <c r="NJB234" s="15"/>
      <c r="NJC234" s="15"/>
      <c r="NJD234" s="15"/>
      <c r="NJE234" s="15"/>
      <c r="NJF234" s="15"/>
      <c r="NJG234" s="15"/>
      <c r="NJH234" s="15"/>
      <c r="NJI234" s="15"/>
      <c r="NJJ234" s="15"/>
      <c r="NJK234" s="10"/>
      <c r="NJL234" s="10"/>
      <c r="NJM234" s="21"/>
      <c r="NJN234" s="21"/>
      <c r="NJQ234" s="21"/>
      <c r="NJR234" s="15"/>
      <c r="NJS234" s="15"/>
      <c r="NJT234" s="15"/>
      <c r="NJU234" s="15"/>
      <c r="NJV234" s="15"/>
      <c r="NJW234" s="15"/>
      <c r="NJX234" s="15"/>
      <c r="NJY234" s="15"/>
      <c r="NJZ234" s="15"/>
      <c r="NKA234" s="15"/>
      <c r="NKB234" s="10"/>
      <c r="NKC234" s="10"/>
      <c r="NKD234" s="21"/>
      <c r="NKE234" s="21"/>
      <c r="NKH234" s="21"/>
      <c r="NKI234" s="15"/>
      <c r="NKJ234" s="15"/>
      <c r="NKK234" s="15"/>
      <c r="NKL234" s="15"/>
      <c r="NKM234" s="15"/>
      <c r="NKN234" s="15"/>
      <c r="NKO234" s="15"/>
      <c r="NKP234" s="15"/>
      <c r="NKQ234" s="15"/>
      <c r="NKR234" s="15"/>
      <c r="NKS234" s="10"/>
      <c r="NKT234" s="10"/>
      <c r="NKU234" s="21"/>
      <c r="NKV234" s="21"/>
      <c r="NKY234" s="21"/>
      <c r="NKZ234" s="15"/>
      <c r="NLA234" s="15"/>
      <c r="NLB234" s="15"/>
      <c r="NLC234" s="15"/>
      <c r="NLD234" s="15"/>
      <c r="NLE234" s="15"/>
      <c r="NLF234" s="15"/>
      <c r="NLG234" s="15"/>
      <c r="NLH234" s="15"/>
      <c r="NLI234" s="15"/>
      <c r="NLJ234" s="10"/>
      <c r="NLK234" s="10"/>
      <c r="NLL234" s="21"/>
      <c r="NLM234" s="21"/>
      <c r="NLP234" s="21"/>
      <c r="NLQ234" s="15"/>
      <c r="NLR234" s="15"/>
      <c r="NLS234" s="15"/>
      <c r="NLT234" s="15"/>
      <c r="NLU234" s="15"/>
      <c r="NLV234" s="15"/>
      <c r="NLW234" s="15"/>
      <c r="NLX234" s="15"/>
      <c r="NLY234" s="15"/>
      <c r="NLZ234" s="15"/>
      <c r="NMA234" s="10"/>
      <c r="NMB234" s="10"/>
      <c r="NMC234" s="21"/>
      <c r="NMD234" s="21"/>
      <c r="NMG234" s="21"/>
      <c r="NMH234" s="15"/>
      <c r="NMI234" s="15"/>
      <c r="NMJ234" s="15"/>
      <c r="NMK234" s="15"/>
      <c r="NML234" s="15"/>
      <c r="NMM234" s="15"/>
      <c r="NMN234" s="15"/>
      <c r="NMO234" s="15"/>
      <c r="NMP234" s="15"/>
      <c r="NMQ234" s="15"/>
      <c r="NMR234" s="10"/>
      <c r="NMS234" s="10"/>
      <c r="NMT234" s="21"/>
      <c r="NMU234" s="21"/>
      <c r="NMX234" s="21"/>
      <c r="NMY234" s="15"/>
      <c r="NMZ234" s="15"/>
      <c r="NNA234" s="15"/>
      <c r="NNB234" s="15"/>
      <c r="NNC234" s="15"/>
      <c r="NND234" s="15"/>
      <c r="NNE234" s="15"/>
      <c r="NNF234" s="15"/>
      <c r="NNG234" s="15"/>
      <c r="NNH234" s="15"/>
      <c r="NNI234" s="10"/>
      <c r="NNJ234" s="10"/>
      <c r="NNK234" s="21"/>
      <c r="NNL234" s="21"/>
      <c r="NNO234" s="21"/>
      <c r="NNP234" s="15"/>
      <c r="NNQ234" s="15"/>
      <c r="NNR234" s="15"/>
      <c r="NNS234" s="15"/>
      <c r="NNT234" s="15"/>
      <c r="NNU234" s="15"/>
      <c r="NNV234" s="15"/>
      <c r="NNW234" s="15"/>
      <c r="NNX234" s="15"/>
      <c r="NNY234" s="15"/>
      <c r="NNZ234" s="10"/>
      <c r="NOA234" s="10"/>
      <c r="NOB234" s="21"/>
      <c r="NOC234" s="21"/>
      <c r="NOF234" s="21"/>
      <c r="NOG234" s="15"/>
      <c r="NOH234" s="15"/>
      <c r="NOI234" s="15"/>
      <c r="NOJ234" s="15"/>
      <c r="NOK234" s="15"/>
      <c r="NOL234" s="15"/>
      <c r="NOM234" s="15"/>
      <c r="NON234" s="15"/>
      <c r="NOO234" s="15"/>
      <c r="NOP234" s="15"/>
      <c r="NOQ234" s="10"/>
      <c r="NOR234" s="10"/>
      <c r="NOS234" s="21"/>
      <c r="NOT234" s="21"/>
      <c r="NOW234" s="21"/>
      <c r="NOX234" s="15"/>
      <c r="NOY234" s="15"/>
      <c r="NOZ234" s="15"/>
      <c r="NPA234" s="15"/>
      <c r="NPB234" s="15"/>
      <c r="NPC234" s="15"/>
      <c r="NPD234" s="15"/>
      <c r="NPE234" s="15"/>
      <c r="NPF234" s="15"/>
      <c r="NPG234" s="15"/>
      <c r="NPH234" s="10"/>
      <c r="NPI234" s="10"/>
      <c r="NPJ234" s="21"/>
      <c r="NPK234" s="21"/>
      <c r="NPN234" s="21"/>
      <c r="NPO234" s="15"/>
      <c r="NPP234" s="15"/>
      <c r="NPQ234" s="15"/>
      <c r="NPR234" s="15"/>
      <c r="NPS234" s="15"/>
      <c r="NPT234" s="15"/>
      <c r="NPU234" s="15"/>
      <c r="NPV234" s="15"/>
      <c r="NPW234" s="15"/>
      <c r="NPX234" s="15"/>
      <c r="NPY234" s="10"/>
      <c r="NPZ234" s="10"/>
      <c r="NQA234" s="21"/>
      <c r="NQB234" s="21"/>
      <c r="NQE234" s="21"/>
      <c r="NQF234" s="15"/>
      <c r="NQG234" s="15"/>
      <c r="NQH234" s="15"/>
      <c r="NQI234" s="15"/>
      <c r="NQJ234" s="15"/>
      <c r="NQK234" s="15"/>
      <c r="NQL234" s="15"/>
      <c r="NQM234" s="15"/>
      <c r="NQN234" s="15"/>
      <c r="NQO234" s="15"/>
      <c r="NQP234" s="10"/>
      <c r="NQQ234" s="10"/>
      <c r="NQR234" s="21"/>
      <c r="NQS234" s="21"/>
      <c r="NQV234" s="21"/>
      <c r="NQW234" s="15"/>
      <c r="NQX234" s="15"/>
      <c r="NQY234" s="15"/>
      <c r="NQZ234" s="15"/>
      <c r="NRA234" s="15"/>
      <c r="NRB234" s="15"/>
      <c r="NRC234" s="15"/>
      <c r="NRD234" s="15"/>
      <c r="NRE234" s="15"/>
      <c r="NRF234" s="15"/>
      <c r="NRG234" s="10"/>
      <c r="NRH234" s="10"/>
      <c r="NRI234" s="21"/>
      <c r="NRJ234" s="21"/>
      <c r="NRM234" s="21"/>
      <c r="NRN234" s="15"/>
      <c r="NRO234" s="15"/>
      <c r="NRP234" s="15"/>
      <c r="NRQ234" s="15"/>
      <c r="NRR234" s="15"/>
      <c r="NRS234" s="15"/>
      <c r="NRT234" s="15"/>
      <c r="NRU234" s="15"/>
      <c r="NRV234" s="15"/>
      <c r="NRW234" s="15"/>
      <c r="NRX234" s="10"/>
      <c r="NRY234" s="10"/>
      <c r="NRZ234" s="21"/>
      <c r="NSA234" s="21"/>
      <c r="NSD234" s="21"/>
      <c r="NSE234" s="15"/>
      <c r="NSF234" s="15"/>
      <c r="NSG234" s="15"/>
      <c r="NSH234" s="15"/>
      <c r="NSI234" s="15"/>
      <c r="NSJ234" s="15"/>
      <c r="NSK234" s="15"/>
      <c r="NSL234" s="15"/>
      <c r="NSM234" s="15"/>
      <c r="NSN234" s="15"/>
      <c r="NSO234" s="10"/>
      <c r="NSP234" s="10"/>
      <c r="NSQ234" s="21"/>
      <c r="NSR234" s="21"/>
      <c r="NSU234" s="21"/>
      <c r="NSV234" s="15"/>
      <c r="NSW234" s="15"/>
      <c r="NSX234" s="15"/>
      <c r="NSY234" s="15"/>
      <c r="NSZ234" s="15"/>
      <c r="NTA234" s="15"/>
      <c r="NTB234" s="15"/>
      <c r="NTC234" s="15"/>
      <c r="NTD234" s="15"/>
      <c r="NTE234" s="15"/>
      <c r="NTF234" s="10"/>
      <c r="NTG234" s="10"/>
      <c r="NTH234" s="21"/>
      <c r="NTI234" s="21"/>
      <c r="NTL234" s="21"/>
      <c r="NTM234" s="15"/>
      <c r="NTN234" s="15"/>
      <c r="NTO234" s="15"/>
      <c r="NTP234" s="15"/>
      <c r="NTQ234" s="15"/>
      <c r="NTR234" s="15"/>
      <c r="NTS234" s="15"/>
      <c r="NTT234" s="15"/>
      <c r="NTU234" s="15"/>
      <c r="NTV234" s="15"/>
      <c r="NTW234" s="10"/>
      <c r="NTX234" s="10"/>
      <c r="NTY234" s="21"/>
      <c r="NTZ234" s="21"/>
      <c r="NUC234" s="21"/>
      <c r="NUD234" s="15"/>
      <c r="NUE234" s="15"/>
      <c r="NUF234" s="15"/>
      <c r="NUG234" s="15"/>
      <c r="NUH234" s="15"/>
      <c r="NUI234" s="15"/>
      <c r="NUJ234" s="15"/>
      <c r="NUK234" s="15"/>
      <c r="NUL234" s="15"/>
      <c r="NUM234" s="15"/>
      <c r="NUN234" s="10"/>
      <c r="NUO234" s="10"/>
      <c r="NUP234" s="21"/>
      <c r="NUQ234" s="21"/>
      <c r="NUT234" s="21"/>
      <c r="NUU234" s="15"/>
      <c r="NUV234" s="15"/>
      <c r="NUW234" s="15"/>
      <c r="NUX234" s="15"/>
      <c r="NUY234" s="15"/>
      <c r="NUZ234" s="15"/>
      <c r="NVA234" s="15"/>
      <c r="NVB234" s="15"/>
      <c r="NVC234" s="15"/>
      <c r="NVD234" s="15"/>
      <c r="NVE234" s="10"/>
      <c r="NVF234" s="10"/>
      <c r="NVG234" s="21"/>
      <c r="NVH234" s="21"/>
      <c r="NVK234" s="21"/>
      <c r="NVL234" s="15"/>
      <c r="NVM234" s="15"/>
      <c r="NVN234" s="15"/>
      <c r="NVO234" s="15"/>
      <c r="NVP234" s="15"/>
      <c r="NVQ234" s="15"/>
      <c r="NVR234" s="15"/>
      <c r="NVS234" s="15"/>
      <c r="NVT234" s="15"/>
      <c r="NVU234" s="15"/>
      <c r="NVV234" s="10"/>
      <c r="NVW234" s="10"/>
      <c r="NVX234" s="21"/>
      <c r="NVY234" s="21"/>
      <c r="NWB234" s="21"/>
      <c r="NWC234" s="15"/>
      <c r="NWD234" s="15"/>
      <c r="NWE234" s="15"/>
      <c r="NWF234" s="15"/>
      <c r="NWG234" s="15"/>
      <c r="NWH234" s="15"/>
      <c r="NWI234" s="15"/>
      <c r="NWJ234" s="15"/>
      <c r="NWK234" s="15"/>
      <c r="NWL234" s="15"/>
      <c r="NWM234" s="10"/>
      <c r="NWN234" s="10"/>
      <c r="NWO234" s="21"/>
      <c r="NWP234" s="21"/>
      <c r="NWS234" s="21"/>
      <c r="NWT234" s="15"/>
      <c r="NWU234" s="15"/>
      <c r="NWV234" s="15"/>
      <c r="NWW234" s="15"/>
      <c r="NWX234" s="15"/>
      <c r="NWY234" s="15"/>
      <c r="NWZ234" s="15"/>
      <c r="NXA234" s="15"/>
      <c r="NXB234" s="15"/>
      <c r="NXC234" s="15"/>
      <c r="NXD234" s="10"/>
      <c r="NXE234" s="10"/>
      <c r="NXF234" s="21"/>
      <c r="NXG234" s="21"/>
      <c r="NXJ234" s="21"/>
      <c r="NXK234" s="15"/>
      <c r="NXL234" s="15"/>
      <c r="NXM234" s="15"/>
      <c r="NXN234" s="15"/>
      <c r="NXO234" s="15"/>
      <c r="NXP234" s="15"/>
      <c r="NXQ234" s="15"/>
      <c r="NXR234" s="15"/>
      <c r="NXS234" s="15"/>
      <c r="NXT234" s="15"/>
      <c r="NXU234" s="10"/>
      <c r="NXV234" s="10"/>
      <c r="NXW234" s="21"/>
      <c r="NXX234" s="21"/>
      <c r="NYA234" s="21"/>
      <c r="NYB234" s="15"/>
      <c r="NYC234" s="15"/>
      <c r="NYD234" s="15"/>
      <c r="NYE234" s="15"/>
      <c r="NYF234" s="15"/>
      <c r="NYG234" s="15"/>
      <c r="NYH234" s="15"/>
      <c r="NYI234" s="15"/>
      <c r="NYJ234" s="15"/>
      <c r="NYK234" s="15"/>
      <c r="NYL234" s="10"/>
      <c r="NYM234" s="10"/>
      <c r="NYN234" s="21"/>
      <c r="NYO234" s="21"/>
      <c r="NYR234" s="21"/>
      <c r="NYS234" s="15"/>
      <c r="NYT234" s="15"/>
      <c r="NYU234" s="15"/>
      <c r="NYV234" s="15"/>
      <c r="NYW234" s="15"/>
      <c r="NYX234" s="15"/>
      <c r="NYY234" s="15"/>
      <c r="NYZ234" s="15"/>
      <c r="NZA234" s="15"/>
      <c r="NZB234" s="15"/>
      <c r="NZC234" s="10"/>
      <c r="NZD234" s="10"/>
      <c r="NZE234" s="21"/>
      <c r="NZF234" s="21"/>
      <c r="NZI234" s="21"/>
      <c r="NZJ234" s="15"/>
      <c r="NZK234" s="15"/>
      <c r="NZL234" s="15"/>
      <c r="NZM234" s="15"/>
      <c r="NZN234" s="15"/>
      <c r="NZO234" s="15"/>
      <c r="NZP234" s="15"/>
      <c r="NZQ234" s="15"/>
      <c r="NZR234" s="15"/>
      <c r="NZS234" s="15"/>
      <c r="NZT234" s="10"/>
      <c r="NZU234" s="10"/>
      <c r="NZV234" s="21"/>
      <c r="NZW234" s="21"/>
      <c r="NZZ234" s="21"/>
      <c r="OAA234" s="15"/>
      <c r="OAB234" s="15"/>
      <c r="OAC234" s="15"/>
      <c r="OAD234" s="15"/>
      <c r="OAE234" s="15"/>
      <c r="OAF234" s="15"/>
      <c r="OAG234" s="15"/>
      <c r="OAH234" s="15"/>
      <c r="OAI234" s="15"/>
      <c r="OAJ234" s="15"/>
      <c r="OAK234" s="10"/>
      <c r="OAL234" s="10"/>
      <c r="OAM234" s="21"/>
      <c r="OAN234" s="21"/>
      <c r="OAQ234" s="21"/>
      <c r="OAR234" s="15"/>
      <c r="OAS234" s="15"/>
      <c r="OAT234" s="15"/>
      <c r="OAU234" s="15"/>
      <c r="OAV234" s="15"/>
      <c r="OAW234" s="15"/>
      <c r="OAX234" s="15"/>
      <c r="OAY234" s="15"/>
      <c r="OAZ234" s="15"/>
      <c r="OBA234" s="15"/>
      <c r="OBB234" s="10"/>
      <c r="OBC234" s="10"/>
      <c r="OBD234" s="21"/>
      <c r="OBE234" s="21"/>
      <c r="OBH234" s="21"/>
      <c r="OBI234" s="15"/>
      <c r="OBJ234" s="15"/>
      <c r="OBK234" s="15"/>
      <c r="OBL234" s="15"/>
      <c r="OBM234" s="15"/>
      <c r="OBN234" s="15"/>
      <c r="OBO234" s="15"/>
      <c r="OBP234" s="15"/>
      <c r="OBQ234" s="15"/>
      <c r="OBR234" s="15"/>
      <c r="OBS234" s="10"/>
      <c r="OBT234" s="10"/>
      <c r="OBU234" s="21"/>
      <c r="OBV234" s="21"/>
      <c r="OBY234" s="21"/>
      <c r="OBZ234" s="15"/>
      <c r="OCA234" s="15"/>
      <c r="OCB234" s="15"/>
      <c r="OCC234" s="15"/>
      <c r="OCD234" s="15"/>
      <c r="OCE234" s="15"/>
      <c r="OCF234" s="15"/>
      <c r="OCG234" s="15"/>
      <c r="OCH234" s="15"/>
      <c r="OCI234" s="15"/>
      <c r="OCJ234" s="10"/>
      <c r="OCK234" s="10"/>
      <c r="OCL234" s="21"/>
      <c r="OCM234" s="21"/>
      <c r="OCP234" s="21"/>
      <c r="OCQ234" s="15"/>
      <c r="OCR234" s="15"/>
      <c r="OCS234" s="15"/>
      <c r="OCT234" s="15"/>
      <c r="OCU234" s="15"/>
      <c r="OCV234" s="15"/>
      <c r="OCW234" s="15"/>
      <c r="OCX234" s="15"/>
      <c r="OCY234" s="15"/>
      <c r="OCZ234" s="15"/>
      <c r="ODA234" s="10"/>
      <c r="ODB234" s="10"/>
      <c r="ODC234" s="21"/>
      <c r="ODD234" s="21"/>
      <c r="ODG234" s="21"/>
      <c r="ODH234" s="15"/>
      <c r="ODI234" s="15"/>
      <c r="ODJ234" s="15"/>
      <c r="ODK234" s="15"/>
      <c r="ODL234" s="15"/>
      <c r="ODM234" s="15"/>
      <c r="ODN234" s="15"/>
      <c r="ODO234" s="15"/>
      <c r="ODP234" s="15"/>
      <c r="ODQ234" s="15"/>
      <c r="ODR234" s="10"/>
      <c r="ODS234" s="10"/>
      <c r="ODT234" s="21"/>
      <c r="ODU234" s="21"/>
      <c r="ODX234" s="21"/>
      <c r="ODY234" s="15"/>
      <c r="ODZ234" s="15"/>
      <c r="OEA234" s="15"/>
      <c r="OEB234" s="15"/>
      <c r="OEC234" s="15"/>
      <c r="OED234" s="15"/>
      <c r="OEE234" s="15"/>
      <c r="OEF234" s="15"/>
      <c r="OEG234" s="15"/>
      <c r="OEH234" s="15"/>
      <c r="OEI234" s="10"/>
      <c r="OEJ234" s="10"/>
      <c r="OEK234" s="21"/>
      <c r="OEL234" s="21"/>
      <c r="OEO234" s="21"/>
      <c r="OEP234" s="15"/>
      <c r="OEQ234" s="15"/>
      <c r="OER234" s="15"/>
      <c r="OES234" s="15"/>
      <c r="OET234" s="15"/>
      <c r="OEU234" s="15"/>
      <c r="OEV234" s="15"/>
      <c r="OEW234" s="15"/>
      <c r="OEX234" s="15"/>
      <c r="OEY234" s="15"/>
      <c r="OEZ234" s="10"/>
      <c r="OFA234" s="10"/>
      <c r="OFB234" s="21"/>
      <c r="OFC234" s="21"/>
      <c r="OFF234" s="21"/>
      <c r="OFG234" s="15"/>
      <c r="OFH234" s="15"/>
      <c r="OFI234" s="15"/>
      <c r="OFJ234" s="15"/>
      <c r="OFK234" s="15"/>
      <c r="OFL234" s="15"/>
      <c r="OFM234" s="15"/>
      <c r="OFN234" s="15"/>
      <c r="OFO234" s="15"/>
      <c r="OFP234" s="15"/>
      <c r="OFQ234" s="10"/>
      <c r="OFR234" s="10"/>
      <c r="OFS234" s="21"/>
      <c r="OFT234" s="21"/>
      <c r="OFW234" s="21"/>
      <c r="OFX234" s="15"/>
      <c r="OFY234" s="15"/>
      <c r="OFZ234" s="15"/>
      <c r="OGA234" s="15"/>
      <c r="OGB234" s="15"/>
      <c r="OGC234" s="15"/>
      <c r="OGD234" s="15"/>
      <c r="OGE234" s="15"/>
      <c r="OGF234" s="15"/>
      <c r="OGG234" s="15"/>
      <c r="OGH234" s="10"/>
      <c r="OGI234" s="10"/>
      <c r="OGJ234" s="21"/>
      <c r="OGK234" s="21"/>
      <c r="OGN234" s="21"/>
      <c r="OGO234" s="15"/>
      <c r="OGP234" s="15"/>
      <c r="OGQ234" s="15"/>
      <c r="OGR234" s="15"/>
      <c r="OGS234" s="15"/>
      <c r="OGT234" s="15"/>
      <c r="OGU234" s="15"/>
      <c r="OGV234" s="15"/>
      <c r="OGW234" s="15"/>
      <c r="OGX234" s="15"/>
      <c r="OGY234" s="10"/>
      <c r="OGZ234" s="10"/>
      <c r="OHA234" s="21"/>
      <c r="OHB234" s="21"/>
      <c r="OHE234" s="21"/>
      <c r="OHF234" s="15"/>
      <c r="OHG234" s="15"/>
      <c r="OHH234" s="15"/>
      <c r="OHI234" s="15"/>
      <c r="OHJ234" s="15"/>
      <c r="OHK234" s="15"/>
      <c r="OHL234" s="15"/>
      <c r="OHM234" s="15"/>
      <c r="OHN234" s="15"/>
      <c r="OHO234" s="15"/>
      <c r="OHP234" s="10"/>
      <c r="OHQ234" s="10"/>
      <c r="OHR234" s="21"/>
      <c r="OHS234" s="21"/>
      <c r="OHV234" s="21"/>
      <c r="OHW234" s="15"/>
      <c r="OHX234" s="15"/>
      <c r="OHY234" s="15"/>
      <c r="OHZ234" s="15"/>
      <c r="OIA234" s="15"/>
      <c r="OIB234" s="15"/>
      <c r="OIC234" s="15"/>
      <c r="OID234" s="15"/>
      <c r="OIE234" s="15"/>
      <c r="OIF234" s="15"/>
      <c r="OIG234" s="10"/>
      <c r="OIH234" s="10"/>
      <c r="OII234" s="21"/>
      <c r="OIJ234" s="21"/>
      <c r="OIM234" s="21"/>
      <c r="OIN234" s="15"/>
      <c r="OIO234" s="15"/>
      <c r="OIP234" s="15"/>
      <c r="OIQ234" s="15"/>
      <c r="OIR234" s="15"/>
      <c r="OIS234" s="15"/>
      <c r="OIT234" s="15"/>
      <c r="OIU234" s="15"/>
      <c r="OIV234" s="15"/>
      <c r="OIW234" s="15"/>
      <c r="OIX234" s="10"/>
      <c r="OIY234" s="10"/>
      <c r="OIZ234" s="21"/>
      <c r="OJA234" s="21"/>
      <c r="OJD234" s="21"/>
      <c r="OJE234" s="15"/>
      <c r="OJF234" s="15"/>
      <c r="OJG234" s="15"/>
      <c r="OJH234" s="15"/>
      <c r="OJI234" s="15"/>
      <c r="OJJ234" s="15"/>
      <c r="OJK234" s="15"/>
      <c r="OJL234" s="15"/>
      <c r="OJM234" s="15"/>
      <c r="OJN234" s="15"/>
      <c r="OJO234" s="10"/>
      <c r="OJP234" s="10"/>
      <c r="OJQ234" s="21"/>
      <c r="OJR234" s="21"/>
      <c r="OJU234" s="21"/>
      <c r="OJV234" s="15"/>
      <c r="OJW234" s="15"/>
      <c r="OJX234" s="15"/>
      <c r="OJY234" s="15"/>
      <c r="OJZ234" s="15"/>
      <c r="OKA234" s="15"/>
      <c r="OKB234" s="15"/>
      <c r="OKC234" s="15"/>
      <c r="OKD234" s="15"/>
      <c r="OKE234" s="15"/>
      <c r="OKF234" s="10"/>
      <c r="OKG234" s="10"/>
      <c r="OKH234" s="21"/>
      <c r="OKI234" s="21"/>
      <c r="OKL234" s="21"/>
      <c r="OKM234" s="15"/>
      <c r="OKN234" s="15"/>
      <c r="OKO234" s="15"/>
      <c r="OKP234" s="15"/>
      <c r="OKQ234" s="15"/>
      <c r="OKR234" s="15"/>
      <c r="OKS234" s="15"/>
      <c r="OKT234" s="15"/>
      <c r="OKU234" s="15"/>
      <c r="OKV234" s="15"/>
      <c r="OKW234" s="10"/>
      <c r="OKX234" s="10"/>
      <c r="OKY234" s="21"/>
      <c r="OKZ234" s="21"/>
      <c r="OLC234" s="21"/>
      <c r="OLD234" s="15"/>
      <c r="OLE234" s="15"/>
      <c r="OLF234" s="15"/>
      <c r="OLG234" s="15"/>
      <c r="OLH234" s="15"/>
      <c r="OLI234" s="15"/>
      <c r="OLJ234" s="15"/>
      <c r="OLK234" s="15"/>
      <c r="OLL234" s="15"/>
      <c r="OLM234" s="15"/>
      <c r="OLN234" s="10"/>
      <c r="OLO234" s="10"/>
      <c r="OLP234" s="21"/>
      <c r="OLQ234" s="21"/>
      <c r="OLT234" s="21"/>
      <c r="OLU234" s="15"/>
      <c r="OLV234" s="15"/>
      <c r="OLW234" s="15"/>
      <c r="OLX234" s="15"/>
      <c r="OLY234" s="15"/>
      <c r="OLZ234" s="15"/>
      <c r="OMA234" s="15"/>
      <c r="OMB234" s="15"/>
      <c r="OMC234" s="15"/>
      <c r="OMD234" s="15"/>
      <c r="OME234" s="10"/>
      <c r="OMF234" s="10"/>
      <c r="OMG234" s="21"/>
      <c r="OMH234" s="21"/>
      <c r="OMK234" s="21"/>
      <c r="OML234" s="15"/>
      <c r="OMM234" s="15"/>
      <c r="OMN234" s="15"/>
      <c r="OMO234" s="15"/>
      <c r="OMP234" s="15"/>
      <c r="OMQ234" s="15"/>
      <c r="OMR234" s="15"/>
      <c r="OMS234" s="15"/>
      <c r="OMT234" s="15"/>
      <c r="OMU234" s="15"/>
      <c r="OMV234" s="10"/>
      <c r="OMW234" s="10"/>
      <c r="OMX234" s="21"/>
      <c r="OMY234" s="21"/>
      <c r="ONB234" s="21"/>
      <c r="ONC234" s="15"/>
      <c r="OND234" s="15"/>
      <c r="ONE234" s="15"/>
      <c r="ONF234" s="15"/>
      <c r="ONG234" s="15"/>
      <c r="ONH234" s="15"/>
      <c r="ONI234" s="15"/>
      <c r="ONJ234" s="15"/>
      <c r="ONK234" s="15"/>
      <c r="ONL234" s="15"/>
      <c r="ONM234" s="10"/>
      <c r="ONN234" s="10"/>
      <c r="ONO234" s="21"/>
      <c r="ONP234" s="21"/>
      <c r="ONS234" s="21"/>
      <c r="ONT234" s="15"/>
      <c r="ONU234" s="15"/>
      <c r="ONV234" s="15"/>
      <c r="ONW234" s="15"/>
      <c r="ONX234" s="15"/>
      <c r="ONY234" s="15"/>
      <c r="ONZ234" s="15"/>
      <c r="OOA234" s="15"/>
      <c r="OOB234" s="15"/>
      <c r="OOC234" s="15"/>
      <c r="OOD234" s="10"/>
      <c r="OOE234" s="10"/>
      <c r="OOF234" s="21"/>
      <c r="OOG234" s="21"/>
      <c r="OOJ234" s="21"/>
      <c r="OOK234" s="15"/>
      <c r="OOL234" s="15"/>
      <c r="OOM234" s="15"/>
      <c r="OON234" s="15"/>
      <c r="OOO234" s="15"/>
      <c r="OOP234" s="15"/>
      <c r="OOQ234" s="15"/>
      <c r="OOR234" s="15"/>
      <c r="OOS234" s="15"/>
      <c r="OOT234" s="15"/>
      <c r="OOU234" s="10"/>
      <c r="OOV234" s="10"/>
      <c r="OOW234" s="21"/>
      <c r="OOX234" s="21"/>
      <c r="OPA234" s="21"/>
      <c r="OPB234" s="15"/>
      <c r="OPC234" s="15"/>
      <c r="OPD234" s="15"/>
      <c r="OPE234" s="15"/>
      <c r="OPF234" s="15"/>
      <c r="OPG234" s="15"/>
      <c r="OPH234" s="15"/>
      <c r="OPI234" s="15"/>
      <c r="OPJ234" s="15"/>
      <c r="OPK234" s="15"/>
      <c r="OPL234" s="10"/>
      <c r="OPM234" s="10"/>
      <c r="OPN234" s="21"/>
      <c r="OPO234" s="21"/>
      <c r="OPR234" s="21"/>
      <c r="OPS234" s="15"/>
      <c r="OPT234" s="15"/>
      <c r="OPU234" s="15"/>
      <c r="OPV234" s="15"/>
      <c r="OPW234" s="15"/>
      <c r="OPX234" s="15"/>
      <c r="OPY234" s="15"/>
      <c r="OPZ234" s="15"/>
      <c r="OQA234" s="15"/>
      <c r="OQB234" s="15"/>
      <c r="OQC234" s="10"/>
      <c r="OQD234" s="10"/>
      <c r="OQE234" s="21"/>
      <c r="OQF234" s="21"/>
      <c r="OQI234" s="21"/>
      <c r="OQJ234" s="15"/>
      <c r="OQK234" s="15"/>
      <c r="OQL234" s="15"/>
      <c r="OQM234" s="15"/>
      <c r="OQN234" s="15"/>
      <c r="OQO234" s="15"/>
      <c r="OQP234" s="15"/>
      <c r="OQQ234" s="15"/>
      <c r="OQR234" s="15"/>
      <c r="OQS234" s="15"/>
      <c r="OQT234" s="10"/>
      <c r="OQU234" s="10"/>
      <c r="OQV234" s="21"/>
      <c r="OQW234" s="21"/>
      <c r="OQZ234" s="21"/>
      <c r="ORA234" s="15"/>
      <c r="ORB234" s="15"/>
      <c r="ORC234" s="15"/>
      <c r="ORD234" s="15"/>
      <c r="ORE234" s="15"/>
      <c r="ORF234" s="15"/>
      <c r="ORG234" s="15"/>
      <c r="ORH234" s="15"/>
      <c r="ORI234" s="15"/>
      <c r="ORJ234" s="15"/>
      <c r="ORK234" s="10"/>
      <c r="ORL234" s="10"/>
      <c r="ORM234" s="21"/>
      <c r="ORN234" s="21"/>
      <c r="ORQ234" s="21"/>
      <c r="ORR234" s="15"/>
      <c r="ORS234" s="15"/>
      <c r="ORT234" s="15"/>
      <c r="ORU234" s="15"/>
      <c r="ORV234" s="15"/>
      <c r="ORW234" s="15"/>
      <c r="ORX234" s="15"/>
      <c r="ORY234" s="15"/>
      <c r="ORZ234" s="15"/>
      <c r="OSA234" s="15"/>
      <c r="OSB234" s="10"/>
      <c r="OSC234" s="10"/>
      <c r="OSD234" s="21"/>
      <c r="OSE234" s="21"/>
      <c r="OSH234" s="21"/>
      <c r="OSI234" s="15"/>
      <c r="OSJ234" s="15"/>
      <c r="OSK234" s="15"/>
      <c r="OSL234" s="15"/>
      <c r="OSM234" s="15"/>
      <c r="OSN234" s="15"/>
      <c r="OSO234" s="15"/>
      <c r="OSP234" s="15"/>
      <c r="OSQ234" s="15"/>
      <c r="OSR234" s="15"/>
      <c r="OSS234" s="10"/>
      <c r="OST234" s="10"/>
      <c r="OSU234" s="21"/>
      <c r="OSV234" s="21"/>
      <c r="OSY234" s="21"/>
      <c r="OSZ234" s="15"/>
      <c r="OTA234" s="15"/>
      <c r="OTB234" s="15"/>
      <c r="OTC234" s="15"/>
      <c r="OTD234" s="15"/>
      <c r="OTE234" s="15"/>
      <c r="OTF234" s="15"/>
      <c r="OTG234" s="15"/>
      <c r="OTH234" s="15"/>
      <c r="OTI234" s="15"/>
      <c r="OTJ234" s="10"/>
      <c r="OTK234" s="10"/>
      <c r="OTL234" s="21"/>
      <c r="OTM234" s="21"/>
      <c r="OTP234" s="21"/>
      <c r="OTQ234" s="15"/>
      <c r="OTR234" s="15"/>
      <c r="OTS234" s="15"/>
      <c r="OTT234" s="15"/>
      <c r="OTU234" s="15"/>
      <c r="OTV234" s="15"/>
      <c r="OTW234" s="15"/>
      <c r="OTX234" s="15"/>
      <c r="OTY234" s="15"/>
      <c r="OTZ234" s="15"/>
      <c r="OUA234" s="10"/>
      <c r="OUB234" s="10"/>
      <c r="OUC234" s="21"/>
      <c r="OUD234" s="21"/>
      <c r="OUG234" s="21"/>
      <c r="OUH234" s="15"/>
      <c r="OUI234" s="15"/>
      <c r="OUJ234" s="15"/>
      <c r="OUK234" s="15"/>
      <c r="OUL234" s="15"/>
      <c r="OUM234" s="15"/>
      <c r="OUN234" s="15"/>
      <c r="OUO234" s="15"/>
      <c r="OUP234" s="15"/>
      <c r="OUQ234" s="15"/>
      <c r="OUR234" s="10"/>
      <c r="OUS234" s="10"/>
      <c r="OUT234" s="21"/>
      <c r="OUU234" s="21"/>
      <c r="OUX234" s="21"/>
      <c r="OUY234" s="15"/>
      <c r="OUZ234" s="15"/>
      <c r="OVA234" s="15"/>
      <c r="OVB234" s="15"/>
      <c r="OVC234" s="15"/>
      <c r="OVD234" s="15"/>
      <c r="OVE234" s="15"/>
      <c r="OVF234" s="15"/>
      <c r="OVG234" s="15"/>
      <c r="OVH234" s="15"/>
      <c r="OVI234" s="10"/>
      <c r="OVJ234" s="10"/>
      <c r="OVK234" s="21"/>
      <c r="OVL234" s="21"/>
      <c r="OVO234" s="21"/>
      <c r="OVP234" s="15"/>
      <c r="OVQ234" s="15"/>
      <c r="OVR234" s="15"/>
      <c r="OVS234" s="15"/>
      <c r="OVT234" s="15"/>
      <c r="OVU234" s="15"/>
      <c r="OVV234" s="15"/>
      <c r="OVW234" s="15"/>
      <c r="OVX234" s="15"/>
      <c r="OVY234" s="15"/>
      <c r="OVZ234" s="10"/>
      <c r="OWA234" s="10"/>
      <c r="OWB234" s="21"/>
      <c r="OWC234" s="21"/>
      <c r="OWF234" s="21"/>
      <c r="OWG234" s="15"/>
      <c r="OWH234" s="15"/>
      <c r="OWI234" s="15"/>
      <c r="OWJ234" s="15"/>
      <c r="OWK234" s="15"/>
      <c r="OWL234" s="15"/>
      <c r="OWM234" s="15"/>
      <c r="OWN234" s="15"/>
      <c r="OWO234" s="15"/>
      <c r="OWP234" s="15"/>
      <c r="OWQ234" s="10"/>
      <c r="OWR234" s="10"/>
      <c r="OWS234" s="21"/>
      <c r="OWT234" s="21"/>
      <c r="OWW234" s="21"/>
      <c r="OWX234" s="15"/>
      <c r="OWY234" s="15"/>
      <c r="OWZ234" s="15"/>
      <c r="OXA234" s="15"/>
      <c r="OXB234" s="15"/>
      <c r="OXC234" s="15"/>
      <c r="OXD234" s="15"/>
      <c r="OXE234" s="15"/>
      <c r="OXF234" s="15"/>
      <c r="OXG234" s="15"/>
      <c r="OXH234" s="10"/>
      <c r="OXI234" s="10"/>
      <c r="OXJ234" s="21"/>
      <c r="OXK234" s="21"/>
      <c r="OXN234" s="21"/>
      <c r="OXO234" s="15"/>
      <c r="OXP234" s="15"/>
      <c r="OXQ234" s="15"/>
      <c r="OXR234" s="15"/>
      <c r="OXS234" s="15"/>
      <c r="OXT234" s="15"/>
      <c r="OXU234" s="15"/>
      <c r="OXV234" s="15"/>
      <c r="OXW234" s="15"/>
      <c r="OXX234" s="15"/>
      <c r="OXY234" s="10"/>
      <c r="OXZ234" s="10"/>
      <c r="OYA234" s="21"/>
      <c r="OYB234" s="21"/>
      <c r="OYE234" s="21"/>
      <c r="OYF234" s="15"/>
      <c r="OYG234" s="15"/>
      <c r="OYH234" s="15"/>
      <c r="OYI234" s="15"/>
      <c r="OYJ234" s="15"/>
      <c r="OYK234" s="15"/>
      <c r="OYL234" s="15"/>
      <c r="OYM234" s="15"/>
      <c r="OYN234" s="15"/>
      <c r="OYO234" s="15"/>
      <c r="OYP234" s="10"/>
      <c r="OYQ234" s="10"/>
      <c r="OYR234" s="21"/>
      <c r="OYS234" s="21"/>
      <c r="OYV234" s="21"/>
      <c r="OYW234" s="15"/>
      <c r="OYX234" s="15"/>
      <c r="OYY234" s="15"/>
      <c r="OYZ234" s="15"/>
      <c r="OZA234" s="15"/>
      <c r="OZB234" s="15"/>
      <c r="OZC234" s="15"/>
      <c r="OZD234" s="15"/>
      <c r="OZE234" s="15"/>
      <c r="OZF234" s="15"/>
      <c r="OZG234" s="10"/>
      <c r="OZH234" s="10"/>
      <c r="OZI234" s="21"/>
      <c r="OZJ234" s="21"/>
      <c r="OZM234" s="21"/>
      <c r="OZN234" s="15"/>
      <c r="OZO234" s="15"/>
      <c r="OZP234" s="15"/>
      <c r="OZQ234" s="15"/>
      <c r="OZR234" s="15"/>
      <c r="OZS234" s="15"/>
      <c r="OZT234" s="15"/>
      <c r="OZU234" s="15"/>
      <c r="OZV234" s="15"/>
      <c r="OZW234" s="15"/>
      <c r="OZX234" s="10"/>
      <c r="OZY234" s="10"/>
      <c r="OZZ234" s="21"/>
      <c r="PAA234" s="21"/>
      <c r="PAD234" s="21"/>
      <c r="PAE234" s="15"/>
      <c r="PAF234" s="15"/>
      <c r="PAG234" s="15"/>
      <c r="PAH234" s="15"/>
      <c r="PAI234" s="15"/>
      <c r="PAJ234" s="15"/>
      <c r="PAK234" s="15"/>
      <c r="PAL234" s="15"/>
      <c r="PAM234" s="15"/>
      <c r="PAN234" s="15"/>
      <c r="PAO234" s="10"/>
      <c r="PAP234" s="10"/>
      <c r="PAQ234" s="21"/>
      <c r="PAR234" s="21"/>
      <c r="PAU234" s="21"/>
      <c r="PAV234" s="15"/>
      <c r="PAW234" s="15"/>
      <c r="PAX234" s="15"/>
      <c r="PAY234" s="15"/>
      <c r="PAZ234" s="15"/>
      <c r="PBA234" s="15"/>
      <c r="PBB234" s="15"/>
      <c r="PBC234" s="15"/>
      <c r="PBD234" s="15"/>
      <c r="PBE234" s="15"/>
      <c r="PBF234" s="10"/>
      <c r="PBG234" s="10"/>
      <c r="PBH234" s="21"/>
      <c r="PBI234" s="21"/>
      <c r="PBL234" s="21"/>
      <c r="PBM234" s="15"/>
      <c r="PBN234" s="15"/>
      <c r="PBO234" s="15"/>
      <c r="PBP234" s="15"/>
      <c r="PBQ234" s="15"/>
      <c r="PBR234" s="15"/>
      <c r="PBS234" s="15"/>
      <c r="PBT234" s="15"/>
      <c r="PBU234" s="15"/>
      <c r="PBV234" s="15"/>
      <c r="PBW234" s="10"/>
      <c r="PBX234" s="10"/>
      <c r="PBY234" s="21"/>
      <c r="PBZ234" s="21"/>
      <c r="PCC234" s="21"/>
      <c r="PCD234" s="15"/>
      <c r="PCE234" s="15"/>
      <c r="PCF234" s="15"/>
      <c r="PCG234" s="15"/>
      <c r="PCH234" s="15"/>
      <c r="PCI234" s="15"/>
      <c r="PCJ234" s="15"/>
      <c r="PCK234" s="15"/>
      <c r="PCL234" s="15"/>
      <c r="PCM234" s="15"/>
      <c r="PCN234" s="10"/>
      <c r="PCO234" s="10"/>
      <c r="PCP234" s="21"/>
      <c r="PCQ234" s="21"/>
      <c r="PCT234" s="21"/>
      <c r="PCU234" s="15"/>
      <c r="PCV234" s="15"/>
      <c r="PCW234" s="15"/>
      <c r="PCX234" s="15"/>
      <c r="PCY234" s="15"/>
      <c r="PCZ234" s="15"/>
      <c r="PDA234" s="15"/>
      <c r="PDB234" s="15"/>
      <c r="PDC234" s="15"/>
      <c r="PDD234" s="15"/>
      <c r="PDE234" s="10"/>
      <c r="PDF234" s="10"/>
      <c r="PDG234" s="21"/>
      <c r="PDH234" s="21"/>
      <c r="PDK234" s="21"/>
      <c r="PDL234" s="15"/>
      <c r="PDM234" s="15"/>
      <c r="PDN234" s="15"/>
      <c r="PDO234" s="15"/>
      <c r="PDP234" s="15"/>
      <c r="PDQ234" s="15"/>
      <c r="PDR234" s="15"/>
      <c r="PDS234" s="15"/>
      <c r="PDT234" s="15"/>
      <c r="PDU234" s="15"/>
      <c r="PDV234" s="10"/>
      <c r="PDW234" s="10"/>
      <c r="PDX234" s="21"/>
      <c r="PDY234" s="21"/>
      <c r="PEB234" s="21"/>
      <c r="PEC234" s="15"/>
      <c r="PED234" s="15"/>
      <c r="PEE234" s="15"/>
      <c r="PEF234" s="15"/>
      <c r="PEG234" s="15"/>
      <c r="PEH234" s="15"/>
      <c r="PEI234" s="15"/>
      <c r="PEJ234" s="15"/>
      <c r="PEK234" s="15"/>
      <c r="PEL234" s="15"/>
      <c r="PEM234" s="10"/>
      <c r="PEN234" s="10"/>
      <c r="PEO234" s="21"/>
      <c r="PEP234" s="21"/>
      <c r="PES234" s="21"/>
      <c r="PET234" s="15"/>
      <c r="PEU234" s="15"/>
      <c r="PEV234" s="15"/>
      <c r="PEW234" s="15"/>
      <c r="PEX234" s="15"/>
      <c r="PEY234" s="15"/>
      <c r="PEZ234" s="15"/>
      <c r="PFA234" s="15"/>
      <c r="PFB234" s="15"/>
      <c r="PFC234" s="15"/>
      <c r="PFD234" s="10"/>
      <c r="PFE234" s="10"/>
      <c r="PFF234" s="21"/>
      <c r="PFG234" s="21"/>
      <c r="PFJ234" s="21"/>
      <c r="PFK234" s="15"/>
      <c r="PFL234" s="15"/>
      <c r="PFM234" s="15"/>
      <c r="PFN234" s="15"/>
      <c r="PFO234" s="15"/>
      <c r="PFP234" s="15"/>
      <c r="PFQ234" s="15"/>
      <c r="PFR234" s="15"/>
      <c r="PFS234" s="15"/>
      <c r="PFT234" s="15"/>
      <c r="PFU234" s="10"/>
      <c r="PFV234" s="10"/>
      <c r="PFW234" s="21"/>
      <c r="PFX234" s="21"/>
      <c r="PGA234" s="21"/>
      <c r="PGB234" s="15"/>
      <c r="PGC234" s="15"/>
      <c r="PGD234" s="15"/>
      <c r="PGE234" s="15"/>
      <c r="PGF234" s="15"/>
      <c r="PGG234" s="15"/>
      <c r="PGH234" s="15"/>
      <c r="PGI234" s="15"/>
      <c r="PGJ234" s="15"/>
      <c r="PGK234" s="15"/>
      <c r="PGL234" s="10"/>
      <c r="PGM234" s="10"/>
      <c r="PGN234" s="21"/>
      <c r="PGO234" s="21"/>
      <c r="PGR234" s="21"/>
      <c r="PGS234" s="15"/>
      <c r="PGT234" s="15"/>
      <c r="PGU234" s="15"/>
      <c r="PGV234" s="15"/>
      <c r="PGW234" s="15"/>
      <c r="PGX234" s="15"/>
      <c r="PGY234" s="15"/>
      <c r="PGZ234" s="15"/>
      <c r="PHA234" s="15"/>
      <c r="PHB234" s="15"/>
      <c r="PHC234" s="10"/>
      <c r="PHD234" s="10"/>
      <c r="PHE234" s="21"/>
      <c r="PHF234" s="21"/>
      <c r="PHI234" s="21"/>
      <c r="PHJ234" s="15"/>
      <c r="PHK234" s="15"/>
      <c r="PHL234" s="15"/>
      <c r="PHM234" s="15"/>
      <c r="PHN234" s="15"/>
      <c r="PHO234" s="15"/>
      <c r="PHP234" s="15"/>
      <c r="PHQ234" s="15"/>
      <c r="PHR234" s="15"/>
      <c r="PHS234" s="15"/>
      <c r="PHT234" s="10"/>
      <c r="PHU234" s="10"/>
      <c r="PHV234" s="21"/>
      <c r="PHW234" s="21"/>
      <c r="PHZ234" s="21"/>
      <c r="PIA234" s="15"/>
      <c r="PIB234" s="15"/>
      <c r="PIC234" s="15"/>
      <c r="PID234" s="15"/>
      <c r="PIE234" s="15"/>
      <c r="PIF234" s="15"/>
      <c r="PIG234" s="15"/>
      <c r="PIH234" s="15"/>
      <c r="PII234" s="15"/>
      <c r="PIJ234" s="15"/>
      <c r="PIK234" s="10"/>
      <c r="PIL234" s="10"/>
      <c r="PIM234" s="21"/>
      <c r="PIN234" s="21"/>
      <c r="PIQ234" s="21"/>
      <c r="PIR234" s="15"/>
      <c r="PIS234" s="15"/>
      <c r="PIT234" s="15"/>
      <c r="PIU234" s="15"/>
      <c r="PIV234" s="15"/>
      <c r="PIW234" s="15"/>
      <c r="PIX234" s="15"/>
      <c r="PIY234" s="15"/>
      <c r="PIZ234" s="15"/>
      <c r="PJA234" s="15"/>
      <c r="PJB234" s="10"/>
      <c r="PJC234" s="10"/>
      <c r="PJD234" s="21"/>
      <c r="PJE234" s="21"/>
      <c r="PJH234" s="21"/>
      <c r="PJI234" s="15"/>
      <c r="PJJ234" s="15"/>
      <c r="PJK234" s="15"/>
      <c r="PJL234" s="15"/>
      <c r="PJM234" s="15"/>
      <c r="PJN234" s="15"/>
      <c r="PJO234" s="15"/>
      <c r="PJP234" s="15"/>
      <c r="PJQ234" s="15"/>
      <c r="PJR234" s="15"/>
      <c r="PJS234" s="10"/>
      <c r="PJT234" s="10"/>
      <c r="PJU234" s="21"/>
      <c r="PJV234" s="21"/>
      <c r="PJY234" s="21"/>
      <c r="PJZ234" s="15"/>
      <c r="PKA234" s="15"/>
      <c r="PKB234" s="15"/>
      <c r="PKC234" s="15"/>
      <c r="PKD234" s="15"/>
      <c r="PKE234" s="15"/>
      <c r="PKF234" s="15"/>
      <c r="PKG234" s="15"/>
      <c r="PKH234" s="15"/>
      <c r="PKI234" s="15"/>
      <c r="PKJ234" s="10"/>
      <c r="PKK234" s="10"/>
      <c r="PKL234" s="21"/>
      <c r="PKM234" s="21"/>
      <c r="PKP234" s="21"/>
      <c r="PKQ234" s="15"/>
      <c r="PKR234" s="15"/>
      <c r="PKS234" s="15"/>
      <c r="PKT234" s="15"/>
      <c r="PKU234" s="15"/>
      <c r="PKV234" s="15"/>
      <c r="PKW234" s="15"/>
      <c r="PKX234" s="15"/>
      <c r="PKY234" s="15"/>
      <c r="PKZ234" s="15"/>
      <c r="PLA234" s="10"/>
      <c r="PLB234" s="10"/>
      <c r="PLC234" s="21"/>
      <c r="PLD234" s="21"/>
      <c r="PLG234" s="21"/>
      <c r="PLH234" s="15"/>
      <c r="PLI234" s="15"/>
      <c r="PLJ234" s="15"/>
      <c r="PLK234" s="15"/>
      <c r="PLL234" s="15"/>
      <c r="PLM234" s="15"/>
      <c r="PLN234" s="15"/>
      <c r="PLO234" s="15"/>
      <c r="PLP234" s="15"/>
      <c r="PLQ234" s="15"/>
      <c r="PLR234" s="10"/>
      <c r="PLS234" s="10"/>
      <c r="PLT234" s="21"/>
      <c r="PLU234" s="21"/>
      <c r="PLX234" s="21"/>
      <c r="PLY234" s="15"/>
      <c r="PLZ234" s="15"/>
      <c r="PMA234" s="15"/>
      <c r="PMB234" s="15"/>
      <c r="PMC234" s="15"/>
      <c r="PMD234" s="15"/>
      <c r="PME234" s="15"/>
      <c r="PMF234" s="15"/>
      <c r="PMG234" s="15"/>
      <c r="PMH234" s="15"/>
      <c r="PMI234" s="10"/>
      <c r="PMJ234" s="10"/>
      <c r="PMK234" s="21"/>
      <c r="PML234" s="21"/>
      <c r="PMO234" s="21"/>
      <c r="PMP234" s="15"/>
      <c r="PMQ234" s="15"/>
      <c r="PMR234" s="15"/>
      <c r="PMS234" s="15"/>
      <c r="PMT234" s="15"/>
      <c r="PMU234" s="15"/>
      <c r="PMV234" s="15"/>
      <c r="PMW234" s="15"/>
      <c r="PMX234" s="15"/>
      <c r="PMY234" s="15"/>
      <c r="PMZ234" s="10"/>
      <c r="PNA234" s="10"/>
      <c r="PNB234" s="21"/>
      <c r="PNC234" s="21"/>
      <c r="PNF234" s="21"/>
      <c r="PNG234" s="15"/>
      <c r="PNH234" s="15"/>
      <c r="PNI234" s="15"/>
      <c r="PNJ234" s="15"/>
      <c r="PNK234" s="15"/>
      <c r="PNL234" s="15"/>
      <c r="PNM234" s="15"/>
      <c r="PNN234" s="15"/>
      <c r="PNO234" s="15"/>
      <c r="PNP234" s="15"/>
      <c r="PNQ234" s="10"/>
      <c r="PNR234" s="10"/>
      <c r="PNS234" s="21"/>
      <c r="PNT234" s="21"/>
      <c r="PNW234" s="21"/>
      <c r="PNX234" s="15"/>
      <c r="PNY234" s="15"/>
      <c r="PNZ234" s="15"/>
      <c r="POA234" s="15"/>
      <c r="POB234" s="15"/>
      <c r="POC234" s="15"/>
      <c r="POD234" s="15"/>
      <c r="POE234" s="15"/>
      <c r="POF234" s="15"/>
      <c r="POG234" s="15"/>
      <c r="POH234" s="10"/>
      <c r="POI234" s="10"/>
      <c r="POJ234" s="21"/>
      <c r="POK234" s="21"/>
      <c r="PON234" s="21"/>
      <c r="POO234" s="15"/>
      <c r="POP234" s="15"/>
      <c r="POQ234" s="15"/>
      <c r="POR234" s="15"/>
      <c r="POS234" s="15"/>
      <c r="POT234" s="15"/>
      <c r="POU234" s="15"/>
      <c r="POV234" s="15"/>
      <c r="POW234" s="15"/>
      <c r="POX234" s="15"/>
      <c r="POY234" s="10"/>
      <c r="POZ234" s="10"/>
      <c r="PPA234" s="21"/>
      <c r="PPB234" s="21"/>
      <c r="PPE234" s="21"/>
      <c r="PPF234" s="15"/>
      <c r="PPG234" s="15"/>
      <c r="PPH234" s="15"/>
      <c r="PPI234" s="15"/>
      <c r="PPJ234" s="15"/>
      <c r="PPK234" s="15"/>
      <c r="PPL234" s="15"/>
      <c r="PPM234" s="15"/>
      <c r="PPN234" s="15"/>
      <c r="PPO234" s="15"/>
      <c r="PPP234" s="10"/>
      <c r="PPQ234" s="10"/>
      <c r="PPR234" s="21"/>
      <c r="PPS234" s="21"/>
      <c r="PPV234" s="21"/>
      <c r="PPW234" s="15"/>
      <c r="PPX234" s="15"/>
      <c r="PPY234" s="15"/>
      <c r="PPZ234" s="15"/>
      <c r="PQA234" s="15"/>
      <c r="PQB234" s="15"/>
      <c r="PQC234" s="15"/>
      <c r="PQD234" s="15"/>
      <c r="PQE234" s="15"/>
      <c r="PQF234" s="15"/>
      <c r="PQG234" s="10"/>
      <c r="PQH234" s="10"/>
      <c r="PQI234" s="21"/>
      <c r="PQJ234" s="21"/>
      <c r="PQM234" s="21"/>
      <c r="PQN234" s="15"/>
      <c r="PQO234" s="15"/>
      <c r="PQP234" s="15"/>
      <c r="PQQ234" s="15"/>
      <c r="PQR234" s="15"/>
      <c r="PQS234" s="15"/>
      <c r="PQT234" s="15"/>
      <c r="PQU234" s="15"/>
      <c r="PQV234" s="15"/>
      <c r="PQW234" s="15"/>
      <c r="PQX234" s="10"/>
      <c r="PQY234" s="10"/>
      <c r="PQZ234" s="21"/>
      <c r="PRA234" s="21"/>
      <c r="PRD234" s="21"/>
      <c r="PRE234" s="15"/>
      <c r="PRF234" s="15"/>
      <c r="PRG234" s="15"/>
      <c r="PRH234" s="15"/>
      <c r="PRI234" s="15"/>
      <c r="PRJ234" s="15"/>
      <c r="PRK234" s="15"/>
      <c r="PRL234" s="15"/>
      <c r="PRM234" s="15"/>
      <c r="PRN234" s="15"/>
      <c r="PRO234" s="10"/>
      <c r="PRP234" s="10"/>
      <c r="PRQ234" s="21"/>
      <c r="PRR234" s="21"/>
      <c r="PRU234" s="21"/>
      <c r="PRV234" s="15"/>
      <c r="PRW234" s="15"/>
      <c r="PRX234" s="15"/>
      <c r="PRY234" s="15"/>
      <c r="PRZ234" s="15"/>
      <c r="PSA234" s="15"/>
      <c r="PSB234" s="15"/>
      <c r="PSC234" s="15"/>
      <c r="PSD234" s="15"/>
      <c r="PSE234" s="15"/>
      <c r="PSF234" s="10"/>
      <c r="PSG234" s="10"/>
      <c r="PSH234" s="21"/>
      <c r="PSI234" s="21"/>
      <c r="PSL234" s="21"/>
      <c r="PSM234" s="15"/>
      <c r="PSN234" s="15"/>
      <c r="PSO234" s="15"/>
      <c r="PSP234" s="15"/>
      <c r="PSQ234" s="15"/>
      <c r="PSR234" s="15"/>
      <c r="PSS234" s="15"/>
      <c r="PST234" s="15"/>
      <c r="PSU234" s="15"/>
      <c r="PSV234" s="15"/>
      <c r="PSW234" s="10"/>
      <c r="PSX234" s="10"/>
      <c r="PSY234" s="21"/>
      <c r="PSZ234" s="21"/>
      <c r="PTC234" s="21"/>
      <c r="PTD234" s="15"/>
      <c r="PTE234" s="15"/>
      <c r="PTF234" s="15"/>
      <c r="PTG234" s="15"/>
      <c r="PTH234" s="15"/>
      <c r="PTI234" s="15"/>
      <c r="PTJ234" s="15"/>
      <c r="PTK234" s="15"/>
      <c r="PTL234" s="15"/>
      <c r="PTM234" s="15"/>
      <c r="PTN234" s="10"/>
      <c r="PTO234" s="10"/>
      <c r="PTP234" s="21"/>
      <c r="PTQ234" s="21"/>
      <c r="PTT234" s="21"/>
      <c r="PTU234" s="15"/>
      <c r="PTV234" s="15"/>
      <c r="PTW234" s="15"/>
      <c r="PTX234" s="15"/>
      <c r="PTY234" s="15"/>
      <c r="PTZ234" s="15"/>
      <c r="PUA234" s="15"/>
      <c r="PUB234" s="15"/>
      <c r="PUC234" s="15"/>
      <c r="PUD234" s="15"/>
      <c r="PUE234" s="10"/>
      <c r="PUF234" s="10"/>
      <c r="PUG234" s="21"/>
      <c r="PUH234" s="21"/>
      <c r="PUK234" s="21"/>
      <c r="PUL234" s="15"/>
      <c r="PUM234" s="15"/>
      <c r="PUN234" s="15"/>
      <c r="PUO234" s="15"/>
      <c r="PUP234" s="15"/>
      <c r="PUQ234" s="15"/>
      <c r="PUR234" s="15"/>
      <c r="PUS234" s="15"/>
      <c r="PUT234" s="15"/>
      <c r="PUU234" s="15"/>
      <c r="PUV234" s="10"/>
      <c r="PUW234" s="10"/>
      <c r="PUX234" s="21"/>
      <c r="PUY234" s="21"/>
      <c r="PVB234" s="21"/>
      <c r="PVC234" s="15"/>
      <c r="PVD234" s="15"/>
      <c r="PVE234" s="15"/>
      <c r="PVF234" s="15"/>
      <c r="PVG234" s="15"/>
      <c r="PVH234" s="15"/>
      <c r="PVI234" s="15"/>
      <c r="PVJ234" s="15"/>
      <c r="PVK234" s="15"/>
      <c r="PVL234" s="15"/>
      <c r="PVM234" s="10"/>
      <c r="PVN234" s="10"/>
      <c r="PVO234" s="21"/>
      <c r="PVP234" s="21"/>
      <c r="PVS234" s="21"/>
      <c r="PVT234" s="15"/>
      <c r="PVU234" s="15"/>
      <c r="PVV234" s="15"/>
      <c r="PVW234" s="15"/>
      <c r="PVX234" s="15"/>
      <c r="PVY234" s="15"/>
      <c r="PVZ234" s="15"/>
      <c r="PWA234" s="15"/>
      <c r="PWB234" s="15"/>
      <c r="PWC234" s="15"/>
      <c r="PWD234" s="10"/>
      <c r="PWE234" s="10"/>
      <c r="PWF234" s="21"/>
      <c r="PWG234" s="21"/>
      <c r="PWJ234" s="21"/>
      <c r="PWK234" s="15"/>
      <c r="PWL234" s="15"/>
      <c r="PWM234" s="15"/>
      <c r="PWN234" s="15"/>
      <c r="PWO234" s="15"/>
      <c r="PWP234" s="15"/>
      <c r="PWQ234" s="15"/>
      <c r="PWR234" s="15"/>
      <c r="PWS234" s="15"/>
      <c r="PWT234" s="15"/>
      <c r="PWU234" s="10"/>
      <c r="PWV234" s="10"/>
      <c r="PWW234" s="21"/>
      <c r="PWX234" s="21"/>
      <c r="PXA234" s="21"/>
      <c r="PXB234" s="15"/>
      <c r="PXC234" s="15"/>
      <c r="PXD234" s="15"/>
      <c r="PXE234" s="15"/>
      <c r="PXF234" s="15"/>
      <c r="PXG234" s="15"/>
      <c r="PXH234" s="15"/>
      <c r="PXI234" s="15"/>
      <c r="PXJ234" s="15"/>
      <c r="PXK234" s="15"/>
      <c r="PXL234" s="10"/>
      <c r="PXM234" s="10"/>
      <c r="PXN234" s="21"/>
      <c r="PXO234" s="21"/>
      <c r="PXR234" s="21"/>
      <c r="PXS234" s="15"/>
      <c r="PXT234" s="15"/>
      <c r="PXU234" s="15"/>
      <c r="PXV234" s="15"/>
      <c r="PXW234" s="15"/>
      <c r="PXX234" s="15"/>
      <c r="PXY234" s="15"/>
      <c r="PXZ234" s="15"/>
      <c r="PYA234" s="15"/>
      <c r="PYB234" s="15"/>
      <c r="PYC234" s="10"/>
      <c r="PYD234" s="10"/>
      <c r="PYE234" s="21"/>
      <c r="PYF234" s="21"/>
      <c r="PYI234" s="21"/>
      <c r="PYJ234" s="15"/>
      <c r="PYK234" s="15"/>
      <c r="PYL234" s="15"/>
      <c r="PYM234" s="15"/>
      <c r="PYN234" s="15"/>
      <c r="PYO234" s="15"/>
      <c r="PYP234" s="15"/>
      <c r="PYQ234" s="15"/>
      <c r="PYR234" s="15"/>
      <c r="PYS234" s="15"/>
      <c r="PYT234" s="10"/>
      <c r="PYU234" s="10"/>
      <c r="PYV234" s="21"/>
      <c r="PYW234" s="21"/>
      <c r="PYZ234" s="21"/>
      <c r="PZA234" s="15"/>
      <c r="PZB234" s="15"/>
      <c r="PZC234" s="15"/>
      <c r="PZD234" s="15"/>
      <c r="PZE234" s="15"/>
      <c r="PZF234" s="15"/>
      <c r="PZG234" s="15"/>
      <c r="PZH234" s="15"/>
      <c r="PZI234" s="15"/>
      <c r="PZJ234" s="15"/>
      <c r="PZK234" s="10"/>
      <c r="PZL234" s="10"/>
      <c r="PZM234" s="21"/>
      <c r="PZN234" s="21"/>
      <c r="PZQ234" s="21"/>
      <c r="PZR234" s="15"/>
      <c r="PZS234" s="15"/>
      <c r="PZT234" s="15"/>
      <c r="PZU234" s="15"/>
      <c r="PZV234" s="15"/>
      <c r="PZW234" s="15"/>
      <c r="PZX234" s="15"/>
      <c r="PZY234" s="15"/>
      <c r="PZZ234" s="15"/>
      <c r="QAA234" s="15"/>
      <c r="QAB234" s="10"/>
      <c r="QAC234" s="10"/>
      <c r="QAD234" s="21"/>
      <c r="QAE234" s="21"/>
      <c r="QAH234" s="21"/>
      <c r="QAI234" s="15"/>
      <c r="QAJ234" s="15"/>
      <c r="QAK234" s="15"/>
      <c r="QAL234" s="15"/>
      <c r="QAM234" s="15"/>
      <c r="QAN234" s="15"/>
      <c r="QAO234" s="15"/>
      <c r="QAP234" s="15"/>
      <c r="QAQ234" s="15"/>
      <c r="QAR234" s="15"/>
      <c r="QAS234" s="10"/>
      <c r="QAT234" s="10"/>
      <c r="QAU234" s="21"/>
      <c r="QAV234" s="21"/>
      <c r="QAY234" s="21"/>
      <c r="QAZ234" s="15"/>
      <c r="QBA234" s="15"/>
      <c r="QBB234" s="15"/>
      <c r="QBC234" s="15"/>
      <c r="QBD234" s="15"/>
      <c r="QBE234" s="15"/>
      <c r="QBF234" s="15"/>
      <c r="QBG234" s="15"/>
      <c r="QBH234" s="15"/>
      <c r="QBI234" s="15"/>
      <c r="QBJ234" s="10"/>
      <c r="QBK234" s="10"/>
      <c r="QBL234" s="21"/>
      <c r="QBM234" s="21"/>
      <c r="QBP234" s="21"/>
      <c r="QBQ234" s="15"/>
      <c r="QBR234" s="15"/>
      <c r="QBS234" s="15"/>
      <c r="QBT234" s="15"/>
      <c r="QBU234" s="15"/>
      <c r="QBV234" s="15"/>
      <c r="QBW234" s="15"/>
      <c r="QBX234" s="15"/>
      <c r="QBY234" s="15"/>
      <c r="QBZ234" s="15"/>
      <c r="QCA234" s="10"/>
      <c r="QCB234" s="10"/>
      <c r="QCC234" s="21"/>
      <c r="QCD234" s="21"/>
      <c r="QCG234" s="21"/>
      <c r="QCH234" s="15"/>
      <c r="QCI234" s="15"/>
      <c r="QCJ234" s="15"/>
      <c r="QCK234" s="15"/>
      <c r="QCL234" s="15"/>
      <c r="QCM234" s="15"/>
      <c r="QCN234" s="15"/>
      <c r="QCO234" s="15"/>
      <c r="QCP234" s="15"/>
      <c r="QCQ234" s="15"/>
      <c r="QCR234" s="10"/>
      <c r="QCS234" s="10"/>
      <c r="QCT234" s="21"/>
      <c r="QCU234" s="21"/>
      <c r="QCX234" s="21"/>
      <c r="QCY234" s="15"/>
      <c r="QCZ234" s="15"/>
      <c r="QDA234" s="15"/>
      <c r="QDB234" s="15"/>
      <c r="QDC234" s="15"/>
      <c r="QDD234" s="15"/>
      <c r="QDE234" s="15"/>
      <c r="QDF234" s="15"/>
      <c r="QDG234" s="15"/>
      <c r="QDH234" s="15"/>
      <c r="QDI234" s="10"/>
      <c r="QDJ234" s="10"/>
      <c r="QDK234" s="21"/>
      <c r="QDL234" s="21"/>
      <c r="QDO234" s="21"/>
      <c r="QDP234" s="15"/>
      <c r="QDQ234" s="15"/>
      <c r="QDR234" s="15"/>
      <c r="QDS234" s="15"/>
      <c r="QDT234" s="15"/>
      <c r="QDU234" s="15"/>
      <c r="QDV234" s="15"/>
      <c r="QDW234" s="15"/>
      <c r="QDX234" s="15"/>
      <c r="QDY234" s="15"/>
      <c r="QDZ234" s="10"/>
      <c r="QEA234" s="10"/>
      <c r="QEB234" s="21"/>
      <c r="QEC234" s="21"/>
      <c r="QEF234" s="21"/>
      <c r="QEG234" s="15"/>
      <c r="QEH234" s="15"/>
      <c r="QEI234" s="15"/>
      <c r="QEJ234" s="15"/>
      <c r="QEK234" s="15"/>
      <c r="QEL234" s="15"/>
      <c r="QEM234" s="15"/>
      <c r="QEN234" s="15"/>
      <c r="QEO234" s="15"/>
      <c r="QEP234" s="15"/>
      <c r="QEQ234" s="10"/>
      <c r="QER234" s="10"/>
      <c r="QES234" s="21"/>
      <c r="QET234" s="21"/>
      <c r="QEW234" s="21"/>
      <c r="QEX234" s="15"/>
      <c r="QEY234" s="15"/>
      <c r="QEZ234" s="15"/>
      <c r="QFA234" s="15"/>
      <c r="QFB234" s="15"/>
      <c r="QFC234" s="15"/>
      <c r="QFD234" s="15"/>
      <c r="QFE234" s="15"/>
      <c r="QFF234" s="15"/>
      <c r="QFG234" s="15"/>
      <c r="QFH234" s="10"/>
      <c r="QFI234" s="10"/>
      <c r="QFJ234" s="21"/>
      <c r="QFK234" s="21"/>
      <c r="QFN234" s="21"/>
      <c r="QFO234" s="15"/>
      <c r="QFP234" s="15"/>
      <c r="QFQ234" s="15"/>
      <c r="QFR234" s="15"/>
      <c r="QFS234" s="15"/>
      <c r="QFT234" s="15"/>
      <c r="QFU234" s="15"/>
      <c r="QFV234" s="15"/>
      <c r="QFW234" s="15"/>
      <c r="QFX234" s="15"/>
      <c r="QFY234" s="10"/>
      <c r="QFZ234" s="10"/>
      <c r="QGA234" s="21"/>
      <c r="QGB234" s="21"/>
      <c r="QGE234" s="21"/>
      <c r="QGF234" s="15"/>
      <c r="QGG234" s="15"/>
      <c r="QGH234" s="15"/>
      <c r="QGI234" s="15"/>
      <c r="QGJ234" s="15"/>
      <c r="QGK234" s="15"/>
      <c r="QGL234" s="15"/>
      <c r="QGM234" s="15"/>
      <c r="QGN234" s="15"/>
      <c r="QGO234" s="15"/>
      <c r="QGP234" s="10"/>
      <c r="QGQ234" s="10"/>
      <c r="QGR234" s="21"/>
      <c r="QGS234" s="21"/>
      <c r="QGV234" s="21"/>
      <c r="QGW234" s="15"/>
      <c r="QGX234" s="15"/>
      <c r="QGY234" s="15"/>
      <c r="QGZ234" s="15"/>
      <c r="QHA234" s="15"/>
      <c r="QHB234" s="15"/>
      <c r="QHC234" s="15"/>
      <c r="QHD234" s="15"/>
      <c r="QHE234" s="15"/>
      <c r="QHF234" s="15"/>
      <c r="QHG234" s="10"/>
      <c r="QHH234" s="10"/>
      <c r="QHI234" s="21"/>
      <c r="QHJ234" s="21"/>
      <c r="QHM234" s="21"/>
      <c r="QHN234" s="15"/>
      <c r="QHO234" s="15"/>
      <c r="QHP234" s="15"/>
      <c r="QHQ234" s="15"/>
      <c r="QHR234" s="15"/>
      <c r="QHS234" s="15"/>
      <c r="QHT234" s="15"/>
      <c r="QHU234" s="15"/>
      <c r="QHV234" s="15"/>
      <c r="QHW234" s="15"/>
      <c r="QHX234" s="10"/>
      <c r="QHY234" s="10"/>
      <c r="QHZ234" s="21"/>
      <c r="QIA234" s="21"/>
      <c r="QID234" s="21"/>
      <c r="QIE234" s="15"/>
      <c r="QIF234" s="15"/>
      <c r="QIG234" s="15"/>
      <c r="QIH234" s="15"/>
      <c r="QII234" s="15"/>
      <c r="QIJ234" s="15"/>
      <c r="QIK234" s="15"/>
      <c r="QIL234" s="15"/>
      <c r="QIM234" s="15"/>
      <c r="QIN234" s="15"/>
      <c r="QIO234" s="10"/>
      <c r="QIP234" s="10"/>
      <c r="QIQ234" s="21"/>
      <c r="QIR234" s="21"/>
      <c r="QIU234" s="21"/>
      <c r="QIV234" s="15"/>
      <c r="QIW234" s="15"/>
      <c r="QIX234" s="15"/>
      <c r="QIY234" s="15"/>
      <c r="QIZ234" s="15"/>
      <c r="QJA234" s="15"/>
      <c r="QJB234" s="15"/>
      <c r="QJC234" s="15"/>
      <c r="QJD234" s="15"/>
      <c r="QJE234" s="15"/>
      <c r="QJF234" s="10"/>
      <c r="QJG234" s="10"/>
      <c r="QJH234" s="21"/>
      <c r="QJI234" s="21"/>
      <c r="QJL234" s="21"/>
      <c r="QJM234" s="15"/>
      <c r="QJN234" s="15"/>
      <c r="QJO234" s="15"/>
      <c r="QJP234" s="15"/>
      <c r="QJQ234" s="15"/>
      <c r="QJR234" s="15"/>
      <c r="QJS234" s="15"/>
      <c r="QJT234" s="15"/>
      <c r="QJU234" s="15"/>
      <c r="QJV234" s="15"/>
      <c r="QJW234" s="10"/>
      <c r="QJX234" s="10"/>
      <c r="QJY234" s="21"/>
      <c r="QJZ234" s="21"/>
      <c r="QKC234" s="21"/>
      <c r="QKD234" s="15"/>
      <c r="QKE234" s="15"/>
      <c r="QKF234" s="15"/>
      <c r="QKG234" s="15"/>
      <c r="QKH234" s="15"/>
      <c r="QKI234" s="15"/>
      <c r="QKJ234" s="15"/>
      <c r="QKK234" s="15"/>
      <c r="QKL234" s="15"/>
      <c r="QKM234" s="15"/>
      <c r="QKN234" s="10"/>
      <c r="QKO234" s="10"/>
      <c r="QKP234" s="21"/>
      <c r="QKQ234" s="21"/>
      <c r="QKT234" s="21"/>
      <c r="QKU234" s="15"/>
      <c r="QKV234" s="15"/>
      <c r="QKW234" s="15"/>
      <c r="QKX234" s="15"/>
      <c r="QKY234" s="15"/>
      <c r="QKZ234" s="15"/>
      <c r="QLA234" s="15"/>
      <c r="QLB234" s="15"/>
      <c r="QLC234" s="15"/>
      <c r="QLD234" s="15"/>
      <c r="QLE234" s="10"/>
      <c r="QLF234" s="10"/>
      <c r="QLG234" s="21"/>
      <c r="QLH234" s="21"/>
      <c r="QLK234" s="21"/>
      <c r="QLL234" s="15"/>
      <c r="QLM234" s="15"/>
      <c r="QLN234" s="15"/>
      <c r="QLO234" s="15"/>
      <c r="QLP234" s="15"/>
      <c r="QLQ234" s="15"/>
      <c r="QLR234" s="15"/>
      <c r="QLS234" s="15"/>
      <c r="QLT234" s="15"/>
      <c r="QLU234" s="15"/>
      <c r="QLV234" s="10"/>
      <c r="QLW234" s="10"/>
      <c r="QLX234" s="21"/>
      <c r="QLY234" s="21"/>
      <c r="QMB234" s="21"/>
      <c r="QMC234" s="15"/>
      <c r="QMD234" s="15"/>
      <c r="QME234" s="15"/>
      <c r="QMF234" s="15"/>
      <c r="QMG234" s="15"/>
      <c r="QMH234" s="15"/>
      <c r="QMI234" s="15"/>
      <c r="QMJ234" s="15"/>
      <c r="QMK234" s="15"/>
      <c r="QML234" s="15"/>
      <c r="QMM234" s="10"/>
      <c r="QMN234" s="10"/>
      <c r="QMO234" s="21"/>
      <c r="QMP234" s="21"/>
      <c r="QMS234" s="21"/>
      <c r="QMT234" s="15"/>
      <c r="QMU234" s="15"/>
      <c r="QMV234" s="15"/>
      <c r="QMW234" s="15"/>
      <c r="QMX234" s="15"/>
      <c r="QMY234" s="15"/>
      <c r="QMZ234" s="15"/>
      <c r="QNA234" s="15"/>
      <c r="QNB234" s="15"/>
      <c r="QNC234" s="15"/>
      <c r="QND234" s="10"/>
      <c r="QNE234" s="10"/>
      <c r="QNF234" s="21"/>
      <c r="QNG234" s="21"/>
      <c r="QNJ234" s="21"/>
      <c r="QNK234" s="15"/>
      <c r="QNL234" s="15"/>
      <c r="QNM234" s="15"/>
      <c r="QNN234" s="15"/>
      <c r="QNO234" s="15"/>
      <c r="QNP234" s="15"/>
      <c r="QNQ234" s="15"/>
      <c r="QNR234" s="15"/>
      <c r="QNS234" s="15"/>
      <c r="QNT234" s="15"/>
      <c r="QNU234" s="10"/>
      <c r="QNV234" s="10"/>
      <c r="QNW234" s="21"/>
      <c r="QNX234" s="21"/>
      <c r="QOA234" s="21"/>
      <c r="QOB234" s="15"/>
      <c r="QOC234" s="15"/>
      <c r="QOD234" s="15"/>
      <c r="QOE234" s="15"/>
      <c r="QOF234" s="15"/>
      <c r="QOG234" s="15"/>
      <c r="QOH234" s="15"/>
      <c r="QOI234" s="15"/>
      <c r="QOJ234" s="15"/>
      <c r="QOK234" s="15"/>
      <c r="QOL234" s="10"/>
      <c r="QOM234" s="10"/>
      <c r="QON234" s="21"/>
      <c r="QOO234" s="21"/>
      <c r="QOR234" s="21"/>
      <c r="QOS234" s="15"/>
      <c r="QOT234" s="15"/>
      <c r="QOU234" s="15"/>
      <c r="QOV234" s="15"/>
      <c r="QOW234" s="15"/>
      <c r="QOX234" s="15"/>
      <c r="QOY234" s="15"/>
      <c r="QOZ234" s="15"/>
      <c r="QPA234" s="15"/>
      <c r="QPB234" s="15"/>
      <c r="QPC234" s="10"/>
      <c r="QPD234" s="10"/>
      <c r="QPE234" s="21"/>
      <c r="QPF234" s="21"/>
      <c r="QPI234" s="21"/>
      <c r="QPJ234" s="15"/>
      <c r="QPK234" s="15"/>
      <c r="QPL234" s="15"/>
      <c r="QPM234" s="15"/>
      <c r="QPN234" s="15"/>
      <c r="QPO234" s="15"/>
      <c r="QPP234" s="15"/>
      <c r="QPQ234" s="15"/>
      <c r="QPR234" s="15"/>
      <c r="QPS234" s="15"/>
      <c r="QPT234" s="10"/>
      <c r="QPU234" s="10"/>
      <c r="QPV234" s="21"/>
      <c r="QPW234" s="21"/>
      <c r="QPZ234" s="21"/>
      <c r="QQA234" s="15"/>
      <c r="QQB234" s="15"/>
      <c r="QQC234" s="15"/>
      <c r="QQD234" s="15"/>
      <c r="QQE234" s="15"/>
      <c r="QQF234" s="15"/>
      <c r="QQG234" s="15"/>
      <c r="QQH234" s="15"/>
      <c r="QQI234" s="15"/>
      <c r="QQJ234" s="15"/>
      <c r="QQK234" s="10"/>
      <c r="QQL234" s="10"/>
      <c r="QQM234" s="21"/>
      <c r="QQN234" s="21"/>
      <c r="QQQ234" s="21"/>
      <c r="QQR234" s="15"/>
      <c r="QQS234" s="15"/>
      <c r="QQT234" s="15"/>
      <c r="QQU234" s="15"/>
      <c r="QQV234" s="15"/>
      <c r="QQW234" s="15"/>
      <c r="QQX234" s="15"/>
      <c r="QQY234" s="15"/>
      <c r="QQZ234" s="15"/>
      <c r="QRA234" s="15"/>
      <c r="QRB234" s="10"/>
      <c r="QRC234" s="10"/>
      <c r="QRD234" s="21"/>
      <c r="QRE234" s="21"/>
      <c r="QRH234" s="21"/>
      <c r="QRI234" s="15"/>
      <c r="QRJ234" s="15"/>
      <c r="QRK234" s="15"/>
      <c r="QRL234" s="15"/>
      <c r="QRM234" s="15"/>
      <c r="QRN234" s="15"/>
      <c r="QRO234" s="15"/>
      <c r="QRP234" s="15"/>
      <c r="QRQ234" s="15"/>
      <c r="QRR234" s="15"/>
      <c r="QRS234" s="10"/>
      <c r="QRT234" s="10"/>
      <c r="QRU234" s="21"/>
      <c r="QRV234" s="21"/>
      <c r="QRY234" s="21"/>
      <c r="QRZ234" s="15"/>
      <c r="QSA234" s="15"/>
      <c r="QSB234" s="15"/>
      <c r="QSC234" s="15"/>
      <c r="QSD234" s="15"/>
      <c r="QSE234" s="15"/>
      <c r="QSF234" s="15"/>
      <c r="QSG234" s="15"/>
      <c r="QSH234" s="15"/>
      <c r="QSI234" s="15"/>
      <c r="QSJ234" s="10"/>
      <c r="QSK234" s="10"/>
      <c r="QSL234" s="21"/>
      <c r="QSM234" s="21"/>
      <c r="QSP234" s="21"/>
      <c r="QSQ234" s="15"/>
      <c r="QSR234" s="15"/>
      <c r="QSS234" s="15"/>
      <c r="QST234" s="15"/>
      <c r="QSU234" s="15"/>
      <c r="QSV234" s="15"/>
      <c r="QSW234" s="15"/>
      <c r="QSX234" s="15"/>
      <c r="QSY234" s="15"/>
      <c r="QSZ234" s="15"/>
      <c r="QTA234" s="10"/>
      <c r="QTB234" s="10"/>
      <c r="QTC234" s="21"/>
      <c r="QTD234" s="21"/>
      <c r="QTG234" s="21"/>
      <c r="QTH234" s="15"/>
      <c r="QTI234" s="15"/>
      <c r="QTJ234" s="15"/>
      <c r="QTK234" s="15"/>
      <c r="QTL234" s="15"/>
      <c r="QTM234" s="15"/>
      <c r="QTN234" s="15"/>
      <c r="QTO234" s="15"/>
      <c r="QTP234" s="15"/>
      <c r="QTQ234" s="15"/>
      <c r="QTR234" s="10"/>
      <c r="QTS234" s="10"/>
      <c r="QTT234" s="21"/>
      <c r="QTU234" s="21"/>
      <c r="QTX234" s="21"/>
      <c r="QTY234" s="15"/>
      <c r="QTZ234" s="15"/>
      <c r="QUA234" s="15"/>
      <c r="QUB234" s="15"/>
      <c r="QUC234" s="15"/>
      <c r="QUD234" s="15"/>
      <c r="QUE234" s="15"/>
      <c r="QUF234" s="15"/>
      <c r="QUG234" s="15"/>
      <c r="QUH234" s="15"/>
      <c r="QUI234" s="10"/>
      <c r="QUJ234" s="10"/>
      <c r="QUK234" s="21"/>
      <c r="QUL234" s="21"/>
      <c r="QUO234" s="21"/>
      <c r="QUP234" s="15"/>
      <c r="QUQ234" s="15"/>
      <c r="QUR234" s="15"/>
      <c r="QUS234" s="15"/>
      <c r="QUT234" s="15"/>
      <c r="QUU234" s="15"/>
      <c r="QUV234" s="15"/>
      <c r="QUW234" s="15"/>
      <c r="QUX234" s="15"/>
      <c r="QUY234" s="15"/>
      <c r="QUZ234" s="10"/>
      <c r="QVA234" s="10"/>
      <c r="QVB234" s="21"/>
      <c r="QVC234" s="21"/>
      <c r="QVF234" s="21"/>
      <c r="QVG234" s="15"/>
      <c r="QVH234" s="15"/>
      <c r="QVI234" s="15"/>
      <c r="QVJ234" s="15"/>
      <c r="QVK234" s="15"/>
      <c r="QVL234" s="15"/>
      <c r="QVM234" s="15"/>
      <c r="QVN234" s="15"/>
      <c r="QVO234" s="15"/>
      <c r="QVP234" s="15"/>
      <c r="QVQ234" s="10"/>
      <c r="QVR234" s="10"/>
      <c r="QVS234" s="21"/>
      <c r="QVT234" s="21"/>
      <c r="QVW234" s="21"/>
      <c r="QVX234" s="15"/>
      <c r="QVY234" s="15"/>
      <c r="QVZ234" s="15"/>
      <c r="QWA234" s="15"/>
      <c r="QWB234" s="15"/>
      <c r="QWC234" s="15"/>
      <c r="QWD234" s="15"/>
      <c r="QWE234" s="15"/>
      <c r="QWF234" s="15"/>
      <c r="QWG234" s="15"/>
      <c r="QWH234" s="10"/>
      <c r="QWI234" s="10"/>
      <c r="QWJ234" s="21"/>
      <c r="QWK234" s="21"/>
      <c r="QWN234" s="21"/>
      <c r="QWO234" s="15"/>
      <c r="QWP234" s="15"/>
      <c r="QWQ234" s="15"/>
      <c r="QWR234" s="15"/>
      <c r="QWS234" s="15"/>
      <c r="QWT234" s="15"/>
      <c r="QWU234" s="15"/>
      <c r="QWV234" s="15"/>
      <c r="QWW234" s="15"/>
      <c r="QWX234" s="15"/>
      <c r="QWY234" s="10"/>
      <c r="QWZ234" s="10"/>
      <c r="QXA234" s="21"/>
      <c r="QXB234" s="21"/>
      <c r="QXE234" s="21"/>
      <c r="QXF234" s="15"/>
      <c r="QXG234" s="15"/>
      <c r="QXH234" s="15"/>
      <c r="QXI234" s="15"/>
      <c r="QXJ234" s="15"/>
      <c r="QXK234" s="15"/>
      <c r="QXL234" s="15"/>
      <c r="QXM234" s="15"/>
      <c r="QXN234" s="15"/>
      <c r="QXO234" s="15"/>
      <c r="QXP234" s="10"/>
      <c r="QXQ234" s="10"/>
      <c r="QXR234" s="21"/>
      <c r="QXS234" s="21"/>
      <c r="QXV234" s="21"/>
      <c r="QXW234" s="15"/>
      <c r="QXX234" s="15"/>
      <c r="QXY234" s="15"/>
      <c r="QXZ234" s="15"/>
      <c r="QYA234" s="15"/>
      <c r="QYB234" s="15"/>
      <c r="QYC234" s="15"/>
      <c r="QYD234" s="15"/>
      <c r="QYE234" s="15"/>
      <c r="QYF234" s="15"/>
      <c r="QYG234" s="10"/>
      <c r="QYH234" s="10"/>
      <c r="QYI234" s="21"/>
      <c r="QYJ234" s="21"/>
      <c r="QYM234" s="21"/>
      <c r="QYN234" s="15"/>
      <c r="QYO234" s="15"/>
      <c r="QYP234" s="15"/>
      <c r="QYQ234" s="15"/>
      <c r="QYR234" s="15"/>
      <c r="QYS234" s="15"/>
      <c r="QYT234" s="15"/>
      <c r="QYU234" s="15"/>
      <c r="QYV234" s="15"/>
      <c r="QYW234" s="15"/>
      <c r="QYX234" s="10"/>
      <c r="QYY234" s="10"/>
      <c r="QYZ234" s="21"/>
      <c r="QZA234" s="21"/>
      <c r="QZD234" s="21"/>
      <c r="QZE234" s="15"/>
      <c r="QZF234" s="15"/>
      <c r="QZG234" s="15"/>
      <c r="QZH234" s="15"/>
      <c r="QZI234" s="15"/>
      <c r="QZJ234" s="15"/>
      <c r="QZK234" s="15"/>
      <c r="QZL234" s="15"/>
      <c r="QZM234" s="15"/>
      <c r="QZN234" s="15"/>
      <c r="QZO234" s="10"/>
      <c r="QZP234" s="10"/>
      <c r="QZQ234" s="21"/>
      <c r="QZR234" s="21"/>
      <c r="QZU234" s="21"/>
      <c r="QZV234" s="15"/>
      <c r="QZW234" s="15"/>
      <c r="QZX234" s="15"/>
      <c r="QZY234" s="15"/>
      <c r="QZZ234" s="15"/>
      <c r="RAA234" s="15"/>
      <c r="RAB234" s="15"/>
      <c r="RAC234" s="15"/>
      <c r="RAD234" s="15"/>
      <c r="RAE234" s="15"/>
      <c r="RAF234" s="10"/>
      <c r="RAG234" s="10"/>
      <c r="RAH234" s="21"/>
      <c r="RAI234" s="21"/>
      <c r="RAL234" s="21"/>
      <c r="RAM234" s="15"/>
      <c r="RAN234" s="15"/>
      <c r="RAO234" s="15"/>
      <c r="RAP234" s="15"/>
      <c r="RAQ234" s="15"/>
      <c r="RAR234" s="15"/>
      <c r="RAS234" s="15"/>
      <c r="RAT234" s="15"/>
      <c r="RAU234" s="15"/>
      <c r="RAV234" s="15"/>
      <c r="RAW234" s="10"/>
      <c r="RAX234" s="10"/>
      <c r="RAY234" s="21"/>
      <c r="RAZ234" s="21"/>
      <c r="RBC234" s="21"/>
      <c r="RBD234" s="15"/>
      <c r="RBE234" s="15"/>
      <c r="RBF234" s="15"/>
      <c r="RBG234" s="15"/>
      <c r="RBH234" s="15"/>
      <c r="RBI234" s="15"/>
      <c r="RBJ234" s="15"/>
      <c r="RBK234" s="15"/>
      <c r="RBL234" s="15"/>
      <c r="RBM234" s="15"/>
      <c r="RBN234" s="10"/>
      <c r="RBO234" s="10"/>
      <c r="RBP234" s="21"/>
      <c r="RBQ234" s="21"/>
      <c r="RBT234" s="21"/>
      <c r="RBU234" s="15"/>
      <c r="RBV234" s="15"/>
      <c r="RBW234" s="15"/>
      <c r="RBX234" s="15"/>
      <c r="RBY234" s="15"/>
      <c r="RBZ234" s="15"/>
      <c r="RCA234" s="15"/>
      <c r="RCB234" s="15"/>
      <c r="RCC234" s="15"/>
      <c r="RCD234" s="15"/>
      <c r="RCE234" s="10"/>
      <c r="RCF234" s="10"/>
      <c r="RCG234" s="21"/>
      <c r="RCH234" s="21"/>
      <c r="RCK234" s="21"/>
      <c r="RCL234" s="15"/>
      <c r="RCM234" s="15"/>
      <c r="RCN234" s="15"/>
      <c r="RCO234" s="15"/>
      <c r="RCP234" s="15"/>
      <c r="RCQ234" s="15"/>
      <c r="RCR234" s="15"/>
      <c r="RCS234" s="15"/>
      <c r="RCT234" s="15"/>
      <c r="RCU234" s="15"/>
      <c r="RCV234" s="10"/>
      <c r="RCW234" s="10"/>
      <c r="RCX234" s="21"/>
      <c r="RCY234" s="21"/>
      <c r="RDB234" s="21"/>
      <c r="RDC234" s="15"/>
      <c r="RDD234" s="15"/>
      <c r="RDE234" s="15"/>
      <c r="RDF234" s="15"/>
      <c r="RDG234" s="15"/>
      <c r="RDH234" s="15"/>
      <c r="RDI234" s="15"/>
      <c r="RDJ234" s="15"/>
      <c r="RDK234" s="15"/>
      <c r="RDL234" s="15"/>
      <c r="RDM234" s="10"/>
      <c r="RDN234" s="10"/>
      <c r="RDO234" s="21"/>
      <c r="RDP234" s="21"/>
      <c r="RDS234" s="21"/>
      <c r="RDT234" s="15"/>
      <c r="RDU234" s="15"/>
      <c r="RDV234" s="15"/>
      <c r="RDW234" s="15"/>
      <c r="RDX234" s="15"/>
      <c r="RDY234" s="15"/>
      <c r="RDZ234" s="15"/>
      <c r="REA234" s="15"/>
      <c r="REB234" s="15"/>
      <c r="REC234" s="15"/>
      <c r="RED234" s="10"/>
      <c r="REE234" s="10"/>
      <c r="REF234" s="21"/>
      <c r="REG234" s="21"/>
      <c r="REJ234" s="21"/>
      <c r="REK234" s="15"/>
      <c r="REL234" s="15"/>
      <c r="REM234" s="15"/>
      <c r="REN234" s="15"/>
      <c r="REO234" s="15"/>
      <c r="REP234" s="15"/>
      <c r="REQ234" s="15"/>
      <c r="RER234" s="15"/>
      <c r="RES234" s="15"/>
      <c r="RET234" s="15"/>
      <c r="REU234" s="10"/>
      <c r="REV234" s="10"/>
      <c r="REW234" s="21"/>
      <c r="REX234" s="21"/>
      <c r="RFA234" s="21"/>
      <c r="RFB234" s="15"/>
      <c r="RFC234" s="15"/>
      <c r="RFD234" s="15"/>
      <c r="RFE234" s="15"/>
      <c r="RFF234" s="15"/>
      <c r="RFG234" s="15"/>
      <c r="RFH234" s="15"/>
      <c r="RFI234" s="15"/>
      <c r="RFJ234" s="15"/>
      <c r="RFK234" s="15"/>
      <c r="RFL234" s="10"/>
      <c r="RFM234" s="10"/>
      <c r="RFN234" s="21"/>
      <c r="RFO234" s="21"/>
      <c r="RFR234" s="21"/>
      <c r="RFS234" s="15"/>
      <c r="RFT234" s="15"/>
      <c r="RFU234" s="15"/>
      <c r="RFV234" s="15"/>
      <c r="RFW234" s="15"/>
      <c r="RFX234" s="15"/>
      <c r="RFY234" s="15"/>
      <c r="RFZ234" s="15"/>
      <c r="RGA234" s="15"/>
      <c r="RGB234" s="15"/>
      <c r="RGC234" s="10"/>
      <c r="RGD234" s="10"/>
      <c r="RGE234" s="21"/>
      <c r="RGF234" s="21"/>
      <c r="RGI234" s="21"/>
      <c r="RGJ234" s="15"/>
      <c r="RGK234" s="15"/>
      <c r="RGL234" s="15"/>
      <c r="RGM234" s="15"/>
      <c r="RGN234" s="15"/>
      <c r="RGO234" s="15"/>
      <c r="RGP234" s="15"/>
      <c r="RGQ234" s="15"/>
      <c r="RGR234" s="15"/>
      <c r="RGS234" s="15"/>
      <c r="RGT234" s="10"/>
      <c r="RGU234" s="10"/>
      <c r="RGV234" s="21"/>
      <c r="RGW234" s="21"/>
      <c r="RGZ234" s="21"/>
      <c r="RHA234" s="15"/>
      <c r="RHB234" s="15"/>
      <c r="RHC234" s="15"/>
      <c r="RHD234" s="15"/>
      <c r="RHE234" s="15"/>
      <c r="RHF234" s="15"/>
      <c r="RHG234" s="15"/>
      <c r="RHH234" s="15"/>
      <c r="RHI234" s="15"/>
      <c r="RHJ234" s="15"/>
      <c r="RHK234" s="10"/>
      <c r="RHL234" s="10"/>
      <c r="RHM234" s="21"/>
      <c r="RHN234" s="21"/>
      <c r="RHQ234" s="21"/>
      <c r="RHR234" s="15"/>
      <c r="RHS234" s="15"/>
      <c r="RHT234" s="15"/>
      <c r="RHU234" s="15"/>
      <c r="RHV234" s="15"/>
      <c r="RHW234" s="15"/>
      <c r="RHX234" s="15"/>
      <c r="RHY234" s="15"/>
      <c r="RHZ234" s="15"/>
      <c r="RIA234" s="15"/>
      <c r="RIB234" s="10"/>
      <c r="RIC234" s="10"/>
      <c r="RID234" s="21"/>
      <c r="RIE234" s="21"/>
      <c r="RIH234" s="21"/>
      <c r="RII234" s="15"/>
      <c r="RIJ234" s="15"/>
      <c r="RIK234" s="15"/>
      <c r="RIL234" s="15"/>
      <c r="RIM234" s="15"/>
      <c r="RIN234" s="15"/>
      <c r="RIO234" s="15"/>
      <c r="RIP234" s="15"/>
      <c r="RIQ234" s="15"/>
      <c r="RIR234" s="15"/>
      <c r="RIS234" s="10"/>
      <c r="RIT234" s="10"/>
      <c r="RIU234" s="21"/>
      <c r="RIV234" s="21"/>
      <c r="RIY234" s="21"/>
      <c r="RIZ234" s="15"/>
      <c r="RJA234" s="15"/>
      <c r="RJB234" s="15"/>
      <c r="RJC234" s="15"/>
      <c r="RJD234" s="15"/>
      <c r="RJE234" s="15"/>
      <c r="RJF234" s="15"/>
      <c r="RJG234" s="15"/>
      <c r="RJH234" s="15"/>
      <c r="RJI234" s="15"/>
      <c r="RJJ234" s="10"/>
      <c r="RJK234" s="10"/>
      <c r="RJL234" s="21"/>
      <c r="RJM234" s="21"/>
      <c r="RJP234" s="21"/>
      <c r="RJQ234" s="15"/>
      <c r="RJR234" s="15"/>
      <c r="RJS234" s="15"/>
      <c r="RJT234" s="15"/>
      <c r="RJU234" s="15"/>
      <c r="RJV234" s="15"/>
      <c r="RJW234" s="15"/>
      <c r="RJX234" s="15"/>
      <c r="RJY234" s="15"/>
      <c r="RJZ234" s="15"/>
      <c r="RKA234" s="10"/>
      <c r="RKB234" s="10"/>
      <c r="RKC234" s="21"/>
      <c r="RKD234" s="21"/>
      <c r="RKG234" s="21"/>
      <c r="RKH234" s="15"/>
      <c r="RKI234" s="15"/>
      <c r="RKJ234" s="15"/>
      <c r="RKK234" s="15"/>
      <c r="RKL234" s="15"/>
      <c r="RKM234" s="15"/>
      <c r="RKN234" s="15"/>
      <c r="RKO234" s="15"/>
      <c r="RKP234" s="15"/>
      <c r="RKQ234" s="15"/>
      <c r="RKR234" s="10"/>
      <c r="RKS234" s="10"/>
      <c r="RKT234" s="21"/>
      <c r="RKU234" s="21"/>
      <c r="RKX234" s="21"/>
      <c r="RKY234" s="15"/>
      <c r="RKZ234" s="15"/>
      <c r="RLA234" s="15"/>
      <c r="RLB234" s="15"/>
      <c r="RLC234" s="15"/>
      <c r="RLD234" s="15"/>
      <c r="RLE234" s="15"/>
      <c r="RLF234" s="15"/>
      <c r="RLG234" s="15"/>
      <c r="RLH234" s="15"/>
      <c r="RLI234" s="10"/>
      <c r="RLJ234" s="10"/>
      <c r="RLK234" s="21"/>
      <c r="RLL234" s="21"/>
      <c r="RLO234" s="21"/>
      <c r="RLP234" s="15"/>
      <c r="RLQ234" s="15"/>
      <c r="RLR234" s="15"/>
      <c r="RLS234" s="15"/>
      <c r="RLT234" s="15"/>
      <c r="RLU234" s="15"/>
      <c r="RLV234" s="15"/>
      <c r="RLW234" s="15"/>
      <c r="RLX234" s="15"/>
      <c r="RLY234" s="15"/>
      <c r="RLZ234" s="10"/>
      <c r="RMA234" s="10"/>
      <c r="RMB234" s="21"/>
      <c r="RMC234" s="21"/>
      <c r="RMF234" s="21"/>
      <c r="RMG234" s="15"/>
      <c r="RMH234" s="15"/>
      <c r="RMI234" s="15"/>
      <c r="RMJ234" s="15"/>
      <c r="RMK234" s="15"/>
      <c r="RML234" s="15"/>
      <c r="RMM234" s="15"/>
      <c r="RMN234" s="15"/>
      <c r="RMO234" s="15"/>
      <c r="RMP234" s="15"/>
      <c r="RMQ234" s="10"/>
      <c r="RMR234" s="10"/>
      <c r="RMS234" s="21"/>
      <c r="RMT234" s="21"/>
      <c r="RMW234" s="21"/>
      <c r="RMX234" s="15"/>
      <c r="RMY234" s="15"/>
      <c r="RMZ234" s="15"/>
      <c r="RNA234" s="15"/>
      <c r="RNB234" s="15"/>
      <c r="RNC234" s="15"/>
      <c r="RND234" s="15"/>
      <c r="RNE234" s="15"/>
      <c r="RNF234" s="15"/>
      <c r="RNG234" s="15"/>
      <c r="RNH234" s="10"/>
      <c r="RNI234" s="10"/>
      <c r="RNJ234" s="21"/>
      <c r="RNK234" s="21"/>
      <c r="RNN234" s="21"/>
      <c r="RNO234" s="15"/>
      <c r="RNP234" s="15"/>
      <c r="RNQ234" s="15"/>
      <c r="RNR234" s="15"/>
      <c r="RNS234" s="15"/>
      <c r="RNT234" s="15"/>
      <c r="RNU234" s="15"/>
      <c r="RNV234" s="15"/>
      <c r="RNW234" s="15"/>
      <c r="RNX234" s="15"/>
      <c r="RNY234" s="10"/>
      <c r="RNZ234" s="10"/>
      <c r="ROA234" s="21"/>
      <c r="ROB234" s="21"/>
      <c r="ROE234" s="21"/>
      <c r="ROF234" s="15"/>
      <c r="ROG234" s="15"/>
      <c r="ROH234" s="15"/>
      <c r="ROI234" s="15"/>
      <c r="ROJ234" s="15"/>
      <c r="ROK234" s="15"/>
      <c r="ROL234" s="15"/>
      <c r="ROM234" s="15"/>
      <c r="RON234" s="15"/>
      <c r="ROO234" s="15"/>
      <c r="ROP234" s="10"/>
      <c r="ROQ234" s="10"/>
      <c r="ROR234" s="21"/>
      <c r="ROS234" s="21"/>
      <c r="ROV234" s="21"/>
      <c r="ROW234" s="15"/>
      <c r="ROX234" s="15"/>
      <c r="ROY234" s="15"/>
      <c r="ROZ234" s="15"/>
      <c r="RPA234" s="15"/>
      <c r="RPB234" s="15"/>
      <c r="RPC234" s="15"/>
      <c r="RPD234" s="15"/>
      <c r="RPE234" s="15"/>
      <c r="RPF234" s="15"/>
      <c r="RPG234" s="10"/>
      <c r="RPH234" s="10"/>
      <c r="RPI234" s="21"/>
      <c r="RPJ234" s="21"/>
      <c r="RPM234" s="21"/>
      <c r="RPN234" s="15"/>
      <c r="RPO234" s="15"/>
      <c r="RPP234" s="15"/>
      <c r="RPQ234" s="15"/>
      <c r="RPR234" s="15"/>
      <c r="RPS234" s="15"/>
      <c r="RPT234" s="15"/>
      <c r="RPU234" s="15"/>
      <c r="RPV234" s="15"/>
      <c r="RPW234" s="15"/>
      <c r="RPX234" s="10"/>
      <c r="RPY234" s="10"/>
      <c r="RPZ234" s="21"/>
      <c r="RQA234" s="21"/>
      <c r="RQD234" s="21"/>
      <c r="RQE234" s="15"/>
      <c r="RQF234" s="15"/>
      <c r="RQG234" s="15"/>
      <c r="RQH234" s="15"/>
      <c r="RQI234" s="15"/>
      <c r="RQJ234" s="15"/>
      <c r="RQK234" s="15"/>
      <c r="RQL234" s="15"/>
      <c r="RQM234" s="15"/>
      <c r="RQN234" s="15"/>
      <c r="RQO234" s="10"/>
      <c r="RQP234" s="10"/>
      <c r="RQQ234" s="21"/>
      <c r="RQR234" s="21"/>
      <c r="RQU234" s="21"/>
      <c r="RQV234" s="15"/>
      <c r="RQW234" s="15"/>
      <c r="RQX234" s="15"/>
      <c r="RQY234" s="15"/>
      <c r="RQZ234" s="15"/>
      <c r="RRA234" s="15"/>
      <c r="RRB234" s="15"/>
      <c r="RRC234" s="15"/>
      <c r="RRD234" s="15"/>
      <c r="RRE234" s="15"/>
      <c r="RRF234" s="10"/>
      <c r="RRG234" s="10"/>
      <c r="RRH234" s="21"/>
      <c r="RRI234" s="21"/>
      <c r="RRL234" s="21"/>
      <c r="RRM234" s="15"/>
      <c r="RRN234" s="15"/>
      <c r="RRO234" s="15"/>
      <c r="RRP234" s="15"/>
      <c r="RRQ234" s="15"/>
      <c r="RRR234" s="15"/>
      <c r="RRS234" s="15"/>
      <c r="RRT234" s="15"/>
      <c r="RRU234" s="15"/>
      <c r="RRV234" s="15"/>
      <c r="RRW234" s="10"/>
      <c r="RRX234" s="10"/>
      <c r="RRY234" s="21"/>
      <c r="RRZ234" s="21"/>
      <c r="RSC234" s="21"/>
      <c r="RSD234" s="15"/>
      <c r="RSE234" s="15"/>
      <c r="RSF234" s="15"/>
      <c r="RSG234" s="15"/>
      <c r="RSH234" s="15"/>
      <c r="RSI234" s="15"/>
      <c r="RSJ234" s="15"/>
      <c r="RSK234" s="15"/>
      <c r="RSL234" s="15"/>
      <c r="RSM234" s="15"/>
      <c r="RSN234" s="10"/>
      <c r="RSO234" s="10"/>
      <c r="RSP234" s="21"/>
      <c r="RSQ234" s="21"/>
      <c r="RST234" s="21"/>
      <c r="RSU234" s="15"/>
      <c r="RSV234" s="15"/>
      <c r="RSW234" s="15"/>
      <c r="RSX234" s="15"/>
      <c r="RSY234" s="15"/>
      <c r="RSZ234" s="15"/>
      <c r="RTA234" s="15"/>
      <c r="RTB234" s="15"/>
      <c r="RTC234" s="15"/>
      <c r="RTD234" s="15"/>
      <c r="RTE234" s="10"/>
      <c r="RTF234" s="10"/>
      <c r="RTG234" s="21"/>
      <c r="RTH234" s="21"/>
      <c r="RTK234" s="21"/>
      <c r="RTL234" s="15"/>
      <c r="RTM234" s="15"/>
      <c r="RTN234" s="15"/>
      <c r="RTO234" s="15"/>
      <c r="RTP234" s="15"/>
      <c r="RTQ234" s="15"/>
      <c r="RTR234" s="15"/>
      <c r="RTS234" s="15"/>
      <c r="RTT234" s="15"/>
      <c r="RTU234" s="15"/>
      <c r="RTV234" s="10"/>
      <c r="RTW234" s="10"/>
      <c r="RTX234" s="21"/>
      <c r="RTY234" s="21"/>
      <c r="RUB234" s="21"/>
      <c r="RUC234" s="15"/>
      <c r="RUD234" s="15"/>
      <c r="RUE234" s="15"/>
      <c r="RUF234" s="15"/>
      <c r="RUG234" s="15"/>
      <c r="RUH234" s="15"/>
      <c r="RUI234" s="15"/>
      <c r="RUJ234" s="15"/>
      <c r="RUK234" s="15"/>
      <c r="RUL234" s="15"/>
      <c r="RUM234" s="10"/>
      <c r="RUN234" s="10"/>
      <c r="RUO234" s="21"/>
      <c r="RUP234" s="21"/>
      <c r="RUS234" s="21"/>
      <c r="RUT234" s="15"/>
      <c r="RUU234" s="15"/>
      <c r="RUV234" s="15"/>
      <c r="RUW234" s="15"/>
      <c r="RUX234" s="15"/>
      <c r="RUY234" s="15"/>
      <c r="RUZ234" s="15"/>
      <c r="RVA234" s="15"/>
      <c r="RVB234" s="15"/>
      <c r="RVC234" s="15"/>
      <c r="RVD234" s="10"/>
      <c r="RVE234" s="10"/>
      <c r="RVF234" s="21"/>
      <c r="RVG234" s="21"/>
      <c r="RVJ234" s="21"/>
      <c r="RVK234" s="15"/>
      <c r="RVL234" s="15"/>
      <c r="RVM234" s="15"/>
      <c r="RVN234" s="15"/>
      <c r="RVO234" s="15"/>
      <c r="RVP234" s="15"/>
      <c r="RVQ234" s="15"/>
      <c r="RVR234" s="15"/>
      <c r="RVS234" s="15"/>
      <c r="RVT234" s="15"/>
      <c r="RVU234" s="10"/>
      <c r="RVV234" s="10"/>
      <c r="RVW234" s="21"/>
      <c r="RVX234" s="21"/>
      <c r="RWA234" s="21"/>
      <c r="RWB234" s="15"/>
      <c r="RWC234" s="15"/>
      <c r="RWD234" s="15"/>
      <c r="RWE234" s="15"/>
      <c r="RWF234" s="15"/>
      <c r="RWG234" s="15"/>
      <c r="RWH234" s="15"/>
      <c r="RWI234" s="15"/>
      <c r="RWJ234" s="15"/>
      <c r="RWK234" s="15"/>
      <c r="RWL234" s="10"/>
      <c r="RWM234" s="10"/>
      <c r="RWN234" s="21"/>
      <c r="RWO234" s="21"/>
      <c r="RWR234" s="21"/>
      <c r="RWS234" s="15"/>
      <c r="RWT234" s="15"/>
      <c r="RWU234" s="15"/>
      <c r="RWV234" s="15"/>
      <c r="RWW234" s="15"/>
      <c r="RWX234" s="15"/>
      <c r="RWY234" s="15"/>
      <c r="RWZ234" s="15"/>
      <c r="RXA234" s="15"/>
      <c r="RXB234" s="15"/>
      <c r="RXC234" s="10"/>
      <c r="RXD234" s="10"/>
      <c r="RXE234" s="21"/>
      <c r="RXF234" s="21"/>
      <c r="RXI234" s="21"/>
      <c r="RXJ234" s="15"/>
      <c r="RXK234" s="15"/>
      <c r="RXL234" s="15"/>
      <c r="RXM234" s="15"/>
      <c r="RXN234" s="15"/>
      <c r="RXO234" s="15"/>
      <c r="RXP234" s="15"/>
      <c r="RXQ234" s="15"/>
      <c r="RXR234" s="15"/>
      <c r="RXS234" s="15"/>
      <c r="RXT234" s="10"/>
      <c r="RXU234" s="10"/>
      <c r="RXV234" s="21"/>
      <c r="RXW234" s="21"/>
      <c r="RXZ234" s="21"/>
      <c r="RYA234" s="15"/>
      <c r="RYB234" s="15"/>
      <c r="RYC234" s="15"/>
      <c r="RYD234" s="15"/>
      <c r="RYE234" s="15"/>
      <c r="RYF234" s="15"/>
      <c r="RYG234" s="15"/>
      <c r="RYH234" s="15"/>
      <c r="RYI234" s="15"/>
      <c r="RYJ234" s="15"/>
      <c r="RYK234" s="10"/>
      <c r="RYL234" s="10"/>
      <c r="RYM234" s="21"/>
      <c r="RYN234" s="21"/>
      <c r="RYQ234" s="21"/>
      <c r="RYR234" s="15"/>
      <c r="RYS234" s="15"/>
      <c r="RYT234" s="15"/>
      <c r="RYU234" s="15"/>
      <c r="RYV234" s="15"/>
      <c r="RYW234" s="15"/>
      <c r="RYX234" s="15"/>
      <c r="RYY234" s="15"/>
      <c r="RYZ234" s="15"/>
      <c r="RZA234" s="15"/>
      <c r="RZB234" s="10"/>
      <c r="RZC234" s="10"/>
      <c r="RZD234" s="21"/>
      <c r="RZE234" s="21"/>
      <c r="RZH234" s="21"/>
      <c r="RZI234" s="15"/>
      <c r="RZJ234" s="15"/>
      <c r="RZK234" s="15"/>
      <c r="RZL234" s="15"/>
      <c r="RZM234" s="15"/>
      <c r="RZN234" s="15"/>
      <c r="RZO234" s="15"/>
      <c r="RZP234" s="15"/>
      <c r="RZQ234" s="15"/>
      <c r="RZR234" s="15"/>
      <c r="RZS234" s="10"/>
      <c r="RZT234" s="10"/>
      <c r="RZU234" s="21"/>
      <c r="RZV234" s="21"/>
      <c r="RZY234" s="21"/>
      <c r="RZZ234" s="15"/>
      <c r="SAA234" s="15"/>
      <c r="SAB234" s="15"/>
      <c r="SAC234" s="15"/>
      <c r="SAD234" s="15"/>
      <c r="SAE234" s="15"/>
      <c r="SAF234" s="15"/>
      <c r="SAG234" s="15"/>
      <c r="SAH234" s="15"/>
      <c r="SAI234" s="15"/>
      <c r="SAJ234" s="10"/>
      <c r="SAK234" s="10"/>
      <c r="SAL234" s="21"/>
      <c r="SAM234" s="21"/>
      <c r="SAP234" s="21"/>
      <c r="SAQ234" s="15"/>
      <c r="SAR234" s="15"/>
      <c r="SAS234" s="15"/>
      <c r="SAT234" s="15"/>
      <c r="SAU234" s="15"/>
      <c r="SAV234" s="15"/>
      <c r="SAW234" s="15"/>
      <c r="SAX234" s="15"/>
      <c r="SAY234" s="15"/>
      <c r="SAZ234" s="15"/>
      <c r="SBA234" s="10"/>
      <c r="SBB234" s="10"/>
      <c r="SBC234" s="21"/>
      <c r="SBD234" s="21"/>
      <c r="SBG234" s="21"/>
      <c r="SBH234" s="15"/>
      <c r="SBI234" s="15"/>
      <c r="SBJ234" s="15"/>
      <c r="SBK234" s="15"/>
      <c r="SBL234" s="15"/>
      <c r="SBM234" s="15"/>
      <c r="SBN234" s="15"/>
      <c r="SBO234" s="15"/>
      <c r="SBP234" s="15"/>
      <c r="SBQ234" s="15"/>
      <c r="SBR234" s="10"/>
      <c r="SBS234" s="10"/>
      <c r="SBT234" s="21"/>
      <c r="SBU234" s="21"/>
      <c r="SBX234" s="21"/>
      <c r="SBY234" s="15"/>
      <c r="SBZ234" s="15"/>
      <c r="SCA234" s="15"/>
      <c r="SCB234" s="15"/>
      <c r="SCC234" s="15"/>
      <c r="SCD234" s="15"/>
      <c r="SCE234" s="15"/>
      <c r="SCF234" s="15"/>
      <c r="SCG234" s="15"/>
      <c r="SCH234" s="15"/>
      <c r="SCI234" s="10"/>
      <c r="SCJ234" s="10"/>
      <c r="SCK234" s="21"/>
      <c r="SCL234" s="21"/>
      <c r="SCO234" s="21"/>
      <c r="SCP234" s="15"/>
      <c r="SCQ234" s="15"/>
      <c r="SCR234" s="15"/>
      <c r="SCS234" s="15"/>
      <c r="SCT234" s="15"/>
      <c r="SCU234" s="15"/>
      <c r="SCV234" s="15"/>
      <c r="SCW234" s="15"/>
      <c r="SCX234" s="15"/>
      <c r="SCY234" s="15"/>
      <c r="SCZ234" s="10"/>
      <c r="SDA234" s="10"/>
      <c r="SDB234" s="21"/>
      <c r="SDC234" s="21"/>
      <c r="SDF234" s="21"/>
      <c r="SDG234" s="15"/>
      <c r="SDH234" s="15"/>
      <c r="SDI234" s="15"/>
      <c r="SDJ234" s="15"/>
      <c r="SDK234" s="15"/>
      <c r="SDL234" s="15"/>
      <c r="SDM234" s="15"/>
      <c r="SDN234" s="15"/>
      <c r="SDO234" s="15"/>
      <c r="SDP234" s="15"/>
      <c r="SDQ234" s="10"/>
      <c r="SDR234" s="10"/>
      <c r="SDS234" s="21"/>
      <c r="SDT234" s="21"/>
      <c r="SDW234" s="21"/>
      <c r="SDX234" s="15"/>
      <c r="SDY234" s="15"/>
      <c r="SDZ234" s="15"/>
      <c r="SEA234" s="15"/>
      <c r="SEB234" s="15"/>
      <c r="SEC234" s="15"/>
      <c r="SED234" s="15"/>
      <c r="SEE234" s="15"/>
      <c r="SEF234" s="15"/>
      <c r="SEG234" s="15"/>
      <c r="SEH234" s="10"/>
      <c r="SEI234" s="10"/>
      <c r="SEJ234" s="21"/>
      <c r="SEK234" s="21"/>
      <c r="SEN234" s="21"/>
      <c r="SEO234" s="15"/>
      <c r="SEP234" s="15"/>
      <c r="SEQ234" s="15"/>
      <c r="SER234" s="15"/>
      <c r="SES234" s="15"/>
      <c r="SET234" s="15"/>
      <c r="SEU234" s="15"/>
      <c r="SEV234" s="15"/>
      <c r="SEW234" s="15"/>
      <c r="SEX234" s="15"/>
      <c r="SEY234" s="10"/>
      <c r="SEZ234" s="10"/>
      <c r="SFA234" s="21"/>
      <c r="SFB234" s="21"/>
      <c r="SFE234" s="21"/>
      <c r="SFF234" s="15"/>
      <c r="SFG234" s="15"/>
      <c r="SFH234" s="15"/>
      <c r="SFI234" s="15"/>
      <c r="SFJ234" s="15"/>
      <c r="SFK234" s="15"/>
      <c r="SFL234" s="15"/>
      <c r="SFM234" s="15"/>
      <c r="SFN234" s="15"/>
      <c r="SFO234" s="15"/>
      <c r="SFP234" s="10"/>
      <c r="SFQ234" s="10"/>
      <c r="SFR234" s="21"/>
      <c r="SFS234" s="21"/>
      <c r="SFV234" s="21"/>
      <c r="SFW234" s="15"/>
      <c r="SFX234" s="15"/>
      <c r="SFY234" s="15"/>
      <c r="SFZ234" s="15"/>
      <c r="SGA234" s="15"/>
      <c r="SGB234" s="15"/>
      <c r="SGC234" s="15"/>
      <c r="SGD234" s="15"/>
      <c r="SGE234" s="15"/>
      <c r="SGF234" s="15"/>
      <c r="SGG234" s="10"/>
      <c r="SGH234" s="10"/>
      <c r="SGI234" s="21"/>
      <c r="SGJ234" s="21"/>
      <c r="SGM234" s="21"/>
      <c r="SGN234" s="15"/>
      <c r="SGO234" s="15"/>
      <c r="SGP234" s="15"/>
      <c r="SGQ234" s="15"/>
      <c r="SGR234" s="15"/>
      <c r="SGS234" s="15"/>
      <c r="SGT234" s="15"/>
      <c r="SGU234" s="15"/>
      <c r="SGV234" s="15"/>
      <c r="SGW234" s="15"/>
      <c r="SGX234" s="10"/>
      <c r="SGY234" s="10"/>
      <c r="SGZ234" s="21"/>
      <c r="SHA234" s="21"/>
      <c r="SHD234" s="21"/>
      <c r="SHE234" s="15"/>
      <c r="SHF234" s="15"/>
      <c r="SHG234" s="15"/>
      <c r="SHH234" s="15"/>
      <c r="SHI234" s="15"/>
      <c r="SHJ234" s="15"/>
      <c r="SHK234" s="15"/>
      <c r="SHL234" s="15"/>
      <c r="SHM234" s="15"/>
      <c r="SHN234" s="15"/>
      <c r="SHO234" s="10"/>
      <c r="SHP234" s="10"/>
      <c r="SHQ234" s="21"/>
      <c r="SHR234" s="21"/>
      <c r="SHU234" s="21"/>
      <c r="SHV234" s="15"/>
      <c r="SHW234" s="15"/>
      <c r="SHX234" s="15"/>
      <c r="SHY234" s="15"/>
      <c r="SHZ234" s="15"/>
      <c r="SIA234" s="15"/>
      <c r="SIB234" s="15"/>
      <c r="SIC234" s="15"/>
      <c r="SID234" s="15"/>
      <c r="SIE234" s="15"/>
      <c r="SIF234" s="10"/>
      <c r="SIG234" s="10"/>
      <c r="SIH234" s="21"/>
      <c r="SII234" s="21"/>
      <c r="SIL234" s="21"/>
      <c r="SIM234" s="15"/>
      <c r="SIN234" s="15"/>
      <c r="SIO234" s="15"/>
      <c r="SIP234" s="15"/>
      <c r="SIQ234" s="15"/>
      <c r="SIR234" s="15"/>
      <c r="SIS234" s="15"/>
      <c r="SIT234" s="15"/>
      <c r="SIU234" s="15"/>
      <c r="SIV234" s="15"/>
      <c r="SIW234" s="10"/>
      <c r="SIX234" s="10"/>
      <c r="SIY234" s="21"/>
      <c r="SIZ234" s="21"/>
      <c r="SJC234" s="21"/>
      <c r="SJD234" s="15"/>
      <c r="SJE234" s="15"/>
      <c r="SJF234" s="15"/>
      <c r="SJG234" s="15"/>
      <c r="SJH234" s="15"/>
      <c r="SJI234" s="15"/>
      <c r="SJJ234" s="15"/>
      <c r="SJK234" s="15"/>
      <c r="SJL234" s="15"/>
      <c r="SJM234" s="15"/>
      <c r="SJN234" s="10"/>
      <c r="SJO234" s="10"/>
      <c r="SJP234" s="21"/>
      <c r="SJQ234" s="21"/>
      <c r="SJT234" s="21"/>
      <c r="SJU234" s="15"/>
      <c r="SJV234" s="15"/>
      <c r="SJW234" s="15"/>
      <c r="SJX234" s="15"/>
      <c r="SJY234" s="15"/>
      <c r="SJZ234" s="15"/>
      <c r="SKA234" s="15"/>
      <c r="SKB234" s="15"/>
      <c r="SKC234" s="15"/>
      <c r="SKD234" s="15"/>
      <c r="SKE234" s="10"/>
      <c r="SKF234" s="10"/>
      <c r="SKG234" s="21"/>
      <c r="SKH234" s="21"/>
      <c r="SKK234" s="21"/>
      <c r="SKL234" s="15"/>
      <c r="SKM234" s="15"/>
      <c r="SKN234" s="15"/>
      <c r="SKO234" s="15"/>
      <c r="SKP234" s="15"/>
      <c r="SKQ234" s="15"/>
      <c r="SKR234" s="15"/>
      <c r="SKS234" s="15"/>
      <c r="SKT234" s="15"/>
      <c r="SKU234" s="15"/>
      <c r="SKV234" s="10"/>
      <c r="SKW234" s="10"/>
      <c r="SKX234" s="21"/>
      <c r="SKY234" s="21"/>
      <c r="SLB234" s="21"/>
      <c r="SLC234" s="15"/>
      <c r="SLD234" s="15"/>
      <c r="SLE234" s="15"/>
      <c r="SLF234" s="15"/>
      <c r="SLG234" s="15"/>
      <c r="SLH234" s="15"/>
      <c r="SLI234" s="15"/>
      <c r="SLJ234" s="15"/>
      <c r="SLK234" s="15"/>
      <c r="SLL234" s="15"/>
      <c r="SLM234" s="10"/>
      <c r="SLN234" s="10"/>
      <c r="SLO234" s="21"/>
      <c r="SLP234" s="21"/>
      <c r="SLS234" s="21"/>
      <c r="SLT234" s="15"/>
      <c r="SLU234" s="15"/>
      <c r="SLV234" s="15"/>
      <c r="SLW234" s="15"/>
      <c r="SLX234" s="15"/>
      <c r="SLY234" s="15"/>
      <c r="SLZ234" s="15"/>
      <c r="SMA234" s="15"/>
      <c r="SMB234" s="15"/>
      <c r="SMC234" s="15"/>
      <c r="SMD234" s="10"/>
      <c r="SME234" s="10"/>
      <c r="SMF234" s="21"/>
      <c r="SMG234" s="21"/>
      <c r="SMJ234" s="21"/>
      <c r="SMK234" s="15"/>
      <c r="SML234" s="15"/>
      <c r="SMM234" s="15"/>
      <c r="SMN234" s="15"/>
      <c r="SMO234" s="15"/>
      <c r="SMP234" s="15"/>
      <c r="SMQ234" s="15"/>
      <c r="SMR234" s="15"/>
      <c r="SMS234" s="15"/>
      <c r="SMT234" s="15"/>
      <c r="SMU234" s="10"/>
      <c r="SMV234" s="10"/>
      <c r="SMW234" s="21"/>
      <c r="SMX234" s="21"/>
      <c r="SNA234" s="21"/>
      <c r="SNB234" s="15"/>
      <c r="SNC234" s="15"/>
      <c r="SND234" s="15"/>
      <c r="SNE234" s="15"/>
      <c r="SNF234" s="15"/>
      <c r="SNG234" s="15"/>
      <c r="SNH234" s="15"/>
      <c r="SNI234" s="15"/>
      <c r="SNJ234" s="15"/>
      <c r="SNK234" s="15"/>
      <c r="SNL234" s="10"/>
      <c r="SNM234" s="10"/>
      <c r="SNN234" s="21"/>
      <c r="SNO234" s="21"/>
      <c r="SNR234" s="21"/>
      <c r="SNS234" s="15"/>
      <c r="SNT234" s="15"/>
      <c r="SNU234" s="15"/>
      <c r="SNV234" s="15"/>
      <c r="SNW234" s="15"/>
      <c r="SNX234" s="15"/>
      <c r="SNY234" s="15"/>
      <c r="SNZ234" s="15"/>
      <c r="SOA234" s="15"/>
      <c r="SOB234" s="15"/>
      <c r="SOC234" s="10"/>
      <c r="SOD234" s="10"/>
      <c r="SOE234" s="21"/>
      <c r="SOF234" s="21"/>
      <c r="SOI234" s="21"/>
      <c r="SOJ234" s="15"/>
      <c r="SOK234" s="15"/>
      <c r="SOL234" s="15"/>
      <c r="SOM234" s="15"/>
      <c r="SON234" s="15"/>
      <c r="SOO234" s="15"/>
      <c r="SOP234" s="15"/>
      <c r="SOQ234" s="15"/>
      <c r="SOR234" s="15"/>
      <c r="SOS234" s="15"/>
      <c r="SOT234" s="10"/>
      <c r="SOU234" s="10"/>
      <c r="SOV234" s="21"/>
      <c r="SOW234" s="21"/>
      <c r="SOZ234" s="21"/>
      <c r="SPA234" s="15"/>
      <c r="SPB234" s="15"/>
      <c r="SPC234" s="15"/>
      <c r="SPD234" s="15"/>
      <c r="SPE234" s="15"/>
      <c r="SPF234" s="15"/>
      <c r="SPG234" s="15"/>
      <c r="SPH234" s="15"/>
      <c r="SPI234" s="15"/>
      <c r="SPJ234" s="15"/>
      <c r="SPK234" s="10"/>
      <c r="SPL234" s="10"/>
      <c r="SPM234" s="21"/>
      <c r="SPN234" s="21"/>
      <c r="SPQ234" s="21"/>
      <c r="SPR234" s="15"/>
      <c r="SPS234" s="15"/>
      <c r="SPT234" s="15"/>
      <c r="SPU234" s="15"/>
      <c r="SPV234" s="15"/>
      <c r="SPW234" s="15"/>
      <c r="SPX234" s="15"/>
      <c r="SPY234" s="15"/>
      <c r="SPZ234" s="15"/>
      <c r="SQA234" s="15"/>
      <c r="SQB234" s="10"/>
      <c r="SQC234" s="10"/>
      <c r="SQD234" s="21"/>
      <c r="SQE234" s="21"/>
      <c r="SQH234" s="21"/>
      <c r="SQI234" s="15"/>
      <c r="SQJ234" s="15"/>
      <c r="SQK234" s="15"/>
      <c r="SQL234" s="15"/>
      <c r="SQM234" s="15"/>
      <c r="SQN234" s="15"/>
      <c r="SQO234" s="15"/>
      <c r="SQP234" s="15"/>
      <c r="SQQ234" s="15"/>
      <c r="SQR234" s="15"/>
      <c r="SQS234" s="10"/>
      <c r="SQT234" s="10"/>
      <c r="SQU234" s="21"/>
      <c r="SQV234" s="21"/>
      <c r="SQY234" s="21"/>
      <c r="SQZ234" s="15"/>
      <c r="SRA234" s="15"/>
      <c r="SRB234" s="15"/>
      <c r="SRC234" s="15"/>
      <c r="SRD234" s="15"/>
      <c r="SRE234" s="15"/>
      <c r="SRF234" s="15"/>
      <c r="SRG234" s="15"/>
      <c r="SRH234" s="15"/>
      <c r="SRI234" s="15"/>
      <c r="SRJ234" s="10"/>
      <c r="SRK234" s="10"/>
      <c r="SRL234" s="21"/>
      <c r="SRM234" s="21"/>
      <c r="SRP234" s="21"/>
      <c r="SRQ234" s="15"/>
      <c r="SRR234" s="15"/>
      <c r="SRS234" s="15"/>
      <c r="SRT234" s="15"/>
      <c r="SRU234" s="15"/>
      <c r="SRV234" s="15"/>
      <c r="SRW234" s="15"/>
      <c r="SRX234" s="15"/>
      <c r="SRY234" s="15"/>
      <c r="SRZ234" s="15"/>
      <c r="SSA234" s="10"/>
      <c r="SSB234" s="10"/>
      <c r="SSC234" s="21"/>
      <c r="SSD234" s="21"/>
      <c r="SSG234" s="21"/>
      <c r="SSH234" s="15"/>
      <c r="SSI234" s="15"/>
      <c r="SSJ234" s="15"/>
      <c r="SSK234" s="15"/>
      <c r="SSL234" s="15"/>
      <c r="SSM234" s="15"/>
      <c r="SSN234" s="15"/>
      <c r="SSO234" s="15"/>
      <c r="SSP234" s="15"/>
      <c r="SSQ234" s="15"/>
      <c r="SSR234" s="10"/>
      <c r="SSS234" s="10"/>
      <c r="SST234" s="21"/>
      <c r="SSU234" s="21"/>
      <c r="SSX234" s="21"/>
      <c r="SSY234" s="15"/>
      <c r="SSZ234" s="15"/>
      <c r="STA234" s="15"/>
      <c r="STB234" s="15"/>
      <c r="STC234" s="15"/>
      <c r="STD234" s="15"/>
      <c r="STE234" s="15"/>
      <c r="STF234" s="15"/>
      <c r="STG234" s="15"/>
      <c r="STH234" s="15"/>
      <c r="STI234" s="10"/>
      <c r="STJ234" s="10"/>
      <c r="STK234" s="21"/>
      <c r="STL234" s="21"/>
      <c r="STO234" s="21"/>
      <c r="STP234" s="15"/>
      <c r="STQ234" s="15"/>
      <c r="STR234" s="15"/>
      <c r="STS234" s="15"/>
      <c r="STT234" s="15"/>
      <c r="STU234" s="15"/>
      <c r="STV234" s="15"/>
      <c r="STW234" s="15"/>
      <c r="STX234" s="15"/>
      <c r="STY234" s="15"/>
      <c r="STZ234" s="10"/>
      <c r="SUA234" s="10"/>
      <c r="SUB234" s="21"/>
      <c r="SUC234" s="21"/>
      <c r="SUF234" s="21"/>
      <c r="SUG234" s="15"/>
      <c r="SUH234" s="15"/>
      <c r="SUI234" s="15"/>
      <c r="SUJ234" s="15"/>
      <c r="SUK234" s="15"/>
      <c r="SUL234" s="15"/>
      <c r="SUM234" s="15"/>
      <c r="SUN234" s="15"/>
      <c r="SUO234" s="15"/>
      <c r="SUP234" s="15"/>
      <c r="SUQ234" s="10"/>
      <c r="SUR234" s="10"/>
      <c r="SUS234" s="21"/>
      <c r="SUT234" s="21"/>
      <c r="SUW234" s="21"/>
      <c r="SUX234" s="15"/>
      <c r="SUY234" s="15"/>
      <c r="SUZ234" s="15"/>
      <c r="SVA234" s="15"/>
      <c r="SVB234" s="15"/>
      <c r="SVC234" s="15"/>
      <c r="SVD234" s="15"/>
      <c r="SVE234" s="15"/>
      <c r="SVF234" s="15"/>
      <c r="SVG234" s="15"/>
      <c r="SVH234" s="10"/>
      <c r="SVI234" s="10"/>
      <c r="SVJ234" s="21"/>
      <c r="SVK234" s="21"/>
      <c r="SVN234" s="21"/>
      <c r="SVO234" s="15"/>
      <c r="SVP234" s="15"/>
      <c r="SVQ234" s="15"/>
      <c r="SVR234" s="15"/>
      <c r="SVS234" s="15"/>
      <c r="SVT234" s="15"/>
      <c r="SVU234" s="15"/>
      <c r="SVV234" s="15"/>
      <c r="SVW234" s="15"/>
      <c r="SVX234" s="15"/>
      <c r="SVY234" s="10"/>
      <c r="SVZ234" s="10"/>
      <c r="SWA234" s="21"/>
      <c r="SWB234" s="21"/>
      <c r="SWE234" s="21"/>
      <c r="SWF234" s="15"/>
      <c r="SWG234" s="15"/>
      <c r="SWH234" s="15"/>
      <c r="SWI234" s="15"/>
      <c r="SWJ234" s="15"/>
      <c r="SWK234" s="15"/>
      <c r="SWL234" s="15"/>
      <c r="SWM234" s="15"/>
      <c r="SWN234" s="15"/>
      <c r="SWO234" s="15"/>
      <c r="SWP234" s="10"/>
      <c r="SWQ234" s="10"/>
      <c r="SWR234" s="21"/>
      <c r="SWS234" s="21"/>
      <c r="SWV234" s="21"/>
      <c r="SWW234" s="15"/>
      <c r="SWX234" s="15"/>
      <c r="SWY234" s="15"/>
      <c r="SWZ234" s="15"/>
      <c r="SXA234" s="15"/>
      <c r="SXB234" s="15"/>
      <c r="SXC234" s="15"/>
      <c r="SXD234" s="15"/>
      <c r="SXE234" s="15"/>
      <c r="SXF234" s="15"/>
      <c r="SXG234" s="10"/>
      <c r="SXH234" s="10"/>
      <c r="SXI234" s="21"/>
      <c r="SXJ234" s="21"/>
      <c r="SXM234" s="21"/>
      <c r="SXN234" s="15"/>
      <c r="SXO234" s="15"/>
      <c r="SXP234" s="15"/>
      <c r="SXQ234" s="15"/>
      <c r="SXR234" s="15"/>
      <c r="SXS234" s="15"/>
      <c r="SXT234" s="15"/>
      <c r="SXU234" s="15"/>
      <c r="SXV234" s="15"/>
      <c r="SXW234" s="15"/>
      <c r="SXX234" s="10"/>
      <c r="SXY234" s="10"/>
      <c r="SXZ234" s="21"/>
      <c r="SYA234" s="21"/>
      <c r="SYD234" s="21"/>
      <c r="SYE234" s="15"/>
      <c r="SYF234" s="15"/>
      <c r="SYG234" s="15"/>
      <c r="SYH234" s="15"/>
      <c r="SYI234" s="15"/>
      <c r="SYJ234" s="15"/>
      <c r="SYK234" s="15"/>
      <c r="SYL234" s="15"/>
      <c r="SYM234" s="15"/>
      <c r="SYN234" s="15"/>
      <c r="SYO234" s="10"/>
      <c r="SYP234" s="10"/>
      <c r="SYQ234" s="21"/>
      <c r="SYR234" s="21"/>
      <c r="SYU234" s="21"/>
      <c r="SYV234" s="15"/>
      <c r="SYW234" s="15"/>
      <c r="SYX234" s="15"/>
      <c r="SYY234" s="15"/>
      <c r="SYZ234" s="15"/>
      <c r="SZA234" s="15"/>
      <c r="SZB234" s="15"/>
      <c r="SZC234" s="15"/>
      <c r="SZD234" s="15"/>
      <c r="SZE234" s="15"/>
      <c r="SZF234" s="10"/>
      <c r="SZG234" s="10"/>
      <c r="SZH234" s="21"/>
      <c r="SZI234" s="21"/>
      <c r="SZL234" s="21"/>
      <c r="SZM234" s="15"/>
      <c r="SZN234" s="15"/>
      <c r="SZO234" s="15"/>
      <c r="SZP234" s="15"/>
      <c r="SZQ234" s="15"/>
      <c r="SZR234" s="15"/>
      <c r="SZS234" s="15"/>
      <c r="SZT234" s="15"/>
      <c r="SZU234" s="15"/>
      <c r="SZV234" s="15"/>
      <c r="SZW234" s="10"/>
      <c r="SZX234" s="10"/>
      <c r="SZY234" s="21"/>
      <c r="SZZ234" s="21"/>
      <c r="TAC234" s="21"/>
      <c r="TAD234" s="15"/>
      <c r="TAE234" s="15"/>
      <c r="TAF234" s="15"/>
      <c r="TAG234" s="15"/>
      <c r="TAH234" s="15"/>
      <c r="TAI234" s="15"/>
      <c r="TAJ234" s="15"/>
      <c r="TAK234" s="15"/>
      <c r="TAL234" s="15"/>
      <c r="TAM234" s="15"/>
      <c r="TAN234" s="10"/>
      <c r="TAO234" s="10"/>
      <c r="TAP234" s="21"/>
      <c r="TAQ234" s="21"/>
      <c r="TAT234" s="21"/>
      <c r="TAU234" s="15"/>
      <c r="TAV234" s="15"/>
      <c r="TAW234" s="15"/>
      <c r="TAX234" s="15"/>
      <c r="TAY234" s="15"/>
      <c r="TAZ234" s="15"/>
      <c r="TBA234" s="15"/>
      <c r="TBB234" s="15"/>
      <c r="TBC234" s="15"/>
      <c r="TBD234" s="15"/>
      <c r="TBE234" s="10"/>
      <c r="TBF234" s="10"/>
      <c r="TBG234" s="21"/>
      <c r="TBH234" s="21"/>
      <c r="TBK234" s="21"/>
      <c r="TBL234" s="15"/>
      <c r="TBM234" s="15"/>
      <c r="TBN234" s="15"/>
      <c r="TBO234" s="15"/>
      <c r="TBP234" s="15"/>
      <c r="TBQ234" s="15"/>
      <c r="TBR234" s="15"/>
      <c r="TBS234" s="15"/>
      <c r="TBT234" s="15"/>
      <c r="TBU234" s="15"/>
      <c r="TBV234" s="10"/>
      <c r="TBW234" s="10"/>
      <c r="TBX234" s="21"/>
      <c r="TBY234" s="21"/>
      <c r="TCB234" s="21"/>
      <c r="TCC234" s="15"/>
      <c r="TCD234" s="15"/>
      <c r="TCE234" s="15"/>
      <c r="TCF234" s="15"/>
      <c r="TCG234" s="15"/>
      <c r="TCH234" s="15"/>
      <c r="TCI234" s="15"/>
      <c r="TCJ234" s="15"/>
      <c r="TCK234" s="15"/>
      <c r="TCL234" s="15"/>
      <c r="TCM234" s="10"/>
      <c r="TCN234" s="10"/>
      <c r="TCO234" s="21"/>
      <c r="TCP234" s="21"/>
      <c r="TCS234" s="21"/>
      <c r="TCT234" s="15"/>
      <c r="TCU234" s="15"/>
      <c r="TCV234" s="15"/>
      <c r="TCW234" s="15"/>
      <c r="TCX234" s="15"/>
      <c r="TCY234" s="15"/>
      <c r="TCZ234" s="15"/>
      <c r="TDA234" s="15"/>
      <c r="TDB234" s="15"/>
      <c r="TDC234" s="15"/>
      <c r="TDD234" s="10"/>
      <c r="TDE234" s="10"/>
      <c r="TDF234" s="21"/>
      <c r="TDG234" s="21"/>
      <c r="TDJ234" s="21"/>
      <c r="TDK234" s="15"/>
      <c r="TDL234" s="15"/>
      <c r="TDM234" s="15"/>
      <c r="TDN234" s="15"/>
      <c r="TDO234" s="15"/>
      <c r="TDP234" s="15"/>
      <c r="TDQ234" s="15"/>
      <c r="TDR234" s="15"/>
      <c r="TDS234" s="15"/>
      <c r="TDT234" s="15"/>
      <c r="TDU234" s="10"/>
      <c r="TDV234" s="10"/>
      <c r="TDW234" s="21"/>
      <c r="TDX234" s="21"/>
      <c r="TEA234" s="21"/>
      <c r="TEB234" s="15"/>
      <c r="TEC234" s="15"/>
      <c r="TED234" s="15"/>
      <c r="TEE234" s="15"/>
      <c r="TEF234" s="15"/>
      <c r="TEG234" s="15"/>
      <c r="TEH234" s="15"/>
      <c r="TEI234" s="15"/>
      <c r="TEJ234" s="15"/>
      <c r="TEK234" s="15"/>
      <c r="TEL234" s="10"/>
      <c r="TEM234" s="10"/>
      <c r="TEN234" s="21"/>
      <c r="TEO234" s="21"/>
      <c r="TER234" s="21"/>
      <c r="TES234" s="15"/>
      <c r="TET234" s="15"/>
      <c r="TEU234" s="15"/>
      <c r="TEV234" s="15"/>
      <c r="TEW234" s="15"/>
      <c r="TEX234" s="15"/>
      <c r="TEY234" s="15"/>
      <c r="TEZ234" s="15"/>
      <c r="TFA234" s="15"/>
      <c r="TFB234" s="15"/>
      <c r="TFC234" s="10"/>
      <c r="TFD234" s="10"/>
      <c r="TFE234" s="21"/>
      <c r="TFF234" s="21"/>
      <c r="TFI234" s="21"/>
      <c r="TFJ234" s="15"/>
      <c r="TFK234" s="15"/>
      <c r="TFL234" s="15"/>
      <c r="TFM234" s="15"/>
      <c r="TFN234" s="15"/>
      <c r="TFO234" s="15"/>
      <c r="TFP234" s="15"/>
      <c r="TFQ234" s="15"/>
      <c r="TFR234" s="15"/>
      <c r="TFS234" s="15"/>
      <c r="TFT234" s="10"/>
      <c r="TFU234" s="10"/>
      <c r="TFV234" s="21"/>
      <c r="TFW234" s="21"/>
      <c r="TFZ234" s="21"/>
      <c r="TGA234" s="15"/>
      <c r="TGB234" s="15"/>
      <c r="TGC234" s="15"/>
      <c r="TGD234" s="15"/>
      <c r="TGE234" s="15"/>
      <c r="TGF234" s="15"/>
      <c r="TGG234" s="15"/>
      <c r="TGH234" s="15"/>
      <c r="TGI234" s="15"/>
      <c r="TGJ234" s="15"/>
      <c r="TGK234" s="10"/>
      <c r="TGL234" s="10"/>
      <c r="TGM234" s="21"/>
      <c r="TGN234" s="21"/>
      <c r="TGQ234" s="21"/>
      <c r="TGR234" s="15"/>
      <c r="TGS234" s="15"/>
      <c r="TGT234" s="15"/>
      <c r="TGU234" s="15"/>
      <c r="TGV234" s="15"/>
      <c r="TGW234" s="15"/>
      <c r="TGX234" s="15"/>
      <c r="TGY234" s="15"/>
      <c r="TGZ234" s="15"/>
      <c r="THA234" s="15"/>
      <c r="THB234" s="10"/>
      <c r="THC234" s="10"/>
      <c r="THD234" s="21"/>
      <c r="THE234" s="21"/>
      <c r="THH234" s="21"/>
      <c r="THI234" s="15"/>
      <c r="THJ234" s="15"/>
      <c r="THK234" s="15"/>
      <c r="THL234" s="15"/>
      <c r="THM234" s="15"/>
      <c r="THN234" s="15"/>
      <c r="THO234" s="15"/>
      <c r="THP234" s="15"/>
      <c r="THQ234" s="15"/>
      <c r="THR234" s="15"/>
      <c r="THS234" s="10"/>
      <c r="THT234" s="10"/>
      <c r="THU234" s="21"/>
      <c r="THV234" s="21"/>
      <c r="THY234" s="21"/>
      <c r="THZ234" s="15"/>
      <c r="TIA234" s="15"/>
      <c r="TIB234" s="15"/>
      <c r="TIC234" s="15"/>
      <c r="TID234" s="15"/>
      <c r="TIE234" s="15"/>
      <c r="TIF234" s="15"/>
      <c r="TIG234" s="15"/>
      <c r="TIH234" s="15"/>
      <c r="TII234" s="15"/>
      <c r="TIJ234" s="10"/>
      <c r="TIK234" s="10"/>
      <c r="TIL234" s="21"/>
      <c r="TIM234" s="21"/>
      <c r="TIP234" s="21"/>
      <c r="TIQ234" s="15"/>
      <c r="TIR234" s="15"/>
      <c r="TIS234" s="15"/>
      <c r="TIT234" s="15"/>
      <c r="TIU234" s="15"/>
      <c r="TIV234" s="15"/>
      <c r="TIW234" s="15"/>
      <c r="TIX234" s="15"/>
      <c r="TIY234" s="15"/>
      <c r="TIZ234" s="15"/>
      <c r="TJA234" s="10"/>
      <c r="TJB234" s="10"/>
      <c r="TJC234" s="21"/>
      <c r="TJD234" s="21"/>
      <c r="TJG234" s="21"/>
      <c r="TJH234" s="15"/>
      <c r="TJI234" s="15"/>
      <c r="TJJ234" s="15"/>
      <c r="TJK234" s="15"/>
      <c r="TJL234" s="15"/>
      <c r="TJM234" s="15"/>
      <c r="TJN234" s="15"/>
      <c r="TJO234" s="15"/>
      <c r="TJP234" s="15"/>
      <c r="TJQ234" s="15"/>
      <c r="TJR234" s="10"/>
      <c r="TJS234" s="10"/>
      <c r="TJT234" s="21"/>
      <c r="TJU234" s="21"/>
      <c r="TJX234" s="21"/>
      <c r="TJY234" s="15"/>
      <c r="TJZ234" s="15"/>
      <c r="TKA234" s="15"/>
      <c r="TKB234" s="15"/>
      <c r="TKC234" s="15"/>
      <c r="TKD234" s="15"/>
      <c r="TKE234" s="15"/>
      <c r="TKF234" s="15"/>
      <c r="TKG234" s="15"/>
      <c r="TKH234" s="15"/>
      <c r="TKI234" s="10"/>
      <c r="TKJ234" s="10"/>
      <c r="TKK234" s="21"/>
      <c r="TKL234" s="21"/>
      <c r="TKO234" s="21"/>
      <c r="TKP234" s="15"/>
      <c r="TKQ234" s="15"/>
      <c r="TKR234" s="15"/>
      <c r="TKS234" s="15"/>
      <c r="TKT234" s="15"/>
      <c r="TKU234" s="15"/>
      <c r="TKV234" s="15"/>
      <c r="TKW234" s="15"/>
      <c r="TKX234" s="15"/>
      <c r="TKY234" s="15"/>
      <c r="TKZ234" s="10"/>
      <c r="TLA234" s="10"/>
      <c r="TLB234" s="21"/>
      <c r="TLC234" s="21"/>
      <c r="TLF234" s="21"/>
      <c r="TLG234" s="15"/>
      <c r="TLH234" s="15"/>
      <c r="TLI234" s="15"/>
      <c r="TLJ234" s="15"/>
      <c r="TLK234" s="15"/>
      <c r="TLL234" s="15"/>
      <c r="TLM234" s="15"/>
      <c r="TLN234" s="15"/>
      <c r="TLO234" s="15"/>
      <c r="TLP234" s="15"/>
      <c r="TLQ234" s="10"/>
      <c r="TLR234" s="10"/>
      <c r="TLS234" s="21"/>
      <c r="TLT234" s="21"/>
      <c r="TLW234" s="21"/>
      <c r="TLX234" s="15"/>
      <c r="TLY234" s="15"/>
      <c r="TLZ234" s="15"/>
      <c r="TMA234" s="15"/>
      <c r="TMB234" s="15"/>
      <c r="TMC234" s="15"/>
      <c r="TMD234" s="15"/>
      <c r="TME234" s="15"/>
      <c r="TMF234" s="15"/>
      <c r="TMG234" s="15"/>
      <c r="TMH234" s="10"/>
      <c r="TMI234" s="10"/>
      <c r="TMJ234" s="21"/>
      <c r="TMK234" s="21"/>
      <c r="TMN234" s="21"/>
      <c r="TMO234" s="15"/>
      <c r="TMP234" s="15"/>
      <c r="TMQ234" s="15"/>
      <c r="TMR234" s="15"/>
      <c r="TMS234" s="15"/>
      <c r="TMT234" s="15"/>
      <c r="TMU234" s="15"/>
      <c r="TMV234" s="15"/>
      <c r="TMW234" s="15"/>
      <c r="TMX234" s="15"/>
      <c r="TMY234" s="10"/>
      <c r="TMZ234" s="10"/>
      <c r="TNA234" s="21"/>
      <c r="TNB234" s="21"/>
      <c r="TNE234" s="21"/>
      <c r="TNF234" s="15"/>
      <c r="TNG234" s="15"/>
      <c r="TNH234" s="15"/>
      <c r="TNI234" s="15"/>
      <c r="TNJ234" s="15"/>
      <c r="TNK234" s="15"/>
      <c r="TNL234" s="15"/>
      <c r="TNM234" s="15"/>
      <c r="TNN234" s="15"/>
      <c r="TNO234" s="15"/>
      <c r="TNP234" s="10"/>
      <c r="TNQ234" s="10"/>
      <c r="TNR234" s="21"/>
      <c r="TNS234" s="21"/>
      <c r="TNV234" s="21"/>
      <c r="TNW234" s="15"/>
      <c r="TNX234" s="15"/>
      <c r="TNY234" s="15"/>
      <c r="TNZ234" s="15"/>
      <c r="TOA234" s="15"/>
      <c r="TOB234" s="15"/>
      <c r="TOC234" s="15"/>
      <c r="TOD234" s="15"/>
      <c r="TOE234" s="15"/>
      <c r="TOF234" s="15"/>
      <c r="TOG234" s="10"/>
      <c r="TOH234" s="10"/>
      <c r="TOI234" s="21"/>
      <c r="TOJ234" s="21"/>
      <c r="TOM234" s="21"/>
      <c r="TON234" s="15"/>
      <c r="TOO234" s="15"/>
      <c r="TOP234" s="15"/>
      <c r="TOQ234" s="15"/>
      <c r="TOR234" s="15"/>
      <c r="TOS234" s="15"/>
      <c r="TOT234" s="15"/>
      <c r="TOU234" s="15"/>
      <c r="TOV234" s="15"/>
      <c r="TOW234" s="15"/>
      <c r="TOX234" s="10"/>
      <c r="TOY234" s="10"/>
      <c r="TOZ234" s="21"/>
      <c r="TPA234" s="21"/>
      <c r="TPD234" s="21"/>
      <c r="TPE234" s="15"/>
      <c r="TPF234" s="15"/>
      <c r="TPG234" s="15"/>
      <c r="TPH234" s="15"/>
      <c r="TPI234" s="15"/>
      <c r="TPJ234" s="15"/>
      <c r="TPK234" s="15"/>
      <c r="TPL234" s="15"/>
      <c r="TPM234" s="15"/>
      <c r="TPN234" s="15"/>
      <c r="TPO234" s="10"/>
      <c r="TPP234" s="10"/>
      <c r="TPQ234" s="21"/>
      <c r="TPR234" s="21"/>
      <c r="TPU234" s="21"/>
      <c r="TPV234" s="15"/>
      <c r="TPW234" s="15"/>
      <c r="TPX234" s="15"/>
      <c r="TPY234" s="15"/>
      <c r="TPZ234" s="15"/>
      <c r="TQA234" s="15"/>
      <c r="TQB234" s="15"/>
      <c r="TQC234" s="15"/>
      <c r="TQD234" s="15"/>
      <c r="TQE234" s="15"/>
      <c r="TQF234" s="10"/>
      <c r="TQG234" s="10"/>
      <c r="TQH234" s="21"/>
      <c r="TQI234" s="21"/>
      <c r="TQL234" s="21"/>
      <c r="TQM234" s="15"/>
      <c r="TQN234" s="15"/>
      <c r="TQO234" s="15"/>
      <c r="TQP234" s="15"/>
      <c r="TQQ234" s="15"/>
      <c r="TQR234" s="15"/>
      <c r="TQS234" s="15"/>
      <c r="TQT234" s="15"/>
      <c r="TQU234" s="15"/>
      <c r="TQV234" s="15"/>
      <c r="TQW234" s="10"/>
      <c r="TQX234" s="10"/>
      <c r="TQY234" s="21"/>
      <c r="TQZ234" s="21"/>
      <c r="TRC234" s="21"/>
      <c r="TRD234" s="15"/>
      <c r="TRE234" s="15"/>
      <c r="TRF234" s="15"/>
      <c r="TRG234" s="15"/>
      <c r="TRH234" s="15"/>
      <c r="TRI234" s="15"/>
      <c r="TRJ234" s="15"/>
      <c r="TRK234" s="15"/>
      <c r="TRL234" s="15"/>
      <c r="TRM234" s="15"/>
      <c r="TRN234" s="10"/>
      <c r="TRO234" s="10"/>
      <c r="TRP234" s="21"/>
      <c r="TRQ234" s="21"/>
      <c r="TRT234" s="21"/>
      <c r="TRU234" s="15"/>
      <c r="TRV234" s="15"/>
      <c r="TRW234" s="15"/>
      <c r="TRX234" s="15"/>
      <c r="TRY234" s="15"/>
      <c r="TRZ234" s="15"/>
      <c r="TSA234" s="15"/>
      <c r="TSB234" s="15"/>
      <c r="TSC234" s="15"/>
      <c r="TSD234" s="15"/>
      <c r="TSE234" s="10"/>
      <c r="TSF234" s="10"/>
      <c r="TSG234" s="21"/>
      <c r="TSH234" s="21"/>
      <c r="TSK234" s="21"/>
      <c r="TSL234" s="15"/>
      <c r="TSM234" s="15"/>
      <c r="TSN234" s="15"/>
      <c r="TSO234" s="15"/>
      <c r="TSP234" s="15"/>
      <c r="TSQ234" s="15"/>
      <c r="TSR234" s="15"/>
      <c r="TSS234" s="15"/>
      <c r="TST234" s="15"/>
      <c r="TSU234" s="15"/>
      <c r="TSV234" s="10"/>
      <c r="TSW234" s="10"/>
      <c r="TSX234" s="21"/>
      <c r="TSY234" s="21"/>
      <c r="TTB234" s="21"/>
      <c r="TTC234" s="15"/>
      <c r="TTD234" s="15"/>
      <c r="TTE234" s="15"/>
      <c r="TTF234" s="15"/>
      <c r="TTG234" s="15"/>
      <c r="TTH234" s="15"/>
      <c r="TTI234" s="15"/>
      <c r="TTJ234" s="15"/>
      <c r="TTK234" s="15"/>
      <c r="TTL234" s="15"/>
      <c r="TTM234" s="10"/>
      <c r="TTN234" s="10"/>
      <c r="TTO234" s="21"/>
      <c r="TTP234" s="21"/>
      <c r="TTS234" s="21"/>
      <c r="TTT234" s="15"/>
      <c r="TTU234" s="15"/>
      <c r="TTV234" s="15"/>
      <c r="TTW234" s="15"/>
      <c r="TTX234" s="15"/>
      <c r="TTY234" s="15"/>
      <c r="TTZ234" s="15"/>
      <c r="TUA234" s="15"/>
      <c r="TUB234" s="15"/>
      <c r="TUC234" s="15"/>
      <c r="TUD234" s="10"/>
      <c r="TUE234" s="10"/>
      <c r="TUF234" s="21"/>
      <c r="TUG234" s="21"/>
      <c r="TUJ234" s="21"/>
      <c r="TUK234" s="15"/>
      <c r="TUL234" s="15"/>
      <c r="TUM234" s="15"/>
      <c r="TUN234" s="15"/>
      <c r="TUO234" s="15"/>
      <c r="TUP234" s="15"/>
      <c r="TUQ234" s="15"/>
      <c r="TUR234" s="15"/>
      <c r="TUS234" s="15"/>
      <c r="TUT234" s="15"/>
      <c r="TUU234" s="10"/>
      <c r="TUV234" s="10"/>
      <c r="TUW234" s="21"/>
      <c r="TUX234" s="21"/>
      <c r="TVA234" s="21"/>
      <c r="TVB234" s="15"/>
      <c r="TVC234" s="15"/>
      <c r="TVD234" s="15"/>
      <c r="TVE234" s="15"/>
      <c r="TVF234" s="15"/>
      <c r="TVG234" s="15"/>
      <c r="TVH234" s="15"/>
      <c r="TVI234" s="15"/>
      <c r="TVJ234" s="15"/>
      <c r="TVK234" s="15"/>
      <c r="TVL234" s="10"/>
      <c r="TVM234" s="10"/>
      <c r="TVN234" s="21"/>
      <c r="TVO234" s="21"/>
      <c r="TVR234" s="21"/>
      <c r="TVS234" s="15"/>
      <c r="TVT234" s="15"/>
      <c r="TVU234" s="15"/>
      <c r="TVV234" s="15"/>
      <c r="TVW234" s="15"/>
      <c r="TVX234" s="15"/>
      <c r="TVY234" s="15"/>
      <c r="TVZ234" s="15"/>
      <c r="TWA234" s="15"/>
      <c r="TWB234" s="15"/>
      <c r="TWC234" s="10"/>
      <c r="TWD234" s="10"/>
      <c r="TWE234" s="21"/>
      <c r="TWF234" s="21"/>
      <c r="TWI234" s="21"/>
      <c r="TWJ234" s="15"/>
      <c r="TWK234" s="15"/>
      <c r="TWL234" s="15"/>
      <c r="TWM234" s="15"/>
      <c r="TWN234" s="15"/>
      <c r="TWO234" s="15"/>
      <c r="TWP234" s="15"/>
      <c r="TWQ234" s="15"/>
      <c r="TWR234" s="15"/>
      <c r="TWS234" s="15"/>
      <c r="TWT234" s="10"/>
      <c r="TWU234" s="10"/>
      <c r="TWV234" s="21"/>
      <c r="TWW234" s="21"/>
      <c r="TWZ234" s="21"/>
      <c r="TXA234" s="15"/>
      <c r="TXB234" s="15"/>
      <c r="TXC234" s="15"/>
      <c r="TXD234" s="15"/>
      <c r="TXE234" s="15"/>
      <c r="TXF234" s="15"/>
      <c r="TXG234" s="15"/>
      <c r="TXH234" s="15"/>
      <c r="TXI234" s="15"/>
      <c r="TXJ234" s="15"/>
      <c r="TXK234" s="10"/>
      <c r="TXL234" s="10"/>
      <c r="TXM234" s="21"/>
      <c r="TXN234" s="21"/>
      <c r="TXQ234" s="21"/>
      <c r="TXR234" s="15"/>
      <c r="TXS234" s="15"/>
      <c r="TXT234" s="15"/>
      <c r="TXU234" s="15"/>
      <c r="TXV234" s="15"/>
      <c r="TXW234" s="15"/>
      <c r="TXX234" s="15"/>
      <c r="TXY234" s="15"/>
      <c r="TXZ234" s="15"/>
      <c r="TYA234" s="15"/>
      <c r="TYB234" s="10"/>
      <c r="TYC234" s="10"/>
      <c r="TYD234" s="21"/>
      <c r="TYE234" s="21"/>
      <c r="TYH234" s="21"/>
      <c r="TYI234" s="15"/>
      <c r="TYJ234" s="15"/>
      <c r="TYK234" s="15"/>
      <c r="TYL234" s="15"/>
      <c r="TYM234" s="15"/>
      <c r="TYN234" s="15"/>
      <c r="TYO234" s="15"/>
      <c r="TYP234" s="15"/>
      <c r="TYQ234" s="15"/>
      <c r="TYR234" s="15"/>
      <c r="TYS234" s="10"/>
      <c r="TYT234" s="10"/>
      <c r="TYU234" s="21"/>
      <c r="TYV234" s="21"/>
      <c r="TYY234" s="21"/>
      <c r="TYZ234" s="15"/>
      <c r="TZA234" s="15"/>
      <c r="TZB234" s="15"/>
      <c r="TZC234" s="15"/>
      <c r="TZD234" s="15"/>
      <c r="TZE234" s="15"/>
      <c r="TZF234" s="15"/>
      <c r="TZG234" s="15"/>
      <c r="TZH234" s="15"/>
      <c r="TZI234" s="15"/>
      <c r="TZJ234" s="10"/>
      <c r="TZK234" s="10"/>
      <c r="TZL234" s="21"/>
      <c r="TZM234" s="21"/>
      <c r="TZP234" s="21"/>
      <c r="TZQ234" s="15"/>
      <c r="TZR234" s="15"/>
      <c r="TZS234" s="15"/>
      <c r="TZT234" s="15"/>
      <c r="TZU234" s="15"/>
      <c r="TZV234" s="15"/>
      <c r="TZW234" s="15"/>
      <c r="TZX234" s="15"/>
      <c r="TZY234" s="15"/>
      <c r="TZZ234" s="15"/>
      <c r="UAA234" s="10"/>
      <c r="UAB234" s="10"/>
      <c r="UAC234" s="21"/>
      <c r="UAD234" s="21"/>
      <c r="UAG234" s="21"/>
      <c r="UAH234" s="15"/>
      <c r="UAI234" s="15"/>
      <c r="UAJ234" s="15"/>
      <c r="UAK234" s="15"/>
      <c r="UAL234" s="15"/>
      <c r="UAM234" s="15"/>
      <c r="UAN234" s="15"/>
      <c r="UAO234" s="15"/>
      <c r="UAP234" s="15"/>
      <c r="UAQ234" s="15"/>
      <c r="UAR234" s="10"/>
      <c r="UAS234" s="10"/>
      <c r="UAT234" s="21"/>
      <c r="UAU234" s="21"/>
      <c r="UAX234" s="21"/>
      <c r="UAY234" s="15"/>
      <c r="UAZ234" s="15"/>
      <c r="UBA234" s="15"/>
      <c r="UBB234" s="15"/>
      <c r="UBC234" s="15"/>
      <c r="UBD234" s="15"/>
      <c r="UBE234" s="15"/>
      <c r="UBF234" s="15"/>
      <c r="UBG234" s="15"/>
      <c r="UBH234" s="15"/>
      <c r="UBI234" s="10"/>
      <c r="UBJ234" s="10"/>
      <c r="UBK234" s="21"/>
      <c r="UBL234" s="21"/>
      <c r="UBO234" s="21"/>
      <c r="UBP234" s="15"/>
      <c r="UBQ234" s="15"/>
      <c r="UBR234" s="15"/>
      <c r="UBS234" s="15"/>
      <c r="UBT234" s="15"/>
      <c r="UBU234" s="15"/>
      <c r="UBV234" s="15"/>
      <c r="UBW234" s="15"/>
      <c r="UBX234" s="15"/>
      <c r="UBY234" s="15"/>
      <c r="UBZ234" s="10"/>
      <c r="UCA234" s="10"/>
      <c r="UCB234" s="21"/>
      <c r="UCC234" s="21"/>
      <c r="UCF234" s="21"/>
      <c r="UCG234" s="15"/>
      <c r="UCH234" s="15"/>
      <c r="UCI234" s="15"/>
      <c r="UCJ234" s="15"/>
      <c r="UCK234" s="15"/>
      <c r="UCL234" s="15"/>
      <c r="UCM234" s="15"/>
      <c r="UCN234" s="15"/>
      <c r="UCO234" s="15"/>
      <c r="UCP234" s="15"/>
      <c r="UCQ234" s="10"/>
      <c r="UCR234" s="10"/>
      <c r="UCS234" s="21"/>
      <c r="UCT234" s="21"/>
      <c r="UCW234" s="21"/>
      <c r="UCX234" s="15"/>
      <c r="UCY234" s="15"/>
      <c r="UCZ234" s="15"/>
      <c r="UDA234" s="15"/>
      <c r="UDB234" s="15"/>
      <c r="UDC234" s="15"/>
      <c r="UDD234" s="15"/>
      <c r="UDE234" s="15"/>
      <c r="UDF234" s="15"/>
      <c r="UDG234" s="15"/>
      <c r="UDH234" s="10"/>
      <c r="UDI234" s="10"/>
      <c r="UDJ234" s="21"/>
      <c r="UDK234" s="21"/>
      <c r="UDN234" s="21"/>
      <c r="UDO234" s="15"/>
      <c r="UDP234" s="15"/>
      <c r="UDQ234" s="15"/>
      <c r="UDR234" s="15"/>
      <c r="UDS234" s="15"/>
      <c r="UDT234" s="15"/>
      <c r="UDU234" s="15"/>
      <c r="UDV234" s="15"/>
      <c r="UDW234" s="15"/>
      <c r="UDX234" s="15"/>
      <c r="UDY234" s="10"/>
      <c r="UDZ234" s="10"/>
      <c r="UEA234" s="21"/>
      <c r="UEB234" s="21"/>
      <c r="UEE234" s="21"/>
      <c r="UEF234" s="15"/>
      <c r="UEG234" s="15"/>
      <c r="UEH234" s="15"/>
      <c r="UEI234" s="15"/>
      <c r="UEJ234" s="15"/>
      <c r="UEK234" s="15"/>
      <c r="UEL234" s="15"/>
      <c r="UEM234" s="15"/>
      <c r="UEN234" s="15"/>
      <c r="UEO234" s="15"/>
      <c r="UEP234" s="10"/>
      <c r="UEQ234" s="10"/>
      <c r="UER234" s="21"/>
      <c r="UES234" s="21"/>
      <c r="UEV234" s="21"/>
      <c r="UEW234" s="15"/>
      <c r="UEX234" s="15"/>
      <c r="UEY234" s="15"/>
      <c r="UEZ234" s="15"/>
      <c r="UFA234" s="15"/>
      <c r="UFB234" s="15"/>
      <c r="UFC234" s="15"/>
      <c r="UFD234" s="15"/>
      <c r="UFE234" s="15"/>
      <c r="UFF234" s="15"/>
      <c r="UFG234" s="10"/>
      <c r="UFH234" s="10"/>
      <c r="UFI234" s="21"/>
      <c r="UFJ234" s="21"/>
      <c r="UFM234" s="21"/>
      <c r="UFN234" s="15"/>
      <c r="UFO234" s="15"/>
      <c r="UFP234" s="15"/>
      <c r="UFQ234" s="15"/>
      <c r="UFR234" s="15"/>
      <c r="UFS234" s="15"/>
      <c r="UFT234" s="15"/>
      <c r="UFU234" s="15"/>
      <c r="UFV234" s="15"/>
      <c r="UFW234" s="15"/>
      <c r="UFX234" s="10"/>
      <c r="UFY234" s="10"/>
      <c r="UFZ234" s="21"/>
      <c r="UGA234" s="21"/>
      <c r="UGD234" s="21"/>
      <c r="UGE234" s="15"/>
      <c r="UGF234" s="15"/>
      <c r="UGG234" s="15"/>
      <c r="UGH234" s="15"/>
      <c r="UGI234" s="15"/>
      <c r="UGJ234" s="15"/>
      <c r="UGK234" s="15"/>
      <c r="UGL234" s="15"/>
      <c r="UGM234" s="15"/>
      <c r="UGN234" s="15"/>
      <c r="UGO234" s="10"/>
      <c r="UGP234" s="10"/>
      <c r="UGQ234" s="21"/>
      <c r="UGR234" s="21"/>
      <c r="UGU234" s="21"/>
      <c r="UGV234" s="15"/>
      <c r="UGW234" s="15"/>
      <c r="UGX234" s="15"/>
      <c r="UGY234" s="15"/>
      <c r="UGZ234" s="15"/>
      <c r="UHA234" s="15"/>
      <c r="UHB234" s="15"/>
      <c r="UHC234" s="15"/>
      <c r="UHD234" s="15"/>
      <c r="UHE234" s="15"/>
      <c r="UHF234" s="10"/>
      <c r="UHG234" s="10"/>
      <c r="UHH234" s="21"/>
      <c r="UHI234" s="21"/>
      <c r="UHL234" s="21"/>
      <c r="UHM234" s="15"/>
      <c r="UHN234" s="15"/>
      <c r="UHO234" s="15"/>
      <c r="UHP234" s="15"/>
      <c r="UHQ234" s="15"/>
      <c r="UHR234" s="15"/>
      <c r="UHS234" s="15"/>
      <c r="UHT234" s="15"/>
      <c r="UHU234" s="15"/>
      <c r="UHV234" s="15"/>
      <c r="UHW234" s="10"/>
      <c r="UHX234" s="10"/>
      <c r="UHY234" s="21"/>
      <c r="UHZ234" s="21"/>
      <c r="UIC234" s="21"/>
      <c r="UID234" s="15"/>
      <c r="UIE234" s="15"/>
      <c r="UIF234" s="15"/>
      <c r="UIG234" s="15"/>
      <c r="UIH234" s="15"/>
      <c r="UII234" s="15"/>
      <c r="UIJ234" s="15"/>
      <c r="UIK234" s="15"/>
      <c r="UIL234" s="15"/>
      <c r="UIM234" s="15"/>
      <c r="UIN234" s="10"/>
      <c r="UIO234" s="10"/>
      <c r="UIP234" s="21"/>
      <c r="UIQ234" s="21"/>
      <c r="UIT234" s="21"/>
      <c r="UIU234" s="15"/>
      <c r="UIV234" s="15"/>
      <c r="UIW234" s="15"/>
      <c r="UIX234" s="15"/>
      <c r="UIY234" s="15"/>
      <c r="UIZ234" s="15"/>
      <c r="UJA234" s="15"/>
      <c r="UJB234" s="15"/>
      <c r="UJC234" s="15"/>
      <c r="UJD234" s="15"/>
      <c r="UJE234" s="10"/>
      <c r="UJF234" s="10"/>
      <c r="UJG234" s="21"/>
      <c r="UJH234" s="21"/>
      <c r="UJK234" s="21"/>
      <c r="UJL234" s="15"/>
      <c r="UJM234" s="15"/>
      <c r="UJN234" s="15"/>
      <c r="UJO234" s="15"/>
      <c r="UJP234" s="15"/>
      <c r="UJQ234" s="15"/>
      <c r="UJR234" s="15"/>
      <c r="UJS234" s="15"/>
      <c r="UJT234" s="15"/>
      <c r="UJU234" s="15"/>
      <c r="UJV234" s="10"/>
      <c r="UJW234" s="10"/>
      <c r="UJX234" s="21"/>
      <c r="UJY234" s="21"/>
      <c r="UKB234" s="21"/>
      <c r="UKC234" s="15"/>
      <c r="UKD234" s="15"/>
      <c r="UKE234" s="15"/>
      <c r="UKF234" s="15"/>
      <c r="UKG234" s="15"/>
      <c r="UKH234" s="15"/>
      <c r="UKI234" s="15"/>
      <c r="UKJ234" s="15"/>
      <c r="UKK234" s="15"/>
      <c r="UKL234" s="15"/>
      <c r="UKM234" s="10"/>
      <c r="UKN234" s="10"/>
      <c r="UKO234" s="21"/>
      <c r="UKP234" s="21"/>
      <c r="UKS234" s="21"/>
      <c r="UKT234" s="15"/>
      <c r="UKU234" s="15"/>
      <c r="UKV234" s="15"/>
      <c r="UKW234" s="15"/>
      <c r="UKX234" s="15"/>
      <c r="UKY234" s="15"/>
      <c r="UKZ234" s="15"/>
      <c r="ULA234" s="15"/>
      <c r="ULB234" s="15"/>
      <c r="ULC234" s="15"/>
      <c r="ULD234" s="10"/>
      <c r="ULE234" s="10"/>
      <c r="ULF234" s="21"/>
      <c r="ULG234" s="21"/>
      <c r="ULJ234" s="21"/>
      <c r="ULK234" s="15"/>
      <c r="ULL234" s="15"/>
      <c r="ULM234" s="15"/>
      <c r="ULN234" s="15"/>
      <c r="ULO234" s="15"/>
      <c r="ULP234" s="15"/>
      <c r="ULQ234" s="15"/>
      <c r="ULR234" s="15"/>
      <c r="ULS234" s="15"/>
      <c r="ULT234" s="15"/>
      <c r="ULU234" s="10"/>
      <c r="ULV234" s="10"/>
      <c r="ULW234" s="21"/>
      <c r="ULX234" s="21"/>
      <c r="UMA234" s="21"/>
      <c r="UMB234" s="15"/>
      <c r="UMC234" s="15"/>
      <c r="UMD234" s="15"/>
      <c r="UME234" s="15"/>
      <c r="UMF234" s="15"/>
      <c r="UMG234" s="15"/>
      <c r="UMH234" s="15"/>
      <c r="UMI234" s="15"/>
      <c r="UMJ234" s="15"/>
      <c r="UMK234" s="15"/>
      <c r="UML234" s="10"/>
      <c r="UMM234" s="10"/>
      <c r="UMN234" s="21"/>
      <c r="UMO234" s="21"/>
      <c r="UMR234" s="21"/>
      <c r="UMS234" s="15"/>
      <c r="UMT234" s="15"/>
      <c r="UMU234" s="15"/>
      <c r="UMV234" s="15"/>
      <c r="UMW234" s="15"/>
      <c r="UMX234" s="15"/>
      <c r="UMY234" s="15"/>
      <c r="UMZ234" s="15"/>
      <c r="UNA234" s="15"/>
      <c r="UNB234" s="15"/>
      <c r="UNC234" s="10"/>
      <c r="UND234" s="10"/>
      <c r="UNE234" s="21"/>
      <c r="UNF234" s="21"/>
      <c r="UNI234" s="21"/>
      <c r="UNJ234" s="15"/>
      <c r="UNK234" s="15"/>
      <c r="UNL234" s="15"/>
      <c r="UNM234" s="15"/>
      <c r="UNN234" s="15"/>
      <c r="UNO234" s="15"/>
      <c r="UNP234" s="15"/>
      <c r="UNQ234" s="15"/>
      <c r="UNR234" s="15"/>
      <c r="UNS234" s="15"/>
      <c r="UNT234" s="10"/>
      <c r="UNU234" s="10"/>
      <c r="UNV234" s="21"/>
      <c r="UNW234" s="21"/>
      <c r="UNZ234" s="21"/>
      <c r="UOA234" s="15"/>
      <c r="UOB234" s="15"/>
      <c r="UOC234" s="15"/>
      <c r="UOD234" s="15"/>
      <c r="UOE234" s="15"/>
      <c r="UOF234" s="15"/>
      <c r="UOG234" s="15"/>
      <c r="UOH234" s="15"/>
      <c r="UOI234" s="15"/>
      <c r="UOJ234" s="15"/>
      <c r="UOK234" s="10"/>
      <c r="UOL234" s="10"/>
      <c r="UOM234" s="21"/>
      <c r="UON234" s="21"/>
      <c r="UOQ234" s="21"/>
      <c r="UOR234" s="15"/>
      <c r="UOS234" s="15"/>
      <c r="UOT234" s="15"/>
      <c r="UOU234" s="15"/>
      <c r="UOV234" s="15"/>
      <c r="UOW234" s="15"/>
      <c r="UOX234" s="15"/>
      <c r="UOY234" s="15"/>
      <c r="UOZ234" s="15"/>
      <c r="UPA234" s="15"/>
      <c r="UPB234" s="10"/>
      <c r="UPC234" s="10"/>
      <c r="UPD234" s="21"/>
      <c r="UPE234" s="21"/>
      <c r="UPH234" s="21"/>
      <c r="UPI234" s="15"/>
      <c r="UPJ234" s="15"/>
      <c r="UPK234" s="15"/>
      <c r="UPL234" s="15"/>
      <c r="UPM234" s="15"/>
      <c r="UPN234" s="15"/>
      <c r="UPO234" s="15"/>
      <c r="UPP234" s="15"/>
      <c r="UPQ234" s="15"/>
      <c r="UPR234" s="15"/>
      <c r="UPS234" s="10"/>
      <c r="UPT234" s="10"/>
      <c r="UPU234" s="21"/>
      <c r="UPV234" s="21"/>
      <c r="UPY234" s="21"/>
      <c r="UPZ234" s="15"/>
      <c r="UQA234" s="15"/>
      <c r="UQB234" s="15"/>
      <c r="UQC234" s="15"/>
      <c r="UQD234" s="15"/>
      <c r="UQE234" s="15"/>
      <c r="UQF234" s="15"/>
      <c r="UQG234" s="15"/>
      <c r="UQH234" s="15"/>
      <c r="UQI234" s="15"/>
      <c r="UQJ234" s="10"/>
      <c r="UQK234" s="10"/>
      <c r="UQL234" s="21"/>
      <c r="UQM234" s="21"/>
      <c r="UQP234" s="21"/>
      <c r="UQQ234" s="15"/>
      <c r="UQR234" s="15"/>
      <c r="UQS234" s="15"/>
      <c r="UQT234" s="15"/>
      <c r="UQU234" s="15"/>
      <c r="UQV234" s="15"/>
      <c r="UQW234" s="15"/>
      <c r="UQX234" s="15"/>
      <c r="UQY234" s="15"/>
      <c r="UQZ234" s="15"/>
      <c r="URA234" s="10"/>
      <c r="URB234" s="10"/>
      <c r="URC234" s="21"/>
      <c r="URD234" s="21"/>
      <c r="URG234" s="21"/>
      <c r="URH234" s="15"/>
      <c r="URI234" s="15"/>
      <c r="URJ234" s="15"/>
      <c r="URK234" s="15"/>
      <c r="URL234" s="15"/>
      <c r="URM234" s="15"/>
      <c r="URN234" s="15"/>
      <c r="URO234" s="15"/>
      <c r="URP234" s="15"/>
      <c r="URQ234" s="15"/>
      <c r="URR234" s="10"/>
      <c r="URS234" s="10"/>
      <c r="URT234" s="21"/>
      <c r="URU234" s="21"/>
      <c r="URX234" s="21"/>
      <c r="URY234" s="15"/>
      <c r="URZ234" s="15"/>
      <c r="USA234" s="15"/>
      <c r="USB234" s="15"/>
      <c r="USC234" s="15"/>
      <c r="USD234" s="15"/>
      <c r="USE234" s="15"/>
      <c r="USF234" s="15"/>
      <c r="USG234" s="15"/>
      <c r="USH234" s="15"/>
      <c r="USI234" s="10"/>
      <c r="USJ234" s="10"/>
      <c r="USK234" s="21"/>
      <c r="USL234" s="21"/>
      <c r="USO234" s="21"/>
      <c r="USP234" s="15"/>
      <c r="USQ234" s="15"/>
      <c r="USR234" s="15"/>
      <c r="USS234" s="15"/>
      <c r="UST234" s="15"/>
      <c r="USU234" s="15"/>
      <c r="USV234" s="15"/>
      <c r="USW234" s="15"/>
      <c r="USX234" s="15"/>
      <c r="USY234" s="15"/>
      <c r="USZ234" s="10"/>
      <c r="UTA234" s="10"/>
      <c r="UTB234" s="21"/>
      <c r="UTC234" s="21"/>
      <c r="UTF234" s="21"/>
      <c r="UTG234" s="15"/>
      <c r="UTH234" s="15"/>
      <c r="UTI234" s="15"/>
      <c r="UTJ234" s="15"/>
      <c r="UTK234" s="15"/>
      <c r="UTL234" s="15"/>
      <c r="UTM234" s="15"/>
      <c r="UTN234" s="15"/>
      <c r="UTO234" s="15"/>
      <c r="UTP234" s="15"/>
      <c r="UTQ234" s="10"/>
      <c r="UTR234" s="10"/>
      <c r="UTS234" s="21"/>
      <c r="UTT234" s="21"/>
      <c r="UTW234" s="21"/>
      <c r="UTX234" s="15"/>
      <c r="UTY234" s="15"/>
      <c r="UTZ234" s="15"/>
      <c r="UUA234" s="15"/>
      <c r="UUB234" s="15"/>
      <c r="UUC234" s="15"/>
      <c r="UUD234" s="15"/>
      <c r="UUE234" s="15"/>
      <c r="UUF234" s="15"/>
      <c r="UUG234" s="15"/>
      <c r="UUH234" s="10"/>
      <c r="UUI234" s="10"/>
      <c r="UUJ234" s="21"/>
      <c r="UUK234" s="21"/>
      <c r="UUN234" s="21"/>
      <c r="UUO234" s="15"/>
      <c r="UUP234" s="15"/>
      <c r="UUQ234" s="15"/>
      <c r="UUR234" s="15"/>
      <c r="UUS234" s="15"/>
      <c r="UUT234" s="15"/>
      <c r="UUU234" s="15"/>
      <c r="UUV234" s="15"/>
      <c r="UUW234" s="15"/>
      <c r="UUX234" s="15"/>
      <c r="UUY234" s="10"/>
      <c r="UUZ234" s="10"/>
      <c r="UVA234" s="21"/>
      <c r="UVB234" s="21"/>
      <c r="UVE234" s="21"/>
      <c r="UVF234" s="15"/>
      <c r="UVG234" s="15"/>
      <c r="UVH234" s="15"/>
      <c r="UVI234" s="15"/>
      <c r="UVJ234" s="15"/>
      <c r="UVK234" s="15"/>
      <c r="UVL234" s="15"/>
      <c r="UVM234" s="15"/>
      <c r="UVN234" s="15"/>
      <c r="UVO234" s="15"/>
      <c r="UVP234" s="10"/>
      <c r="UVQ234" s="10"/>
      <c r="UVR234" s="21"/>
      <c r="UVS234" s="21"/>
      <c r="UVV234" s="21"/>
      <c r="UVW234" s="15"/>
      <c r="UVX234" s="15"/>
      <c r="UVY234" s="15"/>
      <c r="UVZ234" s="15"/>
      <c r="UWA234" s="15"/>
      <c r="UWB234" s="15"/>
      <c r="UWC234" s="15"/>
      <c r="UWD234" s="15"/>
      <c r="UWE234" s="15"/>
      <c r="UWF234" s="15"/>
      <c r="UWG234" s="10"/>
      <c r="UWH234" s="10"/>
      <c r="UWI234" s="21"/>
      <c r="UWJ234" s="21"/>
      <c r="UWM234" s="21"/>
      <c r="UWN234" s="15"/>
      <c r="UWO234" s="15"/>
      <c r="UWP234" s="15"/>
      <c r="UWQ234" s="15"/>
      <c r="UWR234" s="15"/>
      <c r="UWS234" s="15"/>
      <c r="UWT234" s="15"/>
      <c r="UWU234" s="15"/>
      <c r="UWV234" s="15"/>
      <c r="UWW234" s="15"/>
      <c r="UWX234" s="10"/>
      <c r="UWY234" s="10"/>
      <c r="UWZ234" s="21"/>
      <c r="UXA234" s="21"/>
      <c r="UXD234" s="21"/>
      <c r="UXE234" s="15"/>
      <c r="UXF234" s="15"/>
      <c r="UXG234" s="15"/>
      <c r="UXH234" s="15"/>
      <c r="UXI234" s="15"/>
      <c r="UXJ234" s="15"/>
      <c r="UXK234" s="15"/>
      <c r="UXL234" s="15"/>
      <c r="UXM234" s="15"/>
      <c r="UXN234" s="15"/>
      <c r="UXO234" s="10"/>
      <c r="UXP234" s="10"/>
      <c r="UXQ234" s="21"/>
      <c r="UXR234" s="21"/>
      <c r="UXU234" s="21"/>
      <c r="UXV234" s="15"/>
      <c r="UXW234" s="15"/>
      <c r="UXX234" s="15"/>
      <c r="UXY234" s="15"/>
      <c r="UXZ234" s="15"/>
      <c r="UYA234" s="15"/>
      <c r="UYB234" s="15"/>
      <c r="UYC234" s="15"/>
      <c r="UYD234" s="15"/>
      <c r="UYE234" s="15"/>
      <c r="UYF234" s="10"/>
      <c r="UYG234" s="10"/>
      <c r="UYH234" s="21"/>
      <c r="UYI234" s="21"/>
      <c r="UYL234" s="21"/>
      <c r="UYM234" s="15"/>
      <c r="UYN234" s="15"/>
      <c r="UYO234" s="15"/>
      <c r="UYP234" s="15"/>
      <c r="UYQ234" s="15"/>
      <c r="UYR234" s="15"/>
      <c r="UYS234" s="15"/>
      <c r="UYT234" s="15"/>
      <c r="UYU234" s="15"/>
      <c r="UYV234" s="15"/>
      <c r="UYW234" s="10"/>
      <c r="UYX234" s="10"/>
      <c r="UYY234" s="21"/>
      <c r="UYZ234" s="21"/>
      <c r="UZC234" s="21"/>
      <c r="UZD234" s="15"/>
      <c r="UZE234" s="15"/>
      <c r="UZF234" s="15"/>
      <c r="UZG234" s="15"/>
      <c r="UZH234" s="15"/>
      <c r="UZI234" s="15"/>
      <c r="UZJ234" s="15"/>
      <c r="UZK234" s="15"/>
      <c r="UZL234" s="15"/>
      <c r="UZM234" s="15"/>
      <c r="UZN234" s="10"/>
      <c r="UZO234" s="10"/>
      <c r="UZP234" s="21"/>
      <c r="UZQ234" s="21"/>
      <c r="UZT234" s="21"/>
      <c r="UZU234" s="15"/>
      <c r="UZV234" s="15"/>
      <c r="UZW234" s="15"/>
      <c r="UZX234" s="15"/>
      <c r="UZY234" s="15"/>
      <c r="UZZ234" s="15"/>
      <c r="VAA234" s="15"/>
      <c r="VAB234" s="15"/>
      <c r="VAC234" s="15"/>
      <c r="VAD234" s="15"/>
      <c r="VAE234" s="10"/>
      <c r="VAF234" s="10"/>
      <c r="VAG234" s="21"/>
      <c r="VAH234" s="21"/>
      <c r="VAK234" s="21"/>
      <c r="VAL234" s="15"/>
      <c r="VAM234" s="15"/>
      <c r="VAN234" s="15"/>
      <c r="VAO234" s="15"/>
      <c r="VAP234" s="15"/>
      <c r="VAQ234" s="15"/>
      <c r="VAR234" s="15"/>
      <c r="VAS234" s="15"/>
      <c r="VAT234" s="15"/>
      <c r="VAU234" s="15"/>
      <c r="VAV234" s="10"/>
      <c r="VAW234" s="10"/>
      <c r="VAX234" s="21"/>
      <c r="VAY234" s="21"/>
      <c r="VBB234" s="21"/>
      <c r="VBC234" s="15"/>
      <c r="VBD234" s="15"/>
      <c r="VBE234" s="15"/>
      <c r="VBF234" s="15"/>
      <c r="VBG234" s="15"/>
      <c r="VBH234" s="15"/>
      <c r="VBI234" s="15"/>
      <c r="VBJ234" s="15"/>
      <c r="VBK234" s="15"/>
      <c r="VBL234" s="15"/>
      <c r="VBM234" s="10"/>
      <c r="VBN234" s="10"/>
      <c r="VBO234" s="21"/>
      <c r="VBP234" s="21"/>
      <c r="VBS234" s="21"/>
      <c r="VBT234" s="15"/>
      <c r="VBU234" s="15"/>
      <c r="VBV234" s="15"/>
      <c r="VBW234" s="15"/>
      <c r="VBX234" s="15"/>
      <c r="VBY234" s="15"/>
      <c r="VBZ234" s="15"/>
      <c r="VCA234" s="15"/>
      <c r="VCB234" s="15"/>
      <c r="VCC234" s="15"/>
      <c r="VCD234" s="10"/>
      <c r="VCE234" s="10"/>
      <c r="VCF234" s="21"/>
      <c r="VCG234" s="21"/>
      <c r="VCJ234" s="21"/>
      <c r="VCK234" s="15"/>
      <c r="VCL234" s="15"/>
      <c r="VCM234" s="15"/>
      <c r="VCN234" s="15"/>
      <c r="VCO234" s="15"/>
      <c r="VCP234" s="15"/>
      <c r="VCQ234" s="15"/>
      <c r="VCR234" s="15"/>
      <c r="VCS234" s="15"/>
      <c r="VCT234" s="15"/>
      <c r="VCU234" s="10"/>
      <c r="VCV234" s="10"/>
      <c r="VCW234" s="21"/>
      <c r="VCX234" s="21"/>
      <c r="VDA234" s="21"/>
      <c r="VDB234" s="15"/>
      <c r="VDC234" s="15"/>
      <c r="VDD234" s="15"/>
      <c r="VDE234" s="15"/>
      <c r="VDF234" s="15"/>
      <c r="VDG234" s="15"/>
      <c r="VDH234" s="15"/>
      <c r="VDI234" s="15"/>
      <c r="VDJ234" s="15"/>
      <c r="VDK234" s="15"/>
      <c r="VDL234" s="10"/>
      <c r="VDM234" s="10"/>
      <c r="VDN234" s="21"/>
      <c r="VDO234" s="21"/>
      <c r="VDR234" s="21"/>
      <c r="VDS234" s="15"/>
      <c r="VDT234" s="15"/>
      <c r="VDU234" s="15"/>
      <c r="VDV234" s="15"/>
      <c r="VDW234" s="15"/>
      <c r="VDX234" s="15"/>
      <c r="VDY234" s="15"/>
      <c r="VDZ234" s="15"/>
      <c r="VEA234" s="15"/>
      <c r="VEB234" s="15"/>
      <c r="VEC234" s="10"/>
      <c r="VED234" s="10"/>
      <c r="VEE234" s="21"/>
      <c r="VEF234" s="21"/>
      <c r="VEI234" s="21"/>
      <c r="VEJ234" s="15"/>
      <c r="VEK234" s="15"/>
      <c r="VEL234" s="15"/>
      <c r="VEM234" s="15"/>
      <c r="VEN234" s="15"/>
      <c r="VEO234" s="15"/>
      <c r="VEP234" s="15"/>
      <c r="VEQ234" s="15"/>
      <c r="VER234" s="15"/>
      <c r="VES234" s="15"/>
      <c r="VET234" s="10"/>
      <c r="VEU234" s="10"/>
      <c r="VEV234" s="21"/>
      <c r="VEW234" s="21"/>
      <c r="VEZ234" s="21"/>
      <c r="VFA234" s="15"/>
      <c r="VFB234" s="15"/>
      <c r="VFC234" s="15"/>
      <c r="VFD234" s="15"/>
      <c r="VFE234" s="15"/>
      <c r="VFF234" s="15"/>
      <c r="VFG234" s="15"/>
      <c r="VFH234" s="15"/>
      <c r="VFI234" s="15"/>
      <c r="VFJ234" s="15"/>
      <c r="VFK234" s="10"/>
      <c r="VFL234" s="10"/>
      <c r="VFM234" s="21"/>
      <c r="VFN234" s="21"/>
      <c r="VFQ234" s="21"/>
      <c r="VFR234" s="15"/>
      <c r="VFS234" s="15"/>
      <c r="VFT234" s="15"/>
      <c r="VFU234" s="15"/>
      <c r="VFV234" s="15"/>
      <c r="VFW234" s="15"/>
      <c r="VFX234" s="15"/>
      <c r="VFY234" s="15"/>
      <c r="VFZ234" s="15"/>
      <c r="VGA234" s="15"/>
      <c r="VGB234" s="10"/>
      <c r="VGC234" s="10"/>
      <c r="VGD234" s="21"/>
      <c r="VGE234" s="21"/>
      <c r="VGH234" s="21"/>
      <c r="VGI234" s="15"/>
      <c r="VGJ234" s="15"/>
      <c r="VGK234" s="15"/>
      <c r="VGL234" s="15"/>
      <c r="VGM234" s="15"/>
      <c r="VGN234" s="15"/>
      <c r="VGO234" s="15"/>
      <c r="VGP234" s="15"/>
      <c r="VGQ234" s="15"/>
      <c r="VGR234" s="15"/>
      <c r="VGS234" s="10"/>
      <c r="VGT234" s="10"/>
      <c r="VGU234" s="21"/>
      <c r="VGV234" s="21"/>
      <c r="VGY234" s="21"/>
      <c r="VGZ234" s="15"/>
      <c r="VHA234" s="15"/>
      <c r="VHB234" s="15"/>
      <c r="VHC234" s="15"/>
      <c r="VHD234" s="15"/>
      <c r="VHE234" s="15"/>
      <c r="VHF234" s="15"/>
      <c r="VHG234" s="15"/>
      <c r="VHH234" s="15"/>
      <c r="VHI234" s="15"/>
      <c r="VHJ234" s="10"/>
      <c r="VHK234" s="10"/>
      <c r="VHL234" s="21"/>
      <c r="VHM234" s="21"/>
      <c r="VHP234" s="21"/>
      <c r="VHQ234" s="15"/>
      <c r="VHR234" s="15"/>
      <c r="VHS234" s="15"/>
      <c r="VHT234" s="15"/>
      <c r="VHU234" s="15"/>
      <c r="VHV234" s="15"/>
      <c r="VHW234" s="15"/>
      <c r="VHX234" s="15"/>
      <c r="VHY234" s="15"/>
      <c r="VHZ234" s="15"/>
      <c r="VIA234" s="10"/>
      <c r="VIB234" s="10"/>
      <c r="VIC234" s="21"/>
      <c r="VID234" s="21"/>
      <c r="VIG234" s="21"/>
      <c r="VIH234" s="15"/>
      <c r="VII234" s="15"/>
      <c r="VIJ234" s="15"/>
      <c r="VIK234" s="15"/>
      <c r="VIL234" s="15"/>
      <c r="VIM234" s="15"/>
      <c r="VIN234" s="15"/>
      <c r="VIO234" s="15"/>
      <c r="VIP234" s="15"/>
      <c r="VIQ234" s="15"/>
      <c r="VIR234" s="10"/>
      <c r="VIS234" s="10"/>
      <c r="VIT234" s="21"/>
      <c r="VIU234" s="21"/>
      <c r="VIX234" s="21"/>
      <c r="VIY234" s="15"/>
      <c r="VIZ234" s="15"/>
      <c r="VJA234" s="15"/>
      <c r="VJB234" s="15"/>
      <c r="VJC234" s="15"/>
      <c r="VJD234" s="15"/>
      <c r="VJE234" s="15"/>
      <c r="VJF234" s="15"/>
      <c r="VJG234" s="15"/>
      <c r="VJH234" s="15"/>
      <c r="VJI234" s="10"/>
      <c r="VJJ234" s="10"/>
      <c r="VJK234" s="21"/>
      <c r="VJL234" s="21"/>
      <c r="VJO234" s="21"/>
      <c r="VJP234" s="15"/>
      <c r="VJQ234" s="15"/>
      <c r="VJR234" s="15"/>
      <c r="VJS234" s="15"/>
      <c r="VJT234" s="15"/>
      <c r="VJU234" s="15"/>
      <c r="VJV234" s="15"/>
      <c r="VJW234" s="15"/>
      <c r="VJX234" s="15"/>
      <c r="VJY234" s="15"/>
      <c r="VJZ234" s="10"/>
      <c r="VKA234" s="10"/>
      <c r="VKB234" s="21"/>
      <c r="VKC234" s="21"/>
      <c r="VKF234" s="21"/>
      <c r="VKG234" s="15"/>
      <c r="VKH234" s="15"/>
      <c r="VKI234" s="15"/>
      <c r="VKJ234" s="15"/>
      <c r="VKK234" s="15"/>
      <c r="VKL234" s="15"/>
      <c r="VKM234" s="15"/>
      <c r="VKN234" s="15"/>
      <c r="VKO234" s="15"/>
      <c r="VKP234" s="15"/>
      <c r="VKQ234" s="10"/>
      <c r="VKR234" s="10"/>
      <c r="VKS234" s="21"/>
      <c r="VKT234" s="21"/>
      <c r="VKW234" s="21"/>
      <c r="VKX234" s="15"/>
      <c r="VKY234" s="15"/>
      <c r="VKZ234" s="15"/>
      <c r="VLA234" s="15"/>
      <c r="VLB234" s="15"/>
      <c r="VLC234" s="15"/>
      <c r="VLD234" s="15"/>
      <c r="VLE234" s="15"/>
      <c r="VLF234" s="15"/>
      <c r="VLG234" s="15"/>
      <c r="VLH234" s="10"/>
      <c r="VLI234" s="10"/>
      <c r="VLJ234" s="21"/>
      <c r="VLK234" s="21"/>
      <c r="VLN234" s="21"/>
      <c r="VLO234" s="15"/>
      <c r="VLP234" s="15"/>
      <c r="VLQ234" s="15"/>
      <c r="VLR234" s="15"/>
      <c r="VLS234" s="15"/>
      <c r="VLT234" s="15"/>
      <c r="VLU234" s="15"/>
      <c r="VLV234" s="15"/>
      <c r="VLW234" s="15"/>
      <c r="VLX234" s="15"/>
      <c r="VLY234" s="10"/>
      <c r="VLZ234" s="10"/>
      <c r="VMA234" s="21"/>
      <c r="VMB234" s="21"/>
      <c r="VME234" s="21"/>
      <c r="VMF234" s="15"/>
      <c r="VMG234" s="15"/>
      <c r="VMH234" s="15"/>
      <c r="VMI234" s="15"/>
      <c r="VMJ234" s="15"/>
      <c r="VMK234" s="15"/>
      <c r="VML234" s="15"/>
      <c r="VMM234" s="15"/>
      <c r="VMN234" s="15"/>
      <c r="VMO234" s="15"/>
      <c r="VMP234" s="10"/>
      <c r="VMQ234" s="10"/>
      <c r="VMR234" s="21"/>
      <c r="VMS234" s="21"/>
      <c r="VMV234" s="21"/>
      <c r="VMW234" s="15"/>
      <c r="VMX234" s="15"/>
      <c r="VMY234" s="15"/>
      <c r="VMZ234" s="15"/>
      <c r="VNA234" s="15"/>
      <c r="VNB234" s="15"/>
      <c r="VNC234" s="15"/>
      <c r="VND234" s="15"/>
      <c r="VNE234" s="15"/>
      <c r="VNF234" s="15"/>
      <c r="VNG234" s="10"/>
      <c r="VNH234" s="10"/>
      <c r="VNI234" s="21"/>
      <c r="VNJ234" s="21"/>
      <c r="VNM234" s="21"/>
      <c r="VNN234" s="15"/>
      <c r="VNO234" s="15"/>
      <c r="VNP234" s="15"/>
      <c r="VNQ234" s="15"/>
      <c r="VNR234" s="15"/>
      <c r="VNS234" s="15"/>
      <c r="VNT234" s="15"/>
      <c r="VNU234" s="15"/>
      <c r="VNV234" s="15"/>
      <c r="VNW234" s="15"/>
      <c r="VNX234" s="10"/>
      <c r="VNY234" s="10"/>
      <c r="VNZ234" s="21"/>
      <c r="VOA234" s="21"/>
      <c r="VOD234" s="21"/>
      <c r="VOE234" s="15"/>
      <c r="VOF234" s="15"/>
      <c r="VOG234" s="15"/>
      <c r="VOH234" s="15"/>
      <c r="VOI234" s="15"/>
      <c r="VOJ234" s="15"/>
      <c r="VOK234" s="15"/>
      <c r="VOL234" s="15"/>
      <c r="VOM234" s="15"/>
      <c r="VON234" s="15"/>
      <c r="VOO234" s="10"/>
      <c r="VOP234" s="10"/>
      <c r="VOQ234" s="21"/>
      <c r="VOR234" s="21"/>
      <c r="VOU234" s="21"/>
      <c r="VOV234" s="15"/>
      <c r="VOW234" s="15"/>
      <c r="VOX234" s="15"/>
      <c r="VOY234" s="15"/>
      <c r="VOZ234" s="15"/>
      <c r="VPA234" s="15"/>
      <c r="VPB234" s="15"/>
      <c r="VPC234" s="15"/>
      <c r="VPD234" s="15"/>
      <c r="VPE234" s="15"/>
      <c r="VPF234" s="10"/>
      <c r="VPG234" s="10"/>
      <c r="VPH234" s="21"/>
      <c r="VPI234" s="21"/>
      <c r="VPL234" s="21"/>
      <c r="VPM234" s="15"/>
      <c r="VPN234" s="15"/>
      <c r="VPO234" s="15"/>
      <c r="VPP234" s="15"/>
      <c r="VPQ234" s="15"/>
      <c r="VPR234" s="15"/>
      <c r="VPS234" s="15"/>
      <c r="VPT234" s="15"/>
      <c r="VPU234" s="15"/>
      <c r="VPV234" s="15"/>
      <c r="VPW234" s="10"/>
      <c r="VPX234" s="10"/>
      <c r="VPY234" s="21"/>
      <c r="VPZ234" s="21"/>
      <c r="VQC234" s="21"/>
      <c r="VQD234" s="15"/>
      <c r="VQE234" s="15"/>
      <c r="VQF234" s="15"/>
      <c r="VQG234" s="15"/>
      <c r="VQH234" s="15"/>
      <c r="VQI234" s="15"/>
      <c r="VQJ234" s="15"/>
      <c r="VQK234" s="15"/>
      <c r="VQL234" s="15"/>
      <c r="VQM234" s="15"/>
      <c r="VQN234" s="10"/>
      <c r="VQO234" s="10"/>
      <c r="VQP234" s="21"/>
      <c r="VQQ234" s="21"/>
      <c r="VQT234" s="21"/>
      <c r="VQU234" s="15"/>
      <c r="VQV234" s="15"/>
      <c r="VQW234" s="15"/>
      <c r="VQX234" s="15"/>
      <c r="VQY234" s="15"/>
      <c r="VQZ234" s="15"/>
      <c r="VRA234" s="15"/>
      <c r="VRB234" s="15"/>
      <c r="VRC234" s="15"/>
      <c r="VRD234" s="15"/>
      <c r="VRE234" s="10"/>
      <c r="VRF234" s="10"/>
      <c r="VRG234" s="21"/>
      <c r="VRH234" s="21"/>
      <c r="VRK234" s="21"/>
      <c r="VRL234" s="15"/>
      <c r="VRM234" s="15"/>
      <c r="VRN234" s="15"/>
      <c r="VRO234" s="15"/>
      <c r="VRP234" s="15"/>
      <c r="VRQ234" s="15"/>
      <c r="VRR234" s="15"/>
      <c r="VRS234" s="15"/>
      <c r="VRT234" s="15"/>
      <c r="VRU234" s="15"/>
      <c r="VRV234" s="10"/>
      <c r="VRW234" s="10"/>
      <c r="VRX234" s="21"/>
      <c r="VRY234" s="21"/>
      <c r="VSB234" s="21"/>
      <c r="VSC234" s="15"/>
      <c r="VSD234" s="15"/>
      <c r="VSE234" s="15"/>
      <c r="VSF234" s="15"/>
      <c r="VSG234" s="15"/>
      <c r="VSH234" s="15"/>
      <c r="VSI234" s="15"/>
      <c r="VSJ234" s="15"/>
      <c r="VSK234" s="15"/>
      <c r="VSL234" s="15"/>
      <c r="VSM234" s="10"/>
      <c r="VSN234" s="10"/>
      <c r="VSO234" s="21"/>
      <c r="VSP234" s="21"/>
      <c r="VSS234" s="21"/>
      <c r="VST234" s="15"/>
      <c r="VSU234" s="15"/>
      <c r="VSV234" s="15"/>
      <c r="VSW234" s="15"/>
      <c r="VSX234" s="15"/>
      <c r="VSY234" s="15"/>
      <c r="VSZ234" s="15"/>
      <c r="VTA234" s="15"/>
      <c r="VTB234" s="15"/>
      <c r="VTC234" s="15"/>
      <c r="VTD234" s="10"/>
      <c r="VTE234" s="10"/>
      <c r="VTF234" s="21"/>
      <c r="VTG234" s="21"/>
      <c r="VTJ234" s="21"/>
      <c r="VTK234" s="15"/>
      <c r="VTL234" s="15"/>
      <c r="VTM234" s="15"/>
      <c r="VTN234" s="15"/>
      <c r="VTO234" s="15"/>
      <c r="VTP234" s="15"/>
      <c r="VTQ234" s="15"/>
      <c r="VTR234" s="15"/>
      <c r="VTS234" s="15"/>
      <c r="VTT234" s="15"/>
      <c r="VTU234" s="10"/>
      <c r="VTV234" s="10"/>
      <c r="VTW234" s="21"/>
      <c r="VTX234" s="21"/>
      <c r="VUA234" s="21"/>
      <c r="VUB234" s="15"/>
      <c r="VUC234" s="15"/>
      <c r="VUD234" s="15"/>
      <c r="VUE234" s="15"/>
      <c r="VUF234" s="15"/>
      <c r="VUG234" s="15"/>
      <c r="VUH234" s="15"/>
      <c r="VUI234" s="15"/>
      <c r="VUJ234" s="15"/>
      <c r="VUK234" s="15"/>
      <c r="VUL234" s="10"/>
      <c r="VUM234" s="10"/>
      <c r="VUN234" s="21"/>
      <c r="VUO234" s="21"/>
      <c r="VUR234" s="21"/>
      <c r="VUS234" s="15"/>
      <c r="VUT234" s="15"/>
      <c r="VUU234" s="15"/>
      <c r="VUV234" s="15"/>
      <c r="VUW234" s="15"/>
      <c r="VUX234" s="15"/>
      <c r="VUY234" s="15"/>
      <c r="VUZ234" s="15"/>
      <c r="VVA234" s="15"/>
      <c r="VVB234" s="15"/>
      <c r="VVC234" s="10"/>
      <c r="VVD234" s="10"/>
      <c r="VVE234" s="21"/>
      <c r="VVF234" s="21"/>
      <c r="VVI234" s="21"/>
      <c r="VVJ234" s="15"/>
      <c r="VVK234" s="15"/>
      <c r="VVL234" s="15"/>
      <c r="VVM234" s="15"/>
      <c r="VVN234" s="15"/>
      <c r="VVO234" s="15"/>
      <c r="VVP234" s="15"/>
      <c r="VVQ234" s="15"/>
      <c r="VVR234" s="15"/>
      <c r="VVS234" s="15"/>
      <c r="VVT234" s="10"/>
      <c r="VVU234" s="10"/>
      <c r="VVV234" s="21"/>
      <c r="VVW234" s="21"/>
      <c r="VVZ234" s="21"/>
      <c r="VWA234" s="15"/>
      <c r="VWB234" s="15"/>
      <c r="VWC234" s="15"/>
      <c r="VWD234" s="15"/>
      <c r="VWE234" s="15"/>
      <c r="VWF234" s="15"/>
      <c r="VWG234" s="15"/>
      <c r="VWH234" s="15"/>
      <c r="VWI234" s="15"/>
      <c r="VWJ234" s="15"/>
      <c r="VWK234" s="10"/>
      <c r="VWL234" s="10"/>
      <c r="VWM234" s="21"/>
      <c r="VWN234" s="21"/>
      <c r="VWQ234" s="21"/>
      <c r="VWR234" s="15"/>
      <c r="VWS234" s="15"/>
      <c r="VWT234" s="15"/>
      <c r="VWU234" s="15"/>
      <c r="VWV234" s="15"/>
      <c r="VWW234" s="15"/>
      <c r="VWX234" s="15"/>
      <c r="VWY234" s="15"/>
      <c r="VWZ234" s="15"/>
      <c r="VXA234" s="15"/>
      <c r="VXB234" s="10"/>
      <c r="VXC234" s="10"/>
      <c r="VXD234" s="21"/>
      <c r="VXE234" s="21"/>
      <c r="VXH234" s="21"/>
      <c r="VXI234" s="15"/>
      <c r="VXJ234" s="15"/>
      <c r="VXK234" s="15"/>
      <c r="VXL234" s="15"/>
      <c r="VXM234" s="15"/>
      <c r="VXN234" s="15"/>
      <c r="VXO234" s="15"/>
      <c r="VXP234" s="15"/>
      <c r="VXQ234" s="15"/>
      <c r="VXR234" s="15"/>
      <c r="VXS234" s="10"/>
      <c r="VXT234" s="10"/>
      <c r="VXU234" s="21"/>
      <c r="VXV234" s="21"/>
      <c r="VXY234" s="21"/>
      <c r="VXZ234" s="15"/>
      <c r="VYA234" s="15"/>
      <c r="VYB234" s="15"/>
      <c r="VYC234" s="15"/>
      <c r="VYD234" s="15"/>
      <c r="VYE234" s="15"/>
      <c r="VYF234" s="15"/>
      <c r="VYG234" s="15"/>
      <c r="VYH234" s="15"/>
      <c r="VYI234" s="15"/>
      <c r="VYJ234" s="10"/>
      <c r="VYK234" s="10"/>
      <c r="VYL234" s="21"/>
      <c r="VYM234" s="21"/>
      <c r="VYP234" s="21"/>
      <c r="VYQ234" s="15"/>
      <c r="VYR234" s="15"/>
      <c r="VYS234" s="15"/>
      <c r="VYT234" s="15"/>
      <c r="VYU234" s="15"/>
      <c r="VYV234" s="15"/>
      <c r="VYW234" s="15"/>
      <c r="VYX234" s="15"/>
      <c r="VYY234" s="15"/>
      <c r="VYZ234" s="15"/>
      <c r="VZA234" s="10"/>
      <c r="VZB234" s="10"/>
      <c r="VZC234" s="21"/>
      <c r="VZD234" s="21"/>
      <c r="VZG234" s="21"/>
      <c r="VZH234" s="15"/>
      <c r="VZI234" s="15"/>
      <c r="VZJ234" s="15"/>
      <c r="VZK234" s="15"/>
      <c r="VZL234" s="15"/>
      <c r="VZM234" s="15"/>
      <c r="VZN234" s="15"/>
      <c r="VZO234" s="15"/>
      <c r="VZP234" s="15"/>
      <c r="VZQ234" s="15"/>
      <c r="VZR234" s="10"/>
      <c r="VZS234" s="10"/>
      <c r="VZT234" s="21"/>
      <c r="VZU234" s="21"/>
      <c r="VZX234" s="21"/>
      <c r="VZY234" s="15"/>
      <c r="VZZ234" s="15"/>
      <c r="WAA234" s="15"/>
      <c r="WAB234" s="15"/>
      <c r="WAC234" s="15"/>
      <c r="WAD234" s="15"/>
      <c r="WAE234" s="15"/>
      <c r="WAF234" s="15"/>
      <c r="WAG234" s="15"/>
      <c r="WAH234" s="15"/>
      <c r="WAI234" s="10"/>
      <c r="WAJ234" s="10"/>
      <c r="WAK234" s="21"/>
      <c r="WAL234" s="21"/>
      <c r="WAO234" s="21"/>
      <c r="WAP234" s="15"/>
      <c r="WAQ234" s="15"/>
      <c r="WAR234" s="15"/>
      <c r="WAS234" s="15"/>
      <c r="WAT234" s="15"/>
      <c r="WAU234" s="15"/>
      <c r="WAV234" s="15"/>
      <c r="WAW234" s="15"/>
      <c r="WAX234" s="15"/>
      <c r="WAY234" s="15"/>
      <c r="WAZ234" s="10"/>
      <c r="WBA234" s="10"/>
      <c r="WBB234" s="21"/>
      <c r="WBC234" s="21"/>
      <c r="WBF234" s="21"/>
      <c r="WBG234" s="15"/>
      <c r="WBH234" s="15"/>
      <c r="WBI234" s="15"/>
      <c r="WBJ234" s="15"/>
      <c r="WBK234" s="15"/>
      <c r="WBL234" s="15"/>
      <c r="WBM234" s="15"/>
      <c r="WBN234" s="15"/>
      <c r="WBO234" s="15"/>
      <c r="WBP234" s="15"/>
      <c r="WBQ234" s="10"/>
      <c r="WBR234" s="10"/>
      <c r="WBS234" s="21"/>
      <c r="WBT234" s="21"/>
      <c r="WBW234" s="21"/>
      <c r="WBX234" s="15"/>
      <c r="WBY234" s="15"/>
      <c r="WBZ234" s="15"/>
      <c r="WCA234" s="15"/>
      <c r="WCB234" s="15"/>
      <c r="WCC234" s="15"/>
      <c r="WCD234" s="15"/>
      <c r="WCE234" s="15"/>
      <c r="WCF234" s="15"/>
      <c r="WCG234" s="15"/>
      <c r="WCH234" s="10"/>
      <c r="WCI234" s="10"/>
      <c r="WCJ234" s="21"/>
      <c r="WCK234" s="21"/>
      <c r="WCN234" s="21"/>
      <c r="WCO234" s="15"/>
      <c r="WCP234" s="15"/>
      <c r="WCQ234" s="15"/>
      <c r="WCR234" s="15"/>
      <c r="WCS234" s="15"/>
      <c r="WCT234" s="15"/>
      <c r="WCU234" s="15"/>
      <c r="WCV234" s="15"/>
      <c r="WCW234" s="15"/>
      <c r="WCX234" s="15"/>
      <c r="WCY234" s="10"/>
      <c r="WCZ234" s="10"/>
      <c r="WDA234" s="21"/>
      <c r="WDB234" s="21"/>
      <c r="WDE234" s="21"/>
      <c r="WDF234" s="15"/>
      <c r="WDG234" s="15"/>
      <c r="WDH234" s="15"/>
      <c r="WDI234" s="15"/>
      <c r="WDJ234" s="15"/>
      <c r="WDK234" s="15"/>
      <c r="WDL234" s="15"/>
      <c r="WDM234" s="15"/>
      <c r="WDN234" s="15"/>
      <c r="WDO234" s="15"/>
      <c r="WDP234" s="10"/>
      <c r="WDQ234" s="10"/>
      <c r="WDR234" s="21"/>
      <c r="WDS234" s="21"/>
      <c r="WDV234" s="21"/>
      <c r="WDW234" s="15"/>
      <c r="WDX234" s="15"/>
      <c r="WDY234" s="15"/>
      <c r="WDZ234" s="15"/>
      <c r="WEA234" s="15"/>
      <c r="WEB234" s="15"/>
      <c r="WEC234" s="15"/>
      <c r="WED234" s="15"/>
      <c r="WEE234" s="15"/>
      <c r="WEF234" s="15"/>
      <c r="WEG234" s="10"/>
      <c r="WEH234" s="10"/>
      <c r="WEI234" s="21"/>
      <c r="WEJ234" s="21"/>
      <c r="WEM234" s="21"/>
      <c r="WEN234" s="15"/>
      <c r="WEO234" s="15"/>
      <c r="WEP234" s="15"/>
      <c r="WEQ234" s="15"/>
      <c r="WER234" s="15"/>
      <c r="WES234" s="15"/>
      <c r="WET234" s="15"/>
      <c r="WEU234" s="15"/>
      <c r="WEV234" s="15"/>
      <c r="WEW234" s="15"/>
      <c r="WEX234" s="10"/>
      <c r="WEY234" s="10"/>
      <c r="WEZ234" s="21"/>
      <c r="WFA234" s="21"/>
      <c r="WFD234" s="21"/>
      <c r="WFE234" s="15"/>
      <c r="WFF234" s="15"/>
      <c r="WFG234" s="15"/>
      <c r="WFH234" s="15"/>
      <c r="WFI234" s="15"/>
      <c r="WFJ234" s="15"/>
      <c r="WFK234" s="15"/>
      <c r="WFL234" s="15"/>
      <c r="WFM234" s="15"/>
      <c r="WFN234" s="15"/>
      <c r="WFO234" s="10"/>
      <c r="WFP234" s="10"/>
      <c r="WFQ234" s="21"/>
      <c r="WFR234" s="21"/>
      <c r="WFU234" s="21"/>
      <c r="WFV234" s="15"/>
      <c r="WFW234" s="15"/>
      <c r="WFX234" s="15"/>
      <c r="WFY234" s="15"/>
      <c r="WFZ234" s="15"/>
      <c r="WGA234" s="15"/>
      <c r="WGB234" s="15"/>
      <c r="WGC234" s="15"/>
      <c r="WGD234" s="15"/>
      <c r="WGE234" s="15"/>
      <c r="WGF234" s="10"/>
      <c r="WGG234" s="10"/>
      <c r="WGH234" s="21"/>
      <c r="WGI234" s="21"/>
      <c r="WGL234" s="21"/>
      <c r="WGM234" s="15"/>
      <c r="WGN234" s="15"/>
      <c r="WGO234" s="15"/>
      <c r="WGP234" s="15"/>
      <c r="WGQ234" s="15"/>
      <c r="WGR234" s="15"/>
      <c r="WGS234" s="15"/>
      <c r="WGT234" s="15"/>
      <c r="WGU234" s="15"/>
      <c r="WGV234" s="15"/>
      <c r="WGW234" s="10"/>
      <c r="WGX234" s="10"/>
      <c r="WGY234" s="21"/>
      <c r="WGZ234" s="21"/>
      <c r="WHC234" s="21"/>
      <c r="WHD234" s="15"/>
      <c r="WHE234" s="15"/>
      <c r="WHF234" s="15"/>
      <c r="WHG234" s="15"/>
      <c r="WHH234" s="15"/>
      <c r="WHI234" s="15"/>
      <c r="WHJ234" s="15"/>
      <c r="WHK234" s="15"/>
      <c r="WHL234" s="15"/>
      <c r="WHM234" s="15"/>
      <c r="WHN234" s="10"/>
      <c r="WHO234" s="10"/>
      <c r="WHP234" s="21"/>
      <c r="WHQ234" s="21"/>
      <c r="WHT234" s="21"/>
      <c r="WHU234" s="15"/>
      <c r="WHV234" s="15"/>
      <c r="WHW234" s="15"/>
      <c r="WHX234" s="15"/>
      <c r="WHY234" s="15"/>
      <c r="WHZ234" s="15"/>
      <c r="WIA234" s="15"/>
      <c r="WIB234" s="15"/>
      <c r="WIC234" s="15"/>
      <c r="WID234" s="15"/>
      <c r="WIE234" s="10"/>
      <c r="WIF234" s="10"/>
      <c r="WIG234" s="21"/>
      <c r="WIH234" s="21"/>
      <c r="WIK234" s="21"/>
      <c r="WIL234" s="15"/>
      <c r="WIM234" s="15"/>
      <c r="WIN234" s="15"/>
      <c r="WIO234" s="15"/>
      <c r="WIP234" s="15"/>
      <c r="WIQ234" s="15"/>
      <c r="WIR234" s="15"/>
      <c r="WIS234" s="15"/>
      <c r="WIT234" s="15"/>
      <c r="WIU234" s="15"/>
      <c r="WIV234" s="10"/>
      <c r="WIW234" s="10"/>
      <c r="WIX234" s="21"/>
      <c r="WIY234" s="21"/>
      <c r="WJB234" s="21"/>
      <c r="WJC234" s="15"/>
      <c r="WJD234" s="15"/>
      <c r="WJE234" s="15"/>
      <c r="WJF234" s="15"/>
      <c r="WJG234" s="15"/>
      <c r="WJH234" s="15"/>
      <c r="WJI234" s="15"/>
      <c r="WJJ234" s="15"/>
      <c r="WJK234" s="15"/>
      <c r="WJL234" s="15"/>
      <c r="WJM234" s="10"/>
      <c r="WJN234" s="10"/>
      <c r="WJO234" s="21"/>
      <c r="WJP234" s="21"/>
      <c r="WJS234" s="21"/>
      <c r="WJT234" s="15"/>
      <c r="WJU234" s="15"/>
      <c r="WJV234" s="15"/>
      <c r="WJW234" s="15"/>
      <c r="WJX234" s="15"/>
      <c r="WJY234" s="15"/>
      <c r="WJZ234" s="15"/>
      <c r="WKA234" s="15"/>
      <c r="WKB234" s="15"/>
      <c r="WKC234" s="15"/>
      <c r="WKD234" s="10"/>
      <c r="WKE234" s="10"/>
      <c r="WKF234" s="21"/>
      <c r="WKG234" s="21"/>
      <c r="WKJ234" s="21"/>
      <c r="WKK234" s="15"/>
      <c r="WKL234" s="15"/>
      <c r="WKM234" s="15"/>
      <c r="WKN234" s="15"/>
      <c r="WKO234" s="15"/>
      <c r="WKP234" s="15"/>
      <c r="WKQ234" s="15"/>
      <c r="WKR234" s="15"/>
      <c r="WKS234" s="15"/>
      <c r="WKT234" s="15"/>
      <c r="WKU234" s="10"/>
      <c r="WKV234" s="10"/>
      <c r="WKW234" s="21"/>
      <c r="WKX234" s="21"/>
      <c r="WLA234" s="21"/>
      <c r="WLB234" s="15"/>
      <c r="WLC234" s="15"/>
      <c r="WLD234" s="15"/>
      <c r="WLE234" s="15"/>
      <c r="WLF234" s="15"/>
      <c r="WLG234" s="15"/>
      <c r="WLH234" s="15"/>
      <c r="WLI234" s="15"/>
      <c r="WLJ234" s="15"/>
      <c r="WLK234" s="15"/>
      <c r="WLL234" s="10"/>
      <c r="WLM234" s="10"/>
      <c r="WLN234" s="21"/>
      <c r="WLO234" s="21"/>
      <c r="WLR234" s="21"/>
      <c r="WLS234" s="15"/>
      <c r="WLT234" s="15"/>
      <c r="WLU234" s="15"/>
      <c r="WLV234" s="15"/>
      <c r="WLW234" s="15"/>
      <c r="WLX234" s="15"/>
      <c r="WLY234" s="15"/>
      <c r="WLZ234" s="15"/>
      <c r="WMA234" s="15"/>
      <c r="WMB234" s="15"/>
      <c r="WMC234" s="10"/>
      <c r="WMD234" s="10"/>
      <c r="WME234" s="21"/>
      <c r="WMF234" s="21"/>
      <c r="WMI234" s="21"/>
      <c r="WMJ234" s="15"/>
      <c r="WMK234" s="15"/>
      <c r="WML234" s="15"/>
      <c r="WMM234" s="15"/>
      <c r="WMN234" s="15"/>
      <c r="WMO234" s="15"/>
      <c r="WMP234" s="15"/>
      <c r="WMQ234" s="15"/>
      <c r="WMR234" s="15"/>
      <c r="WMS234" s="15"/>
      <c r="WMT234" s="10"/>
      <c r="WMU234" s="10"/>
      <c r="WMV234" s="21"/>
      <c r="WMW234" s="21"/>
      <c r="WMZ234" s="21"/>
      <c r="WNA234" s="15"/>
      <c r="WNB234" s="15"/>
      <c r="WNC234" s="15"/>
      <c r="WND234" s="15"/>
      <c r="WNE234" s="15"/>
      <c r="WNF234" s="15"/>
      <c r="WNG234" s="15"/>
      <c r="WNH234" s="15"/>
      <c r="WNI234" s="15"/>
      <c r="WNJ234" s="15"/>
      <c r="WNK234" s="10"/>
      <c r="WNL234" s="10"/>
      <c r="WNM234" s="21"/>
      <c r="WNN234" s="21"/>
      <c r="WNQ234" s="21"/>
      <c r="WNR234" s="15"/>
      <c r="WNS234" s="15"/>
      <c r="WNT234" s="15"/>
      <c r="WNU234" s="15"/>
      <c r="WNV234" s="15"/>
      <c r="WNW234" s="15"/>
      <c r="WNX234" s="15"/>
      <c r="WNY234" s="15"/>
      <c r="WNZ234" s="15"/>
      <c r="WOA234" s="15"/>
      <c r="WOB234" s="10"/>
      <c r="WOC234" s="10"/>
      <c r="WOD234" s="21"/>
      <c r="WOE234" s="21"/>
      <c r="WOH234" s="21"/>
      <c r="WOI234" s="15"/>
      <c r="WOJ234" s="15"/>
      <c r="WOK234" s="15"/>
      <c r="WOL234" s="15"/>
      <c r="WOM234" s="15"/>
      <c r="WON234" s="15"/>
      <c r="WOO234" s="15"/>
      <c r="WOP234" s="15"/>
      <c r="WOQ234" s="15"/>
      <c r="WOR234" s="15"/>
      <c r="WOS234" s="10"/>
      <c r="WOT234" s="10"/>
      <c r="WOU234" s="21"/>
      <c r="WOV234" s="21"/>
      <c r="WOY234" s="21"/>
      <c r="WOZ234" s="15"/>
      <c r="WPA234" s="15"/>
      <c r="WPB234" s="15"/>
      <c r="WPC234" s="15"/>
      <c r="WPD234" s="15"/>
      <c r="WPE234" s="15"/>
      <c r="WPF234" s="15"/>
      <c r="WPG234" s="15"/>
      <c r="WPH234" s="15"/>
      <c r="WPI234" s="15"/>
      <c r="WPJ234" s="10"/>
      <c r="WPK234" s="10"/>
      <c r="WPL234" s="21"/>
      <c r="WPM234" s="21"/>
      <c r="WPP234" s="21"/>
      <c r="WPQ234" s="15"/>
      <c r="WPR234" s="15"/>
      <c r="WPS234" s="15"/>
      <c r="WPT234" s="15"/>
      <c r="WPU234" s="15"/>
      <c r="WPV234" s="15"/>
      <c r="WPW234" s="15"/>
      <c r="WPX234" s="15"/>
      <c r="WPY234" s="15"/>
      <c r="WPZ234" s="15"/>
      <c r="WQA234" s="10"/>
      <c r="WQB234" s="10"/>
      <c r="WQC234" s="21"/>
      <c r="WQD234" s="21"/>
      <c r="WQG234" s="21"/>
      <c r="WQH234" s="15"/>
      <c r="WQI234" s="15"/>
      <c r="WQJ234" s="15"/>
      <c r="WQK234" s="15"/>
      <c r="WQL234" s="15"/>
      <c r="WQM234" s="15"/>
      <c r="WQN234" s="15"/>
      <c r="WQO234" s="15"/>
      <c r="WQP234" s="15"/>
      <c r="WQQ234" s="15"/>
      <c r="WQR234" s="10"/>
      <c r="WQS234" s="10"/>
      <c r="WQT234" s="21"/>
      <c r="WQU234" s="21"/>
      <c r="WQX234" s="21"/>
      <c r="WQY234" s="15"/>
      <c r="WQZ234" s="15"/>
      <c r="WRA234" s="15"/>
      <c r="WRB234" s="15"/>
      <c r="WRC234" s="15"/>
      <c r="WRD234" s="15"/>
      <c r="WRE234" s="15"/>
      <c r="WRF234" s="15"/>
      <c r="WRG234" s="15"/>
      <c r="WRH234" s="15"/>
      <c r="WRI234" s="10"/>
      <c r="WRJ234" s="10"/>
      <c r="WRK234" s="21"/>
      <c r="WRL234" s="21"/>
      <c r="WRO234" s="21"/>
      <c r="WRP234" s="15"/>
      <c r="WRQ234" s="15"/>
      <c r="WRR234" s="15"/>
      <c r="WRS234" s="15"/>
      <c r="WRT234" s="15"/>
      <c r="WRU234" s="15"/>
      <c r="WRV234" s="15"/>
      <c r="WRW234" s="15"/>
      <c r="WRX234" s="15"/>
      <c r="WRY234" s="15"/>
      <c r="WRZ234" s="10"/>
      <c r="WSA234" s="10"/>
      <c r="WSB234" s="21"/>
      <c r="WSC234" s="21"/>
      <c r="WSF234" s="21"/>
      <c r="WSG234" s="15"/>
      <c r="WSH234" s="15"/>
      <c r="WSI234" s="15"/>
      <c r="WSJ234" s="15"/>
      <c r="WSK234" s="15"/>
      <c r="WSL234" s="15"/>
      <c r="WSM234" s="15"/>
      <c r="WSN234" s="15"/>
      <c r="WSO234" s="15"/>
      <c r="WSP234" s="15"/>
      <c r="WSQ234" s="10"/>
      <c r="WSR234" s="10"/>
      <c r="WSS234" s="21"/>
      <c r="WST234" s="21"/>
      <c r="WSW234" s="21"/>
      <c r="WSX234" s="15"/>
      <c r="WSY234" s="15"/>
      <c r="WSZ234" s="15"/>
      <c r="WTA234" s="15"/>
      <c r="WTB234" s="15"/>
      <c r="WTC234" s="15"/>
      <c r="WTD234" s="15"/>
      <c r="WTE234" s="15"/>
      <c r="WTF234" s="15"/>
      <c r="WTG234" s="15"/>
      <c r="WTH234" s="10"/>
      <c r="WTI234" s="10"/>
      <c r="WTJ234" s="21"/>
      <c r="WTK234" s="21"/>
      <c r="WTN234" s="21"/>
      <c r="WTO234" s="15"/>
      <c r="WTP234" s="15"/>
      <c r="WTQ234" s="15"/>
      <c r="WTR234" s="15"/>
      <c r="WTS234" s="15"/>
      <c r="WTT234" s="15"/>
      <c r="WTU234" s="15"/>
      <c r="WTV234" s="15"/>
      <c r="WTW234" s="15"/>
      <c r="WTX234" s="15"/>
      <c r="WTY234" s="10"/>
      <c r="WTZ234" s="10"/>
      <c r="WUA234" s="21"/>
      <c r="WUB234" s="21"/>
      <c r="WUE234" s="21"/>
      <c r="WUF234" s="15"/>
      <c r="WUG234" s="15"/>
      <c r="WUH234" s="15"/>
      <c r="WUI234" s="15"/>
      <c r="WUJ234" s="15"/>
      <c r="WUK234" s="15"/>
      <c r="WUL234" s="15"/>
      <c r="WUM234" s="15"/>
      <c r="WUN234" s="15"/>
      <c r="WUO234" s="15"/>
      <c r="WUP234" s="10"/>
      <c r="WUQ234" s="10"/>
      <c r="WUR234" s="21"/>
      <c r="WUS234" s="21"/>
      <c r="WUV234" s="21"/>
      <c r="WUW234" s="15"/>
      <c r="WUX234" s="15"/>
      <c r="WUY234" s="15"/>
      <c r="WUZ234" s="15"/>
      <c r="WVA234" s="15"/>
      <c r="WVB234" s="15"/>
      <c r="WVC234" s="15"/>
      <c r="WVD234" s="15"/>
      <c r="WVE234" s="15"/>
      <c r="WVF234" s="15"/>
      <c r="WVG234" s="10"/>
      <c r="WVH234" s="10"/>
      <c r="WVI234" s="21"/>
      <c r="WVJ234" s="21"/>
      <c r="WVM234" s="21"/>
      <c r="WVN234" s="15"/>
      <c r="WVO234" s="15"/>
      <c r="WVP234" s="15"/>
      <c r="WVQ234" s="15"/>
      <c r="WVR234" s="15"/>
      <c r="WVS234" s="15"/>
      <c r="WVT234" s="15"/>
      <c r="WVU234" s="15"/>
      <c r="WVV234" s="15"/>
      <c r="WVW234" s="15"/>
      <c r="WVX234" s="10"/>
      <c r="WVY234" s="10"/>
      <c r="WVZ234" s="21"/>
      <c r="WWA234" s="21"/>
      <c r="WWD234" s="21"/>
      <c r="WWE234" s="15"/>
      <c r="WWF234" s="15"/>
      <c r="WWG234" s="15"/>
      <c r="WWH234" s="15"/>
      <c r="WWI234" s="15"/>
      <c r="WWJ234" s="15"/>
      <c r="WWK234" s="15"/>
      <c r="WWL234" s="15"/>
      <c r="WWM234" s="15"/>
      <c r="WWN234" s="15"/>
      <c r="WWO234" s="10"/>
      <c r="WWP234" s="10"/>
      <c r="WWQ234" s="21"/>
      <c r="WWR234" s="21"/>
      <c r="WWU234" s="21"/>
      <c r="WWV234" s="15"/>
      <c r="WWW234" s="15"/>
      <c r="WWX234" s="15"/>
      <c r="WWY234" s="15"/>
      <c r="WWZ234" s="15"/>
      <c r="WXA234" s="15"/>
      <c r="WXB234" s="15"/>
      <c r="WXC234" s="15"/>
      <c r="WXD234" s="15"/>
      <c r="WXE234" s="15"/>
      <c r="WXF234" s="10"/>
      <c r="WXG234" s="10"/>
      <c r="WXH234" s="21"/>
      <c r="WXI234" s="21"/>
      <c r="WXL234" s="21"/>
      <c r="WXM234" s="15"/>
      <c r="WXN234" s="15"/>
      <c r="WXO234" s="15"/>
      <c r="WXP234" s="15"/>
      <c r="WXQ234" s="15"/>
      <c r="WXR234" s="15"/>
      <c r="WXS234" s="15"/>
      <c r="WXT234" s="15"/>
      <c r="WXU234" s="15"/>
      <c r="WXV234" s="15"/>
      <c r="WXW234" s="10"/>
      <c r="WXX234" s="10"/>
      <c r="WXY234" s="21"/>
      <c r="WXZ234" s="21"/>
      <c r="WYC234" s="21"/>
      <c r="WYD234" s="15"/>
      <c r="WYE234" s="15"/>
      <c r="WYF234" s="15"/>
      <c r="WYG234" s="15"/>
      <c r="WYH234" s="15"/>
      <c r="WYI234" s="15"/>
      <c r="WYJ234" s="15"/>
      <c r="WYK234" s="15"/>
      <c r="WYL234" s="15"/>
      <c r="WYM234" s="15"/>
      <c r="WYN234" s="10"/>
      <c r="WYO234" s="10"/>
      <c r="WYP234" s="21"/>
      <c r="WYQ234" s="21"/>
      <c r="WYT234" s="21"/>
      <c r="WYU234" s="15"/>
      <c r="WYV234" s="15"/>
      <c r="WYW234" s="15"/>
      <c r="WYX234" s="15"/>
      <c r="WYY234" s="15"/>
      <c r="WYZ234" s="15"/>
      <c r="WZA234" s="15"/>
      <c r="WZB234" s="15"/>
      <c r="WZC234" s="15"/>
      <c r="WZD234" s="15"/>
      <c r="WZE234" s="10"/>
      <c r="WZF234" s="10"/>
      <c r="WZG234" s="21"/>
      <c r="WZH234" s="21"/>
      <c r="WZK234" s="21"/>
      <c r="WZL234" s="15"/>
      <c r="WZM234" s="15"/>
      <c r="WZN234" s="15"/>
      <c r="WZO234" s="15"/>
      <c r="WZP234" s="15"/>
      <c r="WZQ234" s="15"/>
      <c r="WZR234" s="15"/>
      <c r="WZS234" s="15"/>
      <c r="WZT234" s="15"/>
      <c r="WZU234" s="15"/>
      <c r="WZV234" s="10"/>
      <c r="WZW234" s="10"/>
      <c r="WZX234" s="21"/>
      <c r="WZY234" s="21"/>
      <c r="XAB234" s="21"/>
      <c r="XAC234" s="15"/>
      <c r="XAD234" s="15"/>
      <c r="XAE234" s="15"/>
      <c r="XAF234" s="15"/>
      <c r="XAG234" s="15"/>
      <c r="XAH234" s="15"/>
      <c r="XAI234" s="15"/>
      <c r="XAJ234" s="15"/>
      <c r="XAK234" s="15"/>
      <c r="XAL234" s="15"/>
      <c r="XAM234" s="10"/>
      <c r="XAN234" s="10"/>
      <c r="XAO234" s="21"/>
      <c r="XAP234" s="21"/>
      <c r="XAS234" s="21"/>
      <c r="XAT234" s="15"/>
      <c r="XAU234" s="15"/>
      <c r="XAV234" s="15"/>
      <c r="XAW234" s="15"/>
      <c r="XAX234" s="15"/>
      <c r="XAY234" s="15"/>
      <c r="XAZ234" s="15"/>
      <c r="XBA234" s="15"/>
      <c r="XBB234" s="15"/>
      <c r="XBC234" s="15"/>
      <c r="XBD234" s="10"/>
      <c r="XBE234" s="10"/>
      <c r="XBF234" s="21"/>
      <c r="XBG234" s="21"/>
      <c r="XBJ234" s="21"/>
      <c r="XBK234" s="15"/>
      <c r="XBL234" s="15"/>
      <c r="XBM234" s="15"/>
      <c r="XBN234" s="15"/>
      <c r="XBO234" s="15"/>
      <c r="XBP234" s="15"/>
      <c r="XBQ234" s="15"/>
      <c r="XBR234" s="15"/>
      <c r="XBS234" s="15"/>
      <c r="XBT234" s="15"/>
      <c r="XBU234" s="10"/>
      <c r="XBV234" s="10"/>
      <c r="XBW234" s="21"/>
      <c r="XBX234" s="21"/>
      <c r="XCA234" s="21"/>
      <c r="XCB234" s="15"/>
      <c r="XCC234" s="15"/>
      <c r="XCD234" s="15"/>
      <c r="XCE234" s="15"/>
      <c r="XCF234" s="15"/>
      <c r="XCG234" s="15"/>
      <c r="XCH234" s="15"/>
      <c r="XCI234" s="15"/>
      <c r="XCJ234" s="15"/>
      <c r="XCK234" s="15"/>
      <c r="XCL234" s="10"/>
      <c r="XCM234" s="10"/>
      <c r="XCN234" s="21"/>
      <c r="XCO234" s="21"/>
      <c r="XCR234" s="21"/>
      <c r="XCS234" s="15"/>
      <c r="XCT234" s="15"/>
      <c r="XCU234" s="15"/>
      <c r="XCV234" s="15"/>
      <c r="XCW234" s="15"/>
      <c r="XCX234" s="15"/>
      <c r="XCY234" s="15"/>
      <c r="XCZ234" s="15"/>
      <c r="XDA234" s="15"/>
      <c r="XDB234" s="15"/>
      <c r="XDC234" s="10"/>
      <c r="XDD234" s="10"/>
      <c r="XDE234" s="21"/>
      <c r="XDF234" s="21"/>
      <c r="XDI234" s="21"/>
      <c r="XDJ234" s="15"/>
      <c r="XDK234" s="15"/>
      <c r="XDL234" s="15"/>
      <c r="XDM234" s="15"/>
      <c r="XDN234" s="15"/>
      <c r="XDO234" s="15"/>
      <c r="XDP234" s="15"/>
      <c r="XDQ234" s="15"/>
      <c r="XDR234" s="15"/>
      <c r="XDS234" s="15"/>
      <c r="XDT234" s="10"/>
      <c r="XDU234" s="10"/>
      <c r="XDV234" s="21"/>
      <c r="XDW234" s="21"/>
      <c r="XDZ234" s="21"/>
      <c r="XEA234" s="15"/>
      <c r="XEB234" s="15"/>
      <c r="XEC234" s="15"/>
      <c r="XED234" s="15"/>
      <c r="XEE234" s="15"/>
      <c r="XEF234" s="15"/>
      <c r="XEG234" s="15"/>
      <c r="XEH234" s="15"/>
      <c r="XEI234" s="15"/>
      <c r="XEJ234" s="15"/>
      <c r="XEK234" s="10"/>
      <c r="XEL234" s="10"/>
      <c r="XEM234" s="21"/>
      <c r="XEN234" s="21"/>
      <c r="XEQ234" s="21"/>
      <c r="XER234" s="15"/>
      <c r="XES234" s="15"/>
      <c r="XET234" s="15"/>
      <c r="XEU234" s="15"/>
      <c r="XEV234" s="15"/>
      <c r="XEW234" s="15"/>
      <c r="XEX234" s="15"/>
      <c r="XEY234" s="15"/>
      <c r="XEZ234" s="15"/>
      <c r="XFA234" s="15"/>
      <c r="XFB234" s="10"/>
      <c r="XFC234" s="10"/>
      <c r="XFD234" s="21"/>
    </row>
    <row r="235" spans="1:4094 4097:8191 8194:12288 1229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965</v>
      </c>
      <c r="E235" s="32" t="s">
        <v>164</v>
      </c>
      <c r="F235" s="32" t="s">
        <v>963</v>
      </c>
      <c r="G235" s="32" t="s">
        <v>1092</v>
      </c>
      <c r="H235" s="32" t="s">
        <v>352</v>
      </c>
      <c r="I235" s="31" t="s">
        <v>964</v>
      </c>
      <c r="J235" s="31">
        <v>1</v>
      </c>
      <c r="K235" s="33" t="s">
        <v>943</v>
      </c>
      <c r="L235" s="33" t="s">
        <v>685</v>
      </c>
      <c r="M235" s="34" t="s">
        <v>1386</v>
      </c>
      <c r="N235" s="34" t="s">
        <v>1732</v>
      </c>
      <c r="O235" s="35">
        <v>1</v>
      </c>
      <c r="P235" s="35"/>
      <c r="Q235" s="32"/>
      <c r="S235" s="1">
        <f t="shared" si="71"/>
        <v>1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0</v>
      </c>
      <c r="AE235" s="1">
        <f t="shared" si="82"/>
        <v>1</v>
      </c>
      <c r="AF235" s="1">
        <f t="shared" si="67"/>
        <v>0</v>
      </c>
      <c r="AG235" s="1">
        <f t="shared" si="68"/>
        <v>1</v>
      </c>
      <c r="AH235" s="1">
        <f t="shared" si="69"/>
        <v>0</v>
      </c>
      <c r="AI235" s="1">
        <f t="shared" si="70"/>
        <v>1</v>
      </c>
    </row>
    <row r="236" spans="1:4094 4097:8191 8194:12288 12291:16384" s="1" customFormat="1" ht="13.9" customHeight="1" x14ac:dyDescent="0.25">
      <c r="A236" s="31">
        <v>0</v>
      </c>
      <c r="B236" s="31">
        <v>1</v>
      </c>
      <c r="C236" s="31">
        <v>6</v>
      </c>
      <c r="D236" s="32" t="s">
        <v>517</v>
      </c>
      <c r="E236" s="32" t="s">
        <v>166</v>
      </c>
      <c r="F236" s="32" t="s">
        <v>518</v>
      </c>
      <c r="G236" s="32" t="s">
        <v>519</v>
      </c>
      <c r="H236" s="32" t="s">
        <v>352</v>
      </c>
      <c r="I236" s="31" t="s">
        <v>520</v>
      </c>
      <c r="J236" s="31">
        <v>99</v>
      </c>
      <c r="K236" s="33" t="s">
        <v>698</v>
      </c>
      <c r="L236" s="33">
        <v>40</v>
      </c>
      <c r="M236" s="34" t="s">
        <v>959</v>
      </c>
      <c r="N236" s="34" t="s">
        <v>1833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67"/>
        <v>0</v>
      </c>
      <c r="AG236" s="1">
        <f t="shared" si="68"/>
        <v>1</v>
      </c>
      <c r="AH236" s="1">
        <f t="shared" si="69"/>
        <v>0</v>
      </c>
      <c r="AI236" s="1">
        <f t="shared" si="70"/>
        <v>1</v>
      </c>
    </row>
    <row r="237" spans="1:4094 4097:8191 8194:12288 12291:16384" s="1" customFormat="1" ht="14.25" customHeight="1" x14ac:dyDescent="0.25">
      <c r="A237" s="38">
        <v>0</v>
      </c>
      <c r="B237" s="38">
        <v>1</v>
      </c>
      <c r="C237" s="38">
        <v>6</v>
      </c>
      <c r="D237" s="39" t="s">
        <v>1821</v>
      </c>
      <c r="E237" s="39" t="s">
        <v>1822</v>
      </c>
      <c r="F237" s="39" t="s">
        <v>1823</v>
      </c>
      <c r="G237" s="39"/>
      <c r="H237" s="39" t="s">
        <v>352</v>
      </c>
      <c r="I237" s="38" t="s">
        <v>1824</v>
      </c>
      <c r="J237" s="38"/>
      <c r="K237" s="40" t="s">
        <v>699</v>
      </c>
      <c r="L237" s="40"/>
      <c r="M237" s="41"/>
      <c r="N237" s="42"/>
      <c r="O237" s="43"/>
      <c r="P237" s="43">
        <v>1</v>
      </c>
      <c r="Q237" s="39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0</v>
      </c>
      <c r="AE237" s="1">
        <f t="shared" si="82"/>
        <v>0</v>
      </c>
      <c r="AF237" s="1">
        <f t="shared" si="67"/>
        <v>0</v>
      </c>
      <c r="AG237" s="1">
        <f t="shared" si="68"/>
        <v>0</v>
      </c>
      <c r="AH237" s="1">
        <f t="shared" si="69"/>
        <v>1</v>
      </c>
      <c r="AI237" s="1">
        <f t="shared" si="70"/>
        <v>0</v>
      </c>
    </row>
    <row r="238" spans="1:4094 4097:8191 8194:12288 12291:16384" s="1" customFormat="1" ht="13.9" customHeight="1" x14ac:dyDescent="0.25">
      <c r="A238" s="31">
        <v>0</v>
      </c>
      <c r="B238" s="31">
        <v>1</v>
      </c>
      <c r="C238" s="31">
        <v>6</v>
      </c>
      <c r="D238" s="32" t="s">
        <v>2074</v>
      </c>
      <c r="E238" s="32" t="s">
        <v>166</v>
      </c>
      <c r="F238" s="32" t="s">
        <v>2075</v>
      </c>
      <c r="G238" s="32"/>
      <c r="H238" s="32" t="s">
        <v>352</v>
      </c>
      <c r="I238" s="31" t="s">
        <v>2076</v>
      </c>
      <c r="J238" s="31"/>
      <c r="K238" s="33" t="s">
        <v>699</v>
      </c>
      <c r="L238" s="33"/>
      <c r="M238" s="34"/>
      <c r="N238" s="34" t="s">
        <v>1732</v>
      </c>
      <c r="O238" s="35">
        <v>1</v>
      </c>
      <c r="P238" s="35"/>
      <c r="Q238" s="32" t="s">
        <v>2077</v>
      </c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0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67"/>
        <v>0</v>
      </c>
      <c r="AG238" s="1">
        <f t="shared" si="68"/>
        <v>1</v>
      </c>
      <c r="AH238" s="1">
        <f t="shared" si="69"/>
        <v>0</v>
      </c>
      <c r="AI238" s="1">
        <f t="shared" si="70"/>
        <v>1</v>
      </c>
    </row>
    <row r="239" spans="1:4094 4097:8191 8194:12288 12291:16384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1464</v>
      </c>
      <c r="E239" s="32" t="s">
        <v>166</v>
      </c>
      <c r="F239" s="32" t="s">
        <v>1466</v>
      </c>
      <c r="G239" s="32" t="s">
        <v>1467</v>
      </c>
      <c r="H239" s="32" t="s">
        <v>352</v>
      </c>
      <c r="I239" s="31" t="s">
        <v>1465</v>
      </c>
      <c r="J239" s="31">
        <v>99</v>
      </c>
      <c r="K239" s="33" t="s">
        <v>699</v>
      </c>
      <c r="L239" s="33">
        <v>62</v>
      </c>
      <c r="M239" s="34"/>
      <c r="N239" s="34" t="s">
        <v>1733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0</v>
      </c>
      <c r="AD239" s="1">
        <f t="shared" si="81"/>
        <v>0</v>
      </c>
      <c r="AE239" s="1">
        <f t="shared" si="82"/>
        <v>1</v>
      </c>
      <c r="AF239" s="1">
        <f t="shared" si="67"/>
        <v>0</v>
      </c>
      <c r="AG239" s="1">
        <f t="shared" si="68"/>
        <v>1</v>
      </c>
      <c r="AH239" s="1">
        <f t="shared" si="69"/>
        <v>0</v>
      </c>
      <c r="AI239" s="1">
        <f t="shared" si="70"/>
        <v>1</v>
      </c>
    </row>
    <row r="240" spans="1:4094 4097:8191 8194:12288 1229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1180</v>
      </c>
      <c r="E240" s="32" t="s">
        <v>164</v>
      </c>
      <c r="F240" s="32" t="s">
        <v>1654</v>
      </c>
      <c r="G240" s="32" t="s">
        <v>212</v>
      </c>
      <c r="H240" s="32" t="s">
        <v>352</v>
      </c>
      <c r="I240" s="31" t="s">
        <v>1181</v>
      </c>
      <c r="J240" s="31">
        <v>1</v>
      </c>
      <c r="K240" s="33" t="s">
        <v>949</v>
      </c>
      <c r="L240" s="33" t="s">
        <v>683</v>
      </c>
      <c r="M240" s="34" t="s">
        <v>1556</v>
      </c>
      <c r="N240" s="34" t="s">
        <v>1739</v>
      </c>
      <c r="O240" s="35">
        <v>1</v>
      </c>
      <c r="P240" s="35"/>
      <c r="Q240" s="32"/>
      <c r="S240" s="1">
        <f t="shared" si="71"/>
        <v>1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0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67"/>
        <v>0</v>
      </c>
      <c r="AG240" s="1">
        <f t="shared" si="68"/>
        <v>1</v>
      </c>
      <c r="AH240" s="1">
        <f t="shared" si="69"/>
        <v>0</v>
      </c>
      <c r="AI240" s="1">
        <f t="shared" si="70"/>
        <v>1</v>
      </c>
    </row>
    <row r="241" spans="1:35" s="1" customFormat="1" ht="14.25" customHeight="1" x14ac:dyDescent="0.25">
      <c r="A241" s="44">
        <v>0</v>
      </c>
      <c r="B241" s="44">
        <v>1</v>
      </c>
      <c r="C241" s="44">
        <v>6</v>
      </c>
      <c r="D241" s="45" t="s">
        <v>2053</v>
      </c>
      <c r="E241" s="45" t="s">
        <v>2054</v>
      </c>
      <c r="F241" s="45" t="s">
        <v>2055</v>
      </c>
      <c r="G241" s="45" t="s">
        <v>207</v>
      </c>
      <c r="H241" s="45" t="s">
        <v>352</v>
      </c>
      <c r="I241" s="44" t="s">
        <v>2056</v>
      </c>
      <c r="J241" s="44">
        <v>3</v>
      </c>
      <c r="K241" s="46" t="s">
        <v>699</v>
      </c>
      <c r="L241" s="46">
        <v>30</v>
      </c>
      <c r="M241" s="47" t="s">
        <v>2057</v>
      </c>
      <c r="N241" s="47" t="s">
        <v>1793</v>
      </c>
      <c r="O241" s="48"/>
      <c r="P241" s="48"/>
      <c r="Q241" s="45"/>
      <c r="S241" s="1">
        <f t="shared" si="71"/>
        <v>0</v>
      </c>
      <c r="T241" s="1">
        <f t="shared" si="72"/>
        <v>0</v>
      </c>
      <c r="U241" s="1">
        <f t="shared" si="73"/>
        <v>1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0</v>
      </c>
      <c r="AD241" s="1">
        <f t="shared" si="81"/>
        <v>0</v>
      </c>
      <c r="AE241" s="1">
        <f t="shared" si="82"/>
        <v>0</v>
      </c>
      <c r="AF241" s="1">
        <f t="shared" si="67"/>
        <v>0</v>
      </c>
      <c r="AG241" s="1">
        <f t="shared" si="68"/>
        <v>0</v>
      </c>
      <c r="AH241" s="1">
        <f t="shared" si="69"/>
        <v>0</v>
      </c>
      <c r="AI241" s="1">
        <f t="shared" si="70"/>
        <v>1</v>
      </c>
    </row>
    <row r="242" spans="1:35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97</v>
      </c>
      <c r="E242" s="32" t="s">
        <v>166</v>
      </c>
      <c r="F242" s="32" t="s">
        <v>294</v>
      </c>
      <c r="G242" s="32" t="s">
        <v>283</v>
      </c>
      <c r="H242" s="32" t="s">
        <v>352</v>
      </c>
      <c r="I242" s="31" t="s">
        <v>1105</v>
      </c>
      <c r="J242" s="31">
        <v>10</v>
      </c>
      <c r="K242" s="33" t="s">
        <v>943</v>
      </c>
      <c r="L242" s="33" t="s">
        <v>690</v>
      </c>
      <c r="M242" s="34" t="s">
        <v>701</v>
      </c>
      <c r="N242" s="34" t="s">
        <v>1733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1</v>
      </c>
      <c r="AD242" s="1">
        <f t="shared" si="81"/>
        <v>0</v>
      </c>
      <c r="AE242" s="1">
        <f t="shared" si="82"/>
        <v>1</v>
      </c>
      <c r="AF242" s="1">
        <f t="shared" si="67"/>
        <v>0</v>
      </c>
      <c r="AG242" s="1">
        <f t="shared" si="68"/>
        <v>1</v>
      </c>
      <c r="AH242" s="1">
        <f t="shared" si="69"/>
        <v>0</v>
      </c>
      <c r="AI242" s="1">
        <f t="shared" si="70"/>
        <v>1</v>
      </c>
    </row>
    <row r="243" spans="1:35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599</v>
      </c>
      <c r="E243" s="32" t="s">
        <v>164</v>
      </c>
      <c r="F243" s="32" t="s">
        <v>601</v>
      </c>
      <c r="G243" s="32" t="s">
        <v>39</v>
      </c>
      <c r="H243" s="32" t="s">
        <v>352</v>
      </c>
      <c r="I243" s="31" t="s">
        <v>600</v>
      </c>
      <c r="J243" s="31">
        <v>99</v>
      </c>
      <c r="K243" s="33" t="s">
        <v>943</v>
      </c>
      <c r="L243" s="33" t="s">
        <v>689</v>
      </c>
      <c r="M243" s="34" t="s">
        <v>957</v>
      </c>
      <c r="N243" s="34" t="s">
        <v>1733</v>
      </c>
      <c r="O243" s="35">
        <v>1</v>
      </c>
      <c r="P243" s="35"/>
      <c r="Q243" s="32"/>
      <c r="S243" s="1">
        <f t="shared" si="71"/>
        <v>0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67"/>
        <v>0</v>
      </c>
      <c r="AG243" s="1">
        <f t="shared" si="68"/>
        <v>1</v>
      </c>
      <c r="AH243" s="1">
        <f t="shared" si="69"/>
        <v>0</v>
      </c>
      <c r="AI243" s="1">
        <f t="shared" si="70"/>
        <v>1</v>
      </c>
    </row>
    <row r="244" spans="1:35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1146</v>
      </c>
      <c r="E244" s="32" t="s">
        <v>164</v>
      </c>
      <c r="F244" s="32" t="s">
        <v>1148</v>
      </c>
      <c r="G244" s="32" t="s">
        <v>219</v>
      </c>
      <c r="H244" s="32" t="s">
        <v>352</v>
      </c>
      <c r="I244" s="31" t="s">
        <v>1147</v>
      </c>
      <c r="J244" s="31">
        <v>8</v>
      </c>
      <c r="K244" s="33" t="s">
        <v>698</v>
      </c>
      <c r="L244" s="33" t="s">
        <v>1697</v>
      </c>
      <c r="M244" s="34" t="s">
        <v>1387</v>
      </c>
      <c r="N244" s="34" t="s">
        <v>1732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1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67"/>
        <v>0</v>
      </c>
      <c r="AG244" s="1">
        <f t="shared" si="68"/>
        <v>1</v>
      </c>
      <c r="AH244" s="1">
        <f t="shared" si="69"/>
        <v>0</v>
      </c>
      <c r="AI244" s="1">
        <f t="shared" si="70"/>
        <v>1</v>
      </c>
    </row>
    <row r="245" spans="1:35" s="1" customFormat="1" ht="14.25" customHeight="1" x14ac:dyDescent="0.25">
      <c r="A245" s="31">
        <v>0</v>
      </c>
      <c r="B245" s="31">
        <v>1</v>
      </c>
      <c r="C245" s="31">
        <v>6</v>
      </c>
      <c r="D245" s="32" t="s">
        <v>560</v>
      </c>
      <c r="E245" s="32" t="s">
        <v>166</v>
      </c>
      <c r="F245" s="32" t="s">
        <v>657</v>
      </c>
      <c r="G245" s="32" t="s">
        <v>201</v>
      </c>
      <c r="H245" s="32" t="s">
        <v>352</v>
      </c>
      <c r="I245" s="31" t="s">
        <v>579</v>
      </c>
      <c r="J245" s="31">
        <v>10</v>
      </c>
      <c r="K245" s="33" t="s">
        <v>949</v>
      </c>
      <c r="L245" s="33" t="s">
        <v>689</v>
      </c>
      <c r="M245" s="34" t="s">
        <v>701</v>
      </c>
      <c r="N245" s="34" t="s">
        <v>1732</v>
      </c>
      <c r="O245" s="35">
        <v>1</v>
      </c>
      <c r="P245" s="35"/>
      <c r="Q245" s="36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1</v>
      </c>
      <c r="AD245" s="1">
        <f t="shared" si="81"/>
        <v>0</v>
      </c>
      <c r="AE245" s="1">
        <f t="shared" si="82"/>
        <v>1</v>
      </c>
      <c r="AF245" s="1">
        <f t="shared" si="67"/>
        <v>0</v>
      </c>
      <c r="AG245" s="1">
        <f t="shared" si="68"/>
        <v>1</v>
      </c>
      <c r="AH245" s="1">
        <f t="shared" si="69"/>
        <v>0</v>
      </c>
      <c r="AI245" s="1">
        <f t="shared" si="70"/>
        <v>1</v>
      </c>
    </row>
    <row r="246" spans="1:35" s="1" customFormat="1" ht="14.25" customHeight="1" x14ac:dyDescent="0.25">
      <c r="A246" s="44">
        <v>0</v>
      </c>
      <c r="B246" s="44">
        <v>1</v>
      </c>
      <c r="C246" s="44">
        <v>6</v>
      </c>
      <c r="D246" s="45" t="s">
        <v>886</v>
      </c>
      <c r="E246" s="45" t="s">
        <v>166</v>
      </c>
      <c r="F246" s="45" t="s">
        <v>926</v>
      </c>
      <c r="G246" s="45" t="s">
        <v>927</v>
      </c>
      <c r="H246" s="45" t="s">
        <v>352</v>
      </c>
      <c r="I246" s="44" t="s">
        <v>940</v>
      </c>
      <c r="J246" s="44">
        <v>99</v>
      </c>
      <c r="K246" s="46" t="s">
        <v>698</v>
      </c>
      <c r="L246" s="46" t="s">
        <v>685</v>
      </c>
      <c r="M246" s="47" t="s">
        <v>1388</v>
      </c>
      <c r="N246" s="47" t="s">
        <v>1722</v>
      </c>
      <c r="O246" s="48"/>
      <c r="P246" s="48"/>
      <c r="Q246" s="45"/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0</v>
      </c>
      <c r="AF246" s="1">
        <f t="shared" si="67"/>
        <v>0</v>
      </c>
      <c r="AG246" s="1">
        <f t="shared" si="68"/>
        <v>0</v>
      </c>
      <c r="AH246" s="1">
        <f t="shared" si="69"/>
        <v>0</v>
      </c>
      <c r="AI246" s="1">
        <f t="shared" si="70"/>
        <v>1</v>
      </c>
    </row>
    <row r="247" spans="1:35" s="1" customFormat="1" ht="14.25" customHeight="1" x14ac:dyDescent="0.25">
      <c r="A247" s="31">
        <v>0</v>
      </c>
      <c r="B247" s="31">
        <v>1</v>
      </c>
      <c r="C247" s="31">
        <v>6</v>
      </c>
      <c r="D247" s="32" t="s">
        <v>99</v>
      </c>
      <c r="E247" s="32" t="s">
        <v>166</v>
      </c>
      <c r="F247" s="32" t="s">
        <v>658</v>
      </c>
      <c r="G247" s="32" t="s">
        <v>660</v>
      </c>
      <c r="H247" s="32" t="s">
        <v>352</v>
      </c>
      <c r="I247" s="31" t="s">
        <v>444</v>
      </c>
      <c r="J247" s="31">
        <v>99</v>
      </c>
      <c r="K247" s="33" t="s">
        <v>718</v>
      </c>
      <c r="L247" s="33" t="s">
        <v>692</v>
      </c>
      <c r="M247" s="34" t="s">
        <v>703</v>
      </c>
      <c r="N247" s="34" t="s">
        <v>1733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67"/>
        <v>0</v>
      </c>
      <c r="AG247" s="1">
        <f t="shared" si="68"/>
        <v>1</v>
      </c>
      <c r="AH247" s="1">
        <f t="shared" si="69"/>
        <v>0</v>
      </c>
      <c r="AI247" s="1">
        <f t="shared" si="70"/>
        <v>1</v>
      </c>
    </row>
    <row r="248" spans="1:35" s="1" customFormat="1" ht="14.25" customHeight="1" x14ac:dyDescent="0.25">
      <c r="A248" s="38">
        <v>0</v>
      </c>
      <c r="B248" s="38">
        <v>1</v>
      </c>
      <c r="C248" s="38">
        <v>7</v>
      </c>
      <c r="D248" s="39" t="s">
        <v>86</v>
      </c>
      <c r="E248" s="39" t="s">
        <v>29</v>
      </c>
      <c r="F248" s="39" t="s">
        <v>659</v>
      </c>
      <c r="G248" s="39" t="s">
        <v>660</v>
      </c>
      <c r="H248" s="39" t="s">
        <v>352</v>
      </c>
      <c r="I248" s="38" t="s">
        <v>627</v>
      </c>
      <c r="J248" s="38">
        <v>99</v>
      </c>
      <c r="K248" s="40" t="s">
        <v>941</v>
      </c>
      <c r="L248" s="40" t="s">
        <v>689</v>
      </c>
      <c r="M248" s="41" t="s">
        <v>1389</v>
      </c>
      <c r="N248" s="42"/>
      <c r="O248" s="43"/>
      <c r="P248" s="43">
        <v>1</v>
      </c>
      <c r="Q248" s="39"/>
      <c r="S248" s="1">
        <f t="shared" si="71"/>
        <v>0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0</v>
      </c>
      <c r="AF248" s="1">
        <f t="shared" si="67"/>
        <v>0</v>
      </c>
      <c r="AG248" s="1">
        <f t="shared" si="68"/>
        <v>0</v>
      </c>
      <c r="AH248" s="1">
        <f t="shared" si="69"/>
        <v>1</v>
      </c>
      <c r="AI248" s="1">
        <f t="shared" si="70"/>
        <v>0</v>
      </c>
    </row>
    <row r="249" spans="1:35" s="1" customFormat="1" ht="14.25" customHeight="1" x14ac:dyDescent="0.25">
      <c r="A249" s="31">
        <v>0</v>
      </c>
      <c r="B249" s="31">
        <v>1</v>
      </c>
      <c r="C249" s="31">
        <v>7</v>
      </c>
      <c r="D249" s="32" t="s">
        <v>646</v>
      </c>
      <c r="E249" s="32" t="s">
        <v>29</v>
      </c>
      <c r="F249" s="32" t="s">
        <v>622</v>
      </c>
      <c r="G249" s="32" t="s">
        <v>231</v>
      </c>
      <c r="H249" s="32" t="s">
        <v>352</v>
      </c>
      <c r="I249" s="31" t="s">
        <v>623</v>
      </c>
      <c r="J249" s="31">
        <v>99</v>
      </c>
      <c r="K249" s="33" t="s">
        <v>709</v>
      </c>
      <c r="L249" s="33" t="s">
        <v>692</v>
      </c>
      <c r="M249" s="34" t="s">
        <v>960</v>
      </c>
      <c r="N249" s="34" t="s">
        <v>1833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0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67"/>
        <v>0</v>
      </c>
      <c r="AG249" s="1">
        <f t="shared" si="68"/>
        <v>1</v>
      </c>
      <c r="AH249" s="1">
        <f t="shared" si="69"/>
        <v>0</v>
      </c>
      <c r="AI249" s="1">
        <f t="shared" si="70"/>
        <v>1</v>
      </c>
    </row>
    <row r="250" spans="1:35" s="1" customFormat="1" ht="14.25" customHeight="1" x14ac:dyDescent="0.25">
      <c r="A250" s="15">
        <v>0</v>
      </c>
      <c r="B250" s="15">
        <v>1</v>
      </c>
      <c r="C250" s="15">
        <v>7</v>
      </c>
      <c r="D250" s="16" t="s">
        <v>970</v>
      </c>
      <c r="E250" s="16" t="s">
        <v>29</v>
      </c>
      <c r="F250" s="16" t="s">
        <v>971</v>
      </c>
      <c r="G250" s="16" t="s">
        <v>972</v>
      </c>
      <c r="H250" s="16" t="s">
        <v>352</v>
      </c>
      <c r="I250" s="15" t="s">
        <v>969</v>
      </c>
      <c r="J250" s="15">
        <v>99</v>
      </c>
      <c r="K250" s="10" t="s">
        <v>699</v>
      </c>
      <c r="L250" s="10">
        <v>20</v>
      </c>
      <c r="M250" s="19" t="s">
        <v>960</v>
      </c>
      <c r="N250" s="19"/>
      <c r="Q250" s="16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0</v>
      </c>
      <c r="AD250" s="1">
        <f t="shared" si="81"/>
        <v>0</v>
      </c>
      <c r="AE250" s="1">
        <f t="shared" si="82"/>
        <v>0</v>
      </c>
      <c r="AF250" s="1">
        <f t="shared" si="67"/>
        <v>0</v>
      </c>
      <c r="AG250" s="1">
        <f t="shared" si="68"/>
        <v>0</v>
      </c>
      <c r="AH250" s="1">
        <f t="shared" si="69"/>
        <v>0</v>
      </c>
      <c r="AI250" s="1">
        <f t="shared" si="70"/>
        <v>1</v>
      </c>
    </row>
    <row r="251" spans="1:35" s="1" customFormat="1" ht="14.25" customHeight="1" x14ac:dyDescent="0.25">
      <c r="A251" s="38">
        <v>0</v>
      </c>
      <c r="B251" s="38">
        <v>1</v>
      </c>
      <c r="C251" s="38">
        <v>7</v>
      </c>
      <c r="D251" s="39" t="s">
        <v>587</v>
      </c>
      <c r="E251" s="39" t="s">
        <v>29</v>
      </c>
      <c r="F251" s="39" t="s">
        <v>588</v>
      </c>
      <c r="G251" s="39" t="s">
        <v>1060</v>
      </c>
      <c r="H251" s="39" t="s">
        <v>352</v>
      </c>
      <c r="I251" s="38" t="s">
        <v>589</v>
      </c>
      <c r="J251" s="38">
        <v>99</v>
      </c>
      <c r="K251" s="40" t="s">
        <v>699</v>
      </c>
      <c r="L251" s="40">
        <v>35</v>
      </c>
      <c r="M251" s="41" t="s">
        <v>1389</v>
      </c>
      <c r="N251" s="41"/>
      <c r="O251" s="43"/>
      <c r="P251" s="43">
        <v>1</v>
      </c>
      <c r="Q251" s="39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0</v>
      </c>
      <c r="AF251" s="1">
        <f t="shared" si="67"/>
        <v>0</v>
      </c>
      <c r="AG251" s="1">
        <f t="shared" si="68"/>
        <v>0</v>
      </c>
      <c r="AH251" s="1">
        <f t="shared" si="69"/>
        <v>1</v>
      </c>
      <c r="AI251" s="1">
        <f t="shared" si="70"/>
        <v>0</v>
      </c>
    </row>
    <row r="252" spans="1:35" s="1" customFormat="1" ht="14.25" customHeight="1" x14ac:dyDescent="0.25">
      <c r="A252" s="31">
        <v>0</v>
      </c>
      <c r="B252" s="31">
        <v>1</v>
      </c>
      <c r="C252" s="31">
        <v>7</v>
      </c>
      <c r="D252" s="32" t="s">
        <v>1611</v>
      </c>
      <c r="E252" s="32" t="s">
        <v>29</v>
      </c>
      <c r="F252" s="32" t="s">
        <v>1666</v>
      </c>
      <c r="G252" s="32" t="s">
        <v>310</v>
      </c>
      <c r="H252" s="32" t="s">
        <v>352</v>
      </c>
      <c r="I252" s="31" t="s">
        <v>1612</v>
      </c>
      <c r="J252" s="31"/>
      <c r="K252" s="33" t="s">
        <v>709</v>
      </c>
      <c r="L252" s="33">
        <v>45</v>
      </c>
      <c r="M252" s="34" t="s">
        <v>1784</v>
      </c>
      <c r="N252" s="34" t="s">
        <v>1717</v>
      </c>
      <c r="O252" s="35">
        <v>1</v>
      </c>
      <c r="P252" s="35">
        <v>1</v>
      </c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0</v>
      </c>
      <c r="AA252" s="1">
        <f t="shared" si="79"/>
        <v>0</v>
      </c>
      <c r="AB252" s="1">
        <f t="shared" si="80"/>
        <v>0</v>
      </c>
      <c r="AD252" s="1">
        <f t="shared" si="81"/>
        <v>1</v>
      </c>
      <c r="AE252" s="1">
        <f t="shared" si="82"/>
        <v>0</v>
      </c>
      <c r="AF252" s="1">
        <f t="shared" si="67"/>
        <v>1</v>
      </c>
      <c r="AG252" s="1">
        <f t="shared" si="68"/>
        <v>0</v>
      </c>
      <c r="AH252" s="1">
        <f t="shared" si="69"/>
        <v>1</v>
      </c>
      <c r="AI252" s="1">
        <f t="shared" si="70"/>
        <v>0</v>
      </c>
    </row>
    <row r="253" spans="1:35" s="1" customFormat="1" ht="14.25" customHeight="1" x14ac:dyDescent="0.25">
      <c r="A253" s="31">
        <v>0</v>
      </c>
      <c r="B253" s="31">
        <v>1</v>
      </c>
      <c r="C253" s="31">
        <v>7</v>
      </c>
      <c r="D253" s="32" t="s">
        <v>850</v>
      </c>
      <c r="E253" s="32" t="s">
        <v>29</v>
      </c>
      <c r="F253" s="32" t="s">
        <v>851</v>
      </c>
      <c r="G253" s="32" t="s">
        <v>201</v>
      </c>
      <c r="H253" s="32" t="s">
        <v>352</v>
      </c>
      <c r="I253" s="31" t="s">
        <v>852</v>
      </c>
      <c r="J253" s="31">
        <v>10</v>
      </c>
      <c r="K253" s="33" t="s">
        <v>709</v>
      </c>
      <c r="L253" s="33" t="s">
        <v>689</v>
      </c>
      <c r="M253" s="34" t="s">
        <v>1389</v>
      </c>
      <c r="N253" s="34" t="s">
        <v>1739</v>
      </c>
      <c r="O253" s="35">
        <v>1</v>
      </c>
      <c r="P253" s="35"/>
      <c r="Q253" s="32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67"/>
        <v>0</v>
      </c>
      <c r="AG253" s="1">
        <f t="shared" si="68"/>
        <v>1</v>
      </c>
      <c r="AH253" s="1">
        <f t="shared" si="69"/>
        <v>0</v>
      </c>
      <c r="AI253" s="1">
        <f t="shared" si="70"/>
        <v>1</v>
      </c>
    </row>
    <row r="254" spans="1:35" s="1" customFormat="1" ht="14.25" customHeight="1" x14ac:dyDescent="0.25">
      <c r="A254" s="31">
        <v>0</v>
      </c>
      <c r="B254" s="31">
        <v>1</v>
      </c>
      <c r="C254" s="31">
        <v>7</v>
      </c>
      <c r="D254" s="32" t="s">
        <v>40</v>
      </c>
      <c r="E254" s="32" t="s">
        <v>29</v>
      </c>
      <c r="F254" s="32" t="s">
        <v>279</v>
      </c>
      <c r="G254" s="32" t="s">
        <v>229</v>
      </c>
      <c r="H254" s="32" t="s">
        <v>352</v>
      </c>
      <c r="I254" s="31" t="s">
        <v>433</v>
      </c>
      <c r="J254" s="31">
        <v>7</v>
      </c>
      <c r="K254" s="33" t="s">
        <v>709</v>
      </c>
      <c r="L254" s="33" t="s">
        <v>692</v>
      </c>
      <c r="M254" s="34" t="s">
        <v>960</v>
      </c>
      <c r="N254" s="34" t="s">
        <v>1711</v>
      </c>
      <c r="O254" s="35">
        <v>1</v>
      </c>
      <c r="P254" s="35">
        <v>1</v>
      </c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1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1</v>
      </c>
      <c r="AE254" s="1">
        <f t="shared" si="82"/>
        <v>0</v>
      </c>
      <c r="AF254" s="1">
        <f t="shared" si="67"/>
        <v>1</v>
      </c>
      <c r="AG254" s="1">
        <f t="shared" si="68"/>
        <v>0</v>
      </c>
      <c r="AH254" s="1">
        <f t="shared" si="69"/>
        <v>1</v>
      </c>
      <c r="AI254" s="1">
        <f t="shared" si="70"/>
        <v>0</v>
      </c>
    </row>
    <row r="255" spans="1:35" s="1" customFormat="1" ht="14.25" customHeight="1" x14ac:dyDescent="0.25">
      <c r="A255" s="31">
        <v>1</v>
      </c>
      <c r="B255" s="31">
        <v>1</v>
      </c>
      <c r="C255" s="31">
        <v>7</v>
      </c>
      <c r="D255" s="32" t="s">
        <v>40</v>
      </c>
      <c r="E255" s="32" t="s">
        <v>29</v>
      </c>
      <c r="F255" s="32" t="s">
        <v>1585</v>
      </c>
      <c r="G255" s="32" t="s">
        <v>39</v>
      </c>
      <c r="H255" s="32" t="s">
        <v>352</v>
      </c>
      <c r="I255" s="31" t="s">
        <v>1586</v>
      </c>
      <c r="J255" s="31">
        <v>99</v>
      </c>
      <c r="K255" s="33" t="s">
        <v>709</v>
      </c>
      <c r="L255" s="33" t="s">
        <v>692</v>
      </c>
      <c r="M255" s="34" t="s">
        <v>960</v>
      </c>
      <c r="N255" s="34" t="s">
        <v>1711</v>
      </c>
      <c r="O255" s="35">
        <v>1</v>
      </c>
      <c r="P255" s="35">
        <v>1</v>
      </c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1</v>
      </c>
      <c r="AE255" s="1">
        <f t="shared" si="82"/>
        <v>0</v>
      </c>
      <c r="AF255" s="1">
        <f t="shared" si="67"/>
        <v>0</v>
      </c>
      <c r="AG255" s="1">
        <f t="shared" si="68"/>
        <v>0</v>
      </c>
      <c r="AH255" s="1">
        <f t="shared" si="69"/>
        <v>0</v>
      </c>
      <c r="AI255" s="1">
        <f t="shared" si="70"/>
        <v>0</v>
      </c>
    </row>
    <row r="256" spans="1:35" s="1" customFormat="1" ht="14.25" customHeight="1" x14ac:dyDescent="0.25">
      <c r="A256" s="49">
        <v>0</v>
      </c>
      <c r="B256" s="49">
        <v>1</v>
      </c>
      <c r="C256" s="49">
        <v>7</v>
      </c>
      <c r="D256" s="55" t="s">
        <v>1468</v>
      </c>
      <c r="E256" s="50" t="s">
        <v>29</v>
      </c>
      <c r="F256" s="55" t="s">
        <v>991</v>
      </c>
      <c r="G256" s="55" t="s">
        <v>1089</v>
      </c>
      <c r="H256" s="55" t="s">
        <v>352</v>
      </c>
      <c r="I256" s="63" t="s">
        <v>1097</v>
      </c>
      <c r="J256" s="49">
        <v>10</v>
      </c>
      <c r="K256" s="51" t="s">
        <v>709</v>
      </c>
      <c r="L256" s="51" t="s">
        <v>690</v>
      </c>
      <c r="M256" s="52" t="s">
        <v>960</v>
      </c>
      <c r="N256" s="52" t="s">
        <v>1727</v>
      </c>
      <c r="O256" s="53">
        <v>1</v>
      </c>
      <c r="P256" s="53"/>
      <c r="Q256" s="55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1</v>
      </c>
      <c r="AD256" s="1">
        <f t="shared" si="81"/>
        <v>0</v>
      </c>
      <c r="AE256" s="1">
        <f t="shared" si="82"/>
        <v>1</v>
      </c>
      <c r="AF256" s="1">
        <f t="shared" si="67"/>
        <v>0</v>
      </c>
      <c r="AG256" s="1">
        <f t="shared" si="68"/>
        <v>1</v>
      </c>
      <c r="AH256" s="1">
        <f t="shared" si="69"/>
        <v>0</v>
      </c>
      <c r="AI256" s="1">
        <f t="shared" si="70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6" t="s">
        <v>1469</v>
      </c>
      <c r="E257" s="32" t="s">
        <v>29</v>
      </c>
      <c r="F257" s="36" t="s">
        <v>989</v>
      </c>
      <c r="G257" s="36" t="s">
        <v>239</v>
      </c>
      <c r="H257" s="36" t="s">
        <v>352</v>
      </c>
      <c r="I257" s="37" t="s">
        <v>990</v>
      </c>
      <c r="J257" s="31">
        <v>1</v>
      </c>
      <c r="K257" s="33" t="s">
        <v>948</v>
      </c>
      <c r="L257" s="33" t="s">
        <v>690</v>
      </c>
      <c r="M257" s="34" t="s">
        <v>960</v>
      </c>
      <c r="N257" s="34" t="s">
        <v>1785</v>
      </c>
      <c r="O257" s="35">
        <v>1</v>
      </c>
      <c r="P257" s="35"/>
      <c r="Q257" s="36"/>
      <c r="S257" s="1">
        <f t="shared" si="71"/>
        <v>1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67"/>
        <v>0</v>
      </c>
      <c r="AG257" s="1">
        <f t="shared" si="68"/>
        <v>1</v>
      </c>
      <c r="AH257" s="1">
        <f t="shared" si="69"/>
        <v>0</v>
      </c>
      <c r="AI257" s="1">
        <f t="shared" si="70"/>
        <v>1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6" t="s">
        <v>887</v>
      </c>
      <c r="E258" s="32" t="s">
        <v>29</v>
      </c>
      <c r="F258" s="36" t="s">
        <v>888</v>
      </c>
      <c r="G258" s="36" t="s">
        <v>39</v>
      </c>
      <c r="H258" s="36" t="s">
        <v>353</v>
      </c>
      <c r="I258" s="37" t="s">
        <v>889</v>
      </c>
      <c r="J258" s="31">
        <v>11</v>
      </c>
      <c r="K258" s="33" t="s">
        <v>699</v>
      </c>
      <c r="L258" s="33">
        <v>35</v>
      </c>
      <c r="M258" s="34" t="s">
        <v>1389</v>
      </c>
      <c r="N258" s="34" t="s">
        <v>1930</v>
      </c>
      <c r="O258" s="35">
        <v>1</v>
      </c>
      <c r="P258" s="35"/>
      <c r="Q258" s="36" t="s">
        <v>1887</v>
      </c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1</v>
      </c>
      <c r="AF258" s="1">
        <f t="shared" si="67"/>
        <v>0</v>
      </c>
      <c r="AG258" s="1">
        <f t="shared" si="68"/>
        <v>1</v>
      </c>
      <c r="AH258" s="1">
        <f t="shared" si="69"/>
        <v>0</v>
      </c>
      <c r="AI258" s="1">
        <f t="shared" si="70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6" t="s">
        <v>1071</v>
      </c>
      <c r="E259" s="32" t="s">
        <v>29</v>
      </c>
      <c r="F259" s="36" t="s">
        <v>973</v>
      </c>
      <c r="G259" s="36" t="s">
        <v>202</v>
      </c>
      <c r="H259" s="36" t="s">
        <v>352</v>
      </c>
      <c r="I259" s="37" t="s">
        <v>974</v>
      </c>
      <c r="J259" s="31">
        <v>99</v>
      </c>
      <c r="K259" s="33" t="s">
        <v>709</v>
      </c>
      <c r="L259" s="33" t="s">
        <v>690</v>
      </c>
      <c r="M259" s="34" t="s">
        <v>1426</v>
      </c>
      <c r="N259" s="34" t="s">
        <v>1711</v>
      </c>
      <c r="O259" s="35">
        <v>1</v>
      </c>
      <c r="P259" s="35">
        <v>1</v>
      </c>
      <c r="Q259" s="36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67"/>
        <v>1</v>
      </c>
      <c r="AG259" s="1">
        <f t="shared" si="68"/>
        <v>0</v>
      </c>
      <c r="AH259" s="1">
        <f t="shared" si="69"/>
        <v>1</v>
      </c>
      <c r="AI259" s="1">
        <f t="shared" si="70"/>
        <v>0</v>
      </c>
    </row>
    <row r="260" spans="1:35" s="1" customFormat="1" ht="14.25" customHeight="1" x14ac:dyDescent="0.25">
      <c r="A260" s="15">
        <v>0</v>
      </c>
      <c r="B260" s="15">
        <v>1</v>
      </c>
      <c r="C260" s="15">
        <v>7</v>
      </c>
      <c r="D260" s="16" t="s">
        <v>747</v>
      </c>
      <c r="E260" s="16" t="s">
        <v>29</v>
      </c>
      <c r="F260" s="16" t="s">
        <v>748</v>
      </c>
      <c r="G260" s="16" t="s">
        <v>749</v>
      </c>
      <c r="H260" s="16" t="s">
        <v>352</v>
      </c>
      <c r="I260" s="15" t="s">
        <v>750</v>
      </c>
      <c r="J260" s="15">
        <v>99</v>
      </c>
      <c r="K260" s="10" t="s">
        <v>699</v>
      </c>
      <c r="L260" s="10">
        <v>20</v>
      </c>
      <c r="M260" s="19" t="s">
        <v>1107</v>
      </c>
      <c r="N260" s="17"/>
      <c r="Q260" s="16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0</v>
      </c>
      <c r="AE260" s="1">
        <f t="shared" si="82"/>
        <v>0</v>
      </c>
      <c r="AF260" s="1">
        <f t="shared" si="67"/>
        <v>0</v>
      </c>
      <c r="AG260" s="1">
        <f t="shared" si="68"/>
        <v>0</v>
      </c>
      <c r="AH260" s="1">
        <f t="shared" si="69"/>
        <v>0</v>
      </c>
      <c r="AI260" s="1">
        <f t="shared" si="70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6" t="s">
        <v>819</v>
      </c>
      <c r="E261" s="32" t="s">
        <v>29</v>
      </c>
      <c r="F261" s="36" t="s">
        <v>820</v>
      </c>
      <c r="G261" s="36" t="s">
        <v>917</v>
      </c>
      <c r="H261" s="36" t="s">
        <v>352</v>
      </c>
      <c r="I261" s="37" t="s">
        <v>821</v>
      </c>
      <c r="J261" s="31">
        <v>99</v>
      </c>
      <c r="K261" s="33" t="s">
        <v>942</v>
      </c>
      <c r="L261" s="33" t="s">
        <v>690</v>
      </c>
      <c r="M261" s="34" t="s">
        <v>960</v>
      </c>
      <c r="N261" s="34" t="s">
        <v>1809</v>
      </c>
      <c r="O261" s="35">
        <v>1</v>
      </c>
      <c r="P261" s="35"/>
      <c r="Q261" s="36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0</v>
      </c>
      <c r="AD261" s="1">
        <f t="shared" si="81"/>
        <v>0</v>
      </c>
      <c r="AE261" s="1">
        <f t="shared" si="82"/>
        <v>1</v>
      </c>
      <c r="AF261" s="1">
        <f t="shared" si="67"/>
        <v>0</v>
      </c>
      <c r="AG261" s="1">
        <f t="shared" si="68"/>
        <v>1</v>
      </c>
      <c r="AH261" s="1">
        <f t="shared" si="69"/>
        <v>0</v>
      </c>
      <c r="AI261" s="1">
        <f t="shared" si="70"/>
        <v>1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6" t="s">
        <v>1704</v>
      </c>
      <c r="E262" s="32" t="s">
        <v>29</v>
      </c>
      <c r="F262" s="36" t="s">
        <v>1705</v>
      </c>
      <c r="G262" s="36" t="s">
        <v>248</v>
      </c>
      <c r="H262" s="36" t="s">
        <v>352</v>
      </c>
      <c r="I262" s="37" t="s">
        <v>1706</v>
      </c>
      <c r="J262" s="31"/>
      <c r="K262" s="33" t="s">
        <v>699</v>
      </c>
      <c r="L262" s="33"/>
      <c r="M262" s="34"/>
      <c r="N262" s="34" t="s">
        <v>1711</v>
      </c>
      <c r="O262" s="35">
        <v>1</v>
      </c>
      <c r="P262" s="35">
        <v>1</v>
      </c>
      <c r="Q262" s="36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0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67"/>
        <v>1</v>
      </c>
      <c r="AG262" s="1">
        <f t="shared" si="68"/>
        <v>0</v>
      </c>
      <c r="AH262" s="1">
        <f t="shared" si="69"/>
        <v>1</v>
      </c>
      <c r="AI262" s="1">
        <f t="shared" si="70"/>
        <v>0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2" t="s">
        <v>890</v>
      </c>
      <c r="E263" s="32" t="s">
        <v>29</v>
      </c>
      <c r="F263" s="32" t="s">
        <v>891</v>
      </c>
      <c r="G263" s="32" t="s">
        <v>227</v>
      </c>
      <c r="H263" s="32" t="s">
        <v>352</v>
      </c>
      <c r="I263" s="31" t="s">
        <v>892</v>
      </c>
      <c r="J263" s="31">
        <v>99</v>
      </c>
      <c r="K263" s="33" t="s">
        <v>709</v>
      </c>
      <c r="L263" s="33" t="s">
        <v>690</v>
      </c>
      <c r="M263" s="34" t="s">
        <v>1390</v>
      </c>
      <c r="N263" s="34" t="s">
        <v>1732</v>
      </c>
      <c r="O263" s="35">
        <v>1</v>
      </c>
      <c r="P263" s="35"/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0</v>
      </c>
      <c r="AE263" s="1">
        <f t="shared" si="82"/>
        <v>1</v>
      </c>
      <c r="AF263" s="1">
        <f t="shared" si="67"/>
        <v>0</v>
      </c>
      <c r="AG263" s="1">
        <f t="shared" si="68"/>
        <v>1</v>
      </c>
      <c r="AH263" s="1">
        <f t="shared" si="69"/>
        <v>0</v>
      </c>
      <c r="AI263" s="1">
        <f t="shared" si="70"/>
        <v>1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2" t="s">
        <v>88</v>
      </c>
      <c r="E264" s="32" t="s">
        <v>29</v>
      </c>
      <c r="F264" s="32" t="s">
        <v>280</v>
      </c>
      <c r="G264" s="32" t="s">
        <v>281</v>
      </c>
      <c r="H264" s="32" t="s">
        <v>352</v>
      </c>
      <c r="I264" s="31" t="s">
        <v>931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1833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0</v>
      </c>
      <c r="AD264" s="1">
        <f t="shared" si="81"/>
        <v>0</v>
      </c>
      <c r="AE264" s="1">
        <f t="shared" si="82"/>
        <v>1</v>
      </c>
      <c r="AF264" s="1">
        <f t="shared" si="67"/>
        <v>0</v>
      </c>
      <c r="AG264" s="1">
        <f t="shared" si="68"/>
        <v>1</v>
      </c>
      <c r="AH264" s="1">
        <f t="shared" si="69"/>
        <v>0</v>
      </c>
      <c r="AI264" s="1">
        <f t="shared" si="70"/>
        <v>1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6" t="s">
        <v>1620</v>
      </c>
      <c r="E265" s="32" t="s">
        <v>29</v>
      </c>
      <c r="F265" s="36" t="s">
        <v>1519</v>
      </c>
      <c r="G265" s="36" t="s">
        <v>39</v>
      </c>
      <c r="H265" s="36" t="s">
        <v>875</v>
      </c>
      <c r="I265" s="37" t="s">
        <v>1520</v>
      </c>
      <c r="J265" s="31">
        <v>17</v>
      </c>
      <c r="K265" s="33" t="s">
        <v>709</v>
      </c>
      <c r="L265" s="33" t="s">
        <v>693</v>
      </c>
      <c r="M265" s="34" t="s">
        <v>1441</v>
      </c>
      <c r="N265" s="34" t="s">
        <v>1711</v>
      </c>
      <c r="O265" s="35">
        <v>1</v>
      </c>
      <c r="P265" s="35">
        <v>1</v>
      </c>
      <c r="Q265" s="36"/>
      <c r="S265" s="1">
        <f t="shared" si="71"/>
        <v>0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1</v>
      </c>
      <c r="AE265" s="1">
        <f t="shared" si="82"/>
        <v>0</v>
      </c>
      <c r="AF265" s="1">
        <f t="shared" si="67"/>
        <v>1</v>
      </c>
      <c r="AG265" s="1">
        <f t="shared" si="68"/>
        <v>0</v>
      </c>
      <c r="AH265" s="1">
        <f t="shared" si="69"/>
        <v>1</v>
      </c>
      <c r="AI265" s="1">
        <f t="shared" si="70"/>
        <v>0</v>
      </c>
    </row>
    <row r="266" spans="1:35" s="1" customFormat="1" ht="14.25" customHeight="1" x14ac:dyDescent="0.25">
      <c r="A266" s="44">
        <v>0</v>
      </c>
      <c r="B266" s="44">
        <v>1</v>
      </c>
      <c r="C266" s="44">
        <v>7</v>
      </c>
      <c r="D266" s="45" t="s">
        <v>1438</v>
      </c>
      <c r="E266" s="45" t="s">
        <v>29</v>
      </c>
      <c r="F266" s="45" t="s">
        <v>1439</v>
      </c>
      <c r="G266" s="45" t="s">
        <v>319</v>
      </c>
      <c r="H266" s="45" t="s">
        <v>352</v>
      </c>
      <c r="I266" s="44" t="s">
        <v>1440</v>
      </c>
      <c r="J266" s="44">
        <v>99</v>
      </c>
      <c r="K266" s="46" t="s">
        <v>699</v>
      </c>
      <c r="L266" s="46">
        <v>30</v>
      </c>
      <c r="M266" s="47" t="s">
        <v>1441</v>
      </c>
      <c r="N266" s="47" t="s">
        <v>1786</v>
      </c>
      <c r="O266" s="48"/>
      <c r="P266" s="48"/>
      <c r="Q266" s="45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0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0</v>
      </c>
      <c r="AF266" s="1">
        <f t="shared" si="67"/>
        <v>0</v>
      </c>
      <c r="AG266" s="1">
        <f t="shared" si="68"/>
        <v>0</v>
      </c>
      <c r="AH266" s="1">
        <f t="shared" si="69"/>
        <v>0</v>
      </c>
      <c r="AI266" s="1">
        <f t="shared" si="70"/>
        <v>1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6" t="s">
        <v>837</v>
      </c>
      <c r="E267" s="32" t="s">
        <v>29</v>
      </c>
      <c r="F267" s="36" t="s">
        <v>838</v>
      </c>
      <c r="G267" s="36" t="s">
        <v>221</v>
      </c>
      <c r="H267" s="36" t="s">
        <v>352</v>
      </c>
      <c r="I267" s="37" t="s">
        <v>839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1833</v>
      </c>
      <c r="O267" s="35">
        <v>1</v>
      </c>
      <c r="P267" s="35"/>
      <c r="Q267" s="36"/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1</v>
      </c>
      <c r="AF267" s="1">
        <f t="shared" si="67"/>
        <v>0</v>
      </c>
      <c r="AG267" s="1">
        <f t="shared" si="68"/>
        <v>1</v>
      </c>
      <c r="AH267" s="1">
        <f t="shared" si="69"/>
        <v>0</v>
      </c>
      <c r="AI267" s="1">
        <f t="shared" si="70"/>
        <v>1</v>
      </c>
    </row>
    <row r="268" spans="1:35" s="1" customFormat="1" ht="14.25" customHeight="1" x14ac:dyDescent="0.25">
      <c r="A268" s="31">
        <v>1</v>
      </c>
      <c r="B268" s="31">
        <v>1</v>
      </c>
      <c r="C268" s="31">
        <v>7</v>
      </c>
      <c r="D268" s="36" t="s">
        <v>837</v>
      </c>
      <c r="E268" s="32" t="s">
        <v>29</v>
      </c>
      <c r="F268" s="36" t="s">
        <v>919</v>
      </c>
      <c r="G268" s="36" t="s">
        <v>278</v>
      </c>
      <c r="H268" s="36" t="s">
        <v>352</v>
      </c>
      <c r="I268" s="37" t="s">
        <v>840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1833</v>
      </c>
      <c r="O268" s="35">
        <v>1</v>
      </c>
      <c r="P268" s="35"/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0</v>
      </c>
      <c r="AE268" s="1">
        <f t="shared" si="82"/>
        <v>1</v>
      </c>
      <c r="AF268" s="1">
        <f t="shared" si="67"/>
        <v>0</v>
      </c>
      <c r="AG268" s="1">
        <f t="shared" si="68"/>
        <v>0</v>
      </c>
      <c r="AH268" s="1">
        <f t="shared" si="69"/>
        <v>0</v>
      </c>
      <c r="AI268" s="1">
        <f t="shared" si="70"/>
        <v>0</v>
      </c>
    </row>
    <row r="269" spans="1:35" s="1" customFormat="1" ht="14.25" customHeight="1" x14ac:dyDescent="0.25">
      <c r="A269" s="31">
        <v>0</v>
      </c>
      <c r="B269" s="31">
        <v>1</v>
      </c>
      <c r="C269" s="31">
        <v>7</v>
      </c>
      <c r="D269" s="32" t="s">
        <v>1200</v>
      </c>
      <c r="E269" s="32" t="s">
        <v>29</v>
      </c>
      <c r="F269" s="32" t="s">
        <v>1201</v>
      </c>
      <c r="G269" s="32" t="s">
        <v>237</v>
      </c>
      <c r="H269" s="32" t="s">
        <v>352</v>
      </c>
      <c r="I269" s="31" t="s">
        <v>1345</v>
      </c>
      <c r="J269" s="31">
        <v>99</v>
      </c>
      <c r="K269" s="33" t="s">
        <v>709</v>
      </c>
      <c r="L269" s="33" t="s">
        <v>690</v>
      </c>
      <c r="M269" s="34" t="s">
        <v>1391</v>
      </c>
      <c r="N269" s="34" t="s">
        <v>1739</v>
      </c>
      <c r="O269" s="35">
        <v>1</v>
      </c>
      <c r="P269" s="35"/>
      <c r="Q269" s="32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1</v>
      </c>
      <c r="AF269" s="1">
        <f t="shared" ref="AF269:AF332" si="83">+O269*P269*(1-A269)</f>
        <v>0</v>
      </c>
      <c r="AG269" s="1">
        <f t="shared" ref="AG269:AG332" si="84">O269*(1-P269)*(1-A269)</f>
        <v>1</v>
      </c>
      <c r="AH269" s="1">
        <f t="shared" ref="AH269:AH332" si="85">+P269*(1-A269)</f>
        <v>0</v>
      </c>
      <c r="AI269" s="1">
        <f t="shared" ref="AI269:AI332" si="86">+(1-A269)*(1-P269)</f>
        <v>1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6" t="s">
        <v>1217</v>
      </c>
      <c r="E270" s="32" t="s">
        <v>29</v>
      </c>
      <c r="F270" s="36" t="s">
        <v>1218</v>
      </c>
      <c r="G270" s="36" t="s">
        <v>237</v>
      </c>
      <c r="H270" s="36" t="s">
        <v>352</v>
      </c>
      <c r="I270" s="37" t="s">
        <v>1219</v>
      </c>
      <c r="J270" s="31">
        <v>99</v>
      </c>
      <c r="K270" s="33" t="s">
        <v>709</v>
      </c>
      <c r="L270" s="33" t="s">
        <v>689</v>
      </c>
      <c r="M270" s="34" t="s">
        <v>1391</v>
      </c>
      <c r="N270" s="34" t="s">
        <v>1809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6" t="s">
        <v>92</v>
      </c>
      <c r="E271" s="32" t="s">
        <v>29</v>
      </c>
      <c r="F271" s="36" t="s">
        <v>286</v>
      </c>
      <c r="G271" s="36" t="s">
        <v>189</v>
      </c>
      <c r="H271" s="36" t="s">
        <v>352</v>
      </c>
      <c r="I271" s="37" t="s">
        <v>438</v>
      </c>
      <c r="J271" s="31">
        <v>99</v>
      </c>
      <c r="K271" s="33" t="s">
        <v>709</v>
      </c>
      <c r="L271" s="33" t="s">
        <v>690</v>
      </c>
      <c r="M271" s="34" t="s">
        <v>1392</v>
      </c>
      <c r="N271" s="34" t="s">
        <v>1734</v>
      </c>
      <c r="O271" s="35">
        <v>1</v>
      </c>
      <c r="P271" s="35"/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0</v>
      </c>
      <c r="AE271" s="1">
        <f t="shared" si="82"/>
        <v>1</v>
      </c>
      <c r="AF271" s="1">
        <f t="shared" si="83"/>
        <v>0</v>
      </c>
      <c r="AG271" s="1">
        <f t="shared" si="84"/>
        <v>1</v>
      </c>
      <c r="AH271" s="1">
        <f t="shared" si="85"/>
        <v>0</v>
      </c>
      <c r="AI271" s="1">
        <f t="shared" si="86"/>
        <v>1</v>
      </c>
    </row>
    <row r="272" spans="1:35" s="1" customFormat="1" ht="14.25" customHeight="1" x14ac:dyDescent="0.25">
      <c r="A272" s="44">
        <v>0</v>
      </c>
      <c r="B272" s="44">
        <v>1</v>
      </c>
      <c r="C272" s="44">
        <v>7</v>
      </c>
      <c r="D272" s="45" t="s">
        <v>861</v>
      </c>
      <c r="E272" s="45" t="s">
        <v>29</v>
      </c>
      <c r="F272" s="45" t="s">
        <v>862</v>
      </c>
      <c r="G272" s="45" t="s">
        <v>193</v>
      </c>
      <c r="H272" s="45" t="s">
        <v>352</v>
      </c>
      <c r="I272" s="44" t="s">
        <v>863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1719</v>
      </c>
      <c r="O272" s="48"/>
      <c r="P272" s="48"/>
      <c r="Q272" s="45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1</v>
      </c>
      <c r="AB272" s="1">
        <f t="shared" si="80"/>
        <v>0</v>
      </c>
      <c r="AD272" s="1">
        <f t="shared" si="81"/>
        <v>0</v>
      </c>
      <c r="AE272" s="1">
        <f t="shared" si="82"/>
        <v>0</v>
      </c>
      <c r="AF272" s="1">
        <f t="shared" si="83"/>
        <v>0</v>
      </c>
      <c r="AG272" s="1">
        <f t="shared" si="84"/>
        <v>0</v>
      </c>
      <c r="AH272" s="1">
        <f t="shared" si="85"/>
        <v>0</v>
      </c>
      <c r="AI272" s="1">
        <f t="shared" si="86"/>
        <v>1</v>
      </c>
    </row>
    <row r="273" spans="1:35" s="1" customFormat="1" ht="14.25" customHeight="1" x14ac:dyDescent="0.25">
      <c r="A273" s="44">
        <v>1</v>
      </c>
      <c r="B273" s="44">
        <v>1</v>
      </c>
      <c r="C273" s="44">
        <v>7</v>
      </c>
      <c r="D273" s="45" t="s">
        <v>861</v>
      </c>
      <c r="E273" s="45" t="s">
        <v>29</v>
      </c>
      <c r="F273" s="45" t="s">
        <v>1055</v>
      </c>
      <c r="G273" s="45" t="s">
        <v>319</v>
      </c>
      <c r="H273" s="45" t="s">
        <v>352</v>
      </c>
      <c r="I273" s="44" t="s">
        <v>1056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1719</v>
      </c>
      <c r="O273" s="48"/>
      <c r="P273" s="48"/>
      <c r="Q273" s="45"/>
      <c r="S273" s="1">
        <f t="shared" ref="S273:S336" si="87">IF(J273=$S$7,1,0)</f>
        <v>0</v>
      </c>
      <c r="T273" s="1">
        <f t="shared" ref="T273:T336" si="88">IF(J273=$T$7,1,0)</f>
        <v>0</v>
      </c>
      <c r="U273" s="1">
        <f t="shared" ref="U273:U336" si="89">IF(J273=$U$7,1,0)</f>
        <v>0</v>
      </c>
      <c r="V273" s="1">
        <f t="shared" ref="V273:V336" si="90">IF(J273=$V$7,1,0)</f>
        <v>0</v>
      </c>
      <c r="W273" s="1">
        <f t="shared" ref="W273:W336" si="91">IF(J273=$W$7,1,0)</f>
        <v>0</v>
      </c>
      <c r="X273" s="1">
        <f t="shared" ref="X273:X336" si="92">IF(J273=$X$7,1,0)</f>
        <v>0</v>
      </c>
      <c r="Y273" s="1">
        <f t="shared" ref="Y273:Y336" si="93">IF(J273=$Y$7,1,0)</f>
        <v>0</v>
      </c>
      <c r="Z273" s="1">
        <f t="shared" ref="Z273:Z336" si="94">IF(J273=$Z$7,1,0)</f>
        <v>0</v>
      </c>
      <c r="AA273" s="1">
        <f t="shared" ref="AA273:AA336" si="95">IF(J273=$AA$7,1,0)</f>
        <v>0</v>
      </c>
      <c r="AB273" s="1">
        <f t="shared" ref="AB273:AB336" si="96">IF(J273=$AB$7,1,0)</f>
        <v>0</v>
      </c>
      <c r="AD273" s="1">
        <f t="shared" ref="AD273:AD336" si="97">+O273*P273</f>
        <v>0</v>
      </c>
      <c r="AE273" s="1">
        <f t="shared" ref="AE273:AE336" si="98">O273*(1-P273)</f>
        <v>0</v>
      </c>
      <c r="AF273" s="1">
        <f t="shared" si="83"/>
        <v>0</v>
      </c>
      <c r="AG273" s="1">
        <f t="shared" si="84"/>
        <v>0</v>
      </c>
      <c r="AH273" s="1">
        <f t="shared" si="85"/>
        <v>0</v>
      </c>
      <c r="AI273" s="1">
        <f t="shared" si="86"/>
        <v>0</v>
      </c>
    </row>
    <row r="274" spans="1:35" s="1" customFormat="1" ht="14.25" customHeight="1" x14ac:dyDescent="0.25">
      <c r="A274" s="44">
        <v>1</v>
      </c>
      <c r="B274" s="44">
        <v>1</v>
      </c>
      <c r="C274" s="44">
        <v>7</v>
      </c>
      <c r="D274" s="45" t="s">
        <v>861</v>
      </c>
      <c r="E274" s="45" t="s">
        <v>29</v>
      </c>
      <c r="F274" s="65" t="s">
        <v>2005</v>
      </c>
      <c r="G274" s="65" t="s">
        <v>193</v>
      </c>
      <c r="H274" s="45" t="s">
        <v>352</v>
      </c>
      <c r="I274" s="64" t="s">
        <v>863</v>
      </c>
      <c r="J274" s="44">
        <v>9</v>
      </c>
      <c r="K274" s="46" t="s">
        <v>709</v>
      </c>
      <c r="L274" s="46" t="s">
        <v>692</v>
      </c>
      <c r="M274" s="47" t="s">
        <v>704</v>
      </c>
      <c r="N274" s="47" t="s">
        <v>1719</v>
      </c>
      <c r="O274" s="48"/>
      <c r="P274" s="48"/>
      <c r="Q274" s="45"/>
      <c r="S274" s="1">
        <f t="shared" si="87"/>
        <v>0</v>
      </c>
      <c r="T274" s="1">
        <f t="shared" si="88"/>
        <v>0</v>
      </c>
      <c r="U274" s="1">
        <f t="shared" si="89"/>
        <v>0</v>
      </c>
      <c r="V274" s="1">
        <f t="shared" si="90"/>
        <v>0</v>
      </c>
      <c r="W274" s="1">
        <f t="shared" si="91"/>
        <v>0</v>
      </c>
      <c r="X274" s="1">
        <f t="shared" si="92"/>
        <v>0</v>
      </c>
      <c r="Y274" s="1">
        <f t="shared" si="93"/>
        <v>0</v>
      </c>
      <c r="Z274" s="1">
        <f t="shared" si="94"/>
        <v>0</v>
      </c>
      <c r="AA274" s="1">
        <f t="shared" si="95"/>
        <v>1</v>
      </c>
      <c r="AB274" s="1">
        <f t="shared" si="96"/>
        <v>0</v>
      </c>
      <c r="AD274" s="1">
        <f t="shared" si="97"/>
        <v>0</v>
      </c>
      <c r="AE274" s="1">
        <f t="shared" si="98"/>
        <v>0</v>
      </c>
      <c r="AF274" s="1">
        <f t="shared" si="83"/>
        <v>0</v>
      </c>
      <c r="AG274" s="1">
        <f t="shared" si="84"/>
        <v>0</v>
      </c>
      <c r="AH274" s="1">
        <f t="shared" si="85"/>
        <v>0</v>
      </c>
      <c r="AI274" s="1">
        <f t="shared" si="86"/>
        <v>0</v>
      </c>
    </row>
    <row r="275" spans="1:35" s="1" customFormat="1" ht="14.25" customHeight="1" x14ac:dyDescent="0.25">
      <c r="A275" s="44">
        <v>1</v>
      </c>
      <c r="B275" s="44">
        <v>1</v>
      </c>
      <c r="C275" s="44">
        <v>7</v>
      </c>
      <c r="D275" s="45" t="s">
        <v>861</v>
      </c>
      <c r="E275" s="45" t="s">
        <v>29</v>
      </c>
      <c r="F275" s="65" t="s">
        <v>2007</v>
      </c>
      <c r="G275" s="65" t="s">
        <v>208</v>
      </c>
      <c r="H275" s="45" t="s">
        <v>352</v>
      </c>
      <c r="I275" s="64" t="s">
        <v>2006</v>
      </c>
      <c r="J275" s="44">
        <v>99</v>
      </c>
      <c r="K275" s="46" t="s">
        <v>709</v>
      </c>
      <c r="L275" s="46" t="s">
        <v>692</v>
      </c>
      <c r="M275" s="47" t="s">
        <v>704</v>
      </c>
      <c r="N275" s="47" t="s">
        <v>1719</v>
      </c>
      <c r="O275" s="48"/>
      <c r="P275" s="48"/>
      <c r="Q275" s="45"/>
      <c r="S275" s="1">
        <f t="shared" si="87"/>
        <v>0</v>
      </c>
      <c r="T275" s="1">
        <f t="shared" si="88"/>
        <v>0</v>
      </c>
      <c r="U275" s="1">
        <f t="shared" si="89"/>
        <v>0</v>
      </c>
      <c r="V275" s="1">
        <f t="shared" si="90"/>
        <v>0</v>
      </c>
      <c r="W275" s="1">
        <f t="shared" si="91"/>
        <v>0</v>
      </c>
      <c r="X275" s="1">
        <f t="shared" si="92"/>
        <v>0</v>
      </c>
      <c r="Y275" s="1">
        <f t="shared" si="93"/>
        <v>0</v>
      </c>
      <c r="Z275" s="1">
        <f t="shared" si="94"/>
        <v>0</v>
      </c>
      <c r="AA275" s="1">
        <f t="shared" si="95"/>
        <v>0</v>
      </c>
      <c r="AB275" s="1">
        <f t="shared" si="96"/>
        <v>0</v>
      </c>
      <c r="AD275" s="1">
        <f t="shared" si="97"/>
        <v>0</v>
      </c>
      <c r="AE275" s="1">
        <f t="shared" si="98"/>
        <v>0</v>
      </c>
      <c r="AF275" s="1">
        <f t="shared" si="83"/>
        <v>0</v>
      </c>
      <c r="AG275" s="1">
        <f t="shared" si="84"/>
        <v>0</v>
      </c>
      <c r="AH275" s="1">
        <f t="shared" si="85"/>
        <v>0</v>
      </c>
      <c r="AI275" s="1">
        <f t="shared" si="86"/>
        <v>0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6" t="s">
        <v>95</v>
      </c>
      <c r="E276" s="32" t="s">
        <v>29</v>
      </c>
      <c r="F276" s="36" t="s">
        <v>290</v>
      </c>
      <c r="G276" s="36" t="s">
        <v>291</v>
      </c>
      <c r="H276" s="36" t="s">
        <v>352</v>
      </c>
      <c r="I276" s="37" t="s">
        <v>1104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1732</v>
      </c>
      <c r="O276" s="35">
        <v>1</v>
      </c>
      <c r="P276" s="35"/>
      <c r="Q276" s="36"/>
      <c r="S276" s="1">
        <f t="shared" si="87"/>
        <v>0</v>
      </c>
      <c r="T276" s="1">
        <f t="shared" si="88"/>
        <v>0</v>
      </c>
      <c r="U276" s="1">
        <f t="shared" si="89"/>
        <v>0</v>
      </c>
      <c r="V276" s="1">
        <f t="shared" si="90"/>
        <v>0</v>
      </c>
      <c r="W276" s="1">
        <f t="shared" si="91"/>
        <v>0</v>
      </c>
      <c r="X276" s="1">
        <f t="shared" si="92"/>
        <v>0</v>
      </c>
      <c r="Y276" s="1">
        <f t="shared" si="93"/>
        <v>0</v>
      </c>
      <c r="Z276" s="1">
        <f t="shared" si="94"/>
        <v>0</v>
      </c>
      <c r="AA276" s="1">
        <f t="shared" si="95"/>
        <v>0</v>
      </c>
      <c r="AB276" s="1">
        <f t="shared" si="96"/>
        <v>0</v>
      </c>
      <c r="AD276" s="1">
        <f t="shared" si="97"/>
        <v>0</v>
      </c>
      <c r="AE276" s="1">
        <f t="shared" si="98"/>
        <v>1</v>
      </c>
      <c r="AF276" s="1">
        <f t="shared" si="83"/>
        <v>0</v>
      </c>
      <c r="AG276" s="1">
        <f t="shared" si="84"/>
        <v>1</v>
      </c>
      <c r="AH276" s="1">
        <f t="shared" si="85"/>
        <v>0</v>
      </c>
      <c r="AI276" s="1">
        <f t="shared" si="86"/>
        <v>1</v>
      </c>
    </row>
    <row r="277" spans="1:35" s="1" customFormat="1" ht="14.25" customHeight="1" x14ac:dyDescent="0.25">
      <c r="A277" s="44">
        <v>0</v>
      </c>
      <c r="B277" s="44">
        <v>1</v>
      </c>
      <c r="C277" s="44">
        <v>7</v>
      </c>
      <c r="D277" s="45" t="s">
        <v>528</v>
      </c>
      <c r="E277" s="45" t="s">
        <v>29</v>
      </c>
      <c r="F277" s="45" t="s">
        <v>661</v>
      </c>
      <c r="G277" s="45" t="s">
        <v>39</v>
      </c>
      <c r="H277" s="45" t="s">
        <v>529</v>
      </c>
      <c r="I277" s="44" t="s">
        <v>1674</v>
      </c>
      <c r="J277" s="44">
        <v>14</v>
      </c>
      <c r="K277" s="46" t="s">
        <v>941</v>
      </c>
      <c r="L277" s="46">
        <v>40</v>
      </c>
      <c r="M277" s="47" t="s">
        <v>704</v>
      </c>
      <c r="N277" s="47" t="s">
        <v>1719</v>
      </c>
      <c r="O277" s="48"/>
      <c r="P277" s="48"/>
      <c r="Q277" s="45"/>
      <c r="S277" s="1">
        <f t="shared" si="87"/>
        <v>0</v>
      </c>
      <c r="T277" s="1">
        <f t="shared" si="88"/>
        <v>0</v>
      </c>
      <c r="U277" s="1">
        <f t="shared" si="89"/>
        <v>0</v>
      </c>
      <c r="V277" s="1">
        <f t="shared" si="90"/>
        <v>0</v>
      </c>
      <c r="W277" s="1">
        <f t="shared" si="91"/>
        <v>0</v>
      </c>
      <c r="X277" s="1">
        <f t="shared" si="92"/>
        <v>0</v>
      </c>
      <c r="Y277" s="1">
        <f t="shared" si="93"/>
        <v>0</v>
      </c>
      <c r="Z277" s="1">
        <f t="shared" si="94"/>
        <v>0</v>
      </c>
      <c r="AA277" s="1">
        <f t="shared" si="95"/>
        <v>0</v>
      </c>
      <c r="AB277" s="1">
        <f t="shared" si="96"/>
        <v>0</v>
      </c>
      <c r="AD277" s="1">
        <f t="shared" si="97"/>
        <v>0</v>
      </c>
      <c r="AE277" s="1">
        <f t="shared" si="98"/>
        <v>0</v>
      </c>
      <c r="AF277" s="1">
        <f t="shared" si="83"/>
        <v>0</v>
      </c>
      <c r="AG277" s="1">
        <f t="shared" si="84"/>
        <v>0</v>
      </c>
      <c r="AH277" s="1">
        <f t="shared" si="85"/>
        <v>0</v>
      </c>
      <c r="AI277" s="1">
        <f t="shared" si="86"/>
        <v>1</v>
      </c>
    </row>
    <row r="278" spans="1:35" s="1" customFormat="1" ht="14.25" customHeight="1" x14ac:dyDescent="0.25">
      <c r="A278" s="31">
        <v>0</v>
      </c>
      <c r="B278" s="31">
        <v>1</v>
      </c>
      <c r="C278" s="31">
        <v>7</v>
      </c>
      <c r="D278" s="36" t="s">
        <v>1305</v>
      </c>
      <c r="E278" s="32" t="s">
        <v>29</v>
      </c>
      <c r="F278" s="36" t="s">
        <v>1329</v>
      </c>
      <c r="G278" s="36" t="s">
        <v>39</v>
      </c>
      <c r="H278" s="36" t="s">
        <v>352</v>
      </c>
      <c r="I278" s="37" t="s">
        <v>1134</v>
      </c>
      <c r="J278" s="31">
        <v>99</v>
      </c>
      <c r="K278" s="33" t="s">
        <v>709</v>
      </c>
      <c r="L278" s="33" t="s">
        <v>689</v>
      </c>
      <c r="M278" s="34" t="s">
        <v>1393</v>
      </c>
      <c r="N278" s="34" t="s">
        <v>1717</v>
      </c>
      <c r="O278" s="35">
        <v>1</v>
      </c>
      <c r="P278" s="35">
        <v>1</v>
      </c>
      <c r="Q278" s="36"/>
      <c r="S278" s="1">
        <f t="shared" si="87"/>
        <v>0</v>
      </c>
      <c r="T278" s="1">
        <f t="shared" si="88"/>
        <v>0</v>
      </c>
      <c r="U278" s="1">
        <f t="shared" si="89"/>
        <v>0</v>
      </c>
      <c r="V278" s="1">
        <f t="shared" si="90"/>
        <v>0</v>
      </c>
      <c r="W278" s="1">
        <f t="shared" si="91"/>
        <v>0</v>
      </c>
      <c r="X278" s="1">
        <f t="shared" si="92"/>
        <v>0</v>
      </c>
      <c r="Y278" s="1">
        <f t="shared" si="93"/>
        <v>0</v>
      </c>
      <c r="Z278" s="1">
        <f t="shared" si="94"/>
        <v>0</v>
      </c>
      <c r="AA278" s="1">
        <f t="shared" si="95"/>
        <v>0</v>
      </c>
      <c r="AB278" s="1">
        <f t="shared" si="96"/>
        <v>0</v>
      </c>
      <c r="AD278" s="1">
        <f t="shared" si="97"/>
        <v>1</v>
      </c>
      <c r="AE278" s="1">
        <f t="shared" si="98"/>
        <v>0</v>
      </c>
      <c r="AF278" s="1">
        <f t="shared" si="83"/>
        <v>1</v>
      </c>
      <c r="AG278" s="1">
        <f t="shared" si="84"/>
        <v>0</v>
      </c>
      <c r="AH278" s="1">
        <f t="shared" si="85"/>
        <v>1</v>
      </c>
      <c r="AI278" s="1">
        <f t="shared" si="86"/>
        <v>0</v>
      </c>
    </row>
    <row r="279" spans="1:35" s="1" customFormat="1" ht="14.25" customHeight="1" x14ac:dyDescent="0.25">
      <c r="A279" s="44">
        <v>0</v>
      </c>
      <c r="B279" s="44">
        <v>1</v>
      </c>
      <c r="C279" s="44">
        <v>7</v>
      </c>
      <c r="D279" s="45" t="s">
        <v>96</v>
      </c>
      <c r="E279" s="45" t="s">
        <v>29</v>
      </c>
      <c r="F279" s="45" t="s">
        <v>293</v>
      </c>
      <c r="G279" s="45" t="s">
        <v>262</v>
      </c>
      <c r="H279" s="45" t="s">
        <v>352</v>
      </c>
      <c r="I279" s="44" t="s">
        <v>442</v>
      </c>
      <c r="J279" s="44">
        <v>1</v>
      </c>
      <c r="K279" s="46" t="s">
        <v>709</v>
      </c>
      <c r="L279" s="46" t="s">
        <v>690</v>
      </c>
      <c r="M279" s="47" t="s">
        <v>704</v>
      </c>
      <c r="N279" s="47" t="s">
        <v>1719</v>
      </c>
      <c r="O279" s="48"/>
      <c r="P279" s="48"/>
      <c r="Q279" s="45"/>
      <c r="S279" s="1">
        <f t="shared" si="87"/>
        <v>1</v>
      </c>
      <c r="T279" s="1">
        <f t="shared" si="88"/>
        <v>0</v>
      </c>
      <c r="U279" s="1">
        <f t="shared" si="89"/>
        <v>0</v>
      </c>
      <c r="V279" s="1">
        <f t="shared" si="90"/>
        <v>0</v>
      </c>
      <c r="W279" s="1">
        <f t="shared" si="91"/>
        <v>0</v>
      </c>
      <c r="X279" s="1">
        <f t="shared" si="92"/>
        <v>0</v>
      </c>
      <c r="Y279" s="1">
        <f t="shared" si="93"/>
        <v>0</v>
      </c>
      <c r="Z279" s="1">
        <f t="shared" si="94"/>
        <v>0</v>
      </c>
      <c r="AA279" s="1">
        <f t="shared" si="95"/>
        <v>0</v>
      </c>
      <c r="AB279" s="1">
        <f t="shared" si="96"/>
        <v>0</v>
      </c>
      <c r="AD279" s="1">
        <f t="shared" si="97"/>
        <v>0</v>
      </c>
      <c r="AE279" s="1">
        <f t="shared" si="98"/>
        <v>0</v>
      </c>
      <c r="AF279" s="1">
        <f t="shared" si="83"/>
        <v>0</v>
      </c>
      <c r="AG279" s="1">
        <f t="shared" si="84"/>
        <v>0</v>
      </c>
      <c r="AH279" s="1">
        <f t="shared" si="85"/>
        <v>0</v>
      </c>
      <c r="AI279" s="1">
        <f t="shared" si="86"/>
        <v>1</v>
      </c>
    </row>
    <row r="280" spans="1:35" s="1" customFormat="1" ht="14.25" customHeight="1" x14ac:dyDescent="0.25">
      <c r="A280" s="15">
        <v>0</v>
      </c>
      <c r="B280" s="15">
        <v>1</v>
      </c>
      <c r="C280" s="15">
        <v>7</v>
      </c>
      <c r="D280" s="16" t="s">
        <v>751</v>
      </c>
      <c r="E280" s="16" t="s">
        <v>29</v>
      </c>
      <c r="F280" s="20" t="s">
        <v>2083</v>
      </c>
      <c r="G280" s="16" t="s">
        <v>39</v>
      </c>
      <c r="H280" s="20" t="s">
        <v>365</v>
      </c>
      <c r="I280" s="21" t="s">
        <v>2084</v>
      </c>
      <c r="J280" s="15">
        <v>18</v>
      </c>
      <c r="K280" s="10" t="s">
        <v>699</v>
      </c>
      <c r="L280" s="10" t="s">
        <v>693</v>
      </c>
      <c r="M280" s="19" t="s">
        <v>704</v>
      </c>
      <c r="N280" s="17"/>
      <c r="Q280" s="16"/>
      <c r="S280" s="1">
        <f t="shared" si="87"/>
        <v>0</v>
      </c>
      <c r="T280" s="1">
        <f t="shared" si="88"/>
        <v>0</v>
      </c>
      <c r="U280" s="1">
        <f t="shared" si="89"/>
        <v>0</v>
      </c>
      <c r="V280" s="1">
        <f t="shared" si="90"/>
        <v>0</v>
      </c>
      <c r="W280" s="1">
        <f t="shared" si="91"/>
        <v>0</v>
      </c>
      <c r="X280" s="1">
        <f t="shared" si="92"/>
        <v>0</v>
      </c>
      <c r="Y280" s="1">
        <f t="shared" si="93"/>
        <v>0</v>
      </c>
      <c r="Z280" s="1">
        <f t="shared" si="94"/>
        <v>0</v>
      </c>
      <c r="AA280" s="1">
        <f t="shared" si="95"/>
        <v>0</v>
      </c>
      <c r="AB280" s="1">
        <f t="shared" si="96"/>
        <v>0</v>
      </c>
      <c r="AD280" s="1">
        <f t="shared" si="97"/>
        <v>0</v>
      </c>
      <c r="AE280" s="1">
        <f t="shared" si="98"/>
        <v>0</v>
      </c>
      <c r="AF280" s="1">
        <f t="shared" si="83"/>
        <v>0</v>
      </c>
      <c r="AG280" s="1">
        <f t="shared" si="84"/>
        <v>0</v>
      </c>
      <c r="AH280" s="1">
        <f t="shared" si="85"/>
        <v>0</v>
      </c>
      <c r="AI280" s="1">
        <f t="shared" si="86"/>
        <v>1</v>
      </c>
    </row>
    <row r="281" spans="1:35" s="1" customFormat="1" ht="14.25" customHeight="1" x14ac:dyDescent="0.25">
      <c r="A281" s="31">
        <v>0</v>
      </c>
      <c r="B281" s="31">
        <v>1</v>
      </c>
      <c r="C281" s="31">
        <v>7</v>
      </c>
      <c r="D281" s="36" t="s">
        <v>1502</v>
      </c>
      <c r="E281" s="32" t="s">
        <v>29</v>
      </c>
      <c r="F281" s="36" t="s">
        <v>1655</v>
      </c>
      <c r="G281" s="36" t="s">
        <v>1656</v>
      </c>
      <c r="H281" s="36" t="s">
        <v>352</v>
      </c>
      <c r="I281" s="37" t="s">
        <v>1503</v>
      </c>
      <c r="J281" s="31">
        <v>99</v>
      </c>
      <c r="K281" s="33" t="s">
        <v>709</v>
      </c>
      <c r="L281" s="33" t="s">
        <v>39</v>
      </c>
      <c r="M281" s="34" t="s">
        <v>39</v>
      </c>
      <c r="N281" s="34" t="s">
        <v>1711</v>
      </c>
      <c r="O281" s="35">
        <v>1</v>
      </c>
      <c r="P281" s="35">
        <v>1</v>
      </c>
      <c r="Q281" s="36"/>
      <c r="S281" s="1">
        <f t="shared" si="87"/>
        <v>0</v>
      </c>
      <c r="T281" s="1">
        <f t="shared" si="88"/>
        <v>0</v>
      </c>
      <c r="U281" s="1">
        <f t="shared" si="89"/>
        <v>0</v>
      </c>
      <c r="V281" s="1">
        <f t="shared" si="90"/>
        <v>0</v>
      </c>
      <c r="W281" s="1">
        <f t="shared" si="91"/>
        <v>0</v>
      </c>
      <c r="X281" s="1">
        <f t="shared" si="92"/>
        <v>0</v>
      </c>
      <c r="Y281" s="1">
        <f t="shared" si="93"/>
        <v>0</v>
      </c>
      <c r="Z281" s="1">
        <f t="shared" si="94"/>
        <v>0</v>
      </c>
      <c r="AA281" s="1">
        <f t="shared" si="95"/>
        <v>0</v>
      </c>
      <c r="AB281" s="1">
        <f t="shared" si="96"/>
        <v>0</v>
      </c>
      <c r="AD281" s="1">
        <f t="shared" si="97"/>
        <v>1</v>
      </c>
      <c r="AE281" s="1">
        <f t="shared" si="98"/>
        <v>0</v>
      </c>
      <c r="AF281" s="1">
        <f t="shared" si="83"/>
        <v>1</v>
      </c>
      <c r="AG281" s="1">
        <f t="shared" si="84"/>
        <v>0</v>
      </c>
      <c r="AH281" s="1">
        <f t="shared" si="85"/>
        <v>1</v>
      </c>
      <c r="AI281" s="1">
        <f t="shared" si="86"/>
        <v>0</v>
      </c>
    </row>
    <row r="282" spans="1:35" s="1" customFormat="1" ht="14.25" customHeight="1" x14ac:dyDescent="0.25">
      <c r="A282" s="44">
        <v>0</v>
      </c>
      <c r="B282" s="44">
        <v>1</v>
      </c>
      <c r="C282" s="44">
        <v>7</v>
      </c>
      <c r="D282" s="45" t="s">
        <v>1128</v>
      </c>
      <c r="E282" s="45" t="s">
        <v>29</v>
      </c>
      <c r="F282" s="45" t="s">
        <v>1129</v>
      </c>
      <c r="G282" s="45" t="s">
        <v>1131</v>
      </c>
      <c r="H282" s="45" t="s">
        <v>352</v>
      </c>
      <c r="I282" s="44" t="s">
        <v>1130</v>
      </c>
      <c r="J282" s="44">
        <v>99</v>
      </c>
      <c r="K282" s="46" t="s">
        <v>699</v>
      </c>
      <c r="L282" s="46">
        <v>30</v>
      </c>
      <c r="M282" s="47" t="s">
        <v>1394</v>
      </c>
      <c r="N282" s="47" t="s">
        <v>1793</v>
      </c>
      <c r="O282" s="48"/>
      <c r="P282" s="48"/>
      <c r="Q282" s="45"/>
      <c r="S282" s="1">
        <f t="shared" si="87"/>
        <v>0</v>
      </c>
      <c r="T282" s="1">
        <f t="shared" si="88"/>
        <v>0</v>
      </c>
      <c r="U282" s="1">
        <f t="shared" si="89"/>
        <v>0</v>
      </c>
      <c r="V282" s="1">
        <f t="shared" si="90"/>
        <v>0</v>
      </c>
      <c r="W282" s="1">
        <f t="shared" si="91"/>
        <v>0</v>
      </c>
      <c r="X282" s="1">
        <f t="shared" si="92"/>
        <v>0</v>
      </c>
      <c r="Y282" s="1">
        <f t="shared" si="93"/>
        <v>0</v>
      </c>
      <c r="Z282" s="1">
        <f t="shared" si="94"/>
        <v>0</v>
      </c>
      <c r="AA282" s="1">
        <f t="shared" si="95"/>
        <v>0</v>
      </c>
      <c r="AB282" s="1">
        <f t="shared" si="96"/>
        <v>0</v>
      </c>
      <c r="AD282" s="1">
        <f t="shared" si="97"/>
        <v>0</v>
      </c>
      <c r="AE282" s="1">
        <f t="shared" si="98"/>
        <v>0</v>
      </c>
      <c r="AF282" s="1">
        <f t="shared" si="83"/>
        <v>0</v>
      </c>
      <c r="AG282" s="1">
        <f t="shared" si="84"/>
        <v>0</v>
      </c>
      <c r="AH282" s="1">
        <f t="shared" si="85"/>
        <v>0</v>
      </c>
      <c r="AI282" s="1">
        <f t="shared" si="86"/>
        <v>1</v>
      </c>
    </row>
    <row r="283" spans="1:35" s="1" customFormat="1" ht="14.25" customHeight="1" x14ac:dyDescent="0.25">
      <c r="A283" s="31">
        <v>0</v>
      </c>
      <c r="B283" s="31">
        <v>1</v>
      </c>
      <c r="C283" s="31">
        <v>7</v>
      </c>
      <c r="D283" s="32" t="s">
        <v>98</v>
      </c>
      <c r="E283" s="32" t="s">
        <v>29</v>
      </c>
      <c r="F283" s="32" t="s">
        <v>295</v>
      </c>
      <c r="G283" s="32" t="s">
        <v>196</v>
      </c>
      <c r="H283" s="32" t="s">
        <v>352</v>
      </c>
      <c r="I283" s="31" t="s">
        <v>443</v>
      </c>
      <c r="J283" s="31">
        <v>9</v>
      </c>
      <c r="K283" s="33" t="s">
        <v>699</v>
      </c>
      <c r="L283" s="33">
        <v>30</v>
      </c>
      <c r="M283" s="34" t="s">
        <v>704</v>
      </c>
      <c r="N283" s="34" t="s">
        <v>1727</v>
      </c>
      <c r="O283" s="35">
        <v>1</v>
      </c>
      <c r="P283" s="35"/>
      <c r="Q283" s="32"/>
      <c r="S283" s="1">
        <f t="shared" si="87"/>
        <v>0</v>
      </c>
      <c r="T283" s="1">
        <f t="shared" si="88"/>
        <v>0</v>
      </c>
      <c r="U283" s="1">
        <f t="shared" si="89"/>
        <v>0</v>
      </c>
      <c r="V283" s="1">
        <f t="shared" si="90"/>
        <v>0</v>
      </c>
      <c r="W283" s="1">
        <f t="shared" si="91"/>
        <v>0</v>
      </c>
      <c r="X283" s="1">
        <f t="shared" si="92"/>
        <v>0</v>
      </c>
      <c r="Y283" s="1">
        <f t="shared" si="93"/>
        <v>0</v>
      </c>
      <c r="Z283" s="1">
        <f t="shared" si="94"/>
        <v>0</v>
      </c>
      <c r="AA283" s="1">
        <f t="shared" si="95"/>
        <v>1</v>
      </c>
      <c r="AB283" s="1">
        <f t="shared" si="96"/>
        <v>0</v>
      </c>
      <c r="AD283" s="1">
        <f t="shared" si="97"/>
        <v>0</v>
      </c>
      <c r="AE283" s="1">
        <f t="shared" si="98"/>
        <v>1</v>
      </c>
      <c r="AF283" s="1">
        <f t="shared" si="83"/>
        <v>0</v>
      </c>
      <c r="AG283" s="1">
        <f t="shared" si="84"/>
        <v>1</v>
      </c>
      <c r="AH283" s="1">
        <f t="shared" si="85"/>
        <v>0</v>
      </c>
      <c r="AI283" s="1">
        <f t="shared" si="86"/>
        <v>1</v>
      </c>
    </row>
    <row r="284" spans="1:35" s="1" customFormat="1" ht="14.25" customHeight="1" x14ac:dyDescent="0.25">
      <c r="A284" s="31">
        <v>0</v>
      </c>
      <c r="B284" s="31">
        <v>1</v>
      </c>
      <c r="C284" s="31">
        <v>7</v>
      </c>
      <c r="D284" s="32" t="s">
        <v>794</v>
      </c>
      <c r="E284" s="32" t="s">
        <v>29</v>
      </c>
      <c r="F284" s="32" t="s">
        <v>773</v>
      </c>
      <c r="G284" s="32" t="s">
        <v>795</v>
      </c>
      <c r="H284" s="32" t="s">
        <v>352</v>
      </c>
      <c r="I284" s="31" t="s">
        <v>939</v>
      </c>
      <c r="J284" s="31">
        <v>99</v>
      </c>
      <c r="K284" s="33" t="s">
        <v>709</v>
      </c>
      <c r="L284" s="33" t="s">
        <v>690</v>
      </c>
      <c r="M284" s="34" t="s">
        <v>704</v>
      </c>
      <c r="N284" s="34" t="s">
        <v>1809</v>
      </c>
      <c r="O284" s="35">
        <v>1</v>
      </c>
      <c r="P284" s="35"/>
      <c r="Q284" s="32"/>
      <c r="S284" s="1">
        <f t="shared" si="87"/>
        <v>0</v>
      </c>
      <c r="T284" s="1">
        <f t="shared" si="88"/>
        <v>0</v>
      </c>
      <c r="U284" s="1">
        <f t="shared" si="89"/>
        <v>0</v>
      </c>
      <c r="V284" s="1">
        <f t="shared" si="90"/>
        <v>0</v>
      </c>
      <c r="W284" s="1">
        <f t="shared" si="91"/>
        <v>0</v>
      </c>
      <c r="X284" s="1">
        <f t="shared" si="92"/>
        <v>0</v>
      </c>
      <c r="Y284" s="1">
        <f t="shared" si="93"/>
        <v>0</v>
      </c>
      <c r="Z284" s="1">
        <f t="shared" si="94"/>
        <v>0</v>
      </c>
      <c r="AA284" s="1">
        <f t="shared" si="95"/>
        <v>0</v>
      </c>
      <c r="AB284" s="1">
        <f t="shared" si="96"/>
        <v>0</v>
      </c>
      <c r="AD284" s="1">
        <f t="shared" si="97"/>
        <v>0</v>
      </c>
      <c r="AE284" s="1">
        <f t="shared" si="98"/>
        <v>1</v>
      </c>
      <c r="AF284" s="1">
        <f t="shared" si="83"/>
        <v>0</v>
      </c>
      <c r="AG284" s="1">
        <f t="shared" si="84"/>
        <v>1</v>
      </c>
      <c r="AH284" s="1">
        <f t="shared" si="85"/>
        <v>0</v>
      </c>
      <c r="AI284" s="1">
        <f t="shared" si="86"/>
        <v>1</v>
      </c>
    </row>
    <row r="285" spans="1:35" s="1" customFormat="1" ht="14.25" customHeight="1" x14ac:dyDescent="0.25">
      <c r="A285" s="31">
        <v>0</v>
      </c>
      <c r="B285" s="31">
        <v>1</v>
      </c>
      <c r="C285" s="31">
        <v>7</v>
      </c>
      <c r="D285" s="32" t="s">
        <v>1308</v>
      </c>
      <c r="E285" s="32" t="s">
        <v>29</v>
      </c>
      <c r="F285" s="32" t="s">
        <v>1331</v>
      </c>
      <c r="G285" s="32" t="s">
        <v>1165</v>
      </c>
      <c r="H285" s="32" t="s">
        <v>352</v>
      </c>
      <c r="I285" s="31" t="s">
        <v>1676</v>
      </c>
      <c r="J285" s="31">
        <v>99</v>
      </c>
      <c r="K285" s="33" t="s">
        <v>709</v>
      </c>
      <c r="L285" s="33" t="s">
        <v>690</v>
      </c>
      <c r="M285" s="34" t="s">
        <v>1395</v>
      </c>
      <c r="N285" s="34" t="s">
        <v>1745</v>
      </c>
      <c r="O285" s="35">
        <v>1</v>
      </c>
      <c r="P285" s="35"/>
      <c r="Q285" s="32"/>
      <c r="S285" s="1">
        <f t="shared" si="87"/>
        <v>0</v>
      </c>
      <c r="T285" s="1">
        <f t="shared" si="88"/>
        <v>0</v>
      </c>
      <c r="U285" s="1">
        <f t="shared" si="89"/>
        <v>0</v>
      </c>
      <c r="V285" s="1">
        <f t="shared" si="90"/>
        <v>0</v>
      </c>
      <c r="W285" s="1">
        <f t="shared" si="91"/>
        <v>0</v>
      </c>
      <c r="X285" s="1">
        <f t="shared" si="92"/>
        <v>0</v>
      </c>
      <c r="Y285" s="1">
        <f t="shared" si="93"/>
        <v>0</v>
      </c>
      <c r="Z285" s="1">
        <f t="shared" si="94"/>
        <v>0</v>
      </c>
      <c r="AA285" s="1">
        <f t="shared" si="95"/>
        <v>0</v>
      </c>
      <c r="AB285" s="1">
        <f t="shared" si="96"/>
        <v>0</v>
      </c>
      <c r="AD285" s="1">
        <f t="shared" si="97"/>
        <v>0</v>
      </c>
      <c r="AE285" s="1">
        <f t="shared" si="98"/>
        <v>1</v>
      </c>
      <c r="AF285" s="1">
        <f t="shared" si="83"/>
        <v>0</v>
      </c>
      <c r="AG285" s="1">
        <f t="shared" si="84"/>
        <v>1</v>
      </c>
      <c r="AH285" s="1">
        <f t="shared" si="85"/>
        <v>0</v>
      </c>
      <c r="AI285" s="1">
        <f t="shared" si="86"/>
        <v>1</v>
      </c>
    </row>
    <row r="286" spans="1:35" s="1" customFormat="1" ht="14.25" customHeight="1" x14ac:dyDescent="0.25">
      <c r="A286" s="15">
        <v>0</v>
      </c>
      <c r="B286" s="15">
        <v>1</v>
      </c>
      <c r="C286" s="15">
        <v>7</v>
      </c>
      <c r="D286" s="16" t="s">
        <v>1263</v>
      </c>
      <c r="E286" s="16" t="s">
        <v>29</v>
      </c>
      <c r="F286" s="16" t="s">
        <v>1264</v>
      </c>
      <c r="G286" s="16" t="s">
        <v>1265</v>
      </c>
      <c r="H286" s="16" t="s">
        <v>352</v>
      </c>
      <c r="I286" s="15" t="s">
        <v>1266</v>
      </c>
      <c r="J286" s="15">
        <v>99</v>
      </c>
      <c r="K286" s="10" t="s">
        <v>709</v>
      </c>
      <c r="L286" s="10" t="s">
        <v>690</v>
      </c>
      <c r="M286" s="19" t="s">
        <v>704</v>
      </c>
      <c r="N286" s="17"/>
      <c r="Q286" s="16"/>
      <c r="S286" s="1">
        <f t="shared" si="87"/>
        <v>0</v>
      </c>
      <c r="T286" s="1">
        <f t="shared" si="88"/>
        <v>0</v>
      </c>
      <c r="U286" s="1">
        <f t="shared" si="89"/>
        <v>0</v>
      </c>
      <c r="V286" s="1">
        <f t="shared" si="90"/>
        <v>0</v>
      </c>
      <c r="W286" s="1">
        <f t="shared" si="91"/>
        <v>0</v>
      </c>
      <c r="X286" s="1">
        <f t="shared" si="92"/>
        <v>0</v>
      </c>
      <c r="Y286" s="1">
        <f t="shared" si="93"/>
        <v>0</v>
      </c>
      <c r="Z286" s="1">
        <f t="shared" si="94"/>
        <v>0</v>
      </c>
      <c r="AA286" s="1">
        <f t="shared" si="95"/>
        <v>0</v>
      </c>
      <c r="AB286" s="1">
        <f t="shared" si="96"/>
        <v>0</v>
      </c>
      <c r="AD286" s="1">
        <f t="shared" si="97"/>
        <v>0</v>
      </c>
      <c r="AE286" s="1">
        <f t="shared" si="98"/>
        <v>0</v>
      </c>
      <c r="AF286" s="1">
        <f t="shared" si="83"/>
        <v>0</v>
      </c>
      <c r="AG286" s="1">
        <f t="shared" si="84"/>
        <v>0</v>
      </c>
      <c r="AH286" s="1">
        <f t="shared" si="85"/>
        <v>0</v>
      </c>
      <c r="AI286" s="1">
        <f t="shared" si="86"/>
        <v>1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2" t="s">
        <v>705</v>
      </c>
      <c r="E287" s="32" t="s">
        <v>29</v>
      </c>
      <c r="F287" s="32" t="s">
        <v>706</v>
      </c>
      <c r="G287" s="32" t="s">
        <v>183</v>
      </c>
      <c r="H287" s="32" t="s">
        <v>352</v>
      </c>
      <c r="I287" s="31" t="s">
        <v>707</v>
      </c>
      <c r="J287" s="31">
        <v>99</v>
      </c>
      <c r="K287" s="33" t="s">
        <v>942</v>
      </c>
      <c r="L287" s="33" t="s">
        <v>39</v>
      </c>
      <c r="M287" s="34" t="s">
        <v>39</v>
      </c>
      <c r="N287" s="34" t="s">
        <v>1717</v>
      </c>
      <c r="O287" s="35">
        <v>1</v>
      </c>
      <c r="P287" s="35">
        <v>1</v>
      </c>
      <c r="Q287" s="32"/>
      <c r="S287" s="1">
        <f t="shared" si="87"/>
        <v>0</v>
      </c>
      <c r="T287" s="1">
        <f t="shared" si="88"/>
        <v>0</v>
      </c>
      <c r="U287" s="1">
        <f t="shared" si="89"/>
        <v>0</v>
      </c>
      <c r="V287" s="1">
        <f t="shared" si="90"/>
        <v>0</v>
      </c>
      <c r="W287" s="1">
        <f t="shared" si="91"/>
        <v>0</v>
      </c>
      <c r="X287" s="1">
        <f t="shared" si="92"/>
        <v>0</v>
      </c>
      <c r="Y287" s="1">
        <f t="shared" si="93"/>
        <v>0</v>
      </c>
      <c r="Z287" s="1">
        <f t="shared" si="94"/>
        <v>0</v>
      </c>
      <c r="AA287" s="1">
        <f t="shared" si="95"/>
        <v>0</v>
      </c>
      <c r="AB287" s="1">
        <f t="shared" si="96"/>
        <v>0</v>
      </c>
      <c r="AD287" s="1">
        <f t="shared" si="97"/>
        <v>1</v>
      </c>
      <c r="AE287" s="1">
        <f t="shared" si="98"/>
        <v>0</v>
      </c>
      <c r="AF287" s="1">
        <f t="shared" si="83"/>
        <v>1</v>
      </c>
      <c r="AG287" s="1">
        <f t="shared" si="84"/>
        <v>0</v>
      </c>
      <c r="AH287" s="1">
        <f t="shared" si="85"/>
        <v>1</v>
      </c>
      <c r="AI287" s="1">
        <f t="shared" si="86"/>
        <v>0</v>
      </c>
    </row>
    <row r="288" spans="1:35" s="1" customFormat="1" ht="14.25" customHeight="1" x14ac:dyDescent="0.25">
      <c r="A288" s="31">
        <v>0</v>
      </c>
      <c r="B288" s="31">
        <v>2</v>
      </c>
      <c r="C288" s="31">
        <v>1</v>
      </c>
      <c r="D288" s="32" t="s">
        <v>532</v>
      </c>
      <c r="E288" s="32" t="s">
        <v>34</v>
      </c>
      <c r="F288" s="32" t="s">
        <v>533</v>
      </c>
      <c r="G288" s="32" t="s">
        <v>219</v>
      </c>
      <c r="H288" s="32" t="s">
        <v>352</v>
      </c>
      <c r="I288" s="31" t="s">
        <v>534</v>
      </c>
      <c r="J288" s="31">
        <v>8</v>
      </c>
      <c r="K288" s="33" t="s">
        <v>709</v>
      </c>
      <c r="L288" s="33" t="s">
        <v>709</v>
      </c>
      <c r="M288" s="34" t="s">
        <v>710</v>
      </c>
      <c r="N288" s="34" t="s">
        <v>1732</v>
      </c>
      <c r="O288" s="35">
        <v>1</v>
      </c>
      <c r="P288" s="35"/>
      <c r="Q288" s="32"/>
      <c r="S288" s="1">
        <f t="shared" si="87"/>
        <v>0</v>
      </c>
      <c r="T288" s="1">
        <f t="shared" si="88"/>
        <v>0</v>
      </c>
      <c r="U288" s="1">
        <f t="shared" si="89"/>
        <v>0</v>
      </c>
      <c r="V288" s="1">
        <f t="shared" si="90"/>
        <v>0</v>
      </c>
      <c r="W288" s="1">
        <f t="shared" si="91"/>
        <v>0</v>
      </c>
      <c r="X288" s="1">
        <f t="shared" si="92"/>
        <v>0</v>
      </c>
      <c r="Y288" s="1">
        <f t="shared" si="93"/>
        <v>0</v>
      </c>
      <c r="Z288" s="1">
        <f t="shared" si="94"/>
        <v>1</v>
      </c>
      <c r="AA288" s="1">
        <f t="shared" si="95"/>
        <v>0</v>
      </c>
      <c r="AB288" s="1">
        <f t="shared" si="96"/>
        <v>0</v>
      </c>
      <c r="AD288" s="1">
        <f t="shared" si="97"/>
        <v>0</v>
      </c>
      <c r="AE288" s="1">
        <f t="shared" si="98"/>
        <v>1</v>
      </c>
      <c r="AF288" s="1">
        <f t="shared" si="83"/>
        <v>0</v>
      </c>
      <c r="AG288" s="1">
        <f t="shared" si="84"/>
        <v>1</v>
      </c>
      <c r="AH288" s="1">
        <f t="shared" si="85"/>
        <v>0</v>
      </c>
      <c r="AI288" s="1">
        <f t="shared" si="86"/>
        <v>1</v>
      </c>
    </row>
    <row r="289" spans="1:35" s="1" customFormat="1" ht="14.25" customHeight="1" x14ac:dyDescent="0.25">
      <c r="A289" s="31">
        <v>0</v>
      </c>
      <c r="B289" s="31">
        <v>2</v>
      </c>
      <c r="C289" s="31">
        <v>1</v>
      </c>
      <c r="D289" s="32" t="s">
        <v>1274</v>
      </c>
      <c r="E289" s="32" t="s">
        <v>557</v>
      </c>
      <c r="F289" s="32" t="s">
        <v>1275</v>
      </c>
      <c r="G289" s="32" t="s">
        <v>229</v>
      </c>
      <c r="H289" s="32" t="s">
        <v>352</v>
      </c>
      <c r="I289" s="31" t="s">
        <v>1276</v>
      </c>
      <c r="J289" s="31">
        <v>7</v>
      </c>
      <c r="K289" s="33" t="s">
        <v>709</v>
      </c>
      <c r="L289" s="33" t="s">
        <v>709</v>
      </c>
      <c r="M289" s="34" t="s">
        <v>710</v>
      </c>
      <c r="N289" s="34" t="s">
        <v>1740</v>
      </c>
      <c r="O289" s="35">
        <v>1</v>
      </c>
      <c r="P289" s="35"/>
      <c r="Q289" s="32"/>
      <c r="S289" s="1">
        <f t="shared" si="87"/>
        <v>0</v>
      </c>
      <c r="T289" s="1">
        <f t="shared" si="88"/>
        <v>0</v>
      </c>
      <c r="U289" s="1">
        <f t="shared" si="89"/>
        <v>0</v>
      </c>
      <c r="V289" s="1">
        <f t="shared" si="90"/>
        <v>0</v>
      </c>
      <c r="W289" s="1">
        <f t="shared" si="91"/>
        <v>0</v>
      </c>
      <c r="X289" s="1">
        <f t="shared" si="92"/>
        <v>0</v>
      </c>
      <c r="Y289" s="1">
        <f t="shared" si="93"/>
        <v>1</v>
      </c>
      <c r="Z289" s="1">
        <f t="shared" si="94"/>
        <v>0</v>
      </c>
      <c r="AA289" s="1">
        <f t="shared" si="95"/>
        <v>0</v>
      </c>
      <c r="AB289" s="1">
        <f t="shared" si="96"/>
        <v>0</v>
      </c>
      <c r="AD289" s="1">
        <f t="shared" si="97"/>
        <v>0</v>
      </c>
      <c r="AE289" s="1">
        <f t="shared" si="98"/>
        <v>1</v>
      </c>
      <c r="AF289" s="1">
        <f t="shared" si="83"/>
        <v>0</v>
      </c>
      <c r="AG289" s="1">
        <f t="shared" si="84"/>
        <v>1</v>
      </c>
      <c r="AH289" s="1">
        <f t="shared" si="85"/>
        <v>0</v>
      </c>
      <c r="AI289" s="1">
        <f t="shared" si="86"/>
        <v>1</v>
      </c>
    </row>
    <row r="290" spans="1:35" s="1" customFormat="1" ht="14.25" customHeight="1" x14ac:dyDescent="0.25">
      <c r="A290" s="31">
        <v>0</v>
      </c>
      <c r="B290" s="31">
        <v>2</v>
      </c>
      <c r="C290" s="31">
        <v>1</v>
      </c>
      <c r="D290" s="32" t="s">
        <v>1310</v>
      </c>
      <c r="E290" s="32" t="s">
        <v>557</v>
      </c>
      <c r="F290" s="32" t="s">
        <v>1968</v>
      </c>
      <c r="G290" s="32" t="s">
        <v>212</v>
      </c>
      <c r="H290" s="32" t="s">
        <v>352</v>
      </c>
      <c r="I290" s="31" t="s">
        <v>1140</v>
      </c>
      <c r="J290" s="31">
        <v>1</v>
      </c>
      <c r="K290" s="33" t="s">
        <v>941</v>
      </c>
      <c r="L290" s="33" t="s">
        <v>709</v>
      </c>
      <c r="M290" s="34" t="s">
        <v>710</v>
      </c>
      <c r="N290" s="34" t="s">
        <v>1745</v>
      </c>
      <c r="O290" s="35">
        <v>1</v>
      </c>
      <c r="P290" s="35"/>
      <c r="Q290" s="32"/>
      <c r="S290" s="1">
        <f t="shared" si="87"/>
        <v>1</v>
      </c>
      <c r="T290" s="1">
        <f t="shared" si="88"/>
        <v>0</v>
      </c>
      <c r="U290" s="1">
        <f t="shared" si="89"/>
        <v>0</v>
      </c>
      <c r="V290" s="1">
        <f t="shared" si="90"/>
        <v>0</v>
      </c>
      <c r="W290" s="1">
        <f t="shared" si="91"/>
        <v>0</v>
      </c>
      <c r="X290" s="1">
        <f t="shared" si="92"/>
        <v>0</v>
      </c>
      <c r="Y290" s="1">
        <f t="shared" si="93"/>
        <v>0</v>
      </c>
      <c r="Z290" s="1">
        <f t="shared" si="94"/>
        <v>0</v>
      </c>
      <c r="AA290" s="1">
        <f t="shared" si="95"/>
        <v>0</v>
      </c>
      <c r="AB290" s="1">
        <f t="shared" si="96"/>
        <v>0</v>
      </c>
      <c r="AD290" s="1">
        <f t="shared" si="97"/>
        <v>0</v>
      </c>
      <c r="AE290" s="1">
        <f t="shared" si="98"/>
        <v>1</v>
      </c>
      <c r="AF290" s="1">
        <f t="shared" si="83"/>
        <v>0</v>
      </c>
      <c r="AG290" s="1">
        <f t="shared" si="84"/>
        <v>1</v>
      </c>
      <c r="AH290" s="1">
        <f t="shared" si="85"/>
        <v>0</v>
      </c>
      <c r="AI290" s="1">
        <f t="shared" si="86"/>
        <v>1</v>
      </c>
    </row>
    <row r="291" spans="1:35" s="1" customFormat="1" ht="14.25" customHeight="1" x14ac:dyDescent="0.25">
      <c r="A291" s="31">
        <v>0</v>
      </c>
      <c r="B291" s="31">
        <v>2</v>
      </c>
      <c r="C291" s="31">
        <v>1</v>
      </c>
      <c r="D291" s="32" t="s">
        <v>1311</v>
      </c>
      <c r="E291" s="32" t="s">
        <v>557</v>
      </c>
      <c r="F291" s="32" t="s">
        <v>1135</v>
      </c>
      <c r="G291" s="32" t="s">
        <v>283</v>
      </c>
      <c r="H291" s="32" t="s">
        <v>352</v>
      </c>
      <c r="I291" s="31" t="s">
        <v>1136</v>
      </c>
      <c r="J291" s="31">
        <v>10</v>
      </c>
      <c r="K291" s="33" t="s">
        <v>941</v>
      </c>
      <c r="L291" s="33" t="s">
        <v>709</v>
      </c>
      <c r="M291" s="34" t="s">
        <v>710</v>
      </c>
      <c r="N291" s="34" t="s">
        <v>1745</v>
      </c>
      <c r="O291" s="35">
        <v>1</v>
      </c>
      <c r="P291" s="35"/>
      <c r="Q291" s="32"/>
      <c r="S291" s="1">
        <f t="shared" si="87"/>
        <v>0</v>
      </c>
      <c r="T291" s="1">
        <f t="shared" si="88"/>
        <v>0</v>
      </c>
      <c r="U291" s="1">
        <f t="shared" si="89"/>
        <v>0</v>
      </c>
      <c r="V291" s="1">
        <f t="shared" si="90"/>
        <v>0</v>
      </c>
      <c r="W291" s="1">
        <f t="shared" si="91"/>
        <v>0</v>
      </c>
      <c r="X291" s="1">
        <f t="shared" si="92"/>
        <v>0</v>
      </c>
      <c r="Y291" s="1">
        <f t="shared" si="93"/>
        <v>0</v>
      </c>
      <c r="Z291" s="1">
        <f t="shared" si="94"/>
        <v>0</v>
      </c>
      <c r="AA291" s="1">
        <f t="shared" si="95"/>
        <v>0</v>
      </c>
      <c r="AB291" s="1">
        <f t="shared" si="96"/>
        <v>1</v>
      </c>
      <c r="AD291" s="1">
        <f t="shared" si="97"/>
        <v>0</v>
      </c>
      <c r="AE291" s="1">
        <f t="shared" si="98"/>
        <v>1</v>
      </c>
      <c r="AF291" s="1">
        <f t="shared" si="83"/>
        <v>0</v>
      </c>
      <c r="AG291" s="1">
        <f t="shared" si="84"/>
        <v>1</v>
      </c>
      <c r="AH291" s="1">
        <f t="shared" si="85"/>
        <v>0</v>
      </c>
      <c r="AI291" s="1">
        <f t="shared" si="86"/>
        <v>1</v>
      </c>
    </row>
    <row r="292" spans="1:35" s="1" customFormat="1" ht="14.25" customHeight="1" x14ac:dyDescent="0.25">
      <c r="A292" s="15">
        <v>0</v>
      </c>
      <c r="B292" s="15">
        <v>2</v>
      </c>
      <c r="C292" s="15">
        <v>1</v>
      </c>
      <c r="D292" s="20" t="s">
        <v>2048</v>
      </c>
      <c r="E292" s="20" t="s">
        <v>36</v>
      </c>
      <c r="F292" s="20" t="s">
        <v>2049</v>
      </c>
      <c r="G292" s="20" t="s">
        <v>1467</v>
      </c>
      <c r="H292" s="20" t="s">
        <v>352</v>
      </c>
      <c r="I292" s="21" t="s">
        <v>2051</v>
      </c>
      <c r="J292" s="15">
        <v>99</v>
      </c>
      <c r="K292" s="10" t="s">
        <v>699</v>
      </c>
      <c r="L292" s="10">
        <v>7</v>
      </c>
      <c r="M292" s="19" t="s">
        <v>2050</v>
      </c>
      <c r="N292" s="19"/>
      <c r="Q292" s="20" t="s">
        <v>2052</v>
      </c>
      <c r="S292" s="1">
        <f t="shared" si="87"/>
        <v>0</v>
      </c>
      <c r="T292" s="1">
        <f t="shared" si="88"/>
        <v>0</v>
      </c>
      <c r="U292" s="1">
        <f t="shared" si="89"/>
        <v>0</v>
      </c>
      <c r="V292" s="1">
        <f t="shared" si="90"/>
        <v>0</v>
      </c>
      <c r="W292" s="1">
        <f t="shared" si="91"/>
        <v>0</v>
      </c>
      <c r="X292" s="1">
        <f t="shared" si="92"/>
        <v>0</v>
      </c>
      <c r="Y292" s="1">
        <f t="shared" si="93"/>
        <v>0</v>
      </c>
      <c r="Z292" s="1">
        <f t="shared" si="94"/>
        <v>0</v>
      </c>
      <c r="AA292" s="1">
        <f t="shared" si="95"/>
        <v>0</v>
      </c>
      <c r="AB292" s="1">
        <f t="shared" si="96"/>
        <v>0</v>
      </c>
      <c r="AD292" s="1">
        <f t="shared" si="97"/>
        <v>0</v>
      </c>
      <c r="AE292" s="1">
        <f t="shared" si="98"/>
        <v>0</v>
      </c>
      <c r="AF292" s="1">
        <f t="shared" si="83"/>
        <v>0</v>
      </c>
      <c r="AG292" s="1">
        <f t="shared" si="84"/>
        <v>0</v>
      </c>
      <c r="AH292" s="1">
        <f t="shared" si="85"/>
        <v>0</v>
      </c>
      <c r="AI292" s="1">
        <f t="shared" si="86"/>
        <v>1</v>
      </c>
    </row>
    <row r="293" spans="1:35" s="1" customFormat="1" ht="14.25" customHeight="1" x14ac:dyDescent="0.25">
      <c r="A293" s="15">
        <v>0</v>
      </c>
      <c r="B293" s="15">
        <v>2</v>
      </c>
      <c r="C293" s="15">
        <v>1</v>
      </c>
      <c r="D293" s="16" t="s">
        <v>508</v>
      </c>
      <c r="E293" s="16" t="s">
        <v>34</v>
      </c>
      <c r="F293" s="16" t="s">
        <v>507</v>
      </c>
      <c r="G293" s="16" t="s">
        <v>542</v>
      </c>
      <c r="H293" s="16" t="s">
        <v>352</v>
      </c>
      <c r="I293" s="15" t="s">
        <v>1348</v>
      </c>
      <c r="J293" s="15">
        <v>99</v>
      </c>
      <c r="K293" s="10" t="s">
        <v>942</v>
      </c>
      <c r="L293" s="10" t="s">
        <v>709</v>
      </c>
      <c r="M293" s="19" t="s">
        <v>710</v>
      </c>
      <c r="N293" s="19"/>
      <c r="Q293" s="20" t="s">
        <v>1992</v>
      </c>
      <c r="S293" s="1">
        <f t="shared" si="87"/>
        <v>0</v>
      </c>
      <c r="T293" s="1">
        <f t="shared" si="88"/>
        <v>0</v>
      </c>
      <c r="U293" s="1">
        <f t="shared" si="89"/>
        <v>0</v>
      </c>
      <c r="V293" s="1">
        <f t="shared" si="90"/>
        <v>0</v>
      </c>
      <c r="W293" s="1">
        <f t="shared" si="91"/>
        <v>0</v>
      </c>
      <c r="X293" s="1">
        <f t="shared" si="92"/>
        <v>0</v>
      </c>
      <c r="Y293" s="1">
        <f t="shared" si="93"/>
        <v>0</v>
      </c>
      <c r="Z293" s="1">
        <f t="shared" si="94"/>
        <v>0</v>
      </c>
      <c r="AA293" s="1">
        <f t="shared" si="95"/>
        <v>0</v>
      </c>
      <c r="AB293" s="1">
        <f t="shared" si="96"/>
        <v>0</v>
      </c>
      <c r="AD293" s="1">
        <f t="shared" si="97"/>
        <v>0</v>
      </c>
      <c r="AE293" s="1">
        <f t="shared" si="98"/>
        <v>0</v>
      </c>
      <c r="AF293" s="1">
        <f t="shared" si="83"/>
        <v>0</v>
      </c>
      <c r="AG293" s="1">
        <f t="shared" si="84"/>
        <v>0</v>
      </c>
      <c r="AH293" s="1">
        <f t="shared" si="85"/>
        <v>0</v>
      </c>
      <c r="AI293" s="1">
        <f t="shared" si="86"/>
        <v>1</v>
      </c>
    </row>
    <row r="294" spans="1:35" s="1" customFormat="1" ht="14.25" customHeight="1" x14ac:dyDescent="0.25">
      <c r="A294" s="31">
        <v>0</v>
      </c>
      <c r="B294" s="31">
        <v>2</v>
      </c>
      <c r="C294" s="31">
        <v>1</v>
      </c>
      <c r="D294" s="32" t="s">
        <v>1029</v>
      </c>
      <c r="E294" s="32" t="s">
        <v>36</v>
      </c>
      <c r="F294" s="32" t="s">
        <v>1643</v>
      </c>
      <c r="G294" s="32" t="s">
        <v>624</v>
      </c>
      <c r="H294" s="32" t="s">
        <v>352</v>
      </c>
      <c r="I294" s="31" t="s">
        <v>1030</v>
      </c>
      <c r="J294" s="31">
        <v>99</v>
      </c>
      <c r="K294" s="33" t="s">
        <v>946</v>
      </c>
      <c r="L294" s="33" t="s">
        <v>709</v>
      </c>
      <c r="M294" s="34" t="s">
        <v>710</v>
      </c>
      <c r="N294" s="34" t="s">
        <v>1717</v>
      </c>
      <c r="O294" s="35">
        <v>1</v>
      </c>
      <c r="P294" s="35">
        <v>1</v>
      </c>
      <c r="Q294" s="32" t="s">
        <v>1883</v>
      </c>
      <c r="S294" s="1">
        <f t="shared" si="87"/>
        <v>0</v>
      </c>
      <c r="T294" s="1">
        <f t="shared" si="88"/>
        <v>0</v>
      </c>
      <c r="U294" s="1">
        <f t="shared" si="89"/>
        <v>0</v>
      </c>
      <c r="V294" s="1">
        <f t="shared" si="90"/>
        <v>0</v>
      </c>
      <c r="W294" s="1">
        <f t="shared" si="91"/>
        <v>0</v>
      </c>
      <c r="X294" s="1">
        <f t="shared" si="92"/>
        <v>0</v>
      </c>
      <c r="Y294" s="1">
        <f t="shared" si="93"/>
        <v>0</v>
      </c>
      <c r="Z294" s="1">
        <f t="shared" si="94"/>
        <v>0</v>
      </c>
      <c r="AA294" s="1">
        <f t="shared" si="95"/>
        <v>0</v>
      </c>
      <c r="AB294" s="1">
        <f t="shared" si="96"/>
        <v>0</v>
      </c>
      <c r="AD294" s="1">
        <f t="shared" si="97"/>
        <v>1</v>
      </c>
      <c r="AE294" s="1">
        <f t="shared" si="98"/>
        <v>0</v>
      </c>
      <c r="AF294" s="1">
        <f t="shared" si="83"/>
        <v>1</v>
      </c>
      <c r="AG294" s="1">
        <f t="shared" si="84"/>
        <v>0</v>
      </c>
      <c r="AH294" s="1">
        <f t="shared" si="85"/>
        <v>1</v>
      </c>
      <c r="AI294" s="1">
        <f t="shared" si="86"/>
        <v>0</v>
      </c>
    </row>
    <row r="295" spans="1:35" s="1" customFormat="1" ht="14.25" customHeight="1" x14ac:dyDescent="0.25">
      <c r="A295" s="31">
        <v>1</v>
      </c>
      <c r="B295" s="31">
        <v>2</v>
      </c>
      <c r="C295" s="31">
        <v>1</v>
      </c>
      <c r="D295" s="32" t="s">
        <v>49</v>
      </c>
      <c r="E295" s="32" t="s">
        <v>1298</v>
      </c>
      <c r="F295" s="32" t="s">
        <v>190</v>
      </c>
      <c r="G295" s="32" t="s">
        <v>191</v>
      </c>
      <c r="H295" s="32" t="s">
        <v>352</v>
      </c>
      <c r="I295" s="31" t="s">
        <v>384</v>
      </c>
      <c r="J295" s="31">
        <v>99</v>
      </c>
      <c r="K295" s="33" t="s">
        <v>708</v>
      </c>
      <c r="L295" s="33" t="s">
        <v>709</v>
      </c>
      <c r="M295" s="34" t="s">
        <v>710</v>
      </c>
      <c r="N295" s="34" t="s">
        <v>1740</v>
      </c>
      <c r="O295" s="35">
        <v>1</v>
      </c>
      <c r="P295" s="35"/>
      <c r="Q295" s="32"/>
      <c r="S295" s="1">
        <f t="shared" si="87"/>
        <v>0</v>
      </c>
      <c r="T295" s="1">
        <f t="shared" si="88"/>
        <v>0</v>
      </c>
      <c r="U295" s="1">
        <f t="shared" si="89"/>
        <v>0</v>
      </c>
      <c r="V295" s="1">
        <f t="shared" si="90"/>
        <v>0</v>
      </c>
      <c r="W295" s="1">
        <f t="shared" si="91"/>
        <v>0</v>
      </c>
      <c r="X295" s="1">
        <f t="shared" si="92"/>
        <v>0</v>
      </c>
      <c r="Y295" s="1">
        <f t="shared" si="93"/>
        <v>0</v>
      </c>
      <c r="Z295" s="1">
        <f t="shared" si="94"/>
        <v>0</v>
      </c>
      <c r="AA295" s="1">
        <f t="shared" si="95"/>
        <v>0</v>
      </c>
      <c r="AB295" s="1">
        <f t="shared" si="96"/>
        <v>0</v>
      </c>
      <c r="AD295" s="1">
        <f t="shared" si="97"/>
        <v>0</v>
      </c>
      <c r="AE295" s="1">
        <f t="shared" si="98"/>
        <v>1</v>
      </c>
      <c r="AF295" s="1">
        <f t="shared" si="83"/>
        <v>0</v>
      </c>
      <c r="AG295" s="1">
        <f t="shared" si="84"/>
        <v>0</v>
      </c>
      <c r="AH295" s="1">
        <f t="shared" si="85"/>
        <v>0</v>
      </c>
      <c r="AI295" s="1">
        <f t="shared" si="86"/>
        <v>0</v>
      </c>
    </row>
    <row r="296" spans="1:35" s="1" customFormat="1" ht="14.25" customHeight="1" x14ac:dyDescent="0.25">
      <c r="A296" s="31">
        <v>0</v>
      </c>
      <c r="B296" s="31">
        <v>2</v>
      </c>
      <c r="C296" s="31">
        <v>1</v>
      </c>
      <c r="D296" s="32" t="s">
        <v>1061</v>
      </c>
      <c r="E296" s="32" t="s">
        <v>1298</v>
      </c>
      <c r="F296" s="32" t="s">
        <v>1076</v>
      </c>
      <c r="G296" s="32" t="s">
        <v>201</v>
      </c>
      <c r="H296" s="32" t="s">
        <v>352</v>
      </c>
      <c r="I296" s="31" t="s">
        <v>384</v>
      </c>
      <c r="J296" s="31">
        <v>10</v>
      </c>
      <c r="K296" s="33" t="s">
        <v>708</v>
      </c>
      <c r="L296" s="33" t="s">
        <v>709</v>
      </c>
      <c r="M296" s="34" t="s">
        <v>710</v>
      </c>
      <c r="N296" s="34" t="s">
        <v>1740</v>
      </c>
      <c r="O296" s="35">
        <v>1</v>
      </c>
      <c r="P296" s="35"/>
      <c r="Q296" s="32"/>
      <c r="S296" s="1">
        <f t="shared" si="87"/>
        <v>0</v>
      </c>
      <c r="T296" s="1">
        <f t="shared" si="88"/>
        <v>0</v>
      </c>
      <c r="U296" s="1">
        <f t="shared" si="89"/>
        <v>0</v>
      </c>
      <c r="V296" s="1">
        <f t="shared" si="90"/>
        <v>0</v>
      </c>
      <c r="W296" s="1">
        <f t="shared" si="91"/>
        <v>0</v>
      </c>
      <c r="X296" s="1">
        <f t="shared" si="92"/>
        <v>0</v>
      </c>
      <c r="Y296" s="1">
        <f t="shared" si="93"/>
        <v>0</v>
      </c>
      <c r="Z296" s="1">
        <f t="shared" si="94"/>
        <v>0</v>
      </c>
      <c r="AA296" s="1">
        <f t="shared" si="95"/>
        <v>0</v>
      </c>
      <c r="AB296" s="1">
        <f t="shared" si="96"/>
        <v>1</v>
      </c>
      <c r="AD296" s="1">
        <f t="shared" si="97"/>
        <v>0</v>
      </c>
      <c r="AE296" s="1">
        <f t="shared" si="98"/>
        <v>1</v>
      </c>
      <c r="AF296" s="1">
        <f t="shared" si="83"/>
        <v>0</v>
      </c>
      <c r="AG296" s="1">
        <f t="shared" si="84"/>
        <v>1</v>
      </c>
      <c r="AH296" s="1">
        <f t="shared" si="85"/>
        <v>0</v>
      </c>
      <c r="AI296" s="1">
        <f t="shared" si="86"/>
        <v>1</v>
      </c>
    </row>
    <row r="297" spans="1:35" s="1" customFormat="1" ht="14.25" customHeight="1" x14ac:dyDescent="0.25">
      <c r="A297" s="31">
        <v>0</v>
      </c>
      <c r="B297" s="31">
        <v>2</v>
      </c>
      <c r="C297" s="31">
        <v>1</v>
      </c>
      <c r="D297" s="32" t="s">
        <v>1257</v>
      </c>
      <c r="E297" s="32" t="s">
        <v>557</v>
      </c>
      <c r="F297" s="32" t="s">
        <v>1258</v>
      </c>
      <c r="G297" s="32" t="s">
        <v>257</v>
      </c>
      <c r="H297" s="32" t="s">
        <v>352</v>
      </c>
      <c r="I297" s="31" t="s">
        <v>1259</v>
      </c>
      <c r="J297" s="31">
        <v>8</v>
      </c>
      <c r="K297" s="33" t="s">
        <v>941</v>
      </c>
      <c r="L297" s="33" t="s">
        <v>709</v>
      </c>
      <c r="M297" s="34" t="s">
        <v>710</v>
      </c>
      <c r="N297" s="34" t="s">
        <v>1732</v>
      </c>
      <c r="O297" s="35">
        <v>1</v>
      </c>
      <c r="P297" s="35"/>
      <c r="Q297" s="32"/>
      <c r="S297" s="1">
        <f t="shared" si="87"/>
        <v>0</v>
      </c>
      <c r="T297" s="1">
        <f t="shared" si="88"/>
        <v>0</v>
      </c>
      <c r="U297" s="1">
        <f t="shared" si="89"/>
        <v>0</v>
      </c>
      <c r="V297" s="1">
        <f t="shared" si="90"/>
        <v>0</v>
      </c>
      <c r="W297" s="1">
        <f t="shared" si="91"/>
        <v>0</v>
      </c>
      <c r="X297" s="1">
        <f t="shared" si="92"/>
        <v>0</v>
      </c>
      <c r="Y297" s="1">
        <f t="shared" si="93"/>
        <v>0</v>
      </c>
      <c r="Z297" s="1">
        <f t="shared" si="94"/>
        <v>1</v>
      </c>
      <c r="AA297" s="1">
        <f t="shared" si="95"/>
        <v>0</v>
      </c>
      <c r="AB297" s="1">
        <f t="shared" si="96"/>
        <v>0</v>
      </c>
      <c r="AD297" s="1">
        <f t="shared" si="97"/>
        <v>0</v>
      </c>
      <c r="AE297" s="1">
        <f t="shared" si="98"/>
        <v>1</v>
      </c>
      <c r="AF297" s="1">
        <f t="shared" si="83"/>
        <v>0</v>
      </c>
      <c r="AG297" s="1">
        <f t="shared" si="84"/>
        <v>1</v>
      </c>
      <c r="AH297" s="1">
        <f t="shared" si="85"/>
        <v>0</v>
      </c>
      <c r="AI297" s="1">
        <f t="shared" si="86"/>
        <v>1</v>
      </c>
    </row>
    <row r="298" spans="1:35" s="1" customFormat="1" ht="14.25" customHeight="1" x14ac:dyDescent="0.25">
      <c r="A298" s="44">
        <v>0</v>
      </c>
      <c r="B298" s="44">
        <v>2</v>
      </c>
      <c r="C298" s="44">
        <v>1</v>
      </c>
      <c r="D298" s="45" t="s">
        <v>48</v>
      </c>
      <c r="E298" s="45" t="s">
        <v>574</v>
      </c>
      <c r="F298" s="45" t="s">
        <v>188</v>
      </c>
      <c r="G298" s="45" t="s">
        <v>298</v>
      </c>
      <c r="H298" s="45" t="s">
        <v>352</v>
      </c>
      <c r="I298" s="44" t="s">
        <v>383</v>
      </c>
      <c r="J298" s="44">
        <v>99</v>
      </c>
      <c r="K298" s="46" t="s">
        <v>709</v>
      </c>
      <c r="L298" s="46" t="s">
        <v>709</v>
      </c>
      <c r="M298" s="47" t="s">
        <v>710</v>
      </c>
      <c r="N298" s="47" t="s">
        <v>1731</v>
      </c>
      <c r="O298" s="48"/>
      <c r="P298" s="48"/>
      <c r="Q298" s="45"/>
      <c r="S298" s="1">
        <f t="shared" si="87"/>
        <v>0</v>
      </c>
      <c r="T298" s="1">
        <f t="shared" si="88"/>
        <v>0</v>
      </c>
      <c r="U298" s="1">
        <f t="shared" si="89"/>
        <v>0</v>
      </c>
      <c r="V298" s="1">
        <f t="shared" si="90"/>
        <v>0</v>
      </c>
      <c r="W298" s="1">
        <f t="shared" si="91"/>
        <v>0</v>
      </c>
      <c r="X298" s="1">
        <f t="shared" si="92"/>
        <v>0</v>
      </c>
      <c r="Y298" s="1">
        <f t="shared" si="93"/>
        <v>0</v>
      </c>
      <c r="Z298" s="1">
        <f t="shared" si="94"/>
        <v>0</v>
      </c>
      <c r="AA298" s="1">
        <f t="shared" si="95"/>
        <v>0</v>
      </c>
      <c r="AB298" s="1">
        <f t="shared" si="96"/>
        <v>0</v>
      </c>
      <c r="AD298" s="1">
        <f t="shared" si="97"/>
        <v>0</v>
      </c>
      <c r="AE298" s="1">
        <f t="shared" si="98"/>
        <v>0</v>
      </c>
      <c r="AF298" s="1">
        <f t="shared" si="83"/>
        <v>0</v>
      </c>
      <c r="AG298" s="1">
        <f t="shared" si="84"/>
        <v>0</v>
      </c>
      <c r="AH298" s="1">
        <f t="shared" si="85"/>
        <v>0</v>
      </c>
      <c r="AI298" s="1">
        <f t="shared" si="86"/>
        <v>1</v>
      </c>
    </row>
    <row r="299" spans="1:35" s="1" customFormat="1" ht="14.25" customHeight="1" x14ac:dyDescent="0.25">
      <c r="A299" s="31">
        <v>0</v>
      </c>
      <c r="B299" s="31">
        <v>2</v>
      </c>
      <c r="C299" s="31">
        <v>1</v>
      </c>
      <c r="D299" s="32" t="s">
        <v>57</v>
      </c>
      <c r="E299" s="32" t="s">
        <v>161</v>
      </c>
      <c r="F299" s="32" t="s">
        <v>662</v>
      </c>
      <c r="G299" s="32" t="s">
        <v>220</v>
      </c>
      <c r="H299" s="32" t="s">
        <v>352</v>
      </c>
      <c r="I299" s="31" t="s">
        <v>394</v>
      </c>
      <c r="J299" s="31">
        <v>99</v>
      </c>
      <c r="K299" s="33" t="s">
        <v>948</v>
      </c>
      <c r="L299" s="33" t="s">
        <v>709</v>
      </c>
      <c r="M299" s="34" t="s">
        <v>710</v>
      </c>
      <c r="N299" s="34" t="s">
        <v>1727</v>
      </c>
      <c r="O299" s="35">
        <v>1</v>
      </c>
      <c r="P299" s="35"/>
      <c r="Q299" s="32"/>
      <c r="S299" s="1">
        <f t="shared" si="87"/>
        <v>0</v>
      </c>
      <c r="T299" s="1">
        <f t="shared" si="88"/>
        <v>0</v>
      </c>
      <c r="U299" s="1">
        <f t="shared" si="89"/>
        <v>0</v>
      </c>
      <c r="V299" s="1">
        <f t="shared" si="90"/>
        <v>0</v>
      </c>
      <c r="W299" s="1">
        <f t="shared" si="91"/>
        <v>0</v>
      </c>
      <c r="X299" s="1">
        <f t="shared" si="92"/>
        <v>0</v>
      </c>
      <c r="Y299" s="1">
        <f t="shared" si="93"/>
        <v>0</v>
      </c>
      <c r="Z299" s="1">
        <f t="shared" si="94"/>
        <v>0</v>
      </c>
      <c r="AA299" s="1">
        <f t="shared" si="95"/>
        <v>0</v>
      </c>
      <c r="AB299" s="1">
        <f t="shared" si="96"/>
        <v>0</v>
      </c>
      <c r="AD299" s="1">
        <f t="shared" si="97"/>
        <v>0</v>
      </c>
      <c r="AE299" s="1">
        <f t="shared" si="98"/>
        <v>1</v>
      </c>
      <c r="AF299" s="1">
        <f t="shared" si="83"/>
        <v>0</v>
      </c>
      <c r="AG299" s="1">
        <f t="shared" si="84"/>
        <v>1</v>
      </c>
      <c r="AH299" s="1">
        <f t="shared" si="85"/>
        <v>0</v>
      </c>
      <c r="AI299" s="1">
        <f t="shared" si="86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511</v>
      </c>
      <c r="E300" s="32" t="s">
        <v>557</v>
      </c>
      <c r="F300" s="32" t="s">
        <v>228</v>
      </c>
      <c r="G300" s="32" t="s">
        <v>229</v>
      </c>
      <c r="H300" s="32" t="s">
        <v>352</v>
      </c>
      <c r="I300" s="31" t="s">
        <v>398</v>
      </c>
      <c r="J300" s="31">
        <v>7</v>
      </c>
      <c r="K300" s="33" t="s">
        <v>941</v>
      </c>
      <c r="L300" s="33" t="s">
        <v>709</v>
      </c>
      <c r="M300" s="34" t="s">
        <v>710</v>
      </c>
      <c r="N300" s="34" t="s">
        <v>1733</v>
      </c>
      <c r="O300" s="35">
        <v>1</v>
      </c>
      <c r="P300" s="35"/>
      <c r="Q300" s="32"/>
      <c r="S300" s="1">
        <f t="shared" si="87"/>
        <v>0</v>
      </c>
      <c r="T300" s="1">
        <f t="shared" si="88"/>
        <v>0</v>
      </c>
      <c r="U300" s="1">
        <f t="shared" si="89"/>
        <v>0</v>
      </c>
      <c r="V300" s="1">
        <f t="shared" si="90"/>
        <v>0</v>
      </c>
      <c r="W300" s="1">
        <f t="shared" si="91"/>
        <v>0</v>
      </c>
      <c r="X300" s="1">
        <f t="shared" si="92"/>
        <v>0</v>
      </c>
      <c r="Y300" s="1">
        <f t="shared" si="93"/>
        <v>1</v>
      </c>
      <c r="Z300" s="1">
        <f t="shared" si="94"/>
        <v>0</v>
      </c>
      <c r="AA300" s="1">
        <f t="shared" si="95"/>
        <v>0</v>
      </c>
      <c r="AB300" s="1">
        <f t="shared" si="96"/>
        <v>0</v>
      </c>
      <c r="AD300" s="1">
        <f t="shared" si="97"/>
        <v>0</v>
      </c>
      <c r="AE300" s="1">
        <f t="shared" si="98"/>
        <v>1</v>
      </c>
      <c r="AF300" s="1">
        <f t="shared" si="83"/>
        <v>0</v>
      </c>
      <c r="AG300" s="1">
        <f t="shared" si="84"/>
        <v>1</v>
      </c>
      <c r="AH300" s="1">
        <f t="shared" si="85"/>
        <v>0</v>
      </c>
      <c r="AI300" s="1">
        <f t="shared" si="86"/>
        <v>1</v>
      </c>
    </row>
    <row r="301" spans="1:35" s="1" customFormat="1" ht="14.25" customHeight="1" x14ac:dyDescent="0.25">
      <c r="A301" s="44">
        <v>0</v>
      </c>
      <c r="B301" s="44">
        <v>2</v>
      </c>
      <c r="C301" s="44">
        <v>1</v>
      </c>
      <c r="D301" s="45" t="s">
        <v>556</v>
      </c>
      <c r="E301" s="45" t="s">
        <v>557</v>
      </c>
      <c r="F301" s="45" t="s">
        <v>558</v>
      </c>
      <c r="G301" s="45" t="s">
        <v>207</v>
      </c>
      <c r="H301" s="45" t="s">
        <v>352</v>
      </c>
      <c r="I301" s="44" t="s">
        <v>559</v>
      </c>
      <c r="J301" s="44">
        <v>3</v>
      </c>
      <c r="K301" s="46" t="s">
        <v>708</v>
      </c>
      <c r="L301" s="46" t="s">
        <v>709</v>
      </c>
      <c r="M301" s="47" t="s">
        <v>710</v>
      </c>
      <c r="N301" s="47" t="s">
        <v>1731</v>
      </c>
      <c r="O301" s="48"/>
      <c r="P301" s="48"/>
      <c r="Q301" s="45"/>
      <c r="S301" s="1">
        <f t="shared" si="87"/>
        <v>0</v>
      </c>
      <c r="T301" s="1">
        <f t="shared" si="88"/>
        <v>0</v>
      </c>
      <c r="U301" s="1">
        <f t="shared" si="89"/>
        <v>1</v>
      </c>
      <c r="V301" s="1">
        <f t="shared" si="90"/>
        <v>0</v>
      </c>
      <c r="W301" s="1">
        <f t="shared" si="91"/>
        <v>0</v>
      </c>
      <c r="X301" s="1">
        <f t="shared" si="92"/>
        <v>0</v>
      </c>
      <c r="Y301" s="1">
        <f t="shared" si="93"/>
        <v>0</v>
      </c>
      <c r="Z301" s="1">
        <f t="shared" si="94"/>
        <v>0</v>
      </c>
      <c r="AA301" s="1">
        <f t="shared" si="95"/>
        <v>0</v>
      </c>
      <c r="AB301" s="1">
        <f t="shared" si="96"/>
        <v>0</v>
      </c>
      <c r="AD301" s="1">
        <f t="shared" si="97"/>
        <v>0</v>
      </c>
      <c r="AE301" s="1">
        <f t="shared" si="98"/>
        <v>0</v>
      </c>
      <c r="AF301" s="1">
        <f t="shared" si="83"/>
        <v>0</v>
      </c>
      <c r="AG301" s="1">
        <f t="shared" si="84"/>
        <v>0</v>
      </c>
      <c r="AH301" s="1">
        <f t="shared" si="85"/>
        <v>0</v>
      </c>
      <c r="AI301" s="1">
        <f t="shared" si="86"/>
        <v>1</v>
      </c>
    </row>
    <row r="302" spans="1:35" s="1" customFormat="1" ht="14.25" customHeight="1" x14ac:dyDescent="0.25">
      <c r="A302" s="37">
        <v>0</v>
      </c>
      <c r="B302" s="37">
        <v>2</v>
      </c>
      <c r="C302" s="37">
        <v>1</v>
      </c>
      <c r="D302" s="36" t="s">
        <v>1040</v>
      </c>
      <c r="E302" s="36" t="s">
        <v>32</v>
      </c>
      <c r="F302" s="36" t="s">
        <v>1261</v>
      </c>
      <c r="G302" s="36" t="s">
        <v>531</v>
      </c>
      <c r="H302" s="36" t="s">
        <v>352</v>
      </c>
      <c r="I302" s="37" t="s">
        <v>1262</v>
      </c>
      <c r="J302" s="37">
        <v>6</v>
      </c>
      <c r="K302" s="56" t="s">
        <v>709</v>
      </c>
      <c r="L302" s="33" t="s">
        <v>709</v>
      </c>
      <c r="M302" s="34" t="s">
        <v>710</v>
      </c>
      <c r="N302" s="34" t="s">
        <v>1732</v>
      </c>
      <c r="O302" s="35">
        <v>1</v>
      </c>
      <c r="P302" s="35"/>
      <c r="Q302" s="36"/>
      <c r="S302" s="1">
        <f t="shared" si="87"/>
        <v>0</v>
      </c>
      <c r="T302" s="1">
        <f t="shared" si="88"/>
        <v>0</v>
      </c>
      <c r="U302" s="1">
        <f t="shared" si="89"/>
        <v>0</v>
      </c>
      <c r="V302" s="1">
        <f t="shared" si="90"/>
        <v>0</v>
      </c>
      <c r="W302" s="1">
        <f t="shared" si="91"/>
        <v>0</v>
      </c>
      <c r="X302" s="1">
        <f t="shared" si="92"/>
        <v>1</v>
      </c>
      <c r="Y302" s="1">
        <f t="shared" si="93"/>
        <v>0</v>
      </c>
      <c r="Z302" s="1">
        <f t="shared" si="94"/>
        <v>0</v>
      </c>
      <c r="AA302" s="1">
        <f t="shared" si="95"/>
        <v>0</v>
      </c>
      <c r="AB302" s="1">
        <f t="shared" si="96"/>
        <v>0</v>
      </c>
      <c r="AD302" s="1">
        <f t="shared" si="97"/>
        <v>0</v>
      </c>
      <c r="AE302" s="1">
        <f t="shared" si="98"/>
        <v>1</v>
      </c>
      <c r="AF302" s="1">
        <f t="shared" si="83"/>
        <v>0</v>
      </c>
      <c r="AG302" s="1">
        <f t="shared" si="84"/>
        <v>1</v>
      </c>
      <c r="AH302" s="1">
        <f t="shared" si="85"/>
        <v>0</v>
      </c>
      <c r="AI302" s="1">
        <f t="shared" si="86"/>
        <v>1</v>
      </c>
    </row>
    <row r="303" spans="1:35" s="1" customFormat="1" ht="14.25" customHeight="1" x14ac:dyDescent="0.25">
      <c r="A303" s="44">
        <v>0</v>
      </c>
      <c r="B303" s="44">
        <v>2</v>
      </c>
      <c r="C303" s="44">
        <v>1</v>
      </c>
      <c r="D303" s="45" t="s">
        <v>906</v>
      </c>
      <c r="E303" s="45" t="s">
        <v>1317</v>
      </c>
      <c r="F303" s="45" t="s">
        <v>780</v>
      </c>
      <c r="G303" s="45" t="s">
        <v>256</v>
      </c>
      <c r="H303" s="45" t="s">
        <v>352</v>
      </c>
      <c r="I303" s="44" t="s">
        <v>932</v>
      </c>
      <c r="J303" s="44">
        <v>99</v>
      </c>
      <c r="K303" s="46" t="s">
        <v>708</v>
      </c>
      <c r="L303" s="46" t="s">
        <v>709</v>
      </c>
      <c r="M303" s="47" t="s">
        <v>710</v>
      </c>
      <c r="N303" s="47" t="s">
        <v>1718</v>
      </c>
      <c r="O303" s="48"/>
      <c r="P303" s="48"/>
      <c r="Q303" s="45"/>
      <c r="S303" s="1">
        <f t="shared" si="87"/>
        <v>0</v>
      </c>
      <c r="T303" s="1">
        <f t="shared" si="88"/>
        <v>0</v>
      </c>
      <c r="U303" s="1">
        <f t="shared" si="89"/>
        <v>0</v>
      </c>
      <c r="V303" s="1">
        <f t="shared" si="90"/>
        <v>0</v>
      </c>
      <c r="W303" s="1">
        <f t="shared" si="91"/>
        <v>0</v>
      </c>
      <c r="X303" s="1">
        <f t="shared" si="92"/>
        <v>0</v>
      </c>
      <c r="Y303" s="1">
        <f t="shared" si="93"/>
        <v>0</v>
      </c>
      <c r="Z303" s="1">
        <f t="shared" si="94"/>
        <v>0</v>
      </c>
      <c r="AA303" s="1">
        <f t="shared" si="95"/>
        <v>0</v>
      </c>
      <c r="AB303" s="1">
        <f t="shared" si="96"/>
        <v>0</v>
      </c>
      <c r="AD303" s="1">
        <f t="shared" si="97"/>
        <v>0</v>
      </c>
      <c r="AE303" s="1">
        <f t="shared" si="98"/>
        <v>0</v>
      </c>
      <c r="AF303" s="1">
        <f t="shared" si="83"/>
        <v>0</v>
      </c>
      <c r="AG303" s="1">
        <f t="shared" si="84"/>
        <v>0</v>
      </c>
      <c r="AH303" s="1">
        <f t="shared" si="85"/>
        <v>0</v>
      </c>
      <c r="AI303" s="1">
        <f t="shared" si="86"/>
        <v>1</v>
      </c>
    </row>
    <row r="304" spans="1:35" s="1" customFormat="1" ht="14.25" customHeight="1" x14ac:dyDescent="0.25">
      <c r="A304" s="37">
        <v>0</v>
      </c>
      <c r="B304" s="37">
        <v>2</v>
      </c>
      <c r="C304" s="37">
        <v>1</v>
      </c>
      <c r="D304" s="36" t="s">
        <v>1755</v>
      </c>
      <c r="E304" s="36" t="s">
        <v>1756</v>
      </c>
      <c r="F304" s="36" t="s">
        <v>1757</v>
      </c>
      <c r="G304" s="36" t="s">
        <v>179</v>
      </c>
      <c r="H304" s="36" t="s">
        <v>352</v>
      </c>
      <c r="I304" s="37" t="s">
        <v>1758</v>
      </c>
      <c r="J304" s="37"/>
      <c r="K304" s="56" t="s">
        <v>699</v>
      </c>
      <c r="L304" s="33">
        <v>4</v>
      </c>
      <c r="M304" s="34" t="s">
        <v>710</v>
      </c>
      <c r="N304" s="34" t="s">
        <v>1727</v>
      </c>
      <c r="O304" s="35">
        <v>1</v>
      </c>
      <c r="P304" s="35"/>
      <c r="Q304" s="36"/>
      <c r="S304" s="1">
        <f t="shared" si="87"/>
        <v>0</v>
      </c>
      <c r="T304" s="1">
        <f t="shared" si="88"/>
        <v>0</v>
      </c>
      <c r="U304" s="1">
        <f t="shared" si="89"/>
        <v>0</v>
      </c>
      <c r="V304" s="1">
        <f t="shared" si="90"/>
        <v>0</v>
      </c>
      <c r="W304" s="1">
        <f t="shared" si="91"/>
        <v>0</v>
      </c>
      <c r="X304" s="1">
        <f t="shared" si="92"/>
        <v>0</v>
      </c>
      <c r="Y304" s="1">
        <f t="shared" si="93"/>
        <v>0</v>
      </c>
      <c r="Z304" s="1">
        <f t="shared" si="94"/>
        <v>0</v>
      </c>
      <c r="AA304" s="1">
        <f t="shared" si="95"/>
        <v>0</v>
      </c>
      <c r="AB304" s="1">
        <f t="shared" si="96"/>
        <v>0</v>
      </c>
      <c r="AD304" s="1">
        <f t="shared" si="97"/>
        <v>0</v>
      </c>
      <c r="AE304" s="1">
        <f t="shared" si="98"/>
        <v>1</v>
      </c>
      <c r="AF304" s="1">
        <f t="shared" si="83"/>
        <v>0</v>
      </c>
      <c r="AG304" s="1">
        <f t="shared" si="84"/>
        <v>1</v>
      </c>
      <c r="AH304" s="1">
        <f t="shared" si="85"/>
        <v>0</v>
      </c>
      <c r="AI304" s="1">
        <f t="shared" si="86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615</v>
      </c>
      <c r="E305" s="32" t="s">
        <v>616</v>
      </c>
      <c r="F305" s="32" t="s">
        <v>617</v>
      </c>
      <c r="G305" s="32" t="s">
        <v>618</v>
      </c>
      <c r="H305" s="32" t="s">
        <v>352</v>
      </c>
      <c r="I305" s="31" t="s">
        <v>619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1740</v>
      </c>
      <c r="O305" s="35">
        <v>1</v>
      </c>
      <c r="P305" s="35"/>
      <c r="Q305" s="32"/>
      <c r="S305" s="1">
        <f t="shared" si="87"/>
        <v>0</v>
      </c>
      <c r="T305" s="1">
        <f t="shared" si="88"/>
        <v>0</v>
      </c>
      <c r="U305" s="1">
        <f t="shared" si="89"/>
        <v>0</v>
      </c>
      <c r="V305" s="1">
        <f t="shared" si="90"/>
        <v>0</v>
      </c>
      <c r="W305" s="1">
        <f t="shared" si="91"/>
        <v>0</v>
      </c>
      <c r="X305" s="1">
        <f t="shared" si="92"/>
        <v>0</v>
      </c>
      <c r="Y305" s="1">
        <f t="shared" si="93"/>
        <v>0</v>
      </c>
      <c r="Z305" s="1">
        <f t="shared" si="94"/>
        <v>0</v>
      </c>
      <c r="AA305" s="1">
        <f t="shared" si="95"/>
        <v>0</v>
      </c>
      <c r="AB305" s="1">
        <f t="shared" si="96"/>
        <v>0</v>
      </c>
      <c r="AD305" s="1">
        <f t="shared" si="97"/>
        <v>0</v>
      </c>
      <c r="AE305" s="1">
        <f t="shared" si="98"/>
        <v>1</v>
      </c>
      <c r="AF305" s="1">
        <f t="shared" si="83"/>
        <v>0</v>
      </c>
      <c r="AG305" s="1">
        <f t="shared" si="84"/>
        <v>1</v>
      </c>
      <c r="AH305" s="1">
        <f t="shared" si="85"/>
        <v>0</v>
      </c>
      <c r="AI305" s="1">
        <f t="shared" si="86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1067</v>
      </c>
      <c r="E306" s="32" t="s">
        <v>1318</v>
      </c>
      <c r="F306" s="32" t="s">
        <v>1647</v>
      </c>
      <c r="G306" s="32" t="s">
        <v>189</v>
      </c>
      <c r="H306" s="32" t="s">
        <v>352</v>
      </c>
      <c r="I306" s="31" t="s">
        <v>1845</v>
      </c>
      <c r="J306" s="31">
        <v>99</v>
      </c>
      <c r="K306" s="33" t="s">
        <v>708</v>
      </c>
      <c r="L306" s="33" t="s">
        <v>709</v>
      </c>
      <c r="M306" s="34" t="s">
        <v>710</v>
      </c>
      <c r="N306" s="34" t="s">
        <v>1727</v>
      </c>
      <c r="O306" s="35">
        <v>1</v>
      </c>
      <c r="P306" s="35"/>
      <c r="Q306" s="32"/>
      <c r="S306" s="1">
        <f t="shared" si="87"/>
        <v>0</v>
      </c>
      <c r="T306" s="1">
        <f t="shared" si="88"/>
        <v>0</v>
      </c>
      <c r="U306" s="1">
        <f t="shared" si="89"/>
        <v>0</v>
      </c>
      <c r="V306" s="1">
        <f t="shared" si="90"/>
        <v>0</v>
      </c>
      <c r="W306" s="1">
        <f t="shared" si="91"/>
        <v>0</v>
      </c>
      <c r="X306" s="1">
        <f t="shared" si="92"/>
        <v>0</v>
      </c>
      <c r="Y306" s="1">
        <f t="shared" si="93"/>
        <v>0</v>
      </c>
      <c r="Z306" s="1">
        <f t="shared" si="94"/>
        <v>0</v>
      </c>
      <c r="AA306" s="1">
        <f t="shared" si="95"/>
        <v>0</v>
      </c>
      <c r="AB306" s="1">
        <f t="shared" si="96"/>
        <v>0</v>
      </c>
      <c r="AD306" s="1">
        <f t="shared" si="97"/>
        <v>0</v>
      </c>
      <c r="AE306" s="1">
        <f t="shared" si="98"/>
        <v>1</v>
      </c>
      <c r="AF306" s="1">
        <f t="shared" si="83"/>
        <v>0</v>
      </c>
      <c r="AG306" s="1">
        <f t="shared" si="84"/>
        <v>1</v>
      </c>
      <c r="AH306" s="1">
        <f t="shared" si="85"/>
        <v>0</v>
      </c>
      <c r="AI306" s="1">
        <f t="shared" si="86"/>
        <v>1</v>
      </c>
    </row>
    <row r="307" spans="1:35" s="1" customFormat="1" ht="14.25" customHeight="1" x14ac:dyDescent="0.25">
      <c r="A307" s="15">
        <v>0</v>
      </c>
      <c r="B307" s="15">
        <v>2</v>
      </c>
      <c r="C307" s="15">
        <v>1</v>
      </c>
      <c r="D307" s="16" t="s">
        <v>647</v>
      </c>
      <c r="E307" s="16" t="s">
        <v>36</v>
      </c>
      <c r="F307" s="16" t="s">
        <v>663</v>
      </c>
      <c r="G307" s="16" t="s">
        <v>200</v>
      </c>
      <c r="H307" s="16" t="s">
        <v>352</v>
      </c>
      <c r="I307" s="15" t="s">
        <v>992</v>
      </c>
      <c r="J307" s="15">
        <v>99</v>
      </c>
      <c r="K307" s="10" t="s">
        <v>699</v>
      </c>
      <c r="L307" s="10">
        <v>4</v>
      </c>
      <c r="M307" s="19" t="s">
        <v>710</v>
      </c>
      <c r="N307" s="17"/>
      <c r="Q307" s="16"/>
      <c r="S307" s="1">
        <f t="shared" si="87"/>
        <v>0</v>
      </c>
      <c r="T307" s="1">
        <f t="shared" si="88"/>
        <v>0</v>
      </c>
      <c r="U307" s="1">
        <f t="shared" si="89"/>
        <v>0</v>
      </c>
      <c r="V307" s="1">
        <f t="shared" si="90"/>
        <v>0</v>
      </c>
      <c r="W307" s="1">
        <f t="shared" si="91"/>
        <v>0</v>
      </c>
      <c r="X307" s="1">
        <f t="shared" si="92"/>
        <v>0</v>
      </c>
      <c r="Y307" s="1">
        <f t="shared" si="93"/>
        <v>0</v>
      </c>
      <c r="Z307" s="1">
        <f t="shared" si="94"/>
        <v>0</v>
      </c>
      <c r="AA307" s="1">
        <f t="shared" si="95"/>
        <v>0</v>
      </c>
      <c r="AB307" s="1">
        <f t="shared" si="96"/>
        <v>0</v>
      </c>
      <c r="AD307" s="1">
        <f t="shared" si="97"/>
        <v>0</v>
      </c>
      <c r="AE307" s="1">
        <f t="shared" si="98"/>
        <v>0</v>
      </c>
      <c r="AF307" s="1">
        <f t="shared" si="83"/>
        <v>0</v>
      </c>
      <c r="AG307" s="1">
        <f t="shared" si="84"/>
        <v>0</v>
      </c>
      <c r="AH307" s="1">
        <f t="shared" si="85"/>
        <v>0</v>
      </c>
      <c r="AI307" s="1">
        <f t="shared" si="86"/>
        <v>1</v>
      </c>
    </row>
    <row r="308" spans="1:35" s="1" customFormat="1" ht="14.25" customHeight="1" x14ac:dyDescent="0.25">
      <c r="A308" s="44">
        <v>0</v>
      </c>
      <c r="B308" s="44">
        <v>2</v>
      </c>
      <c r="C308" s="44">
        <v>1</v>
      </c>
      <c r="D308" s="45" t="s">
        <v>1248</v>
      </c>
      <c r="E308" s="45" t="s">
        <v>1249</v>
      </c>
      <c r="F308" s="45" t="s">
        <v>1250</v>
      </c>
      <c r="G308" s="45" t="s">
        <v>1149</v>
      </c>
      <c r="H308" s="45" t="s">
        <v>352</v>
      </c>
      <c r="I308" s="44" t="s">
        <v>1251</v>
      </c>
      <c r="J308" s="44">
        <v>11</v>
      </c>
      <c r="K308" s="46" t="s">
        <v>699</v>
      </c>
      <c r="L308" s="46">
        <v>6</v>
      </c>
      <c r="M308" s="47" t="s">
        <v>1712</v>
      </c>
      <c r="N308" s="47" t="s">
        <v>1793</v>
      </c>
      <c r="O308" s="48"/>
      <c r="P308" s="48"/>
      <c r="Q308" s="45"/>
      <c r="S308" s="1">
        <f t="shared" si="87"/>
        <v>0</v>
      </c>
      <c r="T308" s="1">
        <f t="shared" si="88"/>
        <v>0</v>
      </c>
      <c r="U308" s="1">
        <f t="shared" si="89"/>
        <v>0</v>
      </c>
      <c r="V308" s="1">
        <f t="shared" si="90"/>
        <v>0</v>
      </c>
      <c r="W308" s="1">
        <f t="shared" si="91"/>
        <v>0</v>
      </c>
      <c r="X308" s="1">
        <f t="shared" si="92"/>
        <v>0</v>
      </c>
      <c r="Y308" s="1">
        <f t="shared" si="93"/>
        <v>0</v>
      </c>
      <c r="Z308" s="1">
        <f t="shared" si="94"/>
        <v>0</v>
      </c>
      <c r="AA308" s="1">
        <f t="shared" si="95"/>
        <v>0</v>
      </c>
      <c r="AB308" s="1">
        <f t="shared" si="96"/>
        <v>0</v>
      </c>
      <c r="AD308" s="1">
        <f t="shared" si="97"/>
        <v>0</v>
      </c>
      <c r="AE308" s="1">
        <f t="shared" si="98"/>
        <v>0</v>
      </c>
      <c r="AF308" s="1">
        <f t="shared" si="83"/>
        <v>0</v>
      </c>
      <c r="AG308" s="1">
        <f t="shared" si="84"/>
        <v>0</v>
      </c>
      <c r="AH308" s="1">
        <f t="shared" si="85"/>
        <v>0</v>
      </c>
      <c r="AI308" s="1">
        <f t="shared" si="86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1110</v>
      </c>
      <c r="E309" s="32" t="s">
        <v>1298</v>
      </c>
      <c r="F309" s="32" t="s">
        <v>1108</v>
      </c>
      <c r="G309" s="32" t="s">
        <v>229</v>
      </c>
      <c r="H309" s="32" t="s">
        <v>352</v>
      </c>
      <c r="I309" s="31" t="s">
        <v>1109</v>
      </c>
      <c r="J309" s="31">
        <v>7</v>
      </c>
      <c r="K309" s="33" t="s">
        <v>709</v>
      </c>
      <c r="L309" s="33" t="s">
        <v>1693</v>
      </c>
      <c r="M309" s="34" t="s">
        <v>710</v>
      </c>
      <c r="N309" s="34" t="s">
        <v>1740</v>
      </c>
      <c r="O309" s="35">
        <v>1</v>
      </c>
      <c r="P309" s="35"/>
      <c r="Q309" s="32"/>
      <c r="S309" s="1">
        <f t="shared" si="87"/>
        <v>0</v>
      </c>
      <c r="T309" s="1">
        <f t="shared" si="88"/>
        <v>0</v>
      </c>
      <c r="U309" s="1">
        <f t="shared" si="89"/>
        <v>0</v>
      </c>
      <c r="V309" s="1">
        <f t="shared" si="90"/>
        <v>0</v>
      </c>
      <c r="W309" s="1">
        <f t="shared" si="91"/>
        <v>0</v>
      </c>
      <c r="X309" s="1">
        <f t="shared" si="92"/>
        <v>0</v>
      </c>
      <c r="Y309" s="1">
        <f t="shared" si="93"/>
        <v>1</v>
      </c>
      <c r="Z309" s="1">
        <f t="shared" si="94"/>
        <v>0</v>
      </c>
      <c r="AA309" s="1">
        <f t="shared" si="95"/>
        <v>0</v>
      </c>
      <c r="AB309" s="1">
        <f t="shared" si="96"/>
        <v>0</v>
      </c>
      <c r="AD309" s="1">
        <f t="shared" si="97"/>
        <v>0</v>
      </c>
      <c r="AE309" s="1">
        <f t="shared" si="98"/>
        <v>1</v>
      </c>
      <c r="AF309" s="1">
        <f t="shared" si="83"/>
        <v>0</v>
      </c>
      <c r="AG309" s="1">
        <f t="shared" si="84"/>
        <v>1</v>
      </c>
      <c r="AH309" s="1">
        <f t="shared" si="85"/>
        <v>0</v>
      </c>
      <c r="AI309" s="1">
        <f t="shared" si="86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995</v>
      </c>
      <c r="E310" s="32" t="s">
        <v>1320</v>
      </c>
      <c r="F310" s="32" t="s">
        <v>996</v>
      </c>
      <c r="G310" s="32" t="s">
        <v>1087</v>
      </c>
      <c r="H310" s="32" t="s">
        <v>352</v>
      </c>
      <c r="I310" s="31" t="s">
        <v>406</v>
      </c>
      <c r="J310" s="31">
        <v>99</v>
      </c>
      <c r="K310" s="33" t="s">
        <v>709</v>
      </c>
      <c r="L310" s="33" t="s">
        <v>709</v>
      </c>
      <c r="M310" s="34" t="s">
        <v>710</v>
      </c>
      <c r="N310" s="34" t="s">
        <v>1727</v>
      </c>
      <c r="O310" s="35">
        <v>1</v>
      </c>
      <c r="P310" s="35"/>
      <c r="Q310" s="32"/>
      <c r="S310" s="1">
        <f t="shared" si="87"/>
        <v>0</v>
      </c>
      <c r="T310" s="1">
        <f t="shared" si="88"/>
        <v>0</v>
      </c>
      <c r="U310" s="1">
        <f t="shared" si="89"/>
        <v>0</v>
      </c>
      <c r="V310" s="1">
        <f t="shared" si="90"/>
        <v>0</v>
      </c>
      <c r="W310" s="1">
        <f t="shared" si="91"/>
        <v>0</v>
      </c>
      <c r="X310" s="1">
        <f t="shared" si="92"/>
        <v>0</v>
      </c>
      <c r="Y310" s="1">
        <f t="shared" si="93"/>
        <v>0</v>
      </c>
      <c r="Z310" s="1">
        <f t="shared" si="94"/>
        <v>0</v>
      </c>
      <c r="AA310" s="1">
        <f t="shared" si="95"/>
        <v>0</v>
      </c>
      <c r="AB310" s="1">
        <f t="shared" si="96"/>
        <v>0</v>
      </c>
      <c r="AD310" s="1">
        <f t="shared" si="97"/>
        <v>0</v>
      </c>
      <c r="AE310" s="1">
        <f t="shared" si="98"/>
        <v>1</v>
      </c>
      <c r="AF310" s="1">
        <f t="shared" si="83"/>
        <v>0</v>
      </c>
      <c r="AG310" s="1">
        <f t="shared" si="84"/>
        <v>1</v>
      </c>
      <c r="AH310" s="1">
        <f t="shared" si="85"/>
        <v>0</v>
      </c>
      <c r="AI310" s="1">
        <f t="shared" si="86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1117</v>
      </c>
      <c r="E311" s="32" t="s">
        <v>557</v>
      </c>
      <c r="F311" s="32" t="s">
        <v>1338</v>
      </c>
      <c r="G311" s="32" t="s">
        <v>264</v>
      </c>
      <c r="H311" s="32" t="s">
        <v>352</v>
      </c>
      <c r="I311" s="31" t="s">
        <v>1118</v>
      </c>
      <c r="J311" s="31">
        <v>8</v>
      </c>
      <c r="K311" s="33" t="s">
        <v>708</v>
      </c>
      <c r="L311" s="33" t="s">
        <v>1693</v>
      </c>
      <c r="M311" s="34" t="s">
        <v>710</v>
      </c>
      <c r="N311" s="34" t="s">
        <v>1732</v>
      </c>
      <c r="O311" s="35">
        <v>1</v>
      </c>
      <c r="P311" s="35"/>
      <c r="Q311" s="32"/>
      <c r="S311" s="1">
        <f t="shared" si="87"/>
        <v>0</v>
      </c>
      <c r="T311" s="1">
        <f t="shared" si="88"/>
        <v>0</v>
      </c>
      <c r="U311" s="1">
        <f t="shared" si="89"/>
        <v>0</v>
      </c>
      <c r="V311" s="1">
        <f t="shared" si="90"/>
        <v>0</v>
      </c>
      <c r="W311" s="1">
        <f t="shared" si="91"/>
        <v>0</v>
      </c>
      <c r="X311" s="1">
        <f t="shared" si="92"/>
        <v>0</v>
      </c>
      <c r="Y311" s="1">
        <f t="shared" si="93"/>
        <v>0</v>
      </c>
      <c r="Z311" s="1">
        <f t="shared" si="94"/>
        <v>1</v>
      </c>
      <c r="AA311" s="1">
        <f t="shared" si="95"/>
        <v>0</v>
      </c>
      <c r="AB311" s="1">
        <f t="shared" si="96"/>
        <v>0</v>
      </c>
      <c r="AD311" s="1">
        <f t="shared" si="97"/>
        <v>0</v>
      </c>
      <c r="AE311" s="1">
        <f t="shared" si="98"/>
        <v>1</v>
      </c>
      <c r="AF311" s="1">
        <f t="shared" si="83"/>
        <v>0</v>
      </c>
      <c r="AG311" s="1">
        <f t="shared" si="84"/>
        <v>1</v>
      </c>
      <c r="AH311" s="1">
        <f t="shared" si="85"/>
        <v>0</v>
      </c>
      <c r="AI311" s="1">
        <f t="shared" si="86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1270</v>
      </c>
      <c r="E312" s="32" t="s">
        <v>1318</v>
      </c>
      <c r="F312" s="32" t="s">
        <v>1267</v>
      </c>
      <c r="G312" s="32" t="s">
        <v>1268</v>
      </c>
      <c r="H312" s="32" t="s">
        <v>352</v>
      </c>
      <c r="I312" s="31" t="s">
        <v>1269</v>
      </c>
      <c r="J312" s="31">
        <v>1</v>
      </c>
      <c r="K312" s="33" t="s">
        <v>708</v>
      </c>
      <c r="L312" s="33" t="s">
        <v>709</v>
      </c>
      <c r="M312" s="34" t="s">
        <v>710</v>
      </c>
      <c r="N312" s="34" t="s">
        <v>1745</v>
      </c>
      <c r="O312" s="35">
        <v>1</v>
      </c>
      <c r="P312" s="35"/>
      <c r="Q312" s="32" t="s">
        <v>1886</v>
      </c>
      <c r="S312" s="1">
        <f t="shared" si="87"/>
        <v>1</v>
      </c>
      <c r="T312" s="1">
        <f t="shared" si="88"/>
        <v>0</v>
      </c>
      <c r="U312" s="1">
        <f t="shared" si="89"/>
        <v>0</v>
      </c>
      <c r="V312" s="1">
        <f t="shared" si="90"/>
        <v>0</v>
      </c>
      <c r="W312" s="1">
        <f t="shared" si="91"/>
        <v>0</v>
      </c>
      <c r="X312" s="1">
        <f t="shared" si="92"/>
        <v>0</v>
      </c>
      <c r="Y312" s="1">
        <f t="shared" si="93"/>
        <v>0</v>
      </c>
      <c r="Z312" s="1">
        <f t="shared" si="94"/>
        <v>0</v>
      </c>
      <c r="AA312" s="1">
        <f t="shared" si="95"/>
        <v>0</v>
      </c>
      <c r="AB312" s="1">
        <f t="shared" si="96"/>
        <v>0</v>
      </c>
      <c r="AD312" s="1">
        <f t="shared" si="97"/>
        <v>0</v>
      </c>
      <c r="AE312" s="1">
        <f t="shared" si="98"/>
        <v>1</v>
      </c>
      <c r="AF312" s="1">
        <f t="shared" si="83"/>
        <v>0</v>
      </c>
      <c r="AG312" s="1">
        <f t="shared" si="84"/>
        <v>1</v>
      </c>
      <c r="AH312" s="1">
        <f t="shared" si="85"/>
        <v>0</v>
      </c>
      <c r="AI312" s="1">
        <f t="shared" si="86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52</v>
      </c>
      <c r="E313" s="32" t="s">
        <v>32</v>
      </c>
      <c r="F313" s="32" t="s">
        <v>205</v>
      </c>
      <c r="G313" s="32" t="s">
        <v>206</v>
      </c>
      <c r="H313" s="32" t="s">
        <v>352</v>
      </c>
      <c r="I313" s="31" t="s">
        <v>389</v>
      </c>
      <c r="J313" s="31">
        <v>99</v>
      </c>
      <c r="K313" s="33" t="s">
        <v>708</v>
      </c>
      <c r="L313" s="33" t="s">
        <v>709</v>
      </c>
      <c r="M313" s="34" t="s">
        <v>710</v>
      </c>
      <c r="N313" s="34" t="s">
        <v>1930</v>
      </c>
      <c r="O313" s="35">
        <v>1</v>
      </c>
      <c r="P313" s="35"/>
      <c r="Q313" s="32"/>
      <c r="S313" s="1">
        <f t="shared" si="87"/>
        <v>0</v>
      </c>
      <c r="T313" s="1">
        <f t="shared" si="88"/>
        <v>0</v>
      </c>
      <c r="U313" s="1">
        <f t="shared" si="89"/>
        <v>0</v>
      </c>
      <c r="V313" s="1">
        <f t="shared" si="90"/>
        <v>0</v>
      </c>
      <c r="W313" s="1">
        <f t="shared" si="91"/>
        <v>0</v>
      </c>
      <c r="X313" s="1">
        <f t="shared" si="92"/>
        <v>0</v>
      </c>
      <c r="Y313" s="1">
        <f t="shared" si="93"/>
        <v>0</v>
      </c>
      <c r="Z313" s="1">
        <f t="shared" si="94"/>
        <v>0</v>
      </c>
      <c r="AA313" s="1">
        <f t="shared" si="95"/>
        <v>0</v>
      </c>
      <c r="AB313" s="1">
        <f t="shared" si="96"/>
        <v>0</v>
      </c>
      <c r="AD313" s="1">
        <f t="shared" si="97"/>
        <v>0</v>
      </c>
      <c r="AE313" s="1">
        <f t="shared" si="98"/>
        <v>1</v>
      </c>
      <c r="AF313" s="1">
        <f t="shared" si="83"/>
        <v>0</v>
      </c>
      <c r="AG313" s="1">
        <f t="shared" si="84"/>
        <v>1</v>
      </c>
      <c r="AH313" s="1">
        <f t="shared" si="85"/>
        <v>0</v>
      </c>
      <c r="AI313" s="1">
        <f t="shared" si="86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73</v>
      </c>
      <c r="E314" s="32" t="s">
        <v>557</v>
      </c>
      <c r="F314" s="32" t="s">
        <v>1037</v>
      </c>
      <c r="G314" s="32" t="s">
        <v>189</v>
      </c>
      <c r="H314" s="32" t="s">
        <v>352</v>
      </c>
      <c r="I314" s="31" t="s">
        <v>419</v>
      </c>
      <c r="J314" s="31">
        <v>99</v>
      </c>
      <c r="K314" s="33" t="s">
        <v>941</v>
      </c>
      <c r="L314" s="33" t="s">
        <v>709</v>
      </c>
      <c r="M314" s="34" t="s">
        <v>710</v>
      </c>
      <c r="N314" s="34" t="s">
        <v>1727</v>
      </c>
      <c r="O314" s="35">
        <v>1</v>
      </c>
      <c r="P314" s="35"/>
      <c r="Q314" s="32"/>
      <c r="S314" s="1">
        <f t="shared" si="87"/>
        <v>0</v>
      </c>
      <c r="T314" s="1">
        <f t="shared" si="88"/>
        <v>0</v>
      </c>
      <c r="U314" s="1">
        <f t="shared" si="89"/>
        <v>0</v>
      </c>
      <c r="V314" s="1">
        <f t="shared" si="90"/>
        <v>0</v>
      </c>
      <c r="W314" s="1">
        <f t="shared" si="91"/>
        <v>0</v>
      </c>
      <c r="X314" s="1">
        <f t="shared" si="92"/>
        <v>0</v>
      </c>
      <c r="Y314" s="1">
        <f t="shared" si="93"/>
        <v>0</v>
      </c>
      <c r="Z314" s="1">
        <f t="shared" si="94"/>
        <v>0</v>
      </c>
      <c r="AA314" s="1">
        <f t="shared" si="95"/>
        <v>0</v>
      </c>
      <c r="AB314" s="1">
        <f t="shared" si="96"/>
        <v>0</v>
      </c>
      <c r="AD314" s="1">
        <f t="shared" si="97"/>
        <v>0</v>
      </c>
      <c r="AE314" s="1">
        <f t="shared" si="98"/>
        <v>1</v>
      </c>
      <c r="AF314" s="1">
        <f t="shared" si="83"/>
        <v>0</v>
      </c>
      <c r="AG314" s="1">
        <f t="shared" si="84"/>
        <v>1</v>
      </c>
      <c r="AH314" s="1">
        <f t="shared" si="85"/>
        <v>0</v>
      </c>
      <c r="AI314" s="1">
        <f t="shared" si="86"/>
        <v>1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47</v>
      </c>
      <c r="E315" s="32" t="s">
        <v>32</v>
      </c>
      <c r="F315" s="32" t="s">
        <v>186</v>
      </c>
      <c r="G315" s="32" t="s">
        <v>179</v>
      </c>
      <c r="H315" s="32" t="s">
        <v>352</v>
      </c>
      <c r="I315" s="31" t="s">
        <v>381</v>
      </c>
      <c r="J315" s="31">
        <v>10</v>
      </c>
      <c r="K315" s="33" t="s">
        <v>942</v>
      </c>
      <c r="L315" s="33" t="s">
        <v>709</v>
      </c>
      <c r="M315" s="34" t="s">
        <v>710</v>
      </c>
      <c r="N315" s="34" t="s">
        <v>1727</v>
      </c>
      <c r="O315" s="35">
        <v>1</v>
      </c>
      <c r="P315" s="35"/>
      <c r="Q315" s="32"/>
      <c r="S315" s="1">
        <f t="shared" si="87"/>
        <v>0</v>
      </c>
      <c r="T315" s="1">
        <f t="shared" si="88"/>
        <v>0</v>
      </c>
      <c r="U315" s="1">
        <f t="shared" si="89"/>
        <v>0</v>
      </c>
      <c r="V315" s="1">
        <f t="shared" si="90"/>
        <v>0</v>
      </c>
      <c r="W315" s="1">
        <f t="shared" si="91"/>
        <v>0</v>
      </c>
      <c r="X315" s="1">
        <f t="shared" si="92"/>
        <v>0</v>
      </c>
      <c r="Y315" s="1">
        <f t="shared" si="93"/>
        <v>0</v>
      </c>
      <c r="Z315" s="1">
        <f t="shared" si="94"/>
        <v>0</v>
      </c>
      <c r="AA315" s="1">
        <f t="shared" si="95"/>
        <v>0</v>
      </c>
      <c r="AB315" s="1">
        <f t="shared" si="96"/>
        <v>1</v>
      </c>
      <c r="AD315" s="1">
        <f t="shared" si="97"/>
        <v>0</v>
      </c>
      <c r="AE315" s="1">
        <f t="shared" si="98"/>
        <v>1</v>
      </c>
      <c r="AF315" s="1">
        <f t="shared" si="83"/>
        <v>0</v>
      </c>
      <c r="AG315" s="1">
        <f t="shared" si="84"/>
        <v>1</v>
      </c>
      <c r="AH315" s="1">
        <f t="shared" si="85"/>
        <v>0</v>
      </c>
      <c r="AI315" s="1">
        <f t="shared" si="86"/>
        <v>1</v>
      </c>
    </row>
    <row r="316" spans="1:35" s="1" customFormat="1" ht="14.25" customHeight="1" x14ac:dyDescent="0.25">
      <c r="A316" s="44">
        <v>0</v>
      </c>
      <c r="B316" s="44">
        <v>2</v>
      </c>
      <c r="C316" s="44">
        <v>1</v>
      </c>
      <c r="D316" s="45" t="s">
        <v>648</v>
      </c>
      <c r="E316" s="45" t="s">
        <v>159</v>
      </c>
      <c r="F316" s="45" t="s">
        <v>187</v>
      </c>
      <c r="G316" s="45" t="s">
        <v>664</v>
      </c>
      <c r="H316" s="45" t="s">
        <v>352</v>
      </c>
      <c r="I316" s="44" t="s">
        <v>382</v>
      </c>
      <c r="J316" s="44">
        <v>99</v>
      </c>
      <c r="K316" s="46" t="s">
        <v>708</v>
      </c>
      <c r="L316" s="46" t="s">
        <v>709</v>
      </c>
      <c r="M316" s="47" t="s">
        <v>710</v>
      </c>
      <c r="N316" s="47" t="s">
        <v>1721</v>
      </c>
      <c r="O316" s="48"/>
      <c r="P316" s="48"/>
      <c r="Q316" s="45"/>
      <c r="S316" s="1">
        <f t="shared" si="87"/>
        <v>0</v>
      </c>
      <c r="T316" s="1">
        <f t="shared" si="88"/>
        <v>0</v>
      </c>
      <c r="U316" s="1">
        <f t="shared" si="89"/>
        <v>0</v>
      </c>
      <c r="V316" s="1">
        <f t="shared" si="90"/>
        <v>0</v>
      </c>
      <c r="W316" s="1">
        <f t="shared" si="91"/>
        <v>0</v>
      </c>
      <c r="X316" s="1">
        <f t="shared" si="92"/>
        <v>0</v>
      </c>
      <c r="Y316" s="1">
        <f t="shared" si="93"/>
        <v>0</v>
      </c>
      <c r="Z316" s="1">
        <f t="shared" si="94"/>
        <v>0</v>
      </c>
      <c r="AA316" s="1">
        <f t="shared" si="95"/>
        <v>0</v>
      </c>
      <c r="AB316" s="1">
        <f t="shared" si="96"/>
        <v>0</v>
      </c>
      <c r="AD316" s="1">
        <f t="shared" si="97"/>
        <v>0</v>
      </c>
      <c r="AE316" s="1">
        <f t="shared" si="98"/>
        <v>0</v>
      </c>
      <c r="AF316" s="1">
        <f t="shared" si="83"/>
        <v>0</v>
      </c>
      <c r="AG316" s="1">
        <f t="shared" si="84"/>
        <v>0</v>
      </c>
      <c r="AH316" s="1">
        <f t="shared" si="85"/>
        <v>0</v>
      </c>
      <c r="AI316" s="1">
        <f t="shared" si="86"/>
        <v>1</v>
      </c>
    </row>
    <row r="317" spans="1:35" s="1" customFormat="1" ht="14.25" customHeight="1" x14ac:dyDescent="0.25">
      <c r="A317" s="38">
        <v>0</v>
      </c>
      <c r="B317" s="38">
        <v>2</v>
      </c>
      <c r="C317" s="38">
        <v>1</v>
      </c>
      <c r="D317" s="39" t="s">
        <v>1288</v>
      </c>
      <c r="E317" s="39" t="s">
        <v>36</v>
      </c>
      <c r="F317" s="39" t="s">
        <v>1289</v>
      </c>
      <c r="G317" s="39" t="s">
        <v>257</v>
      </c>
      <c r="H317" s="39" t="s">
        <v>352</v>
      </c>
      <c r="I317" s="38" t="s">
        <v>1290</v>
      </c>
      <c r="J317" s="38">
        <v>8</v>
      </c>
      <c r="K317" s="40" t="s">
        <v>946</v>
      </c>
      <c r="L317" s="40" t="s">
        <v>709</v>
      </c>
      <c r="M317" s="41" t="s">
        <v>710</v>
      </c>
      <c r="N317" s="42"/>
      <c r="O317" s="43"/>
      <c r="P317" s="43">
        <v>1</v>
      </c>
      <c r="Q317" s="39"/>
      <c r="S317" s="1">
        <f t="shared" si="87"/>
        <v>0</v>
      </c>
      <c r="T317" s="1">
        <f t="shared" si="88"/>
        <v>0</v>
      </c>
      <c r="U317" s="1">
        <f t="shared" si="89"/>
        <v>0</v>
      </c>
      <c r="V317" s="1">
        <f t="shared" si="90"/>
        <v>0</v>
      </c>
      <c r="W317" s="1">
        <f t="shared" si="91"/>
        <v>0</v>
      </c>
      <c r="X317" s="1">
        <f t="shared" si="92"/>
        <v>0</v>
      </c>
      <c r="Y317" s="1">
        <f t="shared" si="93"/>
        <v>0</v>
      </c>
      <c r="Z317" s="1">
        <f t="shared" si="94"/>
        <v>1</v>
      </c>
      <c r="AA317" s="1">
        <f t="shared" si="95"/>
        <v>0</v>
      </c>
      <c r="AB317" s="1">
        <f t="shared" si="96"/>
        <v>0</v>
      </c>
      <c r="AD317" s="1">
        <f t="shared" si="97"/>
        <v>0</v>
      </c>
      <c r="AE317" s="1">
        <f t="shared" si="98"/>
        <v>0</v>
      </c>
      <c r="AF317" s="1">
        <f t="shared" si="83"/>
        <v>0</v>
      </c>
      <c r="AG317" s="1">
        <f t="shared" si="84"/>
        <v>0</v>
      </c>
      <c r="AH317" s="1">
        <f t="shared" si="85"/>
        <v>1</v>
      </c>
      <c r="AI317" s="1">
        <f t="shared" si="86"/>
        <v>0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54</v>
      </c>
      <c r="E318" s="32" t="s">
        <v>557</v>
      </c>
      <c r="F318" s="32" t="s">
        <v>211</v>
      </c>
      <c r="G318" s="32" t="s">
        <v>212</v>
      </c>
      <c r="H318" s="32" t="s">
        <v>352</v>
      </c>
      <c r="I318" s="31" t="s">
        <v>391</v>
      </c>
      <c r="J318" s="31">
        <v>1</v>
      </c>
      <c r="K318" s="33" t="s">
        <v>942</v>
      </c>
      <c r="L318" s="33" t="s">
        <v>709</v>
      </c>
      <c r="M318" s="34" t="s">
        <v>39</v>
      </c>
      <c r="N318" s="34" t="s">
        <v>1727</v>
      </c>
      <c r="O318" s="35">
        <v>1</v>
      </c>
      <c r="P318" s="35"/>
      <c r="Q318" s="32"/>
      <c r="S318" s="1">
        <f t="shared" si="87"/>
        <v>1</v>
      </c>
      <c r="T318" s="1">
        <f t="shared" si="88"/>
        <v>0</v>
      </c>
      <c r="U318" s="1">
        <f t="shared" si="89"/>
        <v>0</v>
      </c>
      <c r="V318" s="1">
        <f t="shared" si="90"/>
        <v>0</v>
      </c>
      <c r="W318" s="1">
        <f t="shared" si="91"/>
        <v>0</v>
      </c>
      <c r="X318" s="1">
        <f t="shared" si="92"/>
        <v>0</v>
      </c>
      <c r="Y318" s="1">
        <f t="shared" si="93"/>
        <v>0</v>
      </c>
      <c r="Z318" s="1">
        <f t="shared" si="94"/>
        <v>0</v>
      </c>
      <c r="AA318" s="1">
        <f t="shared" si="95"/>
        <v>0</v>
      </c>
      <c r="AB318" s="1">
        <f t="shared" si="96"/>
        <v>0</v>
      </c>
      <c r="AD318" s="1">
        <f t="shared" si="97"/>
        <v>0</v>
      </c>
      <c r="AE318" s="1">
        <f t="shared" si="98"/>
        <v>1</v>
      </c>
      <c r="AF318" s="1">
        <f t="shared" si="83"/>
        <v>0</v>
      </c>
      <c r="AG318" s="1">
        <f t="shared" si="84"/>
        <v>1</v>
      </c>
      <c r="AH318" s="1">
        <f t="shared" si="85"/>
        <v>0</v>
      </c>
      <c r="AI318" s="1">
        <f t="shared" si="86"/>
        <v>1</v>
      </c>
    </row>
    <row r="319" spans="1:35" s="1" customFormat="1" ht="14.25" customHeight="1" x14ac:dyDescent="0.25">
      <c r="A319" s="44">
        <v>0</v>
      </c>
      <c r="B319" s="44">
        <v>2</v>
      </c>
      <c r="C319" s="44">
        <v>1</v>
      </c>
      <c r="D319" s="45" t="s">
        <v>61</v>
      </c>
      <c r="E319" s="45" t="s">
        <v>539</v>
      </c>
      <c r="F319" s="45" t="s">
        <v>232</v>
      </c>
      <c r="G319" s="45" t="s">
        <v>203</v>
      </c>
      <c r="H319" s="45" t="s">
        <v>352</v>
      </c>
      <c r="I319" s="44" t="s">
        <v>399</v>
      </c>
      <c r="J319" s="44">
        <v>7</v>
      </c>
      <c r="K319" s="46" t="s">
        <v>708</v>
      </c>
      <c r="L319" s="46" t="s">
        <v>709</v>
      </c>
      <c r="M319" s="47" t="s">
        <v>710</v>
      </c>
      <c r="N319" s="47" t="s">
        <v>1722</v>
      </c>
      <c r="O319" s="48"/>
      <c r="P319" s="48"/>
      <c r="Q319" s="45"/>
      <c r="S319" s="1">
        <f t="shared" si="87"/>
        <v>0</v>
      </c>
      <c r="T319" s="1">
        <f t="shared" si="88"/>
        <v>0</v>
      </c>
      <c r="U319" s="1">
        <f t="shared" si="89"/>
        <v>0</v>
      </c>
      <c r="V319" s="1">
        <f t="shared" si="90"/>
        <v>0</v>
      </c>
      <c r="W319" s="1">
        <f t="shared" si="91"/>
        <v>0</v>
      </c>
      <c r="X319" s="1">
        <f t="shared" si="92"/>
        <v>0</v>
      </c>
      <c r="Y319" s="1">
        <f t="shared" si="93"/>
        <v>1</v>
      </c>
      <c r="Z319" s="1">
        <f t="shared" si="94"/>
        <v>0</v>
      </c>
      <c r="AA319" s="1">
        <f t="shared" si="95"/>
        <v>0</v>
      </c>
      <c r="AB319" s="1">
        <f t="shared" si="96"/>
        <v>0</v>
      </c>
      <c r="AD319" s="1">
        <f t="shared" si="97"/>
        <v>0</v>
      </c>
      <c r="AE319" s="1">
        <f t="shared" si="98"/>
        <v>0</v>
      </c>
      <c r="AF319" s="1">
        <f t="shared" si="83"/>
        <v>0</v>
      </c>
      <c r="AG319" s="1">
        <f t="shared" si="84"/>
        <v>0</v>
      </c>
      <c r="AH319" s="1">
        <f t="shared" si="85"/>
        <v>0</v>
      </c>
      <c r="AI319" s="1">
        <f t="shared" si="86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1631</v>
      </c>
      <c r="E320" s="32" t="s">
        <v>557</v>
      </c>
      <c r="F320" s="32" t="s">
        <v>1342</v>
      </c>
      <c r="G320" s="32" t="s">
        <v>1268</v>
      </c>
      <c r="H320" s="32" t="s">
        <v>352</v>
      </c>
      <c r="I320" s="31" t="s">
        <v>1151</v>
      </c>
      <c r="J320" s="31">
        <v>99</v>
      </c>
      <c r="K320" s="33" t="s">
        <v>708</v>
      </c>
      <c r="L320" s="33" t="s">
        <v>709</v>
      </c>
      <c r="M320" s="34" t="s">
        <v>710</v>
      </c>
      <c r="N320" s="34" t="s">
        <v>1732</v>
      </c>
      <c r="O320" s="35">
        <v>1</v>
      </c>
      <c r="P320" s="35"/>
      <c r="Q320" s="32" t="s">
        <v>1885</v>
      </c>
      <c r="S320" s="1">
        <f t="shared" si="87"/>
        <v>0</v>
      </c>
      <c r="T320" s="1">
        <f t="shared" si="88"/>
        <v>0</v>
      </c>
      <c r="U320" s="1">
        <f t="shared" si="89"/>
        <v>0</v>
      </c>
      <c r="V320" s="1">
        <f t="shared" si="90"/>
        <v>0</v>
      </c>
      <c r="W320" s="1">
        <f t="shared" si="91"/>
        <v>0</v>
      </c>
      <c r="X320" s="1">
        <f t="shared" si="92"/>
        <v>0</v>
      </c>
      <c r="Y320" s="1">
        <f t="shared" si="93"/>
        <v>0</v>
      </c>
      <c r="Z320" s="1">
        <f t="shared" si="94"/>
        <v>0</v>
      </c>
      <c r="AA320" s="1">
        <f t="shared" si="95"/>
        <v>0</v>
      </c>
      <c r="AB320" s="1">
        <f t="shared" si="96"/>
        <v>0</v>
      </c>
      <c r="AD320" s="1">
        <f t="shared" si="97"/>
        <v>0</v>
      </c>
      <c r="AE320" s="1">
        <f t="shared" si="98"/>
        <v>1</v>
      </c>
      <c r="AF320" s="1">
        <f t="shared" si="83"/>
        <v>0</v>
      </c>
      <c r="AG320" s="1">
        <f t="shared" si="84"/>
        <v>1</v>
      </c>
      <c r="AH320" s="1">
        <f t="shared" si="85"/>
        <v>0</v>
      </c>
      <c r="AI320" s="1">
        <f t="shared" si="86"/>
        <v>1</v>
      </c>
    </row>
    <row r="321" spans="1:35" s="1" customFormat="1" ht="14.25" customHeight="1" x14ac:dyDescent="0.25">
      <c r="A321" s="49">
        <v>0</v>
      </c>
      <c r="B321" s="49">
        <v>2</v>
      </c>
      <c r="C321" s="49">
        <v>1</v>
      </c>
      <c r="D321" s="50" t="s">
        <v>1766</v>
      </c>
      <c r="E321" s="50" t="s">
        <v>1767</v>
      </c>
      <c r="F321" s="50" t="s">
        <v>1768</v>
      </c>
      <c r="G321" s="50" t="s">
        <v>1769</v>
      </c>
      <c r="H321" s="50" t="s">
        <v>352</v>
      </c>
      <c r="I321" s="49"/>
      <c r="J321" s="49">
        <v>1</v>
      </c>
      <c r="K321" s="51" t="s">
        <v>699</v>
      </c>
      <c r="L321" s="51"/>
      <c r="M321" s="52"/>
      <c r="N321" s="52" t="s">
        <v>1727</v>
      </c>
      <c r="O321" s="53">
        <v>1</v>
      </c>
      <c r="P321" s="53"/>
      <c r="Q321" s="55" t="s">
        <v>1893</v>
      </c>
      <c r="S321" s="1">
        <f t="shared" si="87"/>
        <v>1</v>
      </c>
      <c r="T321" s="1">
        <f t="shared" si="88"/>
        <v>0</v>
      </c>
      <c r="U321" s="1">
        <f t="shared" si="89"/>
        <v>0</v>
      </c>
      <c r="V321" s="1">
        <f t="shared" si="90"/>
        <v>0</v>
      </c>
      <c r="W321" s="1">
        <f t="shared" si="91"/>
        <v>0</v>
      </c>
      <c r="X321" s="1">
        <f t="shared" si="92"/>
        <v>0</v>
      </c>
      <c r="Y321" s="1">
        <f t="shared" si="93"/>
        <v>0</v>
      </c>
      <c r="Z321" s="1">
        <f t="shared" si="94"/>
        <v>0</v>
      </c>
      <c r="AA321" s="1">
        <f t="shared" si="95"/>
        <v>0</v>
      </c>
      <c r="AB321" s="1">
        <f t="shared" si="96"/>
        <v>0</v>
      </c>
      <c r="AD321" s="1">
        <f t="shared" si="97"/>
        <v>0</v>
      </c>
      <c r="AE321" s="1">
        <f t="shared" si="98"/>
        <v>1</v>
      </c>
      <c r="AF321" s="1">
        <f t="shared" si="83"/>
        <v>0</v>
      </c>
      <c r="AG321" s="1">
        <f t="shared" si="84"/>
        <v>1</v>
      </c>
      <c r="AH321" s="1">
        <f t="shared" si="85"/>
        <v>0</v>
      </c>
      <c r="AI321" s="1">
        <f t="shared" si="86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1302</v>
      </c>
      <c r="E322" s="32" t="s">
        <v>1322</v>
      </c>
      <c r="F322" s="32" t="s">
        <v>1285</v>
      </c>
      <c r="G322" s="32" t="s">
        <v>1286</v>
      </c>
      <c r="H322" s="32" t="s">
        <v>352</v>
      </c>
      <c r="I322" s="31" t="s">
        <v>1287</v>
      </c>
      <c r="J322" s="31">
        <v>99</v>
      </c>
      <c r="K322" s="33" t="s">
        <v>942</v>
      </c>
      <c r="L322" s="33" t="s">
        <v>709</v>
      </c>
      <c r="M322" s="34" t="s">
        <v>710</v>
      </c>
      <c r="N322" s="34" t="s">
        <v>1903</v>
      </c>
      <c r="O322" s="35">
        <v>1</v>
      </c>
      <c r="P322" s="35"/>
      <c r="Q322" s="32"/>
      <c r="S322" s="1">
        <f t="shared" si="87"/>
        <v>0</v>
      </c>
      <c r="T322" s="1">
        <f t="shared" si="88"/>
        <v>0</v>
      </c>
      <c r="U322" s="1">
        <f t="shared" si="89"/>
        <v>0</v>
      </c>
      <c r="V322" s="1">
        <f t="shared" si="90"/>
        <v>0</v>
      </c>
      <c r="W322" s="1">
        <f t="shared" si="91"/>
        <v>0</v>
      </c>
      <c r="X322" s="1">
        <f t="shared" si="92"/>
        <v>0</v>
      </c>
      <c r="Y322" s="1">
        <f t="shared" si="93"/>
        <v>0</v>
      </c>
      <c r="Z322" s="1">
        <f t="shared" si="94"/>
        <v>0</v>
      </c>
      <c r="AA322" s="1">
        <f t="shared" si="95"/>
        <v>0</v>
      </c>
      <c r="AB322" s="1">
        <f t="shared" si="96"/>
        <v>0</v>
      </c>
      <c r="AD322" s="1">
        <f t="shared" si="97"/>
        <v>0</v>
      </c>
      <c r="AE322" s="1">
        <f t="shared" si="98"/>
        <v>1</v>
      </c>
      <c r="AF322" s="1">
        <f t="shared" si="83"/>
        <v>0</v>
      </c>
      <c r="AG322" s="1">
        <f t="shared" si="84"/>
        <v>1</v>
      </c>
      <c r="AH322" s="1">
        <f t="shared" si="85"/>
        <v>0</v>
      </c>
      <c r="AI322" s="1">
        <f t="shared" si="86"/>
        <v>1</v>
      </c>
    </row>
    <row r="323" spans="1:35" s="1" customFormat="1" ht="14.25" customHeight="1" x14ac:dyDescent="0.25">
      <c r="A323" s="44">
        <v>0</v>
      </c>
      <c r="B323" s="44">
        <v>2</v>
      </c>
      <c r="C323" s="44">
        <v>1</v>
      </c>
      <c r="D323" s="45" t="s">
        <v>1297</v>
      </c>
      <c r="E323" s="45" t="s">
        <v>159</v>
      </c>
      <c r="F323" s="45" t="s">
        <v>1299</v>
      </c>
      <c r="G323" s="45" t="s">
        <v>1300</v>
      </c>
      <c r="H323" s="45" t="s">
        <v>352</v>
      </c>
      <c r="I323" s="44" t="s">
        <v>1301</v>
      </c>
      <c r="J323" s="44">
        <v>8</v>
      </c>
      <c r="K323" s="46" t="s">
        <v>709</v>
      </c>
      <c r="L323" s="46" t="s">
        <v>709</v>
      </c>
      <c r="M323" s="47" t="s">
        <v>710</v>
      </c>
      <c r="N323" s="47" t="s">
        <v>1731</v>
      </c>
      <c r="O323" s="48"/>
      <c r="P323" s="48"/>
      <c r="Q323" s="45"/>
      <c r="S323" s="1">
        <f t="shared" si="87"/>
        <v>0</v>
      </c>
      <c r="T323" s="1">
        <f t="shared" si="88"/>
        <v>0</v>
      </c>
      <c r="U323" s="1">
        <f t="shared" si="89"/>
        <v>0</v>
      </c>
      <c r="V323" s="1">
        <f t="shared" si="90"/>
        <v>0</v>
      </c>
      <c r="W323" s="1">
        <f t="shared" si="91"/>
        <v>0</v>
      </c>
      <c r="X323" s="1">
        <f t="shared" si="92"/>
        <v>0</v>
      </c>
      <c r="Y323" s="1">
        <f t="shared" si="93"/>
        <v>0</v>
      </c>
      <c r="Z323" s="1">
        <f t="shared" si="94"/>
        <v>1</v>
      </c>
      <c r="AA323" s="1">
        <f t="shared" si="95"/>
        <v>0</v>
      </c>
      <c r="AB323" s="1">
        <f t="shared" si="96"/>
        <v>0</v>
      </c>
      <c r="AD323" s="1">
        <f t="shared" si="97"/>
        <v>0</v>
      </c>
      <c r="AE323" s="1">
        <f t="shared" si="98"/>
        <v>0</v>
      </c>
      <c r="AF323" s="1">
        <f t="shared" si="83"/>
        <v>0</v>
      </c>
      <c r="AG323" s="1">
        <f t="shared" si="84"/>
        <v>0</v>
      </c>
      <c r="AH323" s="1">
        <f t="shared" si="85"/>
        <v>0</v>
      </c>
      <c r="AI323" s="1">
        <f t="shared" si="86"/>
        <v>1</v>
      </c>
    </row>
    <row r="324" spans="1:35" s="1" customFormat="1" ht="14.25" customHeight="1" x14ac:dyDescent="0.25">
      <c r="A324" s="44">
        <v>0</v>
      </c>
      <c r="B324" s="44">
        <v>2</v>
      </c>
      <c r="C324" s="44">
        <v>2</v>
      </c>
      <c r="D324" s="45" t="s">
        <v>1630</v>
      </c>
      <c r="E324" s="45" t="s">
        <v>1152</v>
      </c>
      <c r="F324" s="45" t="s">
        <v>1664</v>
      </c>
      <c r="G324" s="45" t="s">
        <v>189</v>
      </c>
      <c r="H324" s="45" t="s">
        <v>352</v>
      </c>
      <c r="I324" s="44" t="s">
        <v>1591</v>
      </c>
      <c r="J324" s="44">
        <v>99</v>
      </c>
      <c r="K324" s="46" t="s">
        <v>709</v>
      </c>
      <c r="L324" s="46" t="s">
        <v>692</v>
      </c>
      <c r="M324" s="47" t="s">
        <v>1592</v>
      </c>
      <c r="N324" s="47" t="s">
        <v>1722</v>
      </c>
      <c r="O324" s="48"/>
      <c r="P324" s="48"/>
      <c r="Q324" s="45"/>
      <c r="S324" s="1">
        <f t="shared" si="87"/>
        <v>0</v>
      </c>
      <c r="T324" s="1">
        <f t="shared" si="88"/>
        <v>0</v>
      </c>
      <c r="U324" s="1">
        <f t="shared" si="89"/>
        <v>0</v>
      </c>
      <c r="V324" s="1">
        <f t="shared" si="90"/>
        <v>0</v>
      </c>
      <c r="W324" s="1">
        <f t="shared" si="91"/>
        <v>0</v>
      </c>
      <c r="X324" s="1">
        <f t="shared" si="92"/>
        <v>0</v>
      </c>
      <c r="Y324" s="1">
        <f t="shared" si="93"/>
        <v>0</v>
      </c>
      <c r="Z324" s="1">
        <f t="shared" si="94"/>
        <v>0</v>
      </c>
      <c r="AA324" s="1">
        <f t="shared" si="95"/>
        <v>0</v>
      </c>
      <c r="AB324" s="1">
        <f t="shared" si="96"/>
        <v>0</v>
      </c>
      <c r="AD324" s="1">
        <f t="shared" si="97"/>
        <v>0</v>
      </c>
      <c r="AE324" s="1">
        <f t="shared" si="98"/>
        <v>0</v>
      </c>
      <c r="AF324" s="1">
        <f t="shared" si="83"/>
        <v>0</v>
      </c>
      <c r="AG324" s="1">
        <f t="shared" si="84"/>
        <v>0</v>
      </c>
      <c r="AH324" s="1">
        <f t="shared" si="85"/>
        <v>0</v>
      </c>
      <c r="AI324" s="1">
        <f t="shared" si="86"/>
        <v>1</v>
      </c>
    </row>
    <row r="325" spans="1:35" s="1" customFormat="1" ht="14.25" customHeight="1" x14ac:dyDescent="0.25">
      <c r="A325" s="49">
        <v>0</v>
      </c>
      <c r="B325" s="49">
        <v>2</v>
      </c>
      <c r="C325" s="49">
        <v>2</v>
      </c>
      <c r="D325" s="50" t="s">
        <v>65</v>
      </c>
      <c r="E325" s="50" t="s">
        <v>163</v>
      </c>
      <c r="F325" s="50" t="s">
        <v>242</v>
      </c>
      <c r="G325" s="50" t="s">
        <v>199</v>
      </c>
      <c r="H325" s="50" t="s">
        <v>352</v>
      </c>
      <c r="I325" s="49" t="s">
        <v>405</v>
      </c>
      <c r="J325" s="49">
        <v>2</v>
      </c>
      <c r="K325" s="51" t="s">
        <v>942</v>
      </c>
      <c r="L325" s="51" t="s">
        <v>692</v>
      </c>
      <c r="M325" s="52" t="s">
        <v>711</v>
      </c>
      <c r="N325" s="52" t="s">
        <v>1727</v>
      </c>
      <c r="O325" s="53">
        <v>1</v>
      </c>
      <c r="P325" s="53"/>
      <c r="Q325" s="50"/>
      <c r="S325" s="1">
        <f t="shared" si="87"/>
        <v>0</v>
      </c>
      <c r="T325" s="1">
        <f t="shared" si="88"/>
        <v>1</v>
      </c>
      <c r="U325" s="1">
        <f t="shared" si="89"/>
        <v>0</v>
      </c>
      <c r="V325" s="1">
        <f t="shared" si="90"/>
        <v>0</v>
      </c>
      <c r="W325" s="1">
        <f t="shared" si="91"/>
        <v>0</v>
      </c>
      <c r="X325" s="1">
        <f t="shared" si="92"/>
        <v>0</v>
      </c>
      <c r="Y325" s="1">
        <f t="shared" si="93"/>
        <v>0</v>
      </c>
      <c r="Z325" s="1">
        <f t="shared" si="94"/>
        <v>0</v>
      </c>
      <c r="AA325" s="1">
        <f t="shared" si="95"/>
        <v>0</v>
      </c>
      <c r="AB325" s="1">
        <f t="shared" si="96"/>
        <v>0</v>
      </c>
      <c r="AD325" s="1">
        <f t="shared" si="97"/>
        <v>0</v>
      </c>
      <c r="AE325" s="1">
        <f t="shared" si="98"/>
        <v>1</v>
      </c>
      <c r="AF325" s="1">
        <f t="shared" si="83"/>
        <v>0</v>
      </c>
      <c r="AG325" s="1">
        <f t="shared" si="84"/>
        <v>1</v>
      </c>
      <c r="AH325" s="1">
        <f t="shared" si="85"/>
        <v>0</v>
      </c>
      <c r="AI325" s="1">
        <f t="shared" si="86"/>
        <v>1</v>
      </c>
    </row>
    <row r="326" spans="1:35" s="1" customFormat="1" ht="14.25" customHeight="1" x14ac:dyDescent="0.25">
      <c r="A326" s="44">
        <v>0</v>
      </c>
      <c r="B326" s="44">
        <v>2</v>
      </c>
      <c r="C326" s="44">
        <v>2</v>
      </c>
      <c r="D326" s="45" t="s">
        <v>1166</v>
      </c>
      <c r="E326" s="45" t="s">
        <v>1167</v>
      </c>
      <c r="F326" s="45" t="s">
        <v>1332</v>
      </c>
      <c r="G326" s="45" t="s">
        <v>1043</v>
      </c>
      <c r="H326" s="45" t="s">
        <v>352</v>
      </c>
      <c r="I326" s="44" t="s">
        <v>1168</v>
      </c>
      <c r="J326" s="44">
        <v>1</v>
      </c>
      <c r="K326" s="46" t="s">
        <v>708</v>
      </c>
      <c r="L326" s="46" t="s">
        <v>700</v>
      </c>
      <c r="M326" s="47" t="s">
        <v>1396</v>
      </c>
      <c r="N326" s="47" t="s">
        <v>1719</v>
      </c>
      <c r="O326" s="48"/>
      <c r="P326" s="48"/>
      <c r="Q326" s="45"/>
      <c r="S326" s="1">
        <f t="shared" si="87"/>
        <v>1</v>
      </c>
      <c r="T326" s="1">
        <f t="shared" si="88"/>
        <v>0</v>
      </c>
      <c r="U326" s="1">
        <f t="shared" si="89"/>
        <v>0</v>
      </c>
      <c r="V326" s="1">
        <f t="shared" si="90"/>
        <v>0</v>
      </c>
      <c r="W326" s="1">
        <f t="shared" si="91"/>
        <v>0</v>
      </c>
      <c r="X326" s="1">
        <f t="shared" si="92"/>
        <v>0</v>
      </c>
      <c r="Y326" s="1">
        <f t="shared" si="93"/>
        <v>0</v>
      </c>
      <c r="Z326" s="1">
        <f t="shared" si="94"/>
        <v>0</v>
      </c>
      <c r="AA326" s="1">
        <f t="shared" si="95"/>
        <v>0</v>
      </c>
      <c r="AB326" s="1">
        <f t="shared" si="96"/>
        <v>0</v>
      </c>
      <c r="AD326" s="1">
        <f t="shared" si="97"/>
        <v>0</v>
      </c>
      <c r="AE326" s="1">
        <f t="shared" si="98"/>
        <v>0</v>
      </c>
      <c r="AF326" s="1">
        <f t="shared" si="83"/>
        <v>0</v>
      </c>
      <c r="AG326" s="1">
        <f t="shared" si="84"/>
        <v>0</v>
      </c>
      <c r="AH326" s="1">
        <f t="shared" si="85"/>
        <v>0</v>
      </c>
      <c r="AI326" s="1">
        <f t="shared" si="86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2</v>
      </c>
      <c r="D327" s="32" t="s">
        <v>1812</v>
      </c>
      <c r="E327" s="32" t="s">
        <v>1813</v>
      </c>
      <c r="F327" s="32" t="s">
        <v>1814</v>
      </c>
      <c r="G327" s="32" t="s">
        <v>195</v>
      </c>
      <c r="H327" s="32" t="s">
        <v>352</v>
      </c>
      <c r="I327" s="31" t="s">
        <v>1815</v>
      </c>
      <c r="J327" s="31"/>
      <c r="K327" s="33" t="s">
        <v>699</v>
      </c>
      <c r="L327" s="33">
        <v>20</v>
      </c>
      <c r="M327" s="34" t="s">
        <v>1816</v>
      </c>
      <c r="N327" s="34" t="s">
        <v>1732</v>
      </c>
      <c r="O327" s="35">
        <v>1</v>
      </c>
      <c r="P327" s="35"/>
      <c r="Q327" s="32"/>
      <c r="S327" s="1">
        <f t="shared" si="87"/>
        <v>0</v>
      </c>
      <c r="T327" s="1">
        <f t="shared" si="88"/>
        <v>0</v>
      </c>
      <c r="U327" s="1">
        <f t="shared" si="89"/>
        <v>0</v>
      </c>
      <c r="V327" s="1">
        <f t="shared" si="90"/>
        <v>0</v>
      </c>
      <c r="W327" s="1">
        <f t="shared" si="91"/>
        <v>0</v>
      </c>
      <c r="X327" s="1">
        <f t="shared" si="92"/>
        <v>0</v>
      </c>
      <c r="Y327" s="1">
        <f t="shared" si="93"/>
        <v>0</v>
      </c>
      <c r="Z327" s="1">
        <f t="shared" si="94"/>
        <v>0</v>
      </c>
      <c r="AA327" s="1">
        <f t="shared" si="95"/>
        <v>0</v>
      </c>
      <c r="AB327" s="1">
        <f t="shared" si="96"/>
        <v>0</v>
      </c>
      <c r="AD327" s="1">
        <f t="shared" si="97"/>
        <v>0</v>
      </c>
      <c r="AE327" s="1">
        <f t="shared" si="98"/>
        <v>1</v>
      </c>
      <c r="AF327" s="1">
        <f t="shared" si="83"/>
        <v>0</v>
      </c>
      <c r="AG327" s="1">
        <f t="shared" si="84"/>
        <v>1</v>
      </c>
      <c r="AH327" s="1">
        <f t="shared" si="85"/>
        <v>0</v>
      </c>
      <c r="AI327" s="1">
        <f t="shared" si="86"/>
        <v>1</v>
      </c>
    </row>
    <row r="328" spans="1:35" s="1" customFormat="1" ht="14.25" customHeight="1" x14ac:dyDescent="0.25">
      <c r="A328" s="31">
        <v>0</v>
      </c>
      <c r="B328" s="31">
        <v>2</v>
      </c>
      <c r="C328" s="31">
        <v>2</v>
      </c>
      <c r="D328" s="32" t="s">
        <v>1560</v>
      </c>
      <c r="E328" s="32" t="s">
        <v>1561</v>
      </c>
      <c r="F328" s="32" t="s">
        <v>1563</v>
      </c>
      <c r="G328" s="32" t="s">
        <v>1564</v>
      </c>
      <c r="H328" s="32" t="s">
        <v>352</v>
      </c>
      <c r="I328" s="31" t="s">
        <v>1562</v>
      </c>
      <c r="J328" s="31">
        <v>99</v>
      </c>
      <c r="K328" s="33" t="s">
        <v>699</v>
      </c>
      <c r="L328" s="33">
        <v>18</v>
      </c>
      <c r="M328" s="34" t="s">
        <v>1565</v>
      </c>
      <c r="N328" s="34" t="s">
        <v>1732</v>
      </c>
      <c r="O328" s="35">
        <v>1</v>
      </c>
      <c r="P328" s="35"/>
      <c r="Q328" s="32"/>
      <c r="S328" s="1">
        <f t="shared" si="87"/>
        <v>0</v>
      </c>
      <c r="T328" s="1">
        <f t="shared" si="88"/>
        <v>0</v>
      </c>
      <c r="U328" s="1">
        <f t="shared" si="89"/>
        <v>0</v>
      </c>
      <c r="V328" s="1">
        <f t="shared" si="90"/>
        <v>0</v>
      </c>
      <c r="W328" s="1">
        <f t="shared" si="91"/>
        <v>0</v>
      </c>
      <c r="X328" s="1">
        <f t="shared" si="92"/>
        <v>0</v>
      </c>
      <c r="Y328" s="1">
        <f t="shared" si="93"/>
        <v>0</v>
      </c>
      <c r="Z328" s="1">
        <f t="shared" si="94"/>
        <v>0</v>
      </c>
      <c r="AA328" s="1">
        <f t="shared" si="95"/>
        <v>0</v>
      </c>
      <c r="AB328" s="1">
        <f t="shared" si="96"/>
        <v>0</v>
      </c>
      <c r="AD328" s="1">
        <f t="shared" si="97"/>
        <v>0</v>
      </c>
      <c r="AE328" s="1">
        <f t="shared" si="98"/>
        <v>1</v>
      </c>
      <c r="AF328" s="1">
        <f t="shared" si="83"/>
        <v>0</v>
      </c>
      <c r="AG328" s="1">
        <f t="shared" si="84"/>
        <v>1</v>
      </c>
      <c r="AH328" s="1">
        <f t="shared" si="85"/>
        <v>0</v>
      </c>
      <c r="AI328" s="1">
        <f t="shared" si="86"/>
        <v>1</v>
      </c>
    </row>
    <row r="329" spans="1:35" s="1" customFormat="1" ht="14.25" customHeight="1" x14ac:dyDescent="0.25">
      <c r="A329" s="49">
        <v>0</v>
      </c>
      <c r="B329" s="49">
        <v>2</v>
      </c>
      <c r="C329" s="49">
        <v>2</v>
      </c>
      <c r="D329" s="50" t="s">
        <v>64</v>
      </c>
      <c r="E329" s="50" t="s">
        <v>33</v>
      </c>
      <c r="F329" s="50" t="s">
        <v>240</v>
      </c>
      <c r="G329" s="50" t="s">
        <v>241</v>
      </c>
      <c r="H329" s="50" t="s">
        <v>352</v>
      </c>
      <c r="I329" s="49" t="s">
        <v>404</v>
      </c>
      <c r="J329" s="49">
        <v>1</v>
      </c>
      <c r="K329" s="51" t="s">
        <v>948</v>
      </c>
      <c r="L329" s="51" t="s">
        <v>712</v>
      </c>
      <c r="M329" s="52" t="s">
        <v>713</v>
      </c>
      <c r="N329" s="52" t="s">
        <v>1727</v>
      </c>
      <c r="O329" s="53">
        <v>1</v>
      </c>
      <c r="P329" s="53"/>
      <c r="Q329" s="50"/>
      <c r="S329" s="1">
        <f t="shared" si="87"/>
        <v>1</v>
      </c>
      <c r="T329" s="1">
        <f t="shared" si="88"/>
        <v>0</v>
      </c>
      <c r="U329" s="1">
        <f t="shared" si="89"/>
        <v>0</v>
      </c>
      <c r="V329" s="1">
        <f t="shared" si="90"/>
        <v>0</v>
      </c>
      <c r="W329" s="1">
        <f t="shared" si="91"/>
        <v>0</v>
      </c>
      <c r="X329" s="1">
        <f t="shared" si="92"/>
        <v>0</v>
      </c>
      <c r="Y329" s="1">
        <f t="shared" si="93"/>
        <v>0</v>
      </c>
      <c r="Z329" s="1">
        <f t="shared" si="94"/>
        <v>0</v>
      </c>
      <c r="AA329" s="1">
        <f t="shared" si="95"/>
        <v>0</v>
      </c>
      <c r="AB329" s="1">
        <f t="shared" si="96"/>
        <v>0</v>
      </c>
      <c r="AD329" s="1">
        <f t="shared" si="97"/>
        <v>0</v>
      </c>
      <c r="AE329" s="1">
        <f t="shared" si="98"/>
        <v>1</v>
      </c>
      <c r="AF329" s="1">
        <f t="shared" si="83"/>
        <v>0</v>
      </c>
      <c r="AG329" s="1">
        <f t="shared" si="84"/>
        <v>1</v>
      </c>
      <c r="AH329" s="1">
        <f t="shared" si="85"/>
        <v>0</v>
      </c>
      <c r="AI329" s="1">
        <f t="shared" si="86"/>
        <v>1</v>
      </c>
    </row>
    <row r="330" spans="1:35" s="1" customFormat="1" ht="14.25" customHeight="1" x14ac:dyDescent="0.25">
      <c r="A330" s="49">
        <v>0</v>
      </c>
      <c r="B330" s="49">
        <v>2</v>
      </c>
      <c r="C330" s="49">
        <v>2</v>
      </c>
      <c r="D330" s="50" t="s">
        <v>62</v>
      </c>
      <c r="E330" s="50" t="s">
        <v>1073</v>
      </c>
      <c r="F330" s="50" t="s">
        <v>233</v>
      </c>
      <c r="G330" s="50" t="s">
        <v>234</v>
      </c>
      <c r="H330" s="50" t="s">
        <v>352</v>
      </c>
      <c r="I330" s="49" t="s">
        <v>1349</v>
      </c>
      <c r="J330" s="49">
        <v>99</v>
      </c>
      <c r="K330" s="51" t="s">
        <v>942</v>
      </c>
      <c r="L330" s="51" t="s">
        <v>712</v>
      </c>
      <c r="M330" s="52" t="s">
        <v>714</v>
      </c>
      <c r="N330" s="52" t="s">
        <v>1727</v>
      </c>
      <c r="O330" s="53">
        <v>1</v>
      </c>
      <c r="P330" s="53"/>
      <c r="Q330" s="50"/>
      <c r="S330" s="1">
        <f t="shared" si="87"/>
        <v>0</v>
      </c>
      <c r="T330" s="1">
        <f t="shared" si="88"/>
        <v>0</v>
      </c>
      <c r="U330" s="1">
        <f t="shared" si="89"/>
        <v>0</v>
      </c>
      <c r="V330" s="1">
        <f t="shared" si="90"/>
        <v>0</v>
      </c>
      <c r="W330" s="1">
        <f t="shared" si="91"/>
        <v>0</v>
      </c>
      <c r="X330" s="1">
        <f t="shared" si="92"/>
        <v>0</v>
      </c>
      <c r="Y330" s="1">
        <f t="shared" si="93"/>
        <v>0</v>
      </c>
      <c r="Z330" s="1">
        <f t="shared" si="94"/>
        <v>0</v>
      </c>
      <c r="AA330" s="1">
        <f t="shared" si="95"/>
        <v>0</v>
      </c>
      <c r="AB330" s="1">
        <f t="shared" si="96"/>
        <v>0</v>
      </c>
      <c r="AD330" s="1">
        <f t="shared" si="97"/>
        <v>0</v>
      </c>
      <c r="AE330" s="1">
        <f t="shared" si="98"/>
        <v>1</v>
      </c>
      <c r="AF330" s="1">
        <f t="shared" si="83"/>
        <v>0</v>
      </c>
      <c r="AG330" s="1">
        <f t="shared" si="84"/>
        <v>1</v>
      </c>
      <c r="AH330" s="1">
        <f t="shared" si="85"/>
        <v>0</v>
      </c>
      <c r="AI330" s="1">
        <f t="shared" si="86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2</v>
      </c>
      <c r="D331" s="32" t="s">
        <v>1700</v>
      </c>
      <c r="E331" s="32" t="s">
        <v>1702</v>
      </c>
      <c r="F331" s="32" t="s">
        <v>1701</v>
      </c>
      <c r="G331" s="32"/>
      <c r="H331" s="32" t="s">
        <v>352</v>
      </c>
      <c r="I331" s="31" t="s">
        <v>1703</v>
      </c>
      <c r="J331" s="31"/>
      <c r="K331" s="33" t="s">
        <v>699</v>
      </c>
      <c r="L331" s="33"/>
      <c r="M331" s="34"/>
      <c r="N331" s="34" t="s">
        <v>1711</v>
      </c>
      <c r="O331" s="35">
        <v>1</v>
      </c>
      <c r="P331" s="35">
        <v>1</v>
      </c>
      <c r="Q331" s="32"/>
      <c r="S331" s="1">
        <f t="shared" si="87"/>
        <v>0</v>
      </c>
      <c r="T331" s="1">
        <f t="shared" si="88"/>
        <v>0</v>
      </c>
      <c r="U331" s="1">
        <f t="shared" si="89"/>
        <v>0</v>
      </c>
      <c r="V331" s="1">
        <f t="shared" si="90"/>
        <v>0</v>
      </c>
      <c r="W331" s="1">
        <f t="shared" si="91"/>
        <v>0</v>
      </c>
      <c r="X331" s="1">
        <f t="shared" si="92"/>
        <v>0</v>
      </c>
      <c r="Y331" s="1">
        <f t="shared" si="93"/>
        <v>0</v>
      </c>
      <c r="Z331" s="1">
        <f t="shared" si="94"/>
        <v>0</v>
      </c>
      <c r="AA331" s="1">
        <f t="shared" si="95"/>
        <v>0</v>
      </c>
      <c r="AB331" s="1">
        <f t="shared" si="96"/>
        <v>0</v>
      </c>
      <c r="AD331" s="1">
        <f t="shared" si="97"/>
        <v>1</v>
      </c>
      <c r="AE331" s="1">
        <f t="shared" si="98"/>
        <v>0</v>
      </c>
      <c r="AF331" s="1">
        <f t="shared" si="83"/>
        <v>1</v>
      </c>
      <c r="AG331" s="1">
        <f t="shared" si="84"/>
        <v>0</v>
      </c>
      <c r="AH331" s="1">
        <f t="shared" si="85"/>
        <v>1</v>
      </c>
      <c r="AI331" s="1">
        <f t="shared" si="86"/>
        <v>0</v>
      </c>
    </row>
    <row r="332" spans="1:35" s="1" customFormat="1" ht="14.25" customHeight="1" x14ac:dyDescent="0.25">
      <c r="A332" s="44">
        <v>0</v>
      </c>
      <c r="B332" s="44">
        <v>2</v>
      </c>
      <c r="C332" s="44">
        <v>2</v>
      </c>
      <c r="D332" s="45" t="s">
        <v>778</v>
      </c>
      <c r="E332" s="45" t="s">
        <v>898</v>
      </c>
      <c r="F332" s="45" t="s">
        <v>1555</v>
      </c>
      <c r="G332" s="45" t="s">
        <v>229</v>
      </c>
      <c r="H332" s="45" t="s">
        <v>352</v>
      </c>
      <c r="I332" s="44" t="s">
        <v>1678</v>
      </c>
      <c r="J332" s="44">
        <v>7</v>
      </c>
      <c r="K332" s="46" t="s">
        <v>709</v>
      </c>
      <c r="L332" s="46">
        <v>20</v>
      </c>
      <c r="M332" s="47" t="s">
        <v>39</v>
      </c>
      <c r="N332" s="47" t="s">
        <v>1718</v>
      </c>
      <c r="O332" s="48"/>
      <c r="P332" s="48"/>
      <c r="Q332" s="45"/>
      <c r="S332" s="1">
        <f t="shared" si="87"/>
        <v>0</v>
      </c>
      <c r="T332" s="1">
        <f t="shared" si="88"/>
        <v>0</v>
      </c>
      <c r="U332" s="1">
        <f t="shared" si="89"/>
        <v>0</v>
      </c>
      <c r="V332" s="1">
        <f t="shared" si="90"/>
        <v>0</v>
      </c>
      <c r="W332" s="1">
        <f t="shared" si="91"/>
        <v>0</v>
      </c>
      <c r="X332" s="1">
        <f t="shared" si="92"/>
        <v>0</v>
      </c>
      <c r="Y332" s="1">
        <f t="shared" si="93"/>
        <v>1</v>
      </c>
      <c r="Z332" s="1">
        <f t="shared" si="94"/>
        <v>0</v>
      </c>
      <c r="AA332" s="1">
        <f t="shared" si="95"/>
        <v>0</v>
      </c>
      <c r="AB332" s="1">
        <f t="shared" si="96"/>
        <v>0</v>
      </c>
      <c r="AD332" s="1">
        <f t="shared" si="97"/>
        <v>0</v>
      </c>
      <c r="AE332" s="1">
        <f t="shared" si="98"/>
        <v>0</v>
      </c>
      <c r="AF332" s="1">
        <f t="shared" si="83"/>
        <v>0</v>
      </c>
      <c r="AG332" s="1">
        <f t="shared" si="84"/>
        <v>0</v>
      </c>
      <c r="AH332" s="1">
        <f t="shared" si="85"/>
        <v>0</v>
      </c>
      <c r="AI332" s="1">
        <f t="shared" si="86"/>
        <v>1</v>
      </c>
    </row>
    <row r="333" spans="1:35" s="1" customFormat="1" ht="14.25" customHeight="1" x14ac:dyDescent="0.25">
      <c r="A333" s="31">
        <v>0</v>
      </c>
      <c r="B333" s="31">
        <v>2</v>
      </c>
      <c r="C333" s="31">
        <v>2</v>
      </c>
      <c r="D333" s="32" t="s">
        <v>843</v>
      </c>
      <c r="E333" s="32" t="s">
        <v>537</v>
      </c>
      <c r="F333" s="32" t="s">
        <v>845</v>
      </c>
      <c r="G333" s="32" t="s">
        <v>219</v>
      </c>
      <c r="H333" s="32" t="s">
        <v>352</v>
      </c>
      <c r="I333" s="31" t="s">
        <v>846</v>
      </c>
      <c r="J333" s="31">
        <v>8</v>
      </c>
      <c r="K333" s="33" t="s">
        <v>709</v>
      </c>
      <c r="L333" s="33" t="s">
        <v>712</v>
      </c>
      <c r="M333" s="34" t="s">
        <v>1397</v>
      </c>
      <c r="N333" s="34" t="s">
        <v>1727</v>
      </c>
      <c r="O333" s="35">
        <v>1</v>
      </c>
      <c r="P333" s="35"/>
      <c r="Q333" s="32"/>
      <c r="S333" s="1">
        <f t="shared" si="87"/>
        <v>0</v>
      </c>
      <c r="T333" s="1">
        <f t="shared" si="88"/>
        <v>0</v>
      </c>
      <c r="U333" s="1">
        <f t="shared" si="89"/>
        <v>0</v>
      </c>
      <c r="V333" s="1">
        <f t="shared" si="90"/>
        <v>0</v>
      </c>
      <c r="W333" s="1">
        <f t="shared" si="91"/>
        <v>0</v>
      </c>
      <c r="X333" s="1">
        <f t="shared" si="92"/>
        <v>0</v>
      </c>
      <c r="Y333" s="1">
        <f t="shared" si="93"/>
        <v>0</v>
      </c>
      <c r="Z333" s="1">
        <f t="shared" si="94"/>
        <v>1</v>
      </c>
      <c r="AA333" s="1">
        <f t="shared" si="95"/>
        <v>0</v>
      </c>
      <c r="AB333" s="1">
        <f t="shared" si="96"/>
        <v>0</v>
      </c>
      <c r="AD333" s="1">
        <f t="shared" si="97"/>
        <v>0</v>
      </c>
      <c r="AE333" s="1">
        <f t="shared" si="98"/>
        <v>1</v>
      </c>
      <c r="AF333" s="1">
        <f t="shared" ref="AF333:AF396" si="99">+O333*P333*(1-A333)</f>
        <v>0</v>
      </c>
      <c r="AG333" s="1">
        <f t="shared" ref="AG333:AG396" si="100">O333*(1-P333)*(1-A333)</f>
        <v>1</v>
      </c>
      <c r="AH333" s="1">
        <f t="shared" ref="AH333:AH396" si="101">+P333*(1-A333)</f>
        <v>0</v>
      </c>
      <c r="AI333" s="1">
        <f t="shared" ref="AI333:AI396" si="102">+(1-A333)*(1-P333)</f>
        <v>1</v>
      </c>
    </row>
    <row r="334" spans="1:35" s="1" customFormat="1" ht="14.25" customHeight="1" x14ac:dyDescent="0.25">
      <c r="A334" s="31">
        <v>1</v>
      </c>
      <c r="B334" s="31">
        <v>2</v>
      </c>
      <c r="C334" s="31">
        <v>2</v>
      </c>
      <c r="D334" s="32" t="s">
        <v>843</v>
      </c>
      <c r="E334" s="32" t="s">
        <v>537</v>
      </c>
      <c r="F334" s="32" t="s">
        <v>1337</v>
      </c>
      <c r="G334" s="32" t="s">
        <v>193</v>
      </c>
      <c r="H334" s="32" t="s">
        <v>352</v>
      </c>
      <c r="I334" s="31" t="s">
        <v>844</v>
      </c>
      <c r="J334" s="31">
        <v>9</v>
      </c>
      <c r="K334" s="33" t="s">
        <v>709</v>
      </c>
      <c r="L334" s="33" t="s">
        <v>712</v>
      </c>
      <c r="M334" s="34" t="s">
        <v>1397</v>
      </c>
      <c r="N334" s="34" t="s">
        <v>1727</v>
      </c>
      <c r="O334" s="35">
        <v>1</v>
      </c>
      <c r="P334" s="35"/>
      <c r="Q334" s="32"/>
      <c r="S334" s="1">
        <f t="shared" si="87"/>
        <v>0</v>
      </c>
      <c r="T334" s="1">
        <f t="shared" si="88"/>
        <v>0</v>
      </c>
      <c r="U334" s="1">
        <f t="shared" si="89"/>
        <v>0</v>
      </c>
      <c r="V334" s="1">
        <f t="shared" si="90"/>
        <v>0</v>
      </c>
      <c r="W334" s="1">
        <f t="shared" si="91"/>
        <v>0</v>
      </c>
      <c r="X334" s="1">
        <f t="shared" si="92"/>
        <v>0</v>
      </c>
      <c r="Y334" s="1">
        <f t="shared" si="93"/>
        <v>0</v>
      </c>
      <c r="Z334" s="1">
        <f t="shared" si="94"/>
        <v>0</v>
      </c>
      <c r="AA334" s="1">
        <f t="shared" si="95"/>
        <v>1</v>
      </c>
      <c r="AB334" s="1">
        <f t="shared" si="96"/>
        <v>0</v>
      </c>
      <c r="AD334" s="1">
        <f t="shared" si="97"/>
        <v>0</v>
      </c>
      <c r="AE334" s="1">
        <f t="shared" si="98"/>
        <v>1</v>
      </c>
      <c r="AF334" s="1">
        <f t="shared" si="99"/>
        <v>0</v>
      </c>
      <c r="AG334" s="1">
        <f t="shared" si="100"/>
        <v>0</v>
      </c>
      <c r="AH334" s="1">
        <f t="shared" si="101"/>
        <v>0</v>
      </c>
      <c r="AI334" s="1">
        <f t="shared" si="102"/>
        <v>0</v>
      </c>
    </row>
    <row r="335" spans="1:35" s="1" customFormat="1" ht="14.25" customHeight="1" x14ac:dyDescent="0.25">
      <c r="A335" s="44">
        <v>0</v>
      </c>
      <c r="B335" s="44">
        <v>2</v>
      </c>
      <c r="C335" s="44">
        <v>2</v>
      </c>
      <c r="D335" s="45" t="s">
        <v>907</v>
      </c>
      <c r="E335" s="45" t="s">
        <v>776</v>
      </c>
      <c r="F335" s="45" t="s">
        <v>777</v>
      </c>
      <c r="G335" s="45" t="s">
        <v>229</v>
      </c>
      <c r="H335" s="45" t="s">
        <v>352</v>
      </c>
      <c r="I335" s="44" t="s">
        <v>779</v>
      </c>
      <c r="J335" s="44">
        <v>7</v>
      </c>
      <c r="K335" s="46" t="s">
        <v>708</v>
      </c>
      <c r="L335" s="46">
        <v>15</v>
      </c>
      <c r="M335" s="47" t="s">
        <v>39</v>
      </c>
      <c r="N335" s="47" t="s">
        <v>1719</v>
      </c>
      <c r="O335" s="48"/>
      <c r="P335" s="48"/>
      <c r="Q335" s="45"/>
      <c r="S335" s="1">
        <f t="shared" si="87"/>
        <v>0</v>
      </c>
      <c r="T335" s="1">
        <f t="shared" si="88"/>
        <v>0</v>
      </c>
      <c r="U335" s="1">
        <f t="shared" si="89"/>
        <v>0</v>
      </c>
      <c r="V335" s="1">
        <f t="shared" si="90"/>
        <v>0</v>
      </c>
      <c r="W335" s="1">
        <f t="shared" si="91"/>
        <v>0</v>
      </c>
      <c r="X335" s="1">
        <f t="shared" si="92"/>
        <v>0</v>
      </c>
      <c r="Y335" s="1">
        <f t="shared" si="93"/>
        <v>1</v>
      </c>
      <c r="Z335" s="1">
        <f t="shared" si="94"/>
        <v>0</v>
      </c>
      <c r="AA335" s="1">
        <f t="shared" si="95"/>
        <v>0</v>
      </c>
      <c r="AB335" s="1">
        <f t="shared" si="96"/>
        <v>0</v>
      </c>
      <c r="AD335" s="1">
        <f t="shared" si="97"/>
        <v>0</v>
      </c>
      <c r="AE335" s="1">
        <f t="shared" si="98"/>
        <v>0</v>
      </c>
      <c r="AF335" s="1">
        <f t="shared" si="99"/>
        <v>0</v>
      </c>
      <c r="AG335" s="1">
        <f t="shared" si="100"/>
        <v>0</v>
      </c>
      <c r="AH335" s="1">
        <f t="shared" si="101"/>
        <v>0</v>
      </c>
      <c r="AI335" s="1">
        <f t="shared" si="102"/>
        <v>1</v>
      </c>
    </row>
    <row r="336" spans="1:35" s="1" customFormat="1" ht="14.25" customHeight="1" x14ac:dyDescent="0.25">
      <c r="A336" s="44">
        <v>0</v>
      </c>
      <c r="B336" s="44">
        <v>2</v>
      </c>
      <c r="C336" s="44">
        <v>2</v>
      </c>
      <c r="D336" s="45" t="s">
        <v>83</v>
      </c>
      <c r="E336" s="45" t="s">
        <v>156</v>
      </c>
      <c r="F336" s="65" t="s">
        <v>1856</v>
      </c>
      <c r="G336" s="45" t="s">
        <v>208</v>
      </c>
      <c r="H336" s="45" t="s">
        <v>352</v>
      </c>
      <c r="I336" s="44" t="s">
        <v>430</v>
      </c>
      <c r="J336" s="44">
        <v>99</v>
      </c>
      <c r="K336" s="46" t="s">
        <v>941</v>
      </c>
      <c r="L336" s="46" t="s">
        <v>700</v>
      </c>
      <c r="M336" s="47" t="s">
        <v>715</v>
      </c>
      <c r="N336" s="47" t="s">
        <v>1719</v>
      </c>
      <c r="O336" s="48"/>
      <c r="P336" s="48"/>
      <c r="Q336" s="45"/>
      <c r="S336" s="1">
        <f t="shared" si="87"/>
        <v>0</v>
      </c>
      <c r="T336" s="1">
        <f t="shared" si="88"/>
        <v>0</v>
      </c>
      <c r="U336" s="1">
        <f t="shared" si="89"/>
        <v>0</v>
      </c>
      <c r="V336" s="1">
        <f t="shared" si="90"/>
        <v>0</v>
      </c>
      <c r="W336" s="1">
        <f t="shared" si="91"/>
        <v>0</v>
      </c>
      <c r="X336" s="1">
        <f t="shared" si="92"/>
        <v>0</v>
      </c>
      <c r="Y336" s="1">
        <f t="shared" si="93"/>
        <v>0</v>
      </c>
      <c r="Z336" s="1">
        <f t="shared" si="94"/>
        <v>0</v>
      </c>
      <c r="AA336" s="1">
        <f t="shared" si="95"/>
        <v>0</v>
      </c>
      <c r="AB336" s="1">
        <f t="shared" si="96"/>
        <v>0</v>
      </c>
      <c r="AD336" s="1">
        <f t="shared" si="97"/>
        <v>0</v>
      </c>
      <c r="AE336" s="1">
        <f t="shared" si="98"/>
        <v>0</v>
      </c>
      <c r="AF336" s="1">
        <f t="shared" si="99"/>
        <v>0</v>
      </c>
      <c r="AG336" s="1">
        <f t="shared" si="100"/>
        <v>0</v>
      </c>
      <c r="AH336" s="1">
        <f t="shared" si="101"/>
        <v>0</v>
      </c>
      <c r="AI336" s="1">
        <f t="shared" si="102"/>
        <v>1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1548</v>
      </c>
      <c r="E337" s="32" t="s">
        <v>1318</v>
      </c>
      <c r="F337" s="32" t="s">
        <v>1549</v>
      </c>
      <c r="G337" s="32" t="s">
        <v>1150</v>
      </c>
      <c r="H337" s="32" t="s">
        <v>352</v>
      </c>
      <c r="I337" s="31" t="s">
        <v>1550</v>
      </c>
      <c r="J337" s="31">
        <v>1</v>
      </c>
      <c r="K337" s="33" t="s">
        <v>709</v>
      </c>
      <c r="L337" s="33" t="s">
        <v>39</v>
      </c>
      <c r="M337" s="34" t="s">
        <v>39</v>
      </c>
      <c r="N337" s="34" t="s">
        <v>1711</v>
      </c>
      <c r="O337" s="35">
        <v>1</v>
      </c>
      <c r="P337" s="35">
        <v>1</v>
      </c>
      <c r="Q337" s="32"/>
      <c r="S337" s="1">
        <f t="shared" ref="S337:S400" si="103">IF(J337=$S$7,1,0)</f>
        <v>1</v>
      </c>
      <c r="T337" s="1">
        <f t="shared" ref="T337:T400" si="104">IF(J337=$T$7,1,0)</f>
        <v>0</v>
      </c>
      <c r="U337" s="1">
        <f t="shared" ref="U337:U400" si="105">IF(J337=$U$7,1,0)</f>
        <v>0</v>
      </c>
      <c r="V337" s="1">
        <f t="shared" ref="V337:V400" si="106">IF(J337=$V$7,1,0)</f>
        <v>0</v>
      </c>
      <c r="W337" s="1">
        <f t="shared" ref="W337:W400" si="107">IF(J337=$W$7,1,0)</f>
        <v>0</v>
      </c>
      <c r="X337" s="1">
        <f t="shared" ref="X337:X400" si="108">IF(J337=$X$7,1,0)</f>
        <v>0</v>
      </c>
      <c r="Y337" s="1">
        <f t="shared" ref="Y337:Y400" si="109">IF(J337=$Y$7,1,0)</f>
        <v>0</v>
      </c>
      <c r="Z337" s="1">
        <f t="shared" ref="Z337:Z400" si="110">IF(J337=$Z$7,1,0)</f>
        <v>0</v>
      </c>
      <c r="AA337" s="1">
        <f t="shared" ref="AA337:AA400" si="111">IF(J337=$AA$7,1,0)</f>
        <v>0</v>
      </c>
      <c r="AB337" s="1">
        <f t="shared" ref="AB337:AB400" si="112">IF(J337=$AB$7,1,0)</f>
        <v>0</v>
      </c>
      <c r="AD337" s="1">
        <f t="shared" ref="AD337:AD400" si="113">+O337*P337</f>
        <v>1</v>
      </c>
      <c r="AE337" s="1">
        <f t="shared" ref="AE337:AE400" si="114">O337*(1-P337)</f>
        <v>0</v>
      </c>
      <c r="AF337" s="1">
        <f t="shared" si="99"/>
        <v>1</v>
      </c>
      <c r="AG337" s="1">
        <f t="shared" si="100"/>
        <v>0</v>
      </c>
      <c r="AH337" s="1">
        <f t="shared" si="101"/>
        <v>1</v>
      </c>
      <c r="AI337" s="1">
        <f t="shared" si="102"/>
        <v>0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1728</v>
      </c>
      <c r="E338" s="32" t="s">
        <v>27</v>
      </c>
      <c r="F338" s="32" t="s">
        <v>1031</v>
      </c>
      <c r="G338" s="32" t="s">
        <v>219</v>
      </c>
      <c r="H338" s="32" t="s">
        <v>352</v>
      </c>
      <c r="I338" s="31" t="s">
        <v>1032</v>
      </c>
      <c r="J338" s="31">
        <v>8</v>
      </c>
      <c r="K338" s="33" t="s">
        <v>709</v>
      </c>
      <c r="L338" s="33">
        <v>25</v>
      </c>
      <c r="M338" s="34" t="s">
        <v>1729</v>
      </c>
      <c r="N338" s="34" t="s">
        <v>1711</v>
      </c>
      <c r="O338" s="35">
        <v>1</v>
      </c>
      <c r="P338" s="35">
        <v>1</v>
      </c>
      <c r="Q338" s="32"/>
      <c r="S338" s="1">
        <f t="shared" si="103"/>
        <v>0</v>
      </c>
      <c r="T338" s="1">
        <f t="shared" si="104"/>
        <v>0</v>
      </c>
      <c r="U338" s="1">
        <f t="shared" si="105"/>
        <v>0</v>
      </c>
      <c r="V338" s="1">
        <f t="shared" si="106"/>
        <v>0</v>
      </c>
      <c r="W338" s="1">
        <f t="shared" si="107"/>
        <v>0</v>
      </c>
      <c r="X338" s="1">
        <f t="shared" si="108"/>
        <v>0</v>
      </c>
      <c r="Y338" s="1">
        <f t="shared" si="109"/>
        <v>0</v>
      </c>
      <c r="Z338" s="1">
        <f t="shared" si="110"/>
        <v>1</v>
      </c>
      <c r="AA338" s="1">
        <f t="shared" si="111"/>
        <v>0</v>
      </c>
      <c r="AB338" s="1">
        <f t="shared" si="112"/>
        <v>0</v>
      </c>
      <c r="AD338" s="1">
        <f t="shared" si="113"/>
        <v>1</v>
      </c>
      <c r="AE338" s="1">
        <f t="shared" si="114"/>
        <v>0</v>
      </c>
      <c r="AF338" s="1">
        <f t="shared" si="99"/>
        <v>1</v>
      </c>
      <c r="AG338" s="1">
        <f t="shared" si="100"/>
        <v>0</v>
      </c>
      <c r="AH338" s="1">
        <f t="shared" si="101"/>
        <v>1</v>
      </c>
      <c r="AI338" s="1">
        <f t="shared" si="102"/>
        <v>0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45</v>
      </c>
      <c r="E339" s="32" t="s">
        <v>44</v>
      </c>
      <c r="F339" s="32" t="s">
        <v>665</v>
      </c>
      <c r="G339" s="32" t="s">
        <v>179</v>
      </c>
      <c r="H339" s="32" t="s">
        <v>352</v>
      </c>
      <c r="I339" s="31" t="s">
        <v>937</v>
      </c>
      <c r="J339" s="31">
        <v>10</v>
      </c>
      <c r="K339" s="33" t="s">
        <v>709</v>
      </c>
      <c r="L339" s="33" t="s">
        <v>716</v>
      </c>
      <c r="M339" s="34" t="s">
        <v>717</v>
      </c>
      <c r="N339" s="34" t="s">
        <v>1711</v>
      </c>
      <c r="O339" s="35">
        <v>1</v>
      </c>
      <c r="P339" s="35">
        <v>1</v>
      </c>
      <c r="Q339" s="32"/>
      <c r="S339" s="1">
        <f t="shared" si="103"/>
        <v>0</v>
      </c>
      <c r="T339" s="1">
        <f t="shared" si="104"/>
        <v>0</v>
      </c>
      <c r="U339" s="1">
        <f t="shared" si="105"/>
        <v>0</v>
      </c>
      <c r="V339" s="1">
        <f t="shared" si="106"/>
        <v>0</v>
      </c>
      <c r="W339" s="1">
        <f t="shared" si="107"/>
        <v>0</v>
      </c>
      <c r="X339" s="1">
        <f t="shared" si="108"/>
        <v>0</v>
      </c>
      <c r="Y339" s="1">
        <f t="shared" si="109"/>
        <v>0</v>
      </c>
      <c r="Z339" s="1">
        <f t="shared" si="110"/>
        <v>0</v>
      </c>
      <c r="AA339" s="1">
        <f t="shared" si="111"/>
        <v>0</v>
      </c>
      <c r="AB339" s="1">
        <f t="shared" si="112"/>
        <v>1</v>
      </c>
      <c r="AD339" s="1">
        <f t="shared" si="113"/>
        <v>1</v>
      </c>
      <c r="AE339" s="1">
        <f t="shared" si="114"/>
        <v>0</v>
      </c>
      <c r="AF339" s="1">
        <f t="shared" si="99"/>
        <v>1</v>
      </c>
      <c r="AG339" s="1">
        <f t="shared" si="100"/>
        <v>0</v>
      </c>
      <c r="AH339" s="1">
        <f t="shared" si="101"/>
        <v>1</v>
      </c>
      <c r="AI339" s="1">
        <f t="shared" si="102"/>
        <v>0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1432</v>
      </c>
      <c r="E340" s="32" t="s">
        <v>1637</v>
      </c>
      <c r="F340" s="32" t="s">
        <v>1652</v>
      </c>
      <c r="G340" s="32" t="s">
        <v>229</v>
      </c>
      <c r="H340" s="32" t="s">
        <v>352</v>
      </c>
      <c r="I340" s="31" t="s">
        <v>1433</v>
      </c>
      <c r="J340" s="31">
        <v>99</v>
      </c>
      <c r="K340" s="33" t="s">
        <v>942</v>
      </c>
      <c r="L340" s="33">
        <v>20</v>
      </c>
      <c r="M340" s="34" t="s">
        <v>39</v>
      </c>
      <c r="N340" s="34" t="s">
        <v>1711</v>
      </c>
      <c r="O340" s="35">
        <v>1</v>
      </c>
      <c r="P340" s="35">
        <v>1</v>
      </c>
      <c r="Q340" s="32"/>
      <c r="S340" s="1">
        <f t="shared" si="103"/>
        <v>0</v>
      </c>
      <c r="T340" s="1">
        <f t="shared" si="104"/>
        <v>0</v>
      </c>
      <c r="U340" s="1">
        <f t="shared" si="105"/>
        <v>0</v>
      </c>
      <c r="V340" s="1">
        <f t="shared" si="106"/>
        <v>0</v>
      </c>
      <c r="W340" s="1">
        <f t="shared" si="107"/>
        <v>0</v>
      </c>
      <c r="X340" s="1">
        <f t="shared" si="108"/>
        <v>0</v>
      </c>
      <c r="Y340" s="1">
        <f t="shared" si="109"/>
        <v>0</v>
      </c>
      <c r="Z340" s="1">
        <f t="shared" si="110"/>
        <v>0</v>
      </c>
      <c r="AA340" s="1">
        <f t="shared" si="111"/>
        <v>0</v>
      </c>
      <c r="AB340" s="1">
        <f t="shared" si="112"/>
        <v>0</v>
      </c>
      <c r="AD340" s="1">
        <f t="shared" si="113"/>
        <v>1</v>
      </c>
      <c r="AE340" s="1">
        <f t="shared" si="114"/>
        <v>0</v>
      </c>
      <c r="AF340" s="1">
        <f t="shared" si="99"/>
        <v>1</v>
      </c>
      <c r="AG340" s="1">
        <f t="shared" si="100"/>
        <v>0</v>
      </c>
      <c r="AH340" s="1">
        <f t="shared" si="101"/>
        <v>1</v>
      </c>
      <c r="AI340" s="1">
        <f t="shared" si="102"/>
        <v>0</v>
      </c>
    </row>
    <row r="341" spans="1:35" s="1" customFormat="1" ht="14.25" customHeight="1" x14ac:dyDescent="0.25">
      <c r="A341" s="67">
        <v>0</v>
      </c>
      <c r="B341" s="67">
        <v>2</v>
      </c>
      <c r="C341" s="67">
        <v>2</v>
      </c>
      <c r="D341" s="54" t="s">
        <v>1973</v>
      </c>
      <c r="E341" s="54" t="s">
        <v>2058</v>
      </c>
      <c r="F341" s="54" t="s">
        <v>1974</v>
      </c>
      <c r="G341" s="54" t="s">
        <v>178</v>
      </c>
      <c r="H341" s="54" t="s">
        <v>352</v>
      </c>
      <c r="I341" s="67" t="s">
        <v>1975</v>
      </c>
      <c r="J341" s="67"/>
      <c r="K341" s="67" t="s">
        <v>699</v>
      </c>
      <c r="L341" s="67"/>
      <c r="M341" s="54"/>
      <c r="N341" s="54"/>
      <c r="O341" s="68"/>
      <c r="P341" s="68">
        <v>1</v>
      </c>
      <c r="Q341" s="54"/>
      <c r="S341" s="1">
        <f t="shared" si="103"/>
        <v>0</v>
      </c>
      <c r="T341" s="1">
        <f t="shared" si="104"/>
        <v>0</v>
      </c>
      <c r="U341" s="1">
        <f t="shared" si="105"/>
        <v>0</v>
      </c>
      <c r="V341" s="1">
        <f t="shared" si="106"/>
        <v>0</v>
      </c>
      <c r="W341" s="1">
        <f t="shared" si="107"/>
        <v>0</v>
      </c>
      <c r="X341" s="1">
        <f t="shared" si="108"/>
        <v>0</v>
      </c>
      <c r="Y341" s="1">
        <f t="shared" si="109"/>
        <v>0</v>
      </c>
      <c r="Z341" s="1">
        <f t="shared" si="110"/>
        <v>0</v>
      </c>
      <c r="AA341" s="1">
        <f t="shared" si="111"/>
        <v>0</v>
      </c>
      <c r="AB341" s="1">
        <f t="shared" si="112"/>
        <v>0</v>
      </c>
      <c r="AD341" s="1">
        <f t="shared" si="113"/>
        <v>0</v>
      </c>
      <c r="AE341" s="1">
        <f t="shared" si="114"/>
        <v>0</v>
      </c>
      <c r="AF341" s="1">
        <f t="shared" si="99"/>
        <v>0</v>
      </c>
      <c r="AG341" s="1">
        <f t="shared" si="100"/>
        <v>0</v>
      </c>
      <c r="AH341" s="1">
        <f t="shared" si="101"/>
        <v>1</v>
      </c>
      <c r="AI341" s="1">
        <f t="shared" si="102"/>
        <v>0</v>
      </c>
    </row>
    <row r="342" spans="1:35" s="1" customFormat="1" ht="14.25" customHeight="1" x14ac:dyDescent="0.25">
      <c r="A342" s="49">
        <v>0</v>
      </c>
      <c r="B342" s="49">
        <v>2</v>
      </c>
      <c r="C342" s="49">
        <v>2</v>
      </c>
      <c r="D342" s="50" t="s">
        <v>602</v>
      </c>
      <c r="E342" s="50" t="s">
        <v>603</v>
      </c>
      <c r="F342" s="50" t="s">
        <v>604</v>
      </c>
      <c r="G342" s="50" t="s">
        <v>256</v>
      </c>
      <c r="H342" s="50" t="s">
        <v>352</v>
      </c>
      <c r="I342" s="49" t="s">
        <v>605</v>
      </c>
      <c r="J342" s="49">
        <v>99</v>
      </c>
      <c r="K342" s="51" t="s">
        <v>942</v>
      </c>
      <c r="L342" s="51" t="s">
        <v>700</v>
      </c>
      <c r="M342" s="52" t="s">
        <v>1398</v>
      </c>
      <c r="N342" s="52" t="s">
        <v>1727</v>
      </c>
      <c r="O342" s="53">
        <v>1</v>
      </c>
      <c r="P342" s="53"/>
      <c r="Q342" s="50"/>
      <c r="S342" s="1">
        <f t="shared" si="103"/>
        <v>0</v>
      </c>
      <c r="T342" s="1">
        <f t="shared" si="104"/>
        <v>0</v>
      </c>
      <c r="U342" s="1">
        <f t="shared" si="105"/>
        <v>0</v>
      </c>
      <c r="V342" s="1">
        <f t="shared" si="106"/>
        <v>0</v>
      </c>
      <c r="W342" s="1">
        <f t="shared" si="107"/>
        <v>0</v>
      </c>
      <c r="X342" s="1">
        <f t="shared" si="108"/>
        <v>0</v>
      </c>
      <c r="Y342" s="1">
        <f t="shared" si="109"/>
        <v>0</v>
      </c>
      <c r="Z342" s="1">
        <f t="shared" si="110"/>
        <v>0</v>
      </c>
      <c r="AA342" s="1">
        <f t="shared" si="111"/>
        <v>0</v>
      </c>
      <c r="AB342" s="1">
        <f t="shared" si="112"/>
        <v>0</v>
      </c>
      <c r="AD342" s="1">
        <f t="shared" si="113"/>
        <v>0</v>
      </c>
      <c r="AE342" s="1">
        <f t="shared" si="114"/>
        <v>1</v>
      </c>
      <c r="AF342" s="1">
        <f t="shared" si="99"/>
        <v>0</v>
      </c>
      <c r="AG342" s="1">
        <f t="shared" si="100"/>
        <v>1</v>
      </c>
      <c r="AH342" s="1">
        <f t="shared" si="101"/>
        <v>0</v>
      </c>
      <c r="AI342" s="1">
        <f t="shared" si="102"/>
        <v>1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1909</v>
      </c>
      <c r="E343" s="32" t="s">
        <v>1910</v>
      </c>
      <c r="F343" s="32" t="s">
        <v>1911</v>
      </c>
      <c r="G343" s="32" t="s">
        <v>183</v>
      </c>
      <c r="H343" s="32" t="s">
        <v>352</v>
      </c>
      <c r="I343" s="31" t="s">
        <v>1913</v>
      </c>
      <c r="J343" s="31">
        <v>99</v>
      </c>
      <c r="K343" s="33" t="s">
        <v>699</v>
      </c>
      <c r="L343" s="33"/>
      <c r="M343" s="34"/>
      <c r="N343" s="34" t="s">
        <v>1711</v>
      </c>
      <c r="O343" s="35">
        <v>1</v>
      </c>
      <c r="P343" s="35">
        <v>1</v>
      </c>
      <c r="Q343" s="32" t="s">
        <v>1912</v>
      </c>
      <c r="S343" s="1">
        <f t="shared" si="103"/>
        <v>0</v>
      </c>
      <c r="T343" s="1">
        <f t="shared" si="104"/>
        <v>0</v>
      </c>
      <c r="U343" s="1">
        <f t="shared" si="105"/>
        <v>0</v>
      </c>
      <c r="V343" s="1">
        <f t="shared" si="106"/>
        <v>0</v>
      </c>
      <c r="W343" s="1">
        <f t="shared" si="107"/>
        <v>0</v>
      </c>
      <c r="X343" s="1">
        <f t="shared" si="108"/>
        <v>0</v>
      </c>
      <c r="Y343" s="1">
        <f t="shared" si="109"/>
        <v>0</v>
      </c>
      <c r="Z343" s="1">
        <f t="shared" si="110"/>
        <v>0</v>
      </c>
      <c r="AA343" s="1">
        <f t="shared" si="111"/>
        <v>0</v>
      </c>
      <c r="AB343" s="1">
        <f t="shared" si="112"/>
        <v>0</v>
      </c>
      <c r="AD343" s="1">
        <f t="shared" si="113"/>
        <v>1</v>
      </c>
      <c r="AE343" s="1">
        <f t="shared" si="114"/>
        <v>0</v>
      </c>
      <c r="AF343" s="1">
        <f t="shared" si="99"/>
        <v>1</v>
      </c>
      <c r="AG343" s="1">
        <f t="shared" si="100"/>
        <v>0</v>
      </c>
      <c r="AH343" s="1">
        <f t="shared" si="101"/>
        <v>1</v>
      </c>
      <c r="AI343" s="1">
        <f t="shared" si="102"/>
        <v>0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1627</v>
      </c>
      <c r="E344" s="32" t="s">
        <v>1152</v>
      </c>
      <c r="F344" s="32" t="s">
        <v>1658</v>
      </c>
      <c r="G344" s="32" t="s">
        <v>179</v>
      </c>
      <c r="H344" s="32" t="s">
        <v>352</v>
      </c>
      <c r="I344" s="31" t="s">
        <v>1478</v>
      </c>
      <c r="J344" s="31">
        <v>10</v>
      </c>
      <c r="K344" s="33" t="s">
        <v>708</v>
      </c>
      <c r="L344" s="33">
        <v>15</v>
      </c>
      <c r="M344" s="34" t="s">
        <v>39</v>
      </c>
      <c r="N344" s="34" t="s">
        <v>1773</v>
      </c>
      <c r="O344" s="35">
        <v>1</v>
      </c>
      <c r="P344" s="35"/>
      <c r="Q344" s="32"/>
      <c r="S344" s="1">
        <f t="shared" si="103"/>
        <v>0</v>
      </c>
      <c r="T344" s="1">
        <f t="shared" si="104"/>
        <v>0</v>
      </c>
      <c r="U344" s="1">
        <f t="shared" si="105"/>
        <v>0</v>
      </c>
      <c r="V344" s="1">
        <f t="shared" si="106"/>
        <v>0</v>
      </c>
      <c r="W344" s="1">
        <f t="shared" si="107"/>
        <v>0</v>
      </c>
      <c r="X344" s="1">
        <f t="shared" si="108"/>
        <v>0</v>
      </c>
      <c r="Y344" s="1">
        <f t="shared" si="109"/>
        <v>0</v>
      </c>
      <c r="Z344" s="1">
        <f t="shared" si="110"/>
        <v>0</v>
      </c>
      <c r="AA344" s="1">
        <f t="shared" si="111"/>
        <v>0</v>
      </c>
      <c r="AB344" s="1">
        <f t="shared" si="112"/>
        <v>1</v>
      </c>
      <c r="AD344" s="1">
        <f t="shared" si="113"/>
        <v>0</v>
      </c>
      <c r="AE344" s="1">
        <f t="shared" si="114"/>
        <v>1</v>
      </c>
      <c r="AF344" s="1">
        <f t="shared" si="99"/>
        <v>0</v>
      </c>
      <c r="AG344" s="1">
        <f t="shared" si="100"/>
        <v>1</v>
      </c>
      <c r="AH344" s="1">
        <f t="shared" si="101"/>
        <v>0</v>
      </c>
      <c r="AI344" s="1">
        <f t="shared" si="102"/>
        <v>1</v>
      </c>
    </row>
    <row r="345" spans="1:35" s="1" customFormat="1" ht="14.25" customHeight="1" x14ac:dyDescent="0.25">
      <c r="A345" s="44">
        <v>0</v>
      </c>
      <c r="B345" s="44">
        <v>2</v>
      </c>
      <c r="C345" s="44">
        <v>2</v>
      </c>
      <c r="D345" s="45" t="s">
        <v>853</v>
      </c>
      <c r="E345" s="45" t="s">
        <v>540</v>
      </c>
      <c r="F345" s="45" t="s">
        <v>854</v>
      </c>
      <c r="G345" s="45" t="s">
        <v>312</v>
      </c>
      <c r="H345" s="45" t="s">
        <v>352</v>
      </c>
      <c r="I345" s="44" t="s">
        <v>855</v>
      </c>
      <c r="J345" s="44">
        <v>1</v>
      </c>
      <c r="K345" s="46" t="s">
        <v>708</v>
      </c>
      <c r="L345" s="46">
        <v>25</v>
      </c>
      <c r="M345" s="47" t="s">
        <v>39</v>
      </c>
      <c r="N345" s="47" t="s">
        <v>1719</v>
      </c>
      <c r="O345" s="48"/>
      <c r="P345" s="48"/>
      <c r="Q345" s="45"/>
      <c r="S345" s="1">
        <f t="shared" si="103"/>
        <v>1</v>
      </c>
      <c r="T345" s="1">
        <f t="shared" si="104"/>
        <v>0</v>
      </c>
      <c r="U345" s="1">
        <f t="shared" si="105"/>
        <v>0</v>
      </c>
      <c r="V345" s="1">
        <f t="shared" si="106"/>
        <v>0</v>
      </c>
      <c r="W345" s="1">
        <f t="shared" si="107"/>
        <v>0</v>
      </c>
      <c r="X345" s="1">
        <f t="shared" si="108"/>
        <v>0</v>
      </c>
      <c r="Y345" s="1">
        <f t="shared" si="109"/>
        <v>0</v>
      </c>
      <c r="Z345" s="1">
        <f t="shared" si="110"/>
        <v>0</v>
      </c>
      <c r="AA345" s="1">
        <f t="shared" si="111"/>
        <v>0</v>
      </c>
      <c r="AB345" s="1">
        <f t="shared" si="112"/>
        <v>0</v>
      </c>
      <c r="AD345" s="1">
        <f t="shared" si="113"/>
        <v>0</v>
      </c>
      <c r="AE345" s="1">
        <f t="shared" si="114"/>
        <v>0</v>
      </c>
      <c r="AF345" s="1">
        <f t="shared" si="99"/>
        <v>0</v>
      </c>
      <c r="AG345" s="1">
        <f t="shared" si="100"/>
        <v>0</v>
      </c>
      <c r="AH345" s="1">
        <f t="shared" si="101"/>
        <v>0</v>
      </c>
      <c r="AI345" s="1">
        <f t="shared" si="102"/>
        <v>1</v>
      </c>
    </row>
    <row r="346" spans="1:35" s="1" customFormat="1" ht="14.25" customHeight="1" x14ac:dyDescent="0.25">
      <c r="A346" s="31">
        <v>0</v>
      </c>
      <c r="B346" s="31">
        <v>2</v>
      </c>
      <c r="C346" s="31">
        <v>3</v>
      </c>
      <c r="D346" s="32" t="s">
        <v>564</v>
      </c>
      <c r="E346" s="32" t="s">
        <v>38</v>
      </c>
      <c r="F346" s="32" t="s">
        <v>236</v>
      </c>
      <c r="G346" s="32" t="s">
        <v>535</v>
      </c>
      <c r="H346" s="32" t="s">
        <v>352</v>
      </c>
      <c r="I346" s="31" t="s">
        <v>401</v>
      </c>
      <c r="J346" s="31">
        <v>1</v>
      </c>
      <c r="K346" s="33" t="s">
        <v>708</v>
      </c>
      <c r="L346" s="33" t="s">
        <v>720</v>
      </c>
      <c r="M346" s="34" t="s">
        <v>721</v>
      </c>
      <c r="N346" s="34" t="s">
        <v>1711</v>
      </c>
      <c r="O346" s="35">
        <v>1</v>
      </c>
      <c r="P346" s="35">
        <v>1</v>
      </c>
      <c r="Q346" s="32"/>
      <c r="S346" s="1">
        <f t="shared" si="103"/>
        <v>1</v>
      </c>
      <c r="T346" s="1">
        <f t="shared" si="104"/>
        <v>0</v>
      </c>
      <c r="U346" s="1">
        <f t="shared" si="105"/>
        <v>0</v>
      </c>
      <c r="V346" s="1">
        <f t="shared" si="106"/>
        <v>0</v>
      </c>
      <c r="W346" s="1">
        <f t="shared" si="107"/>
        <v>0</v>
      </c>
      <c r="X346" s="1">
        <f t="shared" si="108"/>
        <v>0</v>
      </c>
      <c r="Y346" s="1">
        <f t="shared" si="109"/>
        <v>0</v>
      </c>
      <c r="Z346" s="1">
        <f t="shared" si="110"/>
        <v>0</v>
      </c>
      <c r="AA346" s="1">
        <f t="shared" si="111"/>
        <v>0</v>
      </c>
      <c r="AB346" s="1">
        <f t="shared" si="112"/>
        <v>0</v>
      </c>
      <c r="AD346" s="1">
        <f t="shared" si="113"/>
        <v>1</v>
      </c>
      <c r="AE346" s="1">
        <f t="shared" si="114"/>
        <v>0</v>
      </c>
      <c r="AF346" s="1">
        <f t="shared" si="99"/>
        <v>1</v>
      </c>
      <c r="AG346" s="1">
        <f t="shared" si="100"/>
        <v>0</v>
      </c>
      <c r="AH346" s="1">
        <f t="shared" si="101"/>
        <v>1</v>
      </c>
      <c r="AI346" s="1">
        <f t="shared" si="102"/>
        <v>0</v>
      </c>
    </row>
    <row r="347" spans="1:35" s="1" customFormat="1" ht="14.25" customHeight="1" x14ac:dyDescent="0.25">
      <c r="A347" s="44">
        <v>0</v>
      </c>
      <c r="B347" s="44">
        <v>2</v>
      </c>
      <c r="C347" s="44">
        <v>3</v>
      </c>
      <c r="D347" s="45" t="s">
        <v>841</v>
      </c>
      <c r="E347" s="45" t="s">
        <v>34</v>
      </c>
      <c r="F347" s="45" t="s">
        <v>915</v>
      </c>
      <c r="G347" s="45" t="s">
        <v>634</v>
      </c>
      <c r="H347" s="45" t="s">
        <v>352</v>
      </c>
      <c r="I347" s="44" t="s">
        <v>842</v>
      </c>
      <c r="J347" s="44">
        <v>1</v>
      </c>
      <c r="K347" s="46" t="s">
        <v>941</v>
      </c>
      <c r="L347" s="46" t="s">
        <v>725</v>
      </c>
      <c r="M347" s="47" t="s">
        <v>719</v>
      </c>
      <c r="N347" s="47" t="s">
        <v>1719</v>
      </c>
      <c r="O347" s="48"/>
      <c r="P347" s="48"/>
      <c r="Q347" s="45"/>
      <c r="S347" s="1">
        <f t="shared" si="103"/>
        <v>1</v>
      </c>
      <c r="T347" s="1">
        <f t="shared" si="104"/>
        <v>0</v>
      </c>
      <c r="U347" s="1">
        <f t="shared" si="105"/>
        <v>0</v>
      </c>
      <c r="V347" s="1">
        <f t="shared" si="106"/>
        <v>0</v>
      </c>
      <c r="W347" s="1">
        <f t="shared" si="107"/>
        <v>0</v>
      </c>
      <c r="X347" s="1">
        <f t="shared" si="108"/>
        <v>0</v>
      </c>
      <c r="Y347" s="1">
        <f t="shared" si="109"/>
        <v>0</v>
      </c>
      <c r="Z347" s="1">
        <f t="shared" si="110"/>
        <v>0</v>
      </c>
      <c r="AA347" s="1">
        <f t="shared" si="111"/>
        <v>0</v>
      </c>
      <c r="AB347" s="1">
        <f t="shared" si="112"/>
        <v>0</v>
      </c>
      <c r="AD347" s="1">
        <f t="shared" si="113"/>
        <v>0</v>
      </c>
      <c r="AE347" s="1">
        <f t="shared" si="114"/>
        <v>0</v>
      </c>
      <c r="AF347" s="1">
        <f t="shared" si="99"/>
        <v>0</v>
      </c>
      <c r="AG347" s="1">
        <f t="shared" si="100"/>
        <v>0</v>
      </c>
      <c r="AH347" s="1">
        <f t="shared" si="101"/>
        <v>0</v>
      </c>
      <c r="AI347" s="1">
        <f t="shared" si="102"/>
        <v>1</v>
      </c>
    </row>
    <row r="348" spans="1:35" s="1" customFormat="1" ht="14.25" customHeight="1" x14ac:dyDescent="0.25">
      <c r="A348" s="44">
        <v>0</v>
      </c>
      <c r="B348" s="44">
        <v>2</v>
      </c>
      <c r="C348" s="44">
        <v>3</v>
      </c>
      <c r="D348" s="45" t="s">
        <v>784</v>
      </c>
      <c r="E348" s="45" t="s">
        <v>32</v>
      </c>
      <c r="F348" s="45" t="s">
        <v>785</v>
      </c>
      <c r="G348" s="45" t="s">
        <v>250</v>
      </c>
      <c r="H348" s="45" t="s">
        <v>352</v>
      </c>
      <c r="I348" s="44" t="s">
        <v>786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1793</v>
      </c>
      <c r="O348" s="48"/>
      <c r="P348" s="48"/>
      <c r="Q348" s="45"/>
      <c r="S348" s="1">
        <f t="shared" si="103"/>
        <v>0</v>
      </c>
      <c r="T348" s="1">
        <f t="shared" si="104"/>
        <v>0</v>
      </c>
      <c r="U348" s="1">
        <f t="shared" si="105"/>
        <v>0</v>
      </c>
      <c r="V348" s="1">
        <f t="shared" si="106"/>
        <v>0</v>
      </c>
      <c r="W348" s="1">
        <f t="shared" si="107"/>
        <v>0</v>
      </c>
      <c r="X348" s="1">
        <f t="shared" si="108"/>
        <v>0</v>
      </c>
      <c r="Y348" s="1">
        <f t="shared" si="109"/>
        <v>0</v>
      </c>
      <c r="Z348" s="1">
        <f t="shared" si="110"/>
        <v>0</v>
      </c>
      <c r="AA348" s="1">
        <f t="shared" si="111"/>
        <v>0</v>
      </c>
      <c r="AB348" s="1">
        <f t="shared" si="112"/>
        <v>0</v>
      </c>
      <c r="AD348" s="1">
        <f t="shared" si="113"/>
        <v>0</v>
      </c>
      <c r="AE348" s="1">
        <f t="shared" si="114"/>
        <v>0</v>
      </c>
      <c r="AF348" s="1">
        <f t="shared" si="99"/>
        <v>0</v>
      </c>
      <c r="AG348" s="1">
        <f t="shared" si="100"/>
        <v>0</v>
      </c>
      <c r="AH348" s="1">
        <f t="shared" si="101"/>
        <v>0</v>
      </c>
      <c r="AI348" s="1">
        <f t="shared" si="102"/>
        <v>1</v>
      </c>
    </row>
    <row r="349" spans="1:35" s="1" customFormat="1" ht="14.25" customHeight="1" x14ac:dyDescent="0.25">
      <c r="A349" s="44">
        <v>0</v>
      </c>
      <c r="B349" s="44">
        <v>2</v>
      </c>
      <c r="C349" s="44">
        <v>3</v>
      </c>
      <c r="D349" s="45" t="s">
        <v>56</v>
      </c>
      <c r="E349" s="45" t="s">
        <v>160</v>
      </c>
      <c r="F349" s="45" t="s">
        <v>218</v>
      </c>
      <c r="G349" s="45" t="s">
        <v>195</v>
      </c>
      <c r="H349" s="45" t="s">
        <v>352</v>
      </c>
      <c r="I349" s="44" t="s">
        <v>547</v>
      </c>
      <c r="J349" s="44">
        <v>99</v>
      </c>
      <c r="K349" s="46" t="s">
        <v>709</v>
      </c>
      <c r="L349" s="46" t="s">
        <v>718</v>
      </c>
      <c r="M349" s="47" t="s">
        <v>719</v>
      </c>
      <c r="N349" s="47" t="s">
        <v>1786</v>
      </c>
      <c r="O349" s="48"/>
      <c r="P349" s="48"/>
      <c r="Q349" s="45"/>
      <c r="S349" s="1">
        <f t="shared" si="103"/>
        <v>0</v>
      </c>
      <c r="T349" s="1">
        <f t="shared" si="104"/>
        <v>0</v>
      </c>
      <c r="U349" s="1">
        <f t="shared" si="105"/>
        <v>0</v>
      </c>
      <c r="V349" s="1">
        <f t="shared" si="106"/>
        <v>0</v>
      </c>
      <c r="W349" s="1">
        <f t="shared" si="107"/>
        <v>0</v>
      </c>
      <c r="X349" s="1">
        <f t="shared" si="108"/>
        <v>0</v>
      </c>
      <c r="Y349" s="1">
        <f t="shared" si="109"/>
        <v>0</v>
      </c>
      <c r="Z349" s="1">
        <f t="shared" si="110"/>
        <v>0</v>
      </c>
      <c r="AA349" s="1">
        <f t="shared" si="111"/>
        <v>0</v>
      </c>
      <c r="AB349" s="1">
        <f t="shared" si="112"/>
        <v>0</v>
      </c>
      <c r="AD349" s="1">
        <f t="shared" si="113"/>
        <v>0</v>
      </c>
      <c r="AE349" s="1">
        <f t="shared" si="114"/>
        <v>0</v>
      </c>
      <c r="AF349" s="1">
        <f t="shared" si="99"/>
        <v>0</v>
      </c>
      <c r="AG349" s="1">
        <f t="shared" si="100"/>
        <v>0</v>
      </c>
      <c r="AH349" s="1">
        <f t="shared" si="101"/>
        <v>0</v>
      </c>
      <c r="AI349" s="1">
        <f t="shared" si="102"/>
        <v>1</v>
      </c>
    </row>
    <row r="350" spans="1:35" s="1" customFormat="1" ht="14.25" customHeight="1" x14ac:dyDescent="0.25">
      <c r="A350" s="31">
        <v>0</v>
      </c>
      <c r="B350" s="31">
        <v>2</v>
      </c>
      <c r="C350" s="31">
        <v>3</v>
      </c>
      <c r="D350" s="32" t="s">
        <v>1159</v>
      </c>
      <c r="E350" s="32" t="s">
        <v>1319</v>
      </c>
      <c r="F350" s="32" t="s">
        <v>1160</v>
      </c>
      <c r="G350" s="32" t="s">
        <v>300</v>
      </c>
      <c r="H350" s="32" t="s">
        <v>352</v>
      </c>
      <c r="I350" s="31" t="s">
        <v>1161</v>
      </c>
      <c r="J350" s="31">
        <v>1</v>
      </c>
      <c r="K350" s="33" t="s">
        <v>942</v>
      </c>
      <c r="L350" s="33" t="s">
        <v>689</v>
      </c>
      <c r="M350" s="34" t="s">
        <v>1399</v>
      </c>
      <c r="N350" s="34" t="s">
        <v>1727</v>
      </c>
      <c r="O350" s="35">
        <v>1</v>
      </c>
      <c r="P350" s="35"/>
      <c r="Q350" s="32"/>
      <c r="S350" s="1">
        <f t="shared" si="103"/>
        <v>1</v>
      </c>
      <c r="T350" s="1">
        <f t="shared" si="104"/>
        <v>0</v>
      </c>
      <c r="U350" s="1">
        <f t="shared" si="105"/>
        <v>0</v>
      </c>
      <c r="V350" s="1">
        <f t="shared" si="106"/>
        <v>0</v>
      </c>
      <c r="W350" s="1">
        <f t="shared" si="107"/>
        <v>0</v>
      </c>
      <c r="X350" s="1">
        <f t="shared" si="108"/>
        <v>0</v>
      </c>
      <c r="Y350" s="1">
        <f t="shared" si="109"/>
        <v>0</v>
      </c>
      <c r="Z350" s="1">
        <f t="shared" si="110"/>
        <v>0</v>
      </c>
      <c r="AA350" s="1">
        <f t="shared" si="111"/>
        <v>0</v>
      </c>
      <c r="AB350" s="1">
        <f t="shared" si="112"/>
        <v>0</v>
      </c>
      <c r="AD350" s="1">
        <f t="shared" si="113"/>
        <v>0</v>
      </c>
      <c r="AE350" s="1">
        <f t="shared" si="114"/>
        <v>1</v>
      </c>
      <c r="AF350" s="1">
        <f t="shared" si="99"/>
        <v>0</v>
      </c>
      <c r="AG350" s="1">
        <f t="shared" si="100"/>
        <v>1</v>
      </c>
      <c r="AH350" s="1">
        <f t="shared" si="101"/>
        <v>0</v>
      </c>
      <c r="AI350" s="1">
        <f t="shared" si="102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3</v>
      </c>
      <c r="D351" s="32" t="s">
        <v>1156</v>
      </c>
      <c r="E351" s="32" t="s">
        <v>1319</v>
      </c>
      <c r="F351" s="32" t="s">
        <v>1157</v>
      </c>
      <c r="G351" s="32" t="s">
        <v>1043</v>
      </c>
      <c r="H351" s="32" t="s">
        <v>352</v>
      </c>
      <c r="I351" s="31" t="s">
        <v>1158</v>
      </c>
      <c r="J351" s="31">
        <v>1</v>
      </c>
      <c r="K351" s="33" t="s">
        <v>709</v>
      </c>
      <c r="L351" s="33" t="s">
        <v>689</v>
      </c>
      <c r="M351" s="34" t="s">
        <v>1399</v>
      </c>
      <c r="N351" s="34" t="s">
        <v>1727</v>
      </c>
      <c r="O351" s="35">
        <v>1</v>
      </c>
      <c r="P351" s="35"/>
      <c r="Q351" s="32"/>
      <c r="S351" s="1">
        <f t="shared" si="103"/>
        <v>1</v>
      </c>
      <c r="T351" s="1">
        <f t="shared" si="104"/>
        <v>0</v>
      </c>
      <c r="U351" s="1">
        <f t="shared" si="105"/>
        <v>0</v>
      </c>
      <c r="V351" s="1">
        <f t="shared" si="106"/>
        <v>0</v>
      </c>
      <c r="W351" s="1">
        <f t="shared" si="107"/>
        <v>0</v>
      </c>
      <c r="X351" s="1">
        <f t="shared" si="108"/>
        <v>0</v>
      </c>
      <c r="Y351" s="1">
        <f t="shared" si="109"/>
        <v>0</v>
      </c>
      <c r="Z351" s="1">
        <f t="shared" si="110"/>
        <v>0</v>
      </c>
      <c r="AA351" s="1">
        <f t="shared" si="111"/>
        <v>0</v>
      </c>
      <c r="AB351" s="1">
        <f t="shared" si="112"/>
        <v>0</v>
      </c>
      <c r="AD351" s="1">
        <f t="shared" si="113"/>
        <v>0</v>
      </c>
      <c r="AE351" s="1">
        <f t="shared" si="114"/>
        <v>1</v>
      </c>
      <c r="AF351" s="1">
        <f t="shared" si="99"/>
        <v>0</v>
      </c>
      <c r="AG351" s="1">
        <f t="shared" si="100"/>
        <v>1</v>
      </c>
      <c r="AH351" s="1">
        <f t="shared" si="101"/>
        <v>0</v>
      </c>
      <c r="AI351" s="1">
        <f t="shared" si="102"/>
        <v>1</v>
      </c>
    </row>
    <row r="352" spans="1:35" s="1" customFormat="1" ht="14.25" customHeight="1" x14ac:dyDescent="0.25">
      <c r="A352" s="31">
        <v>0</v>
      </c>
      <c r="B352" s="31">
        <v>2</v>
      </c>
      <c r="C352" s="31">
        <v>3</v>
      </c>
      <c r="D352" s="32" t="s">
        <v>1278</v>
      </c>
      <c r="E352" s="32" t="s">
        <v>32</v>
      </c>
      <c r="F352" s="32" t="s">
        <v>1279</v>
      </c>
      <c r="G352" s="32" t="s">
        <v>221</v>
      </c>
      <c r="H352" s="32" t="s">
        <v>352</v>
      </c>
      <c r="I352" s="31" t="s">
        <v>1673</v>
      </c>
      <c r="J352" s="31">
        <v>99</v>
      </c>
      <c r="K352" s="33" t="s">
        <v>709</v>
      </c>
      <c r="L352" s="33" t="s">
        <v>712</v>
      </c>
      <c r="M352" s="34" t="s">
        <v>1280</v>
      </c>
      <c r="N352" s="34" t="s">
        <v>1711</v>
      </c>
      <c r="O352" s="35">
        <v>1</v>
      </c>
      <c r="P352" s="35">
        <v>1</v>
      </c>
      <c r="Q352" s="32"/>
      <c r="S352" s="1">
        <f t="shared" si="103"/>
        <v>0</v>
      </c>
      <c r="T352" s="1">
        <f t="shared" si="104"/>
        <v>0</v>
      </c>
      <c r="U352" s="1">
        <f t="shared" si="105"/>
        <v>0</v>
      </c>
      <c r="V352" s="1">
        <f t="shared" si="106"/>
        <v>0</v>
      </c>
      <c r="W352" s="1">
        <f t="shared" si="107"/>
        <v>0</v>
      </c>
      <c r="X352" s="1">
        <f t="shared" si="108"/>
        <v>0</v>
      </c>
      <c r="Y352" s="1">
        <f t="shared" si="109"/>
        <v>0</v>
      </c>
      <c r="Z352" s="1">
        <f t="shared" si="110"/>
        <v>0</v>
      </c>
      <c r="AA352" s="1">
        <f t="shared" si="111"/>
        <v>0</v>
      </c>
      <c r="AB352" s="1">
        <f t="shared" si="112"/>
        <v>0</v>
      </c>
      <c r="AD352" s="1">
        <f t="shared" si="113"/>
        <v>1</v>
      </c>
      <c r="AE352" s="1">
        <f t="shared" si="114"/>
        <v>0</v>
      </c>
      <c r="AF352" s="1">
        <f t="shared" si="99"/>
        <v>1</v>
      </c>
      <c r="AG352" s="1">
        <f t="shared" si="100"/>
        <v>0</v>
      </c>
      <c r="AH352" s="1">
        <f t="shared" si="101"/>
        <v>1</v>
      </c>
      <c r="AI352" s="1">
        <f t="shared" si="102"/>
        <v>0</v>
      </c>
    </row>
    <row r="353" spans="1:35" s="1" customFormat="1" ht="14.25" customHeight="1" x14ac:dyDescent="0.25">
      <c r="A353" s="31">
        <v>0</v>
      </c>
      <c r="B353" s="31">
        <v>2</v>
      </c>
      <c r="C353" s="31">
        <v>3</v>
      </c>
      <c r="D353" s="32" t="s">
        <v>752</v>
      </c>
      <c r="E353" s="32" t="s">
        <v>902</v>
      </c>
      <c r="F353" s="32" t="s">
        <v>753</v>
      </c>
      <c r="G353" s="32" t="s">
        <v>219</v>
      </c>
      <c r="H353" s="32" t="s">
        <v>352</v>
      </c>
      <c r="I353" s="31" t="s">
        <v>754</v>
      </c>
      <c r="J353" s="31">
        <v>8</v>
      </c>
      <c r="K353" s="33" t="s">
        <v>942</v>
      </c>
      <c r="L353" s="33" t="s">
        <v>725</v>
      </c>
      <c r="M353" s="34" t="s">
        <v>719</v>
      </c>
      <c r="N353" s="34" t="s">
        <v>1732</v>
      </c>
      <c r="O353" s="35">
        <v>1</v>
      </c>
      <c r="P353" s="35"/>
      <c r="Q353" s="32"/>
      <c r="S353" s="1">
        <f t="shared" si="103"/>
        <v>0</v>
      </c>
      <c r="T353" s="1">
        <f t="shared" si="104"/>
        <v>0</v>
      </c>
      <c r="U353" s="1">
        <f t="shared" si="105"/>
        <v>0</v>
      </c>
      <c r="V353" s="1">
        <f t="shared" si="106"/>
        <v>0</v>
      </c>
      <c r="W353" s="1">
        <f t="shared" si="107"/>
        <v>0</v>
      </c>
      <c r="X353" s="1">
        <f t="shared" si="108"/>
        <v>0</v>
      </c>
      <c r="Y353" s="1">
        <f t="shared" si="109"/>
        <v>0</v>
      </c>
      <c r="Z353" s="1">
        <f t="shared" si="110"/>
        <v>1</v>
      </c>
      <c r="AA353" s="1">
        <f t="shared" si="111"/>
        <v>0</v>
      </c>
      <c r="AB353" s="1">
        <f t="shared" si="112"/>
        <v>0</v>
      </c>
      <c r="AD353" s="1">
        <f t="shared" si="113"/>
        <v>0</v>
      </c>
      <c r="AE353" s="1">
        <f t="shared" si="114"/>
        <v>1</v>
      </c>
      <c r="AF353" s="1">
        <f t="shared" si="99"/>
        <v>0</v>
      </c>
      <c r="AG353" s="1">
        <f t="shared" si="100"/>
        <v>1</v>
      </c>
      <c r="AH353" s="1">
        <f t="shared" si="101"/>
        <v>0</v>
      </c>
      <c r="AI353" s="1">
        <f t="shared" si="102"/>
        <v>1</v>
      </c>
    </row>
    <row r="354" spans="1:35" s="1" customFormat="1" ht="14.25" customHeight="1" x14ac:dyDescent="0.25">
      <c r="A354" s="44">
        <v>0</v>
      </c>
      <c r="B354" s="44">
        <v>2</v>
      </c>
      <c r="C354" s="44">
        <v>3</v>
      </c>
      <c r="D354" s="45" t="s">
        <v>1479</v>
      </c>
      <c r="E354" s="45" t="s">
        <v>1480</v>
      </c>
      <c r="F354" s="45" t="s">
        <v>1481</v>
      </c>
      <c r="G354" s="45" t="s">
        <v>237</v>
      </c>
      <c r="H354" s="45" t="s">
        <v>352</v>
      </c>
      <c r="I354" s="44" t="s">
        <v>1482</v>
      </c>
      <c r="J354" s="44">
        <v>4</v>
      </c>
      <c r="K354" s="46" t="s">
        <v>708</v>
      </c>
      <c r="L354" s="46">
        <v>15</v>
      </c>
      <c r="M354" s="47" t="s">
        <v>39</v>
      </c>
      <c r="N354" s="47" t="s">
        <v>1786</v>
      </c>
      <c r="O354" s="48"/>
      <c r="P354" s="48"/>
      <c r="Q354" s="45"/>
      <c r="S354" s="1">
        <f t="shared" si="103"/>
        <v>0</v>
      </c>
      <c r="T354" s="1">
        <f t="shared" si="104"/>
        <v>0</v>
      </c>
      <c r="U354" s="1">
        <f t="shared" si="105"/>
        <v>0</v>
      </c>
      <c r="V354" s="1">
        <f t="shared" si="106"/>
        <v>1</v>
      </c>
      <c r="W354" s="1">
        <f t="shared" si="107"/>
        <v>0</v>
      </c>
      <c r="X354" s="1">
        <f t="shared" si="108"/>
        <v>0</v>
      </c>
      <c r="Y354" s="1">
        <f t="shared" si="109"/>
        <v>0</v>
      </c>
      <c r="Z354" s="1">
        <f t="shared" si="110"/>
        <v>0</v>
      </c>
      <c r="AA354" s="1">
        <f t="shared" si="111"/>
        <v>0</v>
      </c>
      <c r="AB354" s="1">
        <f t="shared" si="112"/>
        <v>0</v>
      </c>
      <c r="AD354" s="1">
        <f t="shared" si="113"/>
        <v>0</v>
      </c>
      <c r="AE354" s="1">
        <f t="shared" si="114"/>
        <v>0</v>
      </c>
      <c r="AF354" s="1">
        <f t="shared" si="99"/>
        <v>0</v>
      </c>
      <c r="AG354" s="1">
        <f t="shared" si="100"/>
        <v>0</v>
      </c>
      <c r="AH354" s="1">
        <f t="shared" si="101"/>
        <v>0</v>
      </c>
      <c r="AI354" s="1">
        <f t="shared" si="102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3</v>
      </c>
      <c r="D355" s="32" t="s">
        <v>1537</v>
      </c>
      <c r="E355" s="32" t="s">
        <v>1538</v>
      </c>
      <c r="F355" s="32" t="s">
        <v>1539</v>
      </c>
      <c r="G355" s="32" t="s">
        <v>1540</v>
      </c>
      <c r="H355" s="32" t="s">
        <v>352</v>
      </c>
      <c r="I355" s="31" t="s">
        <v>1541</v>
      </c>
      <c r="J355" s="31">
        <v>7</v>
      </c>
      <c r="K355" s="33" t="s">
        <v>942</v>
      </c>
      <c r="L355" s="33">
        <v>10</v>
      </c>
      <c r="M355" s="34" t="s">
        <v>39</v>
      </c>
      <c r="N355" s="34" t="s">
        <v>1727</v>
      </c>
      <c r="O355" s="35">
        <v>1</v>
      </c>
      <c r="P355" s="35"/>
      <c r="Q355" s="32"/>
      <c r="S355" s="1">
        <f t="shared" si="103"/>
        <v>0</v>
      </c>
      <c r="T355" s="1">
        <f t="shared" si="104"/>
        <v>0</v>
      </c>
      <c r="U355" s="1">
        <f t="shared" si="105"/>
        <v>0</v>
      </c>
      <c r="V355" s="1">
        <f t="shared" si="106"/>
        <v>0</v>
      </c>
      <c r="W355" s="1">
        <f t="shared" si="107"/>
        <v>0</v>
      </c>
      <c r="X355" s="1">
        <f t="shared" si="108"/>
        <v>0</v>
      </c>
      <c r="Y355" s="1">
        <f t="shared" si="109"/>
        <v>1</v>
      </c>
      <c r="Z355" s="1">
        <f t="shared" si="110"/>
        <v>0</v>
      </c>
      <c r="AA355" s="1">
        <f t="shared" si="111"/>
        <v>0</v>
      </c>
      <c r="AB355" s="1">
        <f t="shared" si="112"/>
        <v>0</v>
      </c>
      <c r="AD355" s="1">
        <f t="shared" si="113"/>
        <v>0</v>
      </c>
      <c r="AE355" s="1">
        <f t="shared" si="114"/>
        <v>1</v>
      </c>
      <c r="AF355" s="1">
        <f t="shared" si="99"/>
        <v>0</v>
      </c>
      <c r="AG355" s="1">
        <f t="shared" si="100"/>
        <v>1</v>
      </c>
      <c r="AH355" s="1">
        <f t="shared" si="101"/>
        <v>0</v>
      </c>
      <c r="AI355" s="1">
        <f t="shared" si="102"/>
        <v>1</v>
      </c>
    </row>
    <row r="356" spans="1:35" s="1" customFormat="1" ht="14.25" customHeight="1" x14ac:dyDescent="0.25">
      <c r="A356" s="44">
        <v>0</v>
      </c>
      <c r="B356" s="44">
        <v>2</v>
      </c>
      <c r="C356" s="44">
        <v>3</v>
      </c>
      <c r="D356" s="45" t="s">
        <v>832</v>
      </c>
      <c r="E356" s="45" t="s">
        <v>32</v>
      </c>
      <c r="F356" s="45" t="s">
        <v>834</v>
      </c>
      <c r="G356" s="45" t="s">
        <v>39</v>
      </c>
      <c r="H356" s="45" t="s">
        <v>352</v>
      </c>
      <c r="I356" s="44" t="s">
        <v>833</v>
      </c>
      <c r="J356" s="44">
        <v>1</v>
      </c>
      <c r="K356" s="46" t="s">
        <v>709</v>
      </c>
      <c r="L356" s="46" t="s">
        <v>690</v>
      </c>
      <c r="M356" s="47" t="s">
        <v>1399</v>
      </c>
      <c r="N356" s="47" t="s">
        <v>1719</v>
      </c>
      <c r="O356" s="48"/>
      <c r="P356" s="48"/>
      <c r="Q356" s="45"/>
      <c r="S356" s="1">
        <f t="shared" si="103"/>
        <v>1</v>
      </c>
      <c r="T356" s="1">
        <f t="shared" si="104"/>
        <v>0</v>
      </c>
      <c r="U356" s="1">
        <f t="shared" si="105"/>
        <v>0</v>
      </c>
      <c r="V356" s="1">
        <f t="shared" si="106"/>
        <v>0</v>
      </c>
      <c r="W356" s="1">
        <f t="shared" si="107"/>
        <v>0</v>
      </c>
      <c r="X356" s="1">
        <f t="shared" si="108"/>
        <v>0</v>
      </c>
      <c r="Y356" s="1">
        <f t="shared" si="109"/>
        <v>0</v>
      </c>
      <c r="Z356" s="1">
        <f t="shared" si="110"/>
        <v>0</v>
      </c>
      <c r="AA356" s="1">
        <f t="shared" si="111"/>
        <v>0</v>
      </c>
      <c r="AB356" s="1">
        <f t="shared" si="112"/>
        <v>0</v>
      </c>
      <c r="AD356" s="1">
        <f t="shared" si="113"/>
        <v>0</v>
      </c>
      <c r="AE356" s="1">
        <f t="shared" si="114"/>
        <v>0</v>
      </c>
      <c r="AF356" s="1">
        <f t="shared" si="99"/>
        <v>0</v>
      </c>
      <c r="AG356" s="1">
        <f t="shared" si="100"/>
        <v>0</v>
      </c>
      <c r="AH356" s="1">
        <f t="shared" si="101"/>
        <v>0</v>
      </c>
      <c r="AI356" s="1">
        <f t="shared" si="102"/>
        <v>1</v>
      </c>
    </row>
    <row r="357" spans="1:35" s="1" customFormat="1" ht="14.25" customHeight="1" x14ac:dyDescent="0.25">
      <c r="A357" s="15">
        <v>0</v>
      </c>
      <c r="B357" s="15">
        <v>2</v>
      </c>
      <c r="C357" s="15">
        <v>4</v>
      </c>
      <c r="D357" s="16" t="s">
        <v>755</v>
      </c>
      <c r="E357" s="16" t="s">
        <v>756</v>
      </c>
      <c r="F357" s="16" t="s">
        <v>757</v>
      </c>
      <c r="G357" s="16" t="s">
        <v>758</v>
      </c>
      <c r="H357" s="16" t="s">
        <v>352</v>
      </c>
      <c r="I357" s="15" t="s">
        <v>759</v>
      </c>
      <c r="J357" s="15">
        <v>99</v>
      </c>
      <c r="K357" s="10" t="s">
        <v>699</v>
      </c>
      <c r="L357" s="10">
        <v>15</v>
      </c>
      <c r="M357" s="19" t="s">
        <v>760</v>
      </c>
      <c r="N357" s="19"/>
      <c r="Q357" s="16"/>
      <c r="S357" s="1">
        <f t="shared" si="103"/>
        <v>0</v>
      </c>
      <c r="T357" s="1">
        <f t="shared" si="104"/>
        <v>0</v>
      </c>
      <c r="U357" s="1">
        <f t="shared" si="105"/>
        <v>0</v>
      </c>
      <c r="V357" s="1">
        <f t="shared" si="106"/>
        <v>0</v>
      </c>
      <c r="W357" s="1">
        <f t="shared" si="107"/>
        <v>0</v>
      </c>
      <c r="X357" s="1">
        <f t="shared" si="108"/>
        <v>0</v>
      </c>
      <c r="Y357" s="1">
        <f t="shared" si="109"/>
        <v>0</v>
      </c>
      <c r="Z357" s="1">
        <f t="shared" si="110"/>
        <v>0</v>
      </c>
      <c r="AA357" s="1">
        <f t="shared" si="111"/>
        <v>0</v>
      </c>
      <c r="AB357" s="1">
        <f t="shared" si="112"/>
        <v>0</v>
      </c>
      <c r="AD357" s="1">
        <f t="shared" si="113"/>
        <v>0</v>
      </c>
      <c r="AE357" s="1">
        <f t="shared" si="114"/>
        <v>0</v>
      </c>
      <c r="AF357" s="1">
        <f t="shared" si="99"/>
        <v>0</v>
      </c>
      <c r="AG357" s="1">
        <f t="shared" si="100"/>
        <v>0</v>
      </c>
      <c r="AH357" s="1">
        <f t="shared" si="101"/>
        <v>0</v>
      </c>
      <c r="AI357" s="1">
        <f t="shared" si="102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4</v>
      </c>
      <c r="D358" s="32" t="s">
        <v>789</v>
      </c>
      <c r="E358" s="32" t="s">
        <v>897</v>
      </c>
      <c r="F358" s="32" t="s">
        <v>914</v>
      </c>
      <c r="G358" s="32" t="s">
        <v>207</v>
      </c>
      <c r="H358" s="32" t="s">
        <v>352</v>
      </c>
      <c r="I358" s="31" t="s">
        <v>1347</v>
      </c>
      <c r="J358" s="31">
        <v>3</v>
      </c>
      <c r="K358" s="33" t="s">
        <v>699</v>
      </c>
      <c r="L358" s="33">
        <v>20</v>
      </c>
      <c r="M358" s="34" t="s">
        <v>1401</v>
      </c>
      <c r="N358" s="34" t="s">
        <v>1809</v>
      </c>
      <c r="O358" s="35">
        <v>1</v>
      </c>
      <c r="P358" s="35"/>
      <c r="Q358" s="32"/>
      <c r="S358" s="1">
        <f t="shared" si="103"/>
        <v>0</v>
      </c>
      <c r="T358" s="1">
        <f t="shared" si="104"/>
        <v>0</v>
      </c>
      <c r="U358" s="1">
        <f t="shared" si="105"/>
        <v>1</v>
      </c>
      <c r="V358" s="1">
        <f t="shared" si="106"/>
        <v>0</v>
      </c>
      <c r="W358" s="1">
        <f t="shared" si="107"/>
        <v>0</v>
      </c>
      <c r="X358" s="1">
        <f t="shared" si="108"/>
        <v>0</v>
      </c>
      <c r="Y358" s="1">
        <f t="shared" si="109"/>
        <v>0</v>
      </c>
      <c r="Z358" s="1">
        <f t="shared" si="110"/>
        <v>0</v>
      </c>
      <c r="AA358" s="1">
        <f t="shared" si="111"/>
        <v>0</v>
      </c>
      <c r="AB358" s="1">
        <f t="shared" si="112"/>
        <v>0</v>
      </c>
      <c r="AD358" s="1">
        <f t="shared" si="113"/>
        <v>0</v>
      </c>
      <c r="AE358" s="1">
        <f t="shared" si="114"/>
        <v>1</v>
      </c>
      <c r="AF358" s="1">
        <f t="shared" si="99"/>
        <v>0</v>
      </c>
      <c r="AG358" s="1">
        <f t="shared" si="100"/>
        <v>1</v>
      </c>
      <c r="AH358" s="1">
        <f t="shared" si="101"/>
        <v>0</v>
      </c>
      <c r="AI358" s="1">
        <f t="shared" si="102"/>
        <v>1</v>
      </c>
    </row>
    <row r="359" spans="1:35" s="1" customFormat="1" ht="14.25" customHeight="1" x14ac:dyDescent="0.25">
      <c r="A359" s="57">
        <v>0</v>
      </c>
      <c r="B359" s="57">
        <v>2</v>
      </c>
      <c r="C359" s="57">
        <v>4</v>
      </c>
      <c r="D359" s="58" t="s">
        <v>563</v>
      </c>
      <c r="E359" s="58" t="s">
        <v>37</v>
      </c>
      <c r="F359" s="58" t="s">
        <v>204</v>
      </c>
      <c r="G359" s="58" t="s">
        <v>39</v>
      </c>
      <c r="H359" s="58" t="s">
        <v>352</v>
      </c>
      <c r="I359" s="57" t="s">
        <v>387</v>
      </c>
      <c r="J359" s="57">
        <v>6</v>
      </c>
      <c r="K359" s="59" t="s">
        <v>699</v>
      </c>
      <c r="L359" s="59" t="s">
        <v>39</v>
      </c>
      <c r="M359" s="60" t="s">
        <v>39</v>
      </c>
      <c r="N359" s="61"/>
      <c r="O359" s="62"/>
      <c r="P359" s="62"/>
      <c r="Q359" s="58"/>
      <c r="S359" s="1">
        <f t="shared" si="103"/>
        <v>0</v>
      </c>
      <c r="T359" s="1">
        <f t="shared" si="104"/>
        <v>0</v>
      </c>
      <c r="U359" s="1">
        <f t="shared" si="105"/>
        <v>0</v>
      </c>
      <c r="V359" s="1">
        <f t="shared" si="106"/>
        <v>0</v>
      </c>
      <c r="W359" s="1">
        <f t="shared" si="107"/>
        <v>0</v>
      </c>
      <c r="X359" s="1">
        <f t="shared" si="108"/>
        <v>1</v>
      </c>
      <c r="Y359" s="1">
        <f t="shared" si="109"/>
        <v>0</v>
      </c>
      <c r="Z359" s="1">
        <f t="shared" si="110"/>
        <v>0</v>
      </c>
      <c r="AA359" s="1">
        <f t="shared" si="111"/>
        <v>0</v>
      </c>
      <c r="AB359" s="1">
        <f t="shared" si="112"/>
        <v>0</v>
      </c>
      <c r="AD359" s="1">
        <f t="shared" si="113"/>
        <v>0</v>
      </c>
      <c r="AE359" s="1">
        <f t="shared" si="114"/>
        <v>0</v>
      </c>
      <c r="AF359" s="1">
        <f t="shared" si="99"/>
        <v>0</v>
      </c>
      <c r="AG359" s="1">
        <f t="shared" si="100"/>
        <v>0</v>
      </c>
      <c r="AH359" s="1">
        <f t="shared" si="101"/>
        <v>0</v>
      </c>
      <c r="AI359" s="1">
        <f t="shared" si="102"/>
        <v>1</v>
      </c>
    </row>
    <row r="360" spans="1:35" s="1" customFormat="1" ht="14.25" customHeight="1" x14ac:dyDescent="0.25">
      <c r="A360" s="44">
        <v>0</v>
      </c>
      <c r="B360" s="44">
        <v>2</v>
      </c>
      <c r="C360" s="44">
        <v>4</v>
      </c>
      <c r="D360" s="45" t="s">
        <v>649</v>
      </c>
      <c r="E360" s="45" t="s">
        <v>899</v>
      </c>
      <c r="F360" s="45" t="s">
        <v>620</v>
      </c>
      <c r="G360" s="45" t="s">
        <v>339</v>
      </c>
      <c r="H360" s="45" t="s">
        <v>352</v>
      </c>
      <c r="I360" s="44" t="s">
        <v>621</v>
      </c>
      <c r="J360" s="44">
        <v>10</v>
      </c>
      <c r="K360" s="46" t="s">
        <v>941</v>
      </c>
      <c r="L360" s="46" t="s">
        <v>700</v>
      </c>
      <c r="M360" s="47" t="s">
        <v>1402</v>
      </c>
      <c r="N360" s="47" t="s">
        <v>1718</v>
      </c>
      <c r="O360" s="48"/>
      <c r="P360" s="48"/>
      <c r="Q360" s="45"/>
      <c r="S360" s="1">
        <f t="shared" si="103"/>
        <v>0</v>
      </c>
      <c r="T360" s="1">
        <f t="shared" si="104"/>
        <v>0</v>
      </c>
      <c r="U360" s="1">
        <f t="shared" si="105"/>
        <v>0</v>
      </c>
      <c r="V360" s="1">
        <f t="shared" si="106"/>
        <v>0</v>
      </c>
      <c r="W360" s="1">
        <f t="shared" si="107"/>
        <v>0</v>
      </c>
      <c r="X360" s="1">
        <f t="shared" si="108"/>
        <v>0</v>
      </c>
      <c r="Y360" s="1">
        <f t="shared" si="109"/>
        <v>0</v>
      </c>
      <c r="Z360" s="1">
        <f t="shared" si="110"/>
        <v>0</v>
      </c>
      <c r="AA360" s="1">
        <f t="shared" si="111"/>
        <v>0</v>
      </c>
      <c r="AB360" s="1">
        <f t="shared" si="112"/>
        <v>1</v>
      </c>
      <c r="AD360" s="1">
        <f t="shared" si="113"/>
        <v>0</v>
      </c>
      <c r="AE360" s="1">
        <f t="shared" si="114"/>
        <v>0</v>
      </c>
      <c r="AF360" s="1">
        <f t="shared" si="99"/>
        <v>0</v>
      </c>
      <c r="AG360" s="1">
        <f t="shared" si="100"/>
        <v>0</v>
      </c>
      <c r="AH360" s="1">
        <f t="shared" si="101"/>
        <v>0</v>
      </c>
      <c r="AI360" s="1">
        <f t="shared" si="102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4</v>
      </c>
      <c r="D361" s="32" t="s">
        <v>75</v>
      </c>
      <c r="E361" s="32" t="s">
        <v>35</v>
      </c>
      <c r="F361" s="32" t="s">
        <v>265</v>
      </c>
      <c r="G361" s="32" t="s">
        <v>212</v>
      </c>
      <c r="H361" s="32" t="s">
        <v>352</v>
      </c>
      <c r="I361" s="31" t="s">
        <v>933</v>
      </c>
      <c r="J361" s="31">
        <v>1</v>
      </c>
      <c r="K361" s="33" t="s">
        <v>709</v>
      </c>
      <c r="L361" s="33" t="s">
        <v>700</v>
      </c>
      <c r="M361" s="34" t="s">
        <v>1403</v>
      </c>
      <c r="N361" s="34" t="s">
        <v>1727</v>
      </c>
      <c r="O361" s="35">
        <v>1</v>
      </c>
      <c r="P361" s="35"/>
      <c r="Q361" s="32"/>
      <c r="S361" s="1">
        <f t="shared" si="103"/>
        <v>1</v>
      </c>
      <c r="T361" s="1">
        <f t="shared" si="104"/>
        <v>0</v>
      </c>
      <c r="U361" s="1">
        <f t="shared" si="105"/>
        <v>0</v>
      </c>
      <c r="V361" s="1">
        <f t="shared" si="106"/>
        <v>0</v>
      </c>
      <c r="W361" s="1">
        <f t="shared" si="107"/>
        <v>0</v>
      </c>
      <c r="X361" s="1">
        <f t="shared" si="108"/>
        <v>0</v>
      </c>
      <c r="Y361" s="1">
        <f t="shared" si="109"/>
        <v>0</v>
      </c>
      <c r="Z361" s="1">
        <f t="shared" si="110"/>
        <v>0</v>
      </c>
      <c r="AA361" s="1">
        <f t="shared" si="111"/>
        <v>0</v>
      </c>
      <c r="AB361" s="1">
        <f t="shared" si="112"/>
        <v>0</v>
      </c>
      <c r="AD361" s="1">
        <f t="shared" si="113"/>
        <v>0</v>
      </c>
      <c r="AE361" s="1">
        <f t="shared" si="114"/>
        <v>1</v>
      </c>
      <c r="AF361" s="1">
        <f t="shared" si="99"/>
        <v>0</v>
      </c>
      <c r="AG361" s="1">
        <f t="shared" si="100"/>
        <v>1</v>
      </c>
      <c r="AH361" s="1">
        <f t="shared" si="101"/>
        <v>0</v>
      </c>
      <c r="AI361" s="1">
        <f t="shared" si="102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4</v>
      </c>
      <c r="D362" s="32" t="s">
        <v>908</v>
      </c>
      <c r="E362" s="32" t="s">
        <v>901</v>
      </c>
      <c r="F362" s="32" t="s">
        <v>773</v>
      </c>
      <c r="G362" s="32" t="s">
        <v>283</v>
      </c>
      <c r="H362" s="32" t="s">
        <v>352</v>
      </c>
      <c r="I362" s="31" t="s">
        <v>934</v>
      </c>
      <c r="J362" s="31">
        <v>4</v>
      </c>
      <c r="K362" s="33" t="s">
        <v>709</v>
      </c>
      <c r="L362" s="33" t="s">
        <v>692</v>
      </c>
      <c r="M362" s="34" t="s">
        <v>1404</v>
      </c>
      <c r="N362" s="34" t="s">
        <v>1733</v>
      </c>
      <c r="O362" s="35">
        <v>1</v>
      </c>
      <c r="P362" s="35"/>
      <c r="Q362" s="32"/>
      <c r="S362" s="1">
        <f t="shared" si="103"/>
        <v>0</v>
      </c>
      <c r="T362" s="1">
        <f t="shared" si="104"/>
        <v>0</v>
      </c>
      <c r="U362" s="1">
        <f t="shared" si="105"/>
        <v>0</v>
      </c>
      <c r="V362" s="1">
        <f t="shared" si="106"/>
        <v>1</v>
      </c>
      <c r="W362" s="1">
        <f t="shared" si="107"/>
        <v>0</v>
      </c>
      <c r="X362" s="1">
        <f t="shared" si="108"/>
        <v>0</v>
      </c>
      <c r="Y362" s="1">
        <f t="shared" si="109"/>
        <v>0</v>
      </c>
      <c r="Z362" s="1">
        <f t="shared" si="110"/>
        <v>0</v>
      </c>
      <c r="AA362" s="1">
        <f t="shared" si="111"/>
        <v>0</v>
      </c>
      <c r="AB362" s="1">
        <f t="shared" si="112"/>
        <v>0</v>
      </c>
      <c r="AD362" s="1">
        <f t="shared" si="113"/>
        <v>0</v>
      </c>
      <c r="AE362" s="1">
        <f t="shared" si="114"/>
        <v>1</v>
      </c>
      <c r="AF362" s="1">
        <f t="shared" si="99"/>
        <v>0</v>
      </c>
      <c r="AG362" s="1">
        <f t="shared" si="100"/>
        <v>1</v>
      </c>
      <c r="AH362" s="1">
        <f t="shared" si="101"/>
        <v>0</v>
      </c>
      <c r="AI362" s="1">
        <f t="shared" si="102"/>
        <v>1</v>
      </c>
    </row>
    <row r="363" spans="1:35" s="1" customFormat="1" ht="14.25" customHeight="1" x14ac:dyDescent="0.25">
      <c r="A363" s="15">
        <v>0</v>
      </c>
      <c r="B363" s="15">
        <v>2</v>
      </c>
      <c r="C363" s="15">
        <v>4</v>
      </c>
      <c r="D363" s="16" t="s">
        <v>625</v>
      </c>
      <c r="E363" s="16" t="s">
        <v>681</v>
      </c>
      <c r="F363" s="16" t="s">
        <v>666</v>
      </c>
      <c r="G363" s="16" t="s">
        <v>624</v>
      </c>
      <c r="H363" s="16" t="s">
        <v>352</v>
      </c>
      <c r="I363" s="15" t="s">
        <v>626</v>
      </c>
      <c r="J363" s="15">
        <v>99</v>
      </c>
      <c r="K363" s="10" t="s">
        <v>942</v>
      </c>
      <c r="L363" s="10" t="s">
        <v>39</v>
      </c>
      <c r="M363" s="19" t="s">
        <v>39</v>
      </c>
      <c r="N363" s="17"/>
      <c r="Q363" s="20" t="s">
        <v>1881</v>
      </c>
      <c r="S363" s="1">
        <f t="shared" si="103"/>
        <v>0</v>
      </c>
      <c r="T363" s="1">
        <f t="shared" si="104"/>
        <v>0</v>
      </c>
      <c r="U363" s="1">
        <f t="shared" si="105"/>
        <v>0</v>
      </c>
      <c r="V363" s="1">
        <f t="shared" si="106"/>
        <v>0</v>
      </c>
      <c r="W363" s="1">
        <f t="shared" si="107"/>
        <v>0</v>
      </c>
      <c r="X363" s="1">
        <f t="shared" si="108"/>
        <v>0</v>
      </c>
      <c r="Y363" s="1">
        <f t="shared" si="109"/>
        <v>0</v>
      </c>
      <c r="Z363" s="1">
        <f t="shared" si="110"/>
        <v>0</v>
      </c>
      <c r="AA363" s="1">
        <f t="shared" si="111"/>
        <v>0</v>
      </c>
      <c r="AB363" s="1">
        <f t="shared" si="112"/>
        <v>0</v>
      </c>
      <c r="AD363" s="1">
        <f t="shared" si="113"/>
        <v>0</v>
      </c>
      <c r="AE363" s="1">
        <f t="shared" si="114"/>
        <v>0</v>
      </c>
      <c r="AF363" s="1">
        <f t="shared" si="99"/>
        <v>0</v>
      </c>
      <c r="AG363" s="1">
        <f t="shared" si="100"/>
        <v>0</v>
      </c>
      <c r="AH363" s="1">
        <f t="shared" si="101"/>
        <v>0</v>
      </c>
      <c r="AI363" s="1">
        <f t="shared" si="102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4</v>
      </c>
      <c r="D364" s="32" t="s">
        <v>84</v>
      </c>
      <c r="E364" s="32" t="s">
        <v>35</v>
      </c>
      <c r="F364" s="32" t="s">
        <v>276</v>
      </c>
      <c r="G364" s="32" t="s">
        <v>223</v>
      </c>
      <c r="H364" s="32" t="s">
        <v>352</v>
      </c>
      <c r="I364" s="31" t="s">
        <v>431</v>
      </c>
      <c r="J364" s="31">
        <v>99</v>
      </c>
      <c r="K364" s="33" t="s">
        <v>941</v>
      </c>
      <c r="L364" s="33" t="s">
        <v>700</v>
      </c>
      <c r="M364" s="34" t="s">
        <v>722</v>
      </c>
      <c r="N364" s="34" t="s">
        <v>1745</v>
      </c>
      <c r="O364" s="35">
        <v>1</v>
      </c>
      <c r="P364" s="35"/>
      <c r="Q364" s="32"/>
      <c r="S364" s="1">
        <f t="shared" si="103"/>
        <v>0</v>
      </c>
      <c r="T364" s="1">
        <f t="shared" si="104"/>
        <v>0</v>
      </c>
      <c r="U364" s="1">
        <f t="shared" si="105"/>
        <v>0</v>
      </c>
      <c r="V364" s="1">
        <f t="shared" si="106"/>
        <v>0</v>
      </c>
      <c r="W364" s="1">
        <f t="shared" si="107"/>
        <v>0</v>
      </c>
      <c r="X364" s="1">
        <f t="shared" si="108"/>
        <v>0</v>
      </c>
      <c r="Y364" s="1">
        <f t="shared" si="109"/>
        <v>0</v>
      </c>
      <c r="Z364" s="1">
        <f t="shared" si="110"/>
        <v>0</v>
      </c>
      <c r="AA364" s="1">
        <f t="shared" si="111"/>
        <v>0</v>
      </c>
      <c r="AB364" s="1">
        <f t="shared" si="112"/>
        <v>0</v>
      </c>
      <c r="AD364" s="1">
        <f t="shared" si="113"/>
        <v>0</v>
      </c>
      <c r="AE364" s="1">
        <f t="shared" si="114"/>
        <v>1</v>
      </c>
      <c r="AF364" s="1">
        <f t="shared" si="99"/>
        <v>0</v>
      </c>
      <c r="AG364" s="1">
        <f t="shared" si="100"/>
        <v>1</v>
      </c>
      <c r="AH364" s="1">
        <f t="shared" si="101"/>
        <v>0</v>
      </c>
      <c r="AI364" s="1">
        <f t="shared" si="102"/>
        <v>1</v>
      </c>
    </row>
    <row r="365" spans="1:35" s="1" customFormat="1" ht="14.25" customHeight="1" x14ac:dyDescent="0.25">
      <c r="A365" s="15">
        <v>0</v>
      </c>
      <c r="B365" s="15">
        <v>2</v>
      </c>
      <c r="C365" s="15">
        <v>4</v>
      </c>
      <c r="D365" s="16" t="s">
        <v>870</v>
      </c>
      <c r="E365" s="16" t="s">
        <v>763</v>
      </c>
      <c r="F365" s="16" t="s">
        <v>868</v>
      </c>
      <c r="G365" s="16" t="s">
        <v>278</v>
      </c>
      <c r="H365" s="16" t="s">
        <v>352</v>
      </c>
      <c r="I365" s="15" t="s">
        <v>869</v>
      </c>
      <c r="J365" s="15">
        <v>99</v>
      </c>
      <c r="K365" s="10" t="s">
        <v>699</v>
      </c>
      <c r="L365" s="10">
        <v>25</v>
      </c>
      <c r="M365" s="19" t="s">
        <v>1405</v>
      </c>
      <c r="N365" s="19"/>
      <c r="Q365" s="16"/>
      <c r="S365" s="1">
        <f t="shared" si="103"/>
        <v>0</v>
      </c>
      <c r="T365" s="1">
        <f t="shared" si="104"/>
        <v>0</v>
      </c>
      <c r="U365" s="1">
        <f t="shared" si="105"/>
        <v>0</v>
      </c>
      <c r="V365" s="1">
        <f t="shared" si="106"/>
        <v>0</v>
      </c>
      <c r="W365" s="1">
        <f t="shared" si="107"/>
        <v>0</v>
      </c>
      <c r="X365" s="1">
        <f t="shared" si="108"/>
        <v>0</v>
      </c>
      <c r="Y365" s="1">
        <f t="shared" si="109"/>
        <v>0</v>
      </c>
      <c r="Z365" s="1">
        <f t="shared" si="110"/>
        <v>0</v>
      </c>
      <c r="AA365" s="1">
        <f t="shared" si="111"/>
        <v>0</v>
      </c>
      <c r="AB365" s="1">
        <f t="shared" si="112"/>
        <v>0</v>
      </c>
      <c r="AD365" s="1">
        <f t="shared" si="113"/>
        <v>0</v>
      </c>
      <c r="AE365" s="1">
        <f t="shared" si="114"/>
        <v>0</v>
      </c>
      <c r="AF365" s="1">
        <f t="shared" si="99"/>
        <v>0</v>
      </c>
      <c r="AG365" s="1">
        <f t="shared" si="100"/>
        <v>0</v>
      </c>
      <c r="AH365" s="1">
        <f t="shared" si="101"/>
        <v>0</v>
      </c>
      <c r="AI365" s="1">
        <f t="shared" si="102"/>
        <v>1</v>
      </c>
    </row>
    <row r="366" spans="1:35" s="1" customFormat="1" ht="14.25" customHeight="1" x14ac:dyDescent="0.25">
      <c r="A366" s="31">
        <v>0</v>
      </c>
      <c r="B366" s="31">
        <v>2</v>
      </c>
      <c r="C366" s="31">
        <v>4</v>
      </c>
      <c r="D366" s="32" t="s">
        <v>911</v>
      </c>
      <c r="E366" s="32" t="s">
        <v>763</v>
      </c>
      <c r="F366" s="32" t="s">
        <v>835</v>
      </c>
      <c r="G366" s="32" t="s">
        <v>208</v>
      </c>
      <c r="H366" s="32" t="s">
        <v>352</v>
      </c>
      <c r="I366" s="31" t="s">
        <v>836</v>
      </c>
      <c r="J366" s="31">
        <v>99</v>
      </c>
      <c r="K366" s="33" t="s">
        <v>708</v>
      </c>
      <c r="L366" s="33" t="s">
        <v>700</v>
      </c>
      <c r="M366" s="34" t="s">
        <v>722</v>
      </c>
      <c r="N366" s="34" t="s">
        <v>1740</v>
      </c>
      <c r="O366" s="35">
        <v>1</v>
      </c>
      <c r="P366" s="35"/>
      <c r="Q366" s="32"/>
      <c r="S366" s="1">
        <f t="shared" si="103"/>
        <v>0</v>
      </c>
      <c r="T366" s="1">
        <f t="shared" si="104"/>
        <v>0</v>
      </c>
      <c r="U366" s="1">
        <f t="shared" si="105"/>
        <v>0</v>
      </c>
      <c r="V366" s="1">
        <f t="shared" si="106"/>
        <v>0</v>
      </c>
      <c r="W366" s="1">
        <f t="shared" si="107"/>
        <v>0</v>
      </c>
      <c r="X366" s="1">
        <f t="shared" si="108"/>
        <v>0</v>
      </c>
      <c r="Y366" s="1">
        <f t="shared" si="109"/>
        <v>0</v>
      </c>
      <c r="Z366" s="1">
        <f t="shared" si="110"/>
        <v>0</v>
      </c>
      <c r="AA366" s="1">
        <f t="shared" si="111"/>
        <v>0</v>
      </c>
      <c r="AB366" s="1">
        <f t="shared" si="112"/>
        <v>0</v>
      </c>
      <c r="AD366" s="1">
        <f t="shared" si="113"/>
        <v>0</v>
      </c>
      <c r="AE366" s="1">
        <f t="shared" si="114"/>
        <v>1</v>
      </c>
      <c r="AF366" s="1">
        <f t="shared" si="99"/>
        <v>0</v>
      </c>
      <c r="AG366" s="1">
        <f t="shared" si="100"/>
        <v>1</v>
      </c>
      <c r="AH366" s="1">
        <f t="shared" si="101"/>
        <v>0</v>
      </c>
      <c r="AI366" s="1">
        <f t="shared" si="102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4</v>
      </c>
      <c r="D367" s="32" t="s">
        <v>2008</v>
      </c>
      <c r="E367" s="32" t="s">
        <v>35</v>
      </c>
      <c r="F367" s="32" t="s">
        <v>2009</v>
      </c>
      <c r="G367" s="32" t="s">
        <v>208</v>
      </c>
      <c r="H367" s="32" t="s">
        <v>352</v>
      </c>
      <c r="I367" s="31" t="s">
        <v>2010</v>
      </c>
      <c r="J367" s="31">
        <v>99</v>
      </c>
      <c r="K367" s="33" t="s">
        <v>699</v>
      </c>
      <c r="L367" s="33">
        <v>25</v>
      </c>
      <c r="M367" s="34" t="s">
        <v>2012</v>
      </c>
      <c r="N367" s="34" t="s">
        <v>1833</v>
      </c>
      <c r="O367" s="35">
        <v>1</v>
      </c>
      <c r="P367" s="35"/>
      <c r="Q367" s="32" t="s">
        <v>2011</v>
      </c>
      <c r="S367" s="1">
        <f t="shared" si="103"/>
        <v>0</v>
      </c>
      <c r="T367" s="1">
        <f t="shared" si="104"/>
        <v>0</v>
      </c>
      <c r="U367" s="1">
        <f t="shared" si="105"/>
        <v>0</v>
      </c>
      <c r="V367" s="1">
        <f t="shared" si="106"/>
        <v>0</v>
      </c>
      <c r="W367" s="1">
        <f t="shared" si="107"/>
        <v>0</v>
      </c>
      <c r="X367" s="1">
        <f t="shared" si="108"/>
        <v>0</v>
      </c>
      <c r="Y367" s="1">
        <f t="shared" si="109"/>
        <v>0</v>
      </c>
      <c r="Z367" s="1">
        <f t="shared" si="110"/>
        <v>0</v>
      </c>
      <c r="AA367" s="1">
        <f t="shared" si="111"/>
        <v>0</v>
      </c>
      <c r="AB367" s="1">
        <f t="shared" si="112"/>
        <v>0</v>
      </c>
      <c r="AD367" s="1">
        <f t="shared" si="113"/>
        <v>0</v>
      </c>
      <c r="AE367" s="1">
        <f t="shared" si="114"/>
        <v>1</v>
      </c>
      <c r="AF367" s="1">
        <f t="shared" si="99"/>
        <v>0</v>
      </c>
      <c r="AG367" s="1">
        <f t="shared" si="100"/>
        <v>1</v>
      </c>
      <c r="AH367" s="1">
        <f t="shared" si="101"/>
        <v>0</v>
      </c>
      <c r="AI367" s="1">
        <f t="shared" si="102"/>
        <v>1</v>
      </c>
    </row>
    <row r="368" spans="1:35" s="1" customFormat="1" ht="14.25" customHeight="1" x14ac:dyDescent="0.25">
      <c r="A368" s="44">
        <v>0</v>
      </c>
      <c r="B368" s="44">
        <v>2</v>
      </c>
      <c r="C368" s="44">
        <v>4</v>
      </c>
      <c r="D368" s="45" t="s">
        <v>1207</v>
      </c>
      <c r="E368" s="45" t="s">
        <v>1206</v>
      </c>
      <c r="F368" s="45" t="s">
        <v>1208</v>
      </c>
      <c r="G368" s="45" t="s">
        <v>531</v>
      </c>
      <c r="H368" s="45" t="s">
        <v>352</v>
      </c>
      <c r="I368" s="44" t="s">
        <v>1209</v>
      </c>
      <c r="J368" s="44">
        <v>99</v>
      </c>
      <c r="K368" s="46" t="s">
        <v>709</v>
      </c>
      <c r="L368" s="46" t="s">
        <v>690</v>
      </c>
      <c r="M368" s="47" t="s">
        <v>1406</v>
      </c>
      <c r="N368" s="47" t="s">
        <v>1731</v>
      </c>
      <c r="O368" s="48"/>
      <c r="P368" s="48"/>
      <c r="Q368" s="45"/>
      <c r="S368" s="1">
        <f t="shared" si="103"/>
        <v>0</v>
      </c>
      <c r="T368" s="1">
        <f t="shared" si="104"/>
        <v>0</v>
      </c>
      <c r="U368" s="1">
        <f t="shared" si="105"/>
        <v>0</v>
      </c>
      <c r="V368" s="1">
        <f t="shared" si="106"/>
        <v>0</v>
      </c>
      <c r="W368" s="1">
        <f t="shared" si="107"/>
        <v>0</v>
      </c>
      <c r="X368" s="1">
        <f t="shared" si="108"/>
        <v>0</v>
      </c>
      <c r="Y368" s="1">
        <f t="shared" si="109"/>
        <v>0</v>
      </c>
      <c r="Z368" s="1">
        <f t="shared" si="110"/>
        <v>0</v>
      </c>
      <c r="AA368" s="1">
        <f t="shared" si="111"/>
        <v>0</v>
      </c>
      <c r="AB368" s="1">
        <f t="shared" si="112"/>
        <v>0</v>
      </c>
      <c r="AD368" s="1">
        <f t="shared" si="113"/>
        <v>0</v>
      </c>
      <c r="AE368" s="1">
        <f t="shared" si="114"/>
        <v>0</v>
      </c>
      <c r="AF368" s="1">
        <f t="shared" si="99"/>
        <v>0</v>
      </c>
      <c r="AG368" s="1">
        <f t="shared" si="100"/>
        <v>0</v>
      </c>
      <c r="AH368" s="1">
        <f t="shared" si="101"/>
        <v>0</v>
      </c>
      <c r="AI368" s="1">
        <f t="shared" si="102"/>
        <v>1</v>
      </c>
    </row>
    <row r="369" spans="1:4094 4097:8191 8194:12288 12291:16384" s="1" customFormat="1" ht="14.25" customHeight="1" x14ac:dyDescent="0.25">
      <c r="A369" s="31">
        <v>0</v>
      </c>
      <c r="B369" s="31">
        <v>2</v>
      </c>
      <c r="C369" s="31">
        <v>4</v>
      </c>
      <c r="D369" s="32" t="s">
        <v>814</v>
      </c>
      <c r="E369" s="32" t="s">
        <v>586</v>
      </c>
      <c r="F369" s="32" t="s">
        <v>815</v>
      </c>
      <c r="G369" s="32" t="s">
        <v>925</v>
      </c>
      <c r="H369" s="32" t="s">
        <v>352</v>
      </c>
      <c r="I369" s="31" t="s">
        <v>938</v>
      </c>
      <c r="J369" s="31">
        <v>7</v>
      </c>
      <c r="K369" s="33" t="s">
        <v>708</v>
      </c>
      <c r="L369" s="33" t="s">
        <v>39</v>
      </c>
      <c r="M369" s="34" t="s">
        <v>39</v>
      </c>
      <c r="N369" s="34" t="s">
        <v>1711</v>
      </c>
      <c r="O369" s="35">
        <v>1</v>
      </c>
      <c r="P369" s="35">
        <v>1</v>
      </c>
      <c r="Q369" s="32"/>
      <c r="S369" s="1">
        <f t="shared" si="103"/>
        <v>0</v>
      </c>
      <c r="T369" s="1">
        <f t="shared" si="104"/>
        <v>0</v>
      </c>
      <c r="U369" s="1">
        <f t="shared" si="105"/>
        <v>0</v>
      </c>
      <c r="V369" s="1">
        <f t="shared" si="106"/>
        <v>0</v>
      </c>
      <c r="W369" s="1">
        <f t="shared" si="107"/>
        <v>0</v>
      </c>
      <c r="X369" s="1">
        <f t="shared" si="108"/>
        <v>0</v>
      </c>
      <c r="Y369" s="1">
        <f t="shared" si="109"/>
        <v>1</v>
      </c>
      <c r="Z369" s="1">
        <f t="shared" si="110"/>
        <v>0</v>
      </c>
      <c r="AA369" s="1">
        <f t="shared" si="111"/>
        <v>0</v>
      </c>
      <c r="AB369" s="1">
        <f t="shared" si="112"/>
        <v>0</v>
      </c>
      <c r="AD369" s="1">
        <f t="shared" si="113"/>
        <v>1</v>
      </c>
      <c r="AE369" s="1">
        <f t="shared" si="114"/>
        <v>0</v>
      </c>
      <c r="AF369" s="1">
        <f t="shared" si="99"/>
        <v>1</v>
      </c>
      <c r="AG369" s="1">
        <f t="shared" si="100"/>
        <v>0</v>
      </c>
      <c r="AH369" s="1">
        <f t="shared" si="101"/>
        <v>1</v>
      </c>
      <c r="AI369" s="1">
        <f t="shared" si="102"/>
        <v>0</v>
      </c>
    </row>
    <row r="370" spans="1:4094 4097:8191 8194:12288 12291:16384" s="1" customFormat="1" ht="14.25" customHeight="1" x14ac:dyDescent="0.25">
      <c r="A370" s="44">
        <v>0</v>
      </c>
      <c r="B370" s="44">
        <v>2</v>
      </c>
      <c r="C370" s="44">
        <v>4</v>
      </c>
      <c r="D370" s="45" t="s">
        <v>1589</v>
      </c>
      <c r="E370" s="45" t="s">
        <v>1639</v>
      </c>
      <c r="F370" s="45" t="s">
        <v>1590</v>
      </c>
      <c r="G370" s="45" t="s">
        <v>331</v>
      </c>
      <c r="H370" s="45" t="s">
        <v>352</v>
      </c>
      <c r="I370" s="44" t="s">
        <v>30</v>
      </c>
      <c r="J370" s="44">
        <v>99</v>
      </c>
      <c r="K370" s="46" t="s">
        <v>709</v>
      </c>
      <c r="L370" s="46">
        <v>20</v>
      </c>
      <c r="M370" s="47" t="s">
        <v>39</v>
      </c>
      <c r="N370" s="47" t="s">
        <v>1725</v>
      </c>
      <c r="O370" s="48"/>
      <c r="P370" s="48"/>
      <c r="Q370" s="45"/>
      <c r="S370" s="1">
        <f t="shared" si="103"/>
        <v>0</v>
      </c>
      <c r="T370" s="1">
        <f t="shared" si="104"/>
        <v>0</v>
      </c>
      <c r="U370" s="1">
        <f t="shared" si="105"/>
        <v>0</v>
      </c>
      <c r="V370" s="1">
        <f t="shared" si="106"/>
        <v>0</v>
      </c>
      <c r="W370" s="1">
        <f t="shared" si="107"/>
        <v>0</v>
      </c>
      <c r="X370" s="1">
        <f t="shared" si="108"/>
        <v>0</v>
      </c>
      <c r="Y370" s="1">
        <f t="shared" si="109"/>
        <v>0</v>
      </c>
      <c r="Z370" s="1">
        <f t="shared" si="110"/>
        <v>0</v>
      </c>
      <c r="AA370" s="1">
        <f t="shared" si="111"/>
        <v>0</v>
      </c>
      <c r="AB370" s="1">
        <f t="shared" si="112"/>
        <v>0</v>
      </c>
      <c r="AD370" s="1">
        <f t="shared" si="113"/>
        <v>0</v>
      </c>
      <c r="AE370" s="1">
        <f t="shared" si="114"/>
        <v>0</v>
      </c>
      <c r="AF370" s="1">
        <f t="shared" si="99"/>
        <v>0</v>
      </c>
      <c r="AG370" s="1">
        <f t="shared" si="100"/>
        <v>0</v>
      </c>
      <c r="AH370" s="1">
        <f t="shared" si="101"/>
        <v>0</v>
      </c>
      <c r="AI370" s="1">
        <f t="shared" si="102"/>
        <v>1</v>
      </c>
    </row>
    <row r="371" spans="1:4094 4097:8191 8194:12288 12291:16384" s="1" customFormat="1" ht="14.25" customHeight="1" x14ac:dyDescent="0.25">
      <c r="A371" s="31">
        <v>0</v>
      </c>
      <c r="B371" s="31">
        <v>2</v>
      </c>
      <c r="C371" s="31">
        <v>5</v>
      </c>
      <c r="D371" s="32" t="s">
        <v>58</v>
      </c>
      <c r="E371" s="32" t="s">
        <v>44</v>
      </c>
      <c r="F371" s="32" t="s">
        <v>667</v>
      </c>
      <c r="G371" s="32" t="s">
        <v>222</v>
      </c>
      <c r="H371" s="32" t="s">
        <v>352</v>
      </c>
      <c r="I371" s="31" t="s">
        <v>395</v>
      </c>
      <c r="J371" s="31">
        <v>8</v>
      </c>
      <c r="K371" s="33" t="s">
        <v>709</v>
      </c>
      <c r="L371" s="33" t="s">
        <v>712</v>
      </c>
      <c r="M371" s="34" t="s">
        <v>1407</v>
      </c>
      <c r="N371" s="34" t="s">
        <v>1732</v>
      </c>
      <c r="O371" s="35">
        <v>1</v>
      </c>
      <c r="P371" s="35"/>
      <c r="Q371" s="32"/>
      <c r="S371" s="1">
        <f t="shared" si="103"/>
        <v>0</v>
      </c>
      <c r="T371" s="1">
        <f t="shared" si="104"/>
        <v>0</v>
      </c>
      <c r="U371" s="1">
        <f t="shared" si="105"/>
        <v>0</v>
      </c>
      <c r="V371" s="1">
        <f t="shared" si="106"/>
        <v>0</v>
      </c>
      <c r="W371" s="1">
        <f t="shared" si="107"/>
        <v>0</v>
      </c>
      <c r="X371" s="1">
        <f t="shared" si="108"/>
        <v>0</v>
      </c>
      <c r="Y371" s="1">
        <f t="shared" si="109"/>
        <v>0</v>
      </c>
      <c r="Z371" s="1">
        <f t="shared" si="110"/>
        <v>1</v>
      </c>
      <c r="AA371" s="1">
        <f t="shared" si="111"/>
        <v>0</v>
      </c>
      <c r="AB371" s="1">
        <f t="shared" si="112"/>
        <v>0</v>
      </c>
      <c r="AD371" s="1">
        <f t="shared" si="113"/>
        <v>0</v>
      </c>
      <c r="AE371" s="1">
        <f t="shared" si="114"/>
        <v>1</v>
      </c>
      <c r="AF371" s="1">
        <f t="shared" si="99"/>
        <v>0</v>
      </c>
      <c r="AG371" s="1">
        <f t="shared" si="100"/>
        <v>1</v>
      </c>
      <c r="AH371" s="1">
        <f t="shared" si="101"/>
        <v>0</v>
      </c>
      <c r="AI371" s="1">
        <f t="shared" si="102"/>
        <v>1</v>
      </c>
    </row>
    <row r="372" spans="1:4094 4097:8191 8194:12288 12291:16384" s="1" customFormat="1" ht="14.25" customHeight="1" x14ac:dyDescent="0.25">
      <c r="A372" s="44">
        <v>0</v>
      </c>
      <c r="B372" s="44">
        <v>2</v>
      </c>
      <c r="C372" s="44">
        <v>5</v>
      </c>
      <c r="D372" s="45" t="s">
        <v>823</v>
      </c>
      <c r="E372" s="45" t="s">
        <v>822</v>
      </c>
      <c r="F372" s="45" t="s">
        <v>913</v>
      </c>
      <c r="G372" s="45" t="s">
        <v>212</v>
      </c>
      <c r="H372" s="45" t="s">
        <v>352</v>
      </c>
      <c r="I372" s="44" t="s">
        <v>824</v>
      </c>
      <c r="J372" s="44">
        <v>1</v>
      </c>
      <c r="K372" s="46" t="s">
        <v>708</v>
      </c>
      <c r="L372" s="46" t="s">
        <v>689</v>
      </c>
      <c r="M372" s="47" t="s">
        <v>1408</v>
      </c>
      <c r="N372" s="47" t="s">
        <v>1719</v>
      </c>
      <c r="O372" s="48"/>
      <c r="P372" s="48"/>
      <c r="Q372" s="45"/>
      <c r="S372" s="1">
        <f t="shared" si="103"/>
        <v>1</v>
      </c>
      <c r="T372" s="1">
        <f t="shared" si="104"/>
        <v>0</v>
      </c>
      <c r="U372" s="1">
        <f t="shared" si="105"/>
        <v>0</v>
      </c>
      <c r="V372" s="1">
        <f t="shared" si="106"/>
        <v>0</v>
      </c>
      <c r="W372" s="1">
        <f t="shared" si="107"/>
        <v>0</v>
      </c>
      <c r="X372" s="1">
        <f t="shared" si="108"/>
        <v>0</v>
      </c>
      <c r="Y372" s="1">
        <f t="shared" si="109"/>
        <v>0</v>
      </c>
      <c r="Z372" s="1">
        <f t="shared" si="110"/>
        <v>0</v>
      </c>
      <c r="AA372" s="1">
        <f t="shared" si="111"/>
        <v>0</v>
      </c>
      <c r="AB372" s="1">
        <f t="shared" si="112"/>
        <v>0</v>
      </c>
      <c r="AD372" s="1">
        <f t="shared" si="113"/>
        <v>0</v>
      </c>
      <c r="AE372" s="1">
        <f t="shared" si="114"/>
        <v>0</v>
      </c>
      <c r="AF372" s="1">
        <f t="shared" si="99"/>
        <v>0</v>
      </c>
      <c r="AG372" s="1">
        <f t="shared" si="100"/>
        <v>0</v>
      </c>
      <c r="AH372" s="1">
        <f t="shared" si="101"/>
        <v>0</v>
      </c>
      <c r="AI372" s="1">
        <f t="shared" si="102"/>
        <v>1</v>
      </c>
    </row>
    <row r="373" spans="1:4094 4097:8191 8194:12288 12291:16384" s="1" customFormat="1" ht="14.25" customHeight="1" x14ac:dyDescent="0.25">
      <c r="A373" s="31">
        <v>0</v>
      </c>
      <c r="B373" s="31">
        <v>2</v>
      </c>
      <c r="C373" s="31">
        <v>5</v>
      </c>
      <c r="D373" s="36" t="s">
        <v>2041</v>
      </c>
      <c r="E373" s="36" t="s">
        <v>169</v>
      </c>
      <c r="F373" s="36" t="s">
        <v>2042</v>
      </c>
      <c r="G373" s="36" t="s">
        <v>1518</v>
      </c>
      <c r="H373" s="36" t="s">
        <v>352</v>
      </c>
      <c r="I373" s="37" t="s">
        <v>2043</v>
      </c>
      <c r="J373" s="31">
        <v>5</v>
      </c>
      <c r="K373" s="33" t="s">
        <v>699</v>
      </c>
      <c r="L373" s="33"/>
      <c r="M373" s="34"/>
      <c r="N373" s="34" t="s">
        <v>1711</v>
      </c>
      <c r="O373" s="35">
        <v>1</v>
      </c>
      <c r="P373" s="35">
        <v>1</v>
      </c>
      <c r="Q373" s="36" t="s">
        <v>2044</v>
      </c>
      <c r="S373" s="1">
        <f t="shared" si="103"/>
        <v>0</v>
      </c>
      <c r="T373" s="1">
        <f t="shared" si="104"/>
        <v>0</v>
      </c>
      <c r="U373" s="1">
        <f t="shared" si="105"/>
        <v>0</v>
      </c>
      <c r="V373" s="1">
        <f t="shared" si="106"/>
        <v>0</v>
      </c>
      <c r="W373" s="1">
        <f t="shared" si="107"/>
        <v>1</v>
      </c>
      <c r="X373" s="1">
        <f t="shared" si="108"/>
        <v>0</v>
      </c>
      <c r="Y373" s="1">
        <f t="shared" si="109"/>
        <v>0</v>
      </c>
      <c r="Z373" s="1">
        <f t="shared" si="110"/>
        <v>0</v>
      </c>
      <c r="AA373" s="1">
        <f t="shared" si="111"/>
        <v>0</v>
      </c>
      <c r="AB373" s="1">
        <f t="shared" si="112"/>
        <v>0</v>
      </c>
      <c r="AD373" s="1">
        <f t="shared" si="113"/>
        <v>1</v>
      </c>
      <c r="AE373" s="1">
        <f t="shared" si="114"/>
        <v>0</v>
      </c>
      <c r="AF373" s="1">
        <f t="shared" si="99"/>
        <v>1</v>
      </c>
      <c r="AG373" s="1">
        <f t="shared" si="100"/>
        <v>0</v>
      </c>
      <c r="AH373" s="1">
        <f t="shared" si="101"/>
        <v>1</v>
      </c>
      <c r="AI373" s="1">
        <f t="shared" si="102"/>
        <v>0</v>
      </c>
    </row>
    <row r="374" spans="1:4094 4097:8191 8194:12288 12291:16384" s="1" customFormat="1" ht="14.25" customHeight="1" x14ac:dyDescent="0.25">
      <c r="A374" s="31">
        <v>0</v>
      </c>
      <c r="B374" s="31">
        <v>2</v>
      </c>
      <c r="C374" s="31">
        <v>5</v>
      </c>
      <c r="D374" s="32" t="s">
        <v>65</v>
      </c>
      <c r="E374" s="32" t="s">
        <v>163</v>
      </c>
      <c r="F374" s="32" t="s">
        <v>543</v>
      </c>
      <c r="G374" s="32" t="s">
        <v>193</v>
      </c>
      <c r="H374" s="32" t="s">
        <v>352</v>
      </c>
      <c r="I374" s="31" t="s">
        <v>548</v>
      </c>
      <c r="J374" s="31">
        <v>9</v>
      </c>
      <c r="K374" s="33" t="s">
        <v>709</v>
      </c>
      <c r="L374" s="33" t="s">
        <v>683</v>
      </c>
      <c r="M374" s="34" t="s">
        <v>1427</v>
      </c>
      <c r="N374" s="34" t="s">
        <v>1745</v>
      </c>
      <c r="O374" s="35">
        <v>1</v>
      </c>
      <c r="P374" s="35"/>
      <c r="Q374" s="32"/>
      <c r="S374" s="1">
        <f t="shared" si="103"/>
        <v>0</v>
      </c>
      <c r="T374" s="1">
        <f t="shared" si="104"/>
        <v>0</v>
      </c>
      <c r="U374" s="1">
        <f t="shared" si="105"/>
        <v>0</v>
      </c>
      <c r="V374" s="1">
        <f t="shared" si="106"/>
        <v>0</v>
      </c>
      <c r="W374" s="1">
        <f t="shared" si="107"/>
        <v>0</v>
      </c>
      <c r="X374" s="1">
        <f t="shared" si="108"/>
        <v>0</v>
      </c>
      <c r="Y374" s="1">
        <f t="shared" si="109"/>
        <v>0</v>
      </c>
      <c r="Z374" s="1">
        <f t="shared" si="110"/>
        <v>0</v>
      </c>
      <c r="AA374" s="1">
        <f t="shared" si="111"/>
        <v>1</v>
      </c>
      <c r="AB374" s="1">
        <f t="shared" si="112"/>
        <v>0</v>
      </c>
      <c r="AD374" s="1">
        <f t="shared" si="113"/>
        <v>0</v>
      </c>
      <c r="AE374" s="1">
        <f t="shared" si="114"/>
        <v>1</v>
      </c>
      <c r="AF374" s="1">
        <f t="shared" si="99"/>
        <v>0</v>
      </c>
      <c r="AG374" s="1">
        <f t="shared" si="100"/>
        <v>1</v>
      </c>
      <c r="AH374" s="1">
        <f t="shared" si="101"/>
        <v>0</v>
      </c>
      <c r="AI374" s="1">
        <f t="shared" si="102"/>
        <v>1</v>
      </c>
    </row>
    <row r="375" spans="1:4094 4097:8191 8194:12288 12291:16384" s="1" customFormat="1" ht="14.25" customHeight="1" x14ac:dyDescent="0.25">
      <c r="A375" s="44">
        <v>0</v>
      </c>
      <c r="B375" s="44">
        <v>2</v>
      </c>
      <c r="C375" s="44">
        <v>5</v>
      </c>
      <c r="D375" s="45" t="s">
        <v>1470</v>
      </c>
      <c r="E375" s="45" t="s">
        <v>35</v>
      </c>
      <c r="F375" s="65" t="s">
        <v>1857</v>
      </c>
      <c r="G375" s="45" t="s">
        <v>221</v>
      </c>
      <c r="H375" s="45" t="s">
        <v>352</v>
      </c>
      <c r="I375" s="44" t="s">
        <v>1670</v>
      </c>
      <c r="J375" s="44">
        <v>99</v>
      </c>
      <c r="K375" s="46" t="s">
        <v>709</v>
      </c>
      <c r="L375" s="46">
        <v>25</v>
      </c>
      <c r="M375" s="47" t="s">
        <v>39</v>
      </c>
      <c r="N375" s="47" t="s">
        <v>1721</v>
      </c>
      <c r="O375" s="48"/>
      <c r="P375" s="48"/>
      <c r="Q375" s="45"/>
      <c r="S375" s="1">
        <f t="shared" si="103"/>
        <v>0</v>
      </c>
      <c r="T375" s="1">
        <f t="shared" si="104"/>
        <v>0</v>
      </c>
      <c r="U375" s="1">
        <f t="shared" si="105"/>
        <v>0</v>
      </c>
      <c r="V375" s="1">
        <f t="shared" si="106"/>
        <v>0</v>
      </c>
      <c r="W375" s="1">
        <f t="shared" si="107"/>
        <v>0</v>
      </c>
      <c r="X375" s="1">
        <f t="shared" si="108"/>
        <v>0</v>
      </c>
      <c r="Y375" s="1">
        <f t="shared" si="109"/>
        <v>0</v>
      </c>
      <c r="Z375" s="1">
        <f t="shared" si="110"/>
        <v>0</v>
      </c>
      <c r="AA375" s="1">
        <f t="shared" si="111"/>
        <v>0</v>
      </c>
      <c r="AB375" s="1">
        <f t="shared" si="112"/>
        <v>0</v>
      </c>
      <c r="AD375" s="1">
        <f t="shared" si="113"/>
        <v>0</v>
      </c>
      <c r="AE375" s="1">
        <f t="shared" si="114"/>
        <v>0</v>
      </c>
      <c r="AF375" s="1">
        <f t="shared" si="99"/>
        <v>0</v>
      </c>
      <c r="AG375" s="1">
        <f t="shared" si="100"/>
        <v>0</v>
      </c>
      <c r="AH375" s="1">
        <f t="shared" si="101"/>
        <v>0</v>
      </c>
      <c r="AI375" s="1">
        <f t="shared" si="102"/>
        <v>1</v>
      </c>
    </row>
    <row r="376" spans="1:4094 4097:8191 8194:12288 12291:16384" s="1" customFormat="1" ht="14.25" customHeight="1" x14ac:dyDescent="0.25">
      <c r="A376" s="31">
        <v>0</v>
      </c>
      <c r="B376" s="31">
        <v>2</v>
      </c>
      <c r="C376" s="31">
        <v>5</v>
      </c>
      <c r="D376" s="32" t="s">
        <v>1803</v>
      </c>
      <c r="E376" s="32" t="s">
        <v>763</v>
      </c>
      <c r="F376" s="32" t="s">
        <v>1804</v>
      </c>
      <c r="G376" s="32" t="s">
        <v>223</v>
      </c>
      <c r="H376" s="32" t="s">
        <v>352</v>
      </c>
      <c r="I376" s="31" t="s">
        <v>1805</v>
      </c>
      <c r="J376" s="31">
        <v>99</v>
      </c>
      <c r="K376" s="33" t="s">
        <v>1806</v>
      </c>
      <c r="L376" s="33">
        <v>40</v>
      </c>
      <c r="M376" s="34" t="s">
        <v>1807</v>
      </c>
      <c r="N376" s="34" t="s">
        <v>1833</v>
      </c>
      <c r="O376" s="35">
        <v>1</v>
      </c>
      <c r="P376" s="35"/>
      <c r="Q376" s="32"/>
      <c r="S376" s="1">
        <f t="shared" si="103"/>
        <v>0</v>
      </c>
      <c r="T376" s="1">
        <f t="shared" si="104"/>
        <v>0</v>
      </c>
      <c r="U376" s="1">
        <f t="shared" si="105"/>
        <v>0</v>
      </c>
      <c r="V376" s="1">
        <f t="shared" si="106"/>
        <v>0</v>
      </c>
      <c r="W376" s="1">
        <f t="shared" si="107"/>
        <v>0</v>
      </c>
      <c r="X376" s="1">
        <f t="shared" si="108"/>
        <v>0</v>
      </c>
      <c r="Y376" s="1">
        <f t="shared" si="109"/>
        <v>0</v>
      </c>
      <c r="Z376" s="1">
        <f t="shared" si="110"/>
        <v>0</v>
      </c>
      <c r="AA376" s="1">
        <f t="shared" si="111"/>
        <v>0</v>
      </c>
      <c r="AB376" s="1">
        <f t="shared" si="112"/>
        <v>0</v>
      </c>
      <c r="AD376" s="1">
        <f t="shared" si="113"/>
        <v>0</v>
      </c>
      <c r="AE376" s="1">
        <f t="shared" si="114"/>
        <v>1</v>
      </c>
      <c r="AF376" s="1">
        <f t="shared" si="99"/>
        <v>0</v>
      </c>
      <c r="AG376" s="1">
        <f t="shared" si="100"/>
        <v>1</v>
      </c>
      <c r="AH376" s="1">
        <f t="shared" si="101"/>
        <v>0</v>
      </c>
      <c r="AI376" s="1">
        <f t="shared" si="102"/>
        <v>1</v>
      </c>
    </row>
    <row r="377" spans="1:4094 4097:8191 8194:12288 12291:16384" s="1" customFormat="1" ht="14.25" customHeight="1" x14ac:dyDescent="0.25">
      <c r="A377" s="31">
        <v>0</v>
      </c>
      <c r="B377" s="31">
        <v>2</v>
      </c>
      <c r="C377" s="31">
        <v>5</v>
      </c>
      <c r="D377" s="32" t="s">
        <v>612</v>
      </c>
      <c r="E377" s="32" t="s">
        <v>682</v>
      </c>
      <c r="F377" s="32" t="s">
        <v>613</v>
      </c>
      <c r="G377" s="32" t="s">
        <v>285</v>
      </c>
      <c r="H377" s="32" t="s">
        <v>352</v>
      </c>
      <c r="I377" s="31" t="s">
        <v>614</v>
      </c>
      <c r="J377" s="31">
        <v>99</v>
      </c>
      <c r="K377" s="33" t="s">
        <v>708</v>
      </c>
      <c r="L377" s="33" t="s">
        <v>700</v>
      </c>
      <c r="M377" s="34" t="s">
        <v>1409</v>
      </c>
      <c r="N377" s="34" t="s">
        <v>1727</v>
      </c>
      <c r="O377" s="35">
        <v>1</v>
      </c>
      <c r="P377" s="35"/>
      <c r="Q377" s="32"/>
      <c r="S377" s="1">
        <f t="shared" si="103"/>
        <v>0</v>
      </c>
      <c r="T377" s="1">
        <f t="shared" si="104"/>
        <v>0</v>
      </c>
      <c r="U377" s="1">
        <f t="shared" si="105"/>
        <v>0</v>
      </c>
      <c r="V377" s="1">
        <f t="shared" si="106"/>
        <v>0</v>
      </c>
      <c r="W377" s="1">
        <f t="shared" si="107"/>
        <v>0</v>
      </c>
      <c r="X377" s="1">
        <f t="shared" si="108"/>
        <v>0</v>
      </c>
      <c r="Y377" s="1">
        <f t="shared" si="109"/>
        <v>0</v>
      </c>
      <c r="Z377" s="1">
        <f t="shared" si="110"/>
        <v>0</v>
      </c>
      <c r="AA377" s="1">
        <f t="shared" si="111"/>
        <v>0</v>
      </c>
      <c r="AB377" s="1">
        <f t="shared" si="112"/>
        <v>0</v>
      </c>
      <c r="AD377" s="1">
        <f t="shared" si="113"/>
        <v>0</v>
      </c>
      <c r="AE377" s="1">
        <f t="shared" si="114"/>
        <v>1</v>
      </c>
      <c r="AF377" s="1">
        <f t="shared" si="99"/>
        <v>0</v>
      </c>
      <c r="AG377" s="1">
        <f t="shared" si="100"/>
        <v>1</v>
      </c>
      <c r="AH377" s="1">
        <f t="shared" si="101"/>
        <v>0</v>
      </c>
      <c r="AI377" s="1">
        <f t="shared" si="102"/>
        <v>1</v>
      </c>
    </row>
    <row r="378" spans="1:4094 4097:8191 8194:12288 12291:16384" s="1" customFormat="1" ht="14.25" customHeight="1" x14ac:dyDescent="0.25">
      <c r="A378" s="44">
        <v>0</v>
      </c>
      <c r="B378" s="44">
        <v>2</v>
      </c>
      <c r="C378" s="44">
        <v>5</v>
      </c>
      <c r="D378" s="45" t="s">
        <v>1472</v>
      </c>
      <c r="E378" s="45" t="s">
        <v>763</v>
      </c>
      <c r="F378" s="45" t="s">
        <v>1473</v>
      </c>
      <c r="G378" s="45" t="s">
        <v>195</v>
      </c>
      <c r="H378" s="45" t="s">
        <v>352</v>
      </c>
      <c r="I378" s="44" t="s">
        <v>1474</v>
      </c>
      <c r="J378" s="44">
        <v>99</v>
      </c>
      <c r="K378" s="46" t="s">
        <v>941</v>
      </c>
      <c r="L378" s="46" t="s">
        <v>689</v>
      </c>
      <c r="M378" s="47" t="s">
        <v>1400</v>
      </c>
      <c r="N378" s="47" t="s">
        <v>1719</v>
      </c>
      <c r="O378" s="48"/>
      <c r="P378" s="48"/>
      <c r="Q378" s="45"/>
      <c r="R378" s="15"/>
      <c r="S378" s="1">
        <f t="shared" si="103"/>
        <v>0</v>
      </c>
      <c r="T378" s="1">
        <f t="shared" si="104"/>
        <v>0</v>
      </c>
      <c r="U378" s="1">
        <f t="shared" si="105"/>
        <v>0</v>
      </c>
      <c r="V378" s="1">
        <f t="shared" si="106"/>
        <v>0</v>
      </c>
      <c r="W378" s="1">
        <f t="shared" si="107"/>
        <v>0</v>
      </c>
      <c r="X378" s="1">
        <f t="shared" si="108"/>
        <v>0</v>
      </c>
      <c r="Y378" s="1">
        <f t="shared" si="109"/>
        <v>0</v>
      </c>
      <c r="Z378" s="1">
        <f t="shared" si="110"/>
        <v>0</v>
      </c>
      <c r="AA378" s="1">
        <f t="shared" si="111"/>
        <v>0</v>
      </c>
      <c r="AB378" s="1">
        <f t="shared" si="112"/>
        <v>0</v>
      </c>
      <c r="AD378" s="1">
        <f t="shared" si="113"/>
        <v>0</v>
      </c>
      <c r="AE378" s="1">
        <f t="shared" si="114"/>
        <v>0</v>
      </c>
      <c r="AF378" s="1">
        <f t="shared" si="99"/>
        <v>0</v>
      </c>
      <c r="AG378" s="1">
        <f t="shared" si="100"/>
        <v>0</v>
      </c>
      <c r="AH378" s="1">
        <f t="shared" si="101"/>
        <v>0</v>
      </c>
      <c r="AI378" s="1">
        <f t="shared" si="102"/>
        <v>1</v>
      </c>
      <c r="AJ378" s="15"/>
      <c r="AK378" s="15"/>
      <c r="AL378" s="15"/>
      <c r="AM378" s="15"/>
      <c r="AN378" s="15"/>
      <c r="AO378" s="15"/>
      <c r="AP378" s="15"/>
      <c r="AQ378" s="15"/>
      <c r="AR378" s="15"/>
      <c r="AS378" s="10"/>
      <c r="AT378" s="10"/>
      <c r="AU378" s="21"/>
      <c r="AV378" s="21"/>
      <c r="AY378" s="21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0"/>
      <c r="BK378" s="10"/>
      <c r="BL378" s="21"/>
      <c r="BM378" s="21"/>
      <c r="BP378" s="21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0"/>
      <c r="CB378" s="10"/>
      <c r="CC378" s="21"/>
      <c r="CD378" s="21"/>
      <c r="CG378" s="21"/>
      <c r="CH378" s="15"/>
      <c r="CI378" s="15"/>
      <c r="CJ378" s="15"/>
      <c r="CK378" s="15"/>
      <c r="CL378" s="15"/>
      <c r="CM378" s="15"/>
      <c r="CN378" s="15"/>
      <c r="CO378" s="15"/>
      <c r="CP378" s="15"/>
      <c r="CQ378" s="15"/>
      <c r="CR378" s="10"/>
      <c r="CS378" s="10"/>
      <c r="CT378" s="21"/>
      <c r="CU378" s="21"/>
      <c r="CX378" s="21"/>
      <c r="CY378" s="15"/>
      <c r="CZ378" s="15"/>
      <c r="DA378" s="15"/>
      <c r="DB378" s="15"/>
      <c r="DC378" s="15"/>
      <c r="DD378" s="15"/>
      <c r="DE378" s="15"/>
      <c r="DF378" s="15"/>
      <c r="DG378" s="15"/>
      <c r="DH378" s="15"/>
      <c r="DI378" s="10"/>
      <c r="DJ378" s="10"/>
      <c r="DK378" s="21"/>
      <c r="DL378" s="21"/>
      <c r="DO378" s="21"/>
      <c r="DP378" s="15"/>
      <c r="DQ378" s="15"/>
      <c r="DR378" s="15"/>
      <c r="DS378" s="15"/>
      <c r="DT378" s="15"/>
      <c r="DU378" s="15"/>
      <c r="DV378" s="15"/>
      <c r="DW378" s="15"/>
      <c r="DX378" s="15"/>
      <c r="DY378" s="15"/>
      <c r="DZ378" s="10"/>
      <c r="EA378" s="10"/>
      <c r="EB378" s="21"/>
      <c r="EC378" s="21"/>
      <c r="EF378" s="21"/>
      <c r="EG378" s="15"/>
      <c r="EH378" s="15"/>
      <c r="EI378" s="15"/>
      <c r="EJ378" s="15"/>
      <c r="EK378" s="15"/>
      <c r="EL378" s="15"/>
      <c r="EM378" s="15"/>
      <c r="EN378" s="15"/>
      <c r="EO378" s="15"/>
      <c r="EP378" s="15"/>
      <c r="EQ378" s="10"/>
      <c r="ER378" s="10"/>
      <c r="ES378" s="21"/>
      <c r="ET378" s="21"/>
      <c r="EW378" s="21"/>
      <c r="EX378" s="15"/>
      <c r="EY378" s="15"/>
      <c r="EZ378" s="15"/>
      <c r="FA378" s="15"/>
      <c r="FB378" s="15"/>
      <c r="FC378" s="15"/>
      <c r="FD378" s="15"/>
      <c r="FE378" s="15"/>
      <c r="FF378" s="15"/>
      <c r="FG378" s="15"/>
      <c r="FH378" s="10"/>
      <c r="FI378" s="10"/>
      <c r="FJ378" s="21"/>
      <c r="FK378" s="21"/>
      <c r="FN378" s="21"/>
      <c r="FO378" s="15"/>
      <c r="FP378" s="15"/>
      <c r="FQ378" s="15"/>
      <c r="FR378" s="15"/>
      <c r="FS378" s="15"/>
      <c r="FT378" s="15"/>
      <c r="FU378" s="15"/>
      <c r="FV378" s="15"/>
      <c r="FW378" s="15"/>
      <c r="FX378" s="15"/>
      <c r="FY378" s="10"/>
      <c r="FZ378" s="10"/>
      <c r="GA378" s="21"/>
      <c r="GB378" s="21"/>
      <c r="GE378" s="21"/>
      <c r="GF378" s="15"/>
      <c r="GG378" s="15"/>
      <c r="GH378" s="15"/>
      <c r="GI378" s="15"/>
      <c r="GJ378" s="15"/>
      <c r="GK378" s="15"/>
      <c r="GL378" s="15"/>
      <c r="GM378" s="15"/>
      <c r="GN378" s="15"/>
      <c r="GO378" s="15"/>
      <c r="GP378" s="10"/>
      <c r="GQ378" s="10"/>
      <c r="GR378" s="21"/>
      <c r="GS378" s="21"/>
      <c r="GV378" s="21"/>
      <c r="GW378" s="15"/>
      <c r="GX378" s="15"/>
      <c r="GY378" s="15"/>
      <c r="GZ378" s="15"/>
      <c r="HA378" s="15"/>
      <c r="HB378" s="15"/>
      <c r="HC378" s="15"/>
      <c r="HD378" s="15"/>
      <c r="HE378" s="15"/>
      <c r="HF378" s="15"/>
      <c r="HG378" s="10"/>
      <c r="HH378" s="10"/>
      <c r="HI378" s="21"/>
      <c r="HJ378" s="21"/>
      <c r="HM378" s="21"/>
      <c r="HN378" s="15"/>
      <c r="HO378" s="15"/>
      <c r="HP378" s="15"/>
      <c r="HQ378" s="15"/>
      <c r="HR378" s="15"/>
      <c r="HS378" s="15"/>
      <c r="HT378" s="15"/>
      <c r="HU378" s="15"/>
      <c r="HV378" s="15"/>
      <c r="HW378" s="15"/>
      <c r="HX378" s="10"/>
      <c r="HY378" s="10"/>
      <c r="HZ378" s="21"/>
      <c r="IA378" s="21"/>
      <c r="ID378" s="21"/>
      <c r="IE378" s="15"/>
      <c r="IF378" s="15"/>
      <c r="IG378" s="15"/>
      <c r="IH378" s="15"/>
      <c r="II378" s="15"/>
      <c r="IJ378" s="15"/>
      <c r="IK378" s="15"/>
      <c r="IL378" s="15"/>
      <c r="IM378" s="15"/>
      <c r="IN378" s="15"/>
      <c r="IO378" s="10"/>
      <c r="IP378" s="10"/>
      <c r="IQ378" s="21"/>
      <c r="IR378" s="21"/>
      <c r="IU378" s="21"/>
      <c r="IV378" s="15"/>
      <c r="IW378" s="15"/>
      <c r="IX378" s="15"/>
      <c r="IY378" s="15"/>
      <c r="IZ378" s="15"/>
      <c r="JA378" s="15"/>
      <c r="JB378" s="15"/>
      <c r="JC378" s="15"/>
      <c r="JD378" s="15"/>
      <c r="JE378" s="15"/>
      <c r="JF378" s="10"/>
      <c r="JG378" s="10"/>
      <c r="JH378" s="21"/>
      <c r="JI378" s="21"/>
      <c r="JL378" s="21"/>
      <c r="JM378" s="15"/>
      <c r="JN378" s="15"/>
      <c r="JO378" s="15"/>
      <c r="JP378" s="15"/>
      <c r="JQ378" s="15"/>
      <c r="JR378" s="15"/>
      <c r="JS378" s="15"/>
      <c r="JT378" s="15"/>
      <c r="JU378" s="15"/>
      <c r="JV378" s="15"/>
      <c r="JW378" s="10"/>
      <c r="JX378" s="10"/>
      <c r="JY378" s="21"/>
      <c r="JZ378" s="21"/>
      <c r="KC378" s="21"/>
      <c r="KD378" s="15"/>
      <c r="KE378" s="15"/>
      <c r="KF378" s="15"/>
      <c r="KG378" s="15"/>
      <c r="KH378" s="15"/>
      <c r="KI378" s="15"/>
      <c r="KJ378" s="15"/>
      <c r="KK378" s="15"/>
      <c r="KL378" s="15"/>
      <c r="KM378" s="15"/>
      <c r="KN378" s="10"/>
      <c r="KO378" s="10"/>
      <c r="KP378" s="21"/>
      <c r="KQ378" s="21"/>
      <c r="KT378" s="21"/>
      <c r="KU378" s="15"/>
      <c r="KV378" s="15"/>
      <c r="KW378" s="15"/>
      <c r="KX378" s="15"/>
      <c r="KY378" s="15"/>
      <c r="KZ378" s="15"/>
      <c r="LA378" s="15"/>
      <c r="LB378" s="15"/>
      <c r="LC378" s="15"/>
      <c r="LD378" s="15"/>
      <c r="LE378" s="10"/>
      <c r="LF378" s="10"/>
      <c r="LG378" s="21"/>
      <c r="LH378" s="21"/>
      <c r="LK378" s="21"/>
      <c r="LL378" s="15"/>
      <c r="LM378" s="15"/>
      <c r="LN378" s="15"/>
      <c r="LO378" s="15"/>
      <c r="LP378" s="15"/>
      <c r="LQ378" s="15"/>
      <c r="LR378" s="15"/>
      <c r="LS378" s="15"/>
      <c r="LT378" s="15"/>
      <c r="LU378" s="15"/>
      <c r="LV378" s="10"/>
      <c r="LW378" s="10"/>
      <c r="LX378" s="21"/>
      <c r="LY378" s="21"/>
      <c r="MB378" s="21"/>
      <c r="MC378" s="15"/>
      <c r="MD378" s="15"/>
      <c r="ME378" s="15"/>
      <c r="MF378" s="15"/>
      <c r="MG378" s="15"/>
      <c r="MH378" s="15"/>
      <c r="MI378" s="15"/>
      <c r="MJ378" s="15"/>
      <c r="MK378" s="15"/>
      <c r="ML378" s="15"/>
      <c r="MM378" s="10"/>
      <c r="MN378" s="10"/>
      <c r="MO378" s="21"/>
      <c r="MP378" s="21"/>
      <c r="MS378" s="21"/>
      <c r="MT378" s="15"/>
      <c r="MU378" s="15"/>
      <c r="MV378" s="15"/>
      <c r="MW378" s="15"/>
      <c r="MX378" s="15"/>
      <c r="MY378" s="15"/>
      <c r="MZ378" s="15"/>
      <c r="NA378" s="15"/>
      <c r="NB378" s="15"/>
      <c r="NC378" s="15"/>
      <c r="ND378" s="10"/>
      <c r="NE378" s="10"/>
      <c r="NF378" s="21"/>
      <c r="NG378" s="21"/>
      <c r="NJ378" s="21"/>
      <c r="NK378" s="15"/>
      <c r="NL378" s="15"/>
      <c r="NM378" s="15"/>
      <c r="NN378" s="15"/>
      <c r="NO378" s="15"/>
      <c r="NP378" s="15"/>
      <c r="NQ378" s="15"/>
      <c r="NR378" s="15"/>
      <c r="NS378" s="15"/>
      <c r="NT378" s="15"/>
      <c r="NU378" s="10"/>
      <c r="NV378" s="10"/>
      <c r="NW378" s="21"/>
      <c r="NX378" s="21"/>
      <c r="OA378" s="21"/>
      <c r="OB378" s="15"/>
      <c r="OC378" s="15"/>
      <c r="OD378" s="15"/>
      <c r="OE378" s="15"/>
      <c r="OF378" s="15"/>
      <c r="OG378" s="15"/>
      <c r="OH378" s="15"/>
      <c r="OI378" s="15"/>
      <c r="OJ378" s="15"/>
      <c r="OK378" s="15"/>
      <c r="OL378" s="10"/>
      <c r="OM378" s="10"/>
      <c r="ON378" s="21"/>
      <c r="OO378" s="21"/>
      <c r="OR378" s="21"/>
      <c r="OS378" s="15"/>
      <c r="OT378" s="15"/>
      <c r="OU378" s="15"/>
      <c r="OV378" s="15"/>
      <c r="OW378" s="15"/>
      <c r="OX378" s="15"/>
      <c r="OY378" s="15"/>
      <c r="OZ378" s="15"/>
      <c r="PA378" s="15"/>
      <c r="PB378" s="15"/>
      <c r="PC378" s="10"/>
      <c r="PD378" s="10"/>
      <c r="PE378" s="21"/>
      <c r="PF378" s="21"/>
      <c r="PI378" s="21"/>
      <c r="PJ378" s="15"/>
      <c r="PK378" s="15"/>
      <c r="PL378" s="15"/>
      <c r="PM378" s="15"/>
      <c r="PN378" s="15"/>
      <c r="PO378" s="15"/>
      <c r="PP378" s="15"/>
      <c r="PQ378" s="15"/>
      <c r="PR378" s="15"/>
      <c r="PS378" s="15"/>
      <c r="PT378" s="10"/>
      <c r="PU378" s="10"/>
      <c r="PV378" s="21"/>
      <c r="PW378" s="21"/>
      <c r="PZ378" s="21"/>
      <c r="QA378" s="15"/>
      <c r="QB378" s="15"/>
      <c r="QC378" s="15"/>
      <c r="QD378" s="15"/>
      <c r="QE378" s="15"/>
      <c r="QF378" s="15"/>
      <c r="QG378" s="15"/>
      <c r="QH378" s="15"/>
      <c r="QI378" s="15"/>
      <c r="QJ378" s="15"/>
      <c r="QK378" s="10"/>
      <c r="QL378" s="10"/>
      <c r="QM378" s="21"/>
      <c r="QN378" s="21"/>
      <c r="QQ378" s="21"/>
      <c r="QR378" s="15"/>
      <c r="QS378" s="15"/>
      <c r="QT378" s="15"/>
      <c r="QU378" s="15"/>
      <c r="QV378" s="15"/>
      <c r="QW378" s="15"/>
      <c r="QX378" s="15"/>
      <c r="QY378" s="15"/>
      <c r="QZ378" s="15"/>
      <c r="RA378" s="15"/>
      <c r="RB378" s="10"/>
      <c r="RC378" s="10"/>
      <c r="RD378" s="21"/>
      <c r="RE378" s="21"/>
      <c r="RH378" s="21"/>
      <c r="RI378" s="15"/>
      <c r="RJ378" s="15"/>
      <c r="RK378" s="15"/>
      <c r="RL378" s="15"/>
      <c r="RM378" s="15"/>
      <c r="RN378" s="15"/>
      <c r="RO378" s="15"/>
      <c r="RP378" s="15"/>
      <c r="RQ378" s="15"/>
      <c r="RR378" s="15"/>
      <c r="RS378" s="10"/>
      <c r="RT378" s="10"/>
      <c r="RU378" s="21"/>
      <c r="RV378" s="21"/>
      <c r="RY378" s="21"/>
      <c r="RZ378" s="15"/>
      <c r="SA378" s="15"/>
      <c r="SB378" s="15"/>
      <c r="SC378" s="15"/>
      <c r="SD378" s="15"/>
      <c r="SE378" s="15"/>
      <c r="SF378" s="15"/>
      <c r="SG378" s="15"/>
      <c r="SH378" s="15"/>
      <c r="SI378" s="15"/>
      <c r="SJ378" s="10"/>
      <c r="SK378" s="10"/>
      <c r="SL378" s="21"/>
      <c r="SM378" s="21"/>
      <c r="SP378" s="21"/>
      <c r="SQ378" s="15"/>
      <c r="SR378" s="15"/>
      <c r="SS378" s="15"/>
      <c r="ST378" s="15"/>
      <c r="SU378" s="15"/>
      <c r="SV378" s="15"/>
      <c r="SW378" s="15"/>
      <c r="SX378" s="15"/>
      <c r="SY378" s="15"/>
      <c r="SZ378" s="15"/>
      <c r="TA378" s="10"/>
      <c r="TB378" s="10"/>
      <c r="TC378" s="21"/>
      <c r="TD378" s="21"/>
      <c r="TG378" s="21"/>
      <c r="TH378" s="15"/>
      <c r="TI378" s="15"/>
      <c r="TJ378" s="15"/>
      <c r="TK378" s="15"/>
      <c r="TL378" s="15"/>
      <c r="TM378" s="15"/>
      <c r="TN378" s="15"/>
      <c r="TO378" s="15"/>
      <c r="TP378" s="15"/>
      <c r="TQ378" s="15"/>
      <c r="TR378" s="10"/>
      <c r="TS378" s="10"/>
      <c r="TT378" s="21"/>
      <c r="TU378" s="21"/>
      <c r="TX378" s="21"/>
      <c r="TY378" s="15"/>
      <c r="TZ378" s="15"/>
      <c r="UA378" s="15"/>
      <c r="UB378" s="15"/>
      <c r="UC378" s="15"/>
      <c r="UD378" s="15"/>
      <c r="UE378" s="15"/>
      <c r="UF378" s="15"/>
      <c r="UG378" s="15"/>
      <c r="UH378" s="15"/>
      <c r="UI378" s="10"/>
      <c r="UJ378" s="10"/>
      <c r="UK378" s="21"/>
      <c r="UL378" s="21"/>
      <c r="UO378" s="21"/>
      <c r="UP378" s="15"/>
      <c r="UQ378" s="15"/>
      <c r="UR378" s="15"/>
      <c r="US378" s="15"/>
      <c r="UT378" s="15"/>
      <c r="UU378" s="15"/>
      <c r="UV378" s="15"/>
      <c r="UW378" s="15"/>
      <c r="UX378" s="15"/>
      <c r="UY378" s="15"/>
      <c r="UZ378" s="10"/>
      <c r="VA378" s="10"/>
      <c r="VB378" s="21"/>
      <c r="VC378" s="21"/>
      <c r="VF378" s="21"/>
      <c r="VG378" s="15"/>
      <c r="VH378" s="15"/>
      <c r="VI378" s="15"/>
      <c r="VJ378" s="15"/>
      <c r="VK378" s="15"/>
      <c r="VL378" s="15"/>
      <c r="VM378" s="15"/>
      <c r="VN378" s="15"/>
      <c r="VO378" s="15"/>
      <c r="VP378" s="15"/>
      <c r="VQ378" s="10"/>
      <c r="VR378" s="10"/>
      <c r="VS378" s="21"/>
      <c r="VT378" s="21"/>
      <c r="VW378" s="21"/>
      <c r="VX378" s="15"/>
      <c r="VY378" s="15"/>
      <c r="VZ378" s="15"/>
      <c r="WA378" s="15"/>
      <c r="WB378" s="15"/>
      <c r="WC378" s="15"/>
      <c r="WD378" s="15"/>
      <c r="WE378" s="15"/>
      <c r="WF378" s="15"/>
      <c r="WG378" s="15"/>
      <c r="WH378" s="10"/>
      <c r="WI378" s="10"/>
      <c r="WJ378" s="21"/>
      <c r="WK378" s="21"/>
      <c r="WN378" s="21"/>
      <c r="WO378" s="15"/>
      <c r="WP378" s="15"/>
      <c r="WQ378" s="15"/>
      <c r="WR378" s="15"/>
      <c r="WS378" s="15"/>
      <c r="WT378" s="15"/>
      <c r="WU378" s="15"/>
      <c r="WV378" s="15"/>
      <c r="WW378" s="15"/>
      <c r="WX378" s="15"/>
      <c r="WY378" s="10"/>
      <c r="WZ378" s="10"/>
      <c r="XA378" s="21"/>
      <c r="XB378" s="21"/>
      <c r="XE378" s="21"/>
      <c r="XF378" s="15"/>
      <c r="XG378" s="15"/>
      <c r="XH378" s="15"/>
      <c r="XI378" s="15"/>
      <c r="XJ378" s="15"/>
      <c r="XK378" s="15"/>
      <c r="XL378" s="15"/>
      <c r="XM378" s="15"/>
      <c r="XN378" s="15"/>
      <c r="XO378" s="15"/>
      <c r="XP378" s="10"/>
      <c r="XQ378" s="10"/>
      <c r="XR378" s="21"/>
      <c r="XS378" s="21"/>
      <c r="XV378" s="21"/>
      <c r="XW378" s="15"/>
      <c r="XX378" s="15"/>
      <c r="XY378" s="15"/>
      <c r="XZ378" s="15"/>
      <c r="YA378" s="15"/>
      <c r="YB378" s="15"/>
      <c r="YC378" s="15"/>
      <c r="YD378" s="15"/>
      <c r="YE378" s="15"/>
      <c r="YF378" s="15"/>
      <c r="YG378" s="10"/>
      <c r="YH378" s="10"/>
      <c r="YI378" s="21"/>
      <c r="YJ378" s="21"/>
      <c r="YM378" s="21"/>
      <c r="YN378" s="15"/>
      <c r="YO378" s="15"/>
      <c r="YP378" s="15"/>
      <c r="YQ378" s="15"/>
      <c r="YR378" s="15"/>
      <c r="YS378" s="15"/>
      <c r="YT378" s="15"/>
      <c r="YU378" s="15"/>
      <c r="YV378" s="15"/>
      <c r="YW378" s="15"/>
      <c r="YX378" s="10"/>
      <c r="YY378" s="10"/>
      <c r="YZ378" s="21"/>
      <c r="ZA378" s="21"/>
      <c r="ZD378" s="21"/>
      <c r="ZE378" s="15"/>
      <c r="ZF378" s="15"/>
      <c r="ZG378" s="15"/>
      <c r="ZH378" s="15"/>
      <c r="ZI378" s="15"/>
      <c r="ZJ378" s="15"/>
      <c r="ZK378" s="15"/>
      <c r="ZL378" s="15"/>
      <c r="ZM378" s="15"/>
      <c r="ZN378" s="15"/>
      <c r="ZO378" s="10"/>
      <c r="ZP378" s="10"/>
      <c r="ZQ378" s="21"/>
      <c r="ZR378" s="21"/>
      <c r="ZU378" s="21"/>
      <c r="ZV378" s="15"/>
      <c r="ZW378" s="15"/>
      <c r="ZX378" s="15"/>
      <c r="ZY378" s="15"/>
      <c r="ZZ378" s="15"/>
      <c r="AAA378" s="15"/>
      <c r="AAB378" s="15"/>
      <c r="AAC378" s="15"/>
      <c r="AAD378" s="15"/>
      <c r="AAE378" s="15"/>
      <c r="AAF378" s="10"/>
      <c r="AAG378" s="10"/>
      <c r="AAH378" s="21"/>
      <c r="AAI378" s="21"/>
      <c r="AAL378" s="21"/>
      <c r="AAM378" s="15"/>
      <c r="AAN378" s="15"/>
      <c r="AAO378" s="15"/>
      <c r="AAP378" s="15"/>
      <c r="AAQ378" s="15"/>
      <c r="AAR378" s="15"/>
      <c r="AAS378" s="15"/>
      <c r="AAT378" s="15"/>
      <c r="AAU378" s="15"/>
      <c r="AAV378" s="15"/>
      <c r="AAW378" s="10"/>
      <c r="AAX378" s="10"/>
      <c r="AAY378" s="21"/>
      <c r="AAZ378" s="21"/>
      <c r="ABC378" s="21"/>
      <c r="ABD378" s="15"/>
      <c r="ABE378" s="15"/>
      <c r="ABF378" s="15"/>
      <c r="ABG378" s="15"/>
      <c r="ABH378" s="15"/>
      <c r="ABI378" s="15"/>
      <c r="ABJ378" s="15"/>
      <c r="ABK378" s="15"/>
      <c r="ABL378" s="15"/>
      <c r="ABM378" s="15"/>
      <c r="ABN378" s="10"/>
      <c r="ABO378" s="10"/>
      <c r="ABP378" s="21"/>
      <c r="ABQ378" s="21"/>
      <c r="ABT378" s="21"/>
      <c r="ABU378" s="15"/>
      <c r="ABV378" s="15"/>
      <c r="ABW378" s="15"/>
      <c r="ABX378" s="15"/>
      <c r="ABY378" s="15"/>
      <c r="ABZ378" s="15"/>
      <c r="ACA378" s="15"/>
      <c r="ACB378" s="15"/>
      <c r="ACC378" s="15"/>
      <c r="ACD378" s="15"/>
      <c r="ACE378" s="10"/>
      <c r="ACF378" s="10"/>
      <c r="ACG378" s="21"/>
      <c r="ACH378" s="21"/>
      <c r="ACK378" s="21"/>
      <c r="ACL378" s="15"/>
      <c r="ACM378" s="15"/>
      <c r="ACN378" s="15"/>
      <c r="ACO378" s="15"/>
      <c r="ACP378" s="15"/>
      <c r="ACQ378" s="15"/>
      <c r="ACR378" s="15"/>
      <c r="ACS378" s="15"/>
      <c r="ACT378" s="15"/>
      <c r="ACU378" s="15"/>
      <c r="ACV378" s="10"/>
      <c r="ACW378" s="10"/>
      <c r="ACX378" s="21"/>
      <c r="ACY378" s="21"/>
      <c r="ADB378" s="21"/>
      <c r="ADC378" s="15"/>
      <c r="ADD378" s="15"/>
      <c r="ADE378" s="15"/>
      <c r="ADF378" s="15"/>
      <c r="ADG378" s="15"/>
      <c r="ADH378" s="15"/>
      <c r="ADI378" s="15"/>
      <c r="ADJ378" s="15"/>
      <c r="ADK378" s="15"/>
      <c r="ADL378" s="15"/>
      <c r="ADM378" s="10"/>
      <c r="ADN378" s="10"/>
      <c r="ADO378" s="21"/>
      <c r="ADP378" s="21"/>
      <c r="ADS378" s="21"/>
      <c r="ADT378" s="15"/>
      <c r="ADU378" s="15"/>
      <c r="ADV378" s="15"/>
      <c r="ADW378" s="15"/>
      <c r="ADX378" s="15"/>
      <c r="ADY378" s="15"/>
      <c r="ADZ378" s="15"/>
      <c r="AEA378" s="15"/>
      <c r="AEB378" s="15"/>
      <c r="AEC378" s="15"/>
      <c r="AED378" s="10"/>
      <c r="AEE378" s="10"/>
      <c r="AEF378" s="21"/>
      <c r="AEG378" s="21"/>
      <c r="AEJ378" s="21"/>
      <c r="AEK378" s="15"/>
      <c r="AEL378" s="15"/>
      <c r="AEM378" s="15"/>
      <c r="AEN378" s="15"/>
      <c r="AEO378" s="15"/>
      <c r="AEP378" s="15"/>
      <c r="AEQ378" s="15"/>
      <c r="AER378" s="15"/>
      <c r="AES378" s="15"/>
      <c r="AET378" s="15"/>
      <c r="AEU378" s="10"/>
      <c r="AEV378" s="10"/>
      <c r="AEW378" s="21"/>
      <c r="AEX378" s="21"/>
      <c r="AFA378" s="21"/>
      <c r="AFB378" s="15"/>
      <c r="AFC378" s="15"/>
      <c r="AFD378" s="15"/>
      <c r="AFE378" s="15"/>
      <c r="AFF378" s="15"/>
      <c r="AFG378" s="15"/>
      <c r="AFH378" s="15"/>
      <c r="AFI378" s="15"/>
      <c r="AFJ378" s="15"/>
      <c r="AFK378" s="15"/>
      <c r="AFL378" s="10"/>
      <c r="AFM378" s="10"/>
      <c r="AFN378" s="21"/>
      <c r="AFO378" s="21"/>
      <c r="AFR378" s="21"/>
      <c r="AFS378" s="15"/>
      <c r="AFT378" s="15"/>
      <c r="AFU378" s="15"/>
      <c r="AFV378" s="15"/>
      <c r="AFW378" s="15"/>
      <c r="AFX378" s="15"/>
      <c r="AFY378" s="15"/>
      <c r="AFZ378" s="15"/>
      <c r="AGA378" s="15"/>
      <c r="AGB378" s="15"/>
      <c r="AGC378" s="10"/>
      <c r="AGD378" s="10"/>
      <c r="AGE378" s="21"/>
      <c r="AGF378" s="21"/>
      <c r="AGI378" s="21"/>
      <c r="AGJ378" s="15"/>
      <c r="AGK378" s="15"/>
      <c r="AGL378" s="15"/>
      <c r="AGM378" s="15"/>
      <c r="AGN378" s="15"/>
      <c r="AGO378" s="15"/>
      <c r="AGP378" s="15"/>
      <c r="AGQ378" s="15"/>
      <c r="AGR378" s="15"/>
      <c r="AGS378" s="15"/>
      <c r="AGT378" s="10"/>
      <c r="AGU378" s="10"/>
      <c r="AGV378" s="21"/>
      <c r="AGW378" s="21"/>
      <c r="AGZ378" s="21"/>
      <c r="AHA378" s="15"/>
      <c r="AHB378" s="15"/>
      <c r="AHC378" s="15"/>
      <c r="AHD378" s="15"/>
      <c r="AHE378" s="15"/>
      <c r="AHF378" s="15"/>
      <c r="AHG378" s="15"/>
      <c r="AHH378" s="15"/>
      <c r="AHI378" s="15"/>
      <c r="AHJ378" s="15"/>
      <c r="AHK378" s="10"/>
      <c r="AHL378" s="10"/>
      <c r="AHM378" s="21"/>
      <c r="AHN378" s="21"/>
      <c r="AHQ378" s="21"/>
      <c r="AHR378" s="15"/>
      <c r="AHS378" s="15"/>
      <c r="AHT378" s="15"/>
      <c r="AHU378" s="15"/>
      <c r="AHV378" s="15"/>
      <c r="AHW378" s="15"/>
      <c r="AHX378" s="15"/>
      <c r="AHY378" s="15"/>
      <c r="AHZ378" s="15"/>
      <c r="AIA378" s="15"/>
      <c r="AIB378" s="10"/>
      <c r="AIC378" s="10"/>
      <c r="AID378" s="21"/>
      <c r="AIE378" s="21"/>
      <c r="AIH378" s="21"/>
      <c r="AII378" s="15"/>
      <c r="AIJ378" s="15"/>
      <c r="AIK378" s="15"/>
      <c r="AIL378" s="15"/>
      <c r="AIM378" s="15"/>
      <c r="AIN378" s="15"/>
      <c r="AIO378" s="15"/>
      <c r="AIP378" s="15"/>
      <c r="AIQ378" s="15"/>
      <c r="AIR378" s="15"/>
      <c r="AIS378" s="10"/>
      <c r="AIT378" s="10"/>
      <c r="AIU378" s="21"/>
      <c r="AIV378" s="21"/>
      <c r="AIY378" s="21"/>
      <c r="AIZ378" s="15"/>
      <c r="AJA378" s="15"/>
      <c r="AJB378" s="15"/>
      <c r="AJC378" s="15"/>
      <c r="AJD378" s="15"/>
      <c r="AJE378" s="15"/>
      <c r="AJF378" s="15"/>
      <c r="AJG378" s="15"/>
      <c r="AJH378" s="15"/>
      <c r="AJI378" s="15"/>
      <c r="AJJ378" s="10"/>
      <c r="AJK378" s="10"/>
      <c r="AJL378" s="21"/>
      <c r="AJM378" s="21"/>
      <c r="AJP378" s="21"/>
      <c r="AJQ378" s="15"/>
      <c r="AJR378" s="15"/>
      <c r="AJS378" s="15"/>
      <c r="AJT378" s="15"/>
      <c r="AJU378" s="15"/>
      <c r="AJV378" s="15"/>
      <c r="AJW378" s="15"/>
      <c r="AJX378" s="15"/>
      <c r="AJY378" s="15"/>
      <c r="AJZ378" s="15"/>
      <c r="AKA378" s="10"/>
      <c r="AKB378" s="10"/>
      <c r="AKC378" s="21"/>
      <c r="AKD378" s="21"/>
      <c r="AKG378" s="21"/>
      <c r="AKH378" s="15"/>
      <c r="AKI378" s="15"/>
      <c r="AKJ378" s="15"/>
      <c r="AKK378" s="15"/>
      <c r="AKL378" s="15"/>
      <c r="AKM378" s="15"/>
      <c r="AKN378" s="15"/>
      <c r="AKO378" s="15"/>
      <c r="AKP378" s="15"/>
      <c r="AKQ378" s="15"/>
      <c r="AKR378" s="10"/>
      <c r="AKS378" s="10"/>
      <c r="AKT378" s="21"/>
      <c r="AKU378" s="21"/>
      <c r="AKX378" s="21"/>
      <c r="AKY378" s="15"/>
      <c r="AKZ378" s="15"/>
      <c r="ALA378" s="15"/>
      <c r="ALB378" s="15"/>
      <c r="ALC378" s="15"/>
      <c r="ALD378" s="15"/>
      <c r="ALE378" s="15"/>
      <c r="ALF378" s="15"/>
      <c r="ALG378" s="15"/>
      <c r="ALH378" s="15"/>
      <c r="ALI378" s="10"/>
      <c r="ALJ378" s="10"/>
      <c r="ALK378" s="21"/>
      <c r="ALL378" s="21"/>
      <c r="ALO378" s="21"/>
      <c r="ALP378" s="15"/>
      <c r="ALQ378" s="15"/>
      <c r="ALR378" s="15"/>
      <c r="ALS378" s="15"/>
      <c r="ALT378" s="15"/>
      <c r="ALU378" s="15"/>
      <c r="ALV378" s="15"/>
      <c r="ALW378" s="15"/>
      <c r="ALX378" s="15"/>
      <c r="ALY378" s="15"/>
      <c r="ALZ378" s="10"/>
      <c r="AMA378" s="10"/>
      <c r="AMB378" s="21"/>
      <c r="AMC378" s="21"/>
      <c r="AMF378" s="21"/>
      <c r="AMG378" s="15"/>
      <c r="AMH378" s="15"/>
      <c r="AMI378" s="15"/>
      <c r="AMJ378" s="15"/>
      <c r="AMK378" s="15"/>
      <c r="AML378" s="15"/>
      <c r="AMM378" s="15"/>
      <c r="AMN378" s="15"/>
      <c r="AMO378" s="15"/>
      <c r="AMP378" s="15"/>
      <c r="AMQ378" s="10"/>
      <c r="AMR378" s="10"/>
      <c r="AMS378" s="21"/>
      <c r="AMT378" s="21"/>
      <c r="AMW378" s="21"/>
      <c r="AMX378" s="15"/>
      <c r="AMY378" s="15"/>
      <c r="AMZ378" s="15"/>
      <c r="ANA378" s="15"/>
      <c r="ANB378" s="15"/>
      <c r="ANC378" s="15"/>
      <c r="AND378" s="15"/>
      <c r="ANE378" s="15"/>
      <c r="ANF378" s="15"/>
      <c r="ANG378" s="15"/>
      <c r="ANH378" s="10"/>
      <c r="ANI378" s="10"/>
      <c r="ANJ378" s="21"/>
      <c r="ANK378" s="21"/>
      <c r="ANN378" s="21"/>
      <c r="ANO378" s="15"/>
      <c r="ANP378" s="15"/>
      <c r="ANQ378" s="15"/>
      <c r="ANR378" s="15"/>
      <c r="ANS378" s="15"/>
      <c r="ANT378" s="15"/>
      <c r="ANU378" s="15"/>
      <c r="ANV378" s="15"/>
      <c r="ANW378" s="15"/>
      <c r="ANX378" s="15"/>
      <c r="ANY378" s="10"/>
      <c r="ANZ378" s="10"/>
      <c r="AOA378" s="21"/>
      <c r="AOB378" s="21"/>
      <c r="AOE378" s="21"/>
      <c r="AOF378" s="15"/>
      <c r="AOG378" s="15"/>
      <c r="AOH378" s="15"/>
      <c r="AOI378" s="15"/>
      <c r="AOJ378" s="15"/>
      <c r="AOK378" s="15"/>
      <c r="AOL378" s="15"/>
      <c r="AOM378" s="15"/>
      <c r="AON378" s="15"/>
      <c r="AOO378" s="15"/>
      <c r="AOP378" s="10"/>
      <c r="AOQ378" s="10"/>
      <c r="AOR378" s="21"/>
      <c r="AOS378" s="21"/>
      <c r="AOV378" s="21"/>
      <c r="AOW378" s="15"/>
      <c r="AOX378" s="15"/>
      <c r="AOY378" s="15"/>
      <c r="AOZ378" s="15"/>
      <c r="APA378" s="15"/>
      <c r="APB378" s="15"/>
      <c r="APC378" s="15"/>
      <c r="APD378" s="15"/>
      <c r="APE378" s="15"/>
      <c r="APF378" s="15"/>
      <c r="APG378" s="10"/>
      <c r="APH378" s="10"/>
      <c r="API378" s="21"/>
      <c r="APJ378" s="21"/>
      <c r="APM378" s="21"/>
      <c r="APN378" s="15"/>
      <c r="APO378" s="15"/>
      <c r="APP378" s="15"/>
      <c r="APQ378" s="15"/>
      <c r="APR378" s="15"/>
      <c r="APS378" s="15"/>
      <c r="APT378" s="15"/>
      <c r="APU378" s="15"/>
      <c r="APV378" s="15"/>
      <c r="APW378" s="15"/>
      <c r="APX378" s="10"/>
      <c r="APY378" s="10"/>
      <c r="APZ378" s="21"/>
      <c r="AQA378" s="21"/>
      <c r="AQD378" s="21"/>
      <c r="AQE378" s="15"/>
      <c r="AQF378" s="15"/>
      <c r="AQG378" s="15"/>
      <c r="AQH378" s="15"/>
      <c r="AQI378" s="15"/>
      <c r="AQJ378" s="15"/>
      <c r="AQK378" s="15"/>
      <c r="AQL378" s="15"/>
      <c r="AQM378" s="15"/>
      <c r="AQN378" s="15"/>
      <c r="AQO378" s="10"/>
      <c r="AQP378" s="10"/>
      <c r="AQQ378" s="21"/>
      <c r="AQR378" s="21"/>
      <c r="AQU378" s="21"/>
      <c r="AQV378" s="15"/>
      <c r="AQW378" s="15"/>
      <c r="AQX378" s="15"/>
      <c r="AQY378" s="15"/>
      <c r="AQZ378" s="15"/>
      <c r="ARA378" s="15"/>
      <c r="ARB378" s="15"/>
      <c r="ARC378" s="15"/>
      <c r="ARD378" s="15"/>
      <c r="ARE378" s="15"/>
      <c r="ARF378" s="10"/>
      <c r="ARG378" s="10"/>
      <c r="ARH378" s="21"/>
      <c r="ARI378" s="21"/>
      <c r="ARL378" s="21"/>
      <c r="ARM378" s="15"/>
      <c r="ARN378" s="15"/>
      <c r="ARO378" s="15"/>
      <c r="ARP378" s="15"/>
      <c r="ARQ378" s="15"/>
      <c r="ARR378" s="15"/>
      <c r="ARS378" s="15"/>
      <c r="ART378" s="15"/>
      <c r="ARU378" s="15"/>
      <c r="ARV378" s="15"/>
      <c r="ARW378" s="10"/>
      <c r="ARX378" s="10"/>
      <c r="ARY378" s="21"/>
      <c r="ARZ378" s="21"/>
      <c r="ASC378" s="21"/>
      <c r="ASD378" s="15"/>
      <c r="ASE378" s="15"/>
      <c r="ASF378" s="15"/>
      <c r="ASG378" s="15"/>
      <c r="ASH378" s="15"/>
      <c r="ASI378" s="15"/>
      <c r="ASJ378" s="15"/>
      <c r="ASK378" s="15"/>
      <c r="ASL378" s="15"/>
      <c r="ASM378" s="15"/>
      <c r="ASN378" s="10"/>
      <c r="ASO378" s="10"/>
      <c r="ASP378" s="21"/>
      <c r="ASQ378" s="21"/>
      <c r="AST378" s="21"/>
      <c r="ASU378" s="15"/>
      <c r="ASV378" s="15"/>
      <c r="ASW378" s="15"/>
      <c r="ASX378" s="15"/>
      <c r="ASY378" s="15"/>
      <c r="ASZ378" s="15"/>
      <c r="ATA378" s="15"/>
      <c r="ATB378" s="15"/>
      <c r="ATC378" s="15"/>
      <c r="ATD378" s="15"/>
      <c r="ATE378" s="10"/>
      <c r="ATF378" s="10"/>
      <c r="ATG378" s="21"/>
      <c r="ATH378" s="21"/>
      <c r="ATK378" s="21"/>
      <c r="ATL378" s="15"/>
      <c r="ATM378" s="15"/>
      <c r="ATN378" s="15"/>
      <c r="ATO378" s="15"/>
      <c r="ATP378" s="15"/>
      <c r="ATQ378" s="15"/>
      <c r="ATR378" s="15"/>
      <c r="ATS378" s="15"/>
      <c r="ATT378" s="15"/>
      <c r="ATU378" s="15"/>
      <c r="ATV378" s="10"/>
      <c r="ATW378" s="10"/>
      <c r="ATX378" s="21"/>
      <c r="ATY378" s="21"/>
      <c r="AUB378" s="21"/>
      <c r="AUC378" s="15"/>
      <c r="AUD378" s="15"/>
      <c r="AUE378" s="15"/>
      <c r="AUF378" s="15"/>
      <c r="AUG378" s="15"/>
      <c r="AUH378" s="15"/>
      <c r="AUI378" s="15"/>
      <c r="AUJ378" s="15"/>
      <c r="AUK378" s="15"/>
      <c r="AUL378" s="15"/>
      <c r="AUM378" s="10"/>
      <c r="AUN378" s="10"/>
      <c r="AUO378" s="21"/>
      <c r="AUP378" s="21"/>
      <c r="AUS378" s="21"/>
      <c r="AUT378" s="15"/>
      <c r="AUU378" s="15"/>
      <c r="AUV378" s="15"/>
      <c r="AUW378" s="15"/>
      <c r="AUX378" s="15"/>
      <c r="AUY378" s="15"/>
      <c r="AUZ378" s="15"/>
      <c r="AVA378" s="15"/>
      <c r="AVB378" s="15"/>
      <c r="AVC378" s="15"/>
      <c r="AVD378" s="10"/>
      <c r="AVE378" s="10"/>
      <c r="AVF378" s="21"/>
      <c r="AVG378" s="21"/>
      <c r="AVJ378" s="21"/>
      <c r="AVK378" s="15"/>
      <c r="AVL378" s="15"/>
      <c r="AVM378" s="15"/>
      <c r="AVN378" s="15"/>
      <c r="AVO378" s="15"/>
      <c r="AVP378" s="15"/>
      <c r="AVQ378" s="15"/>
      <c r="AVR378" s="15"/>
      <c r="AVS378" s="15"/>
      <c r="AVT378" s="15"/>
      <c r="AVU378" s="10"/>
      <c r="AVV378" s="10"/>
      <c r="AVW378" s="21"/>
      <c r="AVX378" s="21"/>
      <c r="AWA378" s="21"/>
      <c r="AWB378" s="15"/>
      <c r="AWC378" s="15"/>
      <c r="AWD378" s="15"/>
      <c r="AWE378" s="15"/>
      <c r="AWF378" s="15"/>
      <c r="AWG378" s="15"/>
      <c r="AWH378" s="15"/>
      <c r="AWI378" s="15"/>
      <c r="AWJ378" s="15"/>
      <c r="AWK378" s="15"/>
      <c r="AWL378" s="10"/>
      <c r="AWM378" s="10"/>
      <c r="AWN378" s="21"/>
      <c r="AWO378" s="21"/>
      <c r="AWR378" s="21"/>
      <c r="AWS378" s="15"/>
      <c r="AWT378" s="15"/>
      <c r="AWU378" s="15"/>
      <c r="AWV378" s="15"/>
      <c r="AWW378" s="15"/>
      <c r="AWX378" s="15"/>
      <c r="AWY378" s="15"/>
      <c r="AWZ378" s="15"/>
      <c r="AXA378" s="15"/>
      <c r="AXB378" s="15"/>
      <c r="AXC378" s="10"/>
      <c r="AXD378" s="10"/>
      <c r="AXE378" s="21"/>
      <c r="AXF378" s="21"/>
      <c r="AXI378" s="21"/>
      <c r="AXJ378" s="15"/>
      <c r="AXK378" s="15"/>
      <c r="AXL378" s="15"/>
      <c r="AXM378" s="15"/>
      <c r="AXN378" s="15"/>
      <c r="AXO378" s="15"/>
      <c r="AXP378" s="15"/>
      <c r="AXQ378" s="15"/>
      <c r="AXR378" s="15"/>
      <c r="AXS378" s="15"/>
      <c r="AXT378" s="10"/>
      <c r="AXU378" s="10"/>
      <c r="AXV378" s="21"/>
      <c r="AXW378" s="21"/>
      <c r="AXZ378" s="21"/>
      <c r="AYA378" s="15"/>
      <c r="AYB378" s="15"/>
      <c r="AYC378" s="15"/>
      <c r="AYD378" s="15"/>
      <c r="AYE378" s="15"/>
      <c r="AYF378" s="15"/>
      <c r="AYG378" s="15"/>
      <c r="AYH378" s="15"/>
      <c r="AYI378" s="15"/>
      <c r="AYJ378" s="15"/>
      <c r="AYK378" s="10"/>
      <c r="AYL378" s="10"/>
      <c r="AYM378" s="21"/>
      <c r="AYN378" s="21"/>
      <c r="AYQ378" s="21"/>
      <c r="AYR378" s="15"/>
      <c r="AYS378" s="15"/>
      <c r="AYT378" s="15"/>
      <c r="AYU378" s="15"/>
      <c r="AYV378" s="15"/>
      <c r="AYW378" s="15"/>
      <c r="AYX378" s="15"/>
      <c r="AYY378" s="15"/>
      <c r="AYZ378" s="15"/>
      <c r="AZA378" s="15"/>
      <c r="AZB378" s="10"/>
      <c r="AZC378" s="10"/>
      <c r="AZD378" s="21"/>
      <c r="AZE378" s="21"/>
      <c r="AZH378" s="21"/>
      <c r="AZI378" s="15"/>
      <c r="AZJ378" s="15"/>
      <c r="AZK378" s="15"/>
      <c r="AZL378" s="15"/>
      <c r="AZM378" s="15"/>
      <c r="AZN378" s="15"/>
      <c r="AZO378" s="15"/>
      <c r="AZP378" s="15"/>
      <c r="AZQ378" s="15"/>
      <c r="AZR378" s="15"/>
      <c r="AZS378" s="10"/>
      <c r="AZT378" s="10"/>
      <c r="AZU378" s="21"/>
      <c r="AZV378" s="21"/>
      <c r="AZY378" s="21"/>
      <c r="AZZ378" s="15"/>
      <c r="BAA378" s="15"/>
      <c r="BAB378" s="15"/>
      <c r="BAC378" s="15"/>
      <c r="BAD378" s="15"/>
      <c r="BAE378" s="15"/>
      <c r="BAF378" s="15"/>
      <c r="BAG378" s="15"/>
      <c r="BAH378" s="15"/>
      <c r="BAI378" s="15"/>
      <c r="BAJ378" s="10"/>
      <c r="BAK378" s="10"/>
      <c r="BAL378" s="21"/>
      <c r="BAM378" s="21"/>
      <c r="BAP378" s="21"/>
      <c r="BAQ378" s="15"/>
      <c r="BAR378" s="15"/>
      <c r="BAS378" s="15"/>
      <c r="BAT378" s="15"/>
      <c r="BAU378" s="15"/>
      <c r="BAV378" s="15"/>
      <c r="BAW378" s="15"/>
      <c r="BAX378" s="15"/>
      <c r="BAY378" s="15"/>
      <c r="BAZ378" s="15"/>
      <c r="BBA378" s="10"/>
      <c r="BBB378" s="10"/>
      <c r="BBC378" s="21"/>
      <c r="BBD378" s="21"/>
      <c r="BBG378" s="21"/>
      <c r="BBH378" s="15"/>
      <c r="BBI378" s="15"/>
      <c r="BBJ378" s="15"/>
      <c r="BBK378" s="15"/>
      <c r="BBL378" s="15"/>
      <c r="BBM378" s="15"/>
      <c r="BBN378" s="15"/>
      <c r="BBO378" s="15"/>
      <c r="BBP378" s="15"/>
      <c r="BBQ378" s="15"/>
      <c r="BBR378" s="10"/>
      <c r="BBS378" s="10"/>
      <c r="BBT378" s="21"/>
      <c r="BBU378" s="21"/>
      <c r="BBX378" s="21"/>
      <c r="BBY378" s="15"/>
      <c r="BBZ378" s="15"/>
      <c r="BCA378" s="15"/>
      <c r="BCB378" s="15"/>
      <c r="BCC378" s="15"/>
      <c r="BCD378" s="15"/>
      <c r="BCE378" s="15"/>
      <c r="BCF378" s="15"/>
      <c r="BCG378" s="15"/>
      <c r="BCH378" s="15"/>
      <c r="BCI378" s="10"/>
      <c r="BCJ378" s="10"/>
      <c r="BCK378" s="21"/>
      <c r="BCL378" s="21"/>
      <c r="BCO378" s="21"/>
      <c r="BCP378" s="15"/>
      <c r="BCQ378" s="15"/>
      <c r="BCR378" s="15"/>
      <c r="BCS378" s="15"/>
      <c r="BCT378" s="15"/>
      <c r="BCU378" s="15"/>
      <c r="BCV378" s="15"/>
      <c r="BCW378" s="15"/>
      <c r="BCX378" s="15"/>
      <c r="BCY378" s="15"/>
      <c r="BCZ378" s="10"/>
      <c r="BDA378" s="10"/>
      <c r="BDB378" s="21"/>
      <c r="BDC378" s="21"/>
      <c r="BDF378" s="21"/>
      <c r="BDG378" s="15"/>
      <c r="BDH378" s="15"/>
      <c r="BDI378" s="15"/>
      <c r="BDJ378" s="15"/>
      <c r="BDK378" s="15"/>
      <c r="BDL378" s="15"/>
      <c r="BDM378" s="15"/>
      <c r="BDN378" s="15"/>
      <c r="BDO378" s="15"/>
      <c r="BDP378" s="15"/>
      <c r="BDQ378" s="10"/>
      <c r="BDR378" s="10"/>
      <c r="BDS378" s="21"/>
      <c r="BDT378" s="21"/>
      <c r="BDW378" s="21"/>
      <c r="BDX378" s="15"/>
      <c r="BDY378" s="15"/>
      <c r="BDZ378" s="15"/>
      <c r="BEA378" s="15"/>
      <c r="BEB378" s="15"/>
      <c r="BEC378" s="15"/>
      <c r="BED378" s="15"/>
      <c r="BEE378" s="15"/>
      <c r="BEF378" s="15"/>
      <c r="BEG378" s="15"/>
      <c r="BEH378" s="10"/>
      <c r="BEI378" s="10"/>
      <c r="BEJ378" s="21"/>
      <c r="BEK378" s="21"/>
      <c r="BEN378" s="21"/>
      <c r="BEO378" s="15"/>
      <c r="BEP378" s="15"/>
      <c r="BEQ378" s="15"/>
      <c r="BER378" s="15"/>
      <c r="BES378" s="15"/>
      <c r="BET378" s="15"/>
      <c r="BEU378" s="15"/>
      <c r="BEV378" s="15"/>
      <c r="BEW378" s="15"/>
      <c r="BEX378" s="15"/>
      <c r="BEY378" s="10"/>
      <c r="BEZ378" s="10"/>
      <c r="BFA378" s="21"/>
      <c r="BFB378" s="21"/>
      <c r="BFE378" s="21"/>
      <c r="BFF378" s="15"/>
      <c r="BFG378" s="15"/>
      <c r="BFH378" s="15"/>
      <c r="BFI378" s="15"/>
      <c r="BFJ378" s="15"/>
      <c r="BFK378" s="15"/>
      <c r="BFL378" s="15"/>
      <c r="BFM378" s="15"/>
      <c r="BFN378" s="15"/>
      <c r="BFO378" s="15"/>
      <c r="BFP378" s="10"/>
      <c r="BFQ378" s="10"/>
      <c r="BFR378" s="21"/>
      <c r="BFS378" s="21"/>
      <c r="BFV378" s="21"/>
      <c r="BFW378" s="15"/>
      <c r="BFX378" s="15"/>
      <c r="BFY378" s="15"/>
      <c r="BFZ378" s="15"/>
      <c r="BGA378" s="15"/>
      <c r="BGB378" s="15"/>
      <c r="BGC378" s="15"/>
      <c r="BGD378" s="15"/>
      <c r="BGE378" s="15"/>
      <c r="BGF378" s="15"/>
      <c r="BGG378" s="10"/>
      <c r="BGH378" s="10"/>
      <c r="BGI378" s="21"/>
      <c r="BGJ378" s="21"/>
      <c r="BGM378" s="21"/>
      <c r="BGN378" s="15"/>
      <c r="BGO378" s="15"/>
      <c r="BGP378" s="15"/>
      <c r="BGQ378" s="15"/>
      <c r="BGR378" s="15"/>
      <c r="BGS378" s="15"/>
      <c r="BGT378" s="15"/>
      <c r="BGU378" s="15"/>
      <c r="BGV378" s="15"/>
      <c r="BGW378" s="15"/>
      <c r="BGX378" s="10"/>
      <c r="BGY378" s="10"/>
      <c r="BGZ378" s="21"/>
      <c r="BHA378" s="21"/>
      <c r="BHD378" s="21"/>
      <c r="BHE378" s="15"/>
      <c r="BHF378" s="15"/>
      <c r="BHG378" s="15"/>
      <c r="BHH378" s="15"/>
      <c r="BHI378" s="15"/>
      <c r="BHJ378" s="15"/>
      <c r="BHK378" s="15"/>
      <c r="BHL378" s="15"/>
      <c r="BHM378" s="15"/>
      <c r="BHN378" s="15"/>
      <c r="BHO378" s="10"/>
      <c r="BHP378" s="10"/>
      <c r="BHQ378" s="21"/>
      <c r="BHR378" s="21"/>
      <c r="BHU378" s="21"/>
      <c r="BHV378" s="15"/>
      <c r="BHW378" s="15"/>
      <c r="BHX378" s="15"/>
      <c r="BHY378" s="15"/>
      <c r="BHZ378" s="15"/>
      <c r="BIA378" s="15"/>
      <c r="BIB378" s="15"/>
      <c r="BIC378" s="15"/>
      <c r="BID378" s="15"/>
      <c r="BIE378" s="15"/>
      <c r="BIF378" s="10"/>
      <c r="BIG378" s="10"/>
      <c r="BIH378" s="21"/>
      <c r="BII378" s="21"/>
      <c r="BIL378" s="21"/>
      <c r="BIM378" s="15"/>
      <c r="BIN378" s="15"/>
      <c r="BIO378" s="15"/>
      <c r="BIP378" s="15"/>
      <c r="BIQ378" s="15"/>
      <c r="BIR378" s="15"/>
      <c r="BIS378" s="15"/>
      <c r="BIT378" s="15"/>
      <c r="BIU378" s="15"/>
      <c r="BIV378" s="15"/>
      <c r="BIW378" s="10"/>
      <c r="BIX378" s="10"/>
      <c r="BIY378" s="21"/>
      <c r="BIZ378" s="21"/>
      <c r="BJC378" s="21"/>
      <c r="BJD378" s="15"/>
      <c r="BJE378" s="15"/>
      <c r="BJF378" s="15"/>
      <c r="BJG378" s="15"/>
      <c r="BJH378" s="15"/>
      <c r="BJI378" s="15"/>
      <c r="BJJ378" s="15"/>
      <c r="BJK378" s="15"/>
      <c r="BJL378" s="15"/>
      <c r="BJM378" s="15"/>
      <c r="BJN378" s="10"/>
      <c r="BJO378" s="10"/>
      <c r="BJP378" s="21"/>
      <c r="BJQ378" s="21"/>
      <c r="BJT378" s="21"/>
      <c r="BJU378" s="15"/>
      <c r="BJV378" s="15"/>
      <c r="BJW378" s="15"/>
      <c r="BJX378" s="15"/>
      <c r="BJY378" s="15"/>
      <c r="BJZ378" s="15"/>
      <c r="BKA378" s="15"/>
      <c r="BKB378" s="15"/>
      <c r="BKC378" s="15"/>
      <c r="BKD378" s="15"/>
      <c r="BKE378" s="10"/>
      <c r="BKF378" s="10"/>
      <c r="BKG378" s="21"/>
      <c r="BKH378" s="21"/>
      <c r="BKK378" s="21"/>
      <c r="BKL378" s="15"/>
      <c r="BKM378" s="15"/>
      <c r="BKN378" s="15"/>
      <c r="BKO378" s="15"/>
      <c r="BKP378" s="15"/>
      <c r="BKQ378" s="15"/>
      <c r="BKR378" s="15"/>
      <c r="BKS378" s="15"/>
      <c r="BKT378" s="15"/>
      <c r="BKU378" s="15"/>
      <c r="BKV378" s="10"/>
      <c r="BKW378" s="10"/>
      <c r="BKX378" s="21"/>
      <c r="BKY378" s="21"/>
      <c r="BLB378" s="21"/>
      <c r="BLC378" s="15"/>
      <c r="BLD378" s="15"/>
      <c r="BLE378" s="15"/>
      <c r="BLF378" s="15"/>
      <c r="BLG378" s="15"/>
      <c r="BLH378" s="15"/>
      <c r="BLI378" s="15"/>
      <c r="BLJ378" s="15"/>
      <c r="BLK378" s="15"/>
      <c r="BLL378" s="15"/>
      <c r="BLM378" s="10"/>
      <c r="BLN378" s="10"/>
      <c r="BLO378" s="21"/>
      <c r="BLP378" s="21"/>
      <c r="BLS378" s="21"/>
      <c r="BLT378" s="15"/>
      <c r="BLU378" s="15"/>
      <c r="BLV378" s="15"/>
      <c r="BLW378" s="15"/>
      <c r="BLX378" s="15"/>
      <c r="BLY378" s="15"/>
      <c r="BLZ378" s="15"/>
      <c r="BMA378" s="15"/>
      <c r="BMB378" s="15"/>
      <c r="BMC378" s="15"/>
      <c r="BMD378" s="10"/>
      <c r="BME378" s="10"/>
      <c r="BMF378" s="21"/>
      <c r="BMG378" s="21"/>
      <c r="BMJ378" s="21"/>
      <c r="BMK378" s="15"/>
      <c r="BML378" s="15"/>
      <c r="BMM378" s="15"/>
      <c r="BMN378" s="15"/>
      <c r="BMO378" s="15"/>
      <c r="BMP378" s="15"/>
      <c r="BMQ378" s="15"/>
      <c r="BMR378" s="15"/>
      <c r="BMS378" s="15"/>
      <c r="BMT378" s="15"/>
      <c r="BMU378" s="10"/>
      <c r="BMV378" s="10"/>
      <c r="BMW378" s="21"/>
      <c r="BMX378" s="21"/>
      <c r="BNA378" s="21"/>
      <c r="BNB378" s="15"/>
      <c r="BNC378" s="15"/>
      <c r="BND378" s="15"/>
      <c r="BNE378" s="15"/>
      <c r="BNF378" s="15"/>
      <c r="BNG378" s="15"/>
      <c r="BNH378" s="15"/>
      <c r="BNI378" s="15"/>
      <c r="BNJ378" s="15"/>
      <c r="BNK378" s="15"/>
      <c r="BNL378" s="10"/>
      <c r="BNM378" s="10"/>
      <c r="BNN378" s="21"/>
      <c r="BNO378" s="21"/>
      <c r="BNR378" s="21"/>
      <c r="BNS378" s="15"/>
      <c r="BNT378" s="15"/>
      <c r="BNU378" s="15"/>
      <c r="BNV378" s="15"/>
      <c r="BNW378" s="15"/>
      <c r="BNX378" s="15"/>
      <c r="BNY378" s="15"/>
      <c r="BNZ378" s="15"/>
      <c r="BOA378" s="15"/>
      <c r="BOB378" s="15"/>
      <c r="BOC378" s="10"/>
      <c r="BOD378" s="10"/>
      <c r="BOE378" s="21"/>
      <c r="BOF378" s="21"/>
      <c r="BOI378" s="21"/>
      <c r="BOJ378" s="15"/>
      <c r="BOK378" s="15"/>
      <c r="BOL378" s="15"/>
      <c r="BOM378" s="15"/>
      <c r="BON378" s="15"/>
      <c r="BOO378" s="15"/>
      <c r="BOP378" s="15"/>
      <c r="BOQ378" s="15"/>
      <c r="BOR378" s="15"/>
      <c r="BOS378" s="15"/>
      <c r="BOT378" s="10"/>
      <c r="BOU378" s="10"/>
      <c r="BOV378" s="21"/>
      <c r="BOW378" s="21"/>
      <c r="BOZ378" s="21"/>
      <c r="BPA378" s="15"/>
      <c r="BPB378" s="15"/>
      <c r="BPC378" s="15"/>
      <c r="BPD378" s="15"/>
      <c r="BPE378" s="15"/>
      <c r="BPF378" s="15"/>
      <c r="BPG378" s="15"/>
      <c r="BPH378" s="15"/>
      <c r="BPI378" s="15"/>
      <c r="BPJ378" s="15"/>
      <c r="BPK378" s="10"/>
      <c r="BPL378" s="10"/>
      <c r="BPM378" s="21"/>
      <c r="BPN378" s="21"/>
      <c r="BPQ378" s="21"/>
      <c r="BPR378" s="15"/>
      <c r="BPS378" s="15"/>
      <c r="BPT378" s="15"/>
      <c r="BPU378" s="15"/>
      <c r="BPV378" s="15"/>
      <c r="BPW378" s="15"/>
      <c r="BPX378" s="15"/>
      <c r="BPY378" s="15"/>
      <c r="BPZ378" s="15"/>
      <c r="BQA378" s="15"/>
      <c r="BQB378" s="10"/>
      <c r="BQC378" s="10"/>
      <c r="BQD378" s="21"/>
      <c r="BQE378" s="21"/>
      <c r="BQH378" s="21"/>
      <c r="BQI378" s="15"/>
      <c r="BQJ378" s="15"/>
      <c r="BQK378" s="15"/>
      <c r="BQL378" s="15"/>
      <c r="BQM378" s="15"/>
      <c r="BQN378" s="15"/>
      <c r="BQO378" s="15"/>
      <c r="BQP378" s="15"/>
      <c r="BQQ378" s="15"/>
      <c r="BQR378" s="15"/>
      <c r="BQS378" s="10"/>
      <c r="BQT378" s="10"/>
      <c r="BQU378" s="21"/>
      <c r="BQV378" s="21"/>
      <c r="BQY378" s="21"/>
      <c r="BQZ378" s="15"/>
      <c r="BRA378" s="15"/>
      <c r="BRB378" s="15"/>
      <c r="BRC378" s="15"/>
      <c r="BRD378" s="15"/>
      <c r="BRE378" s="15"/>
      <c r="BRF378" s="15"/>
      <c r="BRG378" s="15"/>
      <c r="BRH378" s="15"/>
      <c r="BRI378" s="15"/>
      <c r="BRJ378" s="10"/>
      <c r="BRK378" s="10"/>
      <c r="BRL378" s="21"/>
      <c r="BRM378" s="21"/>
      <c r="BRP378" s="21"/>
      <c r="BRQ378" s="15"/>
      <c r="BRR378" s="15"/>
      <c r="BRS378" s="15"/>
      <c r="BRT378" s="15"/>
      <c r="BRU378" s="15"/>
      <c r="BRV378" s="15"/>
      <c r="BRW378" s="15"/>
      <c r="BRX378" s="15"/>
      <c r="BRY378" s="15"/>
      <c r="BRZ378" s="15"/>
      <c r="BSA378" s="10"/>
      <c r="BSB378" s="10"/>
      <c r="BSC378" s="21"/>
      <c r="BSD378" s="21"/>
      <c r="BSG378" s="21"/>
      <c r="BSH378" s="15"/>
      <c r="BSI378" s="15"/>
      <c r="BSJ378" s="15"/>
      <c r="BSK378" s="15"/>
      <c r="BSL378" s="15"/>
      <c r="BSM378" s="15"/>
      <c r="BSN378" s="15"/>
      <c r="BSO378" s="15"/>
      <c r="BSP378" s="15"/>
      <c r="BSQ378" s="15"/>
      <c r="BSR378" s="10"/>
      <c r="BSS378" s="10"/>
      <c r="BST378" s="21"/>
      <c r="BSU378" s="21"/>
      <c r="BSX378" s="21"/>
      <c r="BSY378" s="15"/>
      <c r="BSZ378" s="15"/>
      <c r="BTA378" s="15"/>
      <c r="BTB378" s="15"/>
      <c r="BTC378" s="15"/>
      <c r="BTD378" s="15"/>
      <c r="BTE378" s="15"/>
      <c r="BTF378" s="15"/>
      <c r="BTG378" s="15"/>
      <c r="BTH378" s="15"/>
      <c r="BTI378" s="10"/>
      <c r="BTJ378" s="10"/>
      <c r="BTK378" s="21"/>
      <c r="BTL378" s="21"/>
      <c r="BTO378" s="21"/>
      <c r="BTP378" s="15"/>
      <c r="BTQ378" s="15"/>
      <c r="BTR378" s="15"/>
      <c r="BTS378" s="15"/>
      <c r="BTT378" s="15"/>
      <c r="BTU378" s="15"/>
      <c r="BTV378" s="15"/>
      <c r="BTW378" s="15"/>
      <c r="BTX378" s="15"/>
      <c r="BTY378" s="15"/>
      <c r="BTZ378" s="10"/>
      <c r="BUA378" s="10"/>
      <c r="BUB378" s="21"/>
      <c r="BUC378" s="21"/>
      <c r="BUF378" s="21"/>
      <c r="BUG378" s="15"/>
      <c r="BUH378" s="15"/>
      <c r="BUI378" s="15"/>
      <c r="BUJ378" s="15"/>
      <c r="BUK378" s="15"/>
      <c r="BUL378" s="15"/>
      <c r="BUM378" s="15"/>
      <c r="BUN378" s="15"/>
      <c r="BUO378" s="15"/>
      <c r="BUP378" s="15"/>
      <c r="BUQ378" s="10"/>
      <c r="BUR378" s="10"/>
      <c r="BUS378" s="21"/>
      <c r="BUT378" s="21"/>
      <c r="BUW378" s="21"/>
      <c r="BUX378" s="15"/>
      <c r="BUY378" s="15"/>
      <c r="BUZ378" s="15"/>
      <c r="BVA378" s="15"/>
      <c r="BVB378" s="15"/>
      <c r="BVC378" s="15"/>
      <c r="BVD378" s="15"/>
      <c r="BVE378" s="15"/>
      <c r="BVF378" s="15"/>
      <c r="BVG378" s="15"/>
      <c r="BVH378" s="10"/>
      <c r="BVI378" s="10"/>
      <c r="BVJ378" s="21"/>
      <c r="BVK378" s="21"/>
      <c r="BVN378" s="21"/>
      <c r="BVO378" s="15"/>
      <c r="BVP378" s="15"/>
      <c r="BVQ378" s="15"/>
      <c r="BVR378" s="15"/>
      <c r="BVS378" s="15"/>
      <c r="BVT378" s="15"/>
      <c r="BVU378" s="15"/>
      <c r="BVV378" s="15"/>
      <c r="BVW378" s="15"/>
      <c r="BVX378" s="15"/>
      <c r="BVY378" s="10"/>
      <c r="BVZ378" s="10"/>
      <c r="BWA378" s="21"/>
      <c r="BWB378" s="21"/>
      <c r="BWE378" s="21"/>
      <c r="BWF378" s="15"/>
      <c r="BWG378" s="15"/>
      <c r="BWH378" s="15"/>
      <c r="BWI378" s="15"/>
      <c r="BWJ378" s="15"/>
      <c r="BWK378" s="15"/>
      <c r="BWL378" s="15"/>
      <c r="BWM378" s="15"/>
      <c r="BWN378" s="15"/>
      <c r="BWO378" s="15"/>
      <c r="BWP378" s="10"/>
      <c r="BWQ378" s="10"/>
      <c r="BWR378" s="21"/>
      <c r="BWS378" s="21"/>
      <c r="BWV378" s="21"/>
      <c r="BWW378" s="15"/>
      <c r="BWX378" s="15"/>
      <c r="BWY378" s="15"/>
      <c r="BWZ378" s="15"/>
      <c r="BXA378" s="15"/>
      <c r="BXB378" s="15"/>
      <c r="BXC378" s="15"/>
      <c r="BXD378" s="15"/>
      <c r="BXE378" s="15"/>
      <c r="BXF378" s="15"/>
      <c r="BXG378" s="10"/>
      <c r="BXH378" s="10"/>
      <c r="BXI378" s="21"/>
      <c r="BXJ378" s="21"/>
      <c r="BXM378" s="21"/>
      <c r="BXN378" s="15"/>
      <c r="BXO378" s="15"/>
      <c r="BXP378" s="15"/>
      <c r="BXQ378" s="15"/>
      <c r="BXR378" s="15"/>
      <c r="BXS378" s="15"/>
      <c r="BXT378" s="15"/>
      <c r="BXU378" s="15"/>
      <c r="BXV378" s="15"/>
      <c r="BXW378" s="15"/>
      <c r="BXX378" s="10"/>
      <c r="BXY378" s="10"/>
      <c r="BXZ378" s="21"/>
      <c r="BYA378" s="21"/>
      <c r="BYD378" s="21"/>
      <c r="BYE378" s="15"/>
      <c r="BYF378" s="15"/>
      <c r="BYG378" s="15"/>
      <c r="BYH378" s="15"/>
      <c r="BYI378" s="15"/>
      <c r="BYJ378" s="15"/>
      <c r="BYK378" s="15"/>
      <c r="BYL378" s="15"/>
      <c r="BYM378" s="15"/>
      <c r="BYN378" s="15"/>
      <c r="BYO378" s="10"/>
      <c r="BYP378" s="10"/>
      <c r="BYQ378" s="21"/>
      <c r="BYR378" s="21"/>
      <c r="BYU378" s="21"/>
      <c r="BYV378" s="15"/>
      <c r="BYW378" s="15"/>
      <c r="BYX378" s="15"/>
      <c r="BYY378" s="15"/>
      <c r="BYZ378" s="15"/>
      <c r="BZA378" s="15"/>
      <c r="BZB378" s="15"/>
      <c r="BZC378" s="15"/>
      <c r="BZD378" s="15"/>
      <c r="BZE378" s="15"/>
      <c r="BZF378" s="10"/>
      <c r="BZG378" s="10"/>
      <c r="BZH378" s="21"/>
      <c r="BZI378" s="21"/>
      <c r="BZL378" s="21"/>
      <c r="BZM378" s="15"/>
      <c r="BZN378" s="15"/>
      <c r="BZO378" s="15"/>
      <c r="BZP378" s="15"/>
      <c r="BZQ378" s="15"/>
      <c r="BZR378" s="15"/>
      <c r="BZS378" s="15"/>
      <c r="BZT378" s="15"/>
      <c r="BZU378" s="15"/>
      <c r="BZV378" s="15"/>
      <c r="BZW378" s="10"/>
      <c r="BZX378" s="10"/>
      <c r="BZY378" s="21"/>
      <c r="BZZ378" s="21"/>
      <c r="CAC378" s="21"/>
      <c r="CAD378" s="15"/>
      <c r="CAE378" s="15"/>
      <c r="CAF378" s="15"/>
      <c r="CAG378" s="15"/>
      <c r="CAH378" s="15"/>
      <c r="CAI378" s="15"/>
      <c r="CAJ378" s="15"/>
      <c r="CAK378" s="15"/>
      <c r="CAL378" s="15"/>
      <c r="CAM378" s="15"/>
      <c r="CAN378" s="10"/>
      <c r="CAO378" s="10"/>
      <c r="CAP378" s="21"/>
      <c r="CAQ378" s="21"/>
      <c r="CAT378" s="21"/>
      <c r="CAU378" s="15"/>
      <c r="CAV378" s="15"/>
      <c r="CAW378" s="15"/>
      <c r="CAX378" s="15"/>
      <c r="CAY378" s="15"/>
      <c r="CAZ378" s="15"/>
      <c r="CBA378" s="15"/>
      <c r="CBB378" s="15"/>
      <c r="CBC378" s="15"/>
      <c r="CBD378" s="15"/>
      <c r="CBE378" s="10"/>
      <c r="CBF378" s="10"/>
      <c r="CBG378" s="21"/>
      <c r="CBH378" s="21"/>
      <c r="CBK378" s="21"/>
      <c r="CBL378" s="15"/>
      <c r="CBM378" s="15"/>
      <c r="CBN378" s="15"/>
      <c r="CBO378" s="15"/>
      <c r="CBP378" s="15"/>
      <c r="CBQ378" s="15"/>
      <c r="CBR378" s="15"/>
      <c r="CBS378" s="15"/>
      <c r="CBT378" s="15"/>
      <c r="CBU378" s="15"/>
      <c r="CBV378" s="10"/>
      <c r="CBW378" s="10"/>
      <c r="CBX378" s="21"/>
      <c r="CBY378" s="21"/>
      <c r="CCB378" s="21"/>
      <c r="CCC378" s="15"/>
      <c r="CCD378" s="15"/>
      <c r="CCE378" s="15"/>
      <c r="CCF378" s="15"/>
      <c r="CCG378" s="15"/>
      <c r="CCH378" s="15"/>
      <c r="CCI378" s="15"/>
      <c r="CCJ378" s="15"/>
      <c r="CCK378" s="15"/>
      <c r="CCL378" s="15"/>
      <c r="CCM378" s="10"/>
      <c r="CCN378" s="10"/>
      <c r="CCO378" s="21"/>
      <c r="CCP378" s="21"/>
      <c r="CCS378" s="21"/>
      <c r="CCT378" s="15"/>
      <c r="CCU378" s="15"/>
      <c r="CCV378" s="15"/>
      <c r="CCW378" s="15"/>
      <c r="CCX378" s="15"/>
      <c r="CCY378" s="15"/>
      <c r="CCZ378" s="15"/>
      <c r="CDA378" s="15"/>
      <c r="CDB378" s="15"/>
      <c r="CDC378" s="15"/>
      <c r="CDD378" s="10"/>
      <c r="CDE378" s="10"/>
      <c r="CDF378" s="21"/>
      <c r="CDG378" s="21"/>
      <c r="CDJ378" s="21"/>
      <c r="CDK378" s="15"/>
      <c r="CDL378" s="15"/>
      <c r="CDM378" s="15"/>
      <c r="CDN378" s="15"/>
      <c r="CDO378" s="15"/>
      <c r="CDP378" s="15"/>
      <c r="CDQ378" s="15"/>
      <c r="CDR378" s="15"/>
      <c r="CDS378" s="15"/>
      <c r="CDT378" s="15"/>
      <c r="CDU378" s="10"/>
      <c r="CDV378" s="10"/>
      <c r="CDW378" s="21"/>
      <c r="CDX378" s="21"/>
      <c r="CEA378" s="21"/>
      <c r="CEB378" s="15"/>
      <c r="CEC378" s="15"/>
      <c r="CED378" s="15"/>
      <c r="CEE378" s="15"/>
      <c r="CEF378" s="15"/>
      <c r="CEG378" s="15"/>
      <c r="CEH378" s="15"/>
      <c r="CEI378" s="15"/>
      <c r="CEJ378" s="15"/>
      <c r="CEK378" s="15"/>
      <c r="CEL378" s="10"/>
      <c r="CEM378" s="10"/>
      <c r="CEN378" s="21"/>
      <c r="CEO378" s="21"/>
      <c r="CER378" s="21"/>
      <c r="CES378" s="15"/>
      <c r="CET378" s="15"/>
      <c r="CEU378" s="15"/>
      <c r="CEV378" s="15"/>
      <c r="CEW378" s="15"/>
      <c r="CEX378" s="15"/>
      <c r="CEY378" s="15"/>
      <c r="CEZ378" s="15"/>
      <c r="CFA378" s="15"/>
      <c r="CFB378" s="15"/>
      <c r="CFC378" s="10"/>
      <c r="CFD378" s="10"/>
      <c r="CFE378" s="21"/>
      <c r="CFF378" s="21"/>
      <c r="CFI378" s="21"/>
      <c r="CFJ378" s="15"/>
      <c r="CFK378" s="15"/>
      <c r="CFL378" s="15"/>
      <c r="CFM378" s="15"/>
      <c r="CFN378" s="15"/>
      <c r="CFO378" s="15"/>
      <c r="CFP378" s="15"/>
      <c r="CFQ378" s="15"/>
      <c r="CFR378" s="15"/>
      <c r="CFS378" s="15"/>
      <c r="CFT378" s="10"/>
      <c r="CFU378" s="10"/>
      <c r="CFV378" s="21"/>
      <c r="CFW378" s="21"/>
      <c r="CFZ378" s="21"/>
      <c r="CGA378" s="15"/>
      <c r="CGB378" s="15"/>
      <c r="CGC378" s="15"/>
      <c r="CGD378" s="15"/>
      <c r="CGE378" s="15"/>
      <c r="CGF378" s="15"/>
      <c r="CGG378" s="15"/>
      <c r="CGH378" s="15"/>
      <c r="CGI378" s="15"/>
      <c r="CGJ378" s="15"/>
      <c r="CGK378" s="10"/>
      <c r="CGL378" s="10"/>
      <c r="CGM378" s="21"/>
      <c r="CGN378" s="21"/>
      <c r="CGQ378" s="21"/>
      <c r="CGR378" s="15"/>
      <c r="CGS378" s="15"/>
      <c r="CGT378" s="15"/>
      <c r="CGU378" s="15"/>
      <c r="CGV378" s="15"/>
      <c r="CGW378" s="15"/>
      <c r="CGX378" s="15"/>
      <c r="CGY378" s="15"/>
      <c r="CGZ378" s="15"/>
      <c r="CHA378" s="15"/>
      <c r="CHB378" s="10"/>
      <c r="CHC378" s="10"/>
      <c r="CHD378" s="21"/>
      <c r="CHE378" s="21"/>
      <c r="CHH378" s="21"/>
      <c r="CHI378" s="15"/>
      <c r="CHJ378" s="15"/>
      <c r="CHK378" s="15"/>
      <c r="CHL378" s="15"/>
      <c r="CHM378" s="15"/>
      <c r="CHN378" s="15"/>
      <c r="CHO378" s="15"/>
      <c r="CHP378" s="15"/>
      <c r="CHQ378" s="15"/>
      <c r="CHR378" s="15"/>
      <c r="CHS378" s="10"/>
      <c r="CHT378" s="10"/>
      <c r="CHU378" s="21"/>
      <c r="CHV378" s="21"/>
      <c r="CHY378" s="21"/>
      <c r="CHZ378" s="15"/>
      <c r="CIA378" s="15"/>
      <c r="CIB378" s="15"/>
      <c r="CIC378" s="15"/>
      <c r="CID378" s="15"/>
      <c r="CIE378" s="15"/>
      <c r="CIF378" s="15"/>
      <c r="CIG378" s="15"/>
      <c r="CIH378" s="15"/>
      <c r="CII378" s="15"/>
      <c r="CIJ378" s="10"/>
      <c r="CIK378" s="10"/>
      <c r="CIL378" s="21"/>
      <c r="CIM378" s="21"/>
      <c r="CIP378" s="21"/>
      <c r="CIQ378" s="15"/>
      <c r="CIR378" s="15"/>
      <c r="CIS378" s="15"/>
      <c r="CIT378" s="15"/>
      <c r="CIU378" s="15"/>
      <c r="CIV378" s="15"/>
      <c r="CIW378" s="15"/>
      <c r="CIX378" s="15"/>
      <c r="CIY378" s="15"/>
      <c r="CIZ378" s="15"/>
      <c r="CJA378" s="10"/>
      <c r="CJB378" s="10"/>
      <c r="CJC378" s="21"/>
      <c r="CJD378" s="21"/>
      <c r="CJG378" s="21"/>
      <c r="CJH378" s="15"/>
      <c r="CJI378" s="15"/>
      <c r="CJJ378" s="15"/>
      <c r="CJK378" s="15"/>
      <c r="CJL378" s="15"/>
      <c r="CJM378" s="15"/>
      <c r="CJN378" s="15"/>
      <c r="CJO378" s="15"/>
      <c r="CJP378" s="15"/>
      <c r="CJQ378" s="15"/>
      <c r="CJR378" s="10"/>
      <c r="CJS378" s="10"/>
      <c r="CJT378" s="21"/>
      <c r="CJU378" s="21"/>
      <c r="CJX378" s="21"/>
      <c r="CJY378" s="15"/>
      <c r="CJZ378" s="15"/>
      <c r="CKA378" s="15"/>
      <c r="CKB378" s="15"/>
      <c r="CKC378" s="15"/>
      <c r="CKD378" s="15"/>
      <c r="CKE378" s="15"/>
      <c r="CKF378" s="15"/>
      <c r="CKG378" s="15"/>
      <c r="CKH378" s="15"/>
      <c r="CKI378" s="10"/>
      <c r="CKJ378" s="10"/>
      <c r="CKK378" s="21"/>
      <c r="CKL378" s="21"/>
      <c r="CKO378" s="21"/>
      <c r="CKP378" s="15"/>
      <c r="CKQ378" s="15"/>
      <c r="CKR378" s="15"/>
      <c r="CKS378" s="15"/>
      <c r="CKT378" s="15"/>
      <c r="CKU378" s="15"/>
      <c r="CKV378" s="15"/>
      <c r="CKW378" s="15"/>
      <c r="CKX378" s="15"/>
      <c r="CKY378" s="15"/>
      <c r="CKZ378" s="10"/>
      <c r="CLA378" s="10"/>
      <c r="CLB378" s="21"/>
      <c r="CLC378" s="21"/>
      <c r="CLF378" s="21"/>
      <c r="CLG378" s="15"/>
      <c r="CLH378" s="15"/>
      <c r="CLI378" s="15"/>
      <c r="CLJ378" s="15"/>
      <c r="CLK378" s="15"/>
      <c r="CLL378" s="15"/>
      <c r="CLM378" s="15"/>
      <c r="CLN378" s="15"/>
      <c r="CLO378" s="15"/>
      <c r="CLP378" s="15"/>
      <c r="CLQ378" s="10"/>
      <c r="CLR378" s="10"/>
      <c r="CLS378" s="21"/>
      <c r="CLT378" s="21"/>
      <c r="CLW378" s="21"/>
      <c r="CLX378" s="15"/>
      <c r="CLY378" s="15"/>
      <c r="CLZ378" s="15"/>
      <c r="CMA378" s="15"/>
      <c r="CMB378" s="15"/>
      <c r="CMC378" s="15"/>
      <c r="CMD378" s="15"/>
      <c r="CME378" s="15"/>
      <c r="CMF378" s="15"/>
      <c r="CMG378" s="15"/>
      <c r="CMH378" s="10"/>
      <c r="CMI378" s="10"/>
      <c r="CMJ378" s="21"/>
      <c r="CMK378" s="21"/>
      <c r="CMN378" s="21"/>
      <c r="CMO378" s="15"/>
      <c r="CMP378" s="15"/>
      <c r="CMQ378" s="15"/>
      <c r="CMR378" s="15"/>
      <c r="CMS378" s="15"/>
      <c r="CMT378" s="15"/>
      <c r="CMU378" s="15"/>
      <c r="CMV378" s="15"/>
      <c r="CMW378" s="15"/>
      <c r="CMX378" s="15"/>
      <c r="CMY378" s="10"/>
      <c r="CMZ378" s="10"/>
      <c r="CNA378" s="21"/>
      <c r="CNB378" s="21"/>
      <c r="CNE378" s="21"/>
      <c r="CNF378" s="15"/>
      <c r="CNG378" s="15"/>
      <c r="CNH378" s="15"/>
      <c r="CNI378" s="15"/>
      <c r="CNJ378" s="15"/>
      <c r="CNK378" s="15"/>
      <c r="CNL378" s="15"/>
      <c r="CNM378" s="15"/>
      <c r="CNN378" s="15"/>
      <c r="CNO378" s="15"/>
      <c r="CNP378" s="10"/>
      <c r="CNQ378" s="10"/>
      <c r="CNR378" s="21"/>
      <c r="CNS378" s="21"/>
      <c r="CNV378" s="21"/>
      <c r="CNW378" s="15"/>
      <c r="CNX378" s="15"/>
      <c r="CNY378" s="15"/>
      <c r="CNZ378" s="15"/>
      <c r="COA378" s="15"/>
      <c r="COB378" s="15"/>
      <c r="COC378" s="15"/>
      <c r="COD378" s="15"/>
      <c r="COE378" s="15"/>
      <c r="COF378" s="15"/>
      <c r="COG378" s="10"/>
      <c r="COH378" s="10"/>
      <c r="COI378" s="21"/>
      <c r="COJ378" s="21"/>
      <c r="COM378" s="21"/>
      <c r="CON378" s="15"/>
      <c r="COO378" s="15"/>
      <c r="COP378" s="15"/>
      <c r="COQ378" s="15"/>
      <c r="COR378" s="15"/>
      <c r="COS378" s="15"/>
      <c r="COT378" s="15"/>
      <c r="COU378" s="15"/>
      <c r="COV378" s="15"/>
      <c r="COW378" s="15"/>
      <c r="COX378" s="10"/>
      <c r="COY378" s="10"/>
      <c r="COZ378" s="21"/>
      <c r="CPA378" s="21"/>
      <c r="CPD378" s="21"/>
      <c r="CPE378" s="15"/>
      <c r="CPF378" s="15"/>
      <c r="CPG378" s="15"/>
      <c r="CPH378" s="15"/>
      <c r="CPI378" s="15"/>
      <c r="CPJ378" s="15"/>
      <c r="CPK378" s="15"/>
      <c r="CPL378" s="15"/>
      <c r="CPM378" s="15"/>
      <c r="CPN378" s="15"/>
      <c r="CPO378" s="10"/>
      <c r="CPP378" s="10"/>
      <c r="CPQ378" s="21"/>
      <c r="CPR378" s="21"/>
      <c r="CPU378" s="21"/>
      <c r="CPV378" s="15"/>
      <c r="CPW378" s="15"/>
      <c r="CPX378" s="15"/>
      <c r="CPY378" s="15"/>
      <c r="CPZ378" s="15"/>
      <c r="CQA378" s="15"/>
      <c r="CQB378" s="15"/>
      <c r="CQC378" s="15"/>
      <c r="CQD378" s="15"/>
      <c r="CQE378" s="15"/>
      <c r="CQF378" s="10"/>
      <c r="CQG378" s="10"/>
      <c r="CQH378" s="21"/>
      <c r="CQI378" s="21"/>
      <c r="CQL378" s="21"/>
      <c r="CQM378" s="15"/>
      <c r="CQN378" s="15"/>
      <c r="CQO378" s="15"/>
      <c r="CQP378" s="15"/>
      <c r="CQQ378" s="15"/>
      <c r="CQR378" s="15"/>
      <c r="CQS378" s="15"/>
      <c r="CQT378" s="15"/>
      <c r="CQU378" s="15"/>
      <c r="CQV378" s="15"/>
      <c r="CQW378" s="10"/>
      <c r="CQX378" s="10"/>
      <c r="CQY378" s="21"/>
      <c r="CQZ378" s="21"/>
      <c r="CRC378" s="21"/>
      <c r="CRD378" s="15"/>
      <c r="CRE378" s="15"/>
      <c r="CRF378" s="15"/>
      <c r="CRG378" s="15"/>
      <c r="CRH378" s="15"/>
      <c r="CRI378" s="15"/>
      <c r="CRJ378" s="15"/>
      <c r="CRK378" s="15"/>
      <c r="CRL378" s="15"/>
      <c r="CRM378" s="15"/>
      <c r="CRN378" s="10"/>
      <c r="CRO378" s="10"/>
      <c r="CRP378" s="21"/>
      <c r="CRQ378" s="21"/>
      <c r="CRT378" s="21"/>
      <c r="CRU378" s="15"/>
      <c r="CRV378" s="15"/>
      <c r="CRW378" s="15"/>
      <c r="CRX378" s="15"/>
      <c r="CRY378" s="15"/>
      <c r="CRZ378" s="15"/>
      <c r="CSA378" s="15"/>
      <c r="CSB378" s="15"/>
      <c r="CSC378" s="15"/>
      <c r="CSD378" s="15"/>
      <c r="CSE378" s="10"/>
      <c r="CSF378" s="10"/>
      <c r="CSG378" s="21"/>
      <c r="CSH378" s="21"/>
      <c r="CSK378" s="21"/>
      <c r="CSL378" s="15"/>
      <c r="CSM378" s="15"/>
      <c r="CSN378" s="15"/>
      <c r="CSO378" s="15"/>
      <c r="CSP378" s="15"/>
      <c r="CSQ378" s="15"/>
      <c r="CSR378" s="15"/>
      <c r="CSS378" s="15"/>
      <c r="CST378" s="15"/>
      <c r="CSU378" s="15"/>
      <c r="CSV378" s="10"/>
      <c r="CSW378" s="10"/>
      <c r="CSX378" s="21"/>
      <c r="CSY378" s="21"/>
      <c r="CTB378" s="21"/>
      <c r="CTC378" s="15"/>
      <c r="CTD378" s="15"/>
      <c r="CTE378" s="15"/>
      <c r="CTF378" s="15"/>
      <c r="CTG378" s="15"/>
      <c r="CTH378" s="15"/>
      <c r="CTI378" s="15"/>
      <c r="CTJ378" s="15"/>
      <c r="CTK378" s="15"/>
      <c r="CTL378" s="15"/>
      <c r="CTM378" s="10"/>
      <c r="CTN378" s="10"/>
      <c r="CTO378" s="21"/>
      <c r="CTP378" s="21"/>
      <c r="CTS378" s="21"/>
      <c r="CTT378" s="15"/>
      <c r="CTU378" s="15"/>
      <c r="CTV378" s="15"/>
      <c r="CTW378" s="15"/>
      <c r="CTX378" s="15"/>
      <c r="CTY378" s="15"/>
      <c r="CTZ378" s="15"/>
      <c r="CUA378" s="15"/>
      <c r="CUB378" s="15"/>
      <c r="CUC378" s="15"/>
      <c r="CUD378" s="10"/>
      <c r="CUE378" s="10"/>
      <c r="CUF378" s="21"/>
      <c r="CUG378" s="21"/>
      <c r="CUJ378" s="21"/>
      <c r="CUK378" s="15"/>
      <c r="CUL378" s="15"/>
      <c r="CUM378" s="15"/>
      <c r="CUN378" s="15"/>
      <c r="CUO378" s="15"/>
      <c r="CUP378" s="15"/>
      <c r="CUQ378" s="15"/>
      <c r="CUR378" s="15"/>
      <c r="CUS378" s="15"/>
      <c r="CUT378" s="15"/>
      <c r="CUU378" s="10"/>
      <c r="CUV378" s="10"/>
      <c r="CUW378" s="21"/>
      <c r="CUX378" s="21"/>
      <c r="CVA378" s="21"/>
      <c r="CVB378" s="15"/>
      <c r="CVC378" s="15"/>
      <c r="CVD378" s="15"/>
      <c r="CVE378" s="15"/>
      <c r="CVF378" s="15"/>
      <c r="CVG378" s="15"/>
      <c r="CVH378" s="15"/>
      <c r="CVI378" s="15"/>
      <c r="CVJ378" s="15"/>
      <c r="CVK378" s="15"/>
      <c r="CVL378" s="10"/>
      <c r="CVM378" s="10"/>
      <c r="CVN378" s="21"/>
      <c r="CVO378" s="21"/>
      <c r="CVR378" s="21"/>
      <c r="CVS378" s="15"/>
      <c r="CVT378" s="15"/>
      <c r="CVU378" s="15"/>
      <c r="CVV378" s="15"/>
      <c r="CVW378" s="15"/>
      <c r="CVX378" s="15"/>
      <c r="CVY378" s="15"/>
      <c r="CVZ378" s="15"/>
      <c r="CWA378" s="15"/>
      <c r="CWB378" s="15"/>
      <c r="CWC378" s="10"/>
      <c r="CWD378" s="10"/>
      <c r="CWE378" s="21"/>
      <c r="CWF378" s="21"/>
      <c r="CWI378" s="21"/>
      <c r="CWJ378" s="15"/>
      <c r="CWK378" s="15"/>
      <c r="CWL378" s="15"/>
      <c r="CWM378" s="15"/>
      <c r="CWN378" s="15"/>
      <c r="CWO378" s="15"/>
      <c r="CWP378" s="15"/>
      <c r="CWQ378" s="15"/>
      <c r="CWR378" s="15"/>
      <c r="CWS378" s="15"/>
      <c r="CWT378" s="10"/>
      <c r="CWU378" s="10"/>
      <c r="CWV378" s="21"/>
      <c r="CWW378" s="21"/>
      <c r="CWZ378" s="21"/>
      <c r="CXA378" s="15"/>
      <c r="CXB378" s="15"/>
      <c r="CXC378" s="15"/>
      <c r="CXD378" s="15"/>
      <c r="CXE378" s="15"/>
      <c r="CXF378" s="15"/>
      <c r="CXG378" s="15"/>
      <c r="CXH378" s="15"/>
      <c r="CXI378" s="15"/>
      <c r="CXJ378" s="15"/>
      <c r="CXK378" s="10"/>
      <c r="CXL378" s="10"/>
      <c r="CXM378" s="21"/>
      <c r="CXN378" s="21"/>
      <c r="CXQ378" s="21"/>
      <c r="CXR378" s="15"/>
      <c r="CXS378" s="15"/>
      <c r="CXT378" s="15"/>
      <c r="CXU378" s="15"/>
      <c r="CXV378" s="15"/>
      <c r="CXW378" s="15"/>
      <c r="CXX378" s="15"/>
      <c r="CXY378" s="15"/>
      <c r="CXZ378" s="15"/>
      <c r="CYA378" s="15"/>
      <c r="CYB378" s="10"/>
      <c r="CYC378" s="10"/>
      <c r="CYD378" s="21"/>
      <c r="CYE378" s="21"/>
      <c r="CYH378" s="21"/>
      <c r="CYI378" s="15"/>
      <c r="CYJ378" s="15"/>
      <c r="CYK378" s="15"/>
      <c r="CYL378" s="15"/>
      <c r="CYM378" s="15"/>
      <c r="CYN378" s="15"/>
      <c r="CYO378" s="15"/>
      <c r="CYP378" s="15"/>
      <c r="CYQ378" s="15"/>
      <c r="CYR378" s="15"/>
      <c r="CYS378" s="10"/>
      <c r="CYT378" s="10"/>
      <c r="CYU378" s="21"/>
      <c r="CYV378" s="21"/>
      <c r="CYY378" s="21"/>
      <c r="CYZ378" s="15"/>
      <c r="CZA378" s="15"/>
      <c r="CZB378" s="15"/>
      <c r="CZC378" s="15"/>
      <c r="CZD378" s="15"/>
      <c r="CZE378" s="15"/>
      <c r="CZF378" s="15"/>
      <c r="CZG378" s="15"/>
      <c r="CZH378" s="15"/>
      <c r="CZI378" s="15"/>
      <c r="CZJ378" s="10"/>
      <c r="CZK378" s="10"/>
      <c r="CZL378" s="21"/>
      <c r="CZM378" s="21"/>
      <c r="CZP378" s="21"/>
      <c r="CZQ378" s="15"/>
      <c r="CZR378" s="15"/>
      <c r="CZS378" s="15"/>
      <c r="CZT378" s="15"/>
      <c r="CZU378" s="15"/>
      <c r="CZV378" s="15"/>
      <c r="CZW378" s="15"/>
      <c r="CZX378" s="15"/>
      <c r="CZY378" s="15"/>
      <c r="CZZ378" s="15"/>
      <c r="DAA378" s="10"/>
      <c r="DAB378" s="10"/>
      <c r="DAC378" s="21"/>
      <c r="DAD378" s="21"/>
      <c r="DAG378" s="21"/>
      <c r="DAH378" s="15"/>
      <c r="DAI378" s="15"/>
      <c r="DAJ378" s="15"/>
      <c r="DAK378" s="15"/>
      <c r="DAL378" s="15"/>
      <c r="DAM378" s="15"/>
      <c r="DAN378" s="15"/>
      <c r="DAO378" s="15"/>
      <c r="DAP378" s="15"/>
      <c r="DAQ378" s="15"/>
      <c r="DAR378" s="10"/>
      <c r="DAS378" s="10"/>
      <c r="DAT378" s="21"/>
      <c r="DAU378" s="21"/>
      <c r="DAX378" s="21"/>
      <c r="DAY378" s="15"/>
      <c r="DAZ378" s="15"/>
      <c r="DBA378" s="15"/>
      <c r="DBB378" s="15"/>
      <c r="DBC378" s="15"/>
      <c r="DBD378" s="15"/>
      <c r="DBE378" s="15"/>
      <c r="DBF378" s="15"/>
      <c r="DBG378" s="15"/>
      <c r="DBH378" s="15"/>
      <c r="DBI378" s="10"/>
      <c r="DBJ378" s="10"/>
      <c r="DBK378" s="21"/>
      <c r="DBL378" s="21"/>
      <c r="DBO378" s="21"/>
      <c r="DBP378" s="15"/>
      <c r="DBQ378" s="15"/>
      <c r="DBR378" s="15"/>
      <c r="DBS378" s="15"/>
      <c r="DBT378" s="15"/>
      <c r="DBU378" s="15"/>
      <c r="DBV378" s="15"/>
      <c r="DBW378" s="15"/>
      <c r="DBX378" s="15"/>
      <c r="DBY378" s="15"/>
      <c r="DBZ378" s="10"/>
      <c r="DCA378" s="10"/>
      <c r="DCB378" s="21"/>
      <c r="DCC378" s="21"/>
      <c r="DCF378" s="21"/>
      <c r="DCG378" s="15"/>
      <c r="DCH378" s="15"/>
      <c r="DCI378" s="15"/>
      <c r="DCJ378" s="15"/>
      <c r="DCK378" s="15"/>
      <c r="DCL378" s="15"/>
      <c r="DCM378" s="15"/>
      <c r="DCN378" s="15"/>
      <c r="DCO378" s="15"/>
      <c r="DCP378" s="15"/>
      <c r="DCQ378" s="10"/>
      <c r="DCR378" s="10"/>
      <c r="DCS378" s="21"/>
      <c r="DCT378" s="21"/>
      <c r="DCW378" s="21"/>
      <c r="DCX378" s="15"/>
      <c r="DCY378" s="15"/>
      <c r="DCZ378" s="15"/>
      <c r="DDA378" s="15"/>
      <c r="DDB378" s="15"/>
      <c r="DDC378" s="15"/>
      <c r="DDD378" s="15"/>
      <c r="DDE378" s="15"/>
      <c r="DDF378" s="15"/>
      <c r="DDG378" s="15"/>
      <c r="DDH378" s="10"/>
      <c r="DDI378" s="10"/>
      <c r="DDJ378" s="21"/>
      <c r="DDK378" s="21"/>
      <c r="DDN378" s="21"/>
      <c r="DDO378" s="15"/>
      <c r="DDP378" s="15"/>
      <c r="DDQ378" s="15"/>
      <c r="DDR378" s="15"/>
      <c r="DDS378" s="15"/>
      <c r="DDT378" s="15"/>
      <c r="DDU378" s="15"/>
      <c r="DDV378" s="15"/>
      <c r="DDW378" s="15"/>
      <c r="DDX378" s="15"/>
      <c r="DDY378" s="10"/>
      <c r="DDZ378" s="10"/>
      <c r="DEA378" s="21"/>
      <c r="DEB378" s="21"/>
      <c r="DEE378" s="21"/>
      <c r="DEF378" s="15"/>
      <c r="DEG378" s="15"/>
      <c r="DEH378" s="15"/>
      <c r="DEI378" s="15"/>
      <c r="DEJ378" s="15"/>
      <c r="DEK378" s="15"/>
      <c r="DEL378" s="15"/>
      <c r="DEM378" s="15"/>
      <c r="DEN378" s="15"/>
      <c r="DEO378" s="15"/>
      <c r="DEP378" s="10"/>
      <c r="DEQ378" s="10"/>
      <c r="DER378" s="21"/>
      <c r="DES378" s="21"/>
      <c r="DEV378" s="21"/>
      <c r="DEW378" s="15"/>
      <c r="DEX378" s="15"/>
      <c r="DEY378" s="15"/>
      <c r="DEZ378" s="15"/>
      <c r="DFA378" s="15"/>
      <c r="DFB378" s="15"/>
      <c r="DFC378" s="15"/>
      <c r="DFD378" s="15"/>
      <c r="DFE378" s="15"/>
      <c r="DFF378" s="15"/>
      <c r="DFG378" s="10"/>
      <c r="DFH378" s="10"/>
      <c r="DFI378" s="21"/>
      <c r="DFJ378" s="21"/>
      <c r="DFM378" s="21"/>
      <c r="DFN378" s="15"/>
      <c r="DFO378" s="15"/>
      <c r="DFP378" s="15"/>
      <c r="DFQ378" s="15"/>
      <c r="DFR378" s="15"/>
      <c r="DFS378" s="15"/>
      <c r="DFT378" s="15"/>
      <c r="DFU378" s="15"/>
      <c r="DFV378" s="15"/>
      <c r="DFW378" s="15"/>
      <c r="DFX378" s="10"/>
      <c r="DFY378" s="10"/>
      <c r="DFZ378" s="21"/>
      <c r="DGA378" s="21"/>
      <c r="DGD378" s="21"/>
      <c r="DGE378" s="15"/>
      <c r="DGF378" s="15"/>
      <c r="DGG378" s="15"/>
      <c r="DGH378" s="15"/>
      <c r="DGI378" s="15"/>
      <c r="DGJ378" s="15"/>
      <c r="DGK378" s="15"/>
      <c r="DGL378" s="15"/>
      <c r="DGM378" s="15"/>
      <c r="DGN378" s="15"/>
      <c r="DGO378" s="10"/>
      <c r="DGP378" s="10"/>
      <c r="DGQ378" s="21"/>
      <c r="DGR378" s="21"/>
      <c r="DGU378" s="21"/>
      <c r="DGV378" s="15"/>
      <c r="DGW378" s="15"/>
      <c r="DGX378" s="15"/>
      <c r="DGY378" s="15"/>
      <c r="DGZ378" s="15"/>
      <c r="DHA378" s="15"/>
      <c r="DHB378" s="15"/>
      <c r="DHC378" s="15"/>
      <c r="DHD378" s="15"/>
      <c r="DHE378" s="15"/>
      <c r="DHF378" s="10"/>
      <c r="DHG378" s="10"/>
      <c r="DHH378" s="21"/>
      <c r="DHI378" s="21"/>
      <c r="DHL378" s="21"/>
      <c r="DHM378" s="15"/>
      <c r="DHN378" s="15"/>
      <c r="DHO378" s="15"/>
      <c r="DHP378" s="15"/>
      <c r="DHQ378" s="15"/>
      <c r="DHR378" s="15"/>
      <c r="DHS378" s="15"/>
      <c r="DHT378" s="15"/>
      <c r="DHU378" s="15"/>
      <c r="DHV378" s="15"/>
      <c r="DHW378" s="10"/>
      <c r="DHX378" s="10"/>
      <c r="DHY378" s="21"/>
      <c r="DHZ378" s="21"/>
      <c r="DIC378" s="21"/>
      <c r="DID378" s="15"/>
      <c r="DIE378" s="15"/>
      <c r="DIF378" s="15"/>
      <c r="DIG378" s="15"/>
      <c r="DIH378" s="15"/>
      <c r="DII378" s="15"/>
      <c r="DIJ378" s="15"/>
      <c r="DIK378" s="15"/>
      <c r="DIL378" s="15"/>
      <c r="DIM378" s="15"/>
      <c r="DIN378" s="10"/>
      <c r="DIO378" s="10"/>
      <c r="DIP378" s="21"/>
      <c r="DIQ378" s="21"/>
      <c r="DIT378" s="21"/>
      <c r="DIU378" s="15"/>
      <c r="DIV378" s="15"/>
      <c r="DIW378" s="15"/>
      <c r="DIX378" s="15"/>
      <c r="DIY378" s="15"/>
      <c r="DIZ378" s="15"/>
      <c r="DJA378" s="15"/>
      <c r="DJB378" s="15"/>
      <c r="DJC378" s="15"/>
      <c r="DJD378" s="15"/>
      <c r="DJE378" s="10"/>
      <c r="DJF378" s="10"/>
      <c r="DJG378" s="21"/>
      <c r="DJH378" s="21"/>
      <c r="DJK378" s="21"/>
      <c r="DJL378" s="15"/>
      <c r="DJM378" s="15"/>
      <c r="DJN378" s="15"/>
      <c r="DJO378" s="15"/>
      <c r="DJP378" s="15"/>
      <c r="DJQ378" s="15"/>
      <c r="DJR378" s="15"/>
      <c r="DJS378" s="15"/>
      <c r="DJT378" s="15"/>
      <c r="DJU378" s="15"/>
      <c r="DJV378" s="10"/>
      <c r="DJW378" s="10"/>
      <c r="DJX378" s="21"/>
      <c r="DJY378" s="21"/>
      <c r="DKB378" s="21"/>
      <c r="DKC378" s="15"/>
      <c r="DKD378" s="15"/>
      <c r="DKE378" s="15"/>
      <c r="DKF378" s="15"/>
      <c r="DKG378" s="15"/>
      <c r="DKH378" s="15"/>
      <c r="DKI378" s="15"/>
      <c r="DKJ378" s="15"/>
      <c r="DKK378" s="15"/>
      <c r="DKL378" s="15"/>
      <c r="DKM378" s="10"/>
      <c r="DKN378" s="10"/>
      <c r="DKO378" s="21"/>
      <c r="DKP378" s="21"/>
      <c r="DKS378" s="21"/>
      <c r="DKT378" s="15"/>
      <c r="DKU378" s="15"/>
      <c r="DKV378" s="15"/>
      <c r="DKW378" s="15"/>
      <c r="DKX378" s="15"/>
      <c r="DKY378" s="15"/>
      <c r="DKZ378" s="15"/>
      <c r="DLA378" s="15"/>
      <c r="DLB378" s="15"/>
      <c r="DLC378" s="15"/>
      <c r="DLD378" s="10"/>
      <c r="DLE378" s="10"/>
      <c r="DLF378" s="21"/>
      <c r="DLG378" s="21"/>
      <c r="DLJ378" s="21"/>
      <c r="DLK378" s="15"/>
      <c r="DLL378" s="15"/>
      <c r="DLM378" s="15"/>
      <c r="DLN378" s="15"/>
      <c r="DLO378" s="15"/>
      <c r="DLP378" s="15"/>
      <c r="DLQ378" s="15"/>
      <c r="DLR378" s="15"/>
      <c r="DLS378" s="15"/>
      <c r="DLT378" s="15"/>
      <c r="DLU378" s="10"/>
      <c r="DLV378" s="10"/>
      <c r="DLW378" s="21"/>
      <c r="DLX378" s="21"/>
      <c r="DMA378" s="21"/>
      <c r="DMB378" s="15"/>
      <c r="DMC378" s="15"/>
      <c r="DMD378" s="15"/>
      <c r="DME378" s="15"/>
      <c r="DMF378" s="15"/>
      <c r="DMG378" s="15"/>
      <c r="DMH378" s="15"/>
      <c r="DMI378" s="15"/>
      <c r="DMJ378" s="15"/>
      <c r="DMK378" s="15"/>
      <c r="DML378" s="10"/>
      <c r="DMM378" s="10"/>
      <c r="DMN378" s="21"/>
      <c r="DMO378" s="21"/>
      <c r="DMR378" s="21"/>
      <c r="DMS378" s="15"/>
      <c r="DMT378" s="15"/>
      <c r="DMU378" s="15"/>
      <c r="DMV378" s="15"/>
      <c r="DMW378" s="15"/>
      <c r="DMX378" s="15"/>
      <c r="DMY378" s="15"/>
      <c r="DMZ378" s="15"/>
      <c r="DNA378" s="15"/>
      <c r="DNB378" s="15"/>
      <c r="DNC378" s="10"/>
      <c r="DND378" s="10"/>
      <c r="DNE378" s="21"/>
      <c r="DNF378" s="21"/>
      <c r="DNI378" s="21"/>
      <c r="DNJ378" s="15"/>
      <c r="DNK378" s="15"/>
      <c r="DNL378" s="15"/>
      <c r="DNM378" s="15"/>
      <c r="DNN378" s="15"/>
      <c r="DNO378" s="15"/>
      <c r="DNP378" s="15"/>
      <c r="DNQ378" s="15"/>
      <c r="DNR378" s="15"/>
      <c r="DNS378" s="15"/>
      <c r="DNT378" s="10"/>
      <c r="DNU378" s="10"/>
      <c r="DNV378" s="21"/>
      <c r="DNW378" s="21"/>
      <c r="DNZ378" s="21"/>
      <c r="DOA378" s="15"/>
      <c r="DOB378" s="15"/>
      <c r="DOC378" s="15"/>
      <c r="DOD378" s="15"/>
      <c r="DOE378" s="15"/>
      <c r="DOF378" s="15"/>
      <c r="DOG378" s="15"/>
      <c r="DOH378" s="15"/>
      <c r="DOI378" s="15"/>
      <c r="DOJ378" s="15"/>
      <c r="DOK378" s="10"/>
      <c r="DOL378" s="10"/>
      <c r="DOM378" s="21"/>
      <c r="DON378" s="21"/>
      <c r="DOQ378" s="21"/>
      <c r="DOR378" s="15"/>
      <c r="DOS378" s="15"/>
      <c r="DOT378" s="15"/>
      <c r="DOU378" s="15"/>
      <c r="DOV378" s="15"/>
      <c r="DOW378" s="15"/>
      <c r="DOX378" s="15"/>
      <c r="DOY378" s="15"/>
      <c r="DOZ378" s="15"/>
      <c r="DPA378" s="15"/>
      <c r="DPB378" s="10"/>
      <c r="DPC378" s="10"/>
      <c r="DPD378" s="21"/>
      <c r="DPE378" s="21"/>
      <c r="DPH378" s="21"/>
      <c r="DPI378" s="15"/>
      <c r="DPJ378" s="15"/>
      <c r="DPK378" s="15"/>
      <c r="DPL378" s="15"/>
      <c r="DPM378" s="15"/>
      <c r="DPN378" s="15"/>
      <c r="DPO378" s="15"/>
      <c r="DPP378" s="15"/>
      <c r="DPQ378" s="15"/>
      <c r="DPR378" s="15"/>
      <c r="DPS378" s="10"/>
      <c r="DPT378" s="10"/>
      <c r="DPU378" s="21"/>
      <c r="DPV378" s="21"/>
      <c r="DPY378" s="21"/>
      <c r="DPZ378" s="15"/>
      <c r="DQA378" s="15"/>
      <c r="DQB378" s="15"/>
      <c r="DQC378" s="15"/>
      <c r="DQD378" s="15"/>
      <c r="DQE378" s="15"/>
      <c r="DQF378" s="15"/>
      <c r="DQG378" s="15"/>
      <c r="DQH378" s="15"/>
      <c r="DQI378" s="15"/>
      <c r="DQJ378" s="10"/>
      <c r="DQK378" s="10"/>
      <c r="DQL378" s="21"/>
      <c r="DQM378" s="21"/>
      <c r="DQP378" s="21"/>
      <c r="DQQ378" s="15"/>
      <c r="DQR378" s="15"/>
      <c r="DQS378" s="15"/>
      <c r="DQT378" s="15"/>
      <c r="DQU378" s="15"/>
      <c r="DQV378" s="15"/>
      <c r="DQW378" s="15"/>
      <c r="DQX378" s="15"/>
      <c r="DQY378" s="15"/>
      <c r="DQZ378" s="15"/>
      <c r="DRA378" s="10"/>
      <c r="DRB378" s="10"/>
      <c r="DRC378" s="21"/>
      <c r="DRD378" s="21"/>
      <c r="DRG378" s="21"/>
      <c r="DRH378" s="15"/>
      <c r="DRI378" s="15"/>
      <c r="DRJ378" s="15"/>
      <c r="DRK378" s="15"/>
      <c r="DRL378" s="15"/>
      <c r="DRM378" s="15"/>
      <c r="DRN378" s="15"/>
      <c r="DRO378" s="15"/>
      <c r="DRP378" s="15"/>
      <c r="DRQ378" s="15"/>
      <c r="DRR378" s="10"/>
      <c r="DRS378" s="10"/>
      <c r="DRT378" s="21"/>
      <c r="DRU378" s="21"/>
      <c r="DRX378" s="21"/>
      <c r="DRY378" s="15"/>
      <c r="DRZ378" s="15"/>
      <c r="DSA378" s="15"/>
      <c r="DSB378" s="15"/>
      <c r="DSC378" s="15"/>
      <c r="DSD378" s="15"/>
      <c r="DSE378" s="15"/>
      <c r="DSF378" s="15"/>
      <c r="DSG378" s="15"/>
      <c r="DSH378" s="15"/>
      <c r="DSI378" s="10"/>
      <c r="DSJ378" s="10"/>
      <c r="DSK378" s="21"/>
      <c r="DSL378" s="21"/>
      <c r="DSO378" s="21"/>
      <c r="DSP378" s="15"/>
      <c r="DSQ378" s="15"/>
      <c r="DSR378" s="15"/>
      <c r="DSS378" s="15"/>
      <c r="DST378" s="15"/>
      <c r="DSU378" s="15"/>
      <c r="DSV378" s="15"/>
      <c r="DSW378" s="15"/>
      <c r="DSX378" s="15"/>
      <c r="DSY378" s="15"/>
      <c r="DSZ378" s="10"/>
      <c r="DTA378" s="10"/>
      <c r="DTB378" s="21"/>
      <c r="DTC378" s="21"/>
      <c r="DTF378" s="21"/>
      <c r="DTG378" s="15"/>
      <c r="DTH378" s="15"/>
      <c r="DTI378" s="15"/>
      <c r="DTJ378" s="15"/>
      <c r="DTK378" s="15"/>
      <c r="DTL378" s="15"/>
      <c r="DTM378" s="15"/>
      <c r="DTN378" s="15"/>
      <c r="DTO378" s="15"/>
      <c r="DTP378" s="15"/>
      <c r="DTQ378" s="10"/>
      <c r="DTR378" s="10"/>
      <c r="DTS378" s="21"/>
      <c r="DTT378" s="21"/>
      <c r="DTW378" s="21"/>
      <c r="DTX378" s="15"/>
      <c r="DTY378" s="15"/>
      <c r="DTZ378" s="15"/>
      <c r="DUA378" s="15"/>
      <c r="DUB378" s="15"/>
      <c r="DUC378" s="15"/>
      <c r="DUD378" s="15"/>
      <c r="DUE378" s="15"/>
      <c r="DUF378" s="15"/>
      <c r="DUG378" s="15"/>
      <c r="DUH378" s="10"/>
      <c r="DUI378" s="10"/>
      <c r="DUJ378" s="21"/>
      <c r="DUK378" s="21"/>
      <c r="DUN378" s="21"/>
      <c r="DUO378" s="15"/>
      <c r="DUP378" s="15"/>
      <c r="DUQ378" s="15"/>
      <c r="DUR378" s="15"/>
      <c r="DUS378" s="15"/>
      <c r="DUT378" s="15"/>
      <c r="DUU378" s="15"/>
      <c r="DUV378" s="15"/>
      <c r="DUW378" s="15"/>
      <c r="DUX378" s="15"/>
      <c r="DUY378" s="10"/>
      <c r="DUZ378" s="10"/>
      <c r="DVA378" s="21"/>
      <c r="DVB378" s="21"/>
      <c r="DVE378" s="21"/>
      <c r="DVF378" s="15"/>
      <c r="DVG378" s="15"/>
      <c r="DVH378" s="15"/>
      <c r="DVI378" s="15"/>
      <c r="DVJ378" s="15"/>
      <c r="DVK378" s="15"/>
      <c r="DVL378" s="15"/>
      <c r="DVM378" s="15"/>
      <c r="DVN378" s="15"/>
      <c r="DVO378" s="15"/>
      <c r="DVP378" s="10"/>
      <c r="DVQ378" s="10"/>
      <c r="DVR378" s="21"/>
      <c r="DVS378" s="21"/>
      <c r="DVV378" s="21"/>
      <c r="DVW378" s="15"/>
      <c r="DVX378" s="15"/>
      <c r="DVY378" s="15"/>
      <c r="DVZ378" s="15"/>
      <c r="DWA378" s="15"/>
      <c r="DWB378" s="15"/>
      <c r="DWC378" s="15"/>
      <c r="DWD378" s="15"/>
      <c r="DWE378" s="15"/>
      <c r="DWF378" s="15"/>
      <c r="DWG378" s="10"/>
      <c r="DWH378" s="10"/>
      <c r="DWI378" s="21"/>
      <c r="DWJ378" s="21"/>
      <c r="DWM378" s="21"/>
      <c r="DWN378" s="15"/>
      <c r="DWO378" s="15"/>
      <c r="DWP378" s="15"/>
      <c r="DWQ378" s="15"/>
      <c r="DWR378" s="15"/>
      <c r="DWS378" s="15"/>
      <c r="DWT378" s="15"/>
      <c r="DWU378" s="15"/>
      <c r="DWV378" s="15"/>
      <c r="DWW378" s="15"/>
      <c r="DWX378" s="10"/>
      <c r="DWY378" s="10"/>
      <c r="DWZ378" s="21"/>
      <c r="DXA378" s="21"/>
      <c r="DXD378" s="21"/>
      <c r="DXE378" s="15"/>
      <c r="DXF378" s="15"/>
      <c r="DXG378" s="15"/>
      <c r="DXH378" s="15"/>
      <c r="DXI378" s="15"/>
      <c r="DXJ378" s="15"/>
      <c r="DXK378" s="15"/>
      <c r="DXL378" s="15"/>
      <c r="DXM378" s="15"/>
      <c r="DXN378" s="15"/>
      <c r="DXO378" s="10"/>
      <c r="DXP378" s="10"/>
      <c r="DXQ378" s="21"/>
      <c r="DXR378" s="21"/>
      <c r="DXU378" s="21"/>
      <c r="DXV378" s="15"/>
      <c r="DXW378" s="15"/>
      <c r="DXX378" s="15"/>
      <c r="DXY378" s="15"/>
      <c r="DXZ378" s="15"/>
      <c r="DYA378" s="15"/>
      <c r="DYB378" s="15"/>
      <c r="DYC378" s="15"/>
      <c r="DYD378" s="15"/>
      <c r="DYE378" s="15"/>
      <c r="DYF378" s="10"/>
      <c r="DYG378" s="10"/>
      <c r="DYH378" s="21"/>
      <c r="DYI378" s="21"/>
      <c r="DYL378" s="21"/>
      <c r="DYM378" s="15"/>
      <c r="DYN378" s="15"/>
      <c r="DYO378" s="15"/>
      <c r="DYP378" s="15"/>
      <c r="DYQ378" s="15"/>
      <c r="DYR378" s="15"/>
      <c r="DYS378" s="15"/>
      <c r="DYT378" s="15"/>
      <c r="DYU378" s="15"/>
      <c r="DYV378" s="15"/>
      <c r="DYW378" s="10"/>
      <c r="DYX378" s="10"/>
      <c r="DYY378" s="21"/>
      <c r="DYZ378" s="21"/>
      <c r="DZC378" s="21"/>
      <c r="DZD378" s="15"/>
      <c r="DZE378" s="15"/>
      <c r="DZF378" s="15"/>
      <c r="DZG378" s="15"/>
      <c r="DZH378" s="15"/>
      <c r="DZI378" s="15"/>
      <c r="DZJ378" s="15"/>
      <c r="DZK378" s="15"/>
      <c r="DZL378" s="15"/>
      <c r="DZM378" s="15"/>
      <c r="DZN378" s="10"/>
      <c r="DZO378" s="10"/>
      <c r="DZP378" s="21"/>
      <c r="DZQ378" s="21"/>
      <c r="DZT378" s="21"/>
      <c r="DZU378" s="15"/>
      <c r="DZV378" s="15"/>
      <c r="DZW378" s="15"/>
      <c r="DZX378" s="15"/>
      <c r="DZY378" s="15"/>
      <c r="DZZ378" s="15"/>
      <c r="EAA378" s="15"/>
      <c r="EAB378" s="15"/>
      <c r="EAC378" s="15"/>
      <c r="EAD378" s="15"/>
      <c r="EAE378" s="10"/>
      <c r="EAF378" s="10"/>
      <c r="EAG378" s="21"/>
      <c r="EAH378" s="21"/>
      <c r="EAK378" s="21"/>
      <c r="EAL378" s="15"/>
      <c r="EAM378" s="15"/>
      <c r="EAN378" s="15"/>
      <c r="EAO378" s="15"/>
      <c r="EAP378" s="15"/>
      <c r="EAQ378" s="15"/>
      <c r="EAR378" s="15"/>
      <c r="EAS378" s="15"/>
      <c r="EAT378" s="15"/>
      <c r="EAU378" s="15"/>
      <c r="EAV378" s="10"/>
      <c r="EAW378" s="10"/>
      <c r="EAX378" s="21"/>
      <c r="EAY378" s="21"/>
      <c r="EBB378" s="21"/>
      <c r="EBC378" s="15"/>
      <c r="EBD378" s="15"/>
      <c r="EBE378" s="15"/>
      <c r="EBF378" s="15"/>
      <c r="EBG378" s="15"/>
      <c r="EBH378" s="15"/>
      <c r="EBI378" s="15"/>
      <c r="EBJ378" s="15"/>
      <c r="EBK378" s="15"/>
      <c r="EBL378" s="15"/>
      <c r="EBM378" s="10"/>
      <c r="EBN378" s="10"/>
      <c r="EBO378" s="21"/>
      <c r="EBP378" s="21"/>
      <c r="EBS378" s="21"/>
      <c r="EBT378" s="15"/>
      <c r="EBU378" s="15"/>
      <c r="EBV378" s="15"/>
      <c r="EBW378" s="15"/>
      <c r="EBX378" s="15"/>
      <c r="EBY378" s="15"/>
      <c r="EBZ378" s="15"/>
      <c r="ECA378" s="15"/>
      <c r="ECB378" s="15"/>
      <c r="ECC378" s="15"/>
      <c r="ECD378" s="10"/>
      <c r="ECE378" s="10"/>
      <c r="ECF378" s="21"/>
      <c r="ECG378" s="21"/>
      <c r="ECJ378" s="21"/>
      <c r="ECK378" s="15"/>
      <c r="ECL378" s="15"/>
      <c r="ECM378" s="15"/>
      <c r="ECN378" s="15"/>
      <c r="ECO378" s="15"/>
      <c r="ECP378" s="15"/>
      <c r="ECQ378" s="15"/>
      <c r="ECR378" s="15"/>
      <c r="ECS378" s="15"/>
      <c r="ECT378" s="15"/>
      <c r="ECU378" s="10"/>
      <c r="ECV378" s="10"/>
      <c r="ECW378" s="21"/>
      <c r="ECX378" s="21"/>
      <c r="EDA378" s="21"/>
      <c r="EDB378" s="15"/>
      <c r="EDC378" s="15"/>
      <c r="EDD378" s="15"/>
      <c r="EDE378" s="15"/>
      <c r="EDF378" s="15"/>
      <c r="EDG378" s="15"/>
      <c r="EDH378" s="15"/>
      <c r="EDI378" s="15"/>
      <c r="EDJ378" s="15"/>
      <c r="EDK378" s="15"/>
      <c r="EDL378" s="10"/>
      <c r="EDM378" s="10"/>
      <c r="EDN378" s="21"/>
      <c r="EDO378" s="21"/>
      <c r="EDR378" s="21"/>
      <c r="EDS378" s="15"/>
      <c r="EDT378" s="15"/>
      <c r="EDU378" s="15"/>
      <c r="EDV378" s="15"/>
      <c r="EDW378" s="15"/>
      <c r="EDX378" s="15"/>
      <c r="EDY378" s="15"/>
      <c r="EDZ378" s="15"/>
      <c r="EEA378" s="15"/>
      <c r="EEB378" s="15"/>
      <c r="EEC378" s="10"/>
      <c r="EED378" s="10"/>
      <c r="EEE378" s="21"/>
      <c r="EEF378" s="21"/>
      <c r="EEI378" s="21"/>
      <c r="EEJ378" s="15"/>
      <c r="EEK378" s="15"/>
      <c r="EEL378" s="15"/>
      <c r="EEM378" s="15"/>
      <c r="EEN378" s="15"/>
      <c r="EEO378" s="15"/>
      <c r="EEP378" s="15"/>
      <c r="EEQ378" s="15"/>
      <c r="EER378" s="15"/>
      <c r="EES378" s="15"/>
      <c r="EET378" s="10"/>
      <c r="EEU378" s="10"/>
      <c r="EEV378" s="21"/>
      <c r="EEW378" s="21"/>
      <c r="EEZ378" s="21"/>
      <c r="EFA378" s="15"/>
      <c r="EFB378" s="15"/>
      <c r="EFC378" s="15"/>
      <c r="EFD378" s="15"/>
      <c r="EFE378" s="15"/>
      <c r="EFF378" s="15"/>
      <c r="EFG378" s="15"/>
      <c r="EFH378" s="15"/>
      <c r="EFI378" s="15"/>
      <c r="EFJ378" s="15"/>
      <c r="EFK378" s="10"/>
      <c r="EFL378" s="10"/>
      <c r="EFM378" s="21"/>
      <c r="EFN378" s="21"/>
      <c r="EFQ378" s="21"/>
      <c r="EFR378" s="15"/>
      <c r="EFS378" s="15"/>
      <c r="EFT378" s="15"/>
      <c r="EFU378" s="15"/>
      <c r="EFV378" s="15"/>
      <c r="EFW378" s="15"/>
      <c r="EFX378" s="15"/>
      <c r="EFY378" s="15"/>
      <c r="EFZ378" s="15"/>
      <c r="EGA378" s="15"/>
      <c r="EGB378" s="10"/>
      <c r="EGC378" s="10"/>
      <c r="EGD378" s="21"/>
      <c r="EGE378" s="21"/>
      <c r="EGH378" s="21"/>
      <c r="EGI378" s="15"/>
      <c r="EGJ378" s="15"/>
      <c r="EGK378" s="15"/>
      <c r="EGL378" s="15"/>
      <c r="EGM378" s="15"/>
      <c r="EGN378" s="15"/>
      <c r="EGO378" s="15"/>
      <c r="EGP378" s="15"/>
      <c r="EGQ378" s="15"/>
      <c r="EGR378" s="15"/>
      <c r="EGS378" s="10"/>
      <c r="EGT378" s="10"/>
      <c r="EGU378" s="21"/>
      <c r="EGV378" s="21"/>
      <c r="EGY378" s="21"/>
      <c r="EGZ378" s="15"/>
      <c r="EHA378" s="15"/>
      <c r="EHB378" s="15"/>
      <c r="EHC378" s="15"/>
      <c r="EHD378" s="15"/>
      <c r="EHE378" s="15"/>
      <c r="EHF378" s="15"/>
      <c r="EHG378" s="15"/>
      <c r="EHH378" s="15"/>
      <c r="EHI378" s="15"/>
      <c r="EHJ378" s="10"/>
      <c r="EHK378" s="10"/>
      <c r="EHL378" s="21"/>
      <c r="EHM378" s="21"/>
      <c r="EHP378" s="21"/>
      <c r="EHQ378" s="15"/>
      <c r="EHR378" s="15"/>
      <c r="EHS378" s="15"/>
      <c r="EHT378" s="15"/>
      <c r="EHU378" s="15"/>
      <c r="EHV378" s="15"/>
      <c r="EHW378" s="15"/>
      <c r="EHX378" s="15"/>
      <c r="EHY378" s="15"/>
      <c r="EHZ378" s="15"/>
      <c r="EIA378" s="10"/>
      <c r="EIB378" s="10"/>
      <c r="EIC378" s="21"/>
      <c r="EID378" s="21"/>
      <c r="EIG378" s="21"/>
      <c r="EIH378" s="15"/>
      <c r="EII378" s="15"/>
      <c r="EIJ378" s="15"/>
      <c r="EIK378" s="15"/>
      <c r="EIL378" s="15"/>
      <c r="EIM378" s="15"/>
      <c r="EIN378" s="15"/>
      <c r="EIO378" s="15"/>
      <c r="EIP378" s="15"/>
      <c r="EIQ378" s="15"/>
      <c r="EIR378" s="10"/>
      <c r="EIS378" s="10"/>
      <c r="EIT378" s="21"/>
      <c r="EIU378" s="21"/>
      <c r="EIX378" s="21"/>
      <c r="EIY378" s="15"/>
      <c r="EIZ378" s="15"/>
      <c r="EJA378" s="15"/>
      <c r="EJB378" s="15"/>
      <c r="EJC378" s="15"/>
      <c r="EJD378" s="15"/>
      <c r="EJE378" s="15"/>
      <c r="EJF378" s="15"/>
      <c r="EJG378" s="15"/>
      <c r="EJH378" s="15"/>
      <c r="EJI378" s="10"/>
      <c r="EJJ378" s="10"/>
      <c r="EJK378" s="21"/>
      <c r="EJL378" s="21"/>
      <c r="EJO378" s="21"/>
      <c r="EJP378" s="15"/>
      <c r="EJQ378" s="15"/>
      <c r="EJR378" s="15"/>
      <c r="EJS378" s="15"/>
      <c r="EJT378" s="15"/>
      <c r="EJU378" s="15"/>
      <c r="EJV378" s="15"/>
      <c r="EJW378" s="15"/>
      <c r="EJX378" s="15"/>
      <c r="EJY378" s="15"/>
      <c r="EJZ378" s="10"/>
      <c r="EKA378" s="10"/>
      <c r="EKB378" s="21"/>
      <c r="EKC378" s="21"/>
      <c r="EKF378" s="21"/>
      <c r="EKG378" s="15"/>
      <c r="EKH378" s="15"/>
      <c r="EKI378" s="15"/>
      <c r="EKJ378" s="15"/>
      <c r="EKK378" s="15"/>
      <c r="EKL378" s="15"/>
      <c r="EKM378" s="15"/>
      <c r="EKN378" s="15"/>
      <c r="EKO378" s="15"/>
      <c r="EKP378" s="15"/>
      <c r="EKQ378" s="10"/>
      <c r="EKR378" s="10"/>
      <c r="EKS378" s="21"/>
      <c r="EKT378" s="21"/>
      <c r="EKW378" s="21"/>
      <c r="EKX378" s="15"/>
      <c r="EKY378" s="15"/>
      <c r="EKZ378" s="15"/>
      <c r="ELA378" s="15"/>
      <c r="ELB378" s="15"/>
      <c r="ELC378" s="15"/>
      <c r="ELD378" s="15"/>
      <c r="ELE378" s="15"/>
      <c r="ELF378" s="15"/>
      <c r="ELG378" s="15"/>
      <c r="ELH378" s="10"/>
      <c r="ELI378" s="10"/>
      <c r="ELJ378" s="21"/>
      <c r="ELK378" s="21"/>
      <c r="ELN378" s="21"/>
      <c r="ELO378" s="15"/>
      <c r="ELP378" s="15"/>
      <c r="ELQ378" s="15"/>
      <c r="ELR378" s="15"/>
      <c r="ELS378" s="15"/>
      <c r="ELT378" s="15"/>
      <c r="ELU378" s="15"/>
      <c r="ELV378" s="15"/>
      <c r="ELW378" s="15"/>
      <c r="ELX378" s="15"/>
      <c r="ELY378" s="10"/>
      <c r="ELZ378" s="10"/>
      <c r="EMA378" s="21"/>
      <c r="EMB378" s="21"/>
      <c r="EME378" s="21"/>
      <c r="EMF378" s="15"/>
      <c r="EMG378" s="15"/>
      <c r="EMH378" s="15"/>
      <c r="EMI378" s="15"/>
      <c r="EMJ378" s="15"/>
      <c r="EMK378" s="15"/>
      <c r="EML378" s="15"/>
      <c r="EMM378" s="15"/>
      <c r="EMN378" s="15"/>
      <c r="EMO378" s="15"/>
      <c r="EMP378" s="10"/>
      <c r="EMQ378" s="10"/>
      <c r="EMR378" s="21"/>
      <c r="EMS378" s="21"/>
      <c r="EMV378" s="21"/>
      <c r="EMW378" s="15"/>
      <c r="EMX378" s="15"/>
      <c r="EMY378" s="15"/>
      <c r="EMZ378" s="15"/>
      <c r="ENA378" s="15"/>
      <c r="ENB378" s="15"/>
      <c r="ENC378" s="15"/>
      <c r="END378" s="15"/>
      <c r="ENE378" s="15"/>
      <c r="ENF378" s="15"/>
      <c r="ENG378" s="10"/>
      <c r="ENH378" s="10"/>
      <c r="ENI378" s="21"/>
      <c r="ENJ378" s="21"/>
      <c r="ENM378" s="21"/>
      <c r="ENN378" s="15"/>
      <c r="ENO378" s="15"/>
      <c r="ENP378" s="15"/>
      <c r="ENQ378" s="15"/>
      <c r="ENR378" s="15"/>
      <c r="ENS378" s="15"/>
      <c r="ENT378" s="15"/>
      <c r="ENU378" s="15"/>
      <c r="ENV378" s="15"/>
      <c r="ENW378" s="15"/>
      <c r="ENX378" s="10"/>
      <c r="ENY378" s="10"/>
      <c r="ENZ378" s="21"/>
      <c r="EOA378" s="21"/>
      <c r="EOD378" s="21"/>
      <c r="EOE378" s="15"/>
      <c r="EOF378" s="15"/>
      <c r="EOG378" s="15"/>
      <c r="EOH378" s="15"/>
      <c r="EOI378" s="15"/>
      <c r="EOJ378" s="15"/>
      <c r="EOK378" s="15"/>
      <c r="EOL378" s="15"/>
      <c r="EOM378" s="15"/>
      <c r="EON378" s="15"/>
      <c r="EOO378" s="10"/>
      <c r="EOP378" s="10"/>
      <c r="EOQ378" s="21"/>
      <c r="EOR378" s="21"/>
      <c r="EOU378" s="21"/>
      <c r="EOV378" s="15"/>
      <c r="EOW378" s="15"/>
      <c r="EOX378" s="15"/>
      <c r="EOY378" s="15"/>
      <c r="EOZ378" s="15"/>
      <c r="EPA378" s="15"/>
      <c r="EPB378" s="15"/>
      <c r="EPC378" s="15"/>
      <c r="EPD378" s="15"/>
      <c r="EPE378" s="15"/>
      <c r="EPF378" s="10"/>
      <c r="EPG378" s="10"/>
      <c r="EPH378" s="21"/>
      <c r="EPI378" s="21"/>
      <c r="EPL378" s="21"/>
      <c r="EPM378" s="15"/>
      <c r="EPN378" s="15"/>
      <c r="EPO378" s="15"/>
      <c r="EPP378" s="15"/>
      <c r="EPQ378" s="15"/>
      <c r="EPR378" s="15"/>
      <c r="EPS378" s="15"/>
      <c r="EPT378" s="15"/>
      <c r="EPU378" s="15"/>
      <c r="EPV378" s="15"/>
      <c r="EPW378" s="10"/>
      <c r="EPX378" s="10"/>
      <c r="EPY378" s="21"/>
      <c r="EPZ378" s="21"/>
      <c r="EQC378" s="21"/>
      <c r="EQD378" s="15"/>
      <c r="EQE378" s="15"/>
      <c r="EQF378" s="15"/>
      <c r="EQG378" s="15"/>
      <c r="EQH378" s="15"/>
      <c r="EQI378" s="15"/>
      <c r="EQJ378" s="15"/>
      <c r="EQK378" s="15"/>
      <c r="EQL378" s="15"/>
      <c r="EQM378" s="15"/>
      <c r="EQN378" s="10"/>
      <c r="EQO378" s="10"/>
      <c r="EQP378" s="21"/>
      <c r="EQQ378" s="21"/>
      <c r="EQT378" s="21"/>
      <c r="EQU378" s="15"/>
      <c r="EQV378" s="15"/>
      <c r="EQW378" s="15"/>
      <c r="EQX378" s="15"/>
      <c r="EQY378" s="15"/>
      <c r="EQZ378" s="15"/>
      <c r="ERA378" s="15"/>
      <c r="ERB378" s="15"/>
      <c r="ERC378" s="15"/>
      <c r="ERD378" s="15"/>
      <c r="ERE378" s="10"/>
      <c r="ERF378" s="10"/>
      <c r="ERG378" s="21"/>
      <c r="ERH378" s="21"/>
      <c r="ERK378" s="21"/>
      <c r="ERL378" s="15"/>
      <c r="ERM378" s="15"/>
      <c r="ERN378" s="15"/>
      <c r="ERO378" s="15"/>
      <c r="ERP378" s="15"/>
      <c r="ERQ378" s="15"/>
      <c r="ERR378" s="15"/>
      <c r="ERS378" s="15"/>
      <c r="ERT378" s="15"/>
      <c r="ERU378" s="15"/>
      <c r="ERV378" s="10"/>
      <c r="ERW378" s="10"/>
      <c r="ERX378" s="21"/>
      <c r="ERY378" s="21"/>
      <c r="ESB378" s="21"/>
      <c r="ESC378" s="15"/>
      <c r="ESD378" s="15"/>
      <c r="ESE378" s="15"/>
      <c r="ESF378" s="15"/>
      <c r="ESG378" s="15"/>
      <c r="ESH378" s="15"/>
      <c r="ESI378" s="15"/>
      <c r="ESJ378" s="15"/>
      <c r="ESK378" s="15"/>
      <c r="ESL378" s="15"/>
      <c r="ESM378" s="10"/>
      <c r="ESN378" s="10"/>
      <c r="ESO378" s="21"/>
      <c r="ESP378" s="21"/>
      <c r="ESS378" s="21"/>
      <c r="EST378" s="15"/>
      <c r="ESU378" s="15"/>
      <c r="ESV378" s="15"/>
      <c r="ESW378" s="15"/>
      <c r="ESX378" s="15"/>
      <c r="ESY378" s="15"/>
      <c r="ESZ378" s="15"/>
      <c r="ETA378" s="15"/>
      <c r="ETB378" s="15"/>
      <c r="ETC378" s="15"/>
      <c r="ETD378" s="10"/>
      <c r="ETE378" s="10"/>
      <c r="ETF378" s="21"/>
      <c r="ETG378" s="21"/>
      <c r="ETJ378" s="21"/>
      <c r="ETK378" s="15"/>
      <c r="ETL378" s="15"/>
      <c r="ETM378" s="15"/>
      <c r="ETN378" s="15"/>
      <c r="ETO378" s="15"/>
      <c r="ETP378" s="15"/>
      <c r="ETQ378" s="15"/>
      <c r="ETR378" s="15"/>
      <c r="ETS378" s="15"/>
      <c r="ETT378" s="15"/>
      <c r="ETU378" s="10"/>
      <c r="ETV378" s="10"/>
      <c r="ETW378" s="21"/>
      <c r="ETX378" s="21"/>
      <c r="EUA378" s="21"/>
      <c r="EUB378" s="15"/>
      <c r="EUC378" s="15"/>
      <c r="EUD378" s="15"/>
      <c r="EUE378" s="15"/>
      <c r="EUF378" s="15"/>
      <c r="EUG378" s="15"/>
      <c r="EUH378" s="15"/>
      <c r="EUI378" s="15"/>
      <c r="EUJ378" s="15"/>
      <c r="EUK378" s="15"/>
      <c r="EUL378" s="10"/>
      <c r="EUM378" s="10"/>
      <c r="EUN378" s="21"/>
      <c r="EUO378" s="21"/>
      <c r="EUR378" s="21"/>
      <c r="EUS378" s="15"/>
      <c r="EUT378" s="15"/>
      <c r="EUU378" s="15"/>
      <c r="EUV378" s="15"/>
      <c r="EUW378" s="15"/>
      <c r="EUX378" s="15"/>
      <c r="EUY378" s="15"/>
      <c r="EUZ378" s="15"/>
      <c r="EVA378" s="15"/>
      <c r="EVB378" s="15"/>
      <c r="EVC378" s="10"/>
      <c r="EVD378" s="10"/>
      <c r="EVE378" s="21"/>
      <c r="EVF378" s="21"/>
      <c r="EVI378" s="21"/>
      <c r="EVJ378" s="15"/>
      <c r="EVK378" s="15"/>
      <c r="EVL378" s="15"/>
      <c r="EVM378" s="15"/>
      <c r="EVN378" s="15"/>
      <c r="EVO378" s="15"/>
      <c r="EVP378" s="15"/>
      <c r="EVQ378" s="15"/>
      <c r="EVR378" s="15"/>
      <c r="EVS378" s="15"/>
      <c r="EVT378" s="10"/>
      <c r="EVU378" s="10"/>
      <c r="EVV378" s="21"/>
      <c r="EVW378" s="21"/>
      <c r="EVZ378" s="21"/>
      <c r="EWA378" s="15"/>
      <c r="EWB378" s="15"/>
      <c r="EWC378" s="15"/>
      <c r="EWD378" s="15"/>
      <c r="EWE378" s="15"/>
      <c r="EWF378" s="15"/>
      <c r="EWG378" s="15"/>
      <c r="EWH378" s="15"/>
      <c r="EWI378" s="15"/>
      <c r="EWJ378" s="15"/>
      <c r="EWK378" s="10"/>
      <c r="EWL378" s="10"/>
      <c r="EWM378" s="21"/>
      <c r="EWN378" s="21"/>
      <c r="EWQ378" s="21"/>
      <c r="EWR378" s="15"/>
      <c r="EWS378" s="15"/>
      <c r="EWT378" s="15"/>
      <c r="EWU378" s="15"/>
      <c r="EWV378" s="15"/>
      <c r="EWW378" s="15"/>
      <c r="EWX378" s="15"/>
      <c r="EWY378" s="15"/>
      <c r="EWZ378" s="15"/>
      <c r="EXA378" s="15"/>
      <c r="EXB378" s="10"/>
      <c r="EXC378" s="10"/>
      <c r="EXD378" s="21"/>
      <c r="EXE378" s="21"/>
      <c r="EXH378" s="21"/>
      <c r="EXI378" s="15"/>
      <c r="EXJ378" s="15"/>
      <c r="EXK378" s="15"/>
      <c r="EXL378" s="15"/>
      <c r="EXM378" s="15"/>
      <c r="EXN378" s="15"/>
      <c r="EXO378" s="15"/>
      <c r="EXP378" s="15"/>
      <c r="EXQ378" s="15"/>
      <c r="EXR378" s="15"/>
      <c r="EXS378" s="10"/>
      <c r="EXT378" s="10"/>
      <c r="EXU378" s="21"/>
      <c r="EXV378" s="21"/>
      <c r="EXY378" s="21"/>
      <c r="EXZ378" s="15"/>
      <c r="EYA378" s="15"/>
      <c r="EYB378" s="15"/>
      <c r="EYC378" s="15"/>
      <c r="EYD378" s="15"/>
      <c r="EYE378" s="15"/>
      <c r="EYF378" s="15"/>
      <c r="EYG378" s="15"/>
      <c r="EYH378" s="15"/>
      <c r="EYI378" s="15"/>
      <c r="EYJ378" s="10"/>
      <c r="EYK378" s="10"/>
      <c r="EYL378" s="21"/>
      <c r="EYM378" s="21"/>
      <c r="EYP378" s="21"/>
      <c r="EYQ378" s="15"/>
      <c r="EYR378" s="15"/>
      <c r="EYS378" s="15"/>
      <c r="EYT378" s="15"/>
      <c r="EYU378" s="15"/>
      <c r="EYV378" s="15"/>
      <c r="EYW378" s="15"/>
      <c r="EYX378" s="15"/>
      <c r="EYY378" s="15"/>
      <c r="EYZ378" s="15"/>
      <c r="EZA378" s="10"/>
      <c r="EZB378" s="10"/>
      <c r="EZC378" s="21"/>
      <c r="EZD378" s="21"/>
      <c r="EZG378" s="21"/>
      <c r="EZH378" s="15"/>
      <c r="EZI378" s="15"/>
      <c r="EZJ378" s="15"/>
      <c r="EZK378" s="15"/>
      <c r="EZL378" s="15"/>
      <c r="EZM378" s="15"/>
      <c r="EZN378" s="15"/>
      <c r="EZO378" s="15"/>
      <c r="EZP378" s="15"/>
      <c r="EZQ378" s="15"/>
      <c r="EZR378" s="10"/>
      <c r="EZS378" s="10"/>
      <c r="EZT378" s="21"/>
      <c r="EZU378" s="21"/>
      <c r="EZX378" s="21"/>
      <c r="EZY378" s="15"/>
      <c r="EZZ378" s="15"/>
      <c r="FAA378" s="15"/>
      <c r="FAB378" s="15"/>
      <c r="FAC378" s="15"/>
      <c r="FAD378" s="15"/>
      <c r="FAE378" s="15"/>
      <c r="FAF378" s="15"/>
      <c r="FAG378" s="15"/>
      <c r="FAH378" s="15"/>
      <c r="FAI378" s="10"/>
      <c r="FAJ378" s="10"/>
      <c r="FAK378" s="21"/>
      <c r="FAL378" s="21"/>
      <c r="FAO378" s="21"/>
      <c r="FAP378" s="15"/>
      <c r="FAQ378" s="15"/>
      <c r="FAR378" s="15"/>
      <c r="FAS378" s="15"/>
      <c r="FAT378" s="15"/>
      <c r="FAU378" s="15"/>
      <c r="FAV378" s="15"/>
      <c r="FAW378" s="15"/>
      <c r="FAX378" s="15"/>
      <c r="FAY378" s="15"/>
      <c r="FAZ378" s="10"/>
      <c r="FBA378" s="10"/>
      <c r="FBB378" s="21"/>
      <c r="FBC378" s="21"/>
      <c r="FBF378" s="21"/>
      <c r="FBG378" s="15"/>
      <c r="FBH378" s="15"/>
      <c r="FBI378" s="15"/>
      <c r="FBJ378" s="15"/>
      <c r="FBK378" s="15"/>
      <c r="FBL378" s="15"/>
      <c r="FBM378" s="15"/>
      <c r="FBN378" s="15"/>
      <c r="FBO378" s="15"/>
      <c r="FBP378" s="15"/>
      <c r="FBQ378" s="10"/>
      <c r="FBR378" s="10"/>
      <c r="FBS378" s="21"/>
      <c r="FBT378" s="21"/>
      <c r="FBW378" s="21"/>
      <c r="FBX378" s="15"/>
      <c r="FBY378" s="15"/>
      <c r="FBZ378" s="15"/>
      <c r="FCA378" s="15"/>
      <c r="FCB378" s="15"/>
      <c r="FCC378" s="15"/>
      <c r="FCD378" s="15"/>
      <c r="FCE378" s="15"/>
      <c r="FCF378" s="15"/>
      <c r="FCG378" s="15"/>
      <c r="FCH378" s="10"/>
      <c r="FCI378" s="10"/>
      <c r="FCJ378" s="21"/>
      <c r="FCK378" s="21"/>
      <c r="FCN378" s="21"/>
      <c r="FCO378" s="15"/>
      <c r="FCP378" s="15"/>
      <c r="FCQ378" s="15"/>
      <c r="FCR378" s="15"/>
      <c r="FCS378" s="15"/>
      <c r="FCT378" s="15"/>
      <c r="FCU378" s="15"/>
      <c r="FCV378" s="15"/>
      <c r="FCW378" s="15"/>
      <c r="FCX378" s="15"/>
      <c r="FCY378" s="10"/>
      <c r="FCZ378" s="10"/>
      <c r="FDA378" s="21"/>
      <c r="FDB378" s="21"/>
      <c r="FDE378" s="21"/>
      <c r="FDF378" s="15"/>
      <c r="FDG378" s="15"/>
      <c r="FDH378" s="15"/>
      <c r="FDI378" s="15"/>
      <c r="FDJ378" s="15"/>
      <c r="FDK378" s="15"/>
      <c r="FDL378" s="15"/>
      <c r="FDM378" s="15"/>
      <c r="FDN378" s="15"/>
      <c r="FDO378" s="15"/>
      <c r="FDP378" s="10"/>
      <c r="FDQ378" s="10"/>
      <c r="FDR378" s="21"/>
      <c r="FDS378" s="21"/>
      <c r="FDV378" s="21"/>
      <c r="FDW378" s="15"/>
      <c r="FDX378" s="15"/>
      <c r="FDY378" s="15"/>
      <c r="FDZ378" s="15"/>
      <c r="FEA378" s="15"/>
      <c r="FEB378" s="15"/>
      <c r="FEC378" s="15"/>
      <c r="FED378" s="15"/>
      <c r="FEE378" s="15"/>
      <c r="FEF378" s="15"/>
      <c r="FEG378" s="10"/>
      <c r="FEH378" s="10"/>
      <c r="FEI378" s="21"/>
      <c r="FEJ378" s="21"/>
      <c r="FEM378" s="21"/>
      <c r="FEN378" s="15"/>
      <c r="FEO378" s="15"/>
      <c r="FEP378" s="15"/>
      <c r="FEQ378" s="15"/>
      <c r="FER378" s="15"/>
      <c r="FES378" s="15"/>
      <c r="FET378" s="15"/>
      <c r="FEU378" s="15"/>
      <c r="FEV378" s="15"/>
      <c r="FEW378" s="15"/>
      <c r="FEX378" s="10"/>
      <c r="FEY378" s="10"/>
      <c r="FEZ378" s="21"/>
      <c r="FFA378" s="21"/>
      <c r="FFD378" s="21"/>
      <c r="FFE378" s="15"/>
      <c r="FFF378" s="15"/>
      <c r="FFG378" s="15"/>
      <c r="FFH378" s="15"/>
      <c r="FFI378" s="15"/>
      <c r="FFJ378" s="15"/>
      <c r="FFK378" s="15"/>
      <c r="FFL378" s="15"/>
      <c r="FFM378" s="15"/>
      <c r="FFN378" s="15"/>
      <c r="FFO378" s="10"/>
      <c r="FFP378" s="10"/>
      <c r="FFQ378" s="21"/>
      <c r="FFR378" s="21"/>
      <c r="FFU378" s="21"/>
      <c r="FFV378" s="15"/>
      <c r="FFW378" s="15"/>
      <c r="FFX378" s="15"/>
      <c r="FFY378" s="15"/>
      <c r="FFZ378" s="15"/>
      <c r="FGA378" s="15"/>
      <c r="FGB378" s="15"/>
      <c r="FGC378" s="15"/>
      <c r="FGD378" s="15"/>
      <c r="FGE378" s="15"/>
      <c r="FGF378" s="10"/>
      <c r="FGG378" s="10"/>
      <c r="FGH378" s="21"/>
      <c r="FGI378" s="21"/>
      <c r="FGL378" s="21"/>
      <c r="FGM378" s="15"/>
      <c r="FGN378" s="15"/>
      <c r="FGO378" s="15"/>
      <c r="FGP378" s="15"/>
      <c r="FGQ378" s="15"/>
      <c r="FGR378" s="15"/>
      <c r="FGS378" s="15"/>
      <c r="FGT378" s="15"/>
      <c r="FGU378" s="15"/>
      <c r="FGV378" s="15"/>
      <c r="FGW378" s="10"/>
      <c r="FGX378" s="10"/>
      <c r="FGY378" s="21"/>
      <c r="FGZ378" s="21"/>
      <c r="FHC378" s="21"/>
      <c r="FHD378" s="15"/>
      <c r="FHE378" s="15"/>
      <c r="FHF378" s="15"/>
      <c r="FHG378" s="15"/>
      <c r="FHH378" s="15"/>
      <c r="FHI378" s="15"/>
      <c r="FHJ378" s="15"/>
      <c r="FHK378" s="15"/>
      <c r="FHL378" s="15"/>
      <c r="FHM378" s="15"/>
      <c r="FHN378" s="10"/>
      <c r="FHO378" s="10"/>
      <c r="FHP378" s="21"/>
      <c r="FHQ378" s="21"/>
      <c r="FHT378" s="21"/>
      <c r="FHU378" s="15"/>
      <c r="FHV378" s="15"/>
      <c r="FHW378" s="15"/>
      <c r="FHX378" s="15"/>
      <c r="FHY378" s="15"/>
      <c r="FHZ378" s="15"/>
      <c r="FIA378" s="15"/>
      <c r="FIB378" s="15"/>
      <c r="FIC378" s="15"/>
      <c r="FID378" s="15"/>
      <c r="FIE378" s="10"/>
      <c r="FIF378" s="10"/>
      <c r="FIG378" s="21"/>
      <c r="FIH378" s="21"/>
      <c r="FIK378" s="21"/>
      <c r="FIL378" s="15"/>
      <c r="FIM378" s="15"/>
      <c r="FIN378" s="15"/>
      <c r="FIO378" s="15"/>
      <c r="FIP378" s="15"/>
      <c r="FIQ378" s="15"/>
      <c r="FIR378" s="15"/>
      <c r="FIS378" s="15"/>
      <c r="FIT378" s="15"/>
      <c r="FIU378" s="15"/>
      <c r="FIV378" s="10"/>
      <c r="FIW378" s="10"/>
      <c r="FIX378" s="21"/>
      <c r="FIY378" s="21"/>
      <c r="FJB378" s="21"/>
      <c r="FJC378" s="15"/>
      <c r="FJD378" s="15"/>
      <c r="FJE378" s="15"/>
      <c r="FJF378" s="15"/>
      <c r="FJG378" s="15"/>
      <c r="FJH378" s="15"/>
      <c r="FJI378" s="15"/>
      <c r="FJJ378" s="15"/>
      <c r="FJK378" s="15"/>
      <c r="FJL378" s="15"/>
      <c r="FJM378" s="10"/>
      <c r="FJN378" s="10"/>
      <c r="FJO378" s="21"/>
      <c r="FJP378" s="21"/>
      <c r="FJS378" s="21"/>
      <c r="FJT378" s="15"/>
      <c r="FJU378" s="15"/>
      <c r="FJV378" s="15"/>
      <c r="FJW378" s="15"/>
      <c r="FJX378" s="15"/>
      <c r="FJY378" s="15"/>
      <c r="FJZ378" s="15"/>
      <c r="FKA378" s="15"/>
      <c r="FKB378" s="15"/>
      <c r="FKC378" s="15"/>
      <c r="FKD378" s="10"/>
      <c r="FKE378" s="10"/>
      <c r="FKF378" s="21"/>
      <c r="FKG378" s="21"/>
      <c r="FKJ378" s="21"/>
      <c r="FKK378" s="15"/>
      <c r="FKL378" s="15"/>
      <c r="FKM378" s="15"/>
      <c r="FKN378" s="15"/>
      <c r="FKO378" s="15"/>
      <c r="FKP378" s="15"/>
      <c r="FKQ378" s="15"/>
      <c r="FKR378" s="15"/>
      <c r="FKS378" s="15"/>
      <c r="FKT378" s="15"/>
      <c r="FKU378" s="10"/>
      <c r="FKV378" s="10"/>
      <c r="FKW378" s="21"/>
      <c r="FKX378" s="21"/>
      <c r="FLA378" s="21"/>
      <c r="FLB378" s="15"/>
      <c r="FLC378" s="15"/>
      <c r="FLD378" s="15"/>
      <c r="FLE378" s="15"/>
      <c r="FLF378" s="15"/>
      <c r="FLG378" s="15"/>
      <c r="FLH378" s="15"/>
      <c r="FLI378" s="15"/>
      <c r="FLJ378" s="15"/>
      <c r="FLK378" s="15"/>
      <c r="FLL378" s="10"/>
      <c r="FLM378" s="10"/>
      <c r="FLN378" s="21"/>
      <c r="FLO378" s="21"/>
      <c r="FLR378" s="21"/>
      <c r="FLS378" s="15"/>
      <c r="FLT378" s="15"/>
      <c r="FLU378" s="15"/>
      <c r="FLV378" s="15"/>
      <c r="FLW378" s="15"/>
      <c r="FLX378" s="15"/>
      <c r="FLY378" s="15"/>
      <c r="FLZ378" s="15"/>
      <c r="FMA378" s="15"/>
      <c r="FMB378" s="15"/>
      <c r="FMC378" s="10"/>
      <c r="FMD378" s="10"/>
      <c r="FME378" s="21"/>
      <c r="FMF378" s="21"/>
      <c r="FMI378" s="21"/>
      <c r="FMJ378" s="15"/>
      <c r="FMK378" s="15"/>
      <c r="FML378" s="15"/>
      <c r="FMM378" s="15"/>
      <c r="FMN378" s="15"/>
      <c r="FMO378" s="15"/>
      <c r="FMP378" s="15"/>
      <c r="FMQ378" s="15"/>
      <c r="FMR378" s="15"/>
      <c r="FMS378" s="15"/>
      <c r="FMT378" s="10"/>
      <c r="FMU378" s="10"/>
      <c r="FMV378" s="21"/>
      <c r="FMW378" s="21"/>
      <c r="FMZ378" s="21"/>
      <c r="FNA378" s="15"/>
      <c r="FNB378" s="15"/>
      <c r="FNC378" s="15"/>
      <c r="FND378" s="15"/>
      <c r="FNE378" s="15"/>
      <c r="FNF378" s="15"/>
      <c r="FNG378" s="15"/>
      <c r="FNH378" s="15"/>
      <c r="FNI378" s="15"/>
      <c r="FNJ378" s="15"/>
      <c r="FNK378" s="10"/>
      <c r="FNL378" s="10"/>
      <c r="FNM378" s="21"/>
      <c r="FNN378" s="21"/>
      <c r="FNQ378" s="21"/>
      <c r="FNR378" s="15"/>
      <c r="FNS378" s="15"/>
      <c r="FNT378" s="15"/>
      <c r="FNU378" s="15"/>
      <c r="FNV378" s="15"/>
      <c r="FNW378" s="15"/>
      <c r="FNX378" s="15"/>
      <c r="FNY378" s="15"/>
      <c r="FNZ378" s="15"/>
      <c r="FOA378" s="15"/>
      <c r="FOB378" s="10"/>
      <c r="FOC378" s="10"/>
      <c r="FOD378" s="21"/>
      <c r="FOE378" s="21"/>
      <c r="FOH378" s="21"/>
      <c r="FOI378" s="15"/>
      <c r="FOJ378" s="15"/>
      <c r="FOK378" s="15"/>
      <c r="FOL378" s="15"/>
      <c r="FOM378" s="15"/>
      <c r="FON378" s="15"/>
      <c r="FOO378" s="15"/>
      <c r="FOP378" s="15"/>
      <c r="FOQ378" s="15"/>
      <c r="FOR378" s="15"/>
      <c r="FOS378" s="10"/>
      <c r="FOT378" s="10"/>
      <c r="FOU378" s="21"/>
      <c r="FOV378" s="21"/>
      <c r="FOY378" s="21"/>
      <c r="FOZ378" s="15"/>
      <c r="FPA378" s="15"/>
      <c r="FPB378" s="15"/>
      <c r="FPC378" s="15"/>
      <c r="FPD378" s="15"/>
      <c r="FPE378" s="15"/>
      <c r="FPF378" s="15"/>
      <c r="FPG378" s="15"/>
      <c r="FPH378" s="15"/>
      <c r="FPI378" s="15"/>
      <c r="FPJ378" s="10"/>
      <c r="FPK378" s="10"/>
      <c r="FPL378" s="21"/>
      <c r="FPM378" s="21"/>
      <c r="FPP378" s="21"/>
      <c r="FPQ378" s="15"/>
      <c r="FPR378" s="15"/>
      <c r="FPS378" s="15"/>
      <c r="FPT378" s="15"/>
      <c r="FPU378" s="15"/>
      <c r="FPV378" s="15"/>
      <c r="FPW378" s="15"/>
      <c r="FPX378" s="15"/>
      <c r="FPY378" s="15"/>
      <c r="FPZ378" s="15"/>
      <c r="FQA378" s="10"/>
      <c r="FQB378" s="10"/>
      <c r="FQC378" s="21"/>
      <c r="FQD378" s="21"/>
      <c r="FQG378" s="21"/>
      <c r="FQH378" s="15"/>
      <c r="FQI378" s="15"/>
      <c r="FQJ378" s="15"/>
      <c r="FQK378" s="15"/>
      <c r="FQL378" s="15"/>
      <c r="FQM378" s="15"/>
      <c r="FQN378" s="15"/>
      <c r="FQO378" s="15"/>
      <c r="FQP378" s="15"/>
      <c r="FQQ378" s="15"/>
      <c r="FQR378" s="10"/>
      <c r="FQS378" s="10"/>
      <c r="FQT378" s="21"/>
      <c r="FQU378" s="21"/>
      <c r="FQX378" s="21"/>
      <c r="FQY378" s="15"/>
      <c r="FQZ378" s="15"/>
      <c r="FRA378" s="15"/>
      <c r="FRB378" s="15"/>
      <c r="FRC378" s="15"/>
      <c r="FRD378" s="15"/>
      <c r="FRE378" s="15"/>
      <c r="FRF378" s="15"/>
      <c r="FRG378" s="15"/>
      <c r="FRH378" s="15"/>
      <c r="FRI378" s="10"/>
      <c r="FRJ378" s="10"/>
      <c r="FRK378" s="21"/>
      <c r="FRL378" s="21"/>
      <c r="FRO378" s="21"/>
      <c r="FRP378" s="15"/>
      <c r="FRQ378" s="15"/>
      <c r="FRR378" s="15"/>
      <c r="FRS378" s="15"/>
      <c r="FRT378" s="15"/>
      <c r="FRU378" s="15"/>
      <c r="FRV378" s="15"/>
      <c r="FRW378" s="15"/>
      <c r="FRX378" s="15"/>
      <c r="FRY378" s="15"/>
      <c r="FRZ378" s="10"/>
      <c r="FSA378" s="10"/>
      <c r="FSB378" s="21"/>
      <c r="FSC378" s="21"/>
      <c r="FSF378" s="21"/>
      <c r="FSG378" s="15"/>
      <c r="FSH378" s="15"/>
      <c r="FSI378" s="15"/>
      <c r="FSJ378" s="15"/>
      <c r="FSK378" s="15"/>
      <c r="FSL378" s="15"/>
      <c r="FSM378" s="15"/>
      <c r="FSN378" s="15"/>
      <c r="FSO378" s="15"/>
      <c r="FSP378" s="15"/>
      <c r="FSQ378" s="10"/>
      <c r="FSR378" s="10"/>
      <c r="FSS378" s="21"/>
      <c r="FST378" s="21"/>
      <c r="FSW378" s="21"/>
      <c r="FSX378" s="15"/>
      <c r="FSY378" s="15"/>
      <c r="FSZ378" s="15"/>
      <c r="FTA378" s="15"/>
      <c r="FTB378" s="15"/>
      <c r="FTC378" s="15"/>
      <c r="FTD378" s="15"/>
      <c r="FTE378" s="15"/>
      <c r="FTF378" s="15"/>
      <c r="FTG378" s="15"/>
      <c r="FTH378" s="10"/>
      <c r="FTI378" s="10"/>
      <c r="FTJ378" s="21"/>
      <c r="FTK378" s="21"/>
      <c r="FTN378" s="21"/>
      <c r="FTO378" s="15"/>
      <c r="FTP378" s="15"/>
      <c r="FTQ378" s="15"/>
      <c r="FTR378" s="15"/>
      <c r="FTS378" s="15"/>
      <c r="FTT378" s="15"/>
      <c r="FTU378" s="15"/>
      <c r="FTV378" s="15"/>
      <c r="FTW378" s="15"/>
      <c r="FTX378" s="15"/>
      <c r="FTY378" s="10"/>
      <c r="FTZ378" s="10"/>
      <c r="FUA378" s="21"/>
      <c r="FUB378" s="21"/>
      <c r="FUE378" s="21"/>
      <c r="FUF378" s="15"/>
      <c r="FUG378" s="15"/>
      <c r="FUH378" s="15"/>
      <c r="FUI378" s="15"/>
      <c r="FUJ378" s="15"/>
      <c r="FUK378" s="15"/>
      <c r="FUL378" s="15"/>
      <c r="FUM378" s="15"/>
      <c r="FUN378" s="15"/>
      <c r="FUO378" s="15"/>
      <c r="FUP378" s="10"/>
      <c r="FUQ378" s="10"/>
      <c r="FUR378" s="21"/>
      <c r="FUS378" s="21"/>
      <c r="FUV378" s="21"/>
      <c r="FUW378" s="15"/>
      <c r="FUX378" s="15"/>
      <c r="FUY378" s="15"/>
      <c r="FUZ378" s="15"/>
      <c r="FVA378" s="15"/>
      <c r="FVB378" s="15"/>
      <c r="FVC378" s="15"/>
      <c r="FVD378" s="15"/>
      <c r="FVE378" s="15"/>
      <c r="FVF378" s="15"/>
      <c r="FVG378" s="10"/>
      <c r="FVH378" s="10"/>
      <c r="FVI378" s="21"/>
      <c r="FVJ378" s="21"/>
      <c r="FVM378" s="21"/>
      <c r="FVN378" s="15"/>
      <c r="FVO378" s="15"/>
      <c r="FVP378" s="15"/>
      <c r="FVQ378" s="15"/>
      <c r="FVR378" s="15"/>
      <c r="FVS378" s="15"/>
      <c r="FVT378" s="15"/>
      <c r="FVU378" s="15"/>
      <c r="FVV378" s="15"/>
      <c r="FVW378" s="15"/>
      <c r="FVX378" s="10"/>
      <c r="FVY378" s="10"/>
      <c r="FVZ378" s="21"/>
      <c r="FWA378" s="21"/>
      <c r="FWD378" s="21"/>
      <c r="FWE378" s="15"/>
      <c r="FWF378" s="15"/>
      <c r="FWG378" s="15"/>
      <c r="FWH378" s="15"/>
      <c r="FWI378" s="15"/>
      <c r="FWJ378" s="15"/>
      <c r="FWK378" s="15"/>
      <c r="FWL378" s="15"/>
      <c r="FWM378" s="15"/>
      <c r="FWN378" s="15"/>
      <c r="FWO378" s="10"/>
      <c r="FWP378" s="10"/>
      <c r="FWQ378" s="21"/>
      <c r="FWR378" s="21"/>
      <c r="FWU378" s="21"/>
      <c r="FWV378" s="15"/>
      <c r="FWW378" s="15"/>
      <c r="FWX378" s="15"/>
      <c r="FWY378" s="15"/>
      <c r="FWZ378" s="15"/>
      <c r="FXA378" s="15"/>
      <c r="FXB378" s="15"/>
      <c r="FXC378" s="15"/>
      <c r="FXD378" s="15"/>
      <c r="FXE378" s="15"/>
      <c r="FXF378" s="10"/>
      <c r="FXG378" s="10"/>
      <c r="FXH378" s="21"/>
      <c r="FXI378" s="21"/>
      <c r="FXL378" s="21"/>
      <c r="FXM378" s="15"/>
      <c r="FXN378" s="15"/>
      <c r="FXO378" s="15"/>
      <c r="FXP378" s="15"/>
      <c r="FXQ378" s="15"/>
      <c r="FXR378" s="15"/>
      <c r="FXS378" s="15"/>
      <c r="FXT378" s="15"/>
      <c r="FXU378" s="15"/>
      <c r="FXV378" s="15"/>
      <c r="FXW378" s="10"/>
      <c r="FXX378" s="10"/>
      <c r="FXY378" s="21"/>
      <c r="FXZ378" s="21"/>
      <c r="FYC378" s="21"/>
      <c r="FYD378" s="15"/>
      <c r="FYE378" s="15"/>
      <c r="FYF378" s="15"/>
      <c r="FYG378" s="15"/>
      <c r="FYH378" s="15"/>
      <c r="FYI378" s="15"/>
      <c r="FYJ378" s="15"/>
      <c r="FYK378" s="15"/>
      <c r="FYL378" s="15"/>
      <c r="FYM378" s="15"/>
      <c r="FYN378" s="10"/>
      <c r="FYO378" s="10"/>
      <c r="FYP378" s="21"/>
      <c r="FYQ378" s="21"/>
      <c r="FYT378" s="21"/>
      <c r="FYU378" s="15"/>
      <c r="FYV378" s="15"/>
      <c r="FYW378" s="15"/>
      <c r="FYX378" s="15"/>
      <c r="FYY378" s="15"/>
      <c r="FYZ378" s="15"/>
      <c r="FZA378" s="15"/>
      <c r="FZB378" s="15"/>
      <c r="FZC378" s="15"/>
      <c r="FZD378" s="15"/>
      <c r="FZE378" s="10"/>
      <c r="FZF378" s="10"/>
      <c r="FZG378" s="21"/>
      <c r="FZH378" s="21"/>
      <c r="FZK378" s="21"/>
      <c r="FZL378" s="15"/>
      <c r="FZM378" s="15"/>
      <c r="FZN378" s="15"/>
      <c r="FZO378" s="15"/>
      <c r="FZP378" s="15"/>
      <c r="FZQ378" s="15"/>
      <c r="FZR378" s="15"/>
      <c r="FZS378" s="15"/>
      <c r="FZT378" s="15"/>
      <c r="FZU378" s="15"/>
      <c r="FZV378" s="10"/>
      <c r="FZW378" s="10"/>
      <c r="FZX378" s="21"/>
      <c r="FZY378" s="21"/>
      <c r="GAB378" s="21"/>
      <c r="GAC378" s="15"/>
      <c r="GAD378" s="15"/>
      <c r="GAE378" s="15"/>
      <c r="GAF378" s="15"/>
      <c r="GAG378" s="15"/>
      <c r="GAH378" s="15"/>
      <c r="GAI378" s="15"/>
      <c r="GAJ378" s="15"/>
      <c r="GAK378" s="15"/>
      <c r="GAL378" s="15"/>
      <c r="GAM378" s="10"/>
      <c r="GAN378" s="10"/>
      <c r="GAO378" s="21"/>
      <c r="GAP378" s="21"/>
      <c r="GAS378" s="21"/>
      <c r="GAT378" s="15"/>
      <c r="GAU378" s="15"/>
      <c r="GAV378" s="15"/>
      <c r="GAW378" s="15"/>
      <c r="GAX378" s="15"/>
      <c r="GAY378" s="15"/>
      <c r="GAZ378" s="15"/>
      <c r="GBA378" s="15"/>
      <c r="GBB378" s="15"/>
      <c r="GBC378" s="15"/>
      <c r="GBD378" s="10"/>
      <c r="GBE378" s="10"/>
      <c r="GBF378" s="21"/>
      <c r="GBG378" s="21"/>
      <c r="GBJ378" s="21"/>
      <c r="GBK378" s="15"/>
      <c r="GBL378" s="15"/>
      <c r="GBM378" s="15"/>
      <c r="GBN378" s="15"/>
      <c r="GBO378" s="15"/>
      <c r="GBP378" s="15"/>
      <c r="GBQ378" s="15"/>
      <c r="GBR378" s="15"/>
      <c r="GBS378" s="15"/>
      <c r="GBT378" s="15"/>
      <c r="GBU378" s="10"/>
      <c r="GBV378" s="10"/>
      <c r="GBW378" s="21"/>
      <c r="GBX378" s="21"/>
      <c r="GCA378" s="21"/>
      <c r="GCB378" s="15"/>
      <c r="GCC378" s="15"/>
      <c r="GCD378" s="15"/>
      <c r="GCE378" s="15"/>
      <c r="GCF378" s="15"/>
      <c r="GCG378" s="15"/>
      <c r="GCH378" s="15"/>
      <c r="GCI378" s="15"/>
      <c r="GCJ378" s="15"/>
      <c r="GCK378" s="15"/>
      <c r="GCL378" s="10"/>
      <c r="GCM378" s="10"/>
      <c r="GCN378" s="21"/>
      <c r="GCO378" s="21"/>
      <c r="GCR378" s="21"/>
      <c r="GCS378" s="15"/>
      <c r="GCT378" s="15"/>
      <c r="GCU378" s="15"/>
      <c r="GCV378" s="15"/>
      <c r="GCW378" s="15"/>
      <c r="GCX378" s="15"/>
      <c r="GCY378" s="15"/>
      <c r="GCZ378" s="15"/>
      <c r="GDA378" s="15"/>
      <c r="GDB378" s="15"/>
      <c r="GDC378" s="10"/>
      <c r="GDD378" s="10"/>
      <c r="GDE378" s="21"/>
      <c r="GDF378" s="21"/>
      <c r="GDI378" s="21"/>
      <c r="GDJ378" s="15"/>
      <c r="GDK378" s="15"/>
      <c r="GDL378" s="15"/>
      <c r="GDM378" s="15"/>
      <c r="GDN378" s="15"/>
      <c r="GDO378" s="15"/>
      <c r="GDP378" s="15"/>
      <c r="GDQ378" s="15"/>
      <c r="GDR378" s="15"/>
      <c r="GDS378" s="15"/>
      <c r="GDT378" s="10"/>
      <c r="GDU378" s="10"/>
      <c r="GDV378" s="21"/>
      <c r="GDW378" s="21"/>
      <c r="GDZ378" s="21"/>
      <c r="GEA378" s="15"/>
      <c r="GEB378" s="15"/>
      <c r="GEC378" s="15"/>
      <c r="GED378" s="15"/>
      <c r="GEE378" s="15"/>
      <c r="GEF378" s="15"/>
      <c r="GEG378" s="15"/>
      <c r="GEH378" s="15"/>
      <c r="GEI378" s="15"/>
      <c r="GEJ378" s="15"/>
      <c r="GEK378" s="10"/>
      <c r="GEL378" s="10"/>
      <c r="GEM378" s="21"/>
      <c r="GEN378" s="21"/>
      <c r="GEQ378" s="21"/>
      <c r="GER378" s="15"/>
      <c r="GES378" s="15"/>
      <c r="GET378" s="15"/>
      <c r="GEU378" s="15"/>
      <c r="GEV378" s="15"/>
      <c r="GEW378" s="15"/>
      <c r="GEX378" s="15"/>
      <c r="GEY378" s="15"/>
      <c r="GEZ378" s="15"/>
      <c r="GFA378" s="15"/>
      <c r="GFB378" s="10"/>
      <c r="GFC378" s="10"/>
      <c r="GFD378" s="21"/>
      <c r="GFE378" s="21"/>
      <c r="GFH378" s="21"/>
      <c r="GFI378" s="15"/>
      <c r="GFJ378" s="15"/>
      <c r="GFK378" s="15"/>
      <c r="GFL378" s="15"/>
      <c r="GFM378" s="15"/>
      <c r="GFN378" s="15"/>
      <c r="GFO378" s="15"/>
      <c r="GFP378" s="15"/>
      <c r="GFQ378" s="15"/>
      <c r="GFR378" s="15"/>
      <c r="GFS378" s="10"/>
      <c r="GFT378" s="10"/>
      <c r="GFU378" s="21"/>
      <c r="GFV378" s="21"/>
      <c r="GFY378" s="21"/>
      <c r="GFZ378" s="15"/>
      <c r="GGA378" s="15"/>
      <c r="GGB378" s="15"/>
      <c r="GGC378" s="15"/>
      <c r="GGD378" s="15"/>
      <c r="GGE378" s="15"/>
      <c r="GGF378" s="15"/>
      <c r="GGG378" s="15"/>
      <c r="GGH378" s="15"/>
      <c r="GGI378" s="15"/>
      <c r="GGJ378" s="10"/>
      <c r="GGK378" s="10"/>
      <c r="GGL378" s="21"/>
      <c r="GGM378" s="21"/>
      <c r="GGP378" s="21"/>
      <c r="GGQ378" s="15"/>
      <c r="GGR378" s="15"/>
      <c r="GGS378" s="15"/>
      <c r="GGT378" s="15"/>
      <c r="GGU378" s="15"/>
      <c r="GGV378" s="15"/>
      <c r="GGW378" s="15"/>
      <c r="GGX378" s="15"/>
      <c r="GGY378" s="15"/>
      <c r="GGZ378" s="15"/>
      <c r="GHA378" s="10"/>
      <c r="GHB378" s="10"/>
      <c r="GHC378" s="21"/>
      <c r="GHD378" s="21"/>
      <c r="GHG378" s="21"/>
      <c r="GHH378" s="15"/>
      <c r="GHI378" s="15"/>
      <c r="GHJ378" s="15"/>
      <c r="GHK378" s="15"/>
      <c r="GHL378" s="15"/>
      <c r="GHM378" s="15"/>
      <c r="GHN378" s="15"/>
      <c r="GHO378" s="15"/>
      <c r="GHP378" s="15"/>
      <c r="GHQ378" s="15"/>
      <c r="GHR378" s="10"/>
      <c r="GHS378" s="10"/>
      <c r="GHT378" s="21"/>
      <c r="GHU378" s="21"/>
      <c r="GHX378" s="21"/>
      <c r="GHY378" s="15"/>
      <c r="GHZ378" s="15"/>
      <c r="GIA378" s="15"/>
      <c r="GIB378" s="15"/>
      <c r="GIC378" s="15"/>
      <c r="GID378" s="15"/>
      <c r="GIE378" s="15"/>
      <c r="GIF378" s="15"/>
      <c r="GIG378" s="15"/>
      <c r="GIH378" s="15"/>
      <c r="GII378" s="10"/>
      <c r="GIJ378" s="10"/>
      <c r="GIK378" s="21"/>
      <c r="GIL378" s="21"/>
      <c r="GIO378" s="21"/>
      <c r="GIP378" s="15"/>
      <c r="GIQ378" s="15"/>
      <c r="GIR378" s="15"/>
      <c r="GIS378" s="15"/>
      <c r="GIT378" s="15"/>
      <c r="GIU378" s="15"/>
      <c r="GIV378" s="15"/>
      <c r="GIW378" s="15"/>
      <c r="GIX378" s="15"/>
      <c r="GIY378" s="15"/>
      <c r="GIZ378" s="10"/>
      <c r="GJA378" s="10"/>
      <c r="GJB378" s="21"/>
      <c r="GJC378" s="21"/>
      <c r="GJF378" s="21"/>
      <c r="GJG378" s="15"/>
      <c r="GJH378" s="15"/>
      <c r="GJI378" s="15"/>
      <c r="GJJ378" s="15"/>
      <c r="GJK378" s="15"/>
      <c r="GJL378" s="15"/>
      <c r="GJM378" s="15"/>
      <c r="GJN378" s="15"/>
      <c r="GJO378" s="15"/>
      <c r="GJP378" s="15"/>
      <c r="GJQ378" s="10"/>
      <c r="GJR378" s="10"/>
      <c r="GJS378" s="21"/>
      <c r="GJT378" s="21"/>
      <c r="GJW378" s="21"/>
      <c r="GJX378" s="15"/>
      <c r="GJY378" s="15"/>
      <c r="GJZ378" s="15"/>
      <c r="GKA378" s="15"/>
      <c r="GKB378" s="15"/>
      <c r="GKC378" s="15"/>
      <c r="GKD378" s="15"/>
      <c r="GKE378" s="15"/>
      <c r="GKF378" s="15"/>
      <c r="GKG378" s="15"/>
      <c r="GKH378" s="10"/>
      <c r="GKI378" s="10"/>
      <c r="GKJ378" s="21"/>
      <c r="GKK378" s="21"/>
      <c r="GKN378" s="21"/>
      <c r="GKO378" s="15"/>
      <c r="GKP378" s="15"/>
      <c r="GKQ378" s="15"/>
      <c r="GKR378" s="15"/>
      <c r="GKS378" s="15"/>
      <c r="GKT378" s="15"/>
      <c r="GKU378" s="15"/>
      <c r="GKV378" s="15"/>
      <c r="GKW378" s="15"/>
      <c r="GKX378" s="15"/>
      <c r="GKY378" s="10"/>
      <c r="GKZ378" s="10"/>
      <c r="GLA378" s="21"/>
      <c r="GLB378" s="21"/>
      <c r="GLE378" s="21"/>
      <c r="GLF378" s="15"/>
      <c r="GLG378" s="15"/>
      <c r="GLH378" s="15"/>
      <c r="GLI378" s="15"/>
      <c r="GLJ378" s="15"/>
      <c r="GLK378" s="15"/>
      <c r="GLL378" s="15"/>
      <c r="GLM378" s="15"/>
      <c r="GLN378" s="15"/>
      <c r="GLO378" s="15"/>
      <c r="GLP378" s="10"/>
      <c r="GLQ378" s="10"/>
      <c r="GLR378" s="21"/>
      <c r="GLS378" s="21"/>
      <c r="GLV378" s="21"/>
      <c r="GLW378" s="15"/>
      <c r="GLX378" s="15"/>
      <c r="GLY378" s="15"/>
      <c r="GLZ378" s="15"/>
      <c r="GMA378" s="15"/>
      <c r="GMB378" s="15"/>
      <c r="GMC378" s="15"/>
      <c r="GMD378" s="15"/>
      <c r="GME378" s="15"/>
      <c r="GMF378" s="15"/>
      <c r="GMG378" s="10"/>
      <c r="GMH378" s="10"/>
      <c r="GMI378" s="21"/>
      <c r="GMJ378" s="21"/>
      <c r="GMM378" s="21"/>
      <c r="GMN378" s="15"/>
      <c r="GMO378" s="15"/>
      <c r="GMP378" s="15"/>
      <c r="GMQ378" s="15"/>
      <c r="GMR378" s="15"/>
      <c r="GMS378" s="15"/>
      <c r="GMT378" s="15"/>
      <c r="GMU378" s="15"/>
      <c r="GMV378" s="15"/>
      <c r="GMW378" s="15"/>
      <c r="GMX378" s="10"/>
      <c r="GMY378" s="10"/>
      <c r="GMZ378" s="21"/>
      <c r="GNA378" s="21"/>
      <c r="GND378" s="21"/>
      <c r="GNE378" s="15"/>
      <c r="GNF378" s="15"/>
      <c r="GNG378" s="15"/>
      <c r="GNH378" s="15"/>
      <c r="GNI378" s="15"/>
      <c r="GNJ378" s="15"/>
      <c r="GNK378" s="15"/>
      <c r="GNL378" s="15"/>
      <c r="GNM378" s="15"/>
      <c r="GNN378" s="15"/>
      <c r="GNO378" s="10"/>
      <c r="GNP378" s="10"/>
      <c r="GNQ378" s="21"/>
      <c r="GNR378" s="21"/>
      <c r="GNU378" s="21"/>
      <c r="GNV378" s="15"/>
      <c r="GNW378" s="15"/>
      <c r="GNX378" s="15"/>
      <c r="GNY378" s="15"/>
      <c r="GNZ378" s="15"/>
      <c r="GOA378" s="15"/>
      <c r="GOB378" s="15"/>
      <c r="GOC378" s="15"/>
      <c r="GOD378" s="15"/>
      <c r="GOE378" s="15"/>
      <c r="GOF378" s="10"/>
      <c r="GOG378" s="10"/>
      <c r="GOH378" s="21"/>
      <c r="GOI378" s="21"/>
      <c r="GOL378" s="21"/>
      <c r="GOM378" s="15"/>
      <c r="GON378" s="15"/>
      <c r="GOO378" s="15"/>
      <c r="GOP378" s="15"/>
      <c r="GOQ378" s="15"/>
      <c r="GOR378" s="15"/>
      <c r="GOS378" s="15"/>
      <c r="GOT378" s="15"/>
      <c r="GOU378" s="15"/>
      <c r="GOV378" s="15"/>
      <c r="GOW378" s="10"/>
      <c r="GOX378" s="10"/>
      <c r="GOY378" s="21"/>
      <c r="GOZ378" s="21"/>
      <c r="GPC378" s="21"/>
      <c r="GPD378" s="15"/>
      <c r="GPE378" s="15"/>
      <c r="GPF378" s="15"/>
      <c r="GPG378" s="15"/>
      <c r="GPH378" s="15"/>
      <c r="GPI378" s="15"/>
      <c r="GPJ378" s="15"/>
      <c r="GPK378" s="15"/>
      <c r="GPL378" s="15"/>
      <c r="GPM378" s="15"/>
      <c r="GPN378" s="10"/>
      <c r="GPO378" s="10"/>
      <c r="GPP378" s="21"/>
      <c r="GPQ378" s="21"/>
      <c r="GPT378" s="21"/>
      <c r="GPU378" s="15"/>
      <c r="GPV378" s="15"/>
      <c r="GPW378" s="15"/>
      <c r="GPX378" s="15"/>
      <c r="GPY378" s="15"/>
      <c r="GPZ378" s="15"/>
      <c r="GQA378" s="15"/>
      <c r="GQB378" s="15"/>
      <c r="GQC378" s="15"/>
      <c r="GQD378" s="15"/>
      <c r="GQE378" s="10"/>
      <c r="GQF378" s="10"/>
      <c r="GQG378" s="21"/>
      <c r="GQH378" s="21"/>
      <c r="GQK378" s="21"/>
      <c r="GQL378" s="15"/>
      <c r="GQM378" s="15"/>
      <c r="GQN378" s="15"/>
      <c r="GQO378" s="15"/>
      <c r="GQP378" s="15"/>
      <c r="GQQ378" s="15"/>
      <c r="GQR378" s="15"/>
      <c r="GQS378" s="15"/>
      <c r="GQT378" s="15"/>
      <c r="GQU378" s="15"/>
      <c r="GQV378" s="10"/>
      <c r="GQW378" s="10"/>
      <c r="GQX378" s="21"/>
      <c r="GQY378" s="21"/>
      <c r="GRB378" s="21"/>
      <c r="GRC378" s="15"/>
      <c r="GRD378" s="15"/>
      <c r="GRE378" s="15"/>
      <c r="GRF378" s="15"/>
      <c r="GRG378" s="15"/>
      <c r="GRH378" s="15"/>
      <c r="GRI378" s="15"/>
      <c r="GRJ378" s="15"/>
      <c r="GRK378" s="15"/>
      <c r="GRL378" s="15"/>
      <c r="GRM378" s="10"/>
      <c r="GRN378" s="10"/>
      <c r="GRO378" s="21"/>
      <c r="GRP378" s="21"/>
      <c r="GRS378" s="21"/>
      <c r="GRT378" s="15"/>
      <c r="GRU378" s="15"/>
      <c r="GRV378" s="15"/>
      <c r="GRW378" s="15"/>
      <c r="GRX378" s="15"/>
      <c r="GRY378" s="15"/>
      <c r="GRZ378" s="15"/>
      <c r="GSA378" s="15"/>
      <c r="GSB378" s="15"/>
      <c r="GSC378" s="15"/>
      <c r="GSD378" s="10"/>
      <c r="GSE378" s="10"/>
      <c r="GSF378" s="21"/>
      <c r="GSG378" s="21"/>
      <c r="GSJ378" s="21"/>
      <c r="GSK378" s="15"/>
      <c r="GSL378" s="15"/>
      <c r="GSM378" s="15"/>
      <c r="GSN378" s="15"/>
      <c r="GSO378" s="15"/>
      <c r="GSP378" s="15"/>
      <c r="GSQ378" s="15"/>
      <c r="GSR378" s="15"/>
      <c r="GSS378" s="15"/>
      <c r="GST378" s="15"/>
      <c r="GSU378" s="10"/>
      <c r="GSV378" s="10"/>
      <c r="GSW378" s="21"/>
      <c r="GSX378" s="21"/>
      <c r="GTA378" s="21"/>
      <c r="GTB378" s="15"/>
      <c r="GTC378" s="15"/>
      <c r="GTD378" s="15"/>
      <c r="GTE378" s="15"/>
      <c r="GTF378" s="15"/>
      <c r="GTG378" s="15"/>
      <c r="GTH378" s="15"/>
      <c r="GTI378" s="15"/>
      <c r="GTJ378" s="15"/>
      <c r="GTK378" s="15"/>
      <c r="GTL378" s="10"/>
      <c r="GTM378" s="10"/>
      <c r="GTN378" s="21"/>
      <c r="GTO378" s="21"/>
      <c r="GTR378" s="21"/>
      <c r="GTS378" s="15"/>
      <c r="GTT378" s="15"/>
      <c r="GTU378" s="15"/>
      <c r="GTV378" s="15"/>
      <c r="GTW378" s="15"/>
      <c r="GTX378" s="15"/>
      <c r="GTY378" s="15"/>
      <c r="GTZ378" s="15"/>
      <c r="GUA378" s="15"/>
      <c r="GUB378" s="15"/>
      <c r="GUC378" s="10"/>
      <c r="GUD378" s="10"/>
      <c r="GUE378" s="21"/>
      <c r="GUF378" s="21"/>
      <c r="GUI378" s="21"/>
      <c r="GUJ378" s="15"/>
      <c r="GUK378" s="15"/>
      <c r="GUL378" s="15"/>
      <c r="GUM378" s="15"/>
      <c r="GUN378" s="15"/>
      <c r="GUO378" s="15"/>
      <c r="GUP378" s="15"/>
      <c r="GUQ378" s="15"/>
      <c r="GUR378" s="15"/>
      <c r="GUS378" s="15"/>
      <c r="GUT378" s="10"/>
      <c r="GUU378" s="10"/>
      <c r="GUV378" s="21"/>
      <c r="GUW378" s="21"/>
      <c r="GUZ378" s="21"/>
      <c r="GVA378" s="15"/>
      <c r="GVB378" s="15"/>
      <c r="GVC378" s="15"/>
      <c r="GVD378" s="15"/>
      <c r="GVE378" s="15"/>
      <c r="GVF378" s="15"/>
      <c r="GVG378" s="15"/>
      <c r="GVH378" s="15"/>
      <c r="GVI378" s="15"/>
      <c r="GVJ378" s="15"/>
      <c r="GVK378" s="10"/>
      <c r="GVL378" s="10"/>
      <c r="GVM378" s="21"/>
      <c r="GVN378" s="21"/>
      <c r="GVQ378" s="21"/>
      <c r="GVR378" s="15"/>
      <c r="GVS378" s="15"/>
      <c r="GVT378" s="15"/>
      <c r="GVU378" s="15"/>
      <c r="GVV378" s="15"/>
      <c r="GVW378" s="15"/>
      <c r="GVX378" s="15"/>
      <c r="GVY378" s="15"/>
      <c r="GVZ378" s="15"/>
      <c r="GWA378" s="15"/>
      <c r="GWB378" s="10"/>
      <c r="GWC378" s="10"/>
      <c r="GWD378" s="21"/>
      <c r="GWE378" s="21"/>
      <c r="GWH378" s="21"/>
      <c r="GWI378" s="15"/>
      <c r="GWJ378" s="15"/>
      <c r="GWK378" s="15"/>
      <c r="GWL378" s="15"/>
      <c r="GWM378" s="15"/>
      <c r="GWN378" s="15"/>
      <c r="GWO378" s="15"/>
      <c r="GWP378" s="15"/>
      <c r="GWQ378" s="15"/>
      <c r="GWR378" s="15"/>
      <c r="GWS378" s="10"/>
      <c r="GWT378" s="10"/>
      <c r="GWU378" s="21"/>
      <c r="GWV378" s="21"/>
      <c r="GWY378" s="21"/>
      <c r="GWZ378" s="15"/>
      <c r="GXA378" s="15"/>
      <c r="GXB378" s="15"/>
      <c r="GXC378" s="15"/>
      <c r="GXD378" s="15"/>
      <c r="GXE378" s="15"/>
      <c r="GXF378" s="15"/>
      <c r="GXG378" s="15"/>
      <c r="GXH378" s="15"/>
      <c r="GXI378" s="15"/>
      <c r="GXJ378" s="10"/>
      <c r="GXK378" s="10"/>
      <c r="GXL378" s="21"/>
      <c r="GXM378" s="21"/>
      <c r="GXP378" s="21"/>
      <c r="GXQ378" s="15"/>
      <c r="GXR378" s="15"/>
      <c r="GXS378" s="15"/>
      <c r="GXT378" s="15"/>
      <c r="GXU378" s="15"/>
      <c r="GXV378" s="15"/>
      <c r="GXW378" s="15"/>
      <c r="GXX378" s="15"/>
      <c r="GXY378" s="15"/>
      <c r="GXZ378" s="15"/>
      <c r="GYA378" s="10"/>
      <c r="GYB378" s="10"/>
      <c r="GYC378" s="21"/>
      <c r="GYD378" s="21"/>
      <c r="GYG378" s="21"/>
      <c r="GYH378" s="15"/>
      <c r="GYI378" s="15"/>
      <c r="GYJ378" s="15"/>
      <c r="GYK378" s="15"/>
      <c r="GYL378" s="15"/>
      <c r="GYM378" s="15"/>
      <c r="GYN378" s="15"/>
      <c r="GYO378" s="15"/>
      <c r="GYP378" s="15"/>
      <c r="GYQ378" s="15"/>
      <c r="GYR378" s="10"/>
      <c r="GYS378" s="10"/>
      <c r="GYT378" s="21"/>
      <c r="GYU378" s="21"/>
      <c r="GYX378" s="21"/>
      <c r="GYY378" s="15"/>
      <c r="GYZ378" s="15"/>
      <c r="GZA378" s="15"/>
      <c r="GZB378" s="15"/>
      <c r="GZC378" s="15"/>
      <c r="GZD378" s="15"/>
      <c r="GZE378" s="15"/>
      <c r="GZF378" s="15"/>
      <c r="GZG378" s="15"/>
      <c r="GZH378" s="15"/>
      <c r="GZI378" s="10"/>
      <c r="GZJ378" s="10"/>
      <c r="GZK378" s="21"/>
      <c r="GZL378" s="21"/>
      <c r="GZO378" s="21"/>
      <c r="GZP378" s="15"/>
      <c r="GZQ378" s="15"/>
      <c r="GZR378" s="15"/>
      <c r="GZS378" s="15"/>
      <c r="GZT378" s="15"/>
      <c r="GZU378" s="15"/>
      <c r="GZV378" s="15"/>
      <c r="GZW378" s="15"/>
      <c r="GZX378" s="15"/>
      <c r="GZY378" s="15"/>
      <c r="GZZ378" s="10"/>
      <c r="HAA378" s="10"/>
      <c r="HAB378" s="21"/>
      <c r="HAC378" s="21"/>
      <c r="HAF378" s="21"/>
      <c r="HAG378" s="15"/>
      <c r="HAH378" s="15"/>
      <c r="HAI378" s="15"/>
      <c r="HAJ378" s="15"/>
      <c r="HAK378" s="15"/>
      <c r="HAL378" s="15"/>
      <c r="HAM378" s="15"/>
      <c r="HAN378" s="15"/>
      <c r="HAO378" s="15"/>
      <c r="HAP378" s="15"/>
      <c r="HAQ378" s="10"/>
      <c r="HAR378" s="10"/>
      <c r="HAS378" s="21"/>
      <c r="HAT378" s="21"/>
      <c r="HAW378" s="21"/>
      <c r="HAX378" s="15"/>
      <c r="HAY378" s="15"/>
      <c r="HAZ378" s="15"/>
      <c r="HBA378" s="15"/>
      <c r="HBB378" s="15"/>
      <c r="HBC378" s="15"/>
      <c r="HBD378" s="15"/>
      <c r="HBE378" s="15"/>
      <c r="HBF378" s="15"/>
      <c r="HBG378" s="15"/>
      <c r="HBH378" s="10"/>
      <c r="HBI378" s="10"/>
      <c r="HBJ378" s="21"/>
      <c r="HBK378" s="21"/>
      <c r="HBN378" s="21"/>
      <c r="HBO378" s="15"/>
      <c r="HBP378" s="15"/>
      <c r="HBQ378" s="15"/>
      <c r="HBR378" s="15"/>
      <c r="HBS378" s="15"/>
      <c r="HBT378" s="15"/>
      <c r="HBU378" s="15"/>
      <c r="HBV378" s="15"/>
      <c r="HBW378" s="15"/>
      <c r="HBX378" s="15"/>
      <c r="HBY378" s="10"/>
      <c r="HBZ378" s="10"/>
      <c r="HCA378" s="21"/>
      <c r="HCB378" s="21"/>
      <c r="HCE378" s="21"/>
      <c r="HCF378" s="15"/>
      <c r="HCG378" s="15"/>
      <c r="HCH378" s="15"/>
      <c r="HCI378" s="15"/>
      <c r="HCJ378" s="15"/>
      <c r="HCK378" s="15"/>
      <c r="HCL378" s="15"/>
      <c r="HCM378" s="15"/>
      <c r="HCN378" s="15"/>
      <c r="HCO378" s="15"/>
      <c r="HCP378" s="10"/>
      <c r="HCQ378" s="10"/>
      <c r="HCR378" s="21"/>
      <c r="HCS378" s="21"/>
      <c r="HCV378" s="21"/>
      <c r="HCW378" s="15"/>
      <c r="HCX378" s="15"/>
      <c r="HCY378" s="15"/>
      <c r="HCZ378" s="15"/>
      <c r="HDA378" s="15"/>
      <c r="HDB378" s="15"/>
      <c r="HDC378" s="15"/>
      <c r="HDD378" s="15"/>
      <c r="HDE378" s="15"/>
      <c r="HDF378" s="15"/>
      <c r="HDG378" s="10"/>
      <c r="HDH378" s="10"/>
      <c r="HDI378" s="21"/>
      <c r="HDJ378" s="21"/>
      <c r="HDM378" s="21"/>
      <c r="HDN378" s="15"/>
      <c r="HDO378" s="15"/>
      <c r="HDP378" s="15"/>
      <c r="HDQ378" s="15"/>
      <c r="HDR378" s="15"/>
      <c r="HDS378" s="15"/>
      <c r="HDT378" s="15"/>
      <c r="HDU378" s="15"/>
      <c r="HDV378" s="15"/>
      <c r="HDW378" s="15"/>
      <c r="HDX378" s="10"/>
      <c r="HDY378" s="10"/>
      <c r="HDZ378" s="21"/>
      <c r="HEA378" s="21"/>
      <c r="HED378" s="21"/>
      <c r="HEE378" s="15"/>
      <c r="HEF378" s="15"/>
      <c r="HEG378" s="15"/>
      <c r="HEH378" s="15"/>
      <c r="HEI378" s="15"/>
      <c r="HEJ378" s="15"/>
      <c r="HEK378" s="15"/>
      <c r="HEL378" s="15"/>
      <c r="HEM378" s="15"/>
      <c r="HEN378" s="15"/>
      <c r="HEO378" s="10"/>
      <c r="HEP378" s="10"/>
      <c r="HEQ378" s="21"/>
      <c r="HER378" s="21"/>
      <c r="HEU378" s="21"/>
      <c r="HEV378" s="15"/>
      <c r="HEW378" s="15"/>
      <c r="HEX378" s="15"/>
      <c r="HEY378" s="15"/>
      <c r="HEZ378" s="15"/>
      <c r="HFA378" s="15"/>
      <c r="HFB378" s="15"/>
      <c r="HFC378" s="15"/>
      <c r="HFD378" s="15"/>
      <c r="HFE378" s="15"/>
      <c r="HFF378" s="10"/>
      <c r="HFG378" s="10"/>
      <c r="HFH378" s="21"/>
      <c r="HFI378" s="21"/>
      <c r="HFL378" s="21"/>
      <c r="HFM378" s="15"/>
      <c r="HFN378" s="15"/>
      <c r="HFO378" s="15"/>
      <c r="HFP378" s="15"/>
      <c r="HFQ378" s="15"/>
      <c r="HFR378" s="15"/>
      <c r="HFS378" s="15"/>
      <c r="HFT378" s="15"/>
      <c r="HFU378" s="15"/>
      <c r="HFV378" s="15"/>
      <c r="HFW378" s="10"/>
      <c r="HFX378" s="10"/>
      <c r="HFY378" s="21"/>
      <c r="HFZ378" s="21"/>
      <c r="HGC378" s="21"/>
      <c r="HGD378" s="15"/>
      <c r="HGE378" s="15"/>
      <c r="HGF378" s="15"/>
      <c r="HGG378" s="15"/>
      <c r="HGH378" s="15"/>
      <c r="HGI378" s="15"/>
      <c r="HGJ378" s="15"/>
      <c r="HGK378" s="15"/>
      <c r="HGL378" s="15"/>
      <c r="HGM378" s="15"/>
      <c r="HGN378" s="10"/>
      <c r="HGO378" s="10"/>
      <c r="HGP378" s="21"/>
      <c r="HGQ378" s="21"/>
      <c r="HGT378" s="21"/>
      <c r="HGU378" s="15"/>
      <c r="HGV378" s="15"/>
      <c r="HGW378" s="15"/>
      <c r="HGX378" s="15"/>
      <c r="HGY378" s="15"/>
      <c r="HGZ378" s="15"/>
      <c r="HHA378" s="15"/>
      <c r="HHB378" s="15"/>
      <c r="HHC378" s="15"/>
      <c r="HHD378" s="15"/>
      <c r="HHE378" s="10"/>
      <c r="HHF378" s="10"/>
      <c r="HHG378" s="21"/>
      <c r="HHH378" s="21"/>
      <c r="HHK378" s="21"/>
      <c r="HHL378" s="15"/>
      <c r="HHM378" s="15"/>
      <c r="HHN378" s="15"/>
      <c r="HHO378" s="15"/>
      <c r="HHP378" s="15"/>
      <c r="HHQ378" s="15"/>
      <c r="HHR378" s="15"/>
      <c r="HHS378" s="15"/>
      <c r="HHT378" s="15"/>
      <c r="HHU378" s="15"/>
      <c r="HHV378" s="10"/>
      <c r="HHW378" s="10"/>
      <c r="HHX378" s="21"/>
      <c r="HHY378" s="21"/>
      <c r="HIB378" s="21"/>
      <c r="HIC378" s="15"/>
      <c r="HID378" s="15"/>
      <c r="HIE378" s="15"/>
      <c r="HIF378" s="15"/>
      <c r="HIG378" s="15"/>
      <c r="HIH378" s="15"/>
      <c r="HII378" s="15"/>
      <c r="HIJ378" s="15"/>
      <c r="HIK378" s="15"/>
      <c r="HIL378" s="15"/>
      <c r="HIM378" s="10"/>
      <c r="HIN378" s="10"/>
      <c r="HIO378" s="21"/>
      <c r="HIP378" s="21"/>
      <c r="HIS378" s="21"/>
      <c r="HIT378" s="15"/>
      <c r="HIU378" s="15"/>
      <c r="HIV378" s="15"/>
      <c r="HIW378" s="15"/>
      <c r="HIX378" s="15"/>
      <c r="HIY378" s="15"/>
      <c r="HIZ378" s="15"/>
      <c r="HJA378" s="15"/>
      <c r="HJB378" s="15"/>
      <c r="HJC378" s="15"/>
      <c r="HJD378" s="10"/>
      <c r="HJE378" s="10"/>
      <c r="HJF378" s="21"/>
      <c r="HJG378" s="21"/>
      <c r="HJJ378" s="21"/>
      <c r="HJK378" s="15"/>
      <c r="HJL378" s="15"/>
      <c r="HJM378" s="15"/>
      <c r="HJN378" s="15"/>
      <c r="HJO378" s="15"/>
      <c r="HJP378" s="15"/>
      <c r="HJQ378" s="15"/>
      <c r="HJR378" s="15"/>
      <c r="HJS378" s="15"/>
      <c r="HJT378" s="15"/>
      <c r="HJU378" s="10"/>
      <c r="HJV378" s="10"/>
      <c r="HJW378" s="21"/>
      <c r="HJX378" s="21"/>
      <c r="HKA378" s="21"/>
      <c r="HKB378" s="15"/>
      <c r="HKC378" s="15"/>
      <c r="HKD378" s="15"/>
      <c r="HKE378" s="15"/>
      <c r="HKF378" s="15"/>
      <c r="HKG378" s="15"/>
      <c r="HKH378" s="15"/>
      <c r="HKI378" s="15"/>
      <c r="HKJ378" s="15"/>
      <c r="HKK378" s="15"/>
      <c r="HKL378" s="10"/>
      <c r="HKM378" s="10"/>
      <c r="HKN378" s="21"/>
      <c r="HKO378" s="21"/>
      <c r="HKR378" s="21"/>
      <c r="HKS378" s="15"/>
      <c r="HKT378" s="15"/>
      <c r="HKU378" s="15"/>
      <c r="HKV378" s="15"/>
      <c r="HKW378" s="15"/>
      <c r="HKX378" s="15"/>
      <c r="HKY378" s="15"/>
      <c r="HKZ378" s="15"/>
      <c r="HLA378" s="15"/>
      <c r="HLB378" s="15"/>
      <c r="HLC378" s="10"/>
      <c r="HLD378" s="10"/>
      <c r="HLE378" s="21"/>
      <c r="HLF378" s="21"/>
      <c r="HLI378" s="21"/>
      <c r="HLJ378" s="15"/>
      <c r="HLK378" s="15"/>
      <c r="HLL378" s="15"/>
      <c r="HLM378" s="15"/>
      <c r="HLN378" s="15"/>
      <c r="HLO378" s="15"/>
      <c r="HLP378" s="15"/>
      <c r="HLQ378" s="15"/>
      <c r="HLR378" s="15"/>
      <c r="HLS378" s="15"/>
      <c r="HLT378" s="10"/>
      <c r="HLU378" s="10"/>
      <c r="HLV378" s="21"/>
      <c r="HLW378" s="21"/>
      <c r="HLZ378" s="21"/>
      <c r="HMA378" s="15"/>
      <c r="HMB378" s="15"/>
      <c r="HMC378" s="15"/>
      <c r="HMD378" s="15"/>
      <c r="HME378" s="15"/>
      <c r="HMF378" s="15"/>
      <c r="HMG378" s="15"/>
      <c r="HMH378" s="15"/>
      <c r="HMI378" s="15"/>
      <c r="HMJ378" s="15"/>
      <c r="HMK378" s="10"/>
      <c r="HML378" s="10"/>
      <c r="HMM378" s="21"/>
      <c r="HMN378" s="21"/>
      <c r="HMQ378" s="21"/>
      <c r="HMR378" s="15"/>
      <c r="HMS378" s="15"/>
      <c r="HMT378" s="15"/>
      <c r="HMU378" s="15"/>
      <c r="HMV378" s="15"/>
      <c r="HMW378" s="15"/>
      <c r="HMX378" s="15"/>
      <c r="HMY378" s="15"/>
      <c r="HMZ378" s="15"/>
      <c r="HNA378" s="15"/>
      <c r="HNB378" s="10"/>
      <c r="HNC378" s="10"/>
      <c r="HND378" s="21"/>
      <c r="HNE378" s="21"/>
      <c r="HNH378" s="21"/>
      <c r="HNI378" s="15"/>
      <c r="HNJ378" s="15"/>
      <c r="HNK378" s="15"/>
      <c r="HNL378" s="15"/>
      <c r="HNM378" s="15"/>
      <c r="HNN378" s="15"/>
      <c r="HNO378" s="15"/>
      <c r="HNP378" s="15"/>
      <c r="HNQ378" s="15"/>
      <c r="HNR378" s="15"/>
      <c r="HNS378" s="10"/>
      <c r="HNT378" s="10"/>
      <c r="HNU378" s="21"/>
      <c r="HNV378" s="21"/>
      <c r="HNY378" s="21"/>
      <c r="HNZ378" s="15"/>
      <c r="HOA378" s="15"/>
      <c r="HOB378" s="15"/>
      <c r="HOC378" s="15"/>
      <c r="HOD378" s="15"/>
      <c r="HOE378" s="15"/>
      <c r="HOF378" s="15"/>
      <c r="HOG378" s="15"/>
      <c r="HOH378" s="15"/>
      <c r="HOI378" s="15"/>
      <c r="HOJ378" s="10"/>
      <c r="HOK378" s="10"/>
      <c r="HOL378" s="21"/>
      <c r="HOM378" s="21"/>
      <c r="HOP378" s="21"/>
      <c r="HOQ378" s="15"/>
      <c r="HOR378" s="15"/>
      <c r="HOS378" s="15"/>
      <c r="HOT378" s="15"/>
      <c r="HOU378" s="15"/>
      <c r="HOV378" s="15"/>
      <c r="HOW378" s="15"/>
      <c r="HOX378" s="15"/>
      <c r="HOY378" s="15"/>
      <c r="HOZ378" s="15"/>
      <c r="HPA378" s="10"/>
      <c r="HPB378" s="10"/>
      <c r="HPC378" s="21"/>
      <c r="HPD378" s="21"/>
      <c r="HPG378" s="21"/>
      <c r="HPH378" s="15"/>
      <c r="HPI378" s="15"/>
      <c r="HPJ378" s="15"/>
      <c r="HPK378" s="15"/>
      <c r="HPL378" s="15"/>
      <c r="HPM378" s="15"/>
      <c r="HPN378" s="15"/>
      <c r="HPO378" s="15"/>
      <c r="HPP378" s="15"/>
      <c r="HPQ378" s="15"/>
      <c r="HPR378" s="10"/>
      <c r="HPS378" s="10"/>
      <c r="HPT378" s="21"/>
      <c r="HPU378" s="21"/>
      <c r="HPX378" s="21"/>
      <c r="HPY378" s="15"/>
      <c r="HPZ378" s="15"/>
      <c r="HQA378" s="15"/>
      <c r="HQB378" s="15"/>
      <c r="HQC378" s="15"/>
      <c r="HQD378" s="15"/>
      <c r="HQE378" s="15"/>
      <c r="HQF378" s="15"/>
      <c r="HQG378" s="15"/>
      <c r="HQH378" s="15"/>
      <c r="HQI378" s="10"/>
      <c r="HQJ378" s="10"/>
      <c r="HQK378" s="21"/>
      <c r="HQL378" s="21"/>
      <c r="HQO378" s="21"/>
      <c r="HQP378" s="15"/>
      <c r="HQQ378" s="15"/>
      <c r="HQR378" s="15"/>
      <c r="HQS378" s="15"/>
      <c r="HQT378" s="15"/>
      <c r="HQU378" s="15"/>
      <c r="HQV378" s="15"/>
      <c r="HQW378" s="15"/>
      <c r="HQX378" s="15"/>
      <c r="HQY378" s="15"/>
      <c r="HQZ378" s="10"/>
      <c r="HRA378" s="10"/>
      <c r="HRB378" s="21"/>
      <c r="HRC378" s="21"/>
      <c r="HRF378" s="21"/>
      <c r="HRG378" s="15"/>
      <c r="HRH378" s="15"/>
      <c r="HRI378" s="15"/>
      <c r="HRJ378" s="15"/>
      <c r="HRK378" s="15"/>
      <c r="HRL378" s="15"/>
      <c r="HRM378" s="15"/>
      <c r="HRN378" s="15"/>
      <c r="HRO378" s="15"/>
      <c r="HRP378" s="15"/>
      <c r="HRQ378" s="10"/>
      <c r="HRR378" s="10"/>
      <c r="HRS378" s="21"/>
      <c r="HRT378" s="21"/>
      <c r="HRW378" s="21"/>
      <c r="HRX378" s="15"/>
      <c r="HRY378" s="15"/>
      <c r="HRZ378" s="15"/>
      <c r="HSA378" s="15"/>
      <c r="HSB378" s="15"/>
      <c r="HSC378" s="15"/>
      <c r="HSD378" s="15"/>
      <c r="HSE378" s="15"/>
      <c r="HSF378" s="15"/>
      <c r="HSG378" s="15"/>
      <c r="HSH378" s="10"/>
      <c r="HSI378" s="10"/>
      <c r="HSJ378" s="21"/>
      <c r="HSK378" s="21"/>
      <c r="HSN378" s="21"/>
      <c r="HSO378" s="15"/>
      <c r="HSP378" s="15"/>
      <c r="HSQ378" s="15"/>
      <c r="HSR378" s="15"/>
      <c r="HSS378" s="15"/>
      <c r="HST378" s="15"/>
      <c r="HSU378" s="15"/>
      <c r="HSV378" s="15"/>
      <c r="HSW378" s="15"/>
      <c r="HSX378" s="15"/>
      <c r="HSY378" s="10"/>
      <c r="HSZ378" s="10"/>
      <c r="HTA378" s="21"/>
      <c r="HTB378" s="21"/>
      <c r="HTE378" s="21"/>
      <c r="HTF378" s="15"/>
      <c r="HTG378" s="15"/>
      <c r="HTH378" s="15"/>
      <c r="HTI378" s="15"/>
      <c r="HTJ378" s="15"/>
      <c r="HTK378" s="15"/>
      <c r="HTL378" s="15"/>
      <c r="HTM378" s="15"/>
      <c r="HTN378" s="15"/>
      <c r="HTO378" s="15"/>
      <c r="HTP378" s="10"/>
      <c r="HTQ378" s="10"/>
      <c r="HTR378" s="21"/>
      <c r="HTS378" s="21"/>
      <c r="HTV378" s="21"/>
      <c r="HTW378" s="15"/>
      <c r="HTX378" s="15"/>
      <c r="HTY378" s="15"/>
      <c r="HTZ378" s="15"/>
      <c r="HUA378" s="15"/>
      <c r="HUB378" s="15"/>
      <c r="HUC378" s="15"/>
      <c r="HUD378" s="15"/>
      <c r="HUE378" s="15"/>
      <c r="HUF378" s="15"/>
      <c r="HUG378" s="10"/>
      <c r="HUH378" s="10"/>
      <c r="HUI378" s="21"/>
      <c r="HUJ378" s="21"/>
      <c r="HUM378" s="21"/>
      <c r="HUN378" s="15"/>
      <c r="HUO378" s="15"/>
      <c r="HUP378" s="15"/>
      <c r="HUQ378" s="15"/>
      <c r="HUR378" s="15"/>
      <c r="HUS378" s="15"/>
      <c r="HUT378" s="15"/>
      <c r="HUU378" s="15"/>
      <c r="HUV378" s="15"/>
      <c r="HUW378" s="15"/>
      <c r="HUX378" s="10"/>
      <c r="HUY378" s="10"/>
      <c r="HUZ378" s="21"/>
      <c r="HVA378" s="21"/>
      <c r="HVD378" s="21"/>
      <c r="HVE378" s="15"/>
      <c r="HVF378" s="15"/>
      <c r="HVG378" s="15"/>
      <c r="HVH378" s="15"/>
      <c r="HVI378" s="15"/>
      <c r="HVJ378" s="15"/>
      <c r="HVK378" s="15"/>
      <c r="HVL378" s="15"/>
      <c r="HVM378" s="15"/>
      <c r="HVN378" s="15"/>
      <c r="HVO378" s="10"/>
      <c r="HVP378" s="10"/>
      <c r="HVQ378" s="21"/>
      <c r="HVR378" s="21"/>
      <c r="HVU378" s="21"/>
      <c r="HVV378" s="15"/>
      <c r="HVW378" s="15"/>
      <c r="HVX378" s="15"/>
      <c r="HVY378" s="15"/>
      <c r="HVZ378" s="15"/>
      <c r="HWA378" s="15"/>
      <c r="HWB378" s="15"/>
      <c r="HWC378" s="15"/>
      <c r="HWD378" s="15"/>
      <c r="HWE378" s="15"/>
      <c r="HWF378" s="10"/>
      <c r="HWG378" s="10"/>
      <c r="HWH378" s="21"/>
      <c r="HWI378" s="21"/>
      <c r="HWL378" s="21"/>
      <c r="HWM378" s="15"/>
      <c r="HWN378" s="15"/>
      <c r="HWO378" s="15"/>
      <c r="HWP378" s="15"/>
      <c r="HWQ378" s="15"/>
      <c r="HWR378" s="15"/>
      <c r="HWS378" s="15"/>
      <c r="HWT378" s="15"/>
      <c r="HWU378" s="15"/>
      <c r="HWV378" s="15"/>
      <c r="HWW378" s="10"/>
      <c r="HWX378" s="10"/>
      <c r="HWY378" s="21"/>
      <c r="HWZ378" s="21"/>
      <c r="HXC378" s="21"/>
      <c r="HXD378" s="15"/>
      <c r="HXE378" s="15"/>
      <c r="HXF378" s="15"/>
      <c r="HXG378" s="15"/>
      <c r="HXH378" s="15"/>
      <c r="HXI378" s="15"/>
      <c r="HXJ378" s="15"/>
      <c r="HXK378" s="15"/>
      <c r="HXL378" s="15"/>
      <c r="HXM378" s="15"/>
      <c r="HXN378" s="10"/>
      <c r="HXO378" s="10"/>
      <c r="HXP378" s="21"/>
      <c r="HXQ378" s="21"/>
      <c r="HXT378" s="21"/>
      <c r="HXU378" s="15"/>
      <c r="HXV378" s="15"/>
      <c r="HXW378" s="15"/>
      <c r="HXX378" s="15"/>
      <c r="HXY378" s="15"/>
      <c r="HXZ378" s="15"/>
      <c r="HYA378" s="15"/>
      <c r="HYB378" s="15"/>
      <c r="HYC378" s="15"/>
      <c r="HYD378" s="15"/>
      <c r="HYE378" s="10"/>
      <c r="HYF378" s="10"/>
      <c r="HYG378" s="21"/>
      <c r="HYH378" s="21"/>
      <c r="HYK378" s="21"/>
      <c r="HYL378" s="15"/>
      <c r="HYM378" s="15"/>
      <c r="HYN378" s="15"/>
      <c r="HYO378" s="15"/>
      <c r="HYP378" s="15"/>
      <c r="HYQ378" s="15"/>
      <c r="HYR378" s="15"/>
      <c r="HYS378" s="15"/>
      <c r="HYT378" s="15"/>
      <c r="HYU378" s="15"/>
      <c r="HYV378" s="10"/>
      <c r="HYW378" s="10"/>
      <c r="HYX378" s="21"/>
      <c r="HYY378" s="21"/>
      <c r="HZB378" s="21"/>
      <c r="HZC378" s="15"/>
      <c r="HZD378" s="15"/>
      <c r="HZE378" s="15"/>
      <c r="HZF378" s="15"/>
      <c r="HZG378" s="15"/>
      <c r="HZH378" s="15"/>
      <c r="HZI378" s="15"/>
      <c r="HZJ378" s="15"/>
      <c r="HZK378" s="15"/>
      <c r="HZL378" s="15"/>
      <c r="HZM378" s="10"/>
      <c r="HZN378" s="10"/>
      <c r="HZO378" s="21"/>
      <c r="HZP378" s="21"/>
      <c r="HZS378" s="21"/>
      <c r="HZT378" s="15"/>
      <c r="HZU378" s="15"/>
      <c r="HZV378" s="15"/>
      <c r="HZW378" s="15"/>
      <c r="HZX378" s="15"/>
      <c r="HZY378" s="15"/>
      <c r="HZZ378" s="15"/>
      <c r="IAA378" s="15"/>
      <c r="IAB378" s="15"/>
      <c r="IAC378" s="15"/>
      <c r="IAD378" s="10"/>
      <c r="IAE378" s="10"/>
      <c r="IAF378" s="21"/>
      <c r="IAG378" s="21"/>
      <c r="IAJ378" s="21"/>
      <c r="IAK378" s="15"/>
      <c r="IAL378" s="15"/>
      <c r="IAM378" s="15"/>
      <c r="IAN378" s="15"/>
      <c r="IAO378" s="15"/>
      <c r="IAP378" s="15"/>
      <c r="IAQ378" s="15"/>
      <c r="IAR378" s="15"/>
      <c r="IAS378" s="15"/>
      <c r="IAT378" s="15"/>
      <c r="IAU378" s="10"/>
      <c r="IAV378" s="10"/>
      <c r="IAW378" s="21"/>
      <c r="IAX378" s="21"/>
      <c r="IBA378" s="21"/>
      <c r="IBB378" s="15"/>
      <c r="IBC378" s="15"/>
      <c r="IBD378" s="15"/>
      <c r="IBE378" s="15"/>
      <c r="IBF378" s="15"/>
      <c r="IBG378" s="15"/>
      <c r="IBH378" s="15"/>
      <c r="IBI378" s="15"/>
      <c r="IBJ378" s="15"/>
      <c r="IBK378" s="15"/>
      <c r="IBL378" s="10"/>
      <c r="IBM378" s="10"/>
      <c r="IBN378" s="21"/>
      <c r="IBO378" s="21"/>
      <c r="IBR378" s="21"/>
      <c r="IBS378" s="15"/>
      <c r="IBT378" s="15"/>
      <c r="IBU378" s="15"/>
      <c r="IBV378" s="15"/>
      <c r="IBW378" s="15"/>
      <c r="IBX378" s="15"/>
      <c r="IBY378" s="15"/>
      <c r="IBZ378" s="15"/>
      <c r="ICA378" s="15"/>
      <c r="ICB378" s="15"/>
      <c r="ICC378" s="10"/>
      <c r="ICD378" s="10"/>
      <c r="ICE378" s="21"/>
      <c r="ICF378" s="21"/>
      <c r="ICI378" s="21"/>
      <c r="ICJ378" s="15"/>
      <c r="ICK378" s="15"/>
      <c r="ICL378" s="15"/>
      <c r="ICM378" s="15"/>
      <c r="ICN378" s="15"/>
      <c r="ICO378" s="15"/>
      <c r="ICP378" s="15"/>
      <c r="ICQ378" s="15"/>
      <c r="ICR378" s="15"/>
      <c r="ICS378" s="15"/>
      <c r="ICT378" s="10"/>
      <c r="ICU378" s="10"/>
      <c r="ICV378" s="21"/>
      <c r="ICW378" s="21"/>
      <c r="ICZ378" s="21"/>
      <c r="IDA378" s="15"/>
      <c r="IDB378" s="15"/>
      <c r="IDC378" s="15"/>
      <c r="IDD378" s="15"/>
      <c r="IDE378" s="15"/>
      <c r="IDF378" s="15"/>
      <c r="IDG378" s="15"/>
      <c r="IDH378" s="15"/>
      <c r="IDI378" s="15"/>
      <c r="IDJ378" s="15"/>
      <c r="IDK378" s="10"/>
      <c r="IDL378" s="10"/>
      <c r="IDM378" s="21"/>
      <c r="IDN378" s="21"/>
      <c r="IDQ378" s="21"/>
      <c r="IDR378" s="15"/>
      <c r="IDS378" s="15"/>
      <c r="IDT378" s="15"/>
      <c r="IDU378" s="15"/>
      <c r="IDV378" s="15"/>
      <c r="IDW378" s="15"/>
      <c r="IDX378" s="15"/>
      <c r="IDY378" s="15"/>
      <c r="IDZ378" s="15"/>
      <c r="IEA378" s="15"/>
      <c r="IEB378" s="10"/>
      <c r="IEC378" s="10"/>
      <c r="IED378" s="21"/>
      <c r="IEE378" s="21"/>
      <c r="IEH378" s="21"/>
      <c r="IEI378" s="15"/>
      <c r="IEJ378" s="15"/>
      <c r="IEK378" s="15"/>
      <c r="IEL378" s="15"/>
      <c r="IEM378" s="15"/>
      <c r="IEN378" s="15"/>
      <c r="IEO378" s="15"/>
      <c r="IEP378" s="15"/>
      <c r="IEQ378" s="15"/>
      <c r="IER378" s="15"/>
      <c r="IES378" s="10"/>
      <c r="IET378" s="10"/>
      <c r="IEU378" s="21"/>
      <c r="IEV378" s="21"/>
      <c r="IEY378" s="21"/>
      <c r="IEZ378" s="15"/>
      <c r="IFA378" s="15"/>
      <c r="IFB378" s="15"/>
      <c r="IFC378" s="15"/>
      <c r="IFD378" s="15"/>
      <c r="IFE378" s="15"/>
      <c r="IFF378" s="15"/>
      <c r="IFG378" s="15"/>
      <c r="IFH378" s="15"/>
      <c r="IFI378" s="15"/>
      <c r="IFJ378" s="10"/>
      <c r="IFK378" s="10"/>
      <c r="IFL378" s="21"/>
      <c r="IFM378" s="21"/>
      <c r="IFP378" s="21"/>
      <c r="IFQ378" s="15"/>
      <c r="IFR378" s="15"/>
      <c r="IFS378" s="15"/>
      <c r="IFT378" s="15"/>
      <c r="IFU378" s="15"/>
      <c r="IFV378" s="15"/>
      <c r="IFW378" s="15"/>
      <c r="IFX378" s="15"/>
      <c r="IFY378" s="15"/>
      <c r="IFZ378" s="15"/>
      <c r="IGA378" s="10"/>
      <c r="IGB378" s="10"/>
      <c r="IGC378" s="21"/>
      <c r="IGD378" s="21"/>
      <c r="IGG378" s="21"/>
      <c r="IGH378" s="15"/>
      <c r="IGI378" s="15"/>
      <c r="IGJ378" s="15"/>
      <c r="IGK378" s="15"/>
      <c r="IGL378" s="15"/>
      <c r="IGM378" s="15"/>
      <c r="IGN378" s="15"/>
      <c r="IGO378" s="15"/>
      <c r="IGP378" s="15"/>
      <c r="IGQ378" s="15"/>
      <c r="IGR378" s="10"/>
      <c r="IGS378" s="10"/>
      <c r="IGT378" s="21"/>
      <c r="IGU378" s="21"/>
      <c r="IGX378" s="21"/>
      <c r="IGY378" s="15"/>
      <c r="IGZ378" s="15"/>
      <c r="IHA378" s="15"/>
      <c r="IHB378" s="15"/>
      <c r="IHC378" s="15"/>
      <c r="IHD378" s="15"/>
      <c r="IHE378" s="15"/>
      <c r="IHF378" s="15"/>
      <c r="IHG378" s="15"/>
      <c r="IHH378" s="15"/>
      <c r="IHI378" s="10"/>
      <c r="IHJ378" s="10"/>
      <c r="IHK378" s="21"/>
      <c r="IHL378" s="21"/>
      <c r="IHO378" s="21"/>
      <c r="IHP378" s="15"/>
      <c r="IHQ378" s="15"/>
      <c r="IHR378" s="15"/>
      <c r="IHS378" s="15"/>
      <c r="IHT378" s="15"/>
      <c r="IHU378" s="15"/>
      <c r="IHV378" s="15"/>
      <c r="IHW378" s="15"/>
      <c r="IHX378" s="15"/>
      <c r="IHY378" s="15"/>
      <c r="IHZ378" s="10"/>
      <c r="IIA378" s="10"/>
      <c r="IIB378" s="21"/>
      <c r="IIC378" s="21"/>
      <c r="IIF378" s="21"/>
      <c r="IIG378" s="15"/>
      <c r="IIH378" s="15"/>
      <c r="III378" s="15"/>
      <c r="IIJ378" s="15"/>
      <c r="IIK378" s="15"/>
      <c r="IIL378" s="15"/>
      <c r="IIM378" s="15"/>
      <c r="IIN378" s="15"/>
      <c r="IIO378" s="15"/>
      <c r="IIP378" s="15"/>
      <c r="IIQ378" s="10"/>
      <c r="IIR378" s="10"/>
      <c r="IIS378" s="21"/>
      <c r="IIT378" s="21"/>
      <c r="IIW378" s="21"/>
      <c r="IIX378" s="15"/>
      <c r="IIY378" s="15"/>
      <c r="IIZ378" s="15"/>
      <c r="IJA378" s="15"/>
      <c r="IJB378" s="15"/>
      <c r="IJC378" s="15"/>
      <c r="IJD378" s="15"/>
      <c r="IJE378" s="15"/>
      <c r="IJF378" s="15"/>
      <c r="IJG378" s="15"/>
      <c r="IJH378" s="10"/>
      <c r="IJI378" s="10"/>
      <c r="IJJ378" s="21"/>
      <c r="IJK378" s="21"/>
      <c r="IJN378" s="21"/>
      <c r="IJO378" s="15"/>
      <c r="IJP378" s="15"/>
      <c r="IJQ378" s="15"/>
      <c r="IJR378" s="15"/>
      <c r="IJS378" s="15"/>
      <c r="IJT378" s="15"/>
      <c r="IJU378" s="15"/>
      <c r="IJV378" s="15"/>
      <c r="IJW378" s="15"/>
      <c r="IJX378" s="15"/>
      <c r="IJY378" s="10"/>
      <c r="IJZ378" s="10"/>
      <c r="IKA378" s="21"/>
      <c r="IKB378" s="21"/>
      <c r="IKE378" s="21"/>
      <c r="IKF378" s="15"/>
      <c r="IKG378" s="15"/>
      <c r="IKH378" s="15"/>
      <c r="IKI378" s="15"/>
      <c r="IKJ378" s="15"/>
      <c r="IKK378" s="15"/>
      <c r="IKL378" s="15"/>
      <c r="IKM378" s="15"/>
      <c r="IKN378" s="15"/>
      <c r="IKO378" s="15"/>
      <c r="IKP378" s="10"/>
      <c r="IKQ378" s="10"/>
      <c r="IKR378" s="21"/>
      <c r="IKS378" s="21"/>
      <c r="IKV378" s="21"/>
      <c r="IKW378" s="15"/>
      <c r="IKX378" s="15"/>
      <c r="IKY378" s="15"/>
      <c r="IKZ378" s="15"/>
      <c r="ILA378" s="15"/>
      <c r="ILB378" s="15"/>
      <c r="ILC378" s="15"/>
      <c r="ILD378" s="15"/>
      <c r="ILE378" s="15"/>
      <c r="ILF378" s="15"/>
      <c r="ILG378" s="10"/>
      <c r="ILH378" s="10"/>
      <c r="ILI378" s="21"/>
      <c r="ILJ378" s="21"/>
      <c r="ILM378" s="21"/>
      <c r="ILN378" s="15"/>
      <c r="ILO378" s="15"/>
      <c r="ILP378" s="15"/>
      <c r="ILQ378" s="15"/>
      <c r="ILR378" s="15"/>
      <c r="ILS378" s="15"/>
      <c r="ILT378" s="15"/>
      <c r="ILU378" s="15"/>
      <c r="ILV378" s="15"/>
      <c r="ILW378" s="15"/>
      <c r="ILX378" s="10"/>
      <c r="ILY378" s="10"/>
      <c r="ILZ378" s="21"/>
      <c r="IMA378" s="21"/>
      <c r="IMD378" s="21"/>
      <c r="IME378" s="15"/>
      <c r="IMF378" s="15"/>
      <c r="IMG378" s="15"/>
      <c r="IMH378" s="15"/>
      <c r="IMI378" s="15"/>
      <c r="IMJ378" s="15"/>
      <c r="IMK378" s="15"/>
      <c r="IML378" s="15"/>
      <c r="IMM378" s="15"/>
      <c r="IMN378" s="15"/>
      <c r="IMO378" s="10"/>
      <c r="IMP378" s="10"/>
      <c r="IMQ378" s="21"/>
      <c r="IMR378" s="21"/>
      <c r="IMU378" s="21"/>
      <c r="IMV378" s="15"/>
      <c r="IMW378" s="15"/>
      <c r="IMX378" s="15"/>
      <c r="IMY378" s="15"/>
      <c r="IMZ378" s="15"/>
      <c r="INA378" s="15"/>
      <c r="INB378" s="15"/>
      <c r="INC378" s="15"/>
      <c r="IND378" s="15"/>
      <c r="INE378" s="15"/>
      <c r="INF378" s="10"/>
      <c r="ING378" s="10"/>
      <c r="INH378" s="21"/>
      <c r="INI378" s="21"/>
      <c r="INL378" s="21"/>
      <c r="INM378" s="15"/>
      <c r="INN378" s="15"/>
      <c r="INO378" s="15"/>
      <c r="INP378" s="15"/>
      <c r="INQ378" s="15"/>
      <c r="INR378" s="15"/>
      <c r="INS378" s="15"/>
      <c r="INT378" s="15"/>
      <c r="INU378" s="15"/>
      <c r="INV378" s="15"/>
      <c r="INW378" s="10"/>
      <c r="INX378" s="10"/>
      <c r="INY378" s="21"/>
      <c r="INZ378" s="21"/>
      <c r="IOC378" s="21"/>
      <c r="IOD378" s="15"/>
      <c r="IOE378" s="15"/>
      <c r="IOF378" s="15"/>
      <c r="IOG378" s="15"/>
      <c r="IOH378" s="15"/>
      <c r="IOI378" s="15"/>
      <c r="IOJ378" s="15"/>
      <c r="IOK378" s="15"/>
      <c r="IOL378" s="15"/>
      <c r="IOM378" s="15"/>
      <c r="ION378" s="10"/>
      <c r="IOO378" s="10"/>
      <c r="IOP378" s="21"/>
      <c r="IOQ378" s="21"/>
      <c r="IOT378" s="21"/>
      <c r="IOU378" s="15"/>
      <c r="IOV378" s="15"/>
      <c r="IOW378" s="15"/>
      <c r="IOX378" s="15"/>
      <c r="IOY378" s="15"/>
      <c r="IOZ378" s="15"/>
      <c r="IPA378" s="15"/>
      <c r="IPB378" s="15"/>
      <c r="IPC378" s="15"/>
      <c r="IPD378" s="15"/>
      <c r="IPE378" s="10"/>
      <c r="IPF378" s="10"/>
      <c r="IPG378" s="21"/>
      <c r="IPH378" s="21"/>
      <c r="IPK378" s="21"/>
      <c r="IPL378" s="15"/>
      <c r="IPM378" s="15"/>
      <c r="IPN378" s="15"/>
      <c r="IPO378" s="15"/>
      <c r="IPP378" s="15"/>
      <c r="IPQ378" s="15"/>
      <c r="IPR378" s="15"/>
      <c r="IPS378" s="15"/>
      <c r="IPT378" s="15"/>
      <c r="IPU378" s="15"/>
      <c r="IPV378" s="10"/>
      <c r="IPW378" s="10"/>
      <c r="IPX378" s="21"/>
      <c r="IPY378" s="21"/>
      <c r="IQB378" s="21"/>
      <c r="IQC378" s="15"/>
      <c r="IQD378" s="15"/>
      <c r="IQE378" s="15"/>
      <c r="IQF378" s="15"/>
      <c r="IQG378" s="15"/>
      <c r="IQH378" s="15"/>
      <c r="IQI378" s="15"/>
      <c r="IQJ378" s="15"/>
      <c r="IQK378" s="15"/>
      <c r="IQL378" s="15"/>
      <c r="IQM378" s="10"/>
      <c r="IQN378" s="10"/>
      <c r="IQO378" s="21"/>
      <c r="IQP378" s="21"/>
      <c r="IQS378" s="21"/>
      <c r="IQT378" s="15"/>
      <c r="IQU378" s="15"/>
      <c r="IQV378" s="15"/>
      <c r="IQW378" s="15"/>
      <c r="IQX378" s="15"/>
      <c r="IQY378" s="15"/>
      <c r="IQZ378" s="15"/>
      <c r="IRA378" s="15"/>
      <c r="IRB378" s="15"/>
      <c r="IRC378" s="15"/>
      <c r="IRD378" s="10"/>
      <c r="IRE378" s="10"/>
      <c r="IRF378" s="21"/>
      <c r="IRG378" s="21"/>
      <c r="IRJ378" s="21"/>
      <c r="IRK378" s="15"/>
      <c r="IRL378" s="15"/>
      <c r="IRM378" s="15"/>
      <c r="IRN378" s="15"/>
      <c r="IRO378" s="15"/>
      <c r="IRP378" s="15"/>
      <c r="IRQ378" s="15"/>
      <c r="IRR378" s="15"/>
      <c r="IRS378" s="15"/>
      <c r="IRT378" s="15"/>
      <c r="IRU378" s="10"/>
      <c r="IRV378" s="10"/>
      <c r="IRW378" s="21"/>
      <c r="IRX378" s="21"/>
      <c r="ISA378" s="21"/>
      <c r="ISB378" s="15"/>
      <c r="ISC378" s="15"/>
      <c r="ISD378" s="15"/>
      <c r="ISE378" s="15"/>
      <c r="ISF378" s="15"/>
      <c r="ISG378" s="15"/>
      <c r="ISH378" s="15"/>
      <c r="ISI378" s="15"/>
      <c r="ISJ378" s="15"/>
      <c r="ISK378" s="15"/>
      <c r="ISL378" s="10"/>
      <c r="ISM378" s="10"/>
      <c r="ISN378" s="21"/>
      <c r="ISO378" s="21"/>
      <c r="ISR378" s="21"/>
      <c r="ISS378" s="15"/>
      <c r="IST378" s="15"/>
      <c r="ISU378" s="15"/>
      <c r="ISV378" s="15"/>
      <c r="ISW378" s="15"/>
      <c r="ISX378" s="15"/>
      <c r="ISY378" s="15"/>
      <c r="ISZ378" s="15"/>
      <c r="ITA378" s="15"/>
      <c r="ITB378" s="15"/>
      <c r="ITC378" s="10"/>
      <c r="ITD378" s="10"/>
      <c r="ITE378" s="21"/>
      <c r="ITF378" s="21"/>
      <c r="ITI378" s="21"/>
      <c r="ITJ378" s="15"/>
      <c r="ITK378" s="15"/>
      <c r="ITL378" s="15"/>
      <c r="ITM378" s="15"/>
      <c r="ITN378" s="15"/>
      <c r="ITO378" s="15"/>
      <c r="ITP378" s="15"/>
      <c r="ITQ378" s="15"/>
      <c r="ITR378" s="15"/>
      <c r="ITS378" s="15"/>
      <c r="ITT378" s="10"/>
      <c r="ITU378" s="10"/>
      <c r="ITV378" s="21"/>
      <c r="ITW378" s="21"/>
      <c r="ITZ378" s="21"/>
      <c r="IUA378" s="15"/>
      <c r="IUB378" s="15"/>
      <c r="IUC378" s="15"/>
      <c r="IUD378" s="15"/>
      <c r="IUE378" s="15"/>
      <c r="IUF378" s="15"/>
      <c r="IUG378" s="15"/>
      <c r="IUH378" s="15"/>
      <c r="IUI378" s="15"/>
      <c r="IUJ378" s="15"/>
      <c r="IUK378" s="10"/>
      <c r="IUL378" s="10"/>
      <c r="IUM378" s="21"/>
      <c r="IUN378" s="21"/>
      <c r="IUQ378" s="21"/>
      <c r="IUR378" s="15"/>
      <c r="IUS378" s="15"/>
      <c r="IUT378" s="15"/>
      <c r="IUU378" s="15"/>
      <c r="IUV378" s="15"/>
      <c r="IUW378" s="15"/>
      <c r="IUX378" s="15"/>
      <c r="IUY378" s="15"/>
      <c r="IUZ378" s="15"/>
      <c r="IVA378" s="15"/>
      <c r="IVB378" s="10"/>
      <c r="IVC378" s="10"/>
      <c r="IVD378" s="21"/>
      <c r="IVE378" s="21"/>
      <c r="IVH378" s="21"/>
      <c r="IVI378" s="15"/>
      <c r="IVJ378" s="15"/>
      <c r="IVK378" s="15"/>
      <c r="IVL378" s="15"/>
      <c r="IVM378" s="15"/>
      <c r="IVN378" s="15"/>
      <c r="IVO378" s="15"/>
      <c r="IVP378" s="15"/>
      <c r="IVQ378" s="15"/>
      <c r="IVR378" s="15"/>
      <c r="IVS378" s="10"/>
      <c r="IVT378" s="10"/>
      <c r="IVU378" s="21"/>
      <c r="IVV378" s="21"/>
      <c r="IVY378" s="21"/>
      <c r="IVZ378" s="15"/>
      <c r="IWA378" s="15"/>
      <c r="IWB378" s="15"/>
      <c r="IWC378" s="15"/>
      <c r="IWD378" s="15"/>
      <c r="IWE378" s="15"/>
      <c r="IWF378" s="15"/>
      <c r="IWG378" s="15"/>
      <c r="IWH378" s="15"/>
      <c r="IWI378" s="15"/>
      <c r="IWJ378" s="10"/>
      <c r="IWK378" s="10"/>
      <c r="IWL378" s="21"/>
      <c r="IWM378" s="21"/>
      <c r="IWP378" s="21"/>
      <c r="IWQ378" s="15"/>
      <c r="IWR378" s="15"/>
      <c r="IWS378" s="15"/>
      <c r="IWT378" s="15"/>
      <c r="IWU378" s="15"/>
      <c r="IWV378" s="15"/>
      <c r="IWW378" s="15"/>
      <c r="IWX378" s="15"/>
      <c r="IWY378" s="15"/>
      <c r="IWZ378" s="15"/>
      <c r="IXA378" s="10"/>
      <c r="IXB378" s="10"/>
      <c r="IXC378" s="21"/>
      <c r="IXD378" s="21"/>
      <c r="IXG378" s="21"/>
      <c r="IXH378" s="15"/>
      <c r="IXI378" s="15"/>
      <c r="IXJ378" s="15"/>
      <c r="IXK378" s="15"/>
      <c r="IXL378" s="15"/>
      <c r="IXM378" s="15"/>
      <c r="IXN378" s="15"/>
      <c r="IXO378" s="15"/>
      <c r="IXP378" s="15"/>
      <c r="IXQ378" s="15"/>
      <c r="IXR378" s="10"/>
      <c r="IXS378" s="10"/>
      <c r="IXT378" s="21"/>
      <c r="IXU378" s="21"/>
      <c r="IXX378" s="21"/>
      <c r="IXY378" s="15"/>
      <c r="IXZ378" s="15"/>
      <c r="IYA378" s="15"/>
      <c r="IYB378" s="15"/>
      <c r="IYC378" s="15"/>
      <c r="IYD378" s="15"/>
      <c r="IYE378" s="15"/>
      <c r="IYF378" s="15"/>
      <c r="IYG378" s="15"/>
      <c r="IYH378" s="15"/>
      <c r="IYI378" s="10"/>
      <c r="IYJ378" s="10"/>
      <c r="IYK378" s="21"/>
      <c r="IYL378" s="21"/>
      <c r="IYO378" s="21"/>
      <c r="IYP378" s="15"/>
      <c r="IYQ378" s="15"/>
      <c r="IYR378" s="15"/>
      <c r="IYS378" s="15"/>
      <c r="IYT378" s="15"/>
      <c r="IYU378" s="15"/>
      <c r="IYV378" s="15"/>
      <c r="IYW378" s="15"/>
      <c r="IYX378" s="15"/>
      <c r="IYY378" s="15"/>
      <c r="IYZ378" s="10"/>
      <c r="IZA378" s="10"/>
      <c r="IZB378" s="21"/>
      <c r="IZC378" s="21"/>
      <c r="IZF378" s="21"/>
      <c r="IZG378" s="15"/>
      <c r="IZH378" s="15"/>
      <c r="IZI378" s="15"/>
      <c r="IZJ378" s="15"/>
      <c r="IZK378" s="15"/>
      <c r="IZL378" s="15"/>
      <c r="IZM378" s="15"/>
      <c r="IZN378" s="15"/>
      <c r="IZO378" s="15"/>
      <c r="IZP378" s="15"/>
      <c r="IZQ378" s="10"/>
      <c r="IZR378" s="10"/>
      <c r="IZS378" s="21"/>
      <c r="IZT378" s="21"/>
      <c r="IZW378" s="21"/>
      <c r="IZX378" s="15"/>
      <c r="IZY378" s="15"/>
      <c r="IZZ378" s="15"/>
      <c r="JAA378" s="15"/>
      <c r="JAB378" s="15"/>
      <c r="JAC378" s="15"/>
      <c r="JAD378" s="15"/>
      <c r="JAE378" s="15"/>
      <c r="JAF378" s="15"/>
      <c r="JAG378" s="15"/>
      <c r="JAH378" s="10"/>
      <c r="JAI378" s="10"/>
      <c r="JAJ378" s="21"/>
      <c r="JAK378" s="21"/>
      <c r="JAN378" s="21"/>
      <c r="JAO378" s="15"/>
      <c r="JAP378" s="15"/>
      <c r="JAQ378" s="15"/>
      <c r="JAR378" s="15"/>
      <c r="JAS378" s="15"/>
      <c r="JAT378" s="15"/>
      <c r="JAU378" s="15"/>
      <c r="JAV378" s="15"/>
      <c r="JAW378" s="15"/>
      <c r="JAX378" s="15"/>
      <c r="JAY378" s="10"/>
      <c r="JAZ378" s="10"/>
      <c r="JBA378" s="21"/>
      <c r="JBB378" s="21"/>
      <c r="JBE378" s="21"/>
      <c r="JBF378" s="15"/>
      <c r="JBG378" s="15"/>
      <c r="JBH378" s="15"/>
      <c r="JBI378" s="15"/>
      <c r="JBJ378" s="15"/>
      <c r="JBK378" s="15"/>
      <c r="JBL378" s="15"/>
      <c r="JBM378" s="15"/>
      <c r="JBN378" s="15"/>
      <c r="JBO378" s="15"/>
      <c r="JBP378" s="10"/>
      <c r="JBQ378" s="10"/>
      <c r="JBR378" s="21"/>
      <c r="JBS378" s="21"/>
      <c r="JBV378" s="21"/>
      <c r="JBW378" s="15"/>
      <c r="JBX378" s="15"/>
      <c r="JBY378" s="15"/>
      <c r="JBZ378" s="15"/>
      <c r="JCA378" s="15"/>
      <c r="JCB378" s="15"/>
      <c r="JCC378" s="15"/>
      <c r="JCD378" s="15"/>
      <c r="JCE378" s="15"/>
      <c r="JCF378" s="15"/>
      <c r="JCG378" s="10"/>
      <c r="JCH378" s="10"/>
      <c r="JCI378" s="21"/>
      <c r="JCJ378" s="21"/>
      <c r="JCM378" s="21"/>
      <c r="JCN378" s="15"/>
      <c r="JCO378" s="15"/>
      <c r="JCP378" s="15"/>
      <c r="JCQ378" s="15"/>
      <c r="JCR378" s="15"/>
      <c r="JCS378" s="15"/>
      <c r="JCT378" s="15"/>
      <c r="JCU378" s="15"/>
      <c r="JCV378" s="15"/>
      <c r="JCW378" s="15"/>
      <c r="JCX378" s="10"/>
      <c r="JCY378" s="10"/>
      <c r="JCZ378" s="21"/>
      <c r="JDA378" s="21"/>
      <c r="JDD378" s="21"/>
      <c r="JDE378" s="15"/>
      <c r="JDF378" s="15"/>
      <c r="JDG378" s="15"/>
      <c r="JDH378" s="15"/>
      <c r="JDI378" s="15"/>
      <c r="JDJ378" s="15"/>
      <c r="JDK378" s="15"/>
      <c r="JDL378" s="15"/>
      <c r="JDM378" s="15"/>
      <c r="JDN378" s="15"/>
      <c r="JDO378" s="10"/>
      <c r="JDP378" s="10"/>
      <c r="JDQ378" s="21"/>
      <c r="JDR378" s="21"/>
      <c r="JDU378" s="21"/>
      <c r="JDV378" s="15"/>
      <c r="JDW378" s="15"/>
      <c r="JDX378" s="15"/>
      <c r="JDY378" s="15"/>
      <c r="JDZ378" s="15"/>
      <c r="JEA378" s="15"/>
      <c r="JEB378" s="15"/>
      <c r="JEC378" s="15"/>
      <c r="JED378" s="15"/>
      <c r="JEE378" s="15"/>
      <c r="JEF378" s="10"/>
      <c r="JEG378" s="10"/>
      <c r="JEH378" s="21"/>
      <c r="JEI378" s="21"/>
      <c r="JEL378" s="21"/>
      <c r="JEM378" s="15"/>
      <c r="JEN378" s="15"/>
      <c r="JEO378" s="15"/>
      <c r="JEP378" s="15"/>
      <c r="JEQ378" s="15"/>
      <c r="JER378" s="15"/>
      <c r="JES378" s="15"/>
      <c r="JET378" s="15"/>
      <c r="JEU378" s="15"/>
      <c r="JEV378" s="15"/>
      <c r="JEW378" s="10"/>
      <c r="JEX378" s="10"/>
      <c r="JEY378" s="21"/>
      <c r="JEZ378" s="21"/>
      <c r="JFC378" s="21"/>
      <c r="JFD378" s="15"/>
      <c r="JFE378" s="15"/>
      <c r="JFF378" s="15"/>
      <c r="JFG378" s="15"/>
      <c r="JFH378" s="15"/>
      <c r="JFI378" s="15"/>
      <c r="JFJ378" s="15"/>
      <c r="JFK378" s="15"/>
      <c r="JFL378" s="15"/>
      <c r="JFM378" s="15"/>
      <c r="JFN378" s="10"/>
      <c r="JFO378" s="10"/>
      <c r="JFP378" s="21"/>
      <c r="JFQ378" s="21"/>
      <c r="JFT378" s="21"/>
      <c r="JFU378" s="15"/>
      <c r="JFV378" s="15"/>
      <c r="JFW378" s="15"/>
      <c r="JFX378" s="15"/>
      <c r="JFY378" s="15"/>
      <c r="JFZ378" s="15"/>
      <c r="JGA378" s="15"/>
      <c r="JGB378" s="15"/>
      <c r="JGC378" s="15"/>
      <c r="JGD378" s="15"/>
      <c r="JGE378" s="10"/>
      <c r="JGF378" s="10"/>
      <c r="JGG378" s="21"/>
      <c r="JGH378" s="21"/>
      <c r="JGK378" s="21"/>
      <c r="JGL378" s="15"/>
      <c r="JGM378" s="15"/>
      <c r="JGN378" s="15"/>
      <c r="JGO378" s="15"/>
      <c r="JGP378" s="15"/>
      <c r="JGQ378" s="15"/>
      <c r="JGR378" s="15"/>
      <c r="JGS378" s="15"/>
      <c r="JGT378" s="15"/>
      <c r="JGU378" s="15"/>
      <c r="JGV378" s="10"/>
      <c r="JGW378" s="10"/>
      <c r="JGX378" s="21"/>
      <c r="JGY378" s="21"/>
      <c r="JHB378" s="21"/>
      <c r="JHC378" s="15"/>
      <c r="JHD378" s="15"/>
      <c r="JHE378" s="15"/>
      <c r="JHF378" s="15"/>
      <c r="JHG378" s="15"/>
      <c r="JHH378" s="15"/>
      <c r="JHI378" s="15"/>
      <c r="JHJ378" s="15"/>
      <c r="JHK378" s="15"/>
      <c r="JHL378" s="15"/>
      <c r="JHM378" s="10"/>
      <c r="JHN378" s="10"/>
      <c r="JHO378" s="21"/>
      <c r="JHP378" s="21"/>
      <c r="JHS378" s="21"/>
      <c r="JHT378" s="15"/>
      <c r="JHU378" s="15"/>
      <c r="JHV378" s="15"/>
      <c r="JHW378" s="15"/>
      <c r="JHX378" s="15"/>
      <c r="JHY378" s="15"/>
      <c r="JHZ378" s="15"/>
      <c r="JIA378" s="15"/>
      <c r="JIB378" s="15"/>
      <c r="JIC378" s="15"/>
      <c r="JID378" s="10"/>
      <c r="JIE378" s="10"/>
      <c r="JIF378" s="21"/>
      <c r="JIG378" s="21"/>
      <c r="JIJ378" s="21"/>
      <c r="JIK378" s="15"/>
      <c r="JIL378" s="15"/>
      <c r="JIM378" s="15"/>
      <c r="JIN378" s="15"/>
      <c r="JIO378" s="15"/>
      <c r="JIP378" s="15"/>
      <c r="JIQ378" s="15"/>
      <c r="JIR378" s="15"/>
      <c r="JIS378" s="15"/>
      <c r="JIT378" s="15"/>
      <c r="JIU378" s="10"/>
      <c r="JIV378" s="10"/>
      <c r="JIW378" s="21"/>
      <c r="JIX378" s="21"/>
      <c r="JJA378" s="21"/>
      <c r="JJB378" s="15"/>
      <c r="JJC378" s="15"/>
      <c r="JJD378" s="15"/>
      <c r="JJE378" s="15"/>
      <c r="JJF378" s="15"/>
      <c r="JJG378" s="15"/>
      <c r="JJH378" s="15"/>
      <c r="JJI378" s="15"/>
      <c r="JJJ378" s="15"/>
      <c r="JJK378" s="15"/>
      <c r="JJL378" s="10"/>
      <c r="JJM378" s="10"/>
      <c r="JJN378" s="21"/>
      <c r="JJO378" s="21"/>
      <c r="JJR378" s="21"/>
      <c r="JJS378" s="15"/>
      <c r="JJT378" s="15"/>
      <c r="JJU378" s="15"/>
      <c r="JJV378" s="15"/>
      <c r="JJW378" s="15"/>
      <c r="JJX378" s="15"/>
      <c r="JJY378" s="15"/>
      <c r="JJZ378" s="15"/>
      <c r="JKA378" s="15"/>
      <c r="JKB378" s="15"/>
      <c r="JKC378" s="10"/>
      <c r="JKD378" s="10"/>
      <c r="JKE378" s="21"/>
      <c r="JKF378" s="21"/>
      <c r="JKI378" s="21"/>
      <c r="JKJ378" s="15"/>
      <c r="JKK378" s="15"/>
      <c r="JKL378" s="15"/>
      <c r="JKM378" s="15"/>
      <c r="JKN378" s="15"/>
      <c r="JKO378" s="15"/>
      <c r="JKP378" s="15"/>
      <c r="JKQ378" s="15"/>
      <c r="JKR378" s="15"/>
      <c r="JKS378" s="15"/>
      <c r="JKT378" s="10"/>
      <c r="JKU378" s="10"/>
      <c r="JKV378" s="21"/>
      <c r="JKW378" s="21"/>
      <c r="JKZ378" s="21"/>
      <c r="JLA378" s="15"/>
      <c r="JLB378" s="15"/>
      <c r="JLC378" s="15"/>
      <c r="JLD378" s="15"/>
      <c r="JLE378" s="15"/>
      <c r="JLF378" s="15"/>
      <c r="JLG378" s="15"/>
      <c r="JLH378" s="15"/>
      <c r="JLI378" s="15"/>
      <c r="JLJ378" s="15"/>
      <c r="JLK378" s="10"/>
      <c r="JLL378" s="10"/>
      <c r="JLM378" s="21"/>
      <c r="JLN378" s="21"/>
      <c r="JLQ378" s="21"/>
      <c r="JLR378" s="15"/>
      <c r="JLS378" s="15"/>
      <c r="JLT378" s="15"/>
      <c r="JLU378" s="15"/>
      <c r="JLV378" s="15"/>
      <c r="JLW378" s="15"/>
      <c r="JLX378" s="15"/>
      <c r="JLY378" s="15"/>
      <c r="JLZ378" s="15"/>
      <c r="JMA378" s="15"/>
      <c r="JMB378" s="10"/>
      <c r="JMC378" s="10"/>
      <c r="JMD378" s="21"/>
      <c r="JME378" s="21"/>
      <c r="JMH378" s="21"/>
      <c r="JMI378" s="15"/>
      <c r="JMJ378" s="15"/>
      <c r="JMK378" s="15"/>
      <c r="JML378" s="15"/>
      <c r="JMM378" s="15"/>
      <c r="JMN378" s="15"/>
      <c r="JMO378" s="15"/>
      <c r="JMP378" s="15"/>
      <c r="JMQ378" s="15"/>
      <c r="JMR378" s="15"/>
      <c r="JMS378" s="10"/>
      <c r="JMT378" s="10"/>
      <c r="JMU378" s="21"/>
      <c r="JMV378" s="21"/>
      <c r="JMY378" s="21"/>
      <c r="JMZ378" s="15"/>
      <c r="JNA378" s="15"/>
      <c r="JNB378" s="15"/>
      <c r="JNC378" s="15"/>
      <c r="JND378" s="15"/>
      <c r="JNE378" s="15"/>
      <c r="JNF378" s="15"/>
      <c r="JNG378" s="15"/>
      <c r="JNH378" s="15"/>
      <c r="JNI378" s="15"/>
      <c r="JNJ378" s="10"/>
      <c r="JNK378" s="10"/>
      <c r="JNL378" s="21"/>
      <c r="JNM378" s="21"/>
      <c r="JNP378" s="21"/>
      <c r="JNQ378" s="15"/>
      <c r="JNR378" s="15"/>
      <c r="JNS378" s="15"/>
      <c r="JNT378" s="15"/>
      <c r="JNU378" s="15"/>
      <c r="JNV378" s="15"/>
      <c r="JNW378" s="15"/>
      <c r="JNX378" s="15"/>
      <c r="JNY378" s="15"/>
      <c r="JNZ378" s="15"/>
      <c r="JOA378" s="10"/>
      <c r="JOB378" s="10"/>
      <c r="JOC378" s="21"/>
      <c r="JOD378" s="21"/>
      <c r="JOG378" s="21"/>
      <c r="JOH378" s="15"/>
      <c r="JOI378" s="15"/>
      <c r="JOJ378" s="15"/>
      <c r="JOK378" s="15"/>
      <c r="JOL378" s="15"/>
      <c r="JOM378" s="15"/>
      <c r="JON378" s="15"/>
      <c r="JOO378" s="15"/>
      <c r="JOP378" s="15"/>
      <c r="JOQ378" s="15"/>
      <c r="JOR378" s="10"/>
      <c r="JOS378" s="10"/>
      <c r="JOT378" s="21"/>
      <c r="JOU378" s="21"/>
      <c r="JOX378" s="21"/>
      <c r="JOY378" s="15"/>
      <c r="JOZ378" s="15"/>
      <c r="JPA378" s="15"/>
      <c r="JPB378" s="15"/>
      <c r="JPC378" s="15"/>
      <c r="JPD378" s="15"/>
      <c r="JPE378" s="15"/>
      <c r="JPF378" s="15"/>
      <c r="JPG378" s="15"/>
      <c r="JPH378" s="15"/>
      <c r="JPI378" s="10"/>
      <c r="JPJ378" s="10"/>
      <c r="JPK378" s="21"/>
      <c r="JPL378" s="21"/>
      <c r="JPO378" s="21"/>
      <c r="JPP378" s="15"/>
      <c r="JPQ378" s="15"/>
      <c r="JPR378" s="15"/>
      <c r="JPS378" s="15"/>
      <c r="JPT378" s="15"/>
      <c r="JPU378" s="15"/>
      <c r="JPV378" s="15"/>
      <c r="JPW378" s="15"/>
      <c r="JPX378" s="15"/>
      <c r="JPY378" s="15"/>
      <c r="JPZ378" s="10"/>
      <c r="JQA378" s="10"/>
      <c r="JQB378" s="21"/>
      <c r="JQC378" s="21"/>
      <c r="JQF378" s="21"/>
      <c r="JQG378" s="15"/>
      <c r="JQH378" s="15"/>
      <c r="JQI378" s="15"/>
      <c r="JQJ378" s="15"/>
      <c r="JQK378" s="15"/>
      <c r="JQL378" s="15"/>
      <c r="JQM378" s="15"/>
      <c r="JQN378" s="15"/>
      <c r="JQO378" s="15"/>
      <c r="JQP378" s="15"/>
      <c r="JQQ378" s="10"/>
      <c r="JQR378" s="10"/>
      <c r="JQS378" s="21"/>
      <c r="JQT378" s="21"/>
      <c r="JQW378" s="21"/>
      <c r="JQX378" s="15"/>
      <c r="JQY378" s="15"/>
      <c r="JQZ378" s="15"/>
      <c r="JRA378" s="15"/>
      <c r="JRB378" s="15"/>
      <c r="JRC378" s="15"/>
      <c r="JRD378" s="15"/>
      <c r="JRE378" s="15"/>
      <c r="JRF378" s="15"/>
      <c r="JRG378" s="15"/>
      <c r="JRH378" s="10"/>
      <c r="JRI378" s="10"/>
      <c r="JRJ378" s="21"/>
      <c r="JRK378" s="21"/>
      <c r="JRN378" s="21"/>
      <c r="JRO378" s="15"/>
      <c r="JRP378" s="15"/>
      <c r="JRQ378" s="15"/>
      <c r="JRR378" s="15"/>
      <c r="JRS378" s="15"/>
      <c r="JRT378" s="15"/>
      <c r="JRU378" s="15"/>
      <c r="JRV378" s="15"/>
      <c r="JRW378" s="15"/>
      <c r="JRX378" s="15"/>
      <c r="JRY378" s="10"/>
      <c r="JRZ378" s="10"/>
      <c r="JSA378" s="21"/>
      <c r="JSB378" s="21"/>
      <c r="JSE378" s="21"/>
      <c r="JSF378" s="15"/>
      <c r="JSG378" s="15"/>
      <c r="JSH378" s="15"/>
      <c r="JSI378" s="15"/>
      <c r="JSJ378" s="15"/>
      <c r="JSK378" s="15"/>
      <c r="JSL378" s="15"/>
      <c r="JSM378" s="15"/>
      <c r="JSN378" s="15"/>
      <c r="JSO378" s="15"/>
      <c r="JSP378" s="10"/>
      <c r="JSQ378" s="10"/>
      <c r="JSR378" s="21"/>
      <c r="JSS378" s="21"/>
      <c r="JSV378" s="21"/>
      <c r="JSW378" s="15"/>
      <c r="JSX378" s="15"/>
      <c r="JSY378" s="15"/>
      <c r="JSZ378" s="15"/>
      <c r="JTA378" s="15"/>
      <c r="JTB378" s="15"/>
      <c r="JTC378" s="15"/>
      <c r="JTD378" s="15"/>
      <c r="JTE378" s="15"/>
      <c r="JTF378" s="15"/>
      <c r="JTG378" s="10"/>
      <c r="JTH378" s="10"/>
      <c r="JTI378" s="21"/>
      <c r="JTJ378" s="21"/>
      <c r="JTM378" s="21"/>
      <c r="JTN378" s="15"/>
      <c r="JTO378" s="15"/>
      <c r="JTP378" s="15"/>
      <c r="JTQ378" s="15"/>
      <c r="JTR378" s="15"/>
      <c r="JTS378" s="15"/>
      <c r="JTT378" s="15"/>
      <c r="JTU378" s="15"/>
      <c r="JTV378" s="15"/>
      <c r="JTW378" s="15"/>
      <c r="JTX378" s="10"/>
      <c r="JTY378" s="10"/>
      <c r="JTZ378" s="21"/>
      <c r="JUA378" s="21"/>
      <c r="JUD378" s="21"/>
      <c r="JUE378" s="15"/>
      <c r="JUF378" s="15"/>
      <c r="JUG378" s="15"/>
      <c r="JUH378" s="15"/>
      <c r="JUI378" s="15"/>
      <c r="JUJ378" s="15"/>
      <c r="JUK378" s="15"/>
      <c r="JUL378" s="15"/>
      <c r="JUM378" s="15"/>
      <c r="JUN378" s="15"/>
      <c r="JUO378" s="10"/>
      <c r="JUP378" s="10"/>
      <c r="JUQ378" s="21"/>
      <c r="JUR378" s="21"/>
      <c r="JUU378" s="21"/>
      <c r="JUV378" s="15"/>
      <c r="JUW378" s="15"/>
      <c r="JUX378" s="15"/>
      <c r="JUY378" s="15"/>
      <c r="JUZ378" s="15"/>
      <c r="JVA378" s="15"/>
      <c r="JVB378" s="15"/>
      <c r="JVC378" s="15"/>
      <c r="JVD378" s="15"/>
      <c r="JVE378" s="15"/>
      <c r="JVF378" s="10"/>
      <c r="JVG378" s="10"/>
      <c r="JVH378" s="21"/>
      <c r="JVI378" s="21"/>
      <c r="JVL378" s="21"/>
      <c r="JVM378" s="15"/>
      <c r="JVN378" s="15"/>
      <c r="JVO378" s="15"/>
      <c r="JVP378" s="15"/>
      <c r="JVQ378" s="15"/>
      <c r="JVR378" s="15"/>
      <c r="JVS378" s="15"/>
      <c r="JVT378" s="15"/>
      <c r="JVU378" s="15"/>
      <c r="JVV378" s="15"/>
      <c r="JVW378" s="10"/>
      <c r="JVX378" s="10"/>
      <c r="JVY378" s="21"/>
      <c r="JVZ378" s="21"/>
      <c r="JWC378" s="21"/>
      <c r="JWD378" s="15"/>
      <c r="JWE378" s="15"/>
      <c r="JWF378" s="15"/>
      <c r="JWG378" s="15"/>
      <c r="JWH378" s="15"/>
      <c r="JWI378" s="15"/>
      <c r="JWJ378" s="15"/>
      <c r="JWK378" s="15"/>
      <c r="JWL378" s="15"/>
      <c r="JWM378" s="15"/>
      <c r="JWN378" s="10"/>
      <c r="JWO378" s="10"/>
      <c r="JWP378" s="21"/>
      <c r="JWQ378" s="21"/>
      <c r="JWT378" s="21"/>
      <c r="JWU378" s="15"/>
      <c r="JWV378" s="15"/>
      <c r="JWW378" s="15"/>
      <c r="JWX378" s="15"/>
      <c r="JWY378" s="15"/>
      <c r="JWZ378" s="15"/>
      <c r="JXA378" s="15"/>
      <c r="JXB378" s="15"/>
      <c r="JXC378" s="15"/>
      <c r="JXD378" s="15"/>
      <c r="JXE378" s="10"/>
      <c r="JXF378" s="10"/>
      <c r="JXG378" s="21"/>
      <c r="JXH378" s="21"/>
      <c r="JXK378" s="21"/>
      <c r="JXL378" s="15"/>
      <c r="JXM378" s="15"/>
      <c r="JXN378" s="15"/>
      <c r="JXO378" s="15"/>
      <c r="JXP378" s="15"/>
      <c r="JXQ378" s="15"/>
      <c r="JXR378" s="15"/>
      <c r="JXS378" s="15"/>
      <c r="JXT378" s="15"/>
      <c r="JXU378" s="15"/>
      <c r="JXV378" s="10"/>
      <c r="JXW378" s="10"/>
      <c r="JXX378" s="21"/>
      <c r="JXY378" s="21"/>
      <c r="JYB378" s="21"/>
      <c r="JYC378" s="15"/>
      <c r="JYD378" s="15"/>
      <c r="JYE378" s="15"/>
      <c r="JYF378" s="15"/>
      <c r="JYG378" s="15"/>
      <c r="JYH378" s="15"/>
      <c r="JYI378" s="15"/>
      <c r="JYJ378" s="15"/>
      <c r="JYK378" s="15"/>
      <c r="JYL378" s="15"/>
      <c r="JYM378" s="10"/>
      <c r="JYN378" s="10"/>
      <c r="JYO378" s="21"/>
      <c r="JYP378" s="21"/>
      <c r="JYS378" s="21"/>
      <c r="JYT378" s="15"/>
      <c r="JYU378" s="15"/>
      <c r="JYV378" s="15"/>
      <c r="JYW378" s="15"/>
      <c r="JYX378" s="15"/>
      <c r="JYY378" s="15"/>
      <c r="JYZ378" s="15"/>
      <c r="JZA378" s="15"/>
      <c r="JZB378" s="15"/>
      <c r="JZC378" s="15"/>
      <c r="JZD378" s="10"/>
      <c r="JZE378" s="10"/>
      <c r="JZF378" s="21"/>
      <c r="JZG378" s="21"/>
      <c r="JZJ378" s="21"/>
      <c r="JZK378" s="15"/>
      <c r="JZL378" s="15"/>
      <c r="JZM378" s="15"/>
      <c r="JZN378" s="15"/>
      <c r="JZO378" s="15"/>
      <c r="JZP378" s="15"/>
      <c r="JZQ378" s="15"/>
      <c r="JZR378" s="15"/>
      <c r="JZS378" s="15"/>
      <c r="JZT378" s="15"/>
      <c r="JZU378" s="10"/>
      <c r="JZV378" s="10"/>
      <c r="JZW378" s="21"/>
      <c r="JZX378" s="21"/>
      <c r="KAA378" s="21"/>
      <c r="KAB378" s="15"/>
      <c r="KAC378" s="15"/>
      <c r="KAD378" s="15"/>
      <c r="KAE378" s="15"/>
      <c r="KAF378" s="15"/>
      <c r="KAG378" s="15"/>
      <c r="KAH378" s="15"/>
      <c r="KAI378" s="15"/>
      <c r="KAJ378" s="15"/>
      <c r="KAK378" s="15"/>
      <c r="KAL378" s="10"/>
      <c r="KAM378" s="10"/>
      <c r="KAN378" s="21"/>
      <c r="KAO378" s="21"/>
      <c r="KAR378" s="21"/>
      <c r="KAS378" s="15"/>
      <c r="KAT378" s="15"/>
      <c r="KAU378" s="15"/>
      <c r="KAV378" s="15"/>
      <c r="KAW378" s="15"/>
      <c r="KAX378" s="15"/>
      <c r="KAY378" s="15"/>
      <c r="KAZ378" s="15"/>
      <c r="KBA378" s="15"/>
      <c r="KBB378" s="15"/>
      <c r="KBC378" s="10"/>
      <c r="KBD378" s="10"/>
      <c r="KBE378" s="21"/>
      <c r="KBF378" s="21"/>
      <c r="KBI378" s="21"/>
      <c r="KBJ378" s="15"/>
      <c r="KBK378" s="15"/>
      <c r="KBL378" s="15"/>
      <c r="KBM378" s="15"/>
      <c r="KBN378" s="15"/>
      <c r="KBO378" s="15"/>
      <c r="KBP378" s="15"/>
      <c r="KBQ378" s="15"/>
      <c r="KBR378" s="15"/>
      <c r="KBS378" s="15"/>
      <c r="KBT378" s="10"/>
      <c r="KBU378" s="10"/>
      <c r="KBV378" s="21"/>
      <c r="KBW378" s="21"/>
      <c r="KBZ378" s="21"/>
      <c r="KCA378" s="15"/>
      <c r="KCB378" s="15"/>
      <c r="KCC378" s="15"/>
      <c r="KCD378" s="15"/>
      <c r="KCE378" s="15"/>
      <c r="KCF378" s="15"/>
      <c r="KCG378" s="15"/>
      <c r="KCH378" s="15"/>
      <c r="KCI378" s="15"/>
      <c r="KCJ378" s="15"/>
      <c r="KCK378" s="10"/>
      <c r="KCL378" s="10"/>
      <c r="KCM378" s="21"/>
      <c r="KCN378" s="21"/>
      <c r="KCQ378" s="21"/>
      <c r="KCR378" s="15"/>
      <c r="KCS378" s="15"/>
      <c r="KCT378" s="15"/>
      <c r="KCU378" s="15"/>
      <c r="KCV378" s="15"/>
      <c r="KCW378" s="15"/>
      <c r="KCX378" s="15"/>
      <c r="KCY378" s="15"/>
      <c r="KCZ378" s="15"/>
      <c r="KDA378" s="15"/>
      <c r="KDB378" s="10"/>
      <c r="KDC378" s="10"/>
      <c r="KDD378" s="21"/>
      <c r="KDE378" s="21"/>
      <c r="KDH378" s="21"/>
      <c r="KDI378" s="15"/>
      <c r="KDJ378" s="15"/>
      <c r="KDK378" s="15"/>
      <c r="KDL378" s="15"/>
      <c r="KDM378" s="15"/>
      <c r="KDN378" s="15"/>
      <c r="KDO378" s="15"/>
      <c r="KDP378" s="15"/>
      <c r="KDQ378" s="15"/>
      <c r="KDR378" s="15"/>
      <c r="KDS378" s="10"/>
      <c r="KDT378" s="10"/>
      <c r="KDU378" s="21"/>
      <c r="KDV378" s="21"/>
      <c r="KDY378" s="21"/>
      <c r="KDZ378" s="15"/>
      <c r="KEA378" s="15"/>
      <c r="KEB378" s="15"/>
      <c r="KEC378" s="15"/>
      <c r="KED378" s="15"/>
      <c r="KEE378" s="15"/>
      <c r="KEF378" s="15"/>
      <c r="KEG378" s="15"/>
      <c r="KEH378" s="15"/>
      <c r="KEI378" s="15"/>
      <c r="KEJ378" s="10"/>
      <c r="KEK378" s="10"/>
      <c r="KEL378" s="21"/>
      <c r="KEM378" s="21"/>
      <c r="KEP378" s="21"/>
      <c r="KEQ378" s="15"/>
      <c r="KER378" s="15"/>
      <c r="KES378" s="15"/>
      <c r="KET378" s="15"/>
      <c r="KEU378" s="15"/>
      <c r="KEV378" s="15"/>
      <c r="KEW378" s="15"/>
      <c r="KEX378" s="15"/>
      <c r="KEY378" s="15"/>
      <c r="KEZ378" s="15"/>
      <c r="KFA378" s="10"/>
      <c r="KFB378" s="10"/>
      <c r="KFC378" s="21"/>
      <c r="KFD378" s="21"/>
      <c r="KFG378" s="21"/>
      <c r="KFH378" s="15"/>
      <c r="KFI378" s="15"/>
      <c r="KFJ378" s="15"/>
      <c r="KFK378" s="15"/>
      <c r="KFL378" s="15"/>
      <c r="KFM378" s="15"/>
      <c r="KFN378" s="15"/>
      <c r="KFO378" s="15"/>
      <c r="KFP378" s="15"/>
      <c r="KFQ378" s="15"/>
      <c r="KFR378" s="10"/>
      <c r="KFS378" s="10"/>
      <c r="KFT378" s="21"/>
      <c r="KFU378" s="21"/>
      <c r="KFX378" s="21"/>
      <c r="KFY378" s="15"/>
      <c r="KFZ378" s="15"/>
      <c r="KGA378" s="15"/>
      <c r="KGB378" s="15"/>
      <c r="KGC378" s="15"/>
      <c r="KGD378" s="15"/>
      <c r="KGE378" s="15"/>
      <c r="KGF378" s="15"/>
      <c r="KGG378" s="15"/>
      <c r="KGH378" s="15"/>
      <c r="KGI378" s="10"/>
      <c r="KGJ378" s="10"/>
      <c r="KGK378" s="21"/>
      <c r="KGL378" s="21"/>
      <c r="KGO378" s="21"/>
      <c r="KGP378" s="15"/>
      <c r="KGQ378" s="15"/>
      <c r="KGR378" s="15"/>
      <c r="KGS378" s="15"/>
      <c r="KGT378" s="15"/>
      <c r="KGU378" s="15"/>
      <c r="KGV378" s="15"/>
      <c r="KGW378" s="15"/>
      <c r="KGX378" s="15"/>
      <c r="KGY378" s="15"/>
      <c r="KGZ378" s="10"/>
      <c r="KHA378" s="10"/>
      <c r="KHB378" s="21"/>
      <c r="KHC378" s="21"/>
      <c r="KHF378" s="21"/>
      <c r="KHG378" s="15"/>
      <c r="KHH378" s="15"/>
      <c r="KHI378" s="15"/>
      <c r="KHJ378" s="15"/>
      <c r="KHK378" s="15"/>
      <c r="KHL378" s="15"/>
      <c r="KHM378" s="15"/>
      <c r="KHN378" s="15"/>
      <c r="KHO378" s="15"/>
      <c r="KHP378" s="15"/>
      <c r="KHQ378" s="10"/>
      <c r="KHR378" s="10"/>
      <c r="KHS378" s="21"/>
      <c r="KHT378" s="21"/>
      <c r="KHW378" s="21"/>
      <c r="KHX378" s="15"/>
      <c r="KHY378" s="15"/>
      <c r="KHZ378" s="15"/>
      <c r="KIA378" s="15"/>
      <c r="KIB378" s="15"/>
      <c r="KIC378" s="15"/>
      <c r="KID378" s="15"/>
      <c r="KIE378" s="15"/>
      <c r="KIF378" s="15"/>
      <c r="KIG378" s="15"/>
      <c r="KIH378" s="10"/>
      <c r="KII378" s="10"/>
      <c r="KIJ378" s="21"/>
      <c r="KIK378" s="21"/>
      <c r="KIN378" s="21"/>
      <c r="KIO378" s="15"/>
      <c r="KIP378" s="15"/>
      <c r="KIQ378" s="15"/>
      <c r="KIR378" s="15"/>
      <c r="KIS378" s="15"/>
      <c r="KIT378" s="15"/>
      <c r="KIU378" s="15"/>
      <c r="KIV378" s="15"/>
      <c r="KIW378" s="15"/>
      <c r="KIX378" s="15"/>
      <c r="KIY378" s="10"/>
      <c r="KIZ378" s="10"/>
      <c r="KJA378" s="21"/>
      <c r="KJB378" s="21"/>
      <c r="KJE378" s="21"/>
      <c r="KJF378" s="15"/>
      <c r="KJG378" s="15"/>
      <c r="KJH378" s="15"/>
      <c r="KJI378" s="15"/>
      <c r="KJJ378" s="15"/>
      <c r="KJK378" s="15"/>
      <c r="KJL378" s="15"/>
      <c r="KJM378" s="15"/>
      <c r="KJN378" s="15"/>
      <c r="KJO378" s="15"/>
      <c r="KJP378" s="10"/>
      <c r="KJQ378" s="10"/>
      <c r="KJR378" s="21"/>
      <c r="KJS378" s="21"/>
      <c r="KJV378" s="21"/>
      <c r="KJW378" s="15"/>
      <c r="KJX378" s="15"/>
      <c r="KJY378" s="15"/>
      <c r="KJZ378" s="15"/>
      <c r="KKA378" s="15"/>
      <c r="KKB378" s="15"/>
      <c r="KKC378" s="15"/>
      <c r="KKD378" s="15"/>
      <c r="KKE378" s="15"/>
      <c r="KKF378" s="15"/>
      <c r="KKG378" s="10"/>
      <c r="KKH378" s="10"/>
      <c r="KKI378" s="21"/>
      <c r="KKJ378" s="21"/>
      <c r="KKM378" s="21"/>
      <c r="KKN378" s="15"/>
      <c r="KKO378" s="15"/>
      <c r="KKP378" s="15"/>
      <c r="KKQ378" s="15"/>
      <c r="KKR378" s="15"/>
      <c r="KKS378" s="15"/>
      <c r="KKT378" s="15"/>
      <c r="KKU378" s="15"/>
      <c r="KKV378" s="15"/>
      <c r="KKW378" s="15"/>
      <c r="KKX378" s="10"/>
      <c r="KKY378" s="10"/>
      <c r="KKZ378" s="21"/>
      <c r="KLA378" s="21"/>
      <c r="KLD378" s="21"/>
      <c r="KLE378" s="15"/>
      <c r="KLF378" s="15"/>
      <c r="KLG378" s="15"/>
      <c r="KLH378" s="15"/>
      <c r="KLI378" s="15"/>
      <c r="KLJ378" s="15"/>
      <c r="KLK378" s="15"/>
      <c r="KLL378" s="15"/>
      <c r="KLM378" s="15"/>
      <c r="KLN378" s="15"/>
      <c r="KLO378" s="10"/>
      <c r="KLP378" s="10"/>
      <c r="KLQ378" s="21"/>
      <c r="KLR378" s="21"/>
      <c r="KLU378" s="21"/>
      <c r="KLV378" s="15"/>
      <c r="KLW378" s="15"/>
      <c r="KLX378" s="15"/>
      <c r="KLY378" s="15"/>
      <c r="KLZ378" s="15"/>
      <c r="KMA378" s="15"/>
      <c r="KMB378" s="15"/>
      <c r="KMC378" s="15"/>
      <c r="KMD378" s="15"/>
      <c r="KME378" s="15"/>
      <c r="KMF378" s="10"/>
      <c r="KMG378" s="10"/>
      <c r="KMH378" s="21"/>
      <c r="KMI378" s="21"/>
      <c r="KML378" s="21"/>
      <c r="KMM378" s="15"/>
      <c r="KMN378" s="15"/>
      <c r="KMO378" s="15"/>
      <c r="KMP378" s="15"/>
      <c r="KMQ378" s="15"/>
      <c r="KMR378" s="15"/>
      <c r="KMS378" s="15"/>
      <c r="KMT378" s="15"/>
      <c r="KMU378" s="15"/>
      <c r="KMV378" s="15"/>
      <c r="KMW378" s="10"/>
      <c r="KMX378" s="10"/>
      <c r="KMY378" s="21"/>
      <c r="KMZ378" s="21"/>
      <c r="KNC378" s="21"/>
      <c r="KND378" s="15"/>
      <c r="KNE378" s="15"/>
      <c r="KNF378" s="15"/>
      <c r="KNG378" s="15"/>
      <c r="KNH378" s="15"/>
      <c r="KNI378" s="15"/>
      <c r="KNJ378" s="15"/>
      <c r="KNK378" s="15"/>
      <c r="KNL378" s="15"/>
      <c r="KNM378" s="15"/>
      <c r="KNN378" s="10"/>
      <c r="KNO378" s="10"/>
      <c r="KNP378" s="21"/>
      <c r="KNQ378" s="21"/>
      <c r="KNT378" s="21"/>
      <c r="KNU378" s="15"/>
      <c r="KNV378" s="15"/>
      <c r="KNW378" s="15"/>
      <c r="KNX378" s="15"/>
      <c r="KNY378" s="15"/>
      <c r="KNZ378" s="15"/>
      <c r="KOA378" s="15"/>
      <c r="KOB378" s="15"/>
      <c r="KOC378" s="15"/>
      <c r="KOD378" s="15"/>
      <c r="KOE378" s="10"/>
      <c r="KOF378" s="10"/>
      <c r="KOG378" s="21"/>
      <c r="KOH378" s="21"/>
      <c r="KOK378" s="21"/>
      <c r="KOL378" s="15"/>
      <c r="KOM378" s="15"/>
      <c r="KON378" s="15"/>
      <c r="KOO378" s="15"/>
      <c r="KOP378" s="15"/>
      <c r="KOQ378" s="15"/>
      <c r="KOR378" s="15"/>
      <c r="KOS378" s="15"/>
      <c r="KOT378" s="15"/>
      <c r="KOU378" s="15"/>
      <c r="KOV378" s="10"/>
      <c r="KOW378" s="10"/>
      <c r="KOX378" s="21"/>
      <c r="KOY378" s="21"/>
      <c r="KPB378" s="21"/>
      <c r="KPC378" s="15"/>
      <c r="KPD378" s="15"/>
      <c r="KPE378" s="15"/>
      <c r="KPF378" s="15"/>
      <c r="KPG378" s="15"/>
      <c r="KPH378" s="15"/>
      <c r="KPI378" s="15"/>
      <c r="KPJ378" s="15"/>
      <c r="KPK378" s="15"/>
      <c r="KPL378" s="15"/>
      <c r="KPM378" s="10"/>
      <c r="KPN378" s="10"/>
      <c r="KPO378" s="21"/>
      <c r="KPP378" s="21"/>
      <c r="KPS378" s="21"/>
      <c r="KPT378" s="15"/>
      <c r="KPU378" s="15"/>
      <c r="KPV378" s="15"/>
      <c r="KPW378" s="15"/>
      <c r="KPX378" s="15"/>
      <c r="KPY378" s="15"/>
      <c r="KPZ378" s="15"/>
      <c r="KQA378" s="15"/>
      <c r="KQB378" s="15"/>
      <c r="KQC378" s="15"/>
      <c r="KQD378" s="10"/>
      <c r="KQE378" s="10"/>
      <c r="KQF378" s="21"/>
      <c r="KQG378" s="21"/>
      <c r="KQJ378" s="21"/>
      <c r="KQK378" s="15"/>
      <c r="KQL378" s="15"/>
      <c r="KQM378" s="15"/>
      <c r="KQN378" s="15"/>
      <c r="KQO378" s="15"/>
      <c r="KQP378" s="15"/>
      <c r="KQQ378" s="15"/>
      <c r="KQR378" s="15"/>
      <c r="KQS378" s="15"/>
      <c r="KQT378" s="15"/>
      <c r="KQU378" s="10"/>
      <c r="KQV378" s="10"/>
      <c r="KQW378" s="21"/>
      <c r="KQX378" s="21"/>
      <c r="KRA378" s="21"/>
      <c r="KRB378" s="15"/>
      <c r="KRC378" s="15"/>
      <c r="KRD378" s="15"/>
      <c r="KRE378" s="15"/>
      <c r="KRF378" s="15"/>
      <c r="KRG378" s="15"/>
      <c r="KRH378" s="15"/>
      <c r="KRI378" s="15"/>
      <c r="KRJ378" s="15"/>
      <c r="KRK378" s="15"/>
      <c r="KRL378" s="10"/>
      <c r="KRM378" s="10"/>
      <c r="KRN378" s="21"/>
      <c r="KRO378" s="21"/>
      <c r="KRR378" s="21"/>
      <c r="KRS378" s="15"/>
      <c r="KRT378" s="15"/>
      <c r="KRU378" s="15"/>
      <c r="KRV378" s="15"/>
      <c r="KRW378" s="15"/>
      <c r="KRX378" s="15"/>
      <c r="KRY378" s="15"/>
      <c r="KRZ378" s="15"/>
      <c r="KSA378" s="15"/>
      <c r="KSB378" s="15"/>
      <c r="KSC378" s="10"/>
      <c r="KSD378" s="10"/>
      <c r="KSE378" s="21"/>
      <c r="KSF378" s="21"/>
      <c r="KSI378" s="21"/>
      <c r="KSJ378" s="15"/>
      <c r="KSK378" s="15"/>
      <c r="KSL378" s="15"/>
      <c r="KSM378" s="15"/>
      <c r="KSN378" s="15"/>
      <c r="KSO378" s="15"/>
      <c r="KSP378" s="15"/>
      <c r="KSQ378" s="15"/>
      <c r="KSR378" s="15"/>
      <c r="KSS378" s="15"/>
      <c r="KST378" s="10"/>
      <c r="KSU378" s="10"/>
      <c r="KSV378" s="21"/>
      <c r="KSW378" s="21"/>
      <c r="KSZ378" s="21"/>
      <c r="KTA378" s="15"/>
      <c r="KTB378" s="15"/>
      <c r="KTC378" s="15"/>
      <c r="KTD378" s="15"/>
      <c r="KTE378" s="15"/>
      <c r="KTF378" s="15"/>
      <c r="KTG378" s="15"/>
      <c r="KTH378" s="15"/>
      <c r="KTI378" s="15"/>
      <c r="KTJ378" s="15"/>
      <c r="KTK378" s="10"/>
      <c r="KTL378" s="10"/>
      <c r="KTM378" s="21"/>
      <c r="KTN378" s="21"/>
      <c r="KTQ378" s="21"/>
      <c r="KTR378" s="15"/>
      <c r="KTS378" s="15"/>
      <c r="KTT378" s="15"/>
      <c r="KTU378" s="15"/>
      <c r="KTV378" s="15"/>
      <c r="KTW378" s="15"/>
      <c r="KTX378" s="15"/>
      <c r="KTY378" s="15"/>
      <c r="KTZ378" s="15"/>
      <c r="KUA378" s="15"/>
      <c r="KUB378" s="10"/>
      <c r="KUC378" s="10"/>
      <c r="KUD378" s="21"/>
      <c r="KUE378" s="21"/>
      <c r="KUH378" s="21"/>
      <c r="KUI378" s="15"/>
      <c r="KUJ378" s="15"/>
      <c r="KUK378" s="15"/>
      <c r="KUL378" s="15"/>
      <c r="KUM378" s="15"/>
      <c r="KUN378" s="15"/>
      <c r="KUO378" s="15"/>
      <c r="KUP378" s="15"/>
      <c r="KUQ378" s="15"/>
      <c r="KUR378" s="15"/>
      <c r="KUS378" s="10"/>
      <c r="KUT378" s="10"/>
      <c r="KUU378" s="21"/>
      <c r="KUV378" s="21"/>
      <c r="KUY378" s="21"/>
      <c r="KUZ378" s="15"/>
      <c r="KVA378" s="15"/>
      <c r="KVB378" s="15"/>
      <c r="KVC378" s="15"/>
      <c r="KVD378" s="15"/>
      <c r="KVE378" s="15"/>
      <c r="KVF378" s="15"/>
      <c r="KVG378" s="15"/>
      <c r="KVH378" s="15"/>
      <c r="KVI378" s="15"/>
      <c r="KVJ378" s="10"/>
      <c r="KVK378" s="10"/>
      <c r="KVL378" s="21"/>
      <c r="KVM378" s="21"/>
      <c r="KVP378" s="21"/>
      <c r="KVQ378" s="15"/>
      <c r="KVR378" s="15"/>
      <c r="KVS378" s="15"/>
      <c r="KVT378" s="15"/>
      <c r="KVU378" s="15"/>
      <c r="KVV378" s="15"/>
      <c r="KVW378" s="15"/>
      <c r="KVX378" s="15"/>
      <c r="KVY378" s="15"/>
      <c r="KVZ378" s="15"/>
      <c r="KWA378" s="10"/>
      <c r="KWB378" s="10"/>
      <c r="KWC378" s="21"/>
      <c r="KWD378" s="21"/>
      <c r="KWG378" s="21"/>
      <c r="KWH378" s="15"/>
      <c r="KWI378" s="15"/>
      <c r="KWJ378" s="15"/>
      <c r="KWK378" s="15"/>
      <c r="KWL378" s="15"/>
      <c r="KWM378" s="15"/>
      <c r="KWN378" s="15"/>
      <c r="KWO378" s="15"/>
      <c r="KWP378" s="15"/>
      <c r="KWQ378" s="15"/>
      <c r="KWR378" s="10"/>
      <c r="KWS378" s="10"/>
      <c r="KWT378" s="21"/>
      <c r="KWU378" s="21"/>
      <c r="KWX378" s="21"/>
      <c r="KWY378" s="15"/>
      <c r="KWZ378" s="15"/>
      <c r="KXA378" s="15"/>
      <c r="KXB378" s="15"/>
      <c r="KXC378" s="15"/>
      <c r="KXD378" s="15"/>
      <c r="KXE378" s="15"/>
      <c r="KXF378" s="15"/>
      <c r="KXG378" s="15"/>
      <c r="KXH378" s="15"/>
      <c r="KXI378" s="10"/>
      <c r="KXJ378" s="10"/>
      <c r="KXK378" s="21"/>
      <c r="KXL378" s="21"/>
      <c r="KXO378" s="21"/>
      <c r="KXP378" s="15"/>
      <c r="KXQ378" s="15"/>
      <c r="KXR378" s="15"/>
      <c r="KXS378" s="15"/>
      <c r="KXT378" s="15"/>
      <c r="KXU378" s="15"/>
      <c r="KXV378" s="15"/>
      <c r="KXW378" s="15"/>
      <c r="KXX378" s="15"/>
      <c r="KXY378" s="15"/>
      <c r="KXZ378" s="10"/>
      <c r="KYA378" s="10"/>
      <c r="KYB378" s="21"/>
      <c r="KYC378" s="21"/>
      <c r="KYF378" s="21"/>
      <c r="KYG378" s="15"/>
      <c r="KYH378" s="15"/>
      <c r="KYI378" s="15"/>
      <c r="KYJ378" s="15"/>
      <c r="KYK378" s="15"/>
      <c r="KYL378" s="15"/>
      <c r="KYM378" s="15"/>
      <c r="KYN378" s="15"/>
      <c r="KYO378" s="15"/>
      <c r="KYP378" s="15"/>
      <c r="KYQ378" s="10"/>
      <c r="KYR378" s="10"/>
      <c r="KYS378" s="21"/>
      <c r="KYT378" s="21"/>
      <c r="KYW378" s="21"/>
      <c r="KYX378" s="15"/>
      <c r="KYY378" s="15"/>
      <c r="KYZ378" s="15"/>
      <c r="KZA378" s="15"/>
      <c r="KZB378" s="15"/>
      <c r="KZC378" s="15"/>
      <c r="KZD378" s="15"/>
      <c r="KZE378" s="15"/>
      <c r="KZF378" s="15"/>
      <c r="KZG378" s="15"/>
      <c r="KZH378" s="10"/>
      <c r="KZI378" s="10"/>
      <c r="KZJ378" s="21"/>
      <c r="KZK378" s="21"/>
      <c r="KZN378" s="21"/>
      <c r="KZO378" s="15"/>
      <c r="KZP378" s="15"/>
      <c r="KZQ378" s="15"/>
      <c r="KZR378" s="15"/>
      <c r="KZS378" s="15"/>
      <c r="KZT378" s="15"/>
      <c r="KZU378" s="15"/>
      <c r="KZV378" s="15"/>
      <c r="KZW378" s="15"/>
      <c r="KZX378" s="15"/>
      <c r="KZY378" s="10"/>
      <c r="KZZ378" s="10"/>
      <c r="LAA378" s="21"/>
      <c r="LAB378" s="21"/>
      <c r="LAE378" s="21"/>
      <c r="LAF378" s="15"/>
      <c r="LAG378" s="15"/>
      <c r="LAH378" s="15"/>
      <c r="LAI378" s="15"/>
      <c r="LAJ378" s="15"/>
      <c r="LAK378" s="15"/>
      <c r="LAL378" s="15"/>
      <c r="LAM378" s="15"/>
      <c r="LAN378" s="15"/>
      <c r="LAO378" s="15"/>
      <c r="LAP378" s="10"/>
      <c r="LAQ378" s="10"/>
      <c r="LAR378" s="21"/>
      <c r="LAS378" s="21"/>
      <c r="LAV378" s="21"/>
      <c r="LAW378" s="15"/>
      <c r="LAX378" s="15"/>
      <c r="LAY378" s="15"/>
      <c r="LAZ378" s="15"/>
      <c r="LBA378" s="15"/>
      <c r="LBB378" s="15"/>
      <c r="LBC378" s="15"/>
      <c r="LBD378" s="15"/>
      <c r="LBE378" s="15"/>
      <c r="LBF378" s="15"/>
      <c r="LBG378" s="10"/>
      <c r="LBH378" s="10"/>
      <c r="LBI378" s="21"/>
      <c r="LBJ378" s="21"/>
      <c r="LBM378" s="21"/>
      <c r="LBN378" s="15"/>
      <c r="LBO378" s="15"/>
      <c r="LBP378" s="15"/>
      <c r="LBQ378" s="15"/>
      <c r="LBR378" s="15"/>
      <c r="LBS378" s="15"/>
      <c r="LBT378" s="15"/>
      <c r="LBU378" s="15"/>
      <c r="LBV378" s="15"/>
      <c r="LBW378" s="15"/>
      <c r="LBX378" s="10"/>
      <c r="LBY378" s="10"/>
      <c r="LBZ378" s="21"/>
      <c r="LCA378" s="21"/>
      <c r="LCD378" s="21"/>
      <c r="LCE378" s="15"/>
      <c r="LCF378" s="15"/>
      <c r="LCG378" s="15"/>
      <c r="LCH378" s="15"/>
      <c r="LCI378" s="15"/>
      <c r="LCJ378" s="15"/>
      <c r="LCK378" s="15"/>
      <c r="LCL378" s="15"/>
      <c r="LCM378" s="15"/>
      <c r="LCN378" s="15"/>
      <c r="LCO378" s="10"/>
      <c r="LCP378" s="10"/>
      <c r="LCQ378" s="21"/>
      <c r="LCR378" s="21"/>
      <c r="LCU378" s="21"/>
      <c r="LCV378" s="15"/>
      <c r="LCW378" s="15"/>
      <c r="LCX378" s="15"/>
      <c r="LCY378" s="15"/>
      <c r="LCZ378" s="15"/>
      <c r="LDA378" s="15"/>
      <c r="LDB378" s="15"/>
      <c r="LDC378" s="15"/>
      <c r="LDD378" s="15"/>
      <c r="LDE378" s="15"/>
      <c r="LDF378" s="10"/>
      <c r="LDG378" s="10"/>
      <c r="LDH378" s="21"/>
      <c r="LDI378" s="21"/>
      <c r="LDL378" s="21"/>
      <c r="LDM378" s="15"/>
      <c r="LDN378" s="15"/>
      <c r="LDO378" s="15"/>
      <c r="LDP378" s="15"/>
      <c r="LDQ378" s="15"/>
      <c r="LDR378" s="15"/>
      <c r="LDS378" s="15"/>
      <c r="LDT378" s="15"/>
      <c r="LDU378" s="15"/>
      <c r="LDV378" s="15"/>
      <c r="LDW378" s="10"/>
      <c r="LDX378" s="10"/>
      <c r="LDY378" s="21"/>
      <c r="LDZ378" s="21"/>
      <c r="LEC378" s="21"/>
      <c r="LED378" s="15"/>
      <c r="LEE378" s="15"/>
      <c r="LEF378" s="15"/>
      <c r="LEG378" s="15"/>
      <c r="LEH378" s="15"/>
      <c r="LEI378" s="15"/>
      <c r="LEJ378" s="15"/>
      <c r="LEK378" s="15"/>
      <c r="LEL378" s="15"/>
      <c r="LEM378" s="15"/>
      <c r="LEN378" s="10"/>
      <c r="LEO378" s="10"/>
      <c r="LEP378" s="21"/>
      <c r="LEQ378" s="21"/>
      <c r="LET378" s="21"/>
      <c r="LEU378" s="15"/>
      <c r="LEV378" s="15"/>
      <c r="LEW378" s="15"/>
      <c r="LEX378" s="15"/>
      <c r="LEY378" s="15"/>
      <c r="LEZ378" s="15"/>
      <c r="LFA378" s="15"/>
      <c r="LFB378" s="15"/>
      <c r="LFC378" s="15"/>
      <c r="LFD378" s="15"/>
      <c r="LFE378" s="10"/>
      <c r="LFF378" s="10"/>
      <c r="LFG378" s="21"/>
      <c r="LFH378" s="21"/>
      <c r="LFK378" s="21"/>
      <c r="LFL378" s="15"/>
      <c r="LFM378" s="15"/>
      <c r="LFN378" s="15"/>
      <c r="LFO378" s="15"/>
      <c r="LFP378" s="15"/>
      <c r="LFQ378" s="15"/>
      <c r="LFR378" s="15"/>
      <c r="LFS378" s="15"/>
      <c r="LFT378" s="15"/>
      <c r="LFU378" s="15"/>
      <c r="LFV378" s="10"/>
      <c r="LFW378" s="10"/>
      <c r="LFX378" s="21"/>
      <c r="LFY378" s="21"/>
      <c r="LGB378" s="21"/>
      <c r="LGC378" s="15"/>
      <c r="LGD378" s="15"/>
      <c r="LGE378" s="15"/>
      <c r="LGF378" s="15"/>
      <c r="LGG378" s="15"/>
      <c r="LGH378" s="15"/>
      <c r="LGI378" s="15"/>
      <c r="LGJ378" s="15"/>
      <c r="LGK378" s="15"/>
      <c r="LGL378" s="15"/>
      <c r="LGM378" s="10"/>
      <c r="LGN378" s="10"/>
      <c r="LGO378" s="21"/>
      <c r="LGP378" s="21"/>
      <c r="LGS378" s="21"/>
      <c r="LGT378" s="15"/>
      <c r="LGU378" s="15"/>
      <c r="LGV378" s="15"/>
      <c r="LGW378" s="15"/>
      <c r="LGX378" s="15"/>
      <c r="LGY378" s="15"/>
      <c r="LGZ378" s="15"/>
      <c r="LHA378" s="15"/>
      <c r="LHB378" s="15"/>
      <c r="LHC378" s="15"/>
      <c r="LHD378" s="10"/>
      <c r="LHE378" s="10"/>
      <c r="LHF378" s="21"/>
      <c r="LHG378" s="21"/>
      <c r="LHJ378" s="21"/>
      <c r="LHK378" s="15"/>
      <c r="LHL378" s="15"/>
      <c r="LHM378" s="15"/>
      <c r="LHN378" s="15"/>
      <c r="LHO378" s="15"/>
      <c r="LHP378" s="15"/>
      <c r="LHQ378" s="15"/>
      <c r="LHR378" s="15"/>
      <c r="LHS378" s="15"/>
      <c r="LHT378" s="15"/>
      <c r="LHU378" s="10"/>
      <c r="LHV378" s="10"/>
      <c r="LHW378" s="21"/>
      <c r="LHX378" s="21"/>
      <c r="LIA378" s="21"/>
      <c r="LIB378" s="15"/>
      <c r="LIC378" s="15"/>
      <c r="LID378" s="15"/>
      <c r="LIE378" s="15"/>
      <c r="LIF378" s="15"/>
      <c r="LIG378" s="15"/>
      <c r="LIH378" s="15"/>
      <c r="LII378" s="15"/>
      <c r="LIJ378" s="15"/>
      <c r="LIK378" s="15"/>
      <c r="LIL378" s="10"/>
      <c r="LIM378" s="10"/>
      <c r="LIN378" s="21"/>
      <c r="LIO378" s="21"/>
      <c r="LIR378" s="21"/>
      <c r="LIS378" s="15"/>
      <c r="LIT378" s="15"/>
      <c r="LIU378" s="15"/>
      <c r="LIV378" s="15"/>
      <c r="LIW378" s="15"/>
      <c r="LIX378" s="15"/>
      <c r="LIY378" s="15"/>
      <c r="LIZ378" s="15"/>
      <c r="LJA378" s="15"/>
      <c r="LJB378" s="15"/>
      <c r="LJC378" s="10"/>
      <c r="LJD378" s="10"/>
      <c r="LJE378" s="21"/>
      <c r="LJF378" s="21"/>
      <c r="LJI378" s="21"/>
      <c r="LJJ378" s="15"/>
      <c r="LJK378" s="15"/>
      <c r="LJL378" s="15"/>
      <c r="LJM378" s="15"/>
      <c r="LJN378" s="15"/>
      <c r="LJO378" s="15"/>
      <c r="LJP378" s="15"/>
      <c r="LJQ378" s="15"/>
      <c r="LJR378" s="15"/>
      <c r="LJS378" s="15"/>
      <c r="LJT378" s="10"/>
      <c r="LJU378" s="10"/>
      <c r="LJV378" s="21"/>
      <c r="LJW378" s="21"/>
      <c r="LJZ378" s="21"/>
      <c r="LKA378" s="15"/>
      <c r="LKB378" s="15"/>
      <c r="LKC378" s="15"/>
      <c r="LKD378" s="15"/>
      <c r="LKE378" s="15"/>
      <c r="LKF378" s="15"/>
      <c r="LKG378" s="15"/>
      <c r="LKH378" s="15"/>
      <c r="LKI378" s="15"/>
      <c r="LKJ378" s="15"/>
      <c r="LKK378" s="10"/>
      <c r="LKL378" s="10"/>
      <c r="LKM378" s="21"/>
      <c r="LKN378" s="21"/>
      <c r="LKQ378" s="21"/>
      <c r="LKR378" s="15"/>
      <c r="LKS378" s="15"/>
      <c r="LKT378" s="15"/>
      <c r="LKU378" s="15"/>
      <c r="LKV378" s="15"/>
      <c r="LKW378" s="15"/>
      <c r="LKX378" s="15"/>
      <c r="LKY378" s="15"/>
      <c r="LKZ378" s="15"/>
      <c r="LLA378" s="15"/>
      <c r="LLB378" s="10"/>
      <c r="LLC378" s="10"/>
      <c r="LLD378" s="21"/>
      <c r="LLE378" s="21"/>
      <c r="LLH378" s="21"/>
      <c r="LLI378" s="15"/>
      <c r="LLJ378" s="15"/>
      <c r="LLK378" s="15"/>
      <c r="LLL378" s="15"/>
      <c r="LLM378" s="15"/>
      <c r="LLN378" s="15"/>
      <c r="LLO378" s="15"/>
      <c r="LLP378" s="15"/>
      <c r="LLQ378" s="15"/>
      <c r="LLR378" s="15"/>
      <c r="LLS378" s="10"/>
      <c r="LLT378" s="10"/>
      <c r="LLU378" s="21"/>
      <c r="LLV378" s="21"/>
      <c r="LLY378" s="21"/>
      <c r="LLZ378" s="15"/>
      <c r="LMA378" s="15"/>
      <c r="LMB378" s="15"/>
      <c r="LMC378" s="15"/>
      <c r="LMD378" s="15"/>
      <c r="LME378" s="15"/>
      <c r="LMF378" s="15"/>
      <c r="LMG378" s="15"/>
      <c r="LMH378" s="15"/>
      <c r="LMI378" s="15"/>
      <c r="LMJ378" s="10"/>
      <c r="LMK378" s="10"/>
      <c r="LML378" s="21"/>
      <c r="LMM378" s="21"/>
      <c r="LMP378" s="21"/>
      <c r="LMQ378" s="15"/>
      <c r="LMR378" s="15"/>
      <c r="LMS378" s="15"/>
      <c r="LMT378" s="15"/>
      <c r="LMU378" s="15"/>
      <c r="LMV378" s="15"/>
      <c r="LMW378" s="15"/>
      <c r="LMX378" s="15"/>
      <c r="LMY378" s="15"/>
      <c r="LMZ378" s="15"/>
      <c r="LNA378" s="10"/>
      <c r="LNB378" s="10"/>
      <c r="LNC378" s="21"/>
      <c r="LND378" s="21"/>
      <c r="LNG378" s="21"/>
      <c r="LNH378" s="15"/>
      <c r="LNI378" s="15"/>
      <c r="LNJ378" s="15"/>
      <c r="LNK378" s="15"/>
      <c r="LNL378" s="15"/>
      <c r="LNM378" s="15"/>
      <c r="LNN378" s="15"/>
      <c r="LNO378" s="15"/>
      <c r="LNP378" s="15"/>
      <c r="LNQ378" s="15"/>
      <c r="LNR378" s="10"/>
      <c r="LNS378" s="10"/>
      <c r="LNT378" s="21"/>
      <c r="LNU378" s="21"/>
      <c r="LNX378" s="21"/>
      <c r="LNY378" s="15"/>
      <c r="LNZ378" s="15"/>
      <c r="LOA378" s="15"/>
      <c r="LOB378" s="15"/>
      <c r="LOC378" s="15"/>
      <c r="LOD378" s="15"/>
      <c r="LOE378" s="15"/>
      <c r="LOF378" s="15"/>
      <c r="LOG378" s="15"/>
      <c r="LOH378" s="15"/>
      <c r="LOI378" s="10"/>
      <c r="LOJ378" s="10"/>
      <c r="LOK378" s="21"/>
      <c r="LOL378" s="21"/>
      <c r="LOO378" s="21"/>
      <c r="LOP378" s="15"/>
      <c r="LOQ378" s="15"/>
      <c r="LOR378" s="15"/>
      <c r="LOS378" s="15"/>
      <c r="LOT378" s="15"/>
      <c r="LOU378" s="15"/>
      <c r="LOV378" s="15"/>
      <c r="LOW378" s="15"/>
      <c r="LOX378" s="15"/>
      <c r="LOY378" s="15"/>
      <c r="LOZ378" s="10"/>
      <c r="LPA378" s="10"/>
      <c r="LPB378" s="21"/>
      <c r="LPC378" s="21"/>
      <c r="LPF378" s="21"/>
      <c r="LPG378" s="15"/>
      <c r="LPH378" s="15"/>
      <c r="LPI378" s="15"/>
      <c r="LPJ378" s="15"/>
      <c r="LPK378" s="15"/>
      <c r="LPL378" s="15"/>
      <c r="LPM378" s="15"/>
      <c r="LPN378" s="15"/>
      <c r="LPO378" s="15"/>
      <c r="LPP378" s="15"/>
      <c r="LPQ378" s="10"/>
      <c r="LPR378" s="10"/>
      <c r="LPS378" s="21"/>
      <c r="LPT378" s="21"/>
      <c r="LPW378" s="21"/>
      <c r="LPX378" s="15"/>
      <c r="LPY378" s="15"/>
      <c r="LPZ378" s="15"/>
      <c r="LQA378" s="15"/>
      <c r="LQB378" s="15"/>
      <c r="LQC378" s="15"/>
      <c r="LQD378" s="15"/>
      <c r="LQE378" s="15"/>
      <c r="LQF378" s="15"/>
      <c r="LQG378" s="15"/>
      <c r="LQH378" s="10"/>
      <c r="LQI378" s="10"/>
      <c r="LQJ378" s="21"/>
      <c r="LQK378" s="21"/>
      <c r="LQN378" s="21"/>
      <c r="LQO378" s="15"/>
      <c r="LQP378" s="15"/>
      <c r="LQQ378" s="15"/>
      <c r="LQR378" s="15"/>
      <c r="LQS378" s="15"/>
      <c r="LQT378" s="15"/>
      <c r="LQU378" s="15"/>
      <c r="LQV378" s="15"/>
      <c r="LQW378" s="15"/>
      <c r="LQX378" s="15"/>
      <c r="LQY378" s="10"/>
      <c r="LQZ378" s="10"/>
      <c r="LRA378" s="21"/>
      <c r="LRB378" s="21"/>
      <c r="LRE378" s="21"/>
      <c r="LRF378" s="15"/>
      <c r="LRG378" s="15"/>
      <c r="LRH378" s="15"/>
      <c r="LRI378" s="15"/>
      <c r="LRJ378" s="15"/>
      <c r="LRK378" s="15"/>
      <c r="LRL378" s="15"/>
      <c r="LRM378" s="15"/>
      <c r="LRN378" s="15"/>
      <c r="LRO378" s="15"/>
      <c r="LRP378" s="10"/>
      <c r="LRQ378" s="10"/>
      <c r="LRR378" s="21"/>
      <c r="LRS378" s="21"/>
      <c r="LRV378" s="21"/>
      <c r="LRW378" s="15"/>
      <c r="LRX378" s="15"/>
      <c r="LRY378" s="15"/>
      <c r="LRZ378" s="15"/>
      <c r="LSA378" s="15"/>
      <c r="LSB378" s="15"/>
      <c r="LSC378" s="15"/>
      <c r="LSD378" s="15"/>
      <c r="LSE378" s="15"/>
      <c r="LSF378" s="15"/>
      <c r="LSG378" s="10"/>
      <c r="LSH378" s="10"/>
      <c r="LSI378" s="21"/>
      <c r="LSJ378" s="21"/>
      <c r="LSM378" s="21"/>
      <c r="LSN378" s="15"/>
      <c r="LSO378" s="15"/>
      <c r="LSP378" s="15"/>
      <c r="LSQ378" s="15"/>
      <c r="LSR378" s="15"/>
      <c r="LSS378" s="15"/>
      <c r="LST378" s="15"/>
      <c r="LSU378" s="15"/>
      <c r="LSV378" s="15"/>
      <c r="LSW378" s="15"/>
      <c r="LSX378" s="10"/>
      <c r="LSY378" s="10"/>
      <c r="LSZ378" s="21"/>
      <c r="LTA378" s="21"/>
      <c r="LTD378" s="21"/>
      <c r="LTE378" s="15"/>
      <c r="LTF378" s="15"/>
      <c r="LTG378" s="15"/>
      <c r="LTH378" s="15"/>
      <c r="LTI378" s="15"/>
      <c r="LTJ378" s="15"/>
      <c r="LTK378" s="15"/>
      <c r="LTL378" s="15"/>
      <c r="LTM378" s="15"/>
      <c r="LTN378" s="15"/>
      <c r="LTO378" s="10"/>
      <c r="LTP378" s="10"/>
      <c r="LTQ378" s="21"/>
      <c r="LTR378" s="21"/>
      <c r="LTU378" s="21"/>
      <c r="LTV378" s="15"/>
      <c r="LTW378" s="15"/>
      <c r="LTX378" s="15"/>
      <c r="LTY378" s="15"/>
      <c r="LTZ378" s="15"/>
      <c r="LUA378" s="15"/>
      <c r="LUB378" s="15"/>
      <c r="LUC378" s="15"/>
      <c r="LUD378" s="15"/>
      <c r="LUE378" s="15"/>
      <c r="LUF378" s="10"/>
      <c r="LUG378" s="10"/>
      <c r="LUH378" s="21"/>
      <c r="LUI378" s="21"/>
      <c r="LUL378" s="21"/>
      <c r="LUM378" s="15"/>
      <c r="LUN378" s="15"/>
      <c r="LUO378" s="15"/>
      <c r="LUP378" s="15"/>
      <c r="LUQ378" s="15"/>
      <c r="LUR378" s="15"/>
      <c r="LUS378" s="15"/>
      <c r="LUT378" s="15"/>
      <c r="LUU378" s="15"/>
      <c r="LUV378" s="15"/>
      <c r="LUW378" s="10"/>
      <c r="LUX378" s="10"/>
      <c r="LUY378" s="21"/>
      <c r="LUZ378" s="21"/>
      <c r="LVC378" s="21"/>
      <c r="LVD378" s="15"/>
      <c r="LVE378" s="15"/>
      <c r="LVF378" s="15"/>
      <c r="LVG378" s="15"/>
      <c r="LVH378" s="15"/>
      <c r="LVI378" s="15"/>
      <c r="LVJ378" s="15"/>
      <c r="LVK378" s="15"/>
      <c r="LVL378" s="15"/>
      <c r="LVM378" s="15"/>
      <c r="LVN378" s="10"/>
      <c r="LVO378" s="10"/>
      <c r="LVP378" s="21"/>
      <c r="LVQ378" s="21"/>
      <c r="LVT378" s="21"/>
      <c r="LVU378" s="15"/>
      <c r="LVV378" s="15"/>
      <c r="LVW378" s="15"/>
      <c r="LVX378" s="15"/>
      <c r="LVY378" s="15"/>
      <c r="LVZ378" s="15"/>
      <c r="LWA378" s="15"/>
      <c r="LWB378" s="15"/>
      <c r="LWC378" s="15"/>
      <c r="LWD378" s="15"/>
      <c r="LWE378" s="10"/>
      <c r="LWF378" s="10"/>
      <c r="LWG378" s="21"/>
      <c r="LWH378" s="21"/>
      <c r="LWK378" s="21"/>
      <c r="LWL378" s="15"/>
      <c r="LWM378" s="15"/>
      <c r="LWN378" s="15"/>
      <c r="LWO378" s="15"/>
      <c r="LWP378" s="15"/>
      <c r="LWQ378" s="15"/>
      <c r="LWR378" s="15"/>
      <c r="LWS378" s="15"/>
      <c r="LWT378" s="15"/>
      <c r="LWU378" s="15"/>
      <c r="LWV378" s="10"/>
      <c r="LWW378" s="10"/>
      <c r="LWX378" s="21"/>
      <c r="LWY378" s="21"/>
      <c r="LXB378" s="21"/>
      <c r="LXC378" s="15"/>
      <c r="LXD378" s="15"/>
      <c r="LXE378" s="15"/>
      <c r="LXF378" s="15"/>
      <c r="LXG378" s="15"/>
      <c r="LXH378" s="15"/>
      <c r="LXI378" s="15"/>
      <c r="LXJ378" s="15"/>
      <c r="LXK378" s="15"/>
      <c r="LXL378" s="15"/>
      <c r="LXM378" s="10"/>
      <c r="LXN378" s="10"/>
      <c r="LXO378" s="21"/>
      <c r="LXP378" s="21"/>
      <c r="LXS378" s="21"/>
      <c r="LXT378" s="15"/>
      <c r="LXU378" s="15"/>
      <c r="LXV378" s="15"/>
      <c r="LXW378" s="15"/>
      <c r="LXX378" s="15"/>
      <c r="LXY378" s="15"/>
      <c r="LXZ378" s="15"/>
      <c r="LYA378" s="15"/>
      <c r="LYB378" s="15"/>
      <c r="LYC378" s="15"/>
      <c r="LYD378" s="10"/>
      <c r="LYE378" s="10"/>
      <c r="LYF378" s="21"/>
      <c r="LYG378" s="21"/>
      <c r="LYJ378" s="21"/>
      <c r="LYK378" s="15"/>
      <c r="LYL378" s="15"/>
      <c r="LYM378" s="15"/>
      <c r="LYN378" s="15"/>
      <c r="LYO378" s="15"/>
      <c r="LYP378" s="15"/>
      <c r="LYQ378" s="15"/>
      <c r="LYR378" s="15"/>
      <c r="LYS378" s="15"/>
      <c r="LYT378" s="15"/>
      <c r="LYU378" s="10"/>
      <c r="LYV378" s="10"/>
      <c r="LYW378" s="21"/>
      <c r="LYX378" s="21"/>
      <c r="LZA378" s="21"/>
      <c r="LZB378" s="15"/>
      <c r="LZC378" s="15"/>
      <c r="LZD378" s="15"/>
      <c r="LZE378" s="15"/>
      <c r="LZF378" s="15"/>
      <c r="LZG378" s="15"/>
      <c r="LZH378" s="15"/>
      <c r="LZI378" s="15"/>
      <c r="LZJ378" s="15"/>
      <c r="LZK378" s="15"/>
      <c r="LZL378" s="10"/>
      <c r="LZM378" s="10"/>
      <c r="LZN378" s="21"/>
      <c r="LZO378" s="21"/>
      <c r="LZR378" s="21"/>
      <c r="LZS378" s="15"/>
      <c r="LZT378" s="15"/>
      <c r="LZU378" s="15"/>
      <c r="LZV378" s="15"/>
      <c r="LZW378" s="15"/>
      <c r="LZX378" s="15"/>
      <c r="LZY378" s="15"/>
      <c r="LZZ378" s="15"/>
      <c r="MAA378" s="15"/>
      <c r="MAB378" s="15"/>
      <c r="MAC378" s="10"/>
      <c r="MAD378" s="10"/>
      <c r="MAE378" s="21"/>
      <c r="MAF378" s="21"/>
      <c r="MAI378" s="21"/>
      <c r="MAJ378" s="15"/>
      <c r="MAK378" s="15"/>
      <c r="MAL378" s="15"/>
      <c r="MAM378" s="15"/>
      <c r="MAN378" s="15"/>
      <c r="MAO378" s="15"/>
      <c r="MAP378" s="15"/>
      <c r="MAQ378" s="15"/>
      <c r="MAR378" s="15"/>
      <c r="MAS378" s="15"/>
      <c r="MAT378" s="10"/>
      <c r="MAU378" s="10"/>
      <c r="MAV378" s="21"/>
      <c r="MAW378" s="21"/>
      <c r="MAZ378" s="21"/>
      <c r="MBA378" s="15"/>
      <c r="MBB378" s="15"/>
      <c r="MBC378" s="15"/>
      <c r="MBD378" s="15"/>
      <c r="MBE378" s="15"/>
      <c r="MBF378" s="15"/>
      <c r="MBG378" s="15"/>
      <c r="MBH378" s="15"/>
      <c r="MBI378" s="15"/>
      <c r="MBJ378" s="15"/>
      <c r="MBK378" s="10"/>
      <c r="MBL378" s="10"/>
      <c r="MBM378" s="21"/>
      <c r="MBN378" s="21"/>
      <c r="MBQ378" s="21"/>
      <c r="MBR378" s="15"/>
      <c r="MBS378" s="15"/>
      <c r="MBT378" s="15"/>
      <c r="MBU378" s="15"/>
      <c r="MBV378" s="15"/>
      <c r="MBW378" s="15"/>
      <c r="MBX378" s="15"/>
      <c r="MBY378" s="15"/>
      <c r="MBZ378" s="15"/>
      <c r="MCA378" s="15"/>
      <c r="MCB378" s="10"/>
      <c r="MCC378" s="10"/>
      <c r="MCD378" s="21"/>
      <c r="MCE378" s="21"/>
      <c r="MCH378" s="21"/>
      <c r="MCI378" s="15"/>
      <c r="MCJ378" s="15"/>
      <c r="MCK378" s="15"/>
      <c r="MCL378" s="15"/>
      <c r="MCM378" s="15"/>
      <c r="MCN378" s="15"/>
      <c r="MCO378" s="15"/>
      <c r="MCP378" s="15"/>
      <c r="MCQ378" s="15"/>
      <c r="MCR378" s="15"/>
      <c r="MCS378" s="10"/>
      <c r="MCT378" s="10"/>
      <c r="MCU378" s="21"/>
      <c r="MCV378" s="21"/>
      <c r="MCY378" s="21"/>
      <c r="MCZ378" s="15"/>
      <c r="MDA378" s="15"/>
      <c r="MDB378" s="15"/>
      <c r="MDC378" s="15"/>
      <c r="MDD378" s="15"/>
      <c r="MDE378" s="15"/>
      <c r="MDF378" s="15"/>
      <c r="MDG378" s="15"/>
      <c r="MDH378" s="15"/>
      <c r="MDI378" s="15"/>
      <c r="MDJ378" s="10"/>
      <c r="MDK378" s="10"/>
      <c r="MDL378" s="21"/>
      <c r="MDM378" s="21"/>
      <c r="MDP378" s="21"/>
      <c r="MDQ378" s="15"/>
      <c r="MDR378" s="15"/>
      <c r="MDS378" s="15"/>
      <c r="MDT378" s="15"/>
      <c r="MDU378" s="15"/>
      <c r="MDV378" s="15"/>
      <c r="MDW378" s="15"/>
      <c r="MDX378" s="15"/>
      <c r="MDY378" s="15"/>
      <c r="MDZ378" s="15"/>
      <c r="MEA378" s="10"/>
      <c r="MEB378" s="10"/>
      <c r="MEC378" s="21"/>
      <c r="MED378" s="21"/>
      <c r="MEG378" s="21"/>
      <c r="MEH378" s="15"/>
      <c r="MEI378" s="15"/>
      <c r="MEJ378" s="15"/>
      <c r="MEK378" s="15"/>
      <c r="MEL378" s="15"/>
      <c r="MEM378" s="15"/>
      <c r="MEN378" s="15"/>
      <c r="MEO378" s="15"/>
      <c r="MEP378" s="15"/>
      <c r="MEQ378" s="15"/>
      <c r="MER378" s="10"/>
      <c r="MES378" s="10"/>
      <c r="MET378" s="21"/>
      <c r="MEU378" s="21"/>
      <c r="MEX378" s="21"/>
      <c r="MEY378" s="15"/>
      <c r="MEZ378" s="15"/>
      <c r="MFA378" s="15"/>
      <c r="MFB378" s="15"/>
      <c r="MFC378" s="15"/>
      <c r="MFD378" s="15"/>
      <c r="MFE378" s="15"/>
      <c r="MFF378" s="15"/>
      <c r="MFG378" s="15"/>
      <c r="MFH378" s="15"/>
      <c r="MFI378" s="10"/>
      <c r="MFJ378" s="10"/>
      <c r="MFK378" s="21"/>
      <c r="MFL378" s="21"/>
      <c r="MFO378" s="21"/>
      <c r="MFP378" s="15"/>
      <c r="MFQ378" s="15"/>
      <c r="MFR378" s="15"/>
      <c r="MFS378" s="15"/>
      <c r="MFT378" s="15"/>
      <c r="MFU378" s="15"/>
      <c r="MFV378" s="15"/>
      <c r="MFW378" s="15"/>
      <c r="MFX378" s="15"/>
      <c r="MFY378" s="15"/>
      <c r="MFZ378" s="10"/>
      <c r="MGA378" s="10"/>
      <c r="MGB378" s="21"/>
      <c r="MGC378" s="21"/>
      <c r="MGF378" s="21"/>
      <c r="MGG378" s="15"/>
      <c r="MGH378" s="15"/>
      <c r="MGI378" s="15"/>
      <c r="MGJ378" s="15"/>
      <c r="MGK378" s="15"/>
      <c r="MGL378" s="15"/>
      <c r="MGM378" s="15"/>
      <c r="MGN378" s="15"/>
      <c r="MGO378" s="15"/>
      <c r="MGP378" s="15"/>
      <c r="MGQ378" s="10"/>
      <c r="MGR378" s="10"/>
      <c r="MGS378" s="21"/>
      <c r="MGT378" s="21"/>
      <c r="MGW378" s="21"/>
      <c r="MGX378" s="15"/>
      <c r="MGY378" s="15"/>
      <c r="MGZ378" s="15"/>
      <c r="MHA378" s="15"/>
      <c r="MHB378" s="15"/>
      <c r="MHC378" s="15"/>
      <c r="MHD378" s="15"/>
      <c r="MHE378" s="15"/>
      <c r="MHF378" s="15"/>
      <c r="MHG378" s="15"/>
      <c r="MHH378" s="10"/>
      <c r="MHI378" s="10"/>
      <c r="MHJ378" s="21"/>
      <c r="MHK378" s="21"/>
      <c r="MHN378" s="21"/>
      <c r="MHO378" s="15"/>
      <c r="MHP378" s="15"/>
      <c r="MHQ378" s="15"/>
      <c r="MHR378" s="15"/>
      <c r="MHS378" s="15"/>
      <c r="MHT378" s="15"/>
      <c r="MHU378" s="15"/>
      <c r="MHV378" s="15"/>
      <c r="MHW378" s="15"/>
      <c r="MHX378" s="15"/>
      <c r="MHY378" s="10"/>
      <c r="MHZ378" s="10"/>
      <c r="MIA378" s="21"/>
      <c r="MIB378" s="21"/>
      <c r="MIE378" s="21"/>
      <c r="MIF378" s="15"/>
      <c r="MIG378" s="15"/>
      <c r="MIH378" s="15"/>
      <c r="MII378" s="15"/>
      <c r="MIJ378" s="15"/>
      <c r="MIK378" s="15"/>
      <c r="MIL378" s="15"/>
      <c r="MIM378" s="15"/>
      <c r="MIN378" s="15"/>
      <c r="MIO378" s="15"/>
      <c r="MIP378" s="10"/>
      <c r="MIQ378" s="10"/>
      <c r="MIR378" s="21"/>
      <c r="MIS378" s="21"/>
      <c r="MIV378" s="21"/>
      <c r="MIW378" s="15"/>
      <c r="MIX378" s="15"/>
      <c r="MIY378" s="15"/>
      <c r="MIZ378" s="15"/>
      <c r="MJA378" s="15"/>
      <c r="MJB378" s="15"/>
      <c r="MJC378" s="15"/>
      <c r="MJD378" s="15"/>
      <c r="MJE378" s="15"/>
      <c r="MJF378" s="15"/>
      <c r="MJG378" s="10"/>
      <c r="MJH378" s="10"/>
      <c r="MJI378" s="21"/>
      <c r="MJJ378" s="21"/>
      <c r="MJM378" s="21"/>
      <c r="MJN378" s="15"/>
      <c r="MJO378" s="15"/>
      <c r="MJP378" s="15"/>
      <c r="MJQ378" s="15"/>
      <c r="MJR378" s="15"/>
      <c r="MJS378" s="15"/>
      <c r="MJT378" s="15"/>
      <c r="MJU378" s="15"/>
      <c r="MJV378" s="15"/>
      <c r="MJW378" s="15"/>
      <c r="MJX378" s="10"/>
      <c r="MJY378" s="10"/>
      <c r="MJZ378" s="21"/>
      <c r="MKA378" s="21"/>
      <c r="MKD378" s="21"/>
      <c r="MKE378" s="15"/>
      <c r="MKF378" s="15"/>
      <c r="MKG378" s="15"/>
      <c r="MKH378" s="15"/>
      <c r="MKI378" s="15"/>
      <c r="MKJ378" s="15"/>
      <c r="MKK378" s="15"/>
      <c r="MKL378" s="15"/>
      <c r="MKM378" s="15"/>
      <c r="MKN378" s="15"/>
      <c r="MKO378" s="10"/>
      <c r="MKP378" s="10"/>
      <c r="MKQ378" s="21"/>
      <c r="MKR378" s="21"/>
      <c r="MKU378" s="21"/>
      <c r="MKV378" s="15"/>
      <c r="MKW378" s="15"/>
      <c r="MKX378" s="15"/>
      <c r="MKY378" s="15"/>
      <c r="MKZ378" s="15"/>
      <c r="MLA378" s="15"/>
      <c r="MLB378" s="15"/>
      <c r="MLC378" s="15"/>
      <c r="MLD378" s="15"/>
      <c r="MLE378" s="15"/>
      <c r="MLF378" s="10"/>
      <c r="MLG378" s="10"/>
      <c r="MLH378" s="21"/>
      <c r="MLI378" s="21"/>
      <c r="MLL378" s="21"/>
      <c r="MLM378" s="15"/>
      <c r="MLN378" s="15"/>
      <c r="MLO378" s="15"/>
      <c r="MLP378" s="15"/>
      <c r="MLQ378" s="15"/>
      <c r="MLR378" s="15"/>
      <c r="MLS378" s="15"/>
      <c r="MLT378" s="15"/>
      <c r="MLU378" s="15"/>
      <c r="MLV378" s="15"/>
      <c r="MLW378" s="10"/>
      <c r="MLX378" s="10"/>
      <c r="MLY378" s="21"/>
      <c r="MLZ378" s="21"/>
      <c r="MMC378" s="21"/>
      <c r="MMD378" s="15"/>
      <c r="MME378" s="15"/>
      <c r="MMF378" s="15"/>
      <c r="MMG378" s="15"/>
      <c r="MMH378" s="15"/>
      <c r="MMI378" s="15"/>
      <c r="MMJ378" s="15"/>
      <c r="MMK378" s="15"/>
      <c r="MML378" s="15"/>
      <c r="MMM378" s="15"/>
      <c r="MMN378" s="10"/>
      <c r="MMO378" s="10"/>
      <c r="MMP378" s="21"/>
      <c r="MMQ378" s="21"/>
      <c r="MMT378" s="21"/>
      <c r="MMU378" s="15"/>
      <c r="MMV378" s="15"/>
      <c r="MMW378" s="15"/>
      <c r="MMX378" s="15"/>
      <c r="MMY378" s="15"/>
      <c r="MMZ378" s="15"/>
      <c r="MNA378" s="15"/>
      <c r="MNB378" s="15"/>
      <c r="MNC378" s="15"/>
      <c r="MND378" s="15"/>
      <c r="MNE378" s="10"/>
      <c r="MNF378" s="10"/>
      <c r="MNG378" s="21"/>
      <c r="MNH378" s="21"/>
      <c r="MNK378" s="21"/>
      <c r="MNL378" s="15"/>
      <c r="MNM378" s="15"/>
      <c r="MNN378" s="15"/>
      <c r="MNO378" s="15"/>
      <c r="MNP378" s="15"/>
      <c r="MNQ378" s="15"/>
      <c r="MNR378" s="15"/>
      <c r="MNS378" s="15"/>
      <c r="MNT378" s="15"/>
      <c r="MNU378" s="15"/>
      <c r="MNV378" s="10"/>
      <c r="MNW378" s="10"/>
      <c r="MNX378" s="21"/>
      <c r="MNY378" s="21"/>
      <c r="MOB378" s="21"/>
      <c r="MOC378" s="15"/>
      <c r="MOD378" s="15"/>
      <c r="MOE378" s="15"/>
      <c r="MOF378" s="15"/>
      <c r="MOG378" s="15"/>
      <c r="MOH378" s="15"/>
      <c r="MOI378" s="15"/>
      <c r="MOJ378" s="15"/>
      <c r="MOK378" s="15"/>
      <c r="MOL378" s="15"/>
      <c r="MOM378" s="10"/>
      <c r="MON378" s="10"/>
      <c r="MOO378" s="21"/>
      <c r="MOP378" s="21"/>
      <c r="MOS378" s="21"/>
      <c r="MOT378" s="15"/>
      <c r="MOU378" s="15"/>
      <c r="MOV378" s="15"/>
      <c r="MOW378" s="15"/>
      <c r="MOX378" s="15"/>
      <c r="MOY378" s="15"/>
      <c r="MOZ378" s="15"/>
      <c r="MPA378" s="15"/>
      <c r="MPB378" s="15"/>
      <c r="MPC378" s="15"/>
      <c r="MPD378" s="10"/>
      <c r="MPE378" s="10"/>
      <c r="MPF378" s="21"/>
      <c r="MPG378" s="21"/>
      <c r="MPJ378" s="21"/>
      <c r="MPK378" s="15"/>
      <c r="MPL378" s="15"/>
      <c r="MPM378" s="15"/>
      <c r="MPN378" s="15"/>
      <c r="MPO378" s="15"/>
      <c r="MPP378" s="15"/>
      <c r="MPQ378" s="15"/>
      <c r="MPR378" s="15"/>
      <c r="MPS378" s="15"/>
      <c r="MPT378" s="15"/>
      <c r="MPU378" s="10"/>
      <c r="MPV378" s="10"/>
      <c r="MPW378" s="21"/>
      <c r="MPX378" s="21"/>
      <c r="MQA378" s="21"/>
      <c r="MQB378" s="15"/>
      <c r="MQC378" s="15"/>
      <c r="MQD378" s="15"/>
      <c r="MQE378" s="15"/>
      <c r="MQF378" s="15"/>
      <c r="MQG378" s="15"/>
      <c r="MQH378" s="15"/>
      <c r="MQI378" s="15"/>
      <c r="MQJ378" s="15"/>
      <c r="MQK378" s="15"/>
      <c r="MQL378" s="10"/>
      <c r="MQM378" s="10"/>
      <c r="MQN378" s="21"/>
      <c r="MQO378" s="21"/>
      <c r="MQR378" s="21"/>
      <c r="MQS378" s="15"/>
      <c r="MQT378" s="15"/>
      <c r="MQU378" s="15"/>
      <c r="MQV378" s="15"/>
      <c r="MQW378" s="15"/>
      <c r="MQX378" s="15"/>
      <c r="MQY378" s="15"/>
      <c r="MQZ378" s="15"/>
      <c r="MRA378" s="15"/>
      <c r="MRB378" s="15"/>
      <c r="MRC378" s="10"/>
      <c r="MRD378" s="10"/>
      <c r="MRE378" s="21"/>
      <c r="MRF378" s="21"/>
      <c r="MRI378" s="21"/>
      <c r="MRJ378" s="15"/>
      <c r="MRK378" s="15"/>
      <c r="MRL378" s="15"/>
      <c r="MRM378" s="15"/>
      <c r="MRN378" s="15"/>
      <c r="MRO378" s="15"/>
      <c r="MRP378" s="15"/>
      <c r="MRQ378" s="15"/>
      <c r="MRR378" s="15"/>
      <c r="MRS378" s="15"/>
      <c r="MRT378" s="10"/>
      <c r="MRU378" s="10"/>
      <c r="MRV378" s="21"/>
      <c r="MRW378" s="21"/>
      <c r="MRZ378" s="21"/>
      <c r="MSA378" s="15"/>
      <c r="MSB378" s="15"/>
      <c r="MSC378" s="15"/>
      <c r="MSD378" s="15"/>
      <c r="MSE378" s="15"/>
      <c r="MSF378" s="15"/>
      <c r="MSG378" s="15"/>
      <c r="MSH378" s="15"/>
      <c r="MSI378" s="15"/>
      <c r="MSJ378" s="15"/>
      <c r="MSK378" s="10"/>
      <c r="MSL378" s="10"/>
      <c r="MSM378" s="21"/>
      <c r="MSN378" s="21"/>
      <c r="MSQ378" s="21"/>
      <c r="MSR378" s="15"/>
      <c r="MSS378" s="15"/>
      <c r="MST378" s="15"/>
      <c r="MSU378" s="15"/>
      <c r="MSV378" s="15"/>
      <c r="MSW378" s="15"/>
      <c r="MSX378" s="15"/>
      <c r="MSY378" s="15"/>
      <c r="MSZ378" s="15"/>
      <c r="MTA378" s="15"/>
      <c r="MTB378" s="10"/>
      <c r="MTC378" s="10"/>
      <c r="MTD378" s="21"/>
      <c r="MTE378" s="21"/>
      <c r="MTH378" s="21"/>
      <c r="MTI378" s="15"/>
      <c r="MTJ378" s="15"/>
      <c r="MTK378" s="15"/>
      <c r="MTL378" s="15"/>
      <c r="MTM378" s="15"/>
      <c r="MTN378" s="15"/>
      <c r="MTO378" s="15"/>
      <c r="MTP378" s="15"/>
      <c r="MTQ378" s="15"/>
      <c r="MTR378" s="15"/>
      <c r="MTS378" s="10"/>
      <c r="MTT378" s="10"/>
      <c r="MTU378" s="21"/>
      <c r="MTV378" s="21"/>
      <c r="MTY378" s="21"/>
      <c r="MTZ378" s="15"/>
      <c r="MUA378" s="15"/>
      <c r="MUB378" s="15"/>
      <c r="MUC378" s="15"/>
      <c r="MUD378" s="15"/>
      <c r="MUE378" s="15"/>
      <c r="MUF378" s="15"/>
      <c r="MUG378" s="15"/>
      <c r="MUH378" s="15"/>
      <c r="MUI378" s="15"/>
      <c r="MUJ378" s="10"/>
      <c r="MUK378" s="10"/>
      <c r="MUL378" s="21"/>
      <c r="MUM378" s="21"/>
      <c r="MUP378" s="21"/>
      <c r="MUQ378" s="15"/>
      <c r="MUR378" s="15"/>
      <c r="MUS378" s="15"/>
      <c r="MUT378" s="15"/>
      <c r="MUU378" s="15"/>
      <c r="MUV378" s="15"/>
      <c r="MUW378" s="15"/>
      <c r="MUX378" s="15"/>
      <c r="MUY378" s="15"/>
      <c r="MUZ378" s="15"/>
      <c r="MVA378" s="10"/>
      <c r="MVB378" s="10"/>
      <c r="MVC378" s="21"/>
      <c r="MVD378" s="21"/>
      <c r="MVG378" s="21"/>
      <c r="MVH378" s="15"/>
      <c r="MVI378" s="15"/>
      <c r="MVJ378" s="15"/>
      <c r="MVK378" s="15"/>
      <c r="MVL378" s="15"/>
      <c r="MVM378" s="15"/>
      <c r="MVN378" s="15"/>
      <c r="MVO378" s="15"/>
      <c r="MVP378" s="15"/>
      <c r="MVQ378" s="15"/>
      <c r="MVR378" s="10"/>
      <c r="MVS378" s="10"/>
      <c r="MVT378" s="21"/>
      <c r="MVU378" s="21"/>
      <c r="MVX378" s="21"/>
      <c r="MVY378" s="15"/>
      <c r="MVZ378" s="15"/>
      <c r="MWA378" s="15"/>
      <c r="MWB378" s="15"/>
      <c r="MWC378" s="15"/>
      <c r="MWD378" s="15"/>
      <c r="MWE378" s="15"/>
      <c r="MWF378" s="15"/>
      <c r="MWG378" s="15"/>
      <c r="MWH378" s="15"/>
      <c r="MWI378" s="10"/>
      <c r="MWJ378" s="10"/>
      <c r="MWK378" s="21"/>
      <c r="MWL378" s="21"/>
      <c r="MWO378" s="21"/>
      <c r="MWP378" s="15"/>
      <c r="MWQ378" s="15"/>
      <c r="MWR378" s="15"/>
      <c r="MWS378" s="15"/>
      <c r="MWT378" s="15"/>
      <c r="MWU378" s="15"/>
      <c r="MWV378" s="15"/>
      <c r="MWW378" s="15"/>
      <c r="MWX378" s="15"/>
      <c r="MWY378" s="15"/>
      <c r="MWZ378" s="10"/>
      <c r="MXA378" s="10"/>
      <c r="MXB378" s="21"/>
      <c r="MXC378" s="21"/>
      <c r="MXF378" s="21"/>
      <c r="MXG378" s="15"/>
      <c r="MXH378" s="15"/>
      <c r="MXI378" s="15"/>
      <c r="MXJ378" s="15"/>
      <c r="MXK378" s="15"/>
      <c r="MXL378" s="15"/>
      <c r="MXM378" s="15"/>
      <c r="MXN378" s="15"/>
      <c r="MXO378" s="15"/>
      <c r="MXP378" s="15"/>
      <c r="MXQ378" s="10"/>
      <c r="MXR378" s="10"/>
      <c r="MXS378" s="21"/>
      <c r="MXT378" s="21"/>
      <c r="MXW378" s="21"/>
      <c r="MXX378" s="15"/>
      <c r="MXY378" s="15"/>
      <c r="MXZ378" s="15"/>
      <c r="MYA378" s="15"/>
      <c r="MYB378" s="15"/>
      <c r="MYC378" s="15"/>
      <c r="MYD378" s="15"/>
      <c r="MYE378" s="15"/>
      <c r="MYF378" s="15"/>
      <c r="MYG378" s="15"/>
      <c r="MYH378" s="10"/>
      <c r="MYI378" s="10"/>
      <c r="MYJ378" s="21"/>
      <c r="MYK378" s="21"/>
      <c r="MYN378" s="21"/>
      <c r="MYO378" s="15"/>
      <c r="MYP378" s="15"/>
      <c r="MYQ378" s="15"/>
      <c r="MYR378" s="15"/>
      <c r="MYS378" s="15"/>
      <c r="MYT378" s="15"/>
      <c r="MYU378" s="15"/>
      <c r="MYV378" s="15"/>
      <c r="MYW378" s="15"/>
      <c r="MYX378" s="15"/>
      <c r="MYY378" s="10"/>
      <c r="MYZ378" s="10"/>
      <c r="MZA378" s="21"/>
      <c r="MZB378" s="21"/>
      <c r="MZE378" s="21"/>
      <c r="MZF378" s="15"/>
      <c r="MZG378" s="15"/>
      <c r="MZH378" s="15"/>
      <c r="MZI378" s="15"/>
      <c r="MZJ378" s="15"/>
      <c r="MZK378" s="15"/>
      <c r="MZL378" s="15"/>
      <c r="MZM378" s="15"/>
      <c r="MZN378" s="15"/>
      <c r="MZO378" s="15"/>
      <c r="MZP378" s="10"/>
      <c r="MZQ378" s="10"/>
      <c r="MZR378" s="21"/>
      <c r="MZS378" s="21"/>
      <c r="MZV378" s="21"/>
      <c r="MZW378" s="15"/>
      <c r="MZX378" s="15"/>
      <c r="MZY378" s="15"/>
      <c r="MZZ378" s="15"/>
      <c r="NAA378" s="15"/>
      <c r="NAB378" s="15"/>
      <c r="NAC378" s="15"/>
      <c r="NAD378" s="15"/>
      <c r="NAE378" s="15"/>
      <c r="NAF378" s="15"/>
      <c r="NAG378" s="10"/>
      <c r="NAH378" s="10"/>
      <c r="NAI378" s="21"/>
      <c r="NAJ378" s="21"/>
      <c r="NAM378" s="21"/>
      <c r="NAN378" s="15"/>
      <c r="NAO378" s="15"/>
      <c r="NAP378" s="15"/>
      <c r="NAQ378" s="15"/>
      <c r="NAR378" s="15"/>
      <c r="NAS378" s="15"/>
      <c r="NAT378" s="15"/>
      <c r="NAU378" s="15"/>
      <c r="NAV378" s="15"/>
      <c r="NAW378" s="15"/>
      <c r="NAX378" s="10"/>
      <c r="NAY378" s="10"/>
      <c r="NAZ378" s="21"/>
      <c r="NBA378" s="21"/>
      <c r="NBD378" s="21"/>
      <c r="NBE378" s="15"/>
      <c r="NBF378" s="15"/>
      <c r="NBG378" s="15"/>
      <c r="NBH378" s="15"/>
      <c r="NBI378" s="15"/>
      <c r="NBJ378" s="15"/>
      <c r="NBK378" s="15"/>
      <c r="NBL378" s="15"/>
      <c r="NBM378" s="15"/>
      <c r="NBN378" s="15"/>
      <c r="NBO378" s="10"/>
      <c r="NBP378" s="10"/>
      <c r="NBQ378" s="21"/>
      <c r="NBR378" s="21"/>
      <c r="NBU378" s="21"/>
      <c r="NBV378" s="15"/>
      <c r="NBW378" s="15"/>
      <c r="NBX378" s="15"/>
      <c r="NBY378" s="15"/>
      <c r="NBZ378" s="15"/>
      <c r="NCA378" s="15"/>
      <c r="NCB378" s="15"/>
      <c r="NCC378" s="15"/>
      <c r="NCD378" s="15"/>
      <c r="NCE378" s="15"/>
      <c r="NCF378" s="10"/>
      <c r="NCG378" s="10"/>
      <c r="NCH378" s="21"/>
      <c r="NCI378" s="21"/>
      <c r="NCL378" s="21"/>
      <c r="NCM378" s="15"/>
      <c r="NCN378" s="15"/>
      <c r="NCO378" s="15"/>
      <c r="NCP378" s="15"/>
      <c r="NCQ378" s="15"/>
      <c r="NCR378" s="15"/>
      <c r="NCS378" s="15"/>
      <c r="NCT378" s="15"/>
      <c r="NCU378" s="15"/>
      <c r="NCV378" s="15"/>
      <c r="NCW378" s="10"/>
      <c r="NCX378" s="10"/>
      <c r="NCY378" s="21"/>
      <c r="NCZ378" s="21"/>
      <c r="NDC378" s="21"/>
      <c r="NDD378" s="15"/>
      <c r="NDE378" s="15"/>
      <c r="NDF378" s="15"/>
      <c r="NDG378" s="15"/>
      <c r="NDH378" s="15"/>
      <c r="NDI378" s="15"/>
      <c r="NDJ378" s="15"/>
      <c r="NDK378" s="15"/>
      <c r="NDL378" s="15"/>
      <c r="NDM378" s="15"/>
      <c r="NDN378" s="10"/>
      <c r="NDO378" s="10"/>
      <c r="NDP378" s="21"/>
      <c r="NDQ378" s="21"/>
      <c r="NDT378" s="21"/>
      <c r="NDU378" s="15"/>
      <c r="NDV378" s="15"/>
      <c r="NDW378" s="15"/>
      <c r="NDX378" s="15"/>
      <c r="NDY378" s="15"/>
      <c r="NDZ378" s="15"/>
      <c r="NEA378" s="15"/>
      <c r="NEB378" s="15"/>
      <c r="NEC378" s="15"/>
      <c r="NED378" s="15"/>
      <c r="NEE378" s="10"/>
      <c r="NEF378" s="10"/>
      <c r="NEG378" s="21"/>
      <c r="NEH378" s="21"/>
      <c r="NEK378" s="21"/>
      <c r="NEL378" s="15"/>
      <c r="NEM378" s="15"/>
      <c r="NEN378" s="15"/>
      <c r="NEO378" s="15"/>
      <c r="NEP378" s="15"/>
      <c r="NEQ378" s="15"/>
      <c r="NER378" s="15"/>
      <c r="NES378" s="15"/>
      <c r="NET378" s="15"/>
      <c r="NEU378" s="15"/>
      <c r="NEV378" s="10"/>
      <c r="NEW378" s="10"/>
      <c r="NEX378" s="21"/>
      <c r="NEY378" s="21"/>
      <c r="NFB378" s="21"/>
      <c r="NFC378" s="15"/>
      <c r="NFD378" s="15"/>
      <c r="NFE378" s="15"/>
      <c r="NFF378" s="15"/>
      <c r="NFG378" s="15"/>
      <c r="NFH378" s="15"/>
      <c r="NFI378" s="15"/>
      <c r="NFJ378" s="15"/>
      <c r="NFK378" s="15"/>
      <c r="NFL378" s="15"/>
      <c r="NFM378" s="10"/>
      <c r="NFN378" s="10"/>
      <c r="NFO378" s="21"/>
      <c r="NFP378" s="21"/>
      <c r="NFS378" s="21"/>
      <c r="NFT378" s="15"/>
      <c r="NFU378" s="15"/>
      <c r="NFV378" s="15"/>
      <c r="NFW378" s="15"/>
      <c r="NFX378" s="15"/>
      <c r="NFY378" s="15"/>
      <c r="NFZ378" s="15"/>
      <c r="NGA378" s="15"/>
      <c r="NGB378" s="15"/>
      <c r="NGC378" s="15"/>
      <c r="NGD378" s="10"/>
      <c r="NGE378" s="10"/>
      <c r="NGF378" s="21"/>
      <c r="NGG378" s="21"/>
      <c r="NGJ378" s="21"/>
      <c r="NGK378" s="15"/>
      <c r="NGL378" s="15"/>
      <c r="NGM378" s="15"/>
      <c r="NGN378" s="15"/>
      <c r="NGO378" s="15"/>
      <c r="NGP378" s="15"/>
      <c r="NGQ378" s="15"/>
      <c r="NGR378" s="15"/>
      <c r="NGS378" s="15"/>
      <c r="NGT378" s="15"/>
      <c r="NGU378" s="10"/>
      <c r="NGV378" s="10"/>
      <c r="NGW378" s="21"/>
      <c r="NGX378" s="21"/>
      <c r="NHA378" s="21"/>
      <c r="NHB378" s="15"/>
      <c r="NHC378" s="15"/>
      <c r="NHD378" s="15"/>
      <c r="NHE378" s="15"/>
      <c r="NHF378" s="15"/>
      <c r="NHG378" s="15"/>
      <c r="NHH378" s="15"/>
      <c r="NHI378" s="15"/>
      <c r="NHJ378" s="15"/>
      <c r="NHK378" s="15"/>
      <c r="NHL378" s="10"/>
      <c r="NHM378" s="10"/>
      <c r="NHN378" s="21"/>
      <c r="NHO378" s="21"/>
      <c r="NHR378" s="21"/>
      <c r="NHS378" s="15"/>
      <c r="NHT378" s="15"/>
      <c r="NHU378" s="15"/>
      <c r="NHV378" s="15"/>
      <c r="NHW378" s="15"/>
      <c r="NHX378" s="15"/>
      <c r="NHY378" s="15"/>
      <c r="NHZ378" s="15"/>
      <c r="NIA378" s="15"/>
      <c r="NIB378" s="15"/>
      <c r="NIC378" s="10"/>
      <c r="NID378" s="10"/>
      <c r="NIE378" s="21"/>
      <c r="NIF378" s="21"/>
      <c r="NII378" s="21"/>
      <c r="NIJ378" s="15"/>
      <c r="NIK378" s="15"/>
      <c r="NIL378" s="15"/>
      <c r="NIM378" s="15"/>
      <c r="NIN378" s="15"/>
      <c r="NIO378" s="15"/>
      <c r="NIP378" s="15"/>
      <c r="NIQ378" s="15"/>
      <c r="NIR378" s="15"/>
      <c r="NIS378" s="15"/>
      <c r="NIT378" s="10"/>
      <c r="NIU378" s="10"/>
      <c r="NIV378" s="21"/>
      <c r="NIW378" s="21"/>
      <c r="NIZ378" s="21"/>
      <c r="NJA378" s="15"/>
      <c r="NJB378" s="15"/>
      <c r="NJC378" s="15"/>
      <c r="NJD378" s="15"/>
      <c r="NJE378" s="15"/>
      <c r="NJF378" s="15"/>
      <c r="NJG378" s="15"/>
      <c r="NJH378" s="15"/>
      <c r="NJI378" s="15"/>
      <c r="NJJ378" s="15"/>
      <c r="NJK378" s="10"/>
      <c r="NJL378" s="10"/>
      <c r="NJM378" s="21"/>
      <c r="NJN378" s="21"/>
      <c r="NJQ378" s="21"/>
      <c r="NJR378" s="15"/>
      <c r="NJS378" s="15"/>
      <c r="NJT378" s="15"/>
      <c r="NJU378" s="15"/>
      <c r="NJV378" s="15"/>
      <c r="NJW378" s="15"/>
      <c r="NJX378" s="15"/>
      <c r="NJY378" s="15"/>
      <c r="NJZ378" s="15"/>
      <c r="NKA378" s="15"/>
      <c r="NKB378" s="10"/>
      <c r="NKC378" s="10"/>
      <c r="NKD378" s="21"/>
      <c r="NKE378" s="21"/>
      <c r="NKH378" s="21"/>
      <c r="NKI378" s="15"/>
      <c r="NKJ378" s="15"/>
      <c r="NKK378" s="15"/>
      <c r="NKL378" s="15"/>
      <c r="NKM378" s="15"/>
      <c r="NKN378" s="15"/>
      <c r="NKO378" s="15"/>
      <c r="NKP378" s="15"/>
      <c r="NKQ378" s="15"/>
      <c r="NKR378" s="15"/>
      <c r="NKS378" s="10"/>
      <c r="NKT378" s="10"/>
      <c r="NKU378" s="21"/>
      <c r="NKV378" s="21"/>
      <c r="NKY378" s="21"/>
      <c r="NKZ378" s="15"/>
      <c r="NLA378" s="15"/>
      <c r="NLB378" s="15"/>
      <c r="NLC378" s="15"/>
      <c r="NLD378" s="15"/>
      <c r="NLE378" s="15"/>
      <c r="NLF378" s="15"/>
      <c r="NLG378" s="15"/>
      <c r="NLH378" s="15"/>
      <c r="NLI378" s="15"/>
      <c r="NLJ378" s="10"/>
      <c r="NLK378" s="10"/>
      <c r="NLL378" s="21"/>
      <c r="NLM378" s="21"/>
      <c r="NLP378" s="21"/>
      <c r="NLQ378" s="15"/>
      <c r="NLR378" s="15"/>
      <c r="NLS378" s="15"/>
      <c r="NLT378" s="15"/>
      <c r="NLU378" s="15"/>
      <c r="NLV378" s="15"/>
      <c r="NLW378" s="15"/>
      <c r="NLX378" s="15"/>
      <c r="NLY378" s="15"/>
      <c r="NLZ378" s="15"/>
      <c r="NMA378" s="10"/>
      <c r="NMB378" s="10"/>
      <c r="NMC378" s="21"/>
      <c r="NMD378" s="21"/>
      <c r="NMG378" s="21"/>
      <c r="NMH378" s="15"/>
      <c r="NMI378" s="15"/>
      <c r="NMJ378" s="15"/>
      <c r="NMK378" s="15"/>
      <c r="NML378" s="15"/>
      <c r="NMM378" s="15"/>
      <c r="NMN378" s="15"/>
      <c r="NMO378" s="15"/>
      <c r="NMP378" s="15"/>
      <c r="NMQ378" s="15"/>
      <c r="NMR378" s="10"/>
      <c r="NMS378" s="10"/>
      <c r="NMT378" s="21"/>
      <c r="NMU378" s="21"/>
      <c r="NMX378" s="21"/>
      <c r="NMY378" s="15"/>
      <c r="NMZ378" s="15"/>
      <c r="NNA378" s="15"/>
      <c r="NNB378" s="15"/>
      <c r="NNC378" s="15"/>
      <c r="NND378" s="15"/>
      <c r="NNE378" s="15"/>
      <c r="NNF378" s="15"/>
      <c r="NNG378" s="15"/>
      <c r="NNH378" s="15"/>
      <c r="NNI378" s="10"/>
      <c r="NNJ378" s="10"/>
      <c r="NNK378" s="21"/>
      <c r="NNL378" s="21"/>
      <c r="NNO378" s="21"/>
      <c r="NNP378" s="15"/>
      <c r="NNQ378" s="15"/>
      <c r="NNR378" s="15"/>
      <c r="NNS378" s="15"/>
      <c r="NNT378" s="15"/>
      <c r="NNU378" s="15"/>
      <c r="NNV378" s="15"/>
      <c r="NNW378" s="15"/>
      <c r="NNX378" s="15"/>
      <c r="NNY378" s="15"/>
      <c r="NNZ378" s="10"/>
      <c r="NOA378" s="10"/>
      <c r="NOB378" s="21"/>
      <c r="NOC378" s="21"/>
      <c r="NOF378" s="21"/>
      <c r="NOG378" s="15"/>
      <c r="NOH378" s="15"/>
      <c r="NOI378" s="15"/>
      <c r="NOJ378" s="15"/>
      <c r="NOK378" s="15"/>
      <c r="NOL378" s="15"/>
      <c r="NOM378" s="15"/>
      <c r="NON378" s="15"/>
      <c r="NOO378" s="15"/>
      <c r="NOP378" s="15"/>
      <c r="NOQ378" s="10"/>
      <c r="NOR378" s="10"/>
      <c r="NOS378" s="21"/>
      <c r="NOT378" s="21"/>
      <c r="NOW378" s="21"/>
      <c r="NOX378" s="15"/>
      <c r="NOY378" s="15"/>
      <c r="NOZ378" s="15"/>
      <c r="NPA378" s="15"/>
      <c r="NPB378" s="15"/>
      <c r="NPC378" s="15"/>
      <c r="NPD378" s="15"/>
      <c r="NPE378" s="15"/>
      <c r="NPF378" s="15"/>
      <c r="NPG378" s="15"/>
      <c r="NPH378" s="10"/>
      <c r="NPI378" s="10"/>
      <c r="NPJ378" s="21"/>
      <c r="NPK378" s="21"/>
      <c r="NPN378" s="21"/>
      <c r="NPO378" s="15"/>
      <c r="NPP378" s="15"/>
      <c r="NPQ378" s="15"/>
      <c r="NPR378" s="15"/>
      <c r="NPS378" s="15"/>
      <c r="NPT378" s="15"/>
      <c r="NPU378" s="15"/>
      <c r="NPV378" s="15"/>
      <c r="NPW378" s="15"/>
      <c r="NPX378" s="15"/>
      <c r="NPY378" s="10"/>
      <c r="NPZ378" s="10"/>
      <c r="NQA378" s="21"/>
      <c r="NQB378" s="21"/>
      <c r="NQE378" s="21"/>
      <c r="NQF378" s="15"/>
      <c r="NQG378" s="15"/>
      <c r="NQH378" s="15"/>
      <c r="NQI378" s="15"/>
      <c r="NQJ378" s="15"/>
      <c r="NQK378" s="15"/>
      <c r="NQL378" s="15"/>
      <c r="NQM378" s="15"/>
      <c r="NQN378" s="15"/>
      <c r="NQO378" s="15"/>
      <c r="NQP378" s="10"/>
      <c r="NQQ378" s="10"/>
      <c r="NQR378" s="21"/>
      <c r="NQS378" s="21"/>
      <c r="NQV378" s="21"/>
      <c r="NQW378" s="15"/>
      <c r="NQX378" s="15"/>
      <c r="NQY378" s="15"/>
      <c r="NQZ378" s="15"/>
      <c r="NRA378" s="15"/>
      <c r="NRB378" s="15"/>
      <c r="NRC378" s="15"/>
      <c r="NRD378" s="15"/>
      <c r="NRE378" s="15"/>
      <c r="NRF378" s="15"/>
      <c r="NRG378" s="10"/>
      <c r="NRH378" s="10"/>
      <c r="NRI378" s="21"/>
      <c r="NRJ378" s="21"/>
      <c r="NRM378" s="21"/>
      <c r="NRN378" s="15"/>
      <c r="NRO378" s="15"/>
      <c r="NRP378" s="15"/>
      <c r="NRQ378" s="15"/>
      <c r="NRR378" s="15"/>
      <c r="NRS378" s="15"/>
      <c r="NRT378" s="15"/>
      <c r="NRU378" s="15"/>
      <c r="NRV378" s="15"/>
      <c r="NRW378" s="15"/>
      <c r="NRX378" s="10"/>
      <c r="NRY378" s="10"/>
      <c r="NRZ378" s="21"/>
      <c r="NSA378" s="21"/>
      <c r="NSD378" s="21"/>
      <c r="NSE378" s="15"/>
      <c r="NSF378" s="15"/>
      <c r="NSG378" s="15"/>
      <c r="NSH378" s="15"/>
      <c r="NSI378" s="15"/>
      <c r="NSJ378" s="15"/>
      <c r="NSK378" s="15"/>
      <c r="NSL378" s="15"/>
      <c r="NSM378" s="15"/>
      <c r="NSN378" s="15"/>
      <c r="NSO378" s="10"/>
      <c r="NSP378" s="10"/>
      <c r="NSQ378" s="21"/>
      <c r="NSR378" s="21"/>
      <c r="NSU378" s="21"/>
      <c r="NSV378" s="15"/>
      <c r="NSW378" s="15"/>
      <c r="NSX378" s="15"/>
      <c r="NSY378" s="15"/>
      <c r="NSZ378" s="15"/>
      <c r="NTA378" s="15"/>
      <c r="NTB378" s="15"/>
      <c r="NTC378" s="15"/>
      <c r="NTD378" s="15"/>
      <c r="NTE378" s="15"/>
      <c r="NTF378" s="10"/>
      <c r="NTG378" s="10"/>
      <c r="NTH378" s="21"/>
      <c r="NTI378" s="21"/>
      <c r="NTL378" s="21"/>
      <c r="NTM378" s="15"/>
      <c r="NTN378" s="15"/>
      <c r="NTO378" s="15"/>
      <c r="NTP378" s="15"/>
      <c r="NTQ378" s="15"/>
      <c r="NTR378" s="15"/>
      <c r="NTS378" s="15"/>
      <c r="NTT378" s="15"/>
      <c r="NTU378" s="15"/>
      <c r="NTV378" s="15"/>
      <c r="NTW378" s="10"/>
      <c r="NTX378" s="10"/>
      <c r="NTY378" s="21"/>
      <c r="NTZ378" s="21"/>
      <c r="NUC378" s="21"/>
      <c r="NUD378" s="15"/>
      <c r="NUE378" s="15"/>
      <c r="NUF378" s="15"/>
      <c r="NUG378" s="15"/>
      <c r="NUH378" s="15"/>
      <c r="NUI378" s="15"/>
      <c r="NUJ378" s="15"/>
      <c r="NUK378" s="15"/>
      <c r="NUL378" s="15"/>
      <c r="NUM378" s="15"/>
      <c r="NUN378" s="10"/>
      <c r="NUO378" s="10"/>
      <c r="NUP378" s="21"/>
      <c r="NUQ378" s="21"/>
      <c r="NUT378" s="21"/>
      <c r="NUU378" s="15"/>
      <c r="NUV378" s="15"/>
      <c r="NUW378" s="15"/>
      <c r="NUX378" s="15"/>
      <c r="NUY378" s="15"/>
      <c r="NUZ378" s="15"/>
      <c r="NVA378" s="15"/>
      <c r="NVB378" s="15"/>
      <c r="NVC378" s="15"/>
      <c r="NVD378" s="15"/>
      <c r="NVE378" s="10"/>
      <c r="NVF378" s="10"/>
      <c r="NVG378" s="21"/>
      <c r="NVH378" s="21"/>
      <c r="NVK378" s="21"/>
      <c r="NVL378" s="15"/>
      <c r="NVM378" s="15"/>
      <c r="NVN378" s="15"/>
      <c r="NVO378" s="15"/>
      <c r="NVP378" s="15"/>
      <c r="NVQ378" s="15"/>
      <c r="NVR378" s="15"/>
      <c r="NVS378" s="15"/>
      <c r="NVT378" s="15"/>
      <c r="NVU378" s="15"/>
      <c r="NVV378" s="10"/>
      <c r="NVW378" s="10"/>
      <c r="NVX378" s="21"/>
      <c r="NVY378" s="21"/>
      <c r="NWB378" s="21"/>
      <c r="NWC378" s="15"/>
      <c r="NWD378" s="15"/>
      <c r="NWE378" s="15"/>
      <c r="NWF378" s="15"/>
      <c r="NWG378" s="15"/>
      <c r="NWH378" s="15"/>
      <c r="NWI378" s="15"/>
      <c r="NWJ378" s="15"/>
      <c r="NWK378" s="15"/>
      <c r="NWL378" s="15"/>
      <c r="NWM378" s="10"/>
      <c r="NWN378" s="10"/>
      <c r="NWO378" s="21"/>
      <c r="NWP378" s="21"/>
      <c r="NWS378" s="21"/>
      <c r="NWT378" s="15"/>
      <c r="NWU378" s="15"/>
      <c r="NWV378" s="15"/>
      <c r="NWW378" s="15"/>
      <c r="NWX378" s="15"/>
      <c r="NWY378" s="15"/>
      <c r="NWZ378" s="15"/>
      <c r="NXA378" s="15"/>
      <c r="NXB378" s="15"/>
      <c r="NXC378" s="15"/>
      <c r="NXD378" s="10"/>
      <c r="NXE378" s="10"/>
      <c r="NXF378" s="21"/>
      <c r="NXG378" s="21"/>
      <c r="NXJ378" s="21"/>
      <c r="NXK378" s="15"/>
      <c r="NXL378" s="15"/>
      <c r="NXM378" s="15"/>
      <c r="NXN378" s="15"/>
      <c r="NXO378" s="15"/>
      <c r="NXP378" s="15"/>
      <c r="NXQ378" s="15"/>
      <c r="NXR378" s="15"/>
      <c r="NXS378" s="15"/>
      <c r="NXT378" s="15"/>
      <c r="NXU378" s="10"/>
      <c r="NXV378" s="10"/>
      <c r="NXW378" s="21"/>
      <c r="NXX378" s="21"/>
      <c r="NYA378" s="21"/>
      <c r="NYB378" s="15"/>
      <c r="NYC378" s="15"/>
      <c r="NYD378" s="15"/>
      <c r="NYE378" s="15"/>
      <c r="NYF378" s="15"/>
      <c r="NYG378" s="15"/>
      <c r="NYH378" s="15"/>
      <c r="NYI378" s="15"/>
      <c r="NYJ378" s="15"/>
      <c r="NYK378" s="15"/>
      <c r="NYL378" s="10"/>
      <c r="NYM378" s="10"/>
      <c r="NYN378" s="21"/>
      <c r="NYO378" s="21"/>
      <c r="NYR378" s="21"/>
      <c r="NYS378" s="15"/>
      <c r="NYT378" s="15"/>
      <c r="NYU378" s="15"/>
      <c r="NYV378" s="15"/>
      <c r="NYW378" s="15"/>
      <c r="NYX378" s="15"/>
      <c r="NYY378" s="15"/>
      <c r="NYZ378" s="15"/>
      <c r="NZA378" s="15"/>
      <c r="NZB378" s="15"/>
      <c r="NZC378" s="10"/>
      <c r="NZD378" s="10"/>
      <c r="NZE378" s="21"/>
      <c r="NZF378" s="21"/>
      <c r="NZI378" s="21"/>
      <c r="NZJ378" s="15"/>
      <c r="NZK378" s="15"/>
      <c r="NZL378" s="15"/>
      <c r="NZM378" s="15"/>
      <c r="NZN378" s="15"/>
      <c r="NZO378" s="15"/>
      <c r="NZP378" s="15"/>
      <c r="NZQ378" s="15"/>
      <c r="NZR378" s="15"/>
      <c r="NZS378" s="15"/>
      <c r="NZT378" s="10"/>
      <c r="NZU378" s="10"/>
      <c r="NZV378" s="21"/>
      <c r="NZW378" s="21"/>
      <c r="NZZ378" s="21"/>
      <c r="OAA378" s="15"/>
      <c r="OAB378" s="15"/>
      <c r="OAC378" s="15"/>
      <c r="OAD378" s="15"/>
      <c r="OAE378" s="15"/>
      <c r="OAF378" s="15"/>
      <c r="OAG378" s="15"/>
      <c r="OAH378" s="15"/>
      <c r="OAI378" s="15"/>
      <c r="OAJ378" s="15"/>
      <c r="OAK378" s="10"/>
      <c r="OAL378" s="10"/>
      <c r="OAM378" s="21"/>
      <c r="OAN378" s="21"/>
      <c r="OAQ378" s="21"/>
      <c r="OAR378" s="15"/>
      <c r="OAS378" s="15"/>
      <c r="OAT378" s="15"/>
      <c r="OAU378" s="15"/>
      <c r="OAV378" s="15"/>
      <c r="OAW378" s="15"/>
      <c r="OAX378" s="15"/>
      <c r="OAY378" s="15"/>
      <c r="OAZ378" s="15"/>
      <c r="OBA378" s="15"/>
      <c r="OBB378" s="10"/>
      <c r="OBC378" s="10"/>
      <c r="OBD378" s="21"/>
      <c r="OBE378" s="21"/>
      <c r="OBH378" s="21"/>
      <c r="OBI378" s="15"/>
      <c r="OBJ378" s="15"/>
      <c r="OBK378" s="15"/>
      <c r="OBL378" s="15"/>
      <c r="OBM378" s="15"/>
      <c r="OBN378" s="15"/>
      <c r="OBO378" s="15"/>
      <c r="OBP378" s="15"/>
      <c r="OBQ378" s="15"/>
      <c r="OBR378" s="15"/>
      <c r="OBS378" s="10"/>
      <c r="OBT378" s="10"/>
      <c r="OBU378" s="21"/>
      <c r="OBV378" s="21"/>
      <c r="OBY378" s="21"/>
      <c r="OBZ378" s="15"/>
      <c r="OCA378" s="15"/>
      <c r="OCB378" s="15"/>
      <c r="OCC378" s="15"/>
      <c r="OCD378" s="15"/>
      <c r="OCE378" s="15"/>
      <c r="OCF378" s="15"/>
      <c r="OCG378" s="15"/>
      <c r="OCH378" s="15"/>
      <c r="OCI378" s="15"/>
      <c r="OCJ378" s="10"/>
      <c r="OCK378" s="10"/>
      <c r="OCL378" s="21"/>
      <c r="OCM378" s="21"/>
      <c r="OCP378" s="21"/>
      <c r="OCQ378" s="15"/>
      <c r="OCR378" s="15"/>
      <c r="OCS378" s="15"/>
      <c r="OCT378" s="15"/>
      <c r="OCU378" s="15"/>
      <c r="OCV378" s="15"/>
      <c r="OCW378" s="15"/>
      <c r="OCX378" s="15"/>
      <c r="OCY378" s="15"/>
      <c r="OCZ378" s="15"/>
      <c r="ODA378" s="10"/>
      <c r="ODB378" s="10"/>
      <c r="ODC378" s="21"/>
      <c r="ODD378" s="21"/>
      <c r="ODG378" s="21"/>
      <c r="ODH378" s="15"/>
      <c r="ODI378" s="15"/>
      <c r="ODJ378" s="15"/>
      <c r="ODK378" s="15"/>
      <c r="ODL378" s="15"/>
      <c r="ODM378" s="15"/>
      <c r="ODN378" s="15"/>
      <c r="ODO378" s="15"/>
      <c r="ODP378" s="15"/>
      <c r="ODQ378" s="15"/>
      <c r="ODR378" s="10"/>
      <c r="ODS378" s="10"/>
      <c r="ODT378" s="21"/>
      <c r="ODU378" s="21"/>
      <c r="ODX378" s="21"/>
      <c r="ODY378" s="15"/>
      <c r="ODZ378" s="15"/>
      <c r="OEA378" s="15"/>
      <c r="OEB378" s="15"/>
      <c r="OEC378" s="15"/>
      <c r="OED378" s="15"/>
      <c r="OEE378" s="15"/>
      <c r="OEF378" s="15"/>
      <c r="OEG378" s="15"/>
      <c r="OEH378" s="15"/>
      <c r="OEI378" s="10"/>
      <c r="OEJ378" s="10"/>
      <c r="OEK378" s="21"/>
      <c r="OEL378" s="21"/>
      <c r="OEO378" s="21"/>
      <c r="OEP378" s="15"/>
      <c r="OEQ378" s="15"/>
      <c r="OER378" s="15"/>
      <c r="OES378" s="15"/>
      <c r="OET378" s="15"/>
      <c r="OEU378" s="15"/>
      <c r="OEV378" s="15"/>
      <c r="OEW378" s="15"/>
      <c r="OEX378" s="15"/>
      <c r="OEY378" s="15"/>
      <c r="OEZ378" s="10"/>
      <c r="OFA378" s="10"/>
      <c r="OFB378" s="21"/>
      <c r="OFC378" s="21"/>
      <c r="OFF378" s="21"/>
      <c r="OFG378" s="15"/>
      <c r="OFH378" s="15"/>
      <c r="OFI378" s="15"/>
      <c r="OFJ378" s="15"/>
      <c r="OFK378" s="15"/>
      <c r="OFL378" s="15"/>
      <c r="OFM378" s="15"/>
      <c r="OFN378" s="15"/>
      <c r="OFO378" s="15"/>
      <c r="OFP378" s="15"/>
      <c r="OFQ378" s="10"/>
      <c r="OFR378" s="10"/>
      <c r="OFS378" s="21"/>
      <c r="OFT378" s="21"/>
      <c r="OFW378" s="21"/>
      <c r="OFX378" s="15"/>
      <c r="OFY378" s="15"/>
      <c r="OFZ378" s="15"/>
      <c r="OGA378" s="15"/>
      <c r="OGB378" s="15"/>
      <c r="OGC378" s="15"/>
      <c r="OGD378" s="15"/>
      <c r="OGE378" s="15"/>
      <c r="OGF378" s="15"/>
      <c r="OGG378" s="15"/>
      <c r="OGH378" s="10"/>
      <c r="OGI378" s="10"/>
      <c r="OGJ378" s="21"/>
      <c r="OGK378" s="21"/>
      <c r="OGN378" s="21"/>
      <c r="OGO378" s="15"/>
      <c r="OGP378" s="15"/>
      <c r="OGQ378" s="15"/>
      <c r="OGR378" s="15"/>
      <c r="OGS378" s="15"/>
      <c r="OGT378" s="15"/>
      <c r="OGU378" s="15"/>
      <c r="OGV378" s="15"/>
      <c r="OGW378" s="15"/>
      <c r="OGX378" s="15"/>
      <c r="OGY378" s="10"/>
      <c r="OGZ378" s="10"/>
      <c r="OHA378" s="21"/>
      <c r="OHB378" s="21"/>
      <c r="OHE378" s="21"/>
      <c r="OHF378" s="15"/>
      <c r="OHG378" s="15"/>
      <c r="OHH378" s="15"/>
      <c r="OHI378" s="15"/>
      <c r="OHJ378" s="15"/>
      <c r="OHK378" s="15"/>
      <c r="OHL378" s="15"/>
      <c r="OHM378" s="15"/>
      <c r="OHN378" s="15"/>
      <c r="OHO378" s="15"/>
      <c r="OHP378" s="10"/>
      <c r="OHQ378" s="10"/>
      <c r="OHR378" s="21"/>
      <c r="OHS378" s="21"/>
      <c r="OHV378" s="21"/>
      <c r="OHW378" s="15"/>
      <c r="OHX378" s="15"/>
      <c r="OHY378" s="15"/>
      <c r="OHZ378" s="15"/>
      <c r="OIA378" s="15"/>
      <c r="OIB378" s="15"/>
      <c r="OIC378" s="15"/>
      <c r="OID378" s="15"/>
      <c r="OIE378" s="15"/>
      <c r="OIF378" s="15"/>
      <c r="OIG378" s="10"/>
      <c r="OIH378" s="10"/>
      <c r="OII378" s="21"/>
      <c r="OIJ378" s="21"/>
      <c r="OIM378" s="21"/>
      <c r="OIN378" s="15"/>
      <c r="OIO378" s="15"/>
      <c r="OIP378" s="15"/>
      <c r="OIQ378" s="15"/>
      <c r="OIR378" s="15"/>
      <c r="OIS378" s="15"/>
      <c r="OIT378" s="15"/>
      <c r="OIU378" s="15"/>
      <c r="OIV378" s="15"/>
      <c r="OIW378" s="15"/>
      <c r="OIX378" s="10"/>
      <c r="OIY378" s="10"/>
      <c r="OIZ378" s="21"/>
      <c r="OJA378" s="21"/>
      <c r="OJD378" s="21"/>
      <c r="OJE378" s="15"/>
      <c r="OJF378" s="15"/>
      <c r="OJG378" s="15"/>
      <c r="OJH378" s="15"/>
      <c r="OJI378" s="15"/>
      <c r="OJJ378" s="15"/>
      <c r="OJK378" s="15"/>
      <c r="OJL378" s="15"/>
      <c r="OJM378" s="15"/>
      <c r="OJN378" s="15"/>
      <c r="OJO378" s="10"/>
      <c r="OJP378" s="10"/>
      <c r="OJQ378" s="21"/>
      <c r="OJR378" s="21"/>
      <c r="OJU378" s="21"/>
      <c r="OJV378" s="15"/>
      <c r="OJW378" s="15"/>
      <c r="OJX378" s="15"/>
      <c r="OJY378" s="15"/>
      <c r="OJZ378" s="15"/>
      <c r="OKA378" s="15"/>
      <c r="OKB378" s="15"/>
      <c r="OKC378" s="15"/>
      <c r="OKD378" s="15"/>
      <c r="OKE378" s="15"/>
      <c r="OKF378" s="10"/>
      <c r="OKG378" s="10"/>
      <c r="OKH378" s="21"/>
      <c r="OKI378" s="21"/>
      <c r="OKL378" s="21"/>
      <c r="OKM378" s="15"/>
      <c r="OKN378" s="15"/>
      <c r="OKO378" s="15"/>
      <c r="OKP378" s="15"/>
      <c r="OKQ378" s="15"/>
      <c r="OKR378" s="15"/>
      <c r="OKS378" s="15"/>
      <c r="OKT378" s="15"/>
      <c r="OKU378" s="15"/>
      <c r="OKV378" s="15"/>
      <c r="OKW378" s="10"/>
      <c r="OKX378" s="10"/>
      <c r="OKY378" s="21"/>
      <c r="OKZ378" s="21"/>
      <c r="OLC378" s="21"/>
      <c r="OLD378" s="15"/>
      <c r="OLE378" s="15"/>
      <c r="OLF378" s="15"/>
      <c r="OLG378" s="15"/>
      <c r="OLH378" s="15"/>
      <c r="OLI378" s="15"/>
      <c r="OLJ378" s="15"/>
      <c r="OLK378" s="15"/>
      <c r="OLL378" s="15"/>
      <c r="OLM378" s="15"/>
      <c r="OLN378" s="10"/>
      <c r="OLO378" s="10"/>
      <c r="OLP378" s="21"/>
      <c r="OLQ378" s="21"/>
      <c r="OLT378" s="21"/>
      <c r="OLU378" s="15"/>
      <c r="OLV378" s="15"/>
      <c r="OLW378" s="15"/>
      <c r="OLX378" s="15"/>
      <c r="OLY378" s="15"/>
      <c r="OLZ378" s="15"/>
      <c r="OMA378" s="15"/>
      <c r="OMB378" s="15"/>
      <c r="OMC378" s="15"/>
      <c r="OMD378" s="15"/>
      <c r="OME378" s="10"/>
      <c r="OMF378" s="10"/>
      <c r="OMG378" s="21"/>
      <c r="OMH378" s="21"/>
      <c r="OMK378" s="21"/>
      <c r="OML378" s="15"/>
      <c r="OMM378" s="15"/>
      <c r="OMN378" s="15"/>
      <c r="OMO378" s="15"/>
      <c r="OMP378" s="15"/>
      <c r="OMQ378" s="15"/>
      <c r="OMR378" s="15"/>
      <c r="OMS378" s="15"/>
      <c r="OMT378" s="15"/>
      <c r="OMU378" s="15"/>
      <c r="OMV378" s="10"/>
      <c r="OMW378" s="10"/>
      <c r="OMX378" s="21"/>
      <c r="OMY378" s="21"/>
      <c r="ONB378" s="21"/>
      <c r="ONC378" s="15"/>
      <c r="OND378" s="15"/>
      <c r="ONE378" s="15"/>
      <c r="ONF378" s="15"/>
      <c r="ONG378" s="15"/>
      <c r="ONH378" s="15"/>
      <c r="ONI378" s="15"/>
      <c r="ONJ378" s="15"/>
      <c r="ONK378" s="15"/>
      <c r="ONL378" s="15"/>
      <c r="ONM378" s="10"/>
      <c r="ONN378" s="10"/>
      <c r="ONO378" s="21"/>
      <c r="ONP378" s="21"/>
      <c r="ONS378" s="21"/>
      <c r="ONT378" s="15"/>
      <c r="ONU378" s="15"/>
      <c r="ONV378" s="15"/>
      <c r="ONW378" s="15"/>
      <c r="ONX378" s="15"/>
      <c r="ONY378" s="15"/>
      <c r="ONZ378" s="15"/>
      <c r="OOA378" s="15"/>
      <c r="OOB378" s="15"/>
      <c r="OOC378" s="15"/>
      <c r="OOD378" s="10"/>
      <c r="OOE378" s="10"/>
      <c r="OOF378" s="21"/>
      <c r="OOG378" s="21"/>
      <c r="OOJ378" s="21"/>
      <c r="OOK378" s="15"/>
      <c r="OOL378" s="15"/>
      <c r="OOM378" s="15"/>
      <c r="OON378" s="15"/>
      <c r="OOO378" s="15"/>
      <c r="OOP378" s="15"/>
      <c r="OOQ378" s="15"/>
      <c r="OOR378" s="15"/>
      <c r="OOS378" s="15"/>
      <c r="OOT378" s="15"/>
      <c r="OOU378" s="10"/>
      <c r="OOV378" s="10"/>
      <c r="OOW378" s="21"/>
      <c r="OOX378" s="21"/>
      <c r="OPA378" s="21"/>
      <c r="OPB378" s="15"/>
      <c r="OPC378" s="15"/>
      <c r="OPD378" s="15"/>
      <c r="OPE378" s="15"/>
      <c r="OPF378" s="15"/>
      <c r="OPG378" s="15"/>
      <c r="OPH378" s="15"/>
      <c r="OPI378" s="15"/>
      <c r="OPJ378" s="15"/>
      <c r="OPK378" s="15"/>
      <c r="OPL378" s="10"/>
      <c r="OPM378" s="10"/>
      <c r="OPN378" s="21"/>
      <c r="OPO378" s="21"/>
      <c r="OPR378" s="21"/>
      <c r="OPS378" s="15"/>
      <c r="OPT378" s="15"/>
      <c r="OPU378" s="15"/>
      <c r="OPV378" s="15"/>
      <c r="OPW378" s="15"/>
      <c r="OPX378" s="15"/>
      <c r="OPY378" s="15"/>
      <c r="OPZ378" s="15"/>
      <c r="OQA378" s="15"/>
      <c r="OQB378" s="15"/>
      <c r="OQC378" s="10"/>
      <c r="OQD378" s="10"/>
      <c r="OQE378" s="21"/>
      <c r="OQF378" s="21"/>
      <c r="OQI378" s="21"/>
      <c r="OQJ378" s="15"/>
      <c r="OQK378" s="15"/>
      <c r="OQL378" s="15"/>
      <c r="OQM378" s="15"/>
      <c r="OQN378" s="15"/>
      <c r="OQO378" s="15"/>
      <c r="OQP378" s="15"/>
      <c r="OQQ378" s="15"/>
      <c r="OQR378" s="15"/>
      <c r="OQS378" s="15"/>
      <c r="OQT378" s="10"/>
      <c r="OQU378" s="10"/>
      <c r="OQV378" s="21"/>
      <c r="OQW378" s="21"/>
      <c r="OQZ378" s="21"/>
      <c r="ORA378" s="15"/>
      <c r="ORB378" s="15"/>
      <c r="ORC378" s="15"/>
      <c r="ORD378" s="15"/>
      <c r="ORE378" s="15"/>
      <c r="ORF378" s="15"/>
      <c r="ORG378" s="15"/>
      <c r="ORH378" s="15"/>
      <c r="ORI378" s="15"/>
      <c r="ORJ378" s="15"/>
      <c r="ORK378" s="10"/>
      <c r="ORL378" s="10"/>
      <c r="ORM378" s="21"/>
      <c r="ORN378" s="21"/>
      <c r="ORQ378" s="21"/>
      <c r="ORR378" s="15"/>
      <c r="ORS378" s="15"/>
      <c r="ORT378" s="15"/>
      <c r="ORU378" s="15"/>
      <c r="ORV378" s="15"/>
      <c r="ORW378" s="15"/>
      <c r="ORX378" s="15"/>
      <c r="ORY378" s="15"/>
      <c r="ORZ378" s="15"/>
      <c r="OSA378" s="15"/>
      <c r="OSB378" s="10"/>
      <c r="OSC378" s="10"/>
      <c r="OSD378" s="21"/>
      <c r="OSE378" s="21"/>
      <c r="OSH378" s="21"/>
      <c r="OSI378" s="15"/>
      <c r="OSJ378" s="15"/>
      <c r="OSK378" s="15"/>
      <c r="OSL378" s="15"/>
      <c r="OSM378" s="15"/>
      <c r="OSN378" s="15"/>
      <c r="OSO378" s="15"/>
      <c r="OSP378" s="15"/>
      <c r="OSQ378" s="15"/>
      <c r="OSR378" s="15"/>
      <c r="OSS378" s="10"/>
      <c r="OST378" s="10"/>
      <c r="OSU378" s="21"/>
      <c r="OSV378" s="21"/>
      <c r="OSY378" s="21"/>
      <c r="OSZ378" s="15"/>
      <c r="OTA378" s="15"/>
      <c r="OTB378" s="15"/>
      <c r="OTC378" s="15"/>
      <c r="OTD378" s="15"/>
      <c r="OTE378" s="15"/>
      <c r="OTF378" s="15"/>
      <c r="OTG378" s="15"/>
      <c r="OTH378" s="15"/>
      <c r="OTI378" s="15"/>
      <c r="OTJ378" s="10"/>
      <c r="OTK378" s="10"/>
      <c r="OTL378" s="21"/>
      <c r="OTM378" s="21"/>
      <c r="OTP378" s="21"/>
      <c r="OTQ378" s="15"/>
      <c r="OTR378" s="15"/>
      <c r="OTS378" s="15"/>
      <c r="OTT378" s="15"/>
      <c r="OTU378" s="15"/>
      <c r="OTV378" s="15"/>
      <c r="OTW378" s="15"/>
      <c r="OTX378" s="15"/>
      <c r="OTY378" s="15"/>
      <c r="OTZ378" s="15"/>
      <c r="OUA378" s="10"/>
      <c r="OUB378" s="10"/>
      <c r="OUC378" s="21"/>
      <c r="OUD378" s="21"/>
      <c r="OUG378" s="21"/>
      <c r="OUH378" s="15"/>
      <c r="OUI378" s="15"/>
      <c r="OUJ378" s="15"/>
      <c r="OUK378" s="15"/>
      <c r="OUL378" s="15"/>
      <c r="OUM378" s="15"/>
      <c r="OUN378" s="15"/>
      <c r="OUO378" s="15"/>
      <c r="OUP378" s="15"/>
      <c r="OUQ378" s="15"/>
      <c r="OUR378" s="10"/>
      <c r="OUS378" s="10"/>
      <c r="OUT378" s="21"/>
      <c r="OUU378" s="21"/>
      <c r="OUX378" s="21"/>
      <c r="OUY378" s="15"/>
      <c r="OUZ378" s="15"/>
      <c r="OVA378" s="15"/>
      <c r="OVB378" s="15"/>
      <c r="OVC378" s="15"/>
      <c r="OVD378" s="15"/>
      <c r="OVE378" s="15"/>
      <c r="OVF378" s="15"/>
      <c r="OVG378" s="15"/>
      <c r="OVH378" s="15"/>
      <c r="OVI378" s="10"/>
      <c r="OVJ378" s="10"/>
      <c r="OVK378" s="21"/>
      <c r="OVL378" s="21"/>
      <c r="OVO378" s="21"/>
      <c r="OVP378" s="15"/>
      <c r="OVQ378" s="15"/>
      <c r="OVR378" s="15"/>
      <c r="OVS378" s="15"/>
      <c r="OVT378" s="15"/>
      <c r="OVU378" s="15"/>
      <c r="OVV378" s="15"/>
      <c r="OVW378" s="15"/>
      <c r="OVX378" s="15"/>
      <c r="OVY378" s="15"/>
      <c r="OVZ378" s="10"/>
      <c r="OWA378" s="10"/>
      <c r="OWB378" s="21"/>
      <c r="OWC378" s="21"/>
      <c r="OWF378" s="21"/>
      <c r="OWG378" s="15"/>
      <c r="OWH378" s="15"/>
      <c r="OWI378" s="15"/>
      <c r="OWJ378" s="15"/>
      <c r="OWK378" s="15"/>
      <c r="OWL378" s="15"/>
      <c r="OWM378" s="15"/>
      <c r="OWN378" s="15"/>
      <c r="OWO378" s="15"/>
      <c r="OWP378" s="15"/>
      <c r="OWQ378" s="10"/>
      <c r="OWR378" s="10"/>
      <c r="OWS378" s="21"/>
      <c r="OWT378" s="21"/>
      <c r="OWW378" s="21"/>
      <c r="OWX378" s="15"/>
      <c r="OWY378" s="15"/>
      <c r="OWZ378" s="15"/>
      <c r="OXA378" s="15"/>
      <c r="OXB378" s="15"/>
      <c r="OXC378" s="15"/>
      <c r="OXD378" s="15"/>
      <c r="OXE378" s="15"/>
      <c r="OXF378" s="15"/>
      <c r="OXG378" s="15"/>
      <c r="OXH378" s="10"/>
      <c r="OXI378" s="10"/>
      <c r="OXJ378" s="21"/>
      <c r="OXK378" s="21"/>
      <c r="OXN378" s="21"/>
      <c r="OXO378" s="15"/>
      <c r="OXP378" s="15"/>
      <c r="OXQ378" s="15"/>
      <c r="OXR378" s="15"/>
      <c r="OXS378" s="15"/>
      <c r="OXT378" s="15"/>
      <c r="OXU378" s="15"/>
      <c r="OXV378" s="15"/>
      <c r="OXW378" s="15"/>
      <c r="OXX378" s="15"/>
      <c r="OXY378" s="10"/>
      <c r="OXZ378" s="10"/>
      <c r="OYA378" s="21"/>
      <c r="OYB378" s="21"/>
      <c r="OYE378" s="21"/>
      <c r="OYF378" s="15"/>
      <c r="OYG378" s="15"/>
      <c r="OYH378" s="15"/>
      <c r="OYI378" s="15"/>
      <c r="OYJ378" s="15"/>
      <c r="OYK378" s="15"/>
      <c r="OYL378" s="15"/>
      <c r="OYM378" s="15"/>
      <c r="OYN378" s="15"/>
      <c r="OYO378" s="15"/>
      <c r="OYP378" s="10"/>
      <c r="OYQ378" s="10"/>
      <c r="OYR378" s="21"/>
      <c r="OYS378" s="21"/>
      <c r="OYV378" s="21"/>
      <c r="OYW378" s="15"/>
      <c r="OYX378" s="15"/>
      <c r="OYY378" s="15"/>
      <c r="OYZ378" s="15"/>
      <c r="OZA378" s="15"/>
      <c r="OZB378" s="15"/>
      <c r="OZC378" s="15"/>
      <c r="OZD378" s="15"/>
      <c r="OZE378" s="15"/>
      <c r="OZF378" s="15"/>
      <c r="OZG378" s="10"/>
      <c r="OZH378" s="10"/>
      <c r="OZI378" s="21"/>
      <c r="OZJ378" s="21"/>
      <c r="OZM378" s="21"/>
      <c r="OZN378" s="15"/>
      <c r="OZO378" s="15"/>
      <c r="OZP378" s="15"/>
      <c r="OZQ378" s="15"/>
      <c r="OZR378" s="15"/>
      <c r="OZS378" s="15"/>
      <c r="OZT378" s="15"/>
      <c r="OZU378" s="15"/>
      <c r="OZV378" s="15"/>
      <c r="OZW378" s="15"/>
      <c r="OZX378" s="10"/>
      <c r="OZY378" s="10"/>
      <c r="OZZ378" s="21"/>
      <c r="PAA378" s="21"/>
      <c r="PAD378" s="21"/>
      <c r="PAE378" s="15"/>
      <c r="PAF378" s="15"/>
      <c r="PAG378" s="15"/>
      <c r="PAH378" s="15"/>
      <c r="PAI378" s="15"/>
      <c r="PAJ378" s="15"/>
      <c r="PAK378" s="15"/>
      <c r="PAL378" s="15"/>
      <c r="PAM378" s="15"/>
      <c r="PAN378" s="15"/>
      <c r="PAO378" s="10"/>
      <c r="PAP378" s="10"/>
      <c r="PAQ378" s="21"/>
      <c r="PAR378" s="21"/>
      <c r="PAU378" s="21"/>
      <c r="PAV378" s="15"/>
      <c r="PAW378" s="15"/>
      <c r="PAX378" s="15"/>
      <c r="PAY378" s="15"/>
      <c r="PAZ378" s="15"/>
      <c r="PBA378" s="15"/>
      <c r="PBB378" s="15"/>
      <c r="PBC378" s="15"/>
      <c r="PBD378" s="15"/>
      <c r="PBE378" s="15"/>
      <c r="PBF378" s="10"/>
      <c r="PBG378" s="10"/>
      <c r="PBH378" s="21"/>
      <c r="PBI378" s="21"/>
      <c r="PBL378" s="21"/>
      <c r="PBM378" s="15"/>
      <c r="PBN378" s="15"/>
      <c r="PBO378" s="15"/>
      <c r="PBP378" s="15"/>
      <c r="PBQ378" s="15"/>
      <c r="PBR378" s="15"/>
      <c r="PBS378" s="15"/>
      <c r="PBT378" s="15"/>
      <c r="PBU378" s="15"/>
      <c r="PBV378" s="15"/>
      <c r="PBW378" s="10"/>
      <c r="PBX378" s="10"/>
      <c r="PBY378" s="21"/>
      <c r="PBZ378" s="21"/>
      <c r="PCC378" s="21"/>
      <c r="PCD378" s="15"/>
      <c r="PCE378" s="15"/>
      <c r="PCF378" s="15"/>
      <c r="PCG378" s="15"/>
      <c r="PCH378" s="15"/>
      <c r="PCI378" s="15"/>
      <c r="PCJ378" s="15"/>
      <c r="PCK378" s="15"/>
      <c r="PCL378" s="15"/>
      <c r="PCM378" s="15"/>
      <c r="PCN378" s="10"/>
      <c r="PCO378" s="10"/>
      <c r="PCP378" s="21"/>
      <c r="PCQ378" s="21"/>
      <c r="PCT378" s="21"/>
      <c r="PCU378" s="15"/>
      <c r="PCV378" s="15"/>
      <c r="PCW378" s="15"/>
      <c r="PCX378" s="15"/>
      <c r="PCY378" s="15"/>
      <c r="PCZ378" s="15"/>
      <c r="PDA378" s="15"/>
      <c r="PDB378" s="15"/>
      <c r="PDC378" s="15"/>
      <c r="PDD378" s="15"/>
      <c r="PDE378" s="10"/>
      <c r="PDF378" s="10"/>
      <c r="PDG378" s="21"/>
      <c r="PDH378" s="21"/>
      <c r="PDK378" s="21"/>
      <c r="PDL378" s="15"/>
      <c r="PDM378" s="15"/>
      <c r="PDN378" s="15"/>
      <c r="PDO378" s="15"/>
      <c r="PDP378" s="15"/>
      <c r="PDQ378" s="15"/>
      <c r="PDR378" s="15"/>
      <c r="PDS378" s="15"/>
      <c r="PDT378" s="15"/>
      <c r="PDU378" s="15"/>
      <c r="PDV378" s="10"/>
      <c r="PDW378" s="10"/>
      <c r="PDX378" s="21"/>
      <c r="PDY378" s="21"/>
      <c r="PEB378" s="21"/>
      <c r="PEC378" s="15"/>
      <c r="PED378" s="15"/>
      <c r="PEE378" s="15"/>
      <c r="PEF378" s="15"/>
      <c r="PEG378" s="15"/>
      <c r="PEH378" s="15"/>
      <c r="PEI378" s="15"/>
      <c r="PEJ378" s="15"/>
      <c r="PEK378" s="15"/>
      <c r="PEL378" s="15"/>
      <c r="PEM378" s="10"/>
      <c r="PEN378" s="10"/>
      <c r="PEO378" s="21"/>
      <c r="PEP378" s="21"/>
      <c r="PES378" s="21"/>
      <c r="PET378" s="15"/>
      <c r="PEU378" s="15"/>
      <c r="PEV378" s="15"/>
      <c r="PEW378" s="15"/>
      <c r="PEX378" s="15"/>
      <c r="PEY378" s="15"/>
      <c r="PEZ378" s="15"/>
      <c r="PFA378" s="15"/>
      <c r="PFB378" s="15"/>
      <c r="PFC378" s="15"/>
      <c r="PFD378" s="10"/>
      <c r="PFE378" s="10"/>
      <c r="PFF378" s="21"/>
      <c r="PFG378" s="21"/>
      <c r="PFJ378" s="21"/>
      <c r="PFK378" s="15"/>
      <c r="PFL378" s="15"/>
      <c r="PFM378" s="15"/>
      <c r="PFN378" s="15"/>
      <c r="PFO378" s="15"/>
      <c r="PFP378" s="15"/>
      <c r="PFQ378" s="15"/>
      <c r="PFR378" s="15"/>
      <c r="PFS378" s="15"/>
      <c r="PFT378" s="15"/>
      <c r="PFU378" s="10"/>
      <c r="PFV378" s="10"/>
      <c r="PFW378" s="21"/>
      <c r="PFX378" s="21"/>
      <c r="PGA378" s="21"/>
      <c r="PGB378" s="15"/>
      <c r="PGC378" s="15"/>
      <c r="PGD378" s="15"/>
      <c r="PGE378" s="15"/>
      <c r="PGF378" s="15"/>
      <c r="PGG378" s="15"/>
      <c r="PGH378" s="15"/>
      <c r="PGI378" s="15"/>
      <c r="PGJ378" s="15"/>
      <c r="PGK378" s="15"/>
      <c r="PGL378" s="10"/>
      <c r="PGM378" s="10"/>
      <c r="PGN378" s="21"/>
      <c r="PGO378" s="21"/>
      <c r="PGR378" s="21"/>
      <c r="PGS378" s="15"/>
      <c r="PGT378" s="15"/>
      <c r="PGU378" s="15"/>
      <c r="PGV378" s="15"/>
      <c r="PGW378" s="15"/>
      <c r="PGX378" s="15"/>
      <c r="PGY378" s="15"/>
      <c r="PGZ378" s="15"/>
      <c r="PHA378" s="15"/>
      <c r="PHB378" s="15"/>
      <c r="PHC378" s="10"/>
      <c r="PHD378" s="10"/>
      <c r="PHE378" s="21"/>
      <c r="PHF378" s="21"/>
      <c r="PHI378" s="21"/>
      <c r="PHJ378" s="15"/>
      <c r="PHK378" s="15"/>
      <c r="PHL378" s="15"/>
      <c r="PHM378" s="15"/>
      <c r="PHN378" s="15"/>
      <c r="PHO378" s="15"/>
      <c r="PHP378" s="15"/>
      <c r="PHQ378" s="15"/>
      <c r="PHR378" s="15"/>
      <c r="PHS378" s="15"/>
      <c r="PHT378" s="10"/>
      <c r="PHU378" s="10"/>
      <c r="PHV378" s="21"/>
      <c r="PHW378" s="21"/>
      <c r="PHZ378" s="21"/>
      <c r="PIA378" s="15"/>
      <c r="PIB378" s="15"/>
      <c r="PIC378" s="15"/>
      <c r="PID378" s="15"/>
      <c r="PIE378" s="15"/>
      <c r="PIF378" s="15"/>
      <c r="PIG378" s="15"/>
      <c r="PIH378" s="15"/>
      <c r="PII378" s="15"/>
      <c r="PIJ378" s="15"/>
      <c r="PIK378" s="10"/>
      <c r="PIL378" s="10"/>
      <c r="PIM378" s="21"/>
      <c r="PIN378" s="21"/>
      <c r="PIQ378" s="21"/>
      <c r="PIR378" s="15"/>
      <c r="PIS378" s="15"/>
      <c r="PIT378" s="15"/>
      <c r="PIU378" s="15"/>
      <c r="PIV378" s="15"/>
      <c r="PIW378" s="15"/>
      <c r="PIX378" s="15"/>
      <c r="PIY378" s="15"/>
      <c r="PIZ378" s="15"/>
      <c r="PJA378" s="15"/>
      <c r="PJB378" s="10"/>
      <c r="PJC378" s="10"/>
      <c r="PJD378" s="21"/>
      <c r="PJE378" s="21"/>
      <c r="PJH378" s="21"/>
      <c r="PJI378" s="15"/>
      <c r="PJJ378" s="15"/>
      <c r="PJK378" s="15"/>
      <c r="PJL378" s="15"/>
      <c r="PJM378" s="15"/>
      <c r="PJN378" s="15"/>
      <c r="PJO378" s="15"/>
      <c r="PJP378" s="15"/>
      <c r="PJQ378" s="15"/>
      <c r="PJR378" s="15"/>
      <c r="PJS378" s="10"/>
      <c r="PJT378" s="10"/>
      <c r="PJU378" s="21"/>
      <c r="PJV378" s="21"/>
      <c r="PJY378" s="21"/>
      <c r="PJZ378" s="15"/>
      <c r="PKA378" s="15"/>
      <c r="PKB378" s="15"/>
      <c r="PKC378" s="15"/>
      <c r="PKD378" s="15"/>
      <c r="PKE378" s="15"/>
      <c r="PKF378" s="15"/>
      <c r="PKG378" s="15"/>
      <c r="PKH378" s="15"/>
      <c r="PKI378" s="15"/>
      <c r="PKJ378" s="10"/>
      <c r="PKK378" s="10"/>
      <c r="PKL378" s="21"/>
      <c r="PKM378" s="21"/>
      <c r="PKP378" s="21"/>
      <c r="PKQ378" s="15"/>
      <c r="PKR378" s="15"/>
      <c r="PKS378" s="15"/>
      <c r="PKT378" s="15"/>
      <c r="PKU378" s="15"/>
      <c r="PKV378" s="15"/>
      <c r="PKW378" s="15"/>
      <c r="PKX378" s="15"/>
      <c r="PKY378" s="15"/>
      <c r="PKZ378" s="15"/>
      <c r="PLA378" s="10"/>
      <c r="PLB378" s="10"/>
      <c r="PLC378" s="21"/>
      <c r="PLD378" s="21"/>
      <c r="PLG378" s="21"/>
      <c r="PLH378" s="15"/>
      <c r="PLI378" s="15"/>
      <c r="PLJ378" s="15"/>
      <c r="PLK378" s="15"/>
      <c r="PLL378" s="15"/>
      <c r="PLM378" s="15"/>
      <c r="PLN378" s="15"/>
      <c r="PLO378" s="15"/>
      <c r="PLP378" s="15"/>
      <c r="PLQ378" s="15"/>
      <c r="PLR378" s="10"/>
      <c r="PLS378" s="10"/>
      <c r="PLT378" s="21"/>
      <c r="PLU378" s="21"/>
      <c r="PLX378" s="21"/>
      <c r="PLY378" s="15"/>
      <c r="PLZ378" s="15"/>
      <c r="PMA378" s="15"/>
      <c r="PMB378" s="15"/>
      <c r="PMC378" s="15"/>
      <c r="PMD378" s="15"/>
      <c r="PME378" s="15"/>
      <c r="PMF378" s="15"/>
      <c r="PMG378" s="15"/>
      <c r="PMH378" s="15"/>
      <c r="PMI378" s="10"/>
      <c r="PMJ378" s="10"/>
      <c r="PMK378" s="21"/>
      <c r="PML378" s="21"/>
      <c r="PMO378" s="21"/>
      <c r="PMP378" s="15"/>
      <c r="PMQ378" s="15"/>
      <c r="PMR378" s="15"/>
      <c r="PMS378" s="15"/>
      <c r="PMT378" s="15"/>
      <c r="PMU378" s="15"/>
      <c r="PMV378" s="15"/>
      <c r="PMW378" s="15"/>
      <c r="PMX378" s="15"/>
      <c r="PMY378" s="15"/>
      <c r="PMZ378" s="10"/>
      <c r="PNA378" s="10"/>
      <c r="PNB378" s="21"/>
      <c r="PNC378" s="21"/>
      <c r="PNF378" s="21"/>
      <c r="PNG378" s="15"/>
      <c r="PNH378" s="15"/>
      <c r="PNI378" s="15"/>
      <c r="PNJ378" s="15"/>
      <c r="PNK378" s="15"/>
      <c r="PNL378" s="15"/>
      <c r="PNM378" s="15"/>
      <c r="PNN378" s="15"/>
      <c r="PNO378" s="15"/>
      <c r="PNP378" s="15"/>
      <c r="PNQ378" s="10"/>
      <c r="PNR378" s="10"/>
      <c r="PNS378" s="21"/>
      <c r="PNT378" s="21"/>
      <c r="PNW378" s="21"/>
      <c r="PNX378" s="15"/>
      <c r="PNY378" s="15"/>
      <c r="PNZ378" s="15"/>
      <c r="POA378" s="15"/>
      <c r="POB378" s="15"/>
      <c r="POC378" s="15"/>
      <c r="POD378" s="15"/>
      <c r="POE378" s="15"/>
      <c r="POF378" s="15"/>
      <c r="POG378" s="15"/>
      <c r="POH378" s="10"/>
      <c r="POI378" s="10"/>
      <c r="POJ378" s="21"/>
      <c r="POK378" s="21"/>
      <c r="PON378" s="21"/>
      <c r="POO378" s="15"/>
      <c r="POP378" s="15"/>
      <c r="POQ378" s="15"/>
      <c r="POR378" s="15"/>
      <c r="POS378" s="15"/>
      <c r="POT378" s="15"/>
      <c r="POU378" s="15"/>
      <c r="POV378" s="15"/>
      <c r="POW378" s="15"/>
      <c r="POX378" s="15"/>
      <c r="POY378" s="10"/>
      <c r="POZ378" s="10"/>
      <c r="PPA378" s="21"/>
      <c r="PPB378" s="21"/>
      <c r="PPE378" s="21"/>
      <c r="PPF378" s="15"/>
      <c r="PPG378" s="15"/>
      <c r="PPH378" s="15"/>
      <c r="PPI378" s="15"/>
      <c r="PPJ378" s="15"/>
      <c r="PPK378" s="15"/>
      <c r="PPL378" s="15"/>
      <c r="PPM378" s="15"/>
      <c r="PPN378" s="15"/>
      <c r="PPO378" s="15"/>
      <c r="PPP378" s="10"/>
      <c r="PPQ378" s="10"/>
      <c r="PPR378" s="21"/>
      <c r="PPS378" s="21"/>
      <c r="PPV378" s="21"/>
      <c r="PPW378" s="15"/>
      <c r="PPX378" s="15"/>
      <c r="PPY378" s="15"/>
      <c r="PPZ378" s="15"/>
      <c r="PQA378" s="15"/>
      <c r="PQB378" s="15"/>
      <c r="PQC378" s="15"/>
      <c r="PQD378" s="15"/>
      <c r="PQE378" s="15"/>
      <c r="PQF378" s="15"/>
      <c r="PQG378" s="10"/>
      <c r="PQH378" s="10"/>
      <c r="PQI378" s="21"/>
      <c r="PQJ378" s="21"/>
      <c r="PQM378" s="21"/>
      <c r="PQN378" s="15"/>
      <c r="PQO378" s="15"/>
      <c r="PQP378" s="15"/>
      <c r="PQQ378" s="15"/>
      <c r="PQR378" s="15"/>
      <c r="PQS378" s="15"/>
      <c r="PQT378" s="15"/>
      <c r="PQU378" s="15"/>
      <c r="PQV378" s="15"/>
      <c r="PQW378" s="15"/>
      <c r="PQX378" s="10"/>
      <c r="PQY378" s="10"/>
      <c r="PQZ378" s="21"/>
      <c r="PRA378" s="21"/>
      <c r="PRD378" s="21"/>
      <c r="PRE378" s="15"/>
      <c r="PRF378" s="15"/>
      <c r="PRG378" s="15"/>
      <c r="PRH378" s="15"/>
      <c r="PRI378" s="15"/>
      <c r="PRJ378" s="15"/>
      <c r="PRK378" s="15"/>
      <c r="PRL378" s="15"/>
      <c r="PRM378" s="15"/>
      <c r="PRN378" s="15"/>
      <c r="PRO378" s="10"/>
      <c r="PRP378" s="10"/>
      <c r="PRQ378" s="21"/>
      <c r="PRR378" s="21"/>
      <c r="PRU378" s="21"/>
      <c r="PRV378" s="15"/>
      <c r="PRW378" s="15"/>
      <c r="PRX378" s="15"/>
      <c r="PRY378" s="15"/>
      <c r="PRZ378" s="15"/>
      <c r="PSA378" s="15"/>
      <c r="PSB378" s="15"/>
      <c r="PSC378" s="15"/>
      <c r="PSD378" s="15"/>
      <c r="PSE378" s="15"/>
      <c r="PSF378" s="10"/>
      <c r="PSG378" s="10"/>
      <c r="PSH378" s="21"/>
      <c r="PSI378" s="21"/>
      <c r="PSL378" s="21"/>
      <c r="PSM378" s="15"/>
      <c r="PSN378" s="15"/>
      <c r="PSO378" s="15"/>
      <c r="PSP378" s="15"/>
      <c r="PSQ378" s="15"/>
      <c r="PSR378" s="15"/>
      <c r="PSS378" s="15"/>
      <c r="PST378" s="15"/>
      <c r="PSU378" s="15"/>
      <c r="PSV378" s="15"/>
      <c r="PSW378" s="10"/>
      <c r="PSX378" s="10"/>
      <c r="PSY378" s="21"/>
      <c r="PSZ378" s="21"/>
      <c r="PTC378" s="21"/>
      <c r="PTD378" s="15"/>
      <c r="PTE378" s="15"/>
      <c r="PTF378" s="15"/>
      <c r="PTG378" s="15"/>
      <c r="PTH378" s="15"/>
      <c r="PTI378" s="15"/>
      <c r="PTJ378" s="15"/>
      <c r="PTK378" s="15"/>
      <c r="PTL378" s="15"/>
      <c r="PTM378" s="15"/>
      <c r="PTN378" s="10"/>
      <c r="PTO378" s="10"/>
      <c r="PTP378" s="21"/>
      <c r="PTQ378" s="21"/>
      <c r="PTT378" s="21"/>
      <c r="PTU378" s="15"/>
      <c r="PTV378" s="15"/>
      <c r="PTW378" s="15"/>
      <c r="PTX378" s="15"/>
      <c r="PTY378" s="15"/>
      <c r="PTZ378" s="15"/>
      <c r="PUA378" s="15"/>
      <c r="PUB378" s="15"/>
      <c r="PUC378" s="15"/>
      <c r="PUD378" s="15"/>
      <c r="PUE378" s="10"/>
      <c r="PUF378" s="10"/>
      <c r="PUG378" s="21"/>
      <c r="PUH378" s="21"/>
      <c r="PUK378" s="21"/>
      <c r="PUL378" s="15"/>
      <c r="PUM378" s="15"/>
      <c r="PUN378" s="15"/>
      <c r="PUO378" s="15"/>
      <c r="PUP378" s="15"/>
      <c r="PUQ378" s="15"/>
      <c r="PUR378" s="15"/>
      <c r="PUS378" s="15"/>
      <c r="PUT378" s="15"/>
      <c r="PUU378" s="15"/>
      <c r="PUV378" s="10"/>
      <c r="PUW378" s="10"/>
      <c r="PUX378" s="21"/>
      <c r="PUY378" s="21"/>
      <c r="PVB378" s="21"/>
      <c r="PVC378" s="15"/>
      <c r="PVD378" s="15"/>
      <c r="PVE378" s="15"/>
      <c r="PVF378" s="15"/>
      <c r="PVG378" s="15"/>
      <c r="PVH378" s="15"/>
      <c r="PVI378" s="15"/>
      <c r="PVJ378" s="15"/>
      <c r="PVK378" s="15"/>
      <c r="PVL378" s="15"/>
      <c r="PVM378" s="10"/>
      <c r="PVN378" s="10"/>
      <c r="PVO378" s="21"/>
      <c r="PVP378" s="21"/>
      <c r="PVS378" s="21"/>
      <c r="PVT378" s="15"/>
      <c r="PVU378" s="15"/>
      <c r="PVV378" s="15"/>
      <c r="PVW378" s="15"/>
      <c r="PVX378" s="15"/>
      <c r="PVY378" s="15"/>
      <c r="PVZ378" s="15"/>
      <c r="PWA378" s="15"/>
      <c r="PWB378" s="15"/>
      <c r="PWC378" s="15"/>
      <c r="PWD378" s="10"/>
      <c r="PWE378" s="10"/>
      <c r="PWF378" s="21"/>
      <c r="PWG378" s="21"/>
      <c r="PWJ378" s="21"/>
      <c r="PWK378" s="15"/>
      <c r="PWL378" s="15"/>
      <c r="PWM378" s="15"/>
      <c r="PWN378" s="15"/>
      <c r="PWO378" s="15"/>
      <c r="PWP378" s="15"/>
      <c r="PWQ378" s="15"/>
      <c r="PWR378" s="15"/>
      <c r="PWS378" s="15"/>
      <c r="PWT378" s="15"/>
      <c r="PWU378" s="10"/>
      <c r="PWV378" s="10"/>
      <c r="PWW378" s="21"/>
      <c r="PWX378" s="21"/>
      <c r="PXA378" s="21"/>
      <c r="PXB378" s="15"/>
      <c r="PXC378" s="15"/>
      <c r="PXD378" s="15"/>
      <c r="PXE378" s="15"/>
      <c r="PXF378" s="15"/>
      <c r="PXG378" s="15"/>
      <c r="PXH378" s="15"/>
      <c r="PXI378" s="15"/>
      <c r="PXJ378" s="15"/>
      <c r="PXK378" s="15"/>
      <c r="PXL378" s="10"/>
      <c r="PXM378" s="10"/>
      <c r="PXN378" s="21"/>
      <c r="PXO378" s="21"/>
      <c r="PXR378" s="21"/>
      <c r="PXS378" s="15"/>
      <c r="PXT378" s="15"/>
      <c r="PXU378" s="15"/>
      <c r="PXV378" s="15"/>
      <c r="PXW378" s="15"/>
      <c r="PXX378" s="15"/>
      <c r="PXY378" s="15"/>
      <c r="PXZ378" s="15"/>
      <c r="PYA378" s="15"/>
      <c r="PYB378" s="15"/>
      <c r="PYC378" s="10"/>
      <c r="PYD378" s="10"/>
      <c r="PYE378" s="21"/>
      <c r="PYF378" s="21"/>
      <c r="PYI378" s="21"/>
      <c r="PYJ378" s="15"/>
      <c r="PYK378" s="15"/>
      <c r="PYL378" s="15"/>
      <c r="PYM378" s="15"/>
      <c r="PYN378" s="15"/>
      <c r="PYO378" s="15"/>
      <c r="PYP378" s="15"/>
      <c r="PYQ378" s="15"/>
      <c r="PYR378" s="15"/>
      <c r="PYS378" s="15"/>
      <c r="PYT378" s="10"/>
      <c r="PYU378" s="10"/>
      <c r="PYV378" s="21"/>
      <c r="PYW378" s="21"/>
      <c r="PYZ378" s="21"/>
      <c r="PZA378" s="15"/>
      <c r="PZB378" s="15"/>
      <c r="PZC378" s="15"/>
      <c r="PZD378" s="15"/>
      <c r="PZE378" s="15"/>
      <c r="PZF378" s="15"/>
      <c r="PZG378" s="15"/>
      <c r="PZH378" s="15"/>
      <c r="PZI378" s="15"/>
      <c r="PZJ378" s="15"/>
      <c r="PZK378" s="10"/>
      <c r="PZL378" s="10"/>
      <c r="PZM378" s="21"/>
      <c r="PZN378" s="21"/>
      <c r="PZQ378" s="21"/>
      <c r="PZR378" s="15"/>
      <c r="PZS378" s="15"/>
      <c r="PZT378" s="15"/>
      <c r="PZU378" s="15"/>
      <c r="PZV378" s="15"/>
      <c r="PZW378" s="15"/>
      <c r="PZX378" s="15"/>
      <c r="PZY378" s="15"/>
      <c r="PZZ378" s="15"/>
      <c r="QAA378" s="15"/>
      <c r="QAB378" s="10"/>
      <c r="QAC378" s="10"/>
      <c r="QAD378" s="21"/>
      <c r="QAE378" s="21"/>
      <c r="QAH378" s="21"/>
      <c r="QAI378" s="15"/>
      <c r="QAJ378" s="15"/>
      <c r="QAK378" s="15"/>
      <c r="QAL378" s="15"/>
      <c r="QAM378" s="15"/>
      <c r="QAN378" s="15"/>
      <c r="QAO378" s="15"/>
      <c r="QAP378" s="15"/>
      <c r="QAQ378" s="15"/>
      <c r="QAR378" s="15"/>
      <c r="QAS378" s="10"/>
      <c r="QAT378" s="10"/>
      <c r="QAU378" s="21"/>
      <c r="QAV378" s="21"/>
      <c r="QAY378" s="21"/>
      <c r="QAZ378" s="15"/>
      <c r="QBA378" s="15"/>
      <c r="QBB378" s="15"/>
      <c r="QBC378" s="15"/>
      <c r="QBD378" s="15"/>
      <c r="QBE378" s="15"/>
      <c r="QBF378" s="15"/>
      <c r="QBG378" s="15"/>
      <c r="QBH378" s="15"/>
      <c r="QBI378" s="15"/>
      <c r="QBJ378" s="10"/>
      <c r="QBK378" s="10"/>
      <c r="QBL378" s="21"/>
      <c r="QBM378" s="21"/>
      <c r="QBP378" s="21"/>
      <c r="QBQ378" s="15"/>
      <c r="QBR378" s="15"/>
      <c r="QBS378" s="15"/>
      <c r="QBT378" s="15"/>
      <c r="QBU378" s="15"/>
      <c r="QBV378" s="15"/>
      <c r="QBW378" s="15"/>
      <c r="QBX378" s="15"/>
      <c r="QBY378" s="15"/>
      <c r="QBZ378" s="15"/>
      <c r="QCA378" s="10"/>
      <c r="QCB378" s="10"/>
      <c r="QCC378" s="21"/>
      <c r="QCD378" s="21"/>
      <c r="QCG378" s="21"/>
      <c r="QCH378" s="15"/>
      <c r="QCI378" s="15"/>
      <c r="QCJ378" s="15"/>
      <c r="QCK378" s="15"/>
      <c r="QCL378" s="15"/>
      <c r="QCM378" s="15"/>
      <c r="QCN378" s="15"/>
      <c r="QCO378" s="15"/>
      <c r="QCP378" s="15"/>
      <c r="QCQ378" s="15"/>
      <c r="QCR378" s="10"/>
      <c r="QCS378" s="10"/>
      <c r="QCT378" s="21"/>
      <c r="QCU378" s="21"/>
      <c r="QCX378" s="21"/>
      <c r="QCY378" s="15"/>
      <c r="QCZ378" s="15"/>
      <c r="QDA378" s="15"/>
      <c r="QDB378" s="15"/>
      <c r="QDC378" s="15"/>
      <c r="QDD378" s="15"/>
      <c r="QDE378" s="15"/>
      <c r="QDF378" s="15"/>
      <c r="QDG378" s="15"/>
      <c r="QDH378" s="15"/>
      <c r="QDI378" s="10"/>
      <c r="QDJ378" s="10"/>
      <c r="QDK378" s="21"/>
      <c r="QDL378" s="21"/>
      <c r="QDO378" s="21"/>
      <c r="QDP378" s="15"/>
      <c r="QDQ378" s="15"/>
      <c r="QDR378" s="15"/>
      <c r="QDS378" s="15"/>
      <c r="QDT378" s="15"/>
      <c r="QDU378" s="15"/>
      <c r="QDV378" s="15"/>
      <c r="QDW378" s="15"/>
      <c r="QDX378" s="15"/>
      <c r="QDY378" s="15"/>
      <c r="QDZ378" s="10"/>
      <c r="QEA378" s="10"/>
      <c r="QEB378" s="21"/>
      <c r="QEC378" s="21"/>
      <c r="QEF378" s="21"/>
      <c r="QEG378" s="15"/>
      <c r="QEH378" s="15"/>
      <c r="QEI378" s="15"/>
      <c r="QEJ378" s="15"/>
      <c r="QEK378" s="15"/>
      <c r="QEL378" s="15"/>
      <c r="QEM378" s="15"/>
      <c r="QEN378" s="15"/>
      <c r="QEO378" s="15"/>
      <c r="QEP378" s="15"/>
      <c r="QEQ378" s="10"/>
      <c r="QER378" s="10"/>
      <c r="QES378" s="21"/>
      <c r="QET378" s="21"/>
      <c r="QEW378" s="21"/>
      <c r="QEX378" s="15"/>
      <c r="QEY378" s="15"/>
      <c r="QEZ378" s="15"/>
      <c r="QFA378" s="15"/>
      <c r="QFB378" s="15"/>
      <c r="QFC378" s="15"/>
      <c r="QFD378" s="15"/>
      <c r="QFE378" s="15"/>
      <c r="QFF378" s="15"/>
      <c r="QFG378" s="15"/>
      <c r="QFH378" s="10"/>
      <c r="QFI378" s="10"/>
      <c r="QFJ378" s="21"/>
      <c r="QFK378" s="21"/>
      <c r="QFN378" s="21"/>
      <c r="QFO378" s="15"/>
      <c r="QFP378" s="15"/>
      <c r="QFQ378" s="15"/>
      <c r="QFR378" s="15"/>
      <c r="QFS378" s="15"/>
      <c r="QFT378" s="15"/>
      <c r="QFU378" s="15"/>
      <c r="QFV378" s="15"/>
      <c r="QFW378" s="15"/>
      <c r="QFX378" s="15"/>
      <c r="QFY378" s="10"/>
      <c r="QFZ378" s="10"/>
      <c r="QGA378" s="21"/>
      <c r="QGB378" s="21"/>
      <c r="QGE378" s="21"/>
      <c r="QGF378" s="15"/>
      <c r="QGG378" s="15"/>
      <c r="QGH378" s="15"/>
      <c r="QGI378" s="15"/>
      <c r="QGJ378" s="15"/>
      <c r="QGK378" s="15"/>
      <c r="QGL378" s="15"/>
      <c r="QGM378" s="15"/>
      <c r="QGN378" s="15"/>
      <c r="QGO378" s="15"/>
      <c r="QGP378" s="10"/>
      <c r="QGQ378" s="10"/>
      <c r="QGR378" s="21"/>
      <c r="QGS378" s="21"/>
      <c r="QGV378" s="21"/>
      <c r="QGW378" s="15"/>
      <c r="QGX378" s="15"/>
      <c r="QGY378" s="15"/>
      <c r="QGZ378" s="15"/>
      <c r="QHA378" s="15"/>
      <c r="QHB378" s="15"/>
      <c r="QHC378" s="15"/>
      <c r="QHD378" s="15"/>
      <c r="QHE378" s="15"/>
      <c r="QHF378" s="15"/>
      <c r="QHG378" s="10"/>
      <c r="QHH378" s="10"/>
      <c r="QHI378" s="21"/>
      <c r="QHJ378" s="21"/>
      <c r="QHM378" s="21"/>
      <c r="QHN378" s="15"/>
      <c r="QHO378" s="15"/>
      <c r="QHP378" s="15"/>
      <c r="QHQ378" s="15"/>
      <c r="QHR378" s="15"/>
      <c r="QHS378" s="15"/>
      <c r="QHT378" s="15"/>
      <c r="QHU378" s="15"/>
      <c r="QHV378" s="15"/>
      <c r="QHW378" s="15"/>
      <c r="QHX378" s="10"/>
      <c r="QHY378" s="10"/>
      <c r="QHZ378" s="21"/>
      <c r="QIA378" s="21"/>
      <c r="QID378" s="21"/>
      <c r="QIE378" s="15"/>
      <c r="QIF378" s="15"/>
      <c r="QIG378" s="15"/>
      <c r="QIH378" s="15"/>
      <c r="QII378" s="15"/>
      <c r="QIJ378" s="15"/>
      <c r="QIK378" s="15"/>
      <c r="QIL378" s="15"/>
      <c r="QIM378" s="15"/>
      <c r="QIN378" s="15"/>
      <c r="QIO378" s="10"/>
      <c r="QIP378" s="10"/>
      <c r="QIQ378" s="21"/>
      <c r="QIR378" s="21"/>
      <c r="QIU378" s="21"/>
      <c r="QIV378" s="15"/>
      <c r="QIW378" s="15"/>
      <c r="QIX378" s="15"/>
      <c r="QIY378" s="15"/>
      <c r="QIZ378" s="15"/>
      <c r="QJA378" s="15"/>
      <c r="QJB378" s="15"/>
      <c r="QJC378" s="15"/>
      <c r="QJD378" s="15"/>
      <c r="QJE378" s="15"/>
      <c r="QJF378" s="10"/>
      <c r="QJG378" s="10"/>
      <c r="QJH378" s="21"/>
      <c r="QJI378" s="21"/>
      <c r="QJL378" s="21"/>
      <c r="QJM378" s="15"/>
      <c r="QJN378" s="15"/>
      <c r="QJO378" s="15"/>
      <c r="QJP378" s="15"/>
      <c r="QJQ378" s="15"/>
      <c r="QJR378" s="15"/>
      <c r="QJS378" s="15"/>
      <c r="QJT378" s="15"/>
      <c r="QJU378" s="15"/>
      <c r="QJV378" s="15"/>
      <c r="QJW378" s="10"/>
      <c r="QJX378" s="10"/>
      <c r="QJY378" s="21"/>
      <c r="QJZ378" s="21"/>
      <c r="QKC378" s="21"/>
      <c r="QKD378" s="15"/>
      <c r="QKE378" s="15"/>
      <c r="QKF378" s="15"/>
      <c r="QKG378" s="15"/>
      <c r="QKH378" s="15"/>
      <c r="QKI378" s="15"/>
      <c r="QKJ378" s="15"/>
      <c r="QKK378" s="15"/>
      <c r="QKL378" s="15"/>
      <c r="QKM378" s="15"/>
      <c r="QKN378" s="10"/>
      <c r="QKO378" s="10"/>
      <c r="QKP378" s="21"/>
      <c r="QKQ378" s="21"/>
      <c r="QKT378" s="21"/>
      <c r="QKU378" s="15"/>
      <c r="QKV378" s="15"/>
      <c r="QKW378" s="15"/>
      <c r="QKX378" s="15"/>
      <c r="QKY378" s="15"/>
      <c r="QKZ378" s="15"/>
      <c r="QLA378" s="15"/>
      <c r="QLB378" s="15"/>
      <c r="QLC378" s="15"/>
      <c r="QLD378" s="15"/>
      <c r="QLE378" s="10"/>
      <c r="QLF378" s="10"/>
      <c r="QLG378" s="21"/>
      <c r="QLH378" s="21"/>
      <c r="QLK378" s="21"/>
      <c r="QLL378" s="15"/>
      <c r="QLM378" s="15"/>
      <c r="QLN378" s="15"/>
      <c r="QLO378" s="15"/>
      <c r="QLP378" s="15"/>
      <c r="QLQ378" s="15"/>
      <c r="QLR378" s="15"/>
      <c r="QLS378" s="15"/>
      <c r="QLT378" s="15"/>
      <c r="QLU378" s="15"/>
      <c r="QLV378" s="10"/>
      <c r="QLW378" s="10"/>
      <c r="QLX378" s="21"/>
      <c r="QLY378" s="21"/>
      <c r="QMB378" s="21"/>
      <c r="QMC378" s="15"/>
      <c r="QMD378" s="15"/>
      <c r="QME378" s="15"/>
      <c r="QMF378" s="15"/>
      <c r="QMG378" s="15"/>
      <c r="QMH378" s="15"/>
      <c r="QMI378" s="15"/>
      <c r="QMJ378" s="15"/>
      <c r="QMK378" s="15"/>
      <c r="QML378" s="15"/>
      <c r="QMM378" s="10"/>
      <c r="QMN378" s="10"/>
      <c r="QMO378" s="21"/>
      <c r="QMP378" s="21"/>
      <c r="QMS378" s="21"/>
      <c r="QMT378" s="15"/>
      <c r="QMU378" s="15"/>
      <c r="QMV378" s="15"/>
      <c r="QMW378" s="15"/>
      <c r="QMX378" s="15"/>
      <c r="QMY378" s="15"/>
      <c r="QMZ378" s="15"/>
      <c r="QNA378" s="15"/>
      <c r="QNB378" s="15"/>
      <c r="QNC378" s="15"/>
      <c r="QND378" s="10"/>
      <c r="QNE378" s="10"/>
      <c r="QNF378" s="21"/>
      <c r="QNG378" s="21"/>
      <c r="QNJ378" s="21"/>
      <c r="QNK378" s="15"/>
      <c r="QNL378" s="15"/>
      <c r="QNM378" s="15"/>
      <c r="QNN378" s="15"/>
      <c r="QNO378" s="15"/>
      <c r="QNP378" s="15"/>
      <c r="QNQ378" s="15"/>
      <c r="QNR378" s="15"/>
      <c r="QNS378" s="15"/>
      <c r="QNT378" s="15"/>
      <c r="QNU378" s="10"/>
      <c r="QNV378" s="10"/>
      <c r="QNW378" s="21"/>
      <c r="QNX378" s="21"/>
      <c r="QOA378" s="21"/>
      <c r="QOB378" s="15"/>
      <c r="QOC378" s="15"/>
      <c r="QOD378" s="15"/>
      <c r="QOE378" s="15"/>
      <c r="QOF378" s="15"/>
      <c r="QOG378" s="15"/>
      <c r="QOH378" s="15"/>
      <c r="QOI378" s="15"/>
      <c r="QOJ378" s="15"/>
      <c r="QOK378" s="15"/>
      <c r="QOL378" s="10"/>
      <c r="QOM378" s="10"/>
      <c r="QON378" s="21"/>
      <c r="QOO378" s="21"/>
      <c r="QOR378" s="21"/>
      <c r="QOS378" s="15"/>
      <c r="QOT378" s="15"/>
      <c r="QOU378" s="15"/>
      <c r="QOV378" s="15"/>
      <c r="QOW378" s="15"/>
      <c r="QOX378" s="15"/>
      <c r="QOY378" s="15"/>
      <c r="QOZ378" s="15"/>
      <c r="QPA378" s="15"/>
      <c r="QPB378" s="15"/>
      <c r="QPC378" s="10"/>
      <c r="QPD378" s="10"/>
      <c r="QPE378" s="21"/>
      <c r="QPF378" s="21"/>
      <c r="QPI378" s="21"/>
      <c r="QPJ378" s="15"/>
      <c r="QPK378" s="15"/>
      <c r="QPL378" s="15"/>
      <c r="QPM378" s="15"/>
      <c r="QPN378" s="15"/>
      <c r="QPO378" s="15"/>
      <c r="QPP378" s="15"/>
      <c r="QPQ378" s="15"/>
      <c r="QPR378" s="15"/>
      <c r="QPS378" s="15"/>
      <c r="QPT378" s="10"/>
      <c r="QPU378" s="10"/>
      <c r="QPV378" s="21"/>
      <c r="QPW378" s="21"/>
      <c r="QPZ378" s="21"/>
      <c r="QQA378" s="15"/>
      <c r="QQB378" s="15"/>
      <c r="QQC378" s="15"/>
      <c r="QQD378" s="15"/>
      <c r="QQE378" s="15"/>
      <c r="QQF378" s="15"/>
      <c r="QQG378" s="15"/>
      <c r="QQH378" s="15"/>
      <c r="QQI378" s="15"/>
      <c r="QQJ378" s="15"/>
      <c r="QQK378" s="10"/>
      <c r="QQL378" s="10"/>
      <c r="QQM378" s="21"/>
      <c r="QQN378" s="21"/>
      <c r="QQQ378" s="21"/>
      <c r="QQR378" s="15"/>
      <c r="QQS378" s="15"/>
      <c r="QQT378" s="15"/>
      <c r="QQU378" s="15"/>
      <c r="QQV378" s="15"/>
      <c r="QQW378" s="15"/>
      <c r="QQX378" s="15"/>
      <c r="QQY378" s="15"/>
      <c r="QQZ378" s="15"/>
      <c r="QRA378" s="15"/>
      <c r="QRB378" s="10"/>
      <c r="QRC378" s="10"/>
      <c r="QRD378" s="21"/>
      <c r="QRE378" s="21"/>
      <c r="QRH378" s="21"/>
      <c r="QRI378" s="15"/>
      <c r="QRJ378" s="15"/>
      <c r="QRK378" s="15"/>
      <c r="QRL378" s="15"/>
      <c r="QRM378" s="15"/>
      <c r="QRN378" s="15"/>
      <c r="QRO378" s="15"/>
      <c r="QRP378" s="15"/>
      <c r="QRQ378" s="15"/>
      <c r="QRR378" s="15"/>
      <c r="QRS378" s="10"/>
      <c r="QRT378" s="10"/>
      <c r="QRU378" s="21"/>
      <c r="QRV378" s="21"/>
      <c r="QRY378" s="21"/>
      <c r="QRZ378" s="15"/>
      <c r="QSA378" s="15"/>
      <c r="QSB378" s="15"/>
      <c r="QSC378" s="15"/>
      <c r="QSD378" s="15"/>
      <c r="QSE378" s="15"/>
      <c r="QSF378" s="15"/>
      <c r="QSG378" s="15"/>
      <c r="QSH378" s="15"/>
      <c r="QSI378" s="15"/>
      <c r="QSJ378" s="10"/>
      <c r="QSK378" s="10"/>
      <c r="QSL378" s="21"/>
      <c r="QSM378" s="21"/>
      <c r="QSP378" s="21"/>
      <c r="QSQ378" s="15"/>
      <c r="QSR378" s="15"/>
      <c r="QSS378" s="15"/>
      <c r="QST378" s="15"/>
      <c r="QSU378" s="15"/>
      <c r="QSV378" s="15"/>
      <c r="QSW378" s="15"/>
      <c r="QSX378" s="15"/>
      <c r="QSY378" s="15"/>
      <c r="QSZ378" s="15"/>
      <c r="QTA378" s="10"/>
      <c r="QTB378" s="10"/>
      <c r="QTC378" s="21"/>
      <c r="QTD378" s="21"/>
      <c r="QTG378" s="21"/>
      <c r="QTH378" s="15"/>
      <c r="QTI378" s="15"/>
      <c r="QTJ378" s="15"/>
      <c r="QTK378" s="15"/>
      <c r="QTL378" s="15"/>
      <c r="QTM378" s="15"/>
      <c r="QTN378" s="15"/>
      <c r="QTO378" s="15"/>
      <c r="QTP378" s="15"/>
      <c r="QTQ378" s="15"/>
      <c r="QTR378" s="10"/>
      <c r="QTS378" s="10"/>
      <c r="QTT378" s="21"/>
      <c r="QTU378" s="21"/>
      <c r="QTX378" s="21"/>
      <c r="QTY378" s="15"/>
      <c r="QTZ378" s="15"/>
      <c r="QUA378" s="15"/>
      <c r="QUB378" s="15"/>
      <c r="QUC378" s="15"/>
      <c r="QUD378" s="15"/>
      <c r="QUE378" s="15"/>
      <c r="QUF378" s="15"/>
      <c r="QUG378" s="15"/>
      <c r="QUH378" s="15"/>
      <c r="QUI378" s="10"/>
      <c r="QUJ378" s="10"/>
      <c r="QUK378" s="21"/>
      <c r="QUL378" s="21"/>
      <c r="QUO378" s="21"/>
      <c r="QUP378" s="15"/>
      <c r="QUQ378" s="15"/>
      <c r="QUR378" s="15"/>
      <c r="QUS378" s="15"/>
      <c r="QUT378" s="15"/>
      <c r="QUU378" s="15"/>
      <c r="QUV378" s="15"/>
      <c r="QUW378" s="15"/>
      <c r="QUX378" s="15"/>
      <c r="QUY378" s="15"/>
      <c r="QUZ378" s="10"/>
      <c r="QVA378" s="10"/>
      <c r="QVB378" s="21"/>
      <c r="QVC378" s="21"/>
      <c r="QVF378" s="21"/>
      <c r="QVG378" s="15"/>
      <c r="QVH378" s="15"/>
      <c r="QVI378" s="15"/>
      <c r="QVJ378" s="15"/>
      <c r="QVK378" s="15"/>
      <c r="QVL378" s="15"/>
      <c r="QVM378" s="15"/>
      <c r="QVN378" s="15"/>
      <c r="QVO378" s="15"/>
      <c r="QVP378" s="15"/>
      <c r="QVQ378" s="10"/>
      <c r="QVR378" s="10"/>
      <c r="QVS378" s="21"/>
      <c r="QVT378" s="21"/>
      <c r="QVW378" s="21"/>
      <c r="QVX378" s="15"/>
      <c r="QVY378" s="15"/>
      <c r="QVZ378" s="15"/>
      <c r="QWA378" s="15"/>
      <c r="QWB378" s="15"/>
      <c r="QWC378" s="15"/>
      <c r="QWD378" s="15"/>
      <c r="QWE378" s="15"/>
      <c r="QWF378" s="15"/>
      <c r="QWG378" s="15"/>
      <c r="QWH378" s="10"/>
      <c r="QWI378" s="10"/>
      <c r="QWJ378" s="21"/>
      <c r="QWK378" s="21"/>
      <c r="QWN378" s="21"/>
      <c r="QWO378" s="15"/>
      <c r="QWP378" s="15"/>
      <c r="QWQ378" s="15"/>
      <c r="QWR378" s="15"/>
      <c r="QWS378" s="15"/>
      <c r="QWT378" s="15"/>
      <c r="QWU378" s="15"/>
      <c r="QWV378" s="15"/>
      <c r="QWW378" s="15"/>
      <c r="QWX378" s="15"/>
      <c r="QWY378" s="10"/>
      <c r="QWZ378" s="10"/>
      <c r="QXA378" s="21"/>
      <c r="QXB378" s="21"/>
      <c r="QXE378" s="21"/>
      <c r="QXF378" s="15"/>
      <c r="QXG378" s="15"/>
      <c r="QXH378" s="15"/>
      <c r="QXI378" s="15"/>
      <c r="QXJ378" s="15"/>
      <c r="QXK378" s="15"/>
      <c r="QXL378" s="15"/>
      <c r="QXM378" s="15"/>
      <c r="QXN378" s="15"/>
      <c r="QXO378" s="15"/>
      <c r="QXP378" s="10"/>
      <c r="QXQ378" s="10"/>
      <c r="QXR378" s="21"/>
      <c r="QXS378" s="21"/>
      <c r="QXV378" s="21"/>
      <c r="QXW378" s="15"/>
      <c r="QXX378" s="15"/>
      <c r="QXY378" s="15"/>
      <c r="QXZ378" s="15"/>
      <c r="QYA378" s="15"/>
      <c r="QYB378" s="15"/>
      <c r="QYC378" s="15"/>
      <c r="QYD378" s="15"/>
      <c r="QYE378" s="15"/>
      <c r="QYF378" s="15"/>
      <c r="QYG378" s="10"/>
      <c r="QYH378" s="10"/>
      <c r="QYI378" s="21"/>
      <c r="QYJ378" s="21"/>
      <c r="QYM378" s="21"/>
      <c r="QYN378" s="15"/>
      <c r="QYO378" s="15"/>
      <c r="QYP378" s="15"/>
      <c r="QYQ378" s="15"/>
      <c r="QYR378" s="15"/>
      <c r="QYS378" s="15"/>
      <c r="QYT378" s="15"/>
      <c r="QYU378" s="15"/>
      <c r="QYV378" s="15"/>
      <c r="QYW378" s="15"/>
      <c r="QYX378" s="10"/>
      <c r="QYY378" s="10"/>
      <c r="QYZ378" s="21"/>
      <c r="QZA378" s="21"/>
      <c r="QZD378" s="21"/>
      <c r="QZE378" s="15"/>
      <c r="QZF378" s="15"/>
      <c r="QZG378" s="15"/>
      <c r="QZH378" s="15"/>
      <c r="QZI378" s="15"/>
      <c r="QZJ378" s="15"/>
      <c r="QZK378" s="15"/>
      <c r="QZL378" s="15"/>
      <c r="QZM378" s="15"/>
      <c r="QZN378" s="15"/>
      <c r="QZO378" s="10"/>
      <c r="QZP378" s="10"/>
      <c r="QZQ378" s="21"/>
      <c r="QZR378" s="21"/>
      <c r="QZU378" s="21"/>
      <c r="QZV378" s="15"/>
      <c r="QZW378" s="15"/>
      <c r="QZX378" s="15"/>
      <c r="QZY378" s="15"/>
      <c r="QZZ378" s="15"/>
      <c r="RAA378" s="15"/>
      <c r="RAB378" s="15"/>
      <c r="RAC378" s="15"/>
      <c r="RAD378" s="15"/>
      <c r="RAE378" s="15"/>
      <c r="RAF378" s="10"/>
      <c r="RAG378" s="10"/>
      <c r="RAH378" s="21"/>
      <c r="RAI378" s="21"/>
      <c r="RAL378" s="21"/>
      <c r="RAM378" s="15"/>
      <c r="RAN378" s="15"/>
      <c r="RAO378" s="15"/>
      <c r="RAP378" s="15"/>
      <c r="RAQ378" s="15"/>
      <c r="RAR378" s="15"/>
      <c r="RAS378" s="15"/>
      <c r="RAT378" s="15"/>
      <c r="RAU378" s="15"/>
      <c r="RAV378" s="15"/>
      <c r="RAW378" s="10"/>
      <c r="RAX378" s="10"/>
      <c r="RAY378" s="21"/>
      <c r="RAZ378" s="21"/>
      <c r="RBC378" s="21"/>
      <c r="RBD378" s="15"/>
      <c r="RBE378" s="15"/>
      <c r="RBF378" s="15"/>
      <c r="RBG378" s="15"/>
      <c r="RBH378" s="15"/>
      <c r="RBI378" s="15"/>
      <c r="RBJ378" s="15"/>
      <c r="RBK378" s="15"/>
      <c r="RBL378" s="15"/>
      <c r="RBM378" s="15"/>
      <c r="RBN378" s="10"/>
      <c r="RBO378" s="10"/>
      <c r="RBP378" s="21"/>
      <c r="RBQ378" s="21"/>
      <c r="RBT378" s="21"/>
      <c r="RBU378" s="15"/>
      <c r="RBV378" s="15"/>
      <c r="RBW378" s="15"/>
      <c r="RBX378" s="15"/>
      <c r="RBY378" s="15"/>
      <c r="RBZ378" s="15"/>
      <c r="RCA378" s="15"/>
      <c r="RCB378" s="15"/>
      <c r="RCC378" s="15"/>
      <c r="RCD378" s="15"/>
      <c r="RCE378" s="10"/>
      <c r="RCF378" s="10"/>
      <c r="RCG378" s="21"/>
      <c r="RCH378" s="21"/>
      <c r="RCK378" s="21"/>
      <c r="RCL378" s="15"/>
      <c r="RCM378" s="15"/>
      <c r="RCN378" s="15"/>
      <c r="RCO378" s="15"/>
      <c r="RCP378" s="15"/>
      <c r="RCQ378" s="15"/>
      <c r="RCR378" s="15"/>
      <c r="RCS378" s="15"/>
      <c r="RCT378" s="15"/>
      <c r="RCU378" s="15"/>
      <c r="RCV378" s="10"/>
      <c r="RCW378" s="10"/>
      <c r="RCX378" s="21"/>
      <c r="RCY378" s="21"/>
      <c r="RDB378" s="21"/>
      <c r="RDC378" s="15"/>
      <c r="RDD378" s="15"/>
      <c r="RDE378" s="15"/>
      <c r="RDF378" s="15"/>
      <c r="RDG378" s="15"/>
      <c r="RDH378" s="15"/>
      <c r="RDI378" s="15"/>
      <c r="RDJ378" s="15"/>
      <c r="RDK378" s="15"/>
      <c r="RDL378" s="15"/>
      <c r="RDM378" s="10"/>
      <c r="RDN378" s="10"/>
      <c r="RDO378" s="21"/>
      <c r="RDP378" s="21"/>
      <c r="RDS378" s="21"/>
      <c r="RDT378" s="15"/>
      <c r="RDU378" s="15"/>
      <c r="RDV378" s="15"/>
      <c r="RDW378" s="15"/>
      <c r="RDX378" s="15"/>
      <c r="RDY378" s="15"/>
      <c r="RDZ378" s="15"/>
      <c r="REA378" s="15"/>
      <c r="REB378" s="15"/>
      <c r="REC378" s="15"/>
      <c r="RED378" s="10"/>
      <c r="REE378" s="10"/>
      <c r="REF378" s="21"/>
      <c r="REG378" s="21"/>
      <c r="REJ378" s="21"/>
      <c r="REK378" s="15"/>
      <c r="REL378" s="15"/>
      <c r="REM378" s="15"/>
      <c r="REN378" s="15"/>
      <c r="REO378" s="15"/>
      <c r="REP378" s="15"/>
      <c r="REQ378" s="15"/>
      <c r="RER378" s="15"/>
      <c r="RES378" s="15"/>
      <c r="RET378" s="15"/>
      <c r="REU378" s="10"/>
      <c r="REV378" s="10"/>
      <c r="REW378" s="21"/>
      <c r="REX378" s="21"/>
      <c r="RFA378" s="21"/>
      <c r="RFB378" s="15"/>
      <c r="RFC378" s="15"/>
      <c r="RFD378" s="15"/>
      <c r="RFE378" s="15"/>
      <c r="RFF378" s="15"/>
      <c r="RFG378" s="15"/>
      <c r="RFH378" s="15"/>
      <c r="RFI378" s="15"/>
      <c r="RFJ378" s="15"/>
      <c r="RFK378" s="15"/>
      <c r="RFL378" s="10"/>
      <c r="RFM378" s="10"/>
      <c r="RFN378" s="21"/>
      <c r="RFO378" s="21"/>
      <c r="RFR378" s="21"/>
      <c r="RFS378" s="15"/>
      <c r="RFT378" s="15"/>
      <c r="RFU378" s="15"/>
      <c r="RFV378" s="15"/>
      <c r="RFW378" s="15"/>
      <c r="RFX378" s="15"/>
      <c r="RFY378" s="15"/>
      <c r="RFZ378" s="15"/>
      <c r="RGA378" s="15"/>
      <c r="RGB378" s="15"/>
      <c r="RGC378" s="10"/>
      <c r="RGD378" s="10"/>
      <c r="RGE378" s="21"/>
      <c r="RGF378" s="21"/>
      <c r="RGI378" s="21"/>
      <c r="RGJ378" s="15"/>
      <c r="RGK378" s="15"/>
      <c r="RGL378" s="15"/>
      <c r="RGM378" s="15"/>
      <c r="RGN378" s="15"/>
      <c r="RGO378" s="15"/>
      <c r="RGP378" s="15"/>
      <c r="RGQ378" s="15"/>
      <c r="RGR378" s="15"/>
      <c r="RGS378" s="15"/>
      <c r="RGT378" s="10"/>
      <c r="RGU378" s="10"/>
      <c r="RGV378" s="21"/>
      <c r="RGW378" s="21"/>
      <c r="RGZ378" s="21"/>
      <c r="RHA378" s="15"/>
      <c r="RHB378" s="15"/>
      <c r="RHC378" s="15"/>
      <c r="RHD378" s="15"/>
      <c r="RHE378" s="15"/>
      <c r="RHF378" s="15"/>
      <c r="RHG378" s="15"/>
      <c r="RHH378" s="15"/>
      <c r="RHI378" s="15"/>
      <c r="RHJ378" s="15"/>
      <c r="RHK378" s="10"/>
      <c r="RHL378" s="10"/>
      <c r="RHM378" s="21"/>
      <c r="RHN378" s="21"/>
      <c r="RHQ378" s="21"/>
      <c r="RHR378" s="15"/>
      <c r="RHS378" s="15"/>
      <c r="RHT378" s="15"/>
      <c r="RHU378" s="15"/>
      <c r="RHV378" s="15"/>
      <c r="RHW378" s="15"/>
      <c r="RHX378" s="15"/>
      <c r="RHY378" s="15"/>
      <c r="RHZ378" s="15"/>
      <c r="RIA378" s="15"/>
      <c r="RIB378" s="10"/>
      <c r="RIC378" s="10"/>
      <c r="RID378" s="21"/>
      <c r="RIE378" s="21"/>
      <c r="RIH378" s="21"/>
      <c r="RII378" s="15"/>
      <c r="RIJ378" s="15"/>
      <c r="RIK378" s="15"/>
      <c r="RIL378" s="15"/>
      <c r="RIM378" s="15"/>
      <c r="RIN378" s="15"/>
      <c r="RIO378" s="15"/>
      <c r="RIP378" s="15"/>
      <c r="RIQ378" s="15"/>
      <c r="RIR378" s="15"/>
      <c r="RIS378" s="10"/>
      <c r="RIT378" s="10"/>
      <c r="RIU378" s="21"/>
      <c r="RIV378" s="21"/>
      <c r="RIY378" s="21"/>
      <c r="RIZ378" s="15"/>
      <c r="RJA378" s="15"/>
      <c r="RJB378" s="15"/>
      <c r="RJC378" s="15"/>
      <c r="RJD378" s="15"/>
      <c r="RJE378" s="15"/>
      <c r="RJF378" s="15"/>
      <c r="RJG378" s="15"/>
      <c r="RJH378" s="15"/>
      <c r="RJI378" s="15"/>
      <c r="RJJ378" s="10"/>
      <c r="RJK378" s="10"/>
      <c r="RJL378" s="21"/>
      <c r="RJM378" s="21"/>
      <c r="RJP378" s="21"/>
      <c r="RJQ378" s="15"/>
      <c r="RJR378" s="15"/>
      <c r="RJS378" s="15"/>
      <c r="RJT378" s="15"/>
      <c r="RJU378" s="15"/>
      <c r="RJV378" s="15"/>
      <c r="RJW378" s="15"/>
      <c r="RJX378" s="15"/>
      <c r="RJY378" s="15"/>
      <c r="RJZ378" s="15"/>
      <c r="RKA378" s="10"/>
      <c r="RKB378" s="10"/>
      <c r="RKC378" s="21"/>
      <c r="RKD378" s="21"/>
      <c r="RKG378" s="21"/>
      <c r="RKH378" s="15"/>
      <c r="RKI378" s="15"/>
      <c r="RKJ378" s="15"/>
      <c r="RKK378" s="15"/>
      <c r="RKL378" s="15"/>
      <c r="RKM378" s="15"/>
      <c r="RKN378" s="15"/>
      <c r="RKO378" s="15"/>
      <c r="RKP378" s="15"/>
      <c r="RKQ378" s="15"/>
      <c r="RKR378" s="10"/>
      <c r="RKS378" s="10"/>
      <c r="RKT378" s="21"/>
      <c r="RKU378" s="21"/>
      <c r="RKX378" s="21"/>
      <c r="RKY378" s="15"/>
      <c r="RKZ378" s="15"/>
      <c r="RLA378" s="15"/>
      <c r="RLB378" s="15"/>
      <c r="RLC378" s="15"/>
      <c r="RLD378" s="15"/>
      <c r="RLE378" s="15"/>
      <c r="RLF378" s="15"/>
      <c r="RLG378" s="15"/>
      <c r="RLH378" s="15"/>
      <c r="RLI378" s="10"/>
      <c r="RLJ378" s="10"/>
      <c r="RLK378" s="21"/>
      <c r="RLL378" s="21"/>
      <c r="RLO378" s="21"/>
      <c r="RLP378" s="15"/>
      <c r="RLQ378" s="15"/>
      <c r="RLR378" s="15"/>
      <c r="RLS378" s="15"/>
      <c r="RLT378" s="15"/>
      <c r="RLU378" s="15"/>
      <c r="RLV378" s="15"/>
      <c r="RLW378" s="15"/>
      <c r="RLX378" s="15"/>
      <c r="RLY378" s="15"/>
      <c r="RLZ378" s="10"/>
      <c r="RMA378" s="10"/>
      <c r="RMB378" s="21"/>
      <c r="RMC378" s="21"/>
      <c r="RMF378" s="21"/>
      <c r="RMG378" s="15"/>
      <c r="RMH378" s="15"/>
      <c r="RMI378" s="15"/>
      <c r="RMJ378" s="15"/>
      <c r="RMK378" s="15"/>
      <c r="RML378" s="15"/>
      <c r="RMM378" s="15"/>
      <c r="RMN378" s="15"/>
      <c r="RMO378" s="15"/>
      <c r="RMP378" s="15"/>
      <c r="RMQ378" s="10"/>
      <c r="RMR378" s="10"/>
      <c r="RMS378" s="21"/>
      <c r="RMT378" s="21"/>
      <c r="RMW378" s="21"/>
      <c r="RMX378" s="15"/>
      <c r="RMY378" s="15"/>
      <c r="RMZ378" s="15"/>
      <c r="RNA378" s="15"/>
      <c r="RNB378" s="15"/>
      <c r="RNC378" s="15"/>
      <c r="RND378" s="15"/>
      <c r="RNE378" s="15"/>
      <c r="RNF378" s="15"/>
      <c r="RNG378" s="15"/>
      <c r="RNH378" s="10"/>
      <c r="RNI378" s="10"/>
      <c r="RNJ378" s="21"/>
      <c r="RNK378" s="21"/>
      <c r="RNN378" s="21"/>
      <c r="RNO378" s="15"/>
      <c r="RNP378" s="15"/>
      <c r="RNQ378" s="15"/>
      <c r="RNR378" s="15"/>
      <c r="RNS378" s="15"/>
      <c r="RNT378" s="15"/>
      <c r="RNU378" s="15"/>
      <c r="RNV378" s="15"/>
      <c r="RNW378" s="15"/>
      <c r="RNX378" s="15"/>
      <c r="RNY378" s="10"/>
      <c r="RNZ378" s="10"/>
      <c r="ROA378" s="21"/>
      <c r="ROB378" s="21"/>
      <c r="ROE378" s="21"/>
      <c r="ROF378" s="15"/>
      <c r="ROG378" s="15"/>
      <c r="ROH378" s="15"/>
      <c r="ROI378" s="15"/>
      <c r="ROJ378" s="15"/>
      <c r="ROK378" s="15"/>
      <c r="ROL378" s="15"/>
      <c r="ROM378" s="15"/>
      <c r="RON378" s="15"/>
      <c r="ROO378" s="15"/>
      <c r="ROP378" s="10"/>
      <c r="ROQ378" s="10"/>
      <c r="ROR378" s="21"/>
      <c r="ROS378" s="21"/>
      <c r="ROV378" s="21"/>
      <c r="ROW378" s="15"/>
      <c r="ROX378" s="15"/>
      <c r="ROY378" s="15"/>
      <c r="ROZ378" s="15"/>
      <c r="RPA378" s="15"/>
      <c r="RPB378" s="15"/>
      <c r="RPC378" s="15"/>
      <c r="RPD378" s="15"/>
      <c r="RPE378" s="15"/>
      <c r="RPF378" s="15"/>
      <c r="RPG378" s="10"/>
      <c r="RPH378" s="10"/>
      <c r="RPI378" s="21"/>
      <c r="RPJ378" s="21"/>
      <c r="RPM378" s="21"/>
      <c r="RPN378" s="15"/>
      <c r="RPO378" s="15"/>
      <c r="RPP378" s="15"/>
      <c r="RPQ378" s="15"/>
      <c r="RPR378" s="15"/>
      <c r="RPS378" s="15"/>
      <c r="RPT378" s="15"/>
      <c r="RPU378" s="15"/>
      <c r="RPV378" s="15"/>
      <c r="RPW378" s="15"/>
      <c r="RPX378" s="10"/>
      <c r="RPY378" s="10"/>
      <c r="RPZ378" s="21"/>
      <c r="RQA378" s="21"/>
      <c r="RQD378" s="21"/>
      <c r="RQE378" s="15"/>
      <c r="RQF378" s="15"/>
      <c r="RQG378" s="15"/>
      <c r="RQH378" s="15"/>
      <c r="RQI378" s="15"/>
      <c r="RQJ378" s="15"/>
      <c r="RQK378" s="15"/>
      <c r="RQL378" s="15"/>
      <c r="RQM378" s="15"/>
      <c r="RQN378" s="15"/>
      <c r="RQO378" s="10"/>
      <c r="RQP378" s="10"/>
      <c r="RQQ378" s="21"/>
      <c r="RQR378" s="21"/>
      <c r="RQU378" s="21"/>
      <c r="RQV378" s="15"/>
      <c r="RQW378" s="15"/>
      <c r="RQX378" s="15"/>
      <c r="RQY378" s="15"/>
      <c r="RQZ378" s="15"/>
      <c r="RRA378" s="15"/>
      <c r="RRB378" s="15"/>
      <c r="RRC378" s="15"/>
      <c r="RRD378" s="15"/>
      <c r="RRE378" s="15"/>
      <c r="RRF378" s="10"/>
      <c r="RRG378" s="10"/>
      <c r="RRH378" s="21"/>
      <c r="RRI378" s="21"/>
      <c r="RRL378" s="21"/>
      <c r="RRM378" s="15"/>
      <c r="RRN378" s="15"/>
      <c r="RRO378" s="15"/>
      <c r="RRP378" s="15"/>
      <c r="RRQ378" s="15"/>
      <c r="RRR378" s="15"/>
      <c r="RRS378" s="15"/>
      <c r="RRT378" s="15"/>
      <c r="RRU378" s="15"/>
      <c r="RRV378" s="15"/>
      <c r="RRW378" s="10"/>
      <c r="RRX378" s="10"/>
      <c r="RRY378" s="21"/>
      <c r="RRZ378" s="21"/>
      <c r="RSC378" s="21"/>
      <c r="RSD378" s="15"/>
      <c r="RSE378" s="15"/>
      <c r="RSF378" s="15"/>
      <c r="RSG378" s="15"/>
      <c r="RSH378" s="15"/>
      <c r="RSI378" s="15"/>
      <c r="RSJ378" s="15"/>
      <c r="RSK378" s="15"/>
      <c r="RSL378" s="15"/>
      <c r="RSM378" s="15"/>
      <c r="RSN378" s="10"/>
      <c r="RSO378" s="10"/>
      <c r="RSP378" s="21"/>
      <c r="RSQ378" s="21"/>
      <c r="RST378" s="21"/>
      <c r="RSU378" s="15"/>
      <c r="RSV378" s="15"/>
      <c r="RSW378" s="15"/>
      <c r="RSX378" s="15"/>
      <c r="RSY378" s="15"/>
      <c r="RSZ378" s="15"/>
      <c r="RTA378" s="15"/>
      <c r="RTB378" s="15"/>
      <c r="RTC378" s="15"/>
      <c r="RTD378" s="15"/>
      <c r="RTE378" s="10"/>
      <c r="RTF378" s="10"/>
      <c r="RTG378" s="21"/>
      <c r="RTH378" s="21"/>
      <c r="RTK378" s="21"/>
      <c r="RTL378" s="15"/>
      <c r="RTM378" s="15"/>
      <c r="RTN378" s="15"/>
      <c r="RTO378" s="15"/>
      <c r="RTP378" s="15"/>
      <c r="RTQ378" s="15"/>
      <c r="RTR378" s="15"/>
      <c r="RTS378" s="15"/>
      <c r="RTT378" s="15"/>
      <c r="RTU378" s="15"/>
      <c r="RTV378" s="10"/>
      <c r="RTW378" s="10"/>
      <c r="RTX378" s="21"/>
      <c r="RTY378" s="21"/>
      <c r="RUB378" s="21"/>
      <c r="RUC378" s="15"/>
      <c r="RUD378" s="15"/>
      <c r="RUE378" s="15"/>
      <c r="RUF378" s="15"/>
      <c r="RUG378" s="15"/>
      <c r="RUH378" s="15"/>
      <c r="RUI378" s="15"/>
      <c r="RUJ378" s="15"/>
      <c r="RUK378" s="15"/>
      <c r="RUL378" s="15"/>
      <c r="RUM378" s="10"/>
      <c r="RUN378" s="10"/>
      <c r="RUO378" s="21"/>
      <c r="RUP378" s="21"/>
      <c r="RUS378" s="21"/>
      <c r="RUT378" s="15"/>
      <c r="RUU378" s="15"/>
      <c r="RUV378" s="15"/>
      <c r="RUW378" s="15"/>
      <c r="RUX378" s="15"/>
      <c r="RUY378" s="15"/>
      <c r="RUZ378" s="15"/>
      <c r="RVA378" s="15"/>
      <c r="RVB378" s="15"/>
      <c r="RVC378" s="15"/>
      <c r="RVD378" s="10"/>
      <c r="RVE378" s="10"/>
      <c r="RVF378" s="21"/>
      <c r="RVG378" s="21"/>
      <c r="RVJ378" s="21"/>
      <c r="RVK378" s="15"/>
      <c r="RVL378" s="15"/>
      <c r="RVM378" s="15"/>
      <c r="RVN378" s="15"/>
      <c r="RVO378" s="15"/>
      <c r="RVP378" s="15"/>
      <c r="RVQ378" s="15"/>
      <c r="RVR378" s="15"/>
      <c r="RVS378" s="15"/>
      <c r="RVT378" s="15"/>
      <c r="RVU378" s="10"/>
      <c r="RVV378" s="10"/>
      <c r="RVW378" s="21"/>
      <c r="RVX378" s="21"/>
      <c r="RWA378" s="21"/>
      <c r="RWB378" s="15"/>
      <c r="RWC378" s="15"/>
      <c r="RWD378" s="15"/>
      <c r="RWE378" s="15"/>
      <c r="RWF378" s="15"/>
      <c r="RWG378" s="15"/>
      <c r="RWH378" s="15"/>
      <c r="RWI378" s="15"/>
      <c r="RWJ378" s="15"/>
      <c r="RWK378" s="15"/>
      <c r="RWL378" s="10"/>
      <c r="RWM378" s="10"/>
      <c r="RWN378" s="21"/>
      <c r="RWO378" s="21"/>
      <c r="RWR378" s="21"/>
      <c r="RWS378" s="15"/>
      <c r="RWT378" s="15"/>
      <c r="RWU378" s="15"/>
      <c r="RWV378" s="15"/>
      <c r="RWW378" s="15"/>
      <c r="RWX378" s="15"/>
      <c r="RWY378" s="15"/>
      <c r="RWZ378" s="15"/>
      <c r="RXA378" s="15"/>
      <c r="RXB378" s="15"/>
      <c r="RXC378" s="10"/>
      <c r="RXD378" s="10"/>
      <c r="RXE378" s="21"/>
      <c r="RXF378" s="21"/>
      <c r="RXI378" s="21"/>
      <c r="RXJ378" s="15"/>
      <c r="RXK378" s="15"/>
      <c r="RXL378" s="15"/>
      <c r="RXM378" s="15"/>
      <c r="RXN378" s="15"/>
      <c r="RXO378" s="15"/>
      <c r="RXP378" s="15"/>
      <c r="RXQ378" s="15"/>
      <c r="RXR378" s="15"/>
      <c r="RXS378" s="15"/>
      <c r="RXT378" s="10"/>
      <c r="RXU378" s="10"/>
      <c r="RXV378" s="21"/>
      <c r="RXW378" s="21"/>
      <c r="RXZ378" s="21"/>
      <c r="RYA378" s="15"/>
      <c r="RYB378" s="15"/>
      <c r="RYC378" s="15"/>
      <c r="RYD378" s="15"/>
      <c r="RYE378" s="15"/>
      <c r="RYF378" s="15"/>
      <c r="RYG378" s="15"/>
      <c r="RYH378" s="15"/>
      <c r="RYI378" s="15"/>
      <c r="RYJ378" s="15"/>
      <c r="RYK378" s="10"/>
      <c r="RYL378" s="10"/>
      <c r="RYM378" s="21"/>
      <c r="RYN378" s="21"/>
      <c r="RYQ378" s="21"/>
      <c r="RYR378" s="15"/>
      <c r="RYS378" s="15"/>
      <c r="RYT378" s="15"/>
      <c r="RYU378" s="15"/>
      <c r="RYV378" s="15"/>
      <c r="RYW378" s="15"/>
      <c r="RYX378" s="15"/>
      <c r="RYY378" s="15"/>
      <c r="RYZ378" s="15"/>
      <c r="RZA378" s="15"/>
      <c r="RZB378" s="10"/>
      <c r="RZC378" s="10"/>
      <c r="RZD378" s="21"/>
      <c r="RZE378" s="21"/>
      <c r="RZH378" s="21"/>
      <c r="RZI378" s="15"/>
      <c r="RZJ378" s="15"/>
      <c r="RZK378" s="15"/>
      <c r="RZL378" s="15"/>
      <c r="RZM378" s="15"/>
      <c r="RZN378" s="15"/>
      <c r="RZO378" s="15"/>
      <c r="RZP378" s="15"/>
      <c r="RZQ378" s="15"/>
      <c r="RZR378" s="15"/>
      <c r="RZS378" s="10"/>
      <c r="RZT378" s="10"/>
      <c r="RZU378" s="21"/>
      <c r="RZV378" s="21"/>
      <c r="RZY378" s="21"/>
      <c r="RZZ378" s="15"/>
      <c r="SAA378" s="15"/>
      <c r="SAB378" s="15"/>
      <c r="SAC378" s="15"/>
      <c r="SAD378" s="15"/>
      <c r="SAE378" s="15"/>
      <c r="SAF378" s="15"/>
      <c r="SAG378" s="15"/>
      <c r="SAH378" s="15"/>
      <c r="SAI378" s="15"/>
      <c r="SAJ378" s="10"/>
      <c r="SAK378" s="10"/>
      <c r="SAL378" s="21"/>
      <c r="SAM378" s="21"/>
      <c r="SAP378" s="21"/>
      <c r="SAQ378" s="15"/>
      <c r="SAR378" s="15"/>
      <c r="SAS378" s="15"/>
      <c r="SAT378" s="15"/>
      <c r="SAU378" s="15"/>
      <c r="SAV378" s="15"/>
      <c r="SAW378" s="15"/>
      <c r="SAX378" s="15"/>
      <c r="SAY378" s="15"/>
      <c r="SAZ378" s="15"/>
      <c r="SBA378" s="10"/>
      <c r="SBB378" s="10"/>
      <c r="SBC378" s="21"/>
      <c r="SBD378" s="21"/>
      <c r="SBG378" s="21"/>
      <c r="SBH378" s="15"/>
      <c r="SBI378" s="15"/>
      <c r="SBJ378" s="15"/>
      <c r="SBK378" s="15"/>
      <c r="SBL378" s="15"/>
      <c r="SBM378" s="15"/>
      <c r="SBN378" s="15"/>
      <c r="SBO378" s="15"/>
      <c r="SBP378" s="15"/>
      <c r="SBQ378" s="15"/>
      <c r="SBR378" s="10"/>
      <c r="SBS378" s="10"/>
      <c r="SBT378" s="21"/>
      <c r="SBU378" s="21"/>
      <c r="SBX378" s="21"/>
      <c r="SBY378" s="15"/>
      <c r="SBZ378" s="15"/>
      <c r="SCA378" s="15"/>
      <c r="SCB378" s="15"/>
      <c r="SCC378" s="15"/>
      <c r="SCD378" s="15"/>
      <c r="SCE378" s="15"/>
      <c r="SCF378" s="15"/>
      <c r="SCG378" s="15"/>
      <c r="SCH378" s="15"/>
      <c r="SCI378" s="10"/>
      <c r="SCJ378" s="10"/>
      <c r="SCK378" s="21"/>
      <c r="SCL378" s="21"/>
      <c r="SCO378" s="21"/>
      <c r="SCP378" s="15"/>
      <c r="SCQ378" s="15"/>
      <c r="SCR378" s="15"/>
      <c r="SCS378" s="15"/>
      <c r="SCT378" s="15"/>
      <c r="SCU378" s="15"/>
      <c r="SCV378" s="15"/>
      <c r="SCW378" s="15"/>
      <c r="SCX378" s="15"/>
      <c r="SCY378" s="15"/>
      <c r="SCZ378" s="10"/>
      <c r="SDA378" s="10"/>
      <c r="SDB378" s="21"/>
      <c r="SDC378" s="21"/>
      <c r="SDF378" s="21"/>
      <c r="SDG378" s="15"/>
      <c r="SDH378" s="15"/>
      <c r="SDI378" s="15"/>
      <c r="SDJ378" s="15"/>
      <c r="SDK378" s="15"/>
      <c r="SDL378" s="15"/>
      <c r="SDM378" s="15"/>
      <c r="SDN378" s="15"/>
      <c r="SDO378" s="15"/>
      <c r="SDP378" s="15"/>
      <c r="SDQ378" s="10"/>
      <c r="SDR378" s="10"/>
      <c r="SDS378" s="21"/>
      <c r="SDT378" s="21"/>
      <c r="SDW378" s="21"/>
      <c r="SDX378" s="15"/>
      <c r="SDY378" s="15"/>
      <c r="SDZ378" s="15"/>
      <c r="SEA378" s="15"/>
      <c r="SEB378" s="15"/>
      <c r="SEC378" s="15"/>
      <c r="SED378" s="15"/>
      <c r="SEE378" s="15"/>
      <c r="SEF378" s="15"/>
      <c r="SEG378" s="15"/>
      <c r="SEH378" s="10"/>
      <c r="SEI378" s="10"/>
      <c r="SEJ378" s="21"/>
      <c r="SEK378" s="21"/>
      <c r="SEN378" s="21"/>
      <c r="SEO378" s="15"/>
      <c r="SEP378" s="15"/>
      <c r="SEQ378" s="15"/>
      <c r="SER378" s="15"/>
      <c r="SES378" s="15"/>
      <c r="SET378" s="15"/>
      <c r="SEU378" s="15"/>
      <c r="SEV378" s="15"/>
      <c r="SEW378" s="15"/>
      <c r="SEX378" s="15"/>
      <c r="SEY378" s="10"/>
      <c r="SEZ378" s="10"/>
      <c r="SFA378" s="21"/>
      <c r="SFB378" s="21"/>
      <c r="SFE378" s="21"/>
      <c r="SFF378" s="15"/>
      <c r="SFG378" s="15"/>
      <c r="SFH378" s="15"/>
      <c r="SFI378" s="15"/>
      <c r="SFJ378" s="15"/>
      <c r="SFK378" s="15"/>
      <c r="SFL378" s="15"/>
      <c r="SFM378" s="15"/>
      <c r="SFN378" s="15"/>
      <c r="SFO378" s="15"/>
      <c r="SFP378" s="10"/>
      <c r="SFQ378" s="10"/>
      <c r="SFR378" s="21"/>
      <c r="SFS378" s="21"/>
      <c r="SFV378" s="21"/>
      <c r="SFW378" s="15"/>
      <c r="SFX378" s="15"/>
      <c r="SFY378" s="15"/>
      <c r="SFZ378" s="15"/>
      <c r="SGA378" s="15"/>
      <c r="SGB378" s="15"/>
      <c r="SGC378" s="15"/>
      <c r="SGD378" s="15"/>
      <c r="SGE378" s="15"/>
      <c r="SGF378" s="15"/>
      <c r="SGG378" s="10"/>
      <c r="SGH378" s="10"/>
      <c r="SGI378" s="21"/>
      <c r="SGJ378" s="21"/>
      <c r="SGM378" s="21"/>
      <c r="SGN378" s="15"/>
      <c r="SGO378" s="15"/>
      <c r="SGP378" s="15"/>
      <c r="SGQ378" s="15"/>
      <c r="SGR378" s="15"/>
      <c r="SGS378" s="15"/>
      <c r="SGT378" s="15"/>
      <c r="SGU378" s="15"/>
      <c r="SGV378" s="15"/>
      <c r="SGW378" s="15"/>
      <c r="SGX378" s="10"/>
      <c r="SGY378" s="10"/>
      <c r="SGZ378" s="21"/>
      <c r="SHA378" s="21"/>
      <c r="SHD378" s="21"/>
      <c r="SHE378" s="15"/>
      <c r="SHF378" s="15"/>
      <c r="SHG378" s="15"/>
      <c r="SHH378" s="15"/>
      <c r="SHI378" s="15"/>
      <c r="SHJ378" s="15"/>
      <c r="SHK378" s="15"/>
      <c r="SHL378" s="15"/>
      <c r="SHM378" s="15"/>
      <c r="SHN378" s="15"/>
      <c r="SHO378" s="10"/>
      <c r="SHP378" s="10"/>
      <c r="SHQ378" s="21"/>
      <c r="SHR378" s="21"/>
      <c r="SHU378" s="21"/>
      <c r="SHV378" s="15"/>
      <c r="SHW378" s="15"/>
      <c r="SHX378" s="15"/>
      <c r="SHY378" s="15"/>
      <c r="SHZ378" s="15"/>
      <c r="SIA378" s="15"/>
      <c r="SIB378" s="15"/>
      <c r="SIC378" s="15"/>
      <c r="SID378" s="15"/>
      <c r="SIE378" s="15"/>
      <c r="SIF378" s="10"/>
      <c r="SIG378" s="10"/>
      <c r="SIH378" s="21"/>
      <c r="SII378" s="21"/>
      <c r="SIL378" s="21"/>
      <c r="SIM378" s="15"/>
      <c r="SIN378" s="15"/>
      <c r="SIO378" s="15"/>
      <c r="SIP378" s="15"/>
      <c r="SIQ378" s="15"/>
      <c r="SIR378" s="15"/>
      <c r="SIS378" s="15"/>
      <c r="SIT378" s="15"/>
      <c r="SIU378" s="15"/>
      <c r="SIV378" s="15"/>
      <c r="SIW378" s="10"/>
      <c r="SIX378" s="10"/>
      <c r="SIY378" s="21"/>
      <c r="SIZ378" s="21"/>
      <c r="SJC378" s="21"/>
      <c r="SJD378" s="15"/>
      <c r="SJE378" s="15"/>
      <c r="SJF378" s="15"/>
      <c r="SJG378" s="15"/>
      <c r="SJH378" s="15"/>
      <c r="SJI378" s="15"/>
      <c r="SJJ378" s="15"/>
      <c r="SJK378" s="15"/>
      <c r="SJL378" s="15"/>
      <c r="SJM378" s="15"/>
      <c r="SJN378" s="10"/>
      <c r="SJO378" s="10"/>
      <c r="SJP378" s="21"/>
      <c r="SJQ378" s="21"/>
      <c r="SJT378" s="21"/>
      <c r="SJU378" s="15"/>
      <c r="SJV378" s="15"/>
      <c r="SJW378" s="15"/>
      <c r="SJX378" s="15"/>
      <c r="SJY378" s="15"/>
      <c r="SJZ378" s="15"/>
      <c r="SKA378" s="15"/>
      <c r="SKB378" s="15"/>
      <c r="SKC378" s="15"/>
      <c r="SKD378" s="15"/>
      <c r="SKE378" s="10"/>
      <c r="SKF378" s="10"/>
      <c r="SKG378" s="21"/>
      <c r="SKH378" s="21"/>
      <c r="SKK378" s="21"/>
      <c r="SKL378" s="15"/>
      <c r="SKM378" s="15"/>
      <c r="SKN378" s="15"/>
      <c r="SKO378" s="15"/>
      <c r="SKP378" s="15"/>
      <c r="SKQ378" s="15"/>
      <c r="SKR378" s="15"/>
      <c r="SKS378" s="15"/>
      <c r="SKT378" s="15"/>
      <c r="SKU378" s="15"/>
      <c r="SKV378" s="10"/>
      <c r="SKW378" s="10"/>
      <c r="SKX378" s="21"/>
      <c r="SKY378" s="21"/>
      <c r="SLB378" s="21"/>
      <c r="SLC378" s="15"/>
      <c r="SLD378" s="15"/>
      <c r="SLE378" s="15"/>
      <c r="SLF378" s="15"/>
      <c r="SLG378" s="15"/>
      <c r="SLH378" s="15"/>
      <c r="SLI378" s="15"/>
      <c r="SLJ378" s="15"/>
      <c r="SLK378" s="15"/>
      <c r="SLL378" s="15"/>
      <c r="SLM378" s="10"/>
      <c r="SLN378" s="10"/>
      <c r="SLO378" s="21"/>
      <c r="SLP378" s="21"/>
      <c r="SLS378" s="21"/>
      <c r="SLT378" s="15"/>
      <c r="SLU378" s="15"/>
      <c r="SLV378" s="15"/>
      <c r="SLW378" s="15"/>
      <c r="SLX378" s="15"/>
      <c r="SLY378" s="15"/>
      <c r="SLZ378" s="15"/>
      <c r="SMA378" s="15"/>
      <c r="SMB378" s="15"/>
      <c r="SMC378" s="15"/>
      <c r="SMD378" s="10"/>
      <c r="SME378" s="10"/>
      <c r="SMF378" s="21"/>
      <c r="SMG378" s="21"/>
      <c r="SMJ378" s="21"/>
      <c r="SMK378" s="15"/>
      <c r="SML378" s="15"/>
      <c r="SMM378" s="15"/>
      <c r="SMN378" s="15"/>
      <c r="SMO378" s="15"/>
      <c r="SMP378" s="15"/>
      <c r="SMQ378" s="15"/>
      <c r="SMR378" s="15"/>
      <c r="SMS378" s="15"/>
      <c r="SMT378" s="15"/>
      <c r="SMU378" s="10"/>
      <c r="SMV378" s="10"/>
      <c r="SMW378" s="21"/>
      <c r="SMX378" s="21"/>
      <c r="SNA378" s="21"/>
      <c r="SNB378" s="15"/>
      <c r="SNC378" s="15"/>
      <c r="SND378" s="15"/>
      <c r="SNE378" s="15"/>
      <c r="SNF378" s="15"/>
      <c r="SNG378" s="15"/>
      <c r="SNH378" s="15"/>
      <c r="SNI378" s="15"/>
      <c r="SNJ378" s="15"/>
      <c r="SNK378" s="15"/>
      <c r="SNL378" s="10"/>
      <c r="SNM378" s="10"/>
      <c r="SNN378" s="21"/>
      <c r="SNO378" s="21"/>
      <c r="SNR378" s="21"/>
      <c r="SNS378" s="15"/>
      <c r="SNT378" s="15"/>
      <c r="SNU378" s="15"/>
      <c r="SNV378" s="15"/>
      <c r="SNW378" s="15"/>
      <c r="SNX378" s="15"/>
      <c r="SNY378" s="15"/>
      <c r="SNZ378" s="15"/>
      <c r="SOA378" s="15"/>
      <c r="SOB378" s="15"/>
      <c r="SOC378" s="10"/>
      <c r="SOD378" s="10"/>
      <c r="SOE378" s="21"/>
      <c r="SOF378" s="21"/>
      <c r="SOI378" s="21"/>
      <c r="SOJ378" s="15"/>
      <c r="SOK378" s="15"/>
      <c r="SOL378" s="15"/>
      <c r="SOM378" s="15"/>
      <c r="SON378" s="15"/>
      <c r="SOO378" s="15"/>
      <c r="SOP378" s="15"/>
      <c r="SOQ378" s="15"/>
      <c r="SOR378" s="15"/>
      <c r="SOS378" s="15"/>
      <c r="SOT378" s="10"/>
      <c r="SOU378" s="10"/>
      <c r="SOV378" s="21"/>
      <c r="SOW378" s="21"/>
      <c r="SOZ378" s="21"/>
      <c r="SPA378" s="15"/>
      <c r="SPB378" s="15"/>
      <c r="SPC378" s="15"/>
      <c r="SPD378" s="15"/>
      <c r="SPE378" s="15"/>
      <c r="SPF378" s="15"/>
      <c r="SPG378" s="15"/>
      <c r="SPH378" s="15"/>
      <c r="SPI378" s="15"/>
      <c r="SPJ378" s="15"/>
      <c r="SPK378" s="10"/>
      <c r="SPL378" s="10"/>
      <c r="SPM378" s="21"/>
      <c r="SPN378" s="21"/>
      <c r="SPQ378" s="21"/>
      <c r="SPR378" s="15"/>
      <c r="SPS378" s="15"/>
      <c r="SPT378" s="15"/>
      <c r="SPU378" s="15"/>
      <c r="SPV378" s="15"/>
      <c r="SPW378" s="15"/>
      <c r="SPX378" s="15"/>
      <c r="SPY378" s="15"/>
      <c r="SPZ378" s="15"/>
      <c r="SQA378" s="15"/>
      <c r="SQB378" s="10"/>
      <c r="SQC378" s="10"/>
      <c r="SQD378" s="21"/>
      <c r="SQE378" s="21"/>
      <c r="SQH378" s="21"/>
      <c r="SQI378" s="15"/>
      <c r="SQJ378" s="15"/>
      <c r="SQK378" s="15"/>
      <c r="SQL378" s="15"/>
      <c r="SQM378" s="15"/>
      <c r="SQN378" s="15"/>
      <c r="SQO378" s="15"/>
      <c r="SQP378" s="15"/>
      <c r="SQQ378" s="15"/>
      <c r="SQR378" s="15"/>
      <c r="SQS378" s="10"/>
      <c r="SQT378" s="10"/>
      <c r="SQU378" s="21"/>
      <c r="SQV378" s="21"/>
      <c r="SQY378" s="21"/>
      <c r="SQZ378" s="15"/>
      <c r="SRA378" s="15"/>
      <c r="SRB378" s="15"/>
      <c r="SRC378" s="15"/>
      <c r="SRD378" s="15"/>
      <c r="SRE378" s="15"/>
      <c r="SRF378" s="15"/>
      <c r="SRG378" s="15"/>
      <c r="SRH378" s="15"/>
      <c r="SRI378" s="15"/>
      <c r="SRJ378" s="10"/>
      <c r="SRK378" s="10"/>
      <c r="SRL378" s="21"/>
      <c r="SRM378" s="21"/>
      <c r="SRP378" s="21"/>
      <c r="SRQ378" s="15"/>
      <c r="SRR378" s="15"/>
      <c r="SRS378" s="15"/>
      <c r="SRT378" s="15"/>
      <c r="SRU378" s="15"/>
      <c r="SRV378" s="15"/>
      <c r="SRW378" s="15"/>
      <c r="SRX378" s="15"/>
      <c r="SRY378" s="15"/>
      <c r="SRZ378" s="15"/>
      <c r="SSA378" s="10"/>
      <c r="SSB378" s="10"/>
      <c r="SSC378" s="21"/>
      <c r="SSD378" s="21"/>
      <c r="SSG378" s="21"/>
      <c r="SSH378" s="15"/>
      <c r="SSI378" s="15"/>
      <c r="SSJ378" s="15"/>
      <c r="SSK378" s="15"/>
      <c r="SSL378" s="15"/>
      <c r="SSM378" s="15"/>
      <c r="SSN378" s="15"/>
      <c r="SSO378" s="15"/>
      <c r="SSP378" s="15"/>
      <c r="SSQ378" s="15"/>
      <c r="SSR378" s="10"/>
      <c r="SSS378" s="10"/>
      <c r="SST378" s="21"/>
      <c r="SSU378" s="21"/>
      <c r="SSX378" s="21"/>
      <c r="SSY378" s="15"/>
      <c r="SSZ378" s="15"/>
      <c r="STA378" s="15"/>
      <c r="STB378" s="15"/>
      <c r="STC378" s="15"/>
      <c r="STD378" s="15"/>
      <c r="STE378" s="15"/>
      <c r="STF378" s="15"/>
      <c r="STG378" s="15"/>
      <c r="STH378" s="15"/>
      <c r="STI378" s="10"/>
      <c r="STJ378" s="10"/>
      <c r="STK378" s="21"/>
      <c r="STL378" s="21"/>
      <c r="STO378" s="21"/>
      <c r="STP378" s="15"/>
      <c r="STQ378" s="15"/>
      <c r="STR378" s="15"/>
      <c r="STS378" s="15"/>
      <c r="STT378" s="15"/>
      <c r="STU378" s="15"/>
      <c r="STV378" s="15"/>
      <c r="STW378" s="15"/>
      <c r="STX378" s="15"/>
      <c r="STY378" s="15"/>
      <c r="STZ378" s="10"/>
      <c r="SUA378" s="10"/>
      <c r="SUB378" s="21"/>
      <c r="SUC378" s="21"/>
      <c r="SUF378" s="21"/>
      <c r="SUG378" s="15"/>
      <c r="SUH378" s="15"/>
      <c r="SUI378" s="15"/>
      <c r="SUJ378" s="15"/>
      <c r="SUK378" s="15"/>
      <c r="SUL378" s="15"/>
      <c r="SUM378" s="15"/>
      <c r="SUN378" s="15"/>
      <c r="SUO378" s="15"/>
      <c r="SUP378" s="15"/>
      <c r="SUQ378" s="10"/>
      <c r="SUR378" s="10"/>
      <c r="SUS378" s="21"/>
      <c r="SUT378" s="21"/>
      <c r="SUW378" s="21"/>
      <c r="SUX378" s="15"/>
      <c r="SUY378" s="15"/>
      <c r="SUZ378" s="15"/>
      <c r="SVA378" s="15"/>
      <c r="SVB378" s="15"/>
      <c r="SVC378" s="15"/>
      <c r="SVD378" s="15"/>
      <c r="SVE378" s="15"/>
      <c r="SVF378" s="15"/>
      <c r="SVG378" s="15"/>
      <c r="SVH378" s="10"/>
      <c r="SVI378" s="10"/>
      <c r="SVJ378" s="21"/>
      <c r="SVK378" s="21"/>
      <c r="SVN378" s="21"/>
      <c r="SVO378" s="15"/>
      <c r="SVP378" s="15"/>
      <c r="SVQ378" s="15"/>
      <c r="SVR378" s="15"/>
      <c r="SVS378" s="15"/>
      <c r="SVT378" s="15"/>
      <c r="SVU378" s="15"/>
      <c r="SVV378" s="15"/>
      <c r="SVW378" s="15"/>
      <c r="SVX378" s="15"/>
      <c r="SVY378" s="10"/>
      <c r="SVZ378" s="10"/>
      <c r="SWA378" s="21"/>
      <c r="SWB378" s="21"/>
      <c r="SWE378" s="21"/>
      <c r="SWF378" s="15"/>
      <c r="SWG378" s="15"/>
      <c r="SWH378" s="15"/>
      <c r="SWI378" s="15"/>
      <c r="SWJ378" s="15"/>
      <c r="SWK378" s="15"/>
      <c r="SWL378" s="15"/>
      <c r="SWM378" s="15"/>
      <c r="SWN378" s="15"/>
      <c r="SWO378" s="15"/>
      <c r="SWP378" s="10"/>
      <c r="SWQ378" s="10"/>
      <c r="SWR378" s="21"/>
      <c r="SWS378" s="21"/>
      <c r="SWV378" s="21"/>
      <c r="SWW378" s="15"/>
      <c r="SWX378" s="15"/>
      <c r="SWY378" s="15"/>
      <c r="SWZ378" s="15"/>
      <c r="SXA378" s="15"/>
      <c r="SXB378" s="15"/>
      <c r="SXC378" s="15"/>
      <c r="SXD378" s="15"/>
      <c r="SXE378" s="15"/>
      <c r="SXF378" s="15"/>
      <c r="SXG378" s="10"/>
      <c r="SXH378" s="10"/>
      <c r="SXI378" s="21"/>
      <c r="SXJ378" s="21"/>
      <c r="SXM378" s="21"/>
      <c r="SXN378" s="15"/>
      <c r="SXO378" s="15"/>
      <c r="SXP378" s="15"/>
      <c r="SXQ378" s="15"/>
      <c r="SXR378" s="15"/>
      <c r="SXS378" s="15"/>
      <c r="SXT378" s="15"/>
      <c r="SXU378" s="15"/>
      <c r="SXV378" s="15"/>
      <c r="SXW378" s="15"/>
      <c r="SXX378" s="10"/>
      <c r="SXY378" s="10"/>
      <c r="SXZ378" s="21"/>
      <c r="SYA378" s="21"/>
      <c r="SYD378" s="21"/>
      <c r="SYE378" s="15"/>
      <c r="SYF378" s="15"/>
      <c r="SYG378" s="15"/>
      <c r="SYH378" s="15"/>
      <c r="SYI378" s="15"/>
      <c r="SYJ378" s="15"/>
      <c r="SYK378" s="15"/>
      <c r="SYL378" s="15"/>
      <c r="SYM378" s="15"/>
      <c r="SYN378" s="15"/>
      <c r="SYO378" s="10"/>
      <c r="SYP378" s="10"/>
      <c r="SYQ378" s="21"/>
      <c r="SYR378" s="21"/>
      <c r="SYU378" s="21"/>
      <c r="SYV378" s="15"/>
      <c r="SYW378" s="15"/>
      <c r="SYX378" s="15"/>
      <c r="SYY378" s="15"/>
      <c r="SYZ378" s="15"/>
      <c r="SZA378" s="15"/>
      <c r="SZB378" s="15"/>
      <c r="SZC378" s="15"/>
      <c r="SZD378" s="15"/>
      <c r="SZE378" s="15"/>
      <c r="SZF378" s="10"/>
      <c r="SZG378" s="10"/>
      <c r="SZH378" s="21"/>
      <c r="SZI378" s="21"/>
      <c r="SZL378" s="21"/>
      <c r="SZM378" s="15"/>
      <c r="SZN378" s="15"/>
      <c r="SZO378" s="15"/>
      <c r="SZP378" s="15"/>
      <c r="SZQ378" s="15"/>
      <c r="SZR378" s="15"/>
      <c r="SZS378" s="15"/>
      <c r="SZT378" s="15"/>
      <c r="SZU378" s="15"/>
      <c r="SZV378" s="15"/>
      <c r="SZW378" s="10"/>
      <c r="SZX378" s="10"/>
      <c r="SZY378" s="21"/>
      <c r="SZZ378" s="21"/>
      <c r="TAC378" s="21"/>
      <c r="TAD378" s="15"/>
      <c r="TAE378" s="15"/>
      <c r="TAF378" s="15"/>
      <c r="TAG378" s="15"/>
      <c r="TAH378" s="15"/>
      <c r="TAI378" s="15"/>
      <c r="TAJ378" s="15"/>
      <c r="TAK378" s="15"/>
      <c r="TAL378" s="15"/>
      <c r="TAM378" s="15"/>
      <c r="TAN378" s="10"/>
      <c r="TAO378" s="10"/>
      <c r="TAP378" s="21"/>
      <c r="TAQ378" s="21"/>
      <c r="TAT378" s="21"/>
      <c r="TAU378" s="15"/>
      <c r="TAV378" s="15"/>
      <c r="TAW378" s="15"/>
      <c r="TAX378" s="15"/>
      <c r="TAY378" s="15"/>
      <c r="TAZ378" s="15"/>
      <c r="TBA378" s="15"/>
      <c r="TBB378" s="15"/>
      <c r="TBC378" s="15"/>
      <c r="TBD378" s="15"/>
      <c r="TBE378" s="10"/>
      <c r="TBF378" s="10"/>
      <c r="TBG378" s="21"/>
      <c r="TBH378" s="21"/>
      <c r="TBK378" s="21"/>
      <c r="TBL378" s="15"/>
      <c r="TBM378" s="15"/>
      <c r="TBN378" s="15"/>
      <c r="TBO378" s="15"/>
      <c r="TBP378" s="15"/>
      <c r="TBQ378" s="15"/>
      <c r="TBR378" s="15"/>
      <c r="TBS378" s="15"/>
      <c r="TBT378" s="15"/>
      <c r="TBU378" s="15"/>
      <c r="TBV378" s="10"/>
      <c r="TBW378" s="10"/>
      <c r="TBX378" s="21"/>
      <c r="TBY378" s="21"/>
      <c r="TCB378" s="21"/>
      <c r="TCC378" s="15"/>
      <c r="TCD378" s="15"/>
      <c r="TCE378" s="15"/>
      <c r="TCF378" s="15"/>
      <c r="TCG378" s="15"/>
      <c r="TCH378" s="15"/>
      <c r="TCI378" s="15"/>
      <c r="TCJ378" s="15"/>
      <c r="TCK378" s="15"/>
      <c r="TCL378" s="15"/>
      <c r="TCM378" s="10"/>
      <c r="TCN378" s="10"/>
      <c r="TCO378" s="21"/>
      <c r="TCP378" s="21"/>
      <c r="TCS378" s="21"/>
      <c r="TCT378" s="15"/>
      <c r="TCU378" s="15"/>
      <c r="TCV378" s="15"/>
      <c r="TCW378" s="15"/>
      <c r="TCX378" s="15"/>
      <c r="TCY378" s="15"/>
      <c r="TCZ378" s="15"/>
      <c r="TDA378" s="15"/>
      <c r="TDB378" s="15"/>
      <c r="TDC378" s="15"/>
      <c r="TDD378" s="10"/>
      <c r="TDE378" s="10"/>
      <c r="TDF378" s="21"/>
      <c r="TDG378" s="21"/>
      <c r="TDJ378" s="21"/>
      <c r="TDK378" s="15"/>
      <c r="TDL378" s="15"/>
      <c r="TDM378" s="15"/>
      <c r="TDN378" s="15"/>
      <c r="TDO378" s="15"/>
      <c r="TDP378" s="15"/>
      <c r="TDQ378" s="15"/>
      <c r="TDR378" s="15"/>
      <c r="TDS378" s="15"/>
      <c r="TDT378" s="15"/>
      <c r="TDU378" s="10"/>
      <c r="TDV378" s="10"/>
      <c r="TDW378" s="21"/>
      <c r="TDX378" s="21"/>
      <c r="TEA378" s="21"/>
      <c r="TEB378" s="15"/>
      <c r="TEC378" s="15"/>
      <c r="TED378" s="15"/>
      <c r="TEE378" s="15"/>
      <c r="TEF378" s="15"/>
      <c r="TEG378" s="15"/>
      <c r="TEH378" s="15"/>
      <c r="TEI378" s="15"/>
      <c r="TEJ378" s="15"/>
      <c r="TEK378" s="15"/>
      <c r="TEL378" s="10"/>
      <c r="TEM378" s="10"/>
      <c r="TEN378" s="21"/>
      <c r="TEO378" s="21"/>
      <c r="TER378" s="21"/>
      <c r="TES378" s="15"/>
      <c r="TET378" s="15"/>
      <c r="TEU378" s="15"/>
      <c r="TEV378" s="15"/>
      <c r="TEW378" s="15"/>
      <c r="TEX378" s="15"/>
      <c r="TEY378" s="15"/>
      <c r="TEZ378" s="15"/>
      <c r="TFA378" s="15"/>
      <c r="TFB378" s="15"/>
      <c r="TFC378" s="10"/>
      <c r="TFD378" s="10"/>
      <c r="TFE378" s="21"/>
      <c r="TFF378" s="21"/>
      <c r="TFI378" s="21"/>
      <c r="TFJ378" s="15"/>
      <c r="TFK378" s="15"/>
      <c r="TFL378" s="15"/>
      <c r="TFM378" s="15"/>
      <c r="TFN378" s="15"/>
      <c r="TFO378" s="15"/>
      <c r="TFP378" s="15"/>
      <c r="TFQ378" s="15"/>
      <c r="TFR378" s="15"/>
      <c r="TFS378" s="15"/>
      <c r="TFT378" s="10"/>
      <c r="TFU378" s="10"/>
      <c r="TFV378" s="21"/>
      <c r="TFW378" s="21"/>
      <c r="TFZ378" s="21"/>
      <c r="TGA378" s="15"/>
      <c r="TGB378" s="15"/>
      <c r="TGC378" s="15"/>
      <c r="TGD378" s="15"/>
      <c r="TGE378" s="15"/>
      <c r="TGF378" s="15"/>
      <c r="TGG378" s="15"/>
      <c r="TGH378" s="15"/>
      <c r="TGI378" s="15"/>
      <c r="TGJ378" s="15"/>
      <c r="TGK378" s="10"/>
      <c r="TGL378" s="10"/>
      <c r="TGM378" s="21"/>
      <c r="TGN378" s="21"/>
      <c r="TGQ378" s="21"/>
      <c r="TGR378" s="15"/>
      <c r="TGS378" s="15"/>
      <c r="TGT378" s="15"/>
      <c r="TGU378" s="15"/>
      <c r="TGV378" s="15"/>
      <c r="TGW378" s="15"/>
      <c r="TGX378" s="15"/>
      <c r="TGY378" s="15"/>
      <c r="TGZ378" s="15"/>
      <c r="THA378" s="15"/>
      <c r="THB378" s="10"/>
      <c r="THC378" s="10"/>
      <c r="THD378" s="21"/>
      <c r="THE378" s="21"/>
      <c r="THH378" s="21"/>
      <c r="THI378" s="15"/>
      <c r="THJ378" s="15"/>
      <c r="THK378" s="15"/>
      <c r="THL378" s="15"/>
      <c r="THM378" s="15"/>
      <c r="THN378" s="15"/>
      <c r="THO378" s="15"/>
      <c r="THP378" s="15"/>
      <c r="THQ378" s="15"/>
      <c r="THR378" s="15"/>
      <c r="THS378" s="10"/>
      <c r="THT378" s="10"/>
      <c r="THU378" s="21"/>
      <c r="THV378" s="21"/>
      <c r="THY378" s="21"/>
      <c r="THZ378" s="15"/>
      <c r="TIA378" s="15"/>
      <c r="TIB378" s="15"/>
      <c r="TIC378" s="15"/>
      <c r="TID378" s="15"/>
      <c r="TIE378" s="15"/>
      <c r="TIF378" s="15"/>
      <c r="TIG378" s="15"/>
      <c r="TIH378" s="15"/>
      <c r="TII378" s="15"/>
      <c r="TIJ378" s="10"/>
      <c r="TIK378" s="10"/>
      <c r="TIL378" s="21"/>
      <c r="TIM378" s="21"/>
      <c r="TIP378" s="21"/>
      <c r="TIQ378" s="15"/>
      <c r="TIR378" s="15"/>
      <c r="TIS378" s="15"/>
      <c r="TIT378" s="15"/>
      <c r="TIU378" s="15"/>
      <c r="TIV378" s="15"/>
      <c r="TIW378" s="15"/>
      <c r="TIX378" s="15"/>
      <c r="TIY378" s="15"/>
      <c r="TIZ378" s="15"/>
      <c r="TJA378" s="10"/>
      <c r="TJB378" s="10"/>
      <c r="TJC378" s="21"/>
      <c r="TJD378" s="21"/>
      <c r="TJG378" s="21"/>
      <c r="TJH378" s="15"/>
      <c r="TJI378" s="15"/>
      <c r="TJJ378" s="15"/>
      <c r="TJK378" s="15"/>
      <c r="TJL378" s="15"/>
      <c r="TJM378" s="15"/>
      <c r="TJN378" s="15"/>
      <c r="TJO378" s="15"/>
      <c r="TJP378" s="15"/>
      <c r="TJQ378" s="15"/>
      <c r="TJR378" s="10"/>
      <c r="TJS378" s="10"/>
      <c r="TJT378" s="21"/>
      <c r="TJU378" s="21"/>
      <c r="TJX378" s="21"/>
      <c r="TJY378" s="15"/>
      <c r="TJZ378" s="15"/>
      <c r="TKA378" s="15"/>
      <c r="TKB378" s="15"/>
      <c r="TKC378" s="15"/>
      <c r="TKD378" s="15"/>
      <c r="TKE378" s="15"/>
      <c r="TKF378" s="15"/>
      <c r="TKG378" s="15"/>
      <c r="TKH378" s="15"/>
      <c r="TKI378" s="10"/>
      <c r="TKJ378" s="10"/>
      <c r="TKK378" s="21"/>
      <c r="TKL378" s="21"/>
      <c r="TKO378" s="21"/>
      <c r="TKP378" s="15"/>
      <c r="TKQ378" s="15"/>
      <c r="TKR378" s="15"/>
      <c r="TKS378" s="15"/>
      <c r="TKT378" s="15"/>
      <c r="TKU378" s="15"/>
      <c r="TKV378" s="15"/>
      <c r="TKW378" s="15"/>
      <c r="TKX378" s="15"/>
      <c r="TKY378" s="15"/>
      <c r="TKZ378" s="10"/>
      <c r="TLA378" s="10"/>
      <c r="TLB378" s="21"/>
      <c r="TLC378" s="21"/>
      <c r="TLF378" s="21"/>
      <c r="TLG378" s="15"/>
      <c r="TLH378" s="15"/>
      <c r="TLI378" s="15"/>
      <c r="TLJ378" s="15"/>
      <c r="TLK378" s="15"/>
      <c r="TLL378" s="15"/>
      <c r="TLM378" s="15"/>
      <c r="TLN378" s="15"/>
      <c r="TLO378" s="15"/>
      <c r="TLP378" s="15"/>
      <c r="TLQ378" s="10"/>
      <c r="TLR378" s="10"/>
      <c r="TLS378" s="21"/>
      <c r="TLT378" s="21"/>
      <c r="TLW378" s="21"/>
      <c r="TLX378" s="15"/>
      <c r="TLY378" s="15"/>
      <c r="TLZ378" s="15"/>
      <c r="TMA378" s="15"/>
      <c r="TMB378" s="15"/>
      <c r="TMC378" s="15"/>
      <c r="TMD378" s="15"/>
      <c r="TME378" s="15"/>
      <c r="TMF378" s="15"/>
      <c r="TMG378" s="15"/>
      <c r="TMH378" s="10"/>
      <c r="TMI378" s="10"/>
      <c r="TMJ378" s="21"/>
      <c r="TMK378" s="21"/>
      <c r="TMN378" s="21"/>
      <c r="TMO378" s="15"/>
      <c r="TMP378" s="15"/>
      <c r="TMQ378" s="15"/>
      <c r="TMR378" s="15"/>
      <c r="TMS378" s="15"/>
      <c r="TMT378" s="15"/>
      <c r="TMU378" s="15"/>
      <c r="TMV378" s="15"/>
      <c r="TMW378" s="15"/>
      <c r="TMX378" s="15"/>
      <c r="TMY378" s="10"/>
      <c r="TMZ378" s="10"/>
      <c r="TNA378" s="21"/>
      <c r="TNB378" s="21"/>
      <c r="TNE378" s="21"/>
      <c r="TNF378" s="15"/>
      <c r="TNG378" s="15"/>
      <c r="TNH378" s="15"/>
      <c r="TNI378" s="15"/>
      <c r="TNJ378" s="15"/>
      <c r="TNK378" s="15"/>
      <c r="TNL378" s="15"/>
      <c r="TNM378" s="15"/>
      <c r="TNN378" s="15"/>
      <c r="TNO378" s="15"/>
      <c r="TNP378" s="10"/>
      <c r="TNQ378" s="10"/>
      <c r="TNR378" s="21"/>
      <c r="TNS378" s="21"/>
      <c r="TNV378" s="21"/>
      <c r="TNW378" s="15"/>
      <c r="TNX378" s="15"/>
      <c r="TNY378" s="15"/>
      <c r="TNZ378" s="15"/>
      <c r="TOA378" s="15"/>
      <c r="TOB378" s="15"/>
      <c r="TOC378" s="15"/>
      <c r="TOD378" s="15"/>
      <c r="TOE378" s="15"/>
      <c r="TOF378" s="15"/>
      <c r="TOG378" s="10"/>
      <c r="TOH378" s="10"/>
      <c r="TOI378" s="21"/>
      <c r="TOJ378" s="21"/>
      <c r="TOM378" s="21"/>
      <c r="TON378" s="15"/>
      <c r="TOO378" s="15"/>
      <c r="TOP378" s="15"/>
      <c r="TOQ378" s="15"/>
      <c r="TOR378" s="15"/>
      <c r="TOS378" s="15"/>
      <c r="TOT378" s="15"/>
      <c r="TOU378" s="15"/>
      <c r="TOV378" s="15"/>
      <c r="TOW378" s="15"/>
      <c r="TOX378" s="10"/>
      <c r="TOY378" s="10"/>
      <c r="TOZ378" s="21"/>
      <c r="TPA378" s="21"/>
      <c r="TPD378" s="21"/>
      <c r="TPE378" s="15"/>
      <c r="TPF378" s="15"/>
      <c r="TPG378" s="15"/>
      <c r="TPH378" s="15"/>
      <c r="TPI378" s="15"/>
      <c r="TPJ378" s="15"/>
      <c r="TPK378" s="15"/>
      <c r="TPL378" s="15"/>
      <c r="TPM378" s="15"/>
      <c r="TPN378" s="15"/>
      <c r="TPO378" s="10"/>
      <c r="TPP378" s="10"/>
      <c r="TPQ378" s="21"/>
      <c r="TPR378" s="21"/>
      <c r="TPU378" s="21"/>
      <c r="TPV378" s="15"/>
      <c r="TPW378" s="15"/>
      <c r="TPX378" s="15"/>
      <c r="TPY378" s="15"/>
      <c r="TPZ378" s="15"/>
      <c r="TQA378" s="15"/>
      <c r="TQB378" s="15"/>
      <c r="TQC378" s="15"/>
      <c r="TQD378" s="15"/>
      <c r="TQE378" s="15"/>
      <c r="TQF378" s="10"/>
      <c r="TQG378" s="10"/>
      <c r="TQH378" s="21"/>
      <c r="TQI378" s="21"/>
      <c r="TQL378" s="21"/>
      <c r="TQM378" s="15"/>
      <c r="TQN378" s="15"/>
      <c r="TQO378" s="15"/>
      <c r="TQP378" s="15"/>
      <c r="TQQ378" s="15"/>
      <c r="TQR378" s="15"/>
      <c r="TQS378" s="15"/>
      <c r="TQT378" s="15"/>
      <c r="TQU378" s="15"/>
      <c r="TQV378" s="15"/>
      <c r="TQW378" s="10"/>
      <c r="TQX378" s="10"/>
      <c r="TQY378" s="21"/>
      <c r="TQZ378" s="21"/>
      <c r="TRC378" s="21"/>
      <c r="TRD378" s="15"/>
      <c r="TRE378" s="15"/>
      <c r="TRF378" s="15"/>
      <c r="TRG378" s="15"/>
      <c r="TRH378" s="15"/>
      <c r="TRI378" s="15"/>
      <c r="TRJ378" s="15"/>
      <c r="TRK378" s="15"/>
      <c r="TRL378" s="15"/>
      <c r="TRM378" s="15"/>
      <c r="TRN378" s="10"/>
      <c r="TRO378" s="10"/>
      <c r="TRP378" s="21"/>
      <c r="TRQ378" s="21"/>
      <c r="TRT378" s="21"/>
      <c r="TRU378" s="15"/>
      <c r="TRV378" s="15"/>
      <c r="TRW378" s="15"/>
      <c r="TRX378" s="15"/>
      <c r="TRY378" s="15"/>
      <c r="TRZ378" s="15"/>
      <c r="TSA378" s="15"/>
      <c r="TSB378" s="15"/>
      <c r="TSC378" s="15"/>
      <c r="TSD378" s="15"/>
      <c r="TSE378" s="10"/>
      <c r="TSF378" s="10"/>
      <c r="TSG378" s="21"/>
      <c r="TSH378" s="21"/>
      <c r="TSK378" s="21"/>
      <c r="TSL378" s="15"/>
      <c r="TSM378" s="15"/>
      <c r="TSN378" s="15"/>
      <c r="TSO378" s="15"/>
      <c r="TSP378" s="15"/>
      <c r="TSQ378" s="15"/>
      <c r="TSR378" s="15"/>
      <c r="TSS378" s="15"/>
      <c r="TST378" s="15"/>
      <c r="TSU378" s="15"/>
      <c r="TSV378" s="10"/>
      <c r="TSW378" s="10"/>
      <c r="TSX378" s="21"/>
      <c r="TSY378" s="21"/>
      <c r="TTB378" s="21"/>
      <c r="TTC378" s="15"/>
      <c r="TTD378" s="15"/>
      <c r="TTE378" s="15"/>
      <c r="TTF378" s="15"/>
      <c r="TTG378" s="15"/>
      <c r="TTH378" s="15"/>
      <c r="TTI378" s="15"/>
      <c r="TTJ378" s="15"/>
      <c r="TTK378" s="15"/>
      <c r="TTL378" s="15"/>
      <c r="TTM378" s="10"/>
      <c r="TTN378" s="10"/>
      <c r="TTO378" s="21"/>
      <c r="TTP378" s="21"/>
      <c r="TTS378" s="21"/>
      <c r="TTT378" s="15"/>
      <c r="TTU378" s="15"/>
      <c r="TTV378" s="15"/>
      <c r="TTW378" s="15"/>
      <c r="TTX378" s="15"/>
      <c r="TTY378" s="15"/>
      <c r="TTZ378" s="15"/>
      <c r="TUA378" s="15"/>
      <c r="TUB378" s="15"/>
      <c r="TUC378" s="15"/>
      <c r="TUD378" s="10"/>
      <c r="TUE378" s="10"/>
      <c r="TUF378" s="21"/>
      <c r="TUG378" s="21"/>
      <c r="TUJ378" s="21"/>
      <c r="TUK378" s="15"/>
      <c r="TUL378" s="15"/>
      <c r="TUM378" s="15"/>
      <c r="TUN378" s="15"/>
      <c r="TUO378" s="15"/>
      <c r="TUP378" s="15"/>
      <c r="TUQ378" s="15"/>
      <c r="TUR378" s="15"/>
      <c r="TUS378" s="15"/>
      <c r="TUT378" s="15"/>
      <c r="TUU378" s="10"/>
      <c r="TUV378" s="10"/>
      <c r="TUW378" s="21"/>
      <c r="TUX378" s="21"/>
      <c r="TVA378" s="21"/>
      <c r="TVB378" s="15"/>
      <c r="TVC378" s="15"/>
      <c r="TVD378" s="15"/>
      <c r="TVE378" s="15"/>
      <c r="TVF378" s="15"/>
      <c r="TVG378" s="15"/>
      <c r="TVH378" s="15"/>
      <c r="TVI378" s="15"/>
      <c r="TVJ378" s="15"/>
      <c r="TVK378" s="15"/>
      <c r="TVL378" s="10"/>
      <c r="TVM378" s="10"/>
      <c r="TVN378" s="21"/>
      <c r="TVO378" s="21"/>
      <c r="TVR378" s="21"/>
      <c r="TVS378" s="15"/>
      <c r="TVT378" s="15"/>
      <c r="TVU378" s="15"/>
      <c r="TVV378" s="15"/>
      <c r="TVW378" s="15"/>
      <c r="TVX378" s="15"/>
      <c r="TVY378" s="15"/>
      <c r="TVZ378" s="15"/>
      <c r="TWA378" s="15"/>
      <c r="TWB378" s="15"/>
      <c r="TWC378" s="10"/>
      <c r="TWD378" s="10"/>
      <c r="TWE378" s="21"/>
      <c r="TWF378" s="21"/>
      <c r="TWI378" s="21"/>
      <c r="TWJ378" s="15"/>
      <c r="TWK378" s="15"/>
      <c r="TWL378" s="15"/>
      <c r="TWM378" s="15"/>
      <c r="TWN378" s="15"/>
      <c r="TWO378" s="15"/>
      <c r="TWP378" s="15"/>
      <c r="TWQ378" s="15"/>
      <c r="TWR378" s="15"/>
      <c r="TWS378" s="15"/>
      <c r="TWT378" s="10"/>
      <c r="TWU378" s="10"/>
      <c r="TWV378" s="21"/>
      <c r="TWW378" s="21"/>
      <c r="TWZ378" s="21"/>
      <c r="TXA378" s="15"/>
      <c r="TXB378" s="15"/>
      <c r="TXC378" s="15"/>
      <c r="TXD378" s="15"/>
      <c r="TXE378" s="15"/>
      <c r="TXF378" s="15"/>
      <c r="TXG378" s="15"/>
      <c r="TXH378" s="15"/>
      <c r="TXI378" s="15"/>
      <c r="TXJ378" s="15"/>
      <c r="TXK378" s="10"/>
      <c r="TXL378" s="10"/>
      <c r="TXM378" s="21"/>
      <c r="TXN378" s="21"/>
      <c r="TXQ378" s="21"/>
      <c r="TXR378" s="15"/>
      <c r="TXS378" s="15"/>
      <c r="TXT378" s="15"/>
      <c r="TXU378" s="15"/>
      <c r="TXV378" s="15"/>
      <c r="TXW378" s="15"/>
      <c r="TXX378" s="15"/>
      <c r="TXY378" s="15"/>
      <c r="TXZ378" s="15"/>
      <c r="TYA378" s="15"/>
      <c r="TYB378" s="10"/>
      <c r="TYC378" s="10"/>
      <c r="TYD378" s="21"/>
      <c r="TYE378" s="21"/>
      <c r="TYH378" s="21"/>
      <c r="TYI378" s="15"/>
      <c r="TYJ378" s="15"/>
      <c r="TYK378" s="15"/>
      <c r="TYL378" s="15"/>
      <c r="TYM378" s="15"/>
      <c r="TYN378" s="15"/>
      <c r="TYO378" s="15"/>
      <c r="TYP378" s="15"/>
      <c r="TYQ378" s="15"/>
      <c r="TYR378" s="15"/>
      <c r="TYS378" s="10"/>
      <c r="TYT378" s="10"/>
      <c r="TYU378" s="21"/>
      <c r="TYV378" s="21"/>
      <c r="TYY378" s="21"/>
      <c r="TYZ378" s="15"/>
      <c r="TZA378" s="15"/>
      <c r="TZB378" s="15"/>
      <c r="TZC378" s="15"/>
      <c r="TZD378" s="15"/>
      <c r="TZE378" s="15"/>
      <c r="TZF378" s="15"/>
      <c r="TZG378" s="15"/>
      <c r="TZH378" s="15"/>
      <c r="TZI378" s="15"/>
      <c r="TZJ378" s="10"/>
      <c r="TZK378" s="10"/>
      <c r="TZL378" s="21"/>
      <c r="TZM378" s="21"/>
      <c r="TZP378" s="21"/>
      <c r="TZQ378" s="15"/>
      <c r="TZR378" s="15"/>
      <c r="TZS378" s="15"/>
      <c r="TZT378" s="15"/>
      <c r="TZU378" s="15"/>
      <c r="TZV378" s="15"/>
      <c r="TZW378" s="15"/>
      <c r="TZX378" s="15"/>
      <c r="TZY378" s="15"/>
      <c r="TZZ378" s="15"/>
      <c r="UAA378" s="10"/>
      <c r="UAB378" s="10"/>
      <c r="UAC378" s="21"/>
      <c r="UAD378" s="21"/>
      <c r="UAG378" s="21"/>
      <c r="UAH378" s="15"/>
      <c r="UAI378" s="15"/>
      <c r="UAJ378" s="15"/>
      <c r="UAK378" s="15"/>
      <c r="UAL378" s="15"/>
      <c r="UAM378" s="15"/>
      <c r="UAN378" s="15"/>
      <c r="UAO378" s="15"/>
      <c r="UAP378" s="15"/>
      <c r="UAQ378" s="15"/>
      <c r="UAR378" s="10"/>
      <c r="UAS378" s="10"/>
      <c r="UAT378" s="21"/>
      <c r="UAU378" s="21"/>
      <c r="UAX378" s="21"/>
      <c r="UAY378" s="15"/>
      <c r="UAZ378" s="15"/>
      <c r="UBA378" s="15"/>
      <c r="UBB378" s="15"/>
      <c r="UBC378" s="15"/>
      <c r="UBD378" s="15"/>
      <c r="UBE378" s="15"/>
      <c r="UBF378" s="15"/>
      <c r="UBG378" s="15"/>
      <c r="UBH378" s="15"/>
      <c r="UBI378" s="10"/>
      <c r="UBJ378" s="10"/>
      <c r="UBK378" s="21"/>
      <c r="UBL378" s="21"/>
      <c r="UBO378" s="21"/>
      <c r="UBP378" s="15"/>
      <c r="UBQ378" s="15"/>
      <c r="UBR378" s="15"/>
      <c r="UBS378" s="15"/>
      <c r="UBT378" s="15"/>
      <c r="UBU378" s="15"/>
      <c r="UBV378" s="15"/>
      <c r="UBW378" s="15"/>
      <c r="UBX378" s="15"/>
      <c r="UBY378" s="15"/>
      <c r="UBZ378" s="10"/>
      <c r="UCA378" s="10"/>
      <c r="UCB378" s="21"/>
      <c r="UCC378" s="21"/>
      <c r="UCF378" s="21"/>
      <c r="UCG378" s="15"/>
      <c r="UCH378" s="15"/>
      <c r="UCI378" s="15"/>
      <c r="UCJ378" s="15"/>
      <c r="UCK378" s="15"/>
      <c r="UCL378" s="15"/>
      <c r="UCM378" s="15"/>
      <c r="UCN378" s="15"/>
      <c r="UCO378" s="15"/>
      <c r="UCP378" s="15"/>
      <c r="UCQ378" s="10"/>
      <c r="UCR378" s="10"/>
      <c r="UCS378" s="21"/>
      <c r="UCT378" s="21"/>
      <c r="UCW378" s="21"/>
      <c r="UCX378" s="15"/>
      <c r="UCY378" s="15"/>
      <c r="UCZ378" s="15"/>
      <c r="UDA378" s="15"/>
      <c r="UDB378" s="15"/>
      <c r="UDC378" s="15"/>
      <c r="UDD378" s="15"/>
      <c r="UDE378" s="15"/>
      <c r="UDF378" s="15"/>
      <c r="UDG378" s="15"/>
      <c r="UDH378" s="10"/>
      <c r="UDI378" s="10"/>
      <c r="UDJ378" s="21"/>
      <c r="UDK378" s="21"/>
      <c r="UDN378" s="21"/>
      <c r="UDO378" s="15"/>
      <c r="UDP378" s="15"/>
      <c r="UDQ378" s="15"/>
      <c r="UDR378" s="15"/>
      <c r="UDS378" s="15"/>
      <c r="UDT378" s="15"/>
      <c r="UDU378" s="15"/>
      <c r="UDV378" s="15"/>
      <c r="UDW378" s="15"/>
      <c r="UDX378" s="15"/>
      <c r="UDY378" s="10"/>
      <c r="UDZ378" s="10"/>
      <c r="UEA378" s="21"/>
      <c r="UEB378" s="21"/>
      <c r="UEE378" s="21"/>
      <c r="UEF378" s="15"/>
      <c r="UEG378" s="15"/>
      <c r="UEH378" s="15"/>
      <c r="UEI378" s="15"/>
      <c r="UEJ378" s="15"/>
      <c r="UEK378" s="15"/>
      <c r="UEL378" s="15"/>
      <c r="UEM378" s="15"/>
      <c r="UEN378" s="15"/>
      <c r="UEO378" s="15"/>
      <c r="UEP378" s="10"/>
      <c r="UEQ378" s="10"/>
      <c r="UER378" s="21"/>
      <c r="UES378" s="21"/>
      <c r="UEV378" s="21"/>
      <c r="UEW378" s="15"/>
      <c r="UEX378" s="15"/>
      <c r="UEY378" s="15"/>
      <c r="UEZ378" s="15"/>
      <c r="UFA378" s="15"/>
      <c r="UFB378" s="15"/>
      <c r="UFC378" s="15"/>
      <c r="UFD378" s="15"/>
      <c r="UFE378" s="15"/>
      <c r="UFF378" s="15"/>
      <c r="UFG378" s="10"/>
      <c r="UFH378" s="10"/>
      <c r="UFI378" s="21"/>
      <c r="UFJ378" s="21"/>
      <c r="UFM378" s="21"/>
      <c r="UFN378" s="15"/>
      <c r="UFO378" s="15"/>
      <c r="UFP378" s="15"/>
      <c r="UFQ378" s="15"/>
      <c r="UFR378" s="15"/>
      <c r="UFS378" s="15"/>
      <c r="UFT378" s="15"/>
      <c r="UFU378" s="15"/>
      <c r="UFV378" s="15"/>
      <c r="UFW378" s="15"/>
      <c r="UFX378" s="10"/>
      <c r="UFY378" s="10"/>
      <c r="UFZ378" s="21"/>
      <c r="UGA378" s="21"/>
      <c r="UGD378" s="21"/>
      <c r="UGE378" s="15"/>
      <c r="UGF378" s="15"/>
      <c r="UGG378" s="15"/>
      <c r="UGH378" s="15"/>
      <c r="UGI378" s="15"/>
      <c r="UGJ378" s="15"/>
      <c r="UGK378" s="15"/>
      <c r="UGL378" s="15"/>
      <c r="UGM378" s="15"/>
      <c r="UGN378" s="15"/>
      <c r="UGO378" s="10"/>
      <c r="UGP378" s="10"/>
      <c r="UGQ378" s="21"/>
      <c r="UGR378" s="21"/>
      <c r="UGU378" s="21"/>
      <c r="UGV378" s="15"/>
      <c r="UGW378" s="15"/>
      <c r="UGX378" s="15"/>
      <c r="UGY378" s="15"/>
      <c r="UGZ378" s="15"/>
      <c r="UHA378" s="15"/>
      <c r="UHB378" s="15"/>
      <c r="UHC378" s="15"/>
      <c r="UHD378" s="15"/>
      <c r="UHE378" s="15"/>
      <c r="UHF378" s="10"/>
      <c r="UHG378" s="10"/>
      <c r="UHH378" s="21"/>
      <c r="UHI378" s="21"/>
      <c r="UHL378" s="21"/>
      <c r="UHM378" s="15"/>
      <c r="UHN378" s="15"/>
      <c r="UHO378" s="15"/>
      <c r="UHP378" s="15"/>
      <c r="UHQ378" s="15"/>
      <c r="UHR378" s="15"/>
      <c r="UHS378" s="15"/>
      <c r="UHT378" s="15"/>
      <c r="UHU378" s="15"/>
      <c r="UHV378" s="15"/>
      <c r="UHW378" s="10"/>
      <c r="UHX378" s="10"/>
      <c r="UHY378" s="21"/>
      <c r="UHZ378" s="21"/>
      <c r="UIC378" s="21"/>
      <c r="UID378" s="15"/>
      <c r="UIE378" s="15"/>
      <c r="UIF378" s="15"/>
      <c r="UIG378" s="15"/>
      <c r="UIH378" s="15"/>
      <c r="UII378" s="15"/>
      <c r="UIJ378" s="15"/>
      <c r="UIK378" s="15"/>
      <c r="UIL378" s="15"/>
      <c r="UIM378" s="15"/>
      <c r="UIN378" s="10"/>
      <c r="UIO378" s="10"/>
      <c r="UIP378" s="21"/>
      <c r="UIQ378" s="21"/>
      <c r="UIT378" s="21"/>
      <c r="UIU378" s="15"/>
      <c r="UIV378" s="15"/>
      <c r="UIW378" s="15"/>
      <c r="UIX378" s="15"/>
      <c r="UIY378" s="15"/>
      <c r="UIZ378" s="15"/>
      <c r="UJA378" s="15"/>
      <c r="UJB378" s="15"/>
      <c r="UJC378" s="15"/>
      <c r="UJD378" s="15"/>
      <c r="UJE378" s="10"/>
      <c r="UJF378" s="10"/>
      <c r="UJG378" s="21"/>
      <c r="UJH378" s="21"/>
      <c r="UJK378" s="21"/>
      <c r="UJL378" s="15"/>
      <c r="UJM378" s="15"/>
      <c r="UJN378" s="15"/>
      <c r="UJO378" s="15"/>
      <c r="UJP378" s="15"/>
      <c r="UJQ378" s="15"/>
      <c r="UJR378" s="15"/>
      <c r="UJS378" s="15"/>
      <c r="UJT378" s="15"/>
      <c r="UJU378" s="15"/>
      <c r="UJV378" s="10"/>
      <c r="UJW378" s="10"/>
      <c r="UJX378" s="21"/>
      <c r="UJY378" s="21"/>
      <c r="UKB378" s="21"/>
      <c r="UKC378" s="15"/>
      <c r="UKD378" s="15"/>
      <c r="UKE378" s="15"/>
      <c r="UKF378" s="15"/>
      <c r="UKG378" s="15"/>
      <c r="UKH378" s="15"/>
      <c r="UKI378" s="15"/>
      <c r="UKJ378" s="15"/>
      <c r="UKK378" s="15"/>
      <c r="UKL378" s="15"/>
      <c r="UKM378" s="10"/>
      <c r="UKN378" s="10"/>
      <c r="UKO378" s="21"/>
      <c r="UKP378" s="21"/>
      <c r="UKS378" s="21"/>
      <c r="UKT378" s="15"/>
      <c r="UKU378" s="15"/>
      <c r="UKV378" s="15"/>
      <c r="UKW378" s="15"/>
      <c r="UKX378" s="15"/>
      <c r="UKY378" s="15"/>
      <c r="UKZ378" s="15"/>
      <c r="ULA378" s="15"/>
      <c r="ULB378" s="15"/>
      <c r="ULC378" s="15"/>
      <c r="ULD378" s="10"/>
      <c r="ULE378" s="10"/>
      <c r="ULF378" s="21"/>
      <c r="ULG378" s="21"/>
      <c r="ULJ378" s="21"/>
      <c r="ULK378" s="15"/>
      <c r="ULL378" s="15"/>
      <c r="ULM378" s="15"/>
      <c r="ULN378" s="15"/>
      <c r="ULO378" s="15"/>
      <c r="ULP378" s="15"/>
      <c r="ULQ378" s="15"/>
      <c r="ULR378" s="15"/>
      <c r="ULS378" s="15"/>
      <c r="ULT378" s="15"/>
      <c r="ULU378" s="10"/>
      <c r="ULV378" s="10"/>
      <c r="ULW378" s="21"/>
      <c r="ULX378" s="21"/>
      <c r="UMA378" s="21"/>
      <c r="UMB378" s="15"/>
      <c r="UMC378" s="15"/>
      <c r="UMD378" s="15"/>
      <c r="UME378" s="15"/>
      <c r="UMF378" s="15"/>
      <c r="UMG378" s="15"/>
      <c r="UMH378" s="15"/>
      <c r="UMI378" s="15"/>
      <c r="UMJ378" s="15"/>
      <c r="UMK378" s="15"/>
      <c r="UML378" s="10"/>
      <c r="UMM378" s="10"/>
      <c r="UMN378" s="21"/>
      <c r="UMO378" s="21"/>
      <c r="UMR378" s="21"/>
      <c r="UMS378" s="15"/>
      <c r="UMT378" s="15"/>
      <c r="UMU378" s="15"/>
      <c r="UMV378" s="15"/>
      <c r="UMW378" s="15"/>
      <c r="UMX378" s="15"/>
      <c r="UMY378" s="15"/>
      <c r="UMZ378" s="15"/>
      <c r="UNA378" s="15"/>
      <c r="UNB378" s="15"/>
      <c r="UNC378" s="10"/>
      <c r="UND378" s="10"/>
      <c r="UNE378" s="21"/>
      <c r="UNF378" s="21"/>
      <c r="UNI378" s="21"/>
      <c r="UNJ378" s="15"/>
      <c r="UNK378" s="15"/>
      <c r="UNL378" s="15"/>
      <c r="UNM378" s="15"/>
      <c r="UNN378" s="15"/>
      <c r="UNO378" s="15"/>
      <c r="UNP378" s="15"/>
      <c r="UNQ378" s="15"/>
      <c r="UNR378" s="15"/>
      <c r="UNS378" s="15"/>
      <c r="UNT378" s="10"/>
      <c r="UNU378" s="10"/>
      <c r="UNV378" s="21"/>
      <c r="UNW378" s="21"/>
      <c r="UNZ378" s="21"/>
      <c r="UOA378" s="15"/>
      <c r="UOB378" s="15"/>
      <c r="UOC378" s="15"/>
      <c r="UOD378" s="15"/>
      <c r="UOE378" s="15"/>
      <c r="UOF378" s="15"/>
      <c r="UOG378" s="15"/>
      <c r="UOH378" s="15"/>
      <c r="UOI378" s="15"/>
      <c r="UOJ378" s="15"/>
      <c r="UOK378" s="10"/>
      <c r="UOL378" s="10"/>
      <c r="UOM378" s="21"/>
      <c r="UON378" s="21"/>
      <c r="UOQ378" s="21"/>
      <c r="UOR378" s="15"/>
      <c r="UOS378" s="15"/>
      <c r="UOT378" s="15"/>
      <c r="UOU378" s="15"/>
      <c r="UOV378" s="15"/>
      <c r="UOW378" s="15"/>
      <c r="UOX378" s="15"/>
      <c r="UOY378" s="15"/>
      <c r="UOZ378" s="15"/>
      <c r="UPA378" s="15"/>
      <c r="UPB378" s="10"/>
      <c r="UPC378" s="10"/>
      <c r="UPD378" s="21"/>
      <c r="UPE378" s="21"/>
      <c r="UPH378" s="21"/>
      <c r="UPI378" s="15"/>
      <c r="UPJ378" s="15"/>
      <c r="UPK378" s="15"/>
      <c r="UPL378" s="15"/>
      <c r="UPM378" s="15"/>
      <c r="UPN378" s="15"/>
      <c r="UPO378" s="15"/>
      <c r="UPP378" s="15"/>
      <c r="UPQ378" s="15"/>
      <c r="UPR378" s="15"/>
      <c r="UPS378" s="10"/>
      <c r="UPT378" s="10"/>
      <c r="UPU378" s="21"/>
      <c r="UPV378" s="21"/>
      <c r="UPY378" s="21"/>
      <c r="UPZ378" s="15"/>
      <c r="UQA378" s="15"/>
      <c r="UQB378" s="15"/>
      <c r="UQC378" s="15"/>
      <c r="UQD378" s="15"/>
      <c r="UQE378" s="15"/>
      <c r="UQF378" s="15"/>
      <c r="UQG378" s="15"/>
      <c r="UQH378" s="15"/>
      <c r="UQI378" s="15"/>
      <c r="UQJ378" s="10"/>
      <c r="UQK378" s="10"/>
      <c r="UQL378" s="21"/>
      <c r="UQM378" s="21"/>
      <c r="UQP378" s="21"/>
      <c r="UQQ378" s="15"/>
      <c r="UQR378" s="15"/>
      <c r="UQS378" s="15"/>
      <c r="UQT378" s="15"/>
      <c r="UQU378" s="15"/>
      <c r="UQV378" s="15"/>
      <c r="UQW378" s="15"/>
      <c r="UQX378" s="15"/>
      <c r="UQY378" s="15"/>
      <c r="UQZ378" s="15"/>
      <c r="URA378" s="10"/>
      <c r="URB378" s="10"/>
      <c r="URC378" s="21"/>
      <c r="URD378" s="21"/>
      <c r="URG378" s="21"/>
      <c r="URH378" s="15"/>
      <c r="URI378" s="15"/>
      <c r="URJ378" s="15"/>
      <c r="URK378" s="15"/>
      <c r="URL378" s="15"/>
      <c r="URM378" s="15"/>
      <c r="URN378" s="15"/>
      <c r="URO378" s="15"/>
      <c r="URP378" s="15"/>
      <c r="URQ378" s="15"/>
      <c r="URR378" s="10"/>
      <c r="URS378" s="10"/>
      <c r="URT378" s="21"/>
      <c r="URU378" s="21"/>
      <c r="URX378" s="21"/>
      <c r="URY378" s="15"/>
      <c r="URZ378" s="15"/>
      <c r="USA378" s="15"/>
      <c r="USB378" s="15"/>
      <c r="USC378" s="15"/>
      <c r="USD378" s="15"/>
      <c r="USE378" s="15"/>
      <c r="USF378" s="15"/>
      <c r="USG378" s="15"/>
      <c r="USH378" s="15"/>
      <c r="USI378" s="10"/>
      <c r="USJ378" s="10"/>
      <c r="USK378" s="21"/>
      <c r="USL378" s="21"/>
      <c r="USO378" s="21"/>
      <c r="USP378" s="15"/>
      <c r="USQ378" s="15"/>
      <c r="USR378" s="15"/>
      <c r="USS378" s="15"/>
      <c r="UST378" s="15"/>
      <c r="USU378" s="15"/>
      <c r="USV378" s="15"/>
      <c r="USW378" s="15"/>
      <c r="USX378" s="15"/>
      <c r="USY378" s="15"/>
      <c r="USZ378" s="10"/>
      <c r="UTA378" s="10"/>
      <c r="UTB378" s="21"/>
      <c r="UTC378" s="21"/>
      <c r="UTF378" s="21"/>
      <c r="UTG378" s="15"/>
      <c r="UTH378" s="15"/>
      <c r="UTI378" s="15"/>
      <c r="UTJ378" s="15"/>
      <c r="UTK378" s="15"/>
      <c r="UTL378" s="15"/>
      <c r="UTM378" s="15"/>
      <c r="UTN378" s="15"/>
      <c r="UTO378" s="15"/>
      <c r="UTP378" s="15"/>
      <c r="UTQ378" s="10"/>
      <c r="UTR378" s="10"/>
      <c r="UTS378" s="21"/>
      <c r="UTT378" s="21"/>
      <c r="UTW378" s="21"/>
      <c r="UTX378" s="15"/>
      <c r="UTY378" s="15"/>
      <c r="UTZ378" s="15"/>
      <c r="UUA378" s="15"/>
      <c r="UUB378" s="15"/>
      <c r="UUC378" s="15"/>
      <c r="UUD378" s="15"/>
      <c r="UUE378" s="15"/>
      <c r="UUF378" s="15"/>
      <c r="UUG378" s="15"/>
      <c r="UUH378" s="10"/>
      <c r="UUI378" s="10"/>
      <c r="UUJ378" s="21"/>
      <c r="UUK378" s="21"/>
      <c r="UUN378" s="21"/>
      <c r="UUO378" s="15"/>
      <c r="UUP378" s="15"/>
      <c r="UUQ378" s="15"/>
      <c r="UUR378" s="15"/>
      <c r="UUS378" s="15"/>
      <c r="UUT378" s="15"/>
      <c r="UUU378" s="15"/>
      <c r="UUV378" s="15"/>
      <c r="UUW378" s="15"/>
      <c r="UUX378" s="15"/>
      <c r="UUY378" s="10"/>
      <c r="UUZ378" s="10"/>
      <c r="UVA378" s="21"/>
      <c r="UVB378" s="21"/>
      <c r="UVE378" s="21"/>
      <c r="UVF378" s="15"/>
      <c r="UVG378" s="15"/>
      <c r="UVH378" s="15"/>
      <c r="UVI378" s="15"/>
      <c r="UVJ378" s="15"/>
      <c r="UVK378" s="15"/>
      <c r="UVL378" s="15"/>
      <c r="UVM378" s="15"/>
      <c r="UVN378" s="15"/>
      <c r="UVO378" s="15"/>
      <c r="UVP378" s="10"/>
      <c r="UVQ378" s="10"/>
      <c r="UVR378" s="21"/>
      <c r="UVS378" s="21"/>
      <c r="UVV378" s="21"/>
      <c r="UVW378" s="15"/>
      <c r="UVX378" s="15"/>
      <c r="UVY378" s="15"/>
      <c r="UVZ378" s="15"/>
      <c r="UWA378" s="15"/>
      <c r="UWB378" s="15"/>
      <c r="UWC378" s="15"/>
      <c r="UWD378" s="15"/>
      <c r="UWE378" s="15"/>
      <c r="UWF378" s="15"/>
      <c r="UWG378" s="10"/>
      <c r="UWH378" s="10"/>
      <c r="UWI378" s="21"/>
      <c r="UWJ378" s="21"/>
      <c r="UWM378" s="21"/>
      <c r="UWN378" s="15"/>
      <c r="UWO378" s="15"/>
      <c r="UWP378" s="15"/>
      <c r="UWQ378" s="15"/>
      <c r="UWR378" s="15"/>
      <c r="UWS378" s="15"/>
      <c r="UWT378" s="15"/>
      <c r="UWU378" s="15"/>
      <c r="UWV378" s="15"/>
      <c r="UWW378" s="15"/>
      <c r="UWX378" s="10"/>
      <c r="UWY378" s="10"/>
      <c r="UWZ378" s="21"/>
      <c r="UXA378" s="21"/>
      <c r="UXD378" s="21"/>
      <c r="UXE378" s="15"/>
      <c r="UXF378" s="15"/>
      <c r="UXG378" s="15"/>
      <c r="UXH378" s="15"/>
      <c r="UXI378" s="15"/>
      <c r="UXJ378" s="15"/>
      <c r="UXK378" s="15"/>
      <c r="UXL378" s="15"/>
      <c r="UXM378" s="15"/>
      <c r="UXN378" s="15"/>
      <c r="UXO378" s="10"/>
      <c r="UXP378" s="10"/>
      <c r="UXQ378" s="21"/>
      <c r="UXR378" s="21"/>
      <c r="UXU378" s="21"/>
      <c r="UXV378" s="15"/>
      <c r="UXW378" s="15"/>
      <c r="UXX378" s="15"/>
      <c r="UXY378" s="15"/>
      <c r="UXZ378" s="15"/>
      <c r="UYA378" s="15"/>
      <c r="UYB378" s="15"/>
      <c r="UYC378" s="15"/>
      <c r="UYD378" s="15"/>
      <c r="UYE378" s="15"/>
      <c r="UYF378" s="10"/>
      <c r="UYG378" s="10"/>
      <c r="UYH378" s="21"/>
      <c r="UYI378" s="21"/>
      <c r="UYL378" s="21"/>
      <c r="UYM378" s="15"/>
      <c r="UYN378" s="15"/>
      <c r="UYO378" s="15"/>
      <c r="UYP378" s="15"/>
      <c r="UYQ378" s="15"/>
      <c r="UYR378" s="15"/>
      <c r="UYS378" s="15"/>
      <c r="UYT378" s="15"/>
      <c r="UYU378" s="15"/>
      <c r="UYV378" s="15"/>
      <c r="UYW378" s="10"/>
      <c r="UYX378" s="10"/>
      <c r="UYY378" s="21"/>
      <c r="UYZ378" s="21"/>
      <c r="UZC378" s="21"/>
      <c r="UZD378" s="15"/>
      <c r="UZE378" s="15"/>
      <c r="UZF378" s="15"/>
      <c r="UZG378" s="15"/>
      <c r="UZH378" s="15"/>
      <c r="UZI378" s="15"/>
      <c r="UZJ378" s="15"/>
      <c r="UZK378" s="15"/>
      <c r="UZL378" s="15"/>
      <c r="UZM378" s="15"/>
      <c r="UZN378" s="10"/>
      <c r="UZO378" s="10"/>
      <c r="UZP378" s="21"/>
      <c r="UZQ378" s="21"/>
      <c r="UZT378" s="21"/>
      <c r="UZU378" s="15"/>
      <c r="UZV378" s="15"/>
      <c r="UZW378" s="15"/>
      <c r="UZX378" s="15"/>
      <c r="UZY378" s="15"/>
      <c r="UZZ378" s="15"/>
      <c r="VAA378" s="15"/>
      <c r="VAB378" s="15"/>
      <c r="VAC378" s="15"/>
      <c r="VAD378" s="15"/>
      <c r="VAE378" s="10"/>
      <c r="VAF378" s="10"/>
      <c r="VAG378" s="21"/>
      <c r="VAH378" s="21"/>
      <c r="VAK378" s="21"/>
      <c r="VAL378" s="15"/>
      <c r="VAM378" s="15"/>
      <c r="VAN378" s="15"/>
      <c r="VAO378" s="15"/>
      <c r="VAP378" s="15"/>
      <c r="VAQ378" s="15"/>
      <c r="VAR378" s="15"/>
      <c r="VAS378" s="15"/>
      <c r="VAT378" s="15"/>
      <c r="VAU378" s="15"/>
      <c r="VAV378" s="10"/>
      <c r="VAW378" s="10"/>
      <c r="VAX378" s="21"/>
      <c r="VAY378" s="21"/>
      <c r="VBB378" s="21"/>
      <c r="VBC378" s="15"/>
      <c r="VBD378" s="15"/>
      <c r="VBE378" s="15"/>
      <c r="VBF378" s="15"/>
      <c r="VBG378" s="15"/>
      <c r="VBH378" s="15"/>
      <c r="VBI378" s="15"/>
      <c r="VBJ378" s="15"/>
      <c r="VBK378" s="15"/>
      <c r="VBL378" s="15"/>
      <c r="VBM378" s="10"/>
      <c r="VBN378" s="10"/>
      <c r="VBO378" s="21"/>
      <c r="VBP378" s="21"/>
      <c r="VBS378" s="21"/>
      <c r="VBT378" s="15"/>
      <c r="VBU378" s="15"/>
      <c r="VBV378" s="15"/>
      <c r="VBW378" s="15"/>
      <c r="VBX378" s="15"/>
      <c r="VBY378" s="15"/>
      <c r="VBZ378" s="15"/>
      <c r="VCA378" s="15"/>
      <c r="VCB378" s="15"/>
      <c r="VCC378" s="15"/>
      <c r="VCD378" s="10"/>
      <c r="VCE378" s="10"/>
      <c r="VCF378" s="21"/>
      <c r="VCG378" s="21"/>
      <c r="VCJ378" s="21"/>
      <c r="VCK378" s="15"/>
      <c r="VCL378" s="15"/>
      <c r="VCM378" s="15"/>
      <c r="VCN378" s="15"/>
      <c r="VCO378" s="15"/>
      <c r="VCP378" s="15"/>
      <c r="VCQ378" s="15"/>
      <c r="VCR378" s="15"/>
      <c r="VCS378" s="15"/>
      <c r="VCT378" s="15"/>
      <c r="VCU378" s="10"/>
      <c r="VCV378" s="10"/>
      <c r="VCW378" s="21"/>
      <c r="VCX378" s="21"/>
      <c r="VDA378" s="21"/>
      <c r="VDB378" s="15"/>
      <c r="VDC378" s="15"/>
      <c r="VDD378" s="15"/>
      <c r="VDE378" s="15"/>
      <c r="VDF378" s="15"/>
      <c r="VDG378" s="15"/>
      <c r="VDH378" s="15"/>
      <c r="VDI378" s="15"/>
      <c r="VDJ378" s="15"/>
      <c r="VDK378" s="15"/>
      <c r="VDL378" s="10"/>
      <c r="VDM378" s="10"/>
      <c r="VDN378" s="21"/>
      <c r="VDO378" s="21"/>
      <c r="VDR378" s="21"/>
      <c r="VDS378" s="15"/>
      <c r="VDT378" s="15"/>
      <c r="VDU378" s="15"/>
      <c r="VDV378" s="15"/>
      <c r="VDW378" s="15"/>
      <c r="VDX378" s="15"/>
      <c r="VDY378" s="15"/>
      <c r="VDZ378" s="15"/>
      <c r="VEA378" s="15"/>
      <c r="VEB378" s="15"/>
      <c r="VEC378" s="10"/>
      <c r="VED378" s="10"/>
      <c r="VEE378" s="21"/>
      <c r="VEF378" s="21"/>
      <c r="VEI378" s="21"/>
      <c r="VEJ378" s="15"/>
      <c r="VEK378" s="15"/>
      <c r="VEL378" s="15"/>
      <c r="VEM378" s="15"/>
      <c r="VEN378" s="15"/>
      <c r="VEO378" s="15"/>
      <c r="VEP378" s="15"/>
      <c r="VEQ378" s="15"/>
      <c r="VER378" s="15"/>
      <c r="VES378" s="15"/>
      <c r="VET378" s="10"/>
      <c r="VEU378" s="10"/>
      <c r="VEV378" s="21"/>
      <c r="VEW378" s="21"/>
      <c r="VEZ378" s="21"/>
      <c r="VFA378" s="15"/>
      <c r="VFB378" s="15"/>
      <c r="VFC378" s="15"/>
      <c r="VFD378" s="15"/>
      <c r="VFE378" s="15"/>
      <c r="VFF378" s="15"/>
      <c r="VFG378" s="15"/>
      <c r="VFH378" s="15"/>
      <c r="VFI378" s="15"/>
      <c r="VFJ378" s="15"/>
      <c r="VFK378" s="10"/>
      <c r="VFL378" s="10"/>
      <c r="VFM378" s="21"/>
      <c r="VFN378" s="21"/>
      <c r="VFQ378" s="21"/>
      <c r="VFR378" s="15"/>
      <c r="VFS378" s="15"/>
      <c r="VFT378" s="15"/>
      <c r="VFU378" s="15"/>
      <c r="VFV378" s="15"/>
      <c r="VFW378" s="15"/>
      <c r="VFX378" s="15"/>
      <c r="VFY378" s="15"/>
      <c r="VFZ378" s="15"/>
      <c r="VGA378" s="15"/>
      <c r="VGB378" s="10"/>
      <c r="VGC378" s="10"/>
      <c r="VGD378" s="21"/>
      <c r="VGE378" s="21"/>
      <c r="VGH378" s="21"/>
      <c r="VGI378" s="15"/>
      <c r="VGJ378" s="15"/>
      <c r="VGK378" s="15"/>
      <c r="VGL378" s="15"/>
      <c r="VGM378" s="15"/>
      <c r="VGN378" s="15"/>
      <c r="VGO378" s="15"/>
      <c r="VGP378" s="15"/>
      <c r="VGQ378" s="15"/>
      <c r="VGR378" s="15"/>
      <c r="VGS378" s="10"/>
      <c r="VGT378" s="10"/>
      <c r="VGU378" s="21"/>
      <c r="VGV378" s="21"/>
      <c r="VGY378" s="21"/>
      <c r="VGZ378" s="15"/>
      <c r="VHA378" s="15"/>
      <c r="VHB378" s="15"/>
      <c r="VHC378" s="15"/>
      <c r="VHD378" s="15"/>
      <c r="VHE378" s="15"/>
      <c r="VHF378" s="15"/>
      <c r="VHG378" s="15"/>
      <c r="VHH378" s="15"/>
      <c r="VHI378" s="15"/>
      <c r="VHJ378" s="10"/>
      <c r="VHK378" s="10"/>
      <c r="VHL378" s="21"/>
      <c r="VHM378" s="21"/>
      <c r="VHP378" s="21"/>
      <c r="VHQ378" s="15"/>
      <c r="VHR378" s="15"/>
      <c r="VHS378" s="15"/>
      <c r="VHT378" s="15"/>
      <c r="VHU378" s="15"/>
      <c r="VHV378" s="15"/>
      <c r="VHW378" s="15"/>
      <c r="VHX378" s="15"/>
      <c r="VHY378" s="15"/>
      <c r="VHZ378" s="15"/>
      <c r="VIA378" s="10"/>
      <c r="VIB378" s="10"/>
      <c r="VIC378" s="21"/>
      <c r="VID378" s="21"/>
      <c r="VIG378" s="21"/>
      <c r="VIH378" s="15"/>
      <c r="VII378" s="15"/>
      <c r="VIJ378" s="15"/>
      <c r="VIK378" s="15"/>
      <c r="VIL378" s="15"/>
      <c r="VIM378" s="15"/>
      <c r="VIN378" s="15"/>
      <c r="VIO378" s="15"/>
      <c r="VIP378" s="15"/>
      <c r="VIQ378" s="15"/>
      <c r="VIR378" s="10"/>
      <c r="VIS378" s="10"/>
      <c r="VIT378" s="21"/>
      <c r="VIU378" s="21"/>
      <c r="VIX378" s="21"/>
      <c r="VIY378" s="15"/>
      <c r="VIZ378" s="15"/>
      <c r="VJA378" s="15"/>
      <c r="VJB378" s="15"/>
      <c r="VJC378" s="15"/>
      <c r="VJD378" s="15"/>
      <c r="VJE378" s="15"/>
      <c r="VJF378" s="15"/>
      <c r="VJG378" s="15"/>
      <c r="VJH378" s="15"/>
      <c r="VJI378" s="10"/>
      <c r="VJJ378" s="10"/>
      <c r="VJK378" s="21"/>
      <c r="VJL378" s="21"/>
      <c r="VJO378" s="21"/>
      <c r="VJP378" s="15"/>
      <c r="VJQ378" s="15"/>
      <c r="VJR378" s="15"/>
      <c r="VJS378" s="15"/>
      <c r="VJT378" s="15"/>
      <c r="VJU378" s="15"/>
      <c r="VJV378" s="15"/>
      <c r="VJW378" s="15"/>
      <c r="VJX378" s="15"/>
      <c r="VJY378" s="15"/>
      <c r="VJZ378" s="10"/>
      <c r="VKA378" s="10"/>
      <c r="VKB378" s="21"/>
      <c r="VKC378" s="21"/>
      <c r="VKF378" s="21"/>
      <c r="VKG378" s="15"/>
      <c r="VKH378" s="15"/>
      <c r="VKI378" s="15"/>
      <c r="VKJ378" s="15"/>
      <c r="VKK378" s="15"/>
      <c r="VKL378" s="15"/>
      <c r="VKM378" s="15"/>
      <c r="VKN378" s="15"/>
      <c r="VKO378" s="15"/>
      <c r="VKP378" s="15"/>
      <c r="VKQ378" s="10"/>
      <c r="VKR378" s="10"/>
      <c r="VKS378" s="21"/>
      <c r="VKT378" s="21"/>
      <c r="VKW378" s="21"/>
      <c r="VKX378" s="15"/>
      <c r="VKY378" s="15"/>
      <c r="VKZ378" s="15"/>
      <c r="VLA378" s="15"/>
      <c r="VLB378" s="15"/>
      <c r="VLC378" s="15"/>
      <c r="VLD378" s="15"/>
      <c r="VLE378" s="15"/>
      <c r="VLF378" s="15"/>
      <c r="VLG378" s="15"/>
      <c r="VLH378" s="10"/>
      <c r="VLI378" s="10"/>
      <c r="VLJ378" s="21"/>
      <c r="VLK378" s="21"/>
      <c r="VLN378" s="21"/>
      <c r="VLO378" s="15"/>
      <c r="VLP378" s="15"/>
      <c r="VLQ378" s="15"/>
      <c r="VLR378" s="15"/>
      <c r="VLS378" s="15"/>
      <c r="VLT378" s="15"/>
      <c r="VLU378" s="15"/>
      <c r="VLV378" s="15"/>
      <c r="VLW378" s="15"/>
      <c r="VLX378" s="15"/>
      <c r="VLY378" s="10"/>
      <c r="VLZ378" s="10"/>
      <c r="VMA378" s="21"/>
      <c r="VMB378" s="21"/>
      <c r="VME378" s="21"/>
      <c r="VMF378" s="15"/>
      <c r="VMG378" s="15"/>
      <c r="VMH378" s="15"/>
      <c r="VMI378" s="15"/>
      <c r="VMJ378" s="15"/>
      <c r="VMK378" s="15"/>
      <c r="VML378" s="15"/>
      <c r="VMM378" s="15"/>
      <c r="VMN378" s="15"/>
      <c r="VMO378" s="15"/>
      <c r="VMP378" s="10"/>
      <c r="VMQ378" s="10"/>
      <c r="VMR378" s="21"/>
      <c r="VMS378" s="21"/>
      <c r="VMV378" s="21"/>
      <c r="VMW378" s="15"/>
      <c r="VMX378" s="15"/>
      <c r="VMY378" s="15"/>
      <c r="VMZ378" s="15"/>
      <c r="VNA378" s="15"/>
      <c r="VNB378" s="15"/>
      <c r="VNC378" s="15"/>
      <c r="VND378" s="15"/>
      <c r="VNE378" s="15"/>
      <c r="VNF378" s="15"/>
      <c r="VNG378" s="10"/>
      <c r="VNH378" s="10"/>
      <c r="VNI378" s="21"/>
      <c r="VNJ378" s="21"/>
      <c r="VNM378" s="21"/>
      <c r="VNN378" s="15"/>
      <c r="VNO378" s="15"/>
      <c r="VNP378" s="15"/>
      <c r="VNQ378" s="15"/>
      <c r="VNR378" s="15"/>
      <c r="VNS378" s="15"/>
      <c r="VNT378" s="15"/>
      <c r="VNU378" s="15"/>
      <c r="VNV378" s="15"/>
      <c r="VNW378" s="15"/>
      <c r="VNX378" s="10"/>
      <c r="VNY378" s="10"/>
      <c r="VNZ378" s="21"/>
      <c r="VOA378" s="21"/>
      <c r="VOD378" s="21"/>
      <c r="VOE378" s="15"/>
      <c r="VOF378" s="15"/>
      <c r="VOG378" s="15"/>
      <c r="VOH378" s="15"/>
      <c r="VOI378" s="15"/>
      <c r="VOJ378" s="15"/>
      <c r="VOK378" s="15"/>
      <c r="VOL378" s="15"/>
      <c r="VOM378" s="15"/>
      <c r="VON378" s="15"/>
      <c r="VOO378" s="10"/>
      <c r="VOP378" s="10"/>
      <c r="VOQ378" s="21"/>
      <c r="VOR378" s="21"/>
      <c r="VOU378" s="21"/>
      <c r="VOV378" s="15"/>
      <c r="VOW378" s="15"/>
      <c r="VOX378" s="15"/>
      <c r="VOY378" s="15"/>
      <c r="VOZ378" s="15"/>
      <c r="VPA378" s="15"/>
      <c r="VPB378" s="15"/>
      <c r="VPC378" s="15"/>
      <c r="VPD378" s="15"/>
      <c r="VPE378" s="15"/>
      <c r="VPF378" s="10"/>
      <c r="VPG378" s="10"/>
      <c r="VPH378" s="21"/>
      <c r="VPI378" s="21"/>
      <c r="VPL378" s="21"/>
      <c r="VPM378" s="15"/>
      <c r="VPN378" s="15"/>
      <c r="VPO378" s="15"/>
      <c r="VPP378" s="15"/>
      <c r="VPQ378" s="15"/>
      <c r="VPR378" s="15"/>
      <c r="VPS378" s="15"/>
      <c r="VPT378" s="15"/>
      <c r="VPU378" s="15"/>
      <c r="VPV378" s="15"/>
      <c r="VPW378" s="10"/>
      <c r="VPX378" s="10"/>
      <c r="VPY378" s="21"/>
      <c r="VPZ378" s="21"/>
      <c r="VQC378" s="21"/>
      <c r="VQD378" s="15"/>
      <c r="VQE378" s="15"/>
      <c r="VQF378" s="15"/>
      <c r="VQG378" s="15"/>
      <c r="VQH378" s="15"/>
      <c r="VQI378" s="15"/>
      <c r="VQJ378" s="15"/>
      <c r="VQK378" s="15"/>
      <c r="VQL378" s="15"/>
      <c r="VQM378" s="15"/>
      <c r="VQN378" s="10"/>
      <c r="VQO378" s="10"/>
      <c r="VQP378" s="21"/>
      <c r="VQQ378" s="21"/>
      <c r="VQT378" s="21"/>
      <c r="VQU378" s="15"/>
      <c r="VQV378" s="15"/>
      <c r="VQW378" s="15"/>
      <c r="VQX378" s="15"/>
      <c r="VQY378" s="15"/>
      <c r="VQZ378" s="15"/>
      <c r="VRA378" s="15"/>
      <c r="VRB378" s="15"/>
      <c r="VRC378" s="15"/>
      <c r="VRD378" s="15"/>
      <c r="VRE378" s="10"/>
      <c r="VRF378" s="10"/>
      <c r="VRG378" s="21"/>
      <c r="VRH378" s="21"/>
      <c r="VRK378" s="21"/>
      <c r="VRL378" s="15"/>
      <c r="VRM378" s="15"/>
      <c r="VRN378" s="15"/>
      <c r="VRO378" s="15"/>
      <c r="VRP378" s="15"/>
      <c r="VRQ378" s="15"/>
      <c r="VRR378" s="15"/>
      <c r="VRS378" s="15"/>
      <c r="VRT378" s="15"/>
      <c r="VRU378" s="15"/>
      <c r="VRV378" s="10"/>
      <c r="VRW378" s="10"/>
      <c r="VRX378" s="21"/>
      <c r="VRY378" s="21"/>
      <c r="VSB378" s="21"/>
      <c r="VSC378" s="15"/>
      <c r="VSD378" s="15"/>
      <c r="VSE378" s="15"/>
      <c r="VSF378" s="15"/>
      <c r="VSG378" s="15"/>
      <c r="VSH378" s="15"/>
      <c r="VSI378" s="15"/>
      <c r="VSJ378" s="15"/>
      <c r="VSK378" s="15"/>
      <c r="VSL378" s="15"/>
      <c r="VSM378" s="10"/>
      <c r="VSN378" s="10"/>
      <c r="VSO378" s="21"/>
      <c r="VSP378" s="21"/>
      <c r="VSS378" s="21"/>
      <c r="VST378" s="15"/>
      <c r="VSU378" s="15"/>
      <c r="VSV378" s="15"/>
      <c r="VSW378" s="15"/>
      <c r="VSX378" s="15"/>
      <c r="VSY378" s="15"/>
      <c r="VSZ378" s="15"/>
      <c r="VTA378" s="15"/>
      <c r="VTB378" s="15"/>
      <c r="VTC378" s="15"/>
      <c r="VTD378" s="10"/>
      <c r="VTE378" s="10"/>
      <c r="VTF378" s="21"/>
      <c r="VTG378" s="21"/>
      <c r="VTJ378" s="21"/>
      <c r="VTK378" s="15"/>
      <c r="VTL378" s="15"/>
      <c r="VTM378" s="15"/>
      <c r="VTN378" s="15"/>
      <c r="VTO378" s="15"/>
      <c r="VTP378" s="15"/>
      <c r="VTQ378" s="15"/>
      <c r="VTR378" s="15"/>
      <c r="VTS378" s="15"/>
      <c r="VTT378" s="15"/>
      <c r="VTU378" s="10"/>
      <c r="VTV378" s="10"/>
      <c r="VTW378" s="21"/>
      <c r="VTX378" s="21"/>
      <c r="VUA378" s="21"/>
      <c r="VUB378" s="15"/>
      <c r="VUC378" s="15"/>
      <c r="VUD378" s="15"/>
      <c r="VUE378" s="15"/>
      <c r="VUF378" s="15"/>
      <c r="VUG378" s="15"/>
      <c r="VUH378" s="15"/>
      <c r="VUI378" s="15"/>
      <c r="VUJ378" s="15"/>
      <c r="VUK378" s="15"/>
      <c r="VUL378" s="10"/>
      <c r="VUM378" s="10"/>
      <c r="VUN378" s="21"/>
      <c r="VUO378" s="21"/>
      <c r="VUR378" s="21"/>
      <c r="VUS378" s="15"/>
      <c r="VUT378" s="15"/>
      <c r="VUU378" s="15"/>
      <c r="VUV378" s="15"/>
      <c r="VUW378" s="15"/>
      <c r="VUX378" s="15"/>
      <c r="VUY378" s="15"/>
      <c r="VUZ378" s="15"/>
      <c r="VVA378" s="15"/>
      <c r="VVB378" s="15"/>
      <c r="VVC378" s="10"/>
      <c r="VVD378" s="10"/>
      <c r="VVE378" s="21"/>
      <c r="VVF378" s="21"/>
      <c r="VVI378" s="21"/>
      <c r="VVJ378" s="15"/>
      <c r="VVK378" s="15"/>
      <c r="VVL378" s="15"/>
      <c r="VVM378" s="15"/>
      <c r="VVN378" s="15"/>
      <c r="VVO378" s="15"/>
      <c r="VVP378" s="15"/>
      <c r="VVQ378" s="15"/>
      <c r="VVR378" s="15"/>
      <c r="VVS378" s="15"/>
      <c r="VVT378" s="10"/>
      <c r="VVU378" s="10"/>
      <c r="VVV378" s="21"/>
      <c r="VVW378" s="21"/>
      <c r="VVZ378" s="21"/>
      <c r="VWA378" s="15"/>
      <c r="VWB378" s="15"/>
      <c r="VWC378" s="15"/>
      <c r="VWD378" s="15"/>
      <c r="VWE378" s="15"/>
      <c r="VWF378" s="15"/>
      <c r="VWG378" s="15"/>
      <c r="VWH378" s="15"/>
      <c r="VWI378" s="15"/>
      <c r="VWJ378" s="15"/>
      <c r="VWK378" s="10"/>
      <c r="VWL378" s="10"/>
      <c r="VWM378" s="21"/>
      <c r="VWN378" s="21"/>
      <c r="VWQ378" s="21"/>
      <c r="VWR378" s="15"/>
      <c r="VWS378" s="15"/>
      <c r="VWT378" s="15"/>
      <c r="VWU378" s="15"/>
      <c r="VWV378" s="15"/>
      <c r="VWW378" s="15"/>
      <c r="VWX378" s="15"/>
      <c r="VWY378" s="15"/>
      <c r="VWZ378" s="15"/>
      <c r="VXA378" s="15"/>
      <c r="VXB378" s="10"/>
      <c r="VXC378" s="10"/>
      <c r="VXD378" s="21"/>
      <c r="VXE378" s="21"/>
      <c r="VXH378" s="21"/>
      <c r="VXI378" s="15"/>
      <c r="VXJ378" s="15"/>
      <c r="VXK378" s="15"/>
      <c r="VXL378" s="15"/>
      <c r="VXM378" s="15"/>
      <c r="VXN378" s="15"/>
      <c r="VXO378" s="15"/>
      <c r="VXP378" s="15"/>
      <c r="VXQ378" s="15"/>
      <c r="VXR378" s="15"/>
      <c r="VXS378" s="10"/>
      <c r="VXT378" s="10"/>
      <c r="VXU378" s="21"/>
      <c r="VXV378" s="21"/>
      <c r="VXY378" s="21"/>
      <c r="VXZ378" s="15"/>
      <c r="VYA378" s="15"/>
      <c r="VYB378" s="15"/>
      <c r="VYC378" s="15"/>
      <c r="VYD378" s="15"/>
      <c r="VYE378" s="15"/>
      <c r="VYF378" s="15"/>
      <c r="VYG378" s="15"/>
      <c r="VYH378" s="15"/>
      <c r="VYI378" s="15"/>
      <c r="VYJ378" s="10"/>
      <c r="VYK378" s="10"/>
      <c r="VYL378" s="21"/>
      <c r="VYM378" s="21"/>
      <c r="VYP378" s="21"/>
      <c r="VYQ378" s="15"/>
      <c r="VYR378" s="15"/>
      <c r="VYS378" s="15"/>
      <c r="VYT378" s="15"/>
      <c r="VYU378" s="15"/>
      <c r="VYV378" s="15"/>
      <c r="VYW378" s="15"/>
      <c r="VYX378" s="15"/>
      <c r="VYY378" s="15"/>
      <c r="VYZ378" s="15"/>
      <c r="VZA378" s="10"/>
      <c r="VZB378" s="10"/>
      <c r="VZC378" s="21"/>
      <c r="VZD378" s="21"/>
      <c r="VZG378" s="21"/>
      <c r="VZH378" s="15"/>
      <c r="VZI378" s="15"/>
      <c r="VZJ378" s="15"/>
      <c r="VZK378" s="15"/>
      <c r="VZL378" s="15"/>
      <c r="VZM378" s="15"/>
      <c r="VZN378" s="15"/>
      <c r="VZO378" s="15"/>
      <c r="VZP378" s="15"/>
      <c r="VZQ378" s="15"/>
      <c r="VZR378" s="10"/>
      <c r="VZS378" s="10"/>
      <c r="VZT378" s="21"/>
      <c r="VZU378" s="21"/>
      <c r="VZX378" s="21"/>
      <c r="VZY378" s="15"/>
      <c r="VZZ378" s="15"/>
      <c r="WAA378" s="15"/>
      <c r="WAB378" s="15"/>
      <c r="WAC378" s="15"/>
      <c r="WAD378" s="15"/>
      <c r="WAE378" s="15"/>
      <c r="WAF378" s="15"/>
      <c r="WAG378" s="15"/>
      <c r="WAH378" s="15"/>
      <c r="WAI378" s="10"/>
      <c r="WAJ378" s="10"/>
      <c r="WAK378" s="21"/>
      <c r="WAL378" s="21"/>
      <c r="WAO378" s="21"/>
      <c r="WAP378" s="15"/>
      <c r="WAQ378" s="15"/>
      <c r="WAR378" s="15"/>
      <c r="WAS378" s="15"/>
      <c r="WAT378" s="15"/>
      <c r="WAU378" s="15"/>
      <c r="WAV378" s="15"/>
      <c r="WAW378" s="15"/>
      <c r="WAX378" s="15"/>
      <c r="WAY378" s="15"/>
      <c r="WAZ378" s="10"/>
      <c r="WBA378" s="10"/>
      <c r="WBB378" s="21"/>
      <c r="WBC378" s="21"/>
      <c r="WBF378" s="21"/>
      <c r="WBG378" s="15"/>
      <c r="WBH378" s="15"/>
      <c r="WBI378" s="15"/>
      <c r="WBJ378" s="15"/>
      <c r="WBK378" s="15"/>
      <c r="WBL378" s="15"/>
      <c r="WBM378" s="15"/>
      <c r="WBN378" s="15"/>
      <c r="WBO378" s="15"/>
      <c r="WBP378" s="15"/>
      <c r="WBQ378" s="10"/>
      <c r="WBR378" s="10"/>
      <c r="WBS378" s="21"/>
      <c r="WBT378" s="21"/>
      <c r="WBW378" s="21"/>
      <c r="WBX378" s="15"/>
      <c r="WBY378" s="15"/>
      <c r="WBZ378" s="15"/>
      <c r="WCA378" s="15"/>
      <c r="WCB378" s="15"/>
      <c r="WCC378" s="15"/>
      <c r="WCD378" s="15"/>
      <c r="WCE378" s="15"/>
      <c r="WCF378" s="15"/>
      <c r="WCG378" s="15"/>
      <c r="WCH378" s="10"/>
      <c r="WCI378" s="10"/>
      <c r="WCJ378" s="21"/>
      <c r="WCK378" s="21"/>
      <c r="WCN378" s="21"/>
      <c r="WCO378" s="15"/>
      <c r="WCP378" s="15"/>
      <c r="WCQ378" s="15"/>
      <c r="WCR378" s="15"/>
      <c r="WCS378" s="15"/>
      <c r="WCT378" s="15"/>
      <c r="WCU378" s="15"/>
      <c r="WCV378" s="15"/>
      <c r="WCW378" s="15"/>
      <c r="WCX378" s="15"/>
      <c r="WCY378" s="10"/>
      <c r="WCZ378" s="10"/>
      <c r="WDA378" s="21"/>
      <c r="WDB378" s="21"/>
      <c r="WDE378" s="21"/>
      <c r="WDF378" s="15"/>
      <c r="WDG378" s="15"/>
      <c r="WDH378" s="15"/>
      <c r="WDI378" s="15"/>
      <c r="WDJ378" s="15"/>
      <c r="WDK378" s="15"/>
      <c r="WDL378" s="15"/>
      <c r="WDM378" s="15"/>
      <c r="WDN378" s="15"/>
      <c r="WDO378" s="15"/>
      <c r="WDP378" s="10"/>
      <c r="WDQ378" s="10"/>
      <c r="WDR378" s="21"/>
      <c r="WDS378" s="21"/>
      <c r="WDV378" s="21"/>
      <c r="WDW378" s="15"/>
      <c r="WDX378" s="15"/>
      <c r="WDY378" s="15"/>
      <c r="WDZ378" s="15"/>
      <c r="WEA378" s="15"/>
      <c r="WEB378" s="15"/>
      <c r="WEC378" s="15"/>
      <c r="WED378" s="15"/>
      <c r="WEE378" s="15"/>
      <c r="WEF378" s="15"/>
      <c r="WEG378" s="10"/>
      <c r="WEH378" s="10"/>
      <c r="WEI378" s="21"/>
      <c r="WEJ378" s="21"/>
      <c r="WEM378" s="21"/>
      <c r="WEN378" s="15"/>
      <c r="WEO378" s="15"/>
      <c r="WEP378" s="15"/>
      <c r="WEQ378" s="15"/>
      <c r="WER378" s="15"/>
      <c r="WES378" s="15"/>
      <c r="WET378" s="15"/>
      <c r="WEU378" s="15"/>
      <c r="WEV378" s="15"/>
      <c r="WEW378" s="15"/>
      <c r="WEX378" s="10"/>
      <c r="WEY378" s="10"/>
      <c r="WEZ378" s="21"/>
      <c r="WFA378" s="21"/>
      <c r="WFD378" s="21"/>
      <c r="WFE378" s="15"/>
      <c r="WFF378" s="15"/>
      <c r="WFG378" s="15"/>
      <c r="WFH378" s="15"/>
      <c r="WFI378" s="15"/>
      <c r="WFJ378" s="15"/>
      <c r="WFK378" s="15"/>
      <c r="WFL378" s="15"/>
      <c r="WFM378" s="15"/>
      <c r="WFN378" s="15"/>
      <c r="WFO378" s="10"/>
      <c r="WFP378" s="10"/>
      <c r="WFQ378" s="21"/>
      <c r="WFR378" s="21"/>
      <c r="WFU378" s="21"/>
      <c r="WFV378" s="15"/>
      <c r="WFW378" s="15"/>
      <c r="WFX378" s="15"/>
      <c r="WFY378" s="15"/>
      <c r="WFZ378" s="15"/>
      <c r="WGA378" s="15"/>
      <c r="WGB378" s="15"/>
      <c r="WGC378" s="15"/>
      <c r="WGD378" s="15"/>
      <c r="WGE378" s="15"/>
      <c r="WGF378" s="10"/>
      <c r="WGG378" s="10"/>
      <c r="WGH378" s="21"/>
      <c r="WGI378" s="21"/>
      <c r="WGL378" s="21"/>
      <c r="WGM378" s="15"/>
      <c r="WGN378" s="15"/>
      <c r="WGO378" s="15"/>
      <c r="WGP378" s="15"/>
      <c r="WGQ378" s="15"/>
      <c r="WGR378" s="15"/>
      <c r="WGS378" s="15"/>
      <c r="WGT378" s="15"/>
      <c r="WGU378" s="15"/>
      <c r="WGV378" s="15"/>
      <c r="WGW378" s="10"/>
      <c r="WGX378" s="10"/>
      <c r="WGY378" s="21"/>
      <c r="WGZ378" s="21"/>
      <c r="WHC378" s="21"/>
      <c r="WHD378" s="15"/>
      <c r="WHE378" s="15"/>
      <c r="WHF378" s="15"/>
      <c r="WHG378" s="15"/>
      <c r="WHH378" s="15"/>
      <c r="WHI378" s="15"/>
      <c r="WHJ378" s="15"/>
      <c r="WHK378" s="15"/>
      <c r="WHL378" s="15"/>
      <c r="WHM378" s="15"/>
      <c r="WHN378" s="10"/>
      <c r="WHO378" s="10"/>
      <c r="WHP378" s="21"/>
      <c r="WHQ378" s="21"/>
      <c r="WHT378" s="21"/>
      <c r="WHU378" s="15"/>
      <c r="WHV378" s="15"/>
      <c r="WHW378" s="15"/>
      <c r="WHX378" s="15"/>
      <c r="WHY378" s="15"/>
      <c r="WHZ378" s="15"/>
      <c r="WIA378" s="15"/>
      <c r="WIB378" s="15"/>
      <c r="WIC378" s="15"/>
      <c r="WID378" s="15"/>
      <c r="WIE378" s="10"/>
      <c r="WIF378" s="10"/>
      <c r="WIG378" s="21"/>
      <c r="WIH378" s="21"/>
      <c r="WIK378" s="21"/>
      <c r="WIL378" s="15"/>
      <c r="WIM378" s="15"/>
      <c r="WIN378" s="15"/>
      <c r="WIO378" s="15"/>
      <c r="WIP378" s="15"/>
      <c r="WIQ378" s="15"/>
      <c r="WIR378" s="15"/>
      <c r="WIS378" s="15"/>
      <c r="WIT378" s="15"/>
      <c r="WIU378" s="15"/>
      <c r="WIV378" s="10"/>
      <c r="WIW378" s="10"/>
      <c r="WIX378" s="21"/>
      <c r="WIY378" s="21"/>
      <c r="WJB378" s="21"/>
      <c r="WJC378" s="15"/>
      <c r="WJD378" s="15"/>
      <c r="WJE378" s="15"/>
      <c r="WJF378" s="15"/>
      <c r="WJG378" s="15"/>
      <c r="WJH378" s="15"/>
      <c r="WJI378" s="15"/>
      <c r="WJJ378" s="15"/>
      <c r="WJK378" s="15"/>
      <c r="WJL378" s="15"/>
      <c r="WJM378" s="10"/>
      <c r="WJN378" s="10"/>
      <c r="WJO378" s="21"/>
      <c r="WJP378" s="21"/>
      <c r="WJS378" s="21"/>
      <c r="WJT378" s="15"/>
      <c r="WJU378" s="15"/>
      <c r="WJV378" s="15"/>
      <c r="WJW378" s="15"/>
      <c r="WJX378" s="15"/>
      <c r="WJY378" s="15"/>
      <c r="WJZ378" s="15"/>
      <c r="WKA378" s="15"/>
      <c r="WKB378" s="15"/>
      <c r="WKC378" s="15"/>
      <c r="WKD378" s="10"/>
      <c r="WKE378" s="10"/>
      <c r="WKF378" s="21"/>
      <c r="WKG378" s="21"/>
      <c r="WKJ378" s="21"/>
      <c r="WKK378" s="15"/>
      <c r="WKL378" s="15"/>
      <c r="WKM378" s="15"/>
      <c r="WKN378" s="15"/>
      <c r="WKO378" s="15"/>
      <c r="WKP378" s="15"/>
      <c r="WKQ378" s="15"/>
      <c r="WKR378" s="15"/>
      <c r="WKS378" s="15"/>
      <c r="WKT378" s="15"/>
      <c r="WKU378" s="10"/>
      <c r="WKV378" s="10"/>
      <c r="WKW378" s="21"/>
      <c r="WKX378" s="21"/>
      <c r="WLA378" s="21"/>
      <c r="WLB378" s="15"/>
      <c r="WLC378" s="15"/>
      <c r="WLD378" s="15"/>
      <c r="WLE378" s="15"/>
      <c r="WLF378" s="15"/>
      <c r="WLG378" s="15"/>
      <c r="WLH378" s="15"/>
      <c r="WLI378" s="15"/>
      <c r="WLJ378" s="15"/>
      <c r="WLK378" s="15"/>
      <c r="WLL378" s="10"/>
      <c r="WLM378" s="10"/>
      <c r="WLN378" s="21"/>
      <c r="WLO378" s="21"/>
      <c r="WLR378" s="21"/>
      <c r="WLS378" s="15"/>
      <c r="WLT378" s="15"/>
      <c r="WLU378" s="15"/>
      <c r="WLV378" s="15"/>
      <c r="WLW378" s="15"/>
      <c r="WLX378" s="15"/>
      <c r="WLY378" s="15"/>
      <c r="WLZ378" s="15"/>
      <c r="WMA378" s="15"/>
      <c r="WMB378" s="15"/>
      <c r="WMC378" s="10"/>
      <c r="WMD378" s="10"/>
      <c r="WME378" s="21"/>
      <c r="WMF378" s="21"/>
      <c r="WMI378" s="21"/>
      <c r="WMJ378" s="15"/>
      <c r="WMK378" s="15"/>
      <c r="WML378" s="15"/>
      <c r="WMM378" s="15"/>
      <c r="WMN378" s="15"/>
      <c r="WMO378" s="15"/>
      <c r="WMP378" s="15"/>
      <c r="WMQ378" s="15"/>
      <c r="WMR378" s="15"/>
      <c r="WMS378" s="15"/>
      <c r="WMT378" s="10"/>
      <c r="WMU378" s="10"/>
      <c r="WMV378" s="21"/>
      <c r="WMW378" s="21"/>
      <c r="WMZ378" s="21"/>
      <c r="WNA378" s="15"/>
      <c r="WNB378" s="15"/>
      <c r="WNC378" s="15"/>
      <c r="WND378" s="15"/>
      <c r="WNE378" s="15"/>
      <c r="WNF378" s="15"/>
      <c r="WNG378" s="15"/>
      <c r="WNH378" s="15"/>
      <c r="WNI378" s="15"/>
      <c r="WNJ378" s="15"/>
      <c r="WNK378" s="10"/>
      <c r="WNL378" s="10"/>
      <c r="WNM378" s="21"/>
      <c r="WNN378" s="21"/>
      <c r="WNQ378" s="21"/>
      <c r="WNR378" s="15"/>
      <c r="WNS378" s="15"/>
      <c r="WNT378" s="15"/>
      <c r="WNU378" s="15"/>
      <c r="WNV378" s="15"/>
      <c r="WNW378" s="15"/>
      <c r="WNX378" s="15"/>
      <c r="WNY378" s="15"/>
      <c r="WNZ378" s="15"/>
      <c r="WOA378" s="15"/>
      <c r="WOB378" s="10"/>
      <c r="WOC378" s="10"/>
      <c r="WOD378" s="21"/>
      <c r="WOE378" s="21"/>
      <c r="WOH378" s="21"/>
      <c r="WOI378" s="15"/>
      <c r="WOJ378" s="15"/>
      <c r="WOK378" s="15"/>
      <c r="WOL378" s="15"/>
      <c r="WOM378" s="15"/>
      <c r="WON378" s="15"/>
      <c r="WOO378" s="15"/>
      <c r="WOP378" s="15"/>
      <c r="WOQ378" s="15"/>
      <c r="WOR378" s="15"/>
      <c r="WOS378" s="10"/>
      <c r="WOT378" s="10"/>
      <c r="WOU378" s="21"/>
      <c r="WOV378" s="21"/>
      <c r="WOY378" s="21"/>
      <c r="WOZ378" s="15"/>
      <c r="WPA378" s="15"/>
      <c r="WPB378" s="15"/>
      <c r="WPC378" s="15"/>
      <c r="WPD378" s="15"/>
      <c r="WPE378" s="15"/>
      <c r="WPF378" s="15"/>
      <c r="WPG378" s="15"/>
      <c r="WPH378" s="15"/>
      <c r="WPI378" s="15"/>
      <c r="WPJ378" s="10"/>
      <c r="WPK378" s="10"/>
      <c r="WPL378" s="21"/>
      <c r="WPM378" s="21"/>
      <c r="WPP378" s="21"/>
      <c r="WPQ378" s="15"/>
      <c r="WPR378" s="15"/>
      <c r="WPS378" s="15"/>
      <c r="WPT378" s="15"/>
      <c r="WPU378" s="15"/>
      <c r="WPV378" s="15"/>
      <c r="WPW378" s="15"/>
      <c r="WPX378" s="15"/>
      <c r="WPY378" s="15"/>
      <c r="WPZ378" s="15"/>
      <c r="WQA378" s="10"/>
      <c r="WQB378" s="10"/>
      <c r="WQC378" s="21"/>
      <c r="WQD378" s="21"/>
      <c r="WQG378" s="21"/>
      <c r="WQH378" s="15"/>
      <c r="WQI378" s="15"/>
      <c r="WQJ378" s="15"/>
      <c r="WQK378" s="15"/>
      <c r="WQL378" s="15"/>
      <c r="WQM378" s="15"/>
      <c r="WQN378" s="15"/>
      <c r="WQO378" s="15"/>
      <c r="WQP378" s="15"/>
      <c r="WQQ378" s="15"/>
      <c r="WQR378" s="10"/>
      <c r="WQS378" s="10"/>
      <c r="WQT378" s="21"/>
      <c r="WQU378" s="21"/>
      <c r="WQX378" s="21"/>
      <c r="WQY378" s="15"/>
      <c r="WQZ378" s="15"/>
      <c r="WRA378" s="15"/>
      <c r="WRB378" s="15"/>
      <c r="WRC378" s="15"/>
      <c r="WRD378" s="15"/>
      <c r="WRE378" s="15"/>
      <c r="WRF378" s="15"/>
      <c r="WRG378" s="15"/>
      <c r="WRH378" s="15"/>
      <c r="WRI378" s="10"/>
      <c r="WRJ378" s="10"/>
      <c r="WRK378" s="21"/>
      <c r="WRL378" s="21"/>
      <c r="WRO378" s="21"/>
      <c r="WRP378" s="15"/>
      <c r="WRQ378" s="15"/>
      <c r="WRR378" s="15"/>
      <c r="WRS378" s="15"/>
      <c r="WRT378" s="15"/>
      <c r="WRU378" s="15"/>
      <c r="WRV378" s="15"/>
      <c r="WRW378" s="15"/>
      <c r="WRX378" s="15"/>
      <c r="WRY378" s="15"/>
      <c r="WRZ378" s="10"/>
      <c r="WSA378" s="10"/>
      <c r="WSB378" s="21"/>
      <c r="WSC378" s="21"/>
      <c r="WSF378" s="21"/>
      <c r="WSG378" s="15"/>
      <c r="WSH378" s="15"/>
      <c r="WSI378" s="15"/>
      <c r="WSJ378" s="15"/>
      <c r="WSK378" s="15"/>
      <c r="WSL378" s="15"/>
      <c r="WSM378" s="15"/>
      <c r="WSN378" s="15"/>
      <c r="WSO378" s="15"/>
      <c r="WSP378" s="15"/>
      <c r="WSQ378" s="10"/>
      <c r="WSR378" s="10"/>
      <c r="WSS378" s="21"/>
      <c r="WST378" s="21"/>
      <c r="WSW378" s="21"/>
      <c r="WSX378" s="15"/>
      <c r="WSY378" s="15"/>
      <c r="WSZ378" s="15"/>
      <c r="WTA378" s="15"/>
      <c r="WTB378" s="15"/>
      <c r="WTC378" s="15"/>
      <c r="WTD378" s="15"/>
      <c r="WTE378" s="15"/>
      <c r="WTF378" s="15"/>
      <c r="WTG378" s="15"/>
      <c r="WTH378" s="10"/>
      <c r="WTI378" s="10"/>
      <c r="WTJ378" s="21"/>
      <c r="WTK378" s="21"/>
      <c r="WTN378" s="21"/>
      <c r="WTO378" s="15"/>
      <c r="WTP378" s="15"/>
      <c r="WTQ378" s="15"/>
      <c r="WTR378" s="15"/>
      <c r="WTS378" s="15"/>
      <c r="WTT378" s="15"/>
      <c r="WTU378" s="15"/>
      <c r="WTV378" s="15"/>
      <c r="WTW378" s="15"/>
      <c r="WTX378" s="15"/>
      <c r="WTY378" s="10"/>
      <c r="WTZ378" s="10"/>
      <c r="WUA378" s="21"/>
      <c r="WUB378" s="21"/>
      <c r="WUE378" s="21"/>
      <c r="WUF378" s="15"/>
      <c r="WUG378" s="15"/>
      <c r="WUH378" s="15"/>
      <c r="WUI378" s="15"/>
      <c r="WUJ378" s="15"/>
      <c r="WUK378" s="15"/>
      <c r="WUL378" s="15"/>
      <c r="WUM378" s="15"/>
      <c r="WUN378" s="15"/>
      <c r="WUO378" s="15"/>
      <c r="WUP378" s="10"/>
      <c r="WUQ378" s="10"/>
      <c r="WUR378" s="21"/>
      <c r="WUS378" s="21"/>
      <c r="WUV378" s="21"/>
      <c r="WUW378" s="15"/>
      <c r="WUX378" s="15"/>
      <c r="WUY378" s="15"/>
      <c r="WUZ378" s="15"/>
      <c r="WVA378" s="15"/>
      <c r="WVB378" s="15"/>
      <c r="WVC378" s="15"/>
      <c r="WVD378" s="15"/>
      <c r="WVE378" s="15"/>
      <c r="WVF378" s="15"/>
      <c r="WVG378" s="10"/>
      <c r="WVH378" s="10"/>
      <c r="WVI378" s="21"/>
      <c r="WVJ378" s="21"/>
      <c r="WVM378" s="21"/>
      <c r="WVN378" s="15"/>
      <c r="WVO378" s="15"/>
      <c r="WVP378" s="15"/>
      <c r="WVQ378" s="15"/>
      <c r="WVR378" s="15"/>
      <c r="WVS378" s="15"/>
      <c r="WVT378" s="15"/>
      <c r="WVU378" s="15"/>
      <c r="WVV378" s="15"/>
      <c r="WVW378" s="15"/>
      <c r="WVX378" s="10"/>
      <c r="WVY378" s="10"/>
      <c r="WVZ378" s="21"/>
      <c r="WWA378" s="21"/>
      <c r="WWD378" s="21"/>
      <c r="WWE378" s="15"/>
      <c r="WWF378" s="15"/>
      <c r="WWG378" s="15"/>
      <c r="WWH378" s="15"/>
      <c r="WWI378" s="15"/>
      <c r="WWJ378" s="15"/>
      <c r="WWK378" s="15"/>
      <c r="WWL378" s="15"/>
      <c r="WWM378" s="15"/>
      <c r="WWN378" s="15"/>
      <c r="WWO378" s="10"/>
      <c r="WWP378" s="10"/>
      <c r="WWQ378" s="21"/>
      <c r="WWR378" s="21"/>
      <c r="WWU378" s="21"/>
      <c r="WWV378" s="15"/>
      <c r="WWW378" s="15"/>
      <c r="WWX378" s="15"/>
      <c r="WWY378" s="15"/>
      <c r="WWZ378" s="15"/>
      <c r="WXA378" s="15"/>
      <c r="WXB378" s="15"/>
      <c r="WXC378" s="15"/>
      <c r="WXD378" s="15"/>
      <c r="WXE378" s="15"/>
      <c r="WXF378" s="10"/>
      <c r="WXG378" s="10"/>
      <c r="WXH378" s="21"/>
      <c r="WXI378" s="21"/>
      <c r="WXL378" s="21"/>
      <c r="WXM378" s="15"/>
      <c r="WXN378" s="15"/>
      <c r="WXO378" s="15"/>
      <c r="WXP378" s="15"/>
      <c r="WXQ378" s="15"/>
      <c r="WXR378" s="15"/>
      <c r="WXS378" s="15"/>
      <c r="WXT378" s="15"/>
      <c r="WXU378" s="15"/>
      <c r="WXV378" s="15"/>
      <c r="WXW378" s="10"/>
      <c r="WXX378" s="10"/>
      <c r="WXY378" s="21"/>
      <c r="WXZ378" s="21"/>
      <c r="WYC378" s="21"/>
      <c r="WYD378" s="15"/>
      <c r="WYE378" s="15"/>
      <c r="WYF378" s="15"/>
      <c r="WYG378" s="15"/>
      <c r="WYH378" s="15"/>
      <c r="WYI378" s="15"/>
      <c r="WYJ378" s="15"/>
      <c r="WYK378" s="15"/>
      <c r="WYL378" s="15"/>
      <c r="WYM378" s="15"/>
      <c r="WYN378" s="10"/>
      <c r="WYO378" s="10"/>
      <c r="WYP378" s="21"/>
      <c r="WYQ378" s="21"/>
      <c r="WYT378" s="21"/>
      <c r="WYU378" s="15"/>
      <c r="WYV378" s="15"/>
      <c r="WYW378" s="15"/>
      <c r="WYX378" s="15"/>
      <c r="WYY378" s="15"/>
      <c r="WYZ378" s="15"/>
      <c r="WZA378" s="15"/>
      <c r="WZB378" s="15"/>
      <c r="WZC378" s="15"/>
      <c r="WZD378" s="15"/>
      <c r="WZE378" s="10"/>
      <c r="WZF378" s="10"/>
      <c r="WZG378" s="21"/>
      <c r="WZH378" s="21"/>
      <c r="WZK378" s="21"/>
      <c r="WZL378" s="15"/>
      <c r="WZM378" s="15"/>
      <c r="WZN378" s="15"/>
      <c r="WZO378" s="15"/>
      <c r="WZP378" s="15"/>
      <c r="WZQ378" s="15"/>
      <c r="WZR378" s="15"/>
      <c r="WZS378" s="15"/>
      <c r="WZT378" s="15"/>
      <c r="WZU378" s="15"/>
      <c r="WZV378" s="10"/>
      <c r="WZW378" s="10"/>
      <c r="WZX378" s="21"/>
      <c r="WZY378" s="21"/>
      <c r="XAB378" s="21"/>
      <c r="XAC378" s="15"/>
      <c r="XAD378" s="15"/>
      <c r="XAE378" s="15"/>
      <c r="XAF378" s="15"/>
      <c r="XAG378" s="15"/>
      <c r="XAH378" s="15"/>
      <c r="XAI378" s="15"/>
      <c r="XAJ378" s="15"/>
      <c r="XAK378" s="15"/>
      <c r="XAL378" s="15"/>
      <c r="XAM378" s="10"/>
      <c r="XAN378" s="10"/>
      <c r="XAO378" s="21"/>
      <c r="XAP378" s="21"/>
      <c r="XAS378" s="21"/>
      <c r="XAT378" s="15"/>
      <c r="XAU378" s="15"/>
      <c r="XAV378" s="15"/>
      <c r="XAW378" s="15"/>
      <c r="XAX378" s="15"/>
      <c r="XAY378" s="15"/>
      <c r="XAZ378" s="15"/>
      <c r="XBA378" s="15"/>
      <c r="XBB378" s="15"/>
      <c r="XBC378" s="15"/>
      <c r="XBD378" s="10"/>
      <c r="XBE378" s="10"/>
      <c r="XBF378" s="21"/>
      <c r="XBG378" s="21"/>
      <c r="XBJ378" s="21"/>
      <c r="XBK378" s="15"/>
      <c r="XBL378" s="15"/>
      <c r="XBM378" s="15"/>
      <c r="XBN378" s="15"/>
      <c r="XBO378" s="15"/>
      <c r="XBP378" s="15"/>
      <c r="XBQ378" s="15"/>
      <c r="XBR378" s="15"/>
      <c r="XBS378" s="15"/>
      <c r="XBT378" s="15"/>
      <c r="XBU378" s="10"/>
      <c r="XBV378" s="10"/>
      <c r="XBW378" s="21"/>
      <c r="XBX378" s="21"/>
      <c r="XCA378" s="21"/>
      <c r="XCB378" s="15"/>
      <c r="XCC378" s="15"/>
      <c r="XCD378" s="15"/>
      <c r="XCE378" s="15"/>
      <c r="XCF378" s="15"/>
      <c r="XCG378" s="15"/>
      <c r="XCH378" s="15"/>
      <c r="XCI378" s="15"/>
      <c r="XCJ378" s="15"/>
      <c r="XCK378" s="15"/>
      <c r="XCL378" s="10"/>
      <c r="XCM378" s="10"/>
      <c r="XCN378" s="21"/>
      <c r="XCO378" s="21"/>
      <c r="XCR378" s="21"/>
      <c r="XCS378" s="15"/>
      <c r="XCT378" s="15"/>
      <c r="XCU378" s="15"/>
      <c r="XCV378" s="15"/>
      <c r="XCW378" s="15"/>
      <c r="XCX378" s="15"/>
      <c r="XCY378" s="15"/>
      <c r="XCZ378" s="15"/>
      <c r="XDA378" s="15"/>
      <c r="XDB378" s="15"/>
      <c r="XDC378" s="10"/>
      <c r="XDD378" s="10"/>
      <c r="XDE378" s="21"/>
      <c r="XDF378" s="21"/>
      <c r="XDI378" s="21"/>
      <c r="XDJ378" s="15"/>
      <c r="XDK378" s="15"/>
      <c r="XDL378" s="15"/>
      <c r="XDM378" s="15"/>
      <c r="XDN378" s="15"/>
      <c r="XDO378" s="15"/>
      <c r="XDP378" s="15"/>
      <c r="XDQ378" s="15"/>
      <c r="XDR378" s="15"/>
      <c r="XDS378" s="15"/>
      <c r="XDT378" s="10"/>
      <c r="XDU378" s="10"/>
      <c r="XDV378" s="21"/>
      <c r="XDW378" s="21"/>
      <c r="XDZ378" s="21"/>
      <c r="XEA378" s="15"/>
      <c r="XEB378" s="15"/>
      <c r="XEC378" s="15"/>
      <c r="XED378" s="15"/>
      <c r="XEE378" s="15"/>
      <c r="XEF378" s="15"/>
      <c r="XEG378" s="15"/>
      <c r="XEH378" s="15"/>
      <c r="XEI378" s="15"/>
      <c r="XEJ378" s="15"/>
      <c r="XEK378" s="10"/>
      <c r="XEL378" s="10"/>
      <c r="XEM378" s="21"/>
      <c r="XEN378" s="21"/>
      <c r="XEQ378" s="21"/>
      <c r="XER378" s="15"/>
      <c r="XES378" s="15"/>
      <c r="XET378" s="15"/>
      <c r="XEU378" s="15"/>
      <c r="XEV378" s="15"/>
      <c r="XEW378" s="15"/>
      <c r="XEX378" s="15"/>
      <c r="XEY378" s="15"/>
      <c r="XEZ378" s="15"/>
      <c r="XFA378" s="15"/>
      <c r="XFB378" s="10"/>
      <c r="XFC378" s="10"/>
      <c r="XFD378" s="21"/>
    </row>
    <row r="379" spans="1:4094 4097:8191 8194:12288 12291:16384" s="1" customFormat="1" ht="14.25" customHeight="1" x14ac:dyDescent="0.25">
      <c r="A379" s="44">
        <v>0</v>
      </c>
      <c r="B379" s="44">
        <v>2</v>
      </c>
      <c r="C379" s="44">
        <v>5</v>
      </c>
      <c r="D379" s="45" t="s">
        <v>766</v>
      </c>
      <c r="E379" s="45" t="s">
        <v>763</v>
      </c>
      <c r="F379" s="45" t="s">
        <v>768</v>
      </c>
      <c r="G379" s="45" t="s">
        <v>206</v>
      </c>
      <c r="H379" s="45" t="s">
        <v>352</v>
      </c>
      <c r="I379" s="44" t="s">
        <v>767</v>
      </c>
      <c r="J379" s="44">
        <v>99</v>
      </c>
      <c r="K379" s="46" t="s">
        <v>708</v>
      </c>
      <c r="L379" s="46" t="s">
        <v>690</v>
      </c>
      <c r="M379" s="47" t="s">
        <v>1410</v>
      </c>
      <c r="N379" s="47" t="s">
        <v>1719</v>
      </c>
      <c r="O379" s="48"/>
      <c r="P379" s="48"/>
      <c r="Q379" s="45"/>
      <c r="S379" s="1">
        <f t="shared" si="103"/>
        <v>0</v>
      </c>
      <c r="T379" s="1">
        <f t="shared" si="104"/>
        <v>0</v>
      </c>
      <c r="U379" s="1">
        <f t="shared" si="105"/>
        <v>0</v>
      </c>
      <c r="V379" s="1">
        <f t="shared" si="106"/>
        <v>0</v>
      </c>
      <c r="W379" s="1">
        <f t="shared" si="107"/>
        <v>0</v>
      </c>
      <c r="X379" s="1">
        <f t="shared" si="108"/>
        <v>0</v>
      </c>
      <c r="Y379" s="1">
        <f t="shared" si="109"/>
        <v>0</v>
      </c>
      <c r="Z379" s="1">
        <f t="shared" si="110"/>
        <v>0</v>
      </c>
      <c r="AA379" s="1">
        <f t="shared" si="111"/>
        <v>0</v>
      </c>
      <c r="AB379" s="1">
        <f t="shared" si="112"/>
        <v>0</v>
      </c>
      <c r="AD379" s="1">
        <f t="shared" si="113"/>
        <v>0</v>
      </c>
      <c r="AE379" s="1">
        <f t="shared" si="114"/>
        <v>0</v>
      </c>
      <c r="AF379" s="1">
        <f t="shared" si="99"/>
        <v>0</v>
      </c>
      <c r="AG379" s="1">
        <f t="shared" si="100"/>
        <v>0</v>
      </c>
      <c r="AH379" s="1">
        <f t="shared" si="101"/>
        <v>0</v>
      </c>
      <c r="AI379" s="1">
        <f t="shared" si="102"/>
        <v>1</v>
      </c>
    </row>
    <row r="380" spans="1:4094 4097:8191 8194:12288 12291:16384" s="1" customFormat="1" ht="14.25" customHeight="1" x14ac:dyDescent="0.25">
      <c r="A380" s="44">
        <v>1</v>
      </c>
      <c r="B380" s="44">
        <v>2</v>
      </c>
      <c r="C380" s="44">
        <v>5</v>
      </c>
      <c r="D380" s="45" t="s">
        <v>766</v>
      </c>
      <c r="E380" s="45" t="s">
        <v>763</v>
      </c>
      <c r="F380" s="45" t="s">
        <v>993</v>
      </c>
      <c r="G380" s="45" t="s">
        <v>189</v>
      </c>
      <c r="H380" s="45" t="s">
        <v>352</v>
      </c>
      <c r="I380" s="44" t="s">
        <v>994</v>
      </c>
      <c r="J380" s="44">
        <v>99</v>
      </c>
      <c r="K380" s="46" t="s">
        <v>708</v>
      </c>
      <c r="L380" s="46" t="s">
        <v>690</v>
      </c>
      <c r="M380" s="47" t="s">
        <v>1410</v>
      </c>
      <c r="N380" s="47" t="s">
        <v>1719</v>
      </c>
      <c r="O380" s="48"/>
      <c r="P380" s="48"/>
      <c r="Q380" s="45"/>
      <c r="S380" s="1">
        <f t="shared" si="103"/>
        <v>0</v>
      </c>
      <c r="T380" s="1">
        <f t="shared" si="104"/>
        <v>0</v>
      </c>
      <c r="U380" s="1">
        <f t="shared" si="105"/>
        <v>0</v>
      </c>
      <c r="V380" s="1">
        <f t="shared" si="106"/>
        <v>0</v>
      </c>
      <c r="W380" s="1">
        <f t="shared" si="107"/>
        <v>0</v>
      </c>
      <c r="X380" s="1">
        <f t="shared" si="108"/>
        <v>0</v>
      </c>
      <c r="Y380" s="1">
        <f t="shared" si="109"/>
        <v>0</v>
      </c>
      <c r="Z380" s="1">
        <f t="shared" si="110"/>
        <v>0</v>
      </c>
      <c r="AA380" s="1">
        <f t="shared" si="111"/>
        <v>0</v>
      </c>
      <c r="AB380" s="1">
        <f t="shared" si="112"/>
        <v>0</v>
      </c>
      <c r="AD380" s="1">
        <f t="shared" si="113"/>
        <v>0</v>
      </c>
      <c r="AE380" s="1">
        <f t="shared" si="114"/>
        <v>0</v>
      </c>
      <c r="AF380" s="1">
        <f t="shared" si="99"/>
        <v>0</v>
      </c>
      <c r="AG380" s="1">
        <f t="shared" si="100"/>
        <v>0</v>
      </c>
      <c r="AH380" s="1">
        <f t="shared" si="101"/>
        <v>0</v>
      </c>
      <c r="AI380" s="1">
        <f t="shared" si="102"/>
        <v>0</v>
      </c>
    </row>
    <row r="381" spans="1:4094 4097:8191 8194:12288 12291:16384" s="1" customFormat="1" ht="14.25" customHeight="1" x14ac:dyDescent="0.25">
      <c r="A381" s="15">
        <v>0</v>
      </c>
      <c r="B381" s="15">
        <v>2</v>
      </c>
      <c r="C381" s="15">
        <v>5</v>
      </c>
      <c r="D381" s="16" t="s">
        <v>905</v>
      </c>
      <c r="E381" s="16" t="s">
        <v>900</v>
      </c>
      <c r="F381" s="16" t="s">
        <v>918</v>
      </c>
      <c r="G381" s="16" t="s">
        <v>1334</v>
      </c>
      <c r="H381" s="16" t="s">
        <v>352</v>
      </c>
      <c r="I381" s="15" t="s">
        <v>761</v>
      </c>
      <c r="J381" s="15">
        <v>99</v>
      </c>
      <c r="K381" s="10" t="s">
        <v>699</v>
      </c>
      <c r="L381" s="10">
        <v>20</v>
      </c>
      <c r="M381" s="19" t="s">
        <v>1411</v>
      </c>
      <c r="N381" s="19"/>
      <c r="Q381" s="16"/>
      <c r="S381" s="1">
        <f t="shared" si="103"/>
        <v>0</v>
      </c>
      <c r="T381" s="1">
        <f t="shared" si="104"/>
        <v>0</v>
      </c>
      <c r="U381" s="1">
        <f t="shared" si="105"/>
        <v>0</v>
      </c>
      <c r="V381" s="1">
        <f t="shared" si="106"/>
        <v>0</v>
      </c>
      <c r="W381" s="1">
        <f t="shared" si="107"/>
        <v>0</v>
      </c>
      <c r="X381" s="1">
        <f t="shared" si="108"/>
        <v>0</v>
      </c>
      <c r="Y381" s="1">
        <f t="shared" si="109"/>
        <v>0</v>
      </c>
      <c r="Z381" s="1">
        <f t="shared" si="110"/>
        <v>0</v>
      </c>
      <c r="AA381" s="1">
        <f t="shared" si="111"/>
        <v>0</v>
      </c>
      <c r="AB381" s="1">
        <f t="shared" si="112"/>
        <v>0</v>
      </c>
      <c r="AD381" s="1">
        <f t="shared" si="113"/>
        <v>0</v>
      </c>
      <c r="AE381" s="1">
        <f t="shared" si="114"/>
        <v>0</v>
      </c>
      <c r="AF381" s="1">
        <f t="shared" si="99"/>
        <v>0</v>
      </c>
      <c r="AG381" s="1">
        <f t="shared" si="100"/>
        <v>0</v>
      </c>
      <c r="AH381" s="1">
        <f t="shared" si="101"/>
        <v>0</v>
      </c>
      <c r="AI381" s="1">
        <f t="shared" si="102"/>
        <v>1</v>
      </c>
    </row>
    <row r="382" spans="1:4094 4097:8191 8194:12288 12291:16384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1905</v>
      </c>
      <c r="E382" s="32"/>
      <c r="F382" s="32" t="s">
        <v>1906</v>
      </c>
      <c r="G382" s="32" t="s">
        <v>207</v>
      </c>
      <c r="H382" s="32" t="s">
        <v>352</v>
      </c>
      <c r="I382" s="31" t="s">
        <v>1907</v>
      </c>
      <c r="J382" s="31">
        <v>3</v>
      </c>
      <c r="K382" s="33" t="s">
        <v>699</v>
      </c>
      <c r="L382" s="33"/>
      <c r="M382" s="34"/>
      <c r="N382" s="34" t="s">
        <v>1711</v>
      </c>
      <c r="O382" s="35">
        <v>1</v>
      </c>
      <c r="P382" s="35">
        <v>1</v>
      </c>
      <c r="Q382" s="32" t="s">
        <v>1908</v>
      </c>
      <c r="S382" s="1">
        <f t="shared" si="103"/>
        <v>0</v>
      </c>
      <c r="T382" s="1">
        <f t="shared" si="104"/>
        <v>0</v>
      </c>
      <c r="U382" s="1">
        <f t="shared" si="105"/>
        <v>1</v>
      </c>
      <c r="V382" s="1">
        <f t="shared" si="106"/>
        <v>0</v>
      </c>
      <c r="W382" s="1">
        <f t="shared" si="107"/>
        <v>0</v>
      </c>
      <c r="X382" s="1">
        <f t="shared" si="108"/>
        <v>0</v>
      </c>
      <c r="Y382" s="1">
        <f t="shared" si="109"/>
        <v>0</v>
      </c>
      <c r="Z382" s="1">
        <f t="shared" si="110"/>
        <v>0</v>
      </c>
      <c r="AA382" s="1">
        <f t="shared" si="111"/>
        <v>0</v>
      </c>
      <c r="AB382" s="1">
        <f t="shared" si="112"/>
        <v>0</v>
      </c>
      <c r="AD382" s="1">
        <f t="shared" si="113"/>
        <v>1</v>
      </c>
      <c r="AE382" s="1">
        <f t="shared" si="114"/>
        <v>0</v>
      </c>
      <c r="AF382" s="1">
        <f t="shared" si="99"/>
        <v>1</v>
      </c>
      <c r="AG382" s="1">
        <f t="shared" si="100"/>
        <v>0</v>
      </c>
      <c r="AH382" s="1">
        <f t="shared" si="101"/>
        <v>1</v>
      </c>
      <c r="AI382" s="1">
        <f t="shared" si="102"/>
        <v>0</v>
      </c>
    </row>
    <row r="383" spans="1:4094 4097:8191 8194:12288 12291:16384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1254</v>
      </c>
      <c r="E383" s="32" t="s">
        <v>1255</v>
      </c>
      <c r="F383" s="32" t="s">
        <v>1256</v>
      </c>
      <c r="G383" s="32" t="s">
        <v>219</v>
      </c>
      <c r="H383" s="32" t="s">
        <v>352</v>
      </c>
      <c r="I383" s="31" t="s">
        <v>1707</v>
      </c>
      <c r="J383" s="31">
        <v>8</v>
      </c>
      <c r="K383" s="33" t="s">
        <v>709</v>
      </c>
      <c r="L383" s="33" t="s">
        <v>39</v>
      </c>
      <c r="M383" s="34" t="s">
        <v>39</v>
      </c>
      <c r="N383" s="34" t="s">
        <v>1711</v>
      </c>
      <c r="O383" s="35">
        <v>1</v>
      </c>
      <c r="P383" s="35">
        <v>1</v>
      </c>
      <c r="Q383" s="32"/>
      <c r="S383" s="1">
        <f t="shared" si="103"/>
        <v>0</v>
      </c>
      <c r="T383" s="1">
        <f t="shared" si="104"/>
        <v>0</v>
      </c>
      <c r="U383" s="1">
        <f t="shared" si="105"/>
        <v>0</v>
      </c>
      <c r="V383" s="1">
        <f t="shared" si="106"/>
        <v>0</v>
      </c>
      <c r="W383" s="1">
        <f t="shared" si="107"/>
        <v>0</v>
      </c>
      <c r="X383" s="1">
        <f t="shared" si="108"/>
        <v>0</v>
      </c>
      <c r="Y383" s="1">
        <f t="shared" si="109"/>
        <v>0</v>
      </c>
      <c r="Z383" s="1">
        <f t="shared" si="110"/>
        <v>1</v>
      </c>
      <c r="AA383" s="1">
        <f t="shared" si="111"/>
        <v>0</v>
      </c>
      <c r="AB383" s="1">
        <f t="shared" si="112"/>
        <v>0</v>
      </c>
      <c r="AD383" s="1">
        <f t="shared" si="113"/>
        <v>1</v>
      </c>
      <c r="AE383" s="1">
        <f t="shared" si="114"/>
        <v>0</v>
      </c>
      <c r="AF383" s="1">
        <f t="shared" si="99"/>
        <v>1</v>
      </c>
      <c r="AG383" s="1">
        <f t="shared" si="100"/>
        <v>0</v>
      </c>
      <c r="AH383" s="1">
        <f t="shared" si="101"/>
        <v>1</v>
      </c>
      <c r="AI383" s="1">
        <f t="shared" si="102"/>
        <v>0</v>
      </c>
    </row>
    <row r="384" spans="1:4094 4097:8191 8194:12288 12291:16384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1069</v>
      </c>
      <c r="E384" s="32" t="s">
        <v>154</v>
      </c>
      <c r="F384" s="32" t="s">
        <v>1053</v>
      </c>
      <c r="G384" s="32" t="s">
        <v>319</v>
      </c>
      <c r="H384" s="32" t="s">
        <v>352</v>
      </c>
      <c r="I384" s="31" t="s">
        <v>1054</v>
      </c>
      <c r="J384" s="31">
        <v>99</v>
      </c>
      <c r="K384" s="33" t="s">
        <v>709</v>
      </c>
      <c r="L384" s="33" t="s">
        <v>690</v>
      </c>
      <c r="M384" s="34" t="s">
        <v>1412</v>
      </c>
      <c r="N384" s="34" t="s">
        <v>1740</v>
      </c>
      <c r="O384" s="35">
        <v>1</v>
      </c>
      <c r="P384" s="35"/>
      <c r="Q384" s="32"/>
      <c r="S384" s="1">
        <f t="shared" si="103"/>
        <v>0</v>
      </c>
      <c r="T384" s="1">
        <f t="shared" si="104"/>
        <v>0</v>
      </c>
      <c r="U384" s="1">
        <f t="shared" si="105"/>
        <v>0</v>
      </c>
      <c r="V384" s="1">
        <f t="shared" si="106"/>
        <v>0</v>
      </c>
      <c r="W384" s="1">
        <f t="shared" si="107"/>
        <v>0</v>
      </c>
      <c r="X384" s="1">
        <f t="shared" si="108"/>
        <v>0</v>
      </c>
      <c r="Y384" s="1">
        <f t="shared" si="109"/>
        <v>0</v>
      </c>
      <c r="Z384" s="1">
        <f t="shared" si="110"/>
        <v>0</v>
      </c>
      <c r="AA384" s="1">
        <f t="shared" si="111"/>
        <v>0</v>
      </c>
      <c r="AB384" s="1">
        <f t="shared" si="112"/>
        <v>0</v>
      </c>
      <c r="AD384" s="1">
        <f t="shared" si="113"/>
        <v>0</v>
      </c>
      <c r="AE384" s="1">
        <f t="shared" si="114"/>
        <v>1</v>
      </c>
      <c r="AF384" s="1">
        <f t="shared" si="99"/>
        <v>0</v>
      </c>
      <c r="AG384" s="1">
        <f t="shared" si="100"/>
        <v>1</v>
      </c>
      <c r="AH384" s="1">
        <f t="shared" si="101"/>
        <v>0</v>
      </c>
      <c r="AI384" s="1">
        <f t="shared" si="102"/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787</v>
      </c>
      <c r="E385" s="32" t="s">
        <v>763</v>
      </c>
      <c r="F385" s="32" t="s">
        <v>921</v>
      </c>
      <c r="G385" s="32" t="s">
        <v>219</v>
      </c>
      <c r="H385" s="32" t="s">
        <v>352</v>
      </c>
      <c r="I385" s="31" t="s">
        <v>788</v>
      </c>
      <c r="J385" s="31">
        <v>8</v>
      </c>
      <c r="K385" s="33" t="s">
        <v>699</v>
      </c>
      <c r="L385" s="33">
        <v>20</v>
      </c>
      <c r="M385" s="34" t="s">
        <v>1403</v>
      </c>
      <c r="N385" s="34" t="s">
        <v>1809</v>
      </c>
      <c r="O385" s="35">
        <v>1</v>
      </c>
      <c r="P385" s="35"/>
      <c r="Q385" s="32"/>
      <c r="S385" s="1">
        <f t="shared" si="103"/>
        <v>0</v>
      </c>
      <c r="T385" s="1">
        <f t="shared" si="104"/>
        <v>0</v>
      </c>
      <c r="U385" s="1">
        <f t="shared" si="105"/>
        <v>0</v>
      </c>
      <c r="V385" s="1">
        <f t="shared" si="106"/>
        <v>0</v>
      </c>
      <c r="W385" s="1">
        <f t="shared" si="107"/>
        <v>0</v>
      </c>
      <c r="X385" s="1">
        <f t="shared" si="108"/>
        <v>0</v>
      </c>
      <c r="Y385" s="1">
        <f t="shared" si="109"/>
        <v>0</v>
      </c>
      <c r="Z385" s="1">
        <f t="shared" si="110"/>
        <v>1</v>
      </c>
      <c r="AA385" s="1">
        <f t="shared" si="111"/>
        <v>0</v>
      </c>
      <c r="AB385" s="1">
        <f t="shared" si="112"/>
        <v>0</v>
      </c>
      <c r="AD385" s="1">
        <f t="shared" si="113"/>
        <v>0</v>
      </c>
      <c r="AE385" s="1">
        <f t="shared" si="114"/>
        <v>1</v>
      </c>
      <c r="AF385" s="1">
        <f t="shared" si="99"/>
        <v>0</v>
      </c>
      <c r="AG385" s="1">
        <f t="shared" si="100"/>
        <v>1</v>
      </c>
      <c r="AH385" s="1">
        <f t="shared" si="101"/>
        <v>0</v>
      </c>
      <c r="AI385" s="1">
        <f t="shared" si="102"/>
        <v>1</v>
      </c>
    </row>
    <row r="386" spans="1:35" s="1" customFormat="1" ht="14.25" customHeight="1" x14ac:dyDescent="0.25">
      <c r="A386" s="49">
        <v>0</v>
      </c>
      <c r="B386" s="49">
        <v>2</v>
      </c>
      <c r="C386" s="49">
        <v>5</v>
      </c>
      <c r="D386" s="50" t="s">
        <v>79</v>
      </c>
      <c r="E386" s="50" t="s">
        <v>158</v>
      </c>
      <c r="F386" s="50" t="s">
        <v>267</v>
      </c>
      <c r="G386" s="50" t="s">
        <v>212</v>
      </c>
      <c r="H386" s="50" t="s">
        <v>352</v>
      </c>
      <c r="I386" s="49" t="s">
        <v>423</v>
      </c>
      <c r="J386" s="49">
        <v>1</v>
      </c>
      <c r="K386" s="51" t="s">
        <v>942</v>
      </c>
      <c r="L386" s="51" t="s">
        <v>700</v>
      </c>
      <c r="M386" s="52" t="s">
        <v>723</v>
      </c>
      <c r="N386" s="52" t="s">
        <v>1727</v>
      </c>
      <c r="O386" s="53">
        <v>1</v>
      </c>
      <c r="P386" s="53"/>
      <c r="Q386" s="50"/>
      <c r="S386" s="1">
        <f t="shared" si="103"/>
        <v>1</v>
      </c>
      <c r="T386" s="1">
        <f t="shared" si="104"/>
        <v>0</v>
      </c>
      <c r="U386" s="1">
        <f t="shared" si="105"/>
        <v>0</v>
      </c>
      <c r="V386" s="1">
        <f t="shared" si="106"/>
        <v>0</v>
      </c>
      <c r="W386" s="1">
        <f t="shared" si="107"/>
        <v>0</v>
      </c>
      <c r="X386" s="1">
        <f t="shared" si="108"/>
        <v>0</v>
      </c>
      <c r="Y386" s="1">
        <f t="shared" si="109"/>
        <v>0</v>
      </c>
      <c r="Z386" s="1">
        <f t="shared" si="110"/>
        <v>0</v>
      </c>
      <c r="AA386" s="1">
        <f t="shared" si="111"/>
        <v>0</v>
      </c>
      <c r="AB386" s="1">
        <f t="shared" si="112"/>
        <v>0</v>
      </c>
      <c r="AD386" s="1">
        <f t="shared" si="113"/>
        <v>0</v>
      </c>
      <c r="AE386" s="1">
        <f t="shared" si="114"/>
        <v>1</v>
      </c>
      <c r="AF386" s="1">
        <f t="shared" si="99"/>
        <v>0</v>
      </c>
      <c r="AG386" s="1">
        <f t="shared" si="100"/>
        <v>1</v>
      </c>
      <c r="AH386" s="1">
        <f t="shared" si="101"/>
        <v>0</v>
      </c>
      <c r="AI386" s="1">
        <f t="shared" si="102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1626</v>
      </c>
      <c r="E387" s="32" t="s">
        <v>1638</v>
      </c>
      <c r="F387" s="32" t="s">
        <v>1535</v>
      </c>
      <c r="G387" s="32" t="s">
        <v>261</v>
      </c>
      <c r="H387" s="32" t="s">
        <v>352</v>
      </c>
      <c r="I387" s="31" t="s">
        <v>1536</v>
      </c>
      <c r="J387" s="31">
        <v>99</v>
      </c>
      <c r="K387" s="33" t="s">
        <v>942</v>
      </c>
      <c r="L387" s="33">
        <v>40</v>
      </c>
      <c r="M387" s="34" t="s">
        <v>39</v>
      </c>
      <c r="N387" s="34" t="s">
        <v>1809</v>
      </c>
      <c r="O387" s="35">
        <v>1</v>
      </c>
      <c r="P387" s="35"/>
      <c r="Q387" s="32"/>
      <c r="S387" s="1">
        <f t="shared" si="103"/>
        <v>0</v>
      </c>
      <c r="T387" s="1">
        <f t="shared" si="104"/>
        <v>0</v>
      </c>
      <c r="U387" s="1">
        <f t="shared" si="105"/>
        <v>0</v>
      </c>
      <c r="V387" s="1">
        <f t="shared" si="106"/>
        <v>0</v>
      </c>
      <c r="W387" s="1">
        <f t="shared" si="107"/>
        <v>0</v>
      </c>
      <c r="X387" s="1">
        <f t="shared" si="108"/>
        <v>0</v>
      </c>
      <c r="Y387" s="1">
        <f t="shared" si="109"/>
        <v>0</v>
      </c>
      <c r="Z387" s="1">
        <f t="shared" si="110"/>
        <v>0</v>
      </c>
      <c r="AA387" s="1">
        <f t="shared" si="111"/>
        <v>0</v>
      </c>
      <c r="AB387" s="1">
        <f t="shared" si="112"/>
        <v>0</v>
      </c>
      <c r="AD387" s="1">
        <f t="shared" si="113"/>
        <v>0</v>
      </c>
      <c r="AE387" s="1">
        <f t="shared" si="114"/>
        <v>1</v>
      </c>
      <c r="AF387" s="1">
        <f t="shared" si="99"/>
        <v>0</v>
      </c>
      <c r="AG387" s="1">
        <f t="shared" si="100"/>
        <v>1</v>
      </c>
      <c r="AH387" s="1">
        <f t="shared" si="101"/>
        <v>0</v>
      </c>
      <c r="AI387" s="1">
        <f t="shared" si="102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1281</v>
      </c>
      <c r="E388" s="32" t="s">
        <v>27</v>
      </c>
      <c r="F388" s="32" t="s">
        <v>1282</v>
      </c>
      <c r="G388" s="32" t="s">
        <v>1283</v>
      </c>
      <c r="H388" s="32" t="s">
        <v>352</v>
      </c>
      <c r="I388" s="31" t="s">
        <v>1284</v>
      </c>
      <c r="J388" s="31">
        <v>99</v>
      </c>
      <c r="K388" s="33" t="s">
        <v>942</v>
      </c>
      <c r="L388" s="33" t="s">
        <v>39</v>
      </c>
      <c r="M388" s="34" t="s">
        <v>39</v>
      </c>
      <c r="N388" s="34" t="s">
        <v>1711</v>
      </c>
      <c r="O388" s="35">
        <v>1</v>
      </c>
      <c r="P388" s="35">
        <v>1</v>
      </c>
      <c r="Q388" s="36"/>
      <c r="S388" s="1">
        <f t="shared" si="103"/>
        <v>0</v>
      </c>
      <c r="T388" s="1">
        <f t="shared" si="104"/>
        <v>0</v>
      </c>
      <c r="U388" s="1">
        <f t="shared" si="105"/>
        <v>0</v>
      </c>
      <c r="V388" s="1">
        <f t="shared" si="106"/>
        <v>0</v>
      </c>
      <c r="W388" s="1">
        <f t="shared" si="107"/>
        <v>0</v>
      </c>
      <c r="X388" s="1">
        <f t="shared" si="108"/>
        <v>0</v>
      </c>
      <c r="Y388" s="1">
        <f t="shared" si="109"/>
        <v>0</v>
      </c>
      <c r="Z388" s="1">
        <f t="shared" si="110"/>
        <v>0</v>
      </c>
      <c r="AA388" s="1">
        <f t="shared" si="111"/>
        <v>0</v>
      </c>
      <c r="AB388" s="1">
        <f t="shared" si="112"/>
        <v>0</v>
      </c>
      <c r="AD388" s="1">
        <f t="shared" si="113"/>
        <v>1</v>
      </c>
      <c r="AE388" s="1">
        <f t="shared" si="114"/>
        <v>0</v>
      </c>
      <c r="AF388" s="1">
        <f t="shared" si="99"/>
        <v>1</v>
      </c>
      <c r="AG388" s="1">
        <f t="shared" si="100"/>
        <v>0</v>
      </c>
      <c r="AH388" s="1">
        <f t="shared" si="101"/>
        <v>1</v>
      </c>
      <c r="AI388" s="1">
        <f t="shared" si="102"/>
        <v>0</v>
      </c>
    </row>
    <row r="389" spans="1:35" s="1" customFormat="1" ht="14.25" customHeight="1" x14ac:dyDescent="0.25">
      <c r="A389" s="44">
        <v>0</v>
      </c>
      <c r="B389" s="44">
        <v>2</v>
      </c>
      <c r="C389" s="44">
        <v>5</v>
      </c>
      <c r="D389" s="45" t="s">
        <v>1587</v>
      </c>
      <c r="E389" s="45" t="s">
        <v>158</v>
      </c>
      <c r="F389" s="45" t="s">
        <v>1659</v>
      </c>
      <c r="G389" s="45" t="s">
        <v>1452</v>
      </c>
      <c r="H389" s="45" t="s">
        <v>352</v>
      </c>
      <c r="I389" s="44" t="s">
        <v>1453</v>
      </c>
      <c r="J389" s="44">
        <v>99</v>
      </c>
      <c r="K389" s="46" t="s">
        <v>709</v>
      </c>
      <c r="L389" s="46" t="s">
        <v>692</v>
      </c>
      <c r="M389" s="47" t="s">
        <v>1454</v>
      </c>
      <c r="N389" s="47" t="s">
        <v>1731</v>
      </c>
      <c r="O389" s="48"/>
      <c r="P389" s="48"/>
      <c r="Q389" s="45"/>
      <c r="S389" s="1">
        <f t="shared" si="103"/>
        <v>0</v>
      </c>
      <c r="T389" s="1">
        <f t="shared" si="104"/>
        <v>0</v>
      </c>
      <c r="U389" s="1">
        <f t="shared" si="105"/>
        <v>0</v>
      </c>
      <c r="V389" s="1">
        <f t="shared" si="106"/>
        <v>0</v>
      </c>
      <c r="W389" s="1">
        <f t="shared" si="107"/>
        <v>0</v>
      </c>
      <c r="X389" s="1">
        <f t="shared" si="108"/>
        <v>0</v>
      </c>
      <c r="Y389" s="1">
        <f t="shared" si="109"/>
        <v>0</v>
      </c>
      <c r="Z389" s="1">
        <f t="shared" si="110"/>
        <v>0</v>
      </c>
      <c r="AA389" s="1">
        <f t="shared" si="111"/>
        <v>0</v>
      </c>
      <c r="AB389" s="1">
        <f t="shared" si="112"/>
        <v>0</v>
      </c>
      <c r="AD389" s="1">
        <f t="shared" si="113"/>
        <v>0</v>
      </c>
      <c r="AE389" s="1">
        <f t="shared" si="114"/>
        <v>0</v>
      </c>
      <c r="AF389" s="1">
        <f t="shared" si="99"/>
        <v>0</v>
      </c>
      <c r="AG389" s="1">
        <f t="shared" si="100"/>
        <v>0</v>
      </c>
      <c r="AH389" s="1">
        <f t="shared" si="101"/>
        <v>0</v>
      </c>
      <c r="AI389" s="1">
        <f t="shared" si="102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2025</v>
      </c>
      <c r="E390" s="32" t="s">
        <v>2026</v>
      </c>
      <c r="F390" s="32" t="s">
        <v>2027</v>
      </c>
      <c r="G390" s="32" t="s">
        <v>2030</v>
      </c>
      <c r="H390" s="32" t="s">
        <v>352</v>
      </c>
      <c r="I390" s="31" t="s">
        <v>2028</v>
      </c>
      <c r="J390" s="31"/>
      <c r="K390" s="33" t="s">
        <v>1806</v>
      </c>
      <c r="L390" s="33"/>
      <c r="M390" s="34"/>
      <c r="N390" s="34" t="s">
        <v>1711</v>
      </c>
      <c r="O390" s="35">
        <v>1</v>
      </c>
      <c r="P390" s="35">
        <v>1</v>
      </c>
      <c r="Q390" s="32" t="s">
        <v>2029</v>
      </c>
      <c r="S390" s="1">
        <f t="shared" si="103"/>
        <v>0</v>
      </c>
      <c r="T390" s="1">
        <f t="shared" si="104"/>
        <v>0</v>
      </c>
      <c r="U390" s="1">
        <f t="shared" si="105"/>
        <v>0</v>
      </c>
      <c r="V390" s="1">
        <f t="shared" si="106"/>
        <v>0</v>
      </c>
      <c r="W390" s="1">
        <f t="shared" si="107"/>
        <v>0</v>
      </c>
      <c r="X390" s="1">
        <f t="shared" si="108"/>
        <v>0</v>
      </c>
      <c r="Y390" s="1">
        <f t="shared" si="109"/>
        <v>0</v>
      </c>
      <c r="Z390" s="1">
        <f t="shared" si="110"/>
        <v>0</v>
      </c>
      <c r="AA390" s="1">
        <f t="shared" si="111"/>
        <v>0</v>
      </c>
      <c r="AB390" s="1">
        <f t="shared" si="112"/>
        <v>0</v>
      </c>
      <c r="AD390" s="1">
        <f t="shared" si="113"/>
        <v>1</v>
      </c>
      <c r="AE390" s="1">
        <f t="shared" si="114"/>
        <v>0</v>
      </c>
      <c r="AF390" s="1">
        <f t="shared" si="99"/>
        <v>1</v>
      </c>
      <c r="AG390" s="1">
        <f t="shared" si="100"/>
        <v>0</v>
      </c>
      <c r="AH390" s="1">
        <f t="shared" si="101"/>
        <v>1</v>
      </c>
      <c r="AI390" s="1">
        <f t="shared" si="102"/>
        <v>0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1762</v>
      </c>
      <c r="E391" s="32" t="s">
        <v>154</v>
      </c>
      <c r="F391" s="32" t="s">
        <v>1763</v>
      </c>
      <c r="G391" s="32" t="s">
        <v>652</v>
      </c>
      <c r="H391" s="32" t="s">
        <v>352</v>
      </c>
      <c r="I391" s="31" t="s">
        <v>1764</v>
      </c>
      <c r="J391" s="31"/>
      <c r="K391" s="33" t="s">
        <v>699</v>
      </c>
      <c r="L391" s="33">
        <v>40</v>
      </c>
      <c r="M391" s="34" t="s">
        <v>1765</v>
      </c>
      <c r="N391" s="34" t="s">
        <v>1727</v>
      </c>
      <c r="O391" s="35">
        <v>1</v>
      </c>
      <c r="P391" s="35"/>
      <c r="Q391" s="32"/>
      <c r="S391" s="1">
        <f t="shared" si="103"/>
        <v>0</v>
      </c>
      <c r="T391" s="1">
        <f t="shared" si="104"/>
        <v>0</v>
      </c>
      <c r="U391" s="1">
        <f t="shared" si="105"/>
        <v>0</v>
      </c>
      <c r="V391" s="1">
        <f t="shared" si="106"/>
        <v>0</v>
      </c>
      <c r="W391" s="1">
        <f t="shared" si="107"/>
        <v>0</v>
      </c>
      <c r="X391" s="1">
        <f t="shared" si="108"/>
        <v>0</v>
      </c>
      <c r="Y391" s="1">
        <f t="shared" si="109"/>
        <v>0</v>
      </c>
      <c r="Z391" s="1">
        <f t="shared" si="110"/>
        <v>0</v>
      </c>
      <c r="AA391" s="1">
        <f t="shared" si="111"/>
        <v>0</v>
      </c>
      <c r="AB391" s="1">
        <f t="shared" si="112"/>
        <v>0</v>
      </c>
      <c r="AD391" s="1">
        <f t="shared" si="113"/>
        <v>0</v>
      </c>
      <c r="AE391" s="1">
        <f t="shared" si="114"/>
        <v>1</v>
      </c>
      <c r="AF391" s="1">
        <f t="shared" si="99"/>
        <v>0</v>
      </c>
      <c r="AG391" s="1">
        <f t="shared" si="100"/>
        <v>1</v>
      </c>
      <c r="AH391" s="1">
        <f t="shared" si="101"/>
        <v>0</v>
      </c>
      <c r="AI391" s="1">
        <f t="shared" si="102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828</v>
      </c>
      <c r="E392" s="32" t="s">
        <v>822</v>
      </c>
      <c r="F392" s="32" t="s">
        <v>929</v>
      </c>
      <c r="G392" s="32" t="s">
        <v>179</v>
      </c>
      <c r="H392" s="32" t="s">
        <v>352</v>
      </c>
      <c r="I392" s="31" t="s">
        <v>1096</v>
      </c>
      <c r="J392" s="31">
        <v>10</v>
      </c>
      <c r="K392" s="33" t="s">
        <v>708</v>
      </c>
      <c r="L392" s="33" t="s">
        <v>689</v>
      </c>
      <c r="M392" s="34" t="s">
        <v>1413</v>
      </c>
      <c r="N392" s="34" t="s">
        <v>1739</v>
      </c>
      <c r="O392" s="35">
        <v>1</v>
      </c>
      <c r="P392" s="35"/>
      <c r="Q392" s="32"/>
      <c r="S392" s="1">
        <f t="shared" si="103"/>
        <v>0</v>
      </c>
      <c r="T392" s="1">
        <f t="shared" si="104"/>
        <v>0</v>
      </c>
      <c r="U392" s="1">
        <f t="shared" si="105"/>
        <v>0</v>
      </c>
      <c r="V392" s="1">
        <f t="shared" si="106"/>
        <v>0</v>
      </c>
      <c r="W392" s="1">
        <f t="shared" si="107"/>
        <v>0</v>
      </c>
      <c r="X392" s="1">
        <f t="shared" si="108"/>
        <v>0</v>
      </c>
      <c r="Y392" s="1">
        <f t="shared" si="109"/>
        <v>0</v>
      </c>
      <c r="Z392" s="1">
        <f t="shared" si="110"/>
        <v>0</v>
      </c>
      <c r="AA392" s="1">
        <f t="shared" si="111"/>
        <v>0</v>
      </c>
      <c r="AB392" s="1">
        <f t="shared" si="112"/>
        <v>1</v>
      </c>
      <c r="AD392" s="1">
        <f t="shared" si="113"/>
        <v>0</v>
      </c>
      <c r="AE392" s="1">
        <f t="shared" si="114"/>
        <v>1</v>
      </c>
      <c r="AF392" s="1">
        <f t="shared" si="99"/>
        <v>0</v>
      </c>
      <c r="AG392" s="1">
        <f t="shared" si="100"/>
        <v>1</v>
      </c>
      <c r="AH392" s="1">
        <f t="shared" si="101"/>
        <v>0</v>
      </c>
      <c r="AI392" s="1">
        <f t="shared" si="102"/>
        <v>1</v>
      </c>
    </row>
    <row r="393" spans="1:35" s="1" customFormat="1" ht="14.25" customHeight="1" x14ac:dyDescent="0.25">
      <c r="A393" s="57">
        <v>0</v>
      </c>
      <c r="B393" s="57">
        <v>2</v>
      </c>
      <c r="C393" s="57">
        <v>6</v>
      </c>
      <c r="D393" s="58" t="s">
        <v>1527</v>
      </c>
      <c r="E393" s="58" t="s">
        <v>27</v>
      </c>
      <c r="F393" s="58" t="s">
        <v>1529</v>
      </c>
      <c r="G393" s="58" t="s">
        <v>1518</v>
      </c>
      <c r="H393" s="58" t="s">
        <v>352</v>
      </c>
      <c r="I393" s="57" t="s">
        <v>1528</v>
      </c>
      <c r="J393" s="57">
        <v>5</v>
      </c>
      <c r="K393" s="59" t="s">
        <v>942</v>
      </c>
      <c r="L393" s="59" t="s">
        <v>39</v>
      </c>
      <c r="M393" s="60" t="s">
        <v>39</v>
      </c>
      <c r="N393" s="61"/>
      <c r="O393" s="62"/>
      <c r="P393" s="62"/>
      <c r="Q393" s="66" t="s">
        <v>1884</v>
      </c>
      <c r="S393" s="1">
        <f t="shared" si="103"/>
        <v>0</v>
      </c>
      <c r="T393" s="1">
        <f t="shared" si="104"/>
        <v>0</v>
      </c>
      <c r="U393" s="1">
        <f t="shared" si="105"/>
        <v>0</v>
      </c>
      <c r="V393" s="1">
        <f t="shared" si="106"/>
        <v>0</v>
      </c>
      <c r="W393" s="1">
        <f t="shared" si="107"/>
        <v>1</v>
      </c>
      <c r="X393" s="1">
        <f t="shared" si="108"/>
        <v>0</v>
      </c>
      <c r="Y393" s="1">
        <f t="shared" si="109"/>
        <v>0</v>
      </c>
      <c r="Z393" s="1">
        <f t="shared" si="110"/>
        <v>0</v>
      </c>
      <c r="AA393" s="1">
        <f t="shared" si="111"/>
        <v>0</v>
      </c>
      <c r="AB393" s="1">
        <f t="shared" si="112"/>
        <v>0</v>
      </c>
      <c r="AD393" s="1">
        <f t="shared" si="113"/>
        <v>0</v>
      </c>
      <c r="AE393" s="1">
        <f t="shared" si="114"/>
        <v>0</v>
      </c>
      <c r="AF393" s="1">
        <f t="shared" si="99"/>
        <v>0</v>
      </c>
      <c r="AG393" s="1">
        <f t="shared" si="100"/>
        <v>0</v>
      </c>
      <c r="AH393" s="1">
        <f t="shared" si="101"/>
        <v>0</v>
      </c>
      <c r="AI393" s="1">
        <f t="shared" si="102"/>
        <v>1</v>
      </c>
    </row>
    <row r="394" spans="1:35" s="1" customFormat="1" ht="14.25" customHeight="1" x14ac:dyDescent="0.25">
      <c r="A394" s="44">
        <v>0</v>
      </c>
      <c r="B394" s="44">
        <v>2</v>
      </c>
      <c r="C394" s="44">
        <v>6</v>
      </c>
      <c r="D394" s="45" t="s">
        <v>515</v>
      </c>
      <c r="E394" s="45" t="s">
        <v>31</v>
      </c>
      <c r="F394" s="45" t="s">
        <v>668</v>
      </c>
      <c r="G394" s="45" t="s">
        <v>199</v>
      </c>
      <c r="H394" s="45" t="s">
        <v>352</v>
      </c>
      <c r="I394" s="44" t="s">
        <v>516</v>
      </c>
      <c r="J394" s="44">
        <v>2</v>
      </c>
      <c r="K394" s="46" t="s">
        <v>941</v>
      </c>
      <c r="L394" s="46" t="s">
        <v>690</v>
      </c>
      <c r="M394" s="47" t="s">
        <v>1414</v>
      </c>
      <c r="N394" s="47" t="s">
        <v>1719</v>
      </c>
      <c r="O394" s="48"/>
      <c r="P394" s="48"/>
      <c r="Q394" s="45"/>
      <c r="S394" s="1">
        <f t="shared" si="103"/>
        <v>0</v>
      </c>
      <c r="T394" s="1">
        <f t="shared" si="104"/>
        <v>1</v>
      </c>
      <c r="U394" s="1">
        <f t="shared" si="105"/>
        <v>0</v>
      </c>
      <c r="V394" s="1">
        <f t="shared" si="106"/>
        <v>0</v>
      </c>
      <c r="W394" s="1">
        <f t="shared" si="107"/>
        <v>0</v>
      </c>
      <c r="X394" s="1">
        <f t="shared" si="108"/>
        <v>0</v>
      </c>
      <c r="Y394" s="1">
        <f t="shared" si="109"/>
        <v>0</v>
      </c>
      <c r="Z394" s="1">
        <f t="shared" si="110"/>
        <v>0</v>
      </c>
      <c r="AA394" s="1">
        <f t="shared" si="111"/>
        <v>0</v>
      </c>
      <c r="AB394" s="1">
        <f t="shared" si="112"/>
        <v>0</v>
      </c>
      <c r="AD394" s="1">
        <f t="shared" si="113"/>
        <v>0</v>
      </c>
      <c r="AE394" s="1">
        <f t="shared" si="114"/>
        <v>0</v>
      </c>
      <c r="AF394" s="1">
        <f t="shared" si="99"/>
        <v>0</v>
      </c>
      <c r="AG394" s="1">
        <f t="shared" si="100"/>
        <v>0</v>
      </c>
      <c r="AH394" s="1">
        <f t="shared" si="101"/>
        <v>0</v>
      </c>
      <c r="AI394" s="1">
        <f t="shared" si="102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6</v>
      </c>
      <c r="D395" s="32" t="s">
        <v>53</v>
      </c>
      <c r="E395" s="32" t="s">
        <v>31</v>
      </c>
      <c r="F395" s="32" t="s">
        <v>209</v>
      </c>
      <c r="G395" s="32" t="s">
        <v>210</v>
      </c>
      <c r="H395" s="32" t="s">
        <v>352</v>
      </c>
      <c r="I395" s="31" t="s">
        <v>390</v>
      </c>
      <c r="J395" s="31">
        <v>1</v>
      </c>
      <c r="K395" s="33" t="s">
        <v>708</v>
      </c>
      <c r="L395" s="33" t="s">
        <v>700</v>
      </c>
      <c r="M395" s="34" t="s">
        <v>724</v>
      </c>
      <c r="N395" s="34" t="s">
        <v>1727</v>
      </c>
      <c r="O395" s="35">
        <v>1</v>
      </c>
      <c r="P395" s="35"/>
      <c r="Q395" s="32"/>
      <c r="S395" s="1">
        <f t="shared" si="103"/>
        <v>1</v>
      </c>
      <c r="T395" s="1">
        <f t="shared" si="104"/>
        <v>0</v>
      </c>
      <c r="U395" s="1">
        <f t="shared" si="105"/>
        <v>0</v>
      </c>
      <c r="V395" s="1">
        <f t="shared" si="106"/>
        <v>0</v>
      </c>
      <c r="W395" s="1">
        <f t="shared" si="107"/>
        <v>0</v>
      </c>
      <c r="X395" s="1">
        <f t="shared" si="108"/>
        <v>0</v>
      </c>
      <c r="Y395" s="1">
        <f t="shared" si="109"/>
        <v>0</v>
      </c>
      <c r="Z395" s="1">
        <f t="shared" si="110"/>
        <v>0</v>
      </c>
      <c r="AA395" s="1">
        <f t="shared" si="111"/>
        <v>0</v>
      </c>
      <c r="AB395" s="1">
        <f t="shared" si="112"/>
        <v>0</v>
      </c>
      <c r="AD395" s="1">
        <f t="shared" si="113"/>
        <v>0</v>
      </c>
      <c r="AE395" s="1">
        <f t="shared" si="114"/>
        <v>1</v>
      </c>
      <c r="AF395" s="1">
        <f t="shared" si="99"/>
        <v>0</v>
      </c>
      <c r="AG395" s="1">
        <f t="shared" si="100"/>
        <v>1</v>
      </c>
      <c r="AH395" s="1">
        <f t="shared" si="101"/>
        <v>0</v>
      </c>
      <c r="AI395" s="1">
        <f t="shared" si="102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6</v>
      </c>
      <c r="D396" s="32" t="s">
        <v>1846</v>
      </c>
      <c r="E396" s="32" t="s">
        <v>1847</v>
      </c>
      <c r="F396" s="32" t="s">
        <v>1848</v>
      </c>
      <c r="G396" s="32"/>
      <c r="H396" s="32" t="s">
        <v>352</v>
      </c>
      <c r="I396" s="31" t="s">
        <v>1849</v>
      </c>
      <c r="J396" s="31">
        <v>99</v>
      </c>
      <c r="K396" s="33" t="s">
        <v>699</v>
      </c>
      <c r="L396" s="33">
        <v>25</v>
      </c>
      <c r="M396" s="34" t="s">
        <v>1850</v>
      </c>
      <c r="N396" s="34" t="s">
        <v>1727</v>
      </c>
      <c r="O396" s="35">
        <v>1</v>
      </c>
      <c r="P396" s="35"/>
      <c r="Q396" s="32" t="s">
        <v>2031</v>
      </c>
      <c r="S396" s="1">
        <f t="shared" si="103"/>
        <v>0</v>
      </c>
      <c r="T396" s="1">
        <f t="shared" si="104"/>
        <v>0</v>
      </c>
      <c r="U396" s="1">
        <f t="shared" si="105"/>
        <v>0</v>
      </c>
      <c r="V396" s="1">
        <f t="shared" si="106"/>
        <v>0</v>
      </c>
      <c r="W396" s="1">
        <f t="shared" si="107"/>
        <v>0</v>
      </c>
      <c r="X396" s="1">
        <f t="shared" si="108"/>
        <v>0</v>
      </c>
      <c r="Y396" s="1">
        <f t="shared" si="109"/>
        <v>0</v>
      </c>
      <c r="Z396" s="1">
        <f t="shared" si="110"/>
        <v>0</v>
      </c>
      <c r="AA396" s="1">
        <f t="shared" si="111"/>
        <v>0</v>
      </c>
      <c r="AB396" s="1">
        <f t="shared" si="112"/>
        <v>0</v>
      </c>
      <c r="AD396" s="1">
        <f t="shared" si="113"/>
        <v>0</v>
      </c>
      <c r="AE396" s="1">
        <f t="shared" si="114"/>
        <v>1</v>
      </c>
      <c r="AF396" s="1">
        <f t="shared" si="99"/>
        <v>0</v>
      </c>
      <c r="AG396" s="1">
        <f t="shared" si="100"/>
        <v>1</v>
      </c>
      <c r="AH396" s="1">
        <f t="shared" si="101"/>
        <v>0</v>
      </c>
      <c r="AI396" s="1">
        <f t="shared" si="102"/>
        <v>1</v>
      </c>
    </row>
    <row r="397" spans="1:35" s="1" customFormat="1" ht="14.25" customHeight="1" x14ac:dyDescent="0.25">
      <c r="A397" s="44">
        <v>0</v>
      </c>
      <c r="B397" s="44">
        <v>2</v>
      </c>
      <c r="C397" s="44">
        <v>6</v>
      </c>
      <c r="D397" s="45" t="s">
        <v>80</v>
      </c>
      <c r="E397" s="45" t="s">
        <v>31</v>
      </c>
      <c r="F397" s="45" t="s">
        <v>269</v>
      </c>
      <c r="G397" s="45" t="s">
        <v>223</v>
      </c>
      <c r="H397" s="45" t="s">
        <v>352</v>
      </c>
      <c r="I397" s="44" t="s">
        <v>674</v>
      </c>
      <c r="J397" s="44">
        <v>99</v>
      </c>
      <c r="K397" s="46" t="s">
        <v>942</v>
      </c>
      <c r="L397" s="46" t="s">
        <v>690</v>
      </c>
      <c r="M397" s="47" t="s">
        <v>1415</v>
      </c>
      <c r="N397" s="47" t="s">
        <v>1793</v>
      </c>
      <c r="O397" s="48"/>
      <c r="P397" s="48"/>
      <c r="Q397" s="45"/>
      <c r="S397" s="1">
        <f t="shared" si="103"/>
        <v>0</v>
      </c>
      <c r="T397" s="1">
        <f t="shared" si="104"/>
        <v>0</v>
      </c>
      <c r="U397" s="1">
        <f t="shared" si="105"/>
        <v>0</v>
      </c>
      <c r="V397" s="1">
        <f t="shared" si="106"/>
        <v>0</v>
      </c>
      <c r="W397" s="1">
        <f t="shared" si="107"/>
        <v>0</v>
      </c>
      <c r="X397" s="1">
        <f t="shared" si="108"/>
        <v>0</v>
      </c>
      <c r="Y397" s="1">
        <f t="shared" si="109"/>
        <v>0</v>
      </c>
      <c r="Z397" s="1">
        <f t="shared" si="110"/>
        <v>0</v>
      </c>
      <c r="AA397" s="1">
        <f t="shared" si="111"/>
        <v>0</v>
      </c>
      <c r="AB397" s="1">
        <f t="shared" si="112"/>
        <v>0</v>
      </c>
      <c r="AD397" s="1">
        <f t="shared" si="113"/>
        <v>0</v>
      </c>
      <c r="AE397" s="1">
        <f t="shared" si="114"/>
        <v>0</v>
      </c>
      <c r="AF397" s="1">
        <f t="shared" ref="AF397:AF415" si="115">+O397*P397*(1-A397)</f>
        <v>0</v>
      </c>
      <c r="AG397" s="1">
        <f t="shared" ref="AG397:AG415" si="116">O397*(1-P397)*(1-A397)</f>
        <v>0</v>
      </c>
      <c r="AH397" s="1">
        <f t="shared" ref="AH397:AH415" si="117">+P397*(1-A397)</f>
        <v>0</v>
      </c>
      <c r="AI397" s="1">
        <f t="shared" ref="AI397:AI415" si="118">+(1-A397)*(1-P397)</f>
        <v>1</v>
      </c>
    </row>
    <row r="398" spans="1:35" s="1" customFormat="1" ht="14.25" customHeight="1" x14ac:dyDescent="0.25">
      <c r="A398" s="44">
        <v>0</v>
      </c>
      <c r="B398" s="44">
        <v>2</v>
      </c>
      <c r="C398" s="44">
        <v>6</v>
      </c>
      <c r="D398" s="45" t="s">
        <v>635</v>
      </c>
      <c r="E398" s="45" t="s">
        <v>31</v>
      </c>
      <c r="F398" s="45" t="s">
        <v>636</v>
      </c>
      <c r="G398" s="45" t="s">
        <v>239</v>
      </c>
      <c r="H398" s="45" t="s">
        <v>352</v>
      </c>
      <c r="I398" s="44" t="s">
        <v>637</v>
      </c>
      <c r="J398" s="44">
        <v>1</v>
      </c>
      <c r="K398" s="46" t="s">
        <v>709</v>
      </c>
      <c r="L398" s="46" t="s">
        <v>690</v>
      </c>
      <c r="M398" s="47" t="s">
        <v>1416</v>
      </c>
      <c r="N398" s="47" t="s">
        <v>1719</v>
      </c>
      <c r="O398" s="48"/>
      <c r="P398" s="48"/>
      <c r="Q398" s="45"/>
      <c r="S398" s="1">
        <f t="shared" si="103"/>
        <v>1</v>
      </c>
      <c r="T398" s="1">
        <f t="shared" si="104"/>
        <v>0</v>
      </c>
      <c r="U398" s="1">
        <f t="shared" si="105"/>
        <v>0</v>
      </c>
      <c r="V398" s="1">
        <f t="shared" si="106"/>
        <v>0</v>
      </c>
      <c r="W398" s="1">
        <f t="shared" si="107"/>
        <v>0</v>
      </c>
      <c r="X398" s="1">
        <f t="shared" si="108"/>
        <v>0</v>
      </c>
      <c r="Y398" s="1">
        <f t="shared" si="109"/>
        <v>0</v>
      </c>
      <c r="Z398" s="1">
        <f t="shared" si="110"/>
        <v>0</v>
      </c>
      <c r="AA398" s="1">
        <f t="shared" si="111"/>
        <v>0</v>
      </c>
      <c r="AB398" s="1">
        <f t="shared" si="112"/>
        <v>0</v>
      </c>
      <c r="AD398" s="1">
        <f t="shared" si="113"/>
        <v>0</v>
      </c>
      <c r="AE398" s="1">
        <f t="shared" si="114"/>
        <v>0</v>
      </c>
      <c r="AF398" s="1">
        <f t="shared" si="115"/>
        <v>0</v>
      </c>
      <c r="AG398" s="1">
        <f t="shared" si="116"/>
        <v>0</v>
      </c>
      <c r="AH398" s="1">
        <f t="shared" si="117"/>
        <v>0</v>
      </c>
      <c r="AI398" s="1">
        <f t="shared" si="118"/>
        <v>1</v>
      </c>
    </row>
    <row r="399" spans="1:35" s="1" customFormat="1" ht="14.25" customHeight="1" x14ac:dyDescent="0.25">
      <c r="A399" s="44">
        <v>0</v>
      </c>
      <c r="B399" s="44">
        <v>2</v>
      </c>
      <c r="C399" s="44">
        <v>6</v>
      </c>
      <c r="D399" s="45" t="s">
        <v>1119</v>
      </c>
      <c r="E399" s="45" t="s">
        <v>31</v>
      </c>
      <c r="F399" s="45" t="s">
        <v>668</v>
      </c>
      <c r="G399" s="45" t="s">
        <v>199</v>
      </c>
      <c r="H399" s="45" t="s">
        <v>352</v>
      </c>
      <c r="I399" s="44" t="s">
        <v>516</v>
      </c>
      <c r="J399" s="44">
        <v>2</v>
      </c>
      <c r="K399" s="46" t="s">
        <v>708</v>
      </c>
      <c r="L399" s="46" t="s">
        <v>690</v>
      </c>
      <c r="M399" s="47" t="s">
        <v>724</v>
      </c>
      <c r="N399" s="47" t="s">
        <v>1719</v>
      </c>
      <c r="O399" s="48"/>
      <c r="P399" s="48"/>
      <c r="Q399" s="45"/>
      <c r="S399" s="1">
        <f t="shared" si="103"/>
        <v>0</v>
      </c>
      <c r="T399" s="1">
        <f t="shared" si="104"/>
        <v>1</v>
      </c>
      <c r="U399" s="1">
        <f t="shared" si="105"/>
        <v>0</v>
      </c>
      <c r="V399" s="1">
        <f t="shared" si="106"/>
        <v>0</v>
      </c>
      <c r="W399" s="1">
        <f t="shared" si="107"/>
        <v>0</v>
      </c>
      <c r="X399" s="1">
        <f t="shared" si="108"/>
        <v>0</v>
      </c>
      <c r="Y399" s="1">
        <f t="shared" si="109"/>
        <v>0</v>
      </c>
      <c r="Z399" s="1">
        <f t="shared" si="110"/>
        <v>0</v>
      </c>
      <c r="AA399" s="1">
        <f t="shared" si="111"/>
        <v>0</v>
      </c>
      <c r="AB399" s="1">
        <f t="shared" si="112"/>
        <v>0</v>
      </c>
      <c r="AD399" s="1">
        <f t="shared" si="113"/>
        <v>0</v>
      </c>
      <c r="AE399" s="1">
        <f t="shared" si="114"/>
        <v>0</v>
      </c>
      <c r="AF399" s="1">
        <f t="shared" si="115"/>
        <v>0</v>
      </c>
      <c r="AG399" s="1">
        <f t="shared" si="116"/>
        <v>0</v>
      </c>
      <c r="AH399" s="1">
        <f t="shared" si="117"/>
        <v>0</v>
      </c>
      <c r="AI399" s="1">
        <f t="shared" si="118"/>
        <v>1</v>
      </c>
    </row>
    <row r="400" spans="1:35" s="1" customFormat="1" ht="14.25" customHeight="1" x14ac:dyDescent="0.25">
      <c r="A400" s="44">
        <v>0</v>
      </c>
      <c r="B400" s="44">
        <v>2</v>
      </c>
      <c r="C400" s="44">
        <v>6</v>
      </c>
      <c r="D400" s="45" t="s">
        <v>1070</v>
      </c>
      <c r="E400" s="45" t="s">
        <v>158</v>
      </c>
      <c r="F400" s="45" t="s">
        <v>197</v>
      </c>
      <c r="G400" s="45" t="s">
        <v>198</v>
      </c>
      <c r="H400" s="45" t="s">
        <v>352</v>
      </c>
      <c r="I400" s="44" t="s">
        <v>386</v>
      </c>
      <c r="J400" s="44">
        <v>99</v>
      </c>
      <c r="K400" s="46" t="s">
        <v>708</v>
      </c>
      <c r="L400" s="46" t="s">
        <v>712</v>
      </c>
      <c r="M400" s="47" t="s">
        <v>726</v>
      </c>
      <c r="N400" s="47" t="s">
        <v>1718</v>
      </c>
      <c r="O400" s="48"/>
      <c r="P400" s="48"/>
      <c r="Q400" s="45"/>
      <c r="S400" s="1">
        <f t="shared" si="103"/>
        <v>0</v>
      </c>
      <c r="T400" s="1">
        <f t="shared" si="104"/>
        <v>0</v>
      </c>
      <c r="U400" s="1">
        <f t="shared" si="105"/>
        <v>0</v>
      </c>
      <c r="V400" s="1">
        <f t="shared" si="106"/>
        <v>0</v>
      </c>
      <c r="W400" s="1">
        <f t="shared" si="107"/>
        <v>0</v>
      </c>
      <c r="X400" s="1">
        <f t="shared" si="108"/>
        <v>0</v>
      </c>
      <c r="Y400" s="1">
        <f t="shared" si="109"/>
        <v>0</v>
      </c>
      <c r="Z400" s="1">
        <f t="shared" si="110"/>
        <v>0</v>
      </c>
      <c r="AA400" s="1">
        <f t="shared" si="111"/>
        <v>0</v>
      </c>
      <c r="AB400" s="1">
        <f t="shared" si="112"/>
        <v>0</v>
      </c>
      <c r="AD400" s="1">
        <f t="shared" si="113"/>
        <v>0</v>
      </c>
      <c r="AE400" s="1">
        <f t="shared" si="114"/>
        <v>0</v>
      </c>
      <c r="AF400" s="1">
        <f t="shared" si="115"/>
        <v>0</v>
      </c>
      <c r="AG400" s="1">
        <f t="shared" si="116"/>
        <v>0</v>
      </c>
      <c r="AH400" s="1">
        <f t="shared" si="117"/>
        <v>0</v>
      </c>
      <c r="AI400" s="1">
        <f t="shared" si="118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7</v>
      </c>
      <c r="D401" s="32" t="s">
        <v>505</v>
      </c>
      <c r="E401" s="32" t="s">
        <v>155</v>
      </c>
      <c r="F401" s="32" t="s">
        <v>506</v>
      </c>
      <c r="G401" s="32" t="s">
        <v>39</v>
      </c>
      <c r="H401" s="32" t="s">
        <v>352</v>
      </c>
      <c r="I401" s="31" t="s">
        <v>930</v>
      </c>
      <c r="J401" s="31">
        <v>7</v>
      </c>
      <c r="K401" s="33" t="s">
        <v>942</v>
      </c>
      <c r="L401" s="33" t="s">
        <v>39</v>
      </c>
      <c r="M401" s="34" t="s">
        <v>39</v>
      </c>
      <c r="N401" s="34" t="s">
        <v>1711</v>
      </c>
      <c r="O401" s="35">
        <v>1</v>
      </c>
      <c r="P401" s="35">
        <v>1</v>
      </c>
      <c r="Q401" s="32"/>
      <c r="S401" s="1">
        <f t="shared" ref="S401:S415" si="119">IF(J401=$S$7,1,0)</f>
        <v>0</v>
      </c>
      <c r="T401" s="1">
        <f t="shared" ref="T401:T415" si="120">IF(J401=$T$7,1,0)</f>
        <v>0</v>
      </c>
      <c r="U401" s="1">
        <f t="shared" ref="U401:U415" si="121">IF(J401=$U$7,1,0)</f>
        <v>0</v>
      </c>
      <c r="V401" s="1">
        <f t="shared" ref="V401:V415" si="122">IF(J401=$V$7,1,0)</f>
        <v>0</v>
      </c>
      <c r="W401" s="1">
        <f t="shared" ref="W401:W415" si="123">IF(J401=$W$7,1,0)</f>
        <v>0</v>
      </c>
      <c r="X401" s="1">
        <f t="shared" ref="X401:X415" si="124">IF(J401=$X$7,1,0)</f>
        <v>0</v>
      </c>
      <c r="Y401" s="1">
        <f t="shared" ref="Y401:Y415" si="125">IF(J401=$Y$7,1,0)</f>
        <v>1</v>
      </c>
      <c r="Z401" s="1">
        <f t="shared" ref="Z401:Z415" si="126">IF(J401=$Z$7,1,0)</f>
        <v>0</v>
      </c>
      <c r="AA401" s="1">
        <f t="shared" ref="AA401:AA415" si="127">IF(J401=$AA$7,1,0)</f>
        <v>0</v>
      </c>
      <c r="AB401" s="1">
        <f t="shared" ref="AB401:AB415" si="128">IF(J401=$AB$7,1,0)</f>
        <v>0</v>
      </c>
      <c r="AD401" s="1">
        <f t="shared" ref="AD401:AD415" si="129">+O401*P401</f>
        <v>1</v>
      </c>
      <c r="AE401" s="1">
        <f t="shared" ref="AE401:AE415" si="130">O401*(1-P401)</f>
        <v>0</v>
      </c>
      <c r="AF401" s="1">
        <f t="shared" si="115"/>
        <v>1</v>
      </c>
      <c r="AG401" s="1">
        <f t="shared" si="116"/>
        <v>0</v>
      </c>
      <c r="AH401" s="1">
        <f t="shared" si="117"/>
        <v>1</v>
      </c>
      <c r="AI401" s="1">
        <f t="shared" si="118"/>
        <v>0</v>
      </c>
    </row>
    <row r="402" spans="1:35" s="1" customFormat="1" ht="14.25" customHeight="1" x14ac:dyDescent="0.25">
      <c r="A402" s="31">
        <v>0</v>
      </c>
      <c r="B402" s="31">
        <v>2</v>
      </c>
      <c r="C402" s="31">
        <v>7</v>
      </c>
      <c r="D402" s="32" t="s">
        <v>70</v>
      </c>
      <c r="E402" s="32" t="s">
        <v>28</v>
      </c>
      <c r="F402" s="32" t="s">
        <v>669</v>
      </c>
      <c r="G402" s="32" t="s">
        <v>257</v>
      </c>
      <c r="H402" s="32" t="s">
        <v>352</v>
      </c>
      <c r="I402" s="31" t="s">
        <v>415</v>
      </c>
      <c r="J402" s="31">
        <v>8</v>
      </c>
      <c r="K402" s="33" t="s">
        <v>709</v>
      </c>
      <c r="L402" s="33" t="s">
        <v>709</v>
      </c>
      <c r="M402" s="34" t="s">
        <v>727</v>
      </c>
      <c r="N402" s="34" t="s">
        <v>1727</v>
      </c>
      <c r="O402" s="35">
        <v>1</v>
      </c>
      <c r="P402" s="35"/>
      <c r="Q402" s="32"/>
      <c r="S402" s="1">
        <f t="shared" si="119"/>
        <v>0</v>
      </c>
      <c r="T402" s="1">
        <f t="shared" si="120"/>
        <v>0</v>
      </c>
      <c r="U402" s="1">
        <f t="shared" si="121"/>
        <v>0</v>
      </c>
      <c r="V402" s="1">
        <f t="shared" si="122"/>
        <v>0</v>
      </c>
      <c r="W402" s="1">
        <f t="shared" si="123"/>
        <v>0</v>
      </c>
      <c r="X402" s="1">
        <f t="shared" si="124"/>
        <v>0</v>
      </c>
      <c r="Y402" s="1">
        <f t="shared" si="125"/>
        <v>0</v>
      </c>
      <c r="Z402" s="1">
        <f t="shared" si="126"/>
        <v>1</v>
      </c>
      <c r="AA402" s="1">
        <f t="shared" si="127"/>
        <v>0</v>
      </c>
      <c r="AB402" s="1">
        <f t="shared" si="128"/>
        <v>0</v>
      </c>
      <c r="AD402" s="1">
        <f t="shared" si="129"/>
        <v>0</v>
      </c>
      <c r="AE402" s="1">
        <f t="shared" si="130"/>
        <v>1</v>
      </c>
      <c r="AF402" s="1">
        <f t="shared" si="115"/>
        <v>0</v>
      </c>
      <c r="AG402" s="1">
        <f t="shared" si="116"/>
        <v>1</v>
      </c>
      <c r="AH402" s="1">
        <f t="shared" si="117"/>
        <v>0</v>
      </c>
      <c r="AI402" s="1">
        <f t="shared" si="118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7</v>
      </c>
      <c r="D403" s="32" t="s">
        <v>650</v>
      </c>
      <c r="E403" s="32" t="s">
        <v>155</v>
      </c>
      <c r="F403" s="32" t="s">
        <v>581</v>
      </c>
      <c r="G403" s="32" t="s">
        <v>248</v>
      </c>
      <c r="H403" s="32" t="s">
        <v>352</v>
      </c>
      <c r="I403" s="31" t="s">
        <v>675</v>
      </c>
      <c r="J403" s="31">
        <v>7</v>
      </c>
      <c r="K403" s="33" t="s">
        <v>942</v>
      </c>
      <c r="L403" s="33" t="s">
        <v>39</v>
      </c>
      <c r="M403" s="34" t="s">
        <v>39</v>
      </c>
      <c r="N403" s="34" t="s">
        <v>1711</v>
      </c>
      <c r="O403" s="35">
        <v>1</v>
      </c>
      <c r="P403" s="35">
        <v>1</v>
      </c>
      <c r="Q403" s="32"/>
      <c r="S403" s="1">
        <f t="shared" si="119"/>
        <v>0</v>
      </c>
      <c r="T403" s="1">
        <f t="shared" si="120"/>
        <v>0</v>
      </c>
      <c r="U403" s="1">
        <f t="shared" si="121"/>
        <v>0</v>
      </c>
      <c r="V403" s="1">
        <f t="shared" si="122"/>
        <v>0</v>
      </c>
      <c r="W403" s="1">
        <f t="shared" si="123"/>
        <v>0</v>
      </c>
      <c r="X403" s="1">
        <f t="shared" si="124"/>
        <v>0</v>
      </c>
      <c r="Y403" s="1">
        <f t="shared" si="125"/>
        <v>1</v>
      </c>
      <c r="Z403" s="1">
        <f t="shared" si="126"/>
        <v>0</v>
      </c>
      <c r="AA403" s="1">
        <f t="shared" si="127"/>
        <v>0</v>
      </c>
      <c r="AB403" s="1">
        <f t="shared" si="128"/>
        <v>0</v>
      </c>
      <c r="AD403" s="1">
        <f t="shared" si="129"/>
        <v>1</v>
      </c>
      <c r="AE403" s="1">
        <f t="shared" si="130"/>
        <v>0</v>
      </c>
      <c r="AF403" s="1">
        <f t="shared" si="115"/>
        <v>1</v>
      </c>
      <c r="AG403" s="1">
        <f t="shared" si="116"/>
        <v>0</v>
      </c>
      <c r="AH403" s="1">
        <f t="shared" si="117"/>
        <v>1</v>
      </c>
      <c r="AI403" s="1">
        <f t="shared" si="118"/>
        <v>0</v>
      </c>
    </row>
    <row r="404" spans="1:35" s="1" customFormat="1" ht="14.25" customHeight="1" x14ac:dyDescent="0.25">
      <c r="A404" s="44">
        <v>0</v>
      </c>
      <c r="B404" s="44">
        <v>2</v>
      </c>
      <c r="C404" s="44">
        <v>7</v>
      </c>
      <c r="D404" s="45" t="s">
        <v>1618</v>
      </c>
      <c r="E404" s="45" t="s">
        <v>155</v>
      </c>
      <c r="F404" s="45" t="s">
        <v>1641</v>
      </c>
      <c r="G404" s="45" t="s">
        <v>212</v>
      </c>
      <c r="H404" s="45" t="s">
        <v>352</v>
      </c>
      <c r="I404" s="44" t="s">
        <v>590</v>
      </c>
      <c r="J404" s="44">
        <v>1</v>
      </c>
      <c r="K404" s="46" t="s">
        <v>708</v>
      </c>
      <c r="L404" s="46" t="s">
        <v>718</v>
      </c>
      <c r="M404" s="47" t="s">
        <v>1417</v>
      </c>
      <c r="N404" s="47" t="s">
        <v>1719</v>
      </c>
      <c r="O404" s="48"/>
      <c r="P404" s="48"/>
      <c r="Q404" s="45"/>
      <c r="S404" s="1">
        <f t="shared" si="119"/>
        <v>1</v>
      </c>
      <c r="T404" s="1">
        <f t="shared" si="120"/>
        <v>0</v>
      </c>
      <c r="U404" s="1">
        <f t="shared" si="121"/>
        <v>0</v>
      </c>
      <c r="V404" s="1">
        <f t="shared" si="122"/>
        <v>0</v>
      </c>
      <c r="W404" s="1">
        <f t="shared" si="123"/>
        <v>0</v>
      </c>
      <c r="X404" s="1">
        <f t="shared" si="124"/>
        <v>0</v>
      </c>
      <c r="Y404" s="1">
        <f t="shared" si="125"/>
        <v>0</v>
      </c>
      <c r="Z404" s="1">
        <f t="shared" si="126"/>
        <v>0</v>
      </c>
      <c r="AA404" s="1">
        <f t="shared" si="127"/>
        <v>0</v>
      </c>
      <c r="AB404" s="1">
        <f t="shared" si="128"/>
        <v>0</v>
      </c>
      <c r="AD404" s="1">
        <f t="shared" si="129"/>
        <v>0</v>
      </c>
      <c r="AE404" s="1">
        <f t="shared" si="130"/>
        <v>0</v>
      </c>
      <c r="AF404" s="1">
        <f t="shared" si="115"/>
        <v>0</v>
      </c>
      <c r="AG404" s="1">
        <f t="shared" si="116"/>
        <v>0</v>
      </c>
      <c r="AH404" s="1">
        <f t="shared" si="117"/>
        <v>0</v>
      </c>
      <c r="AI404" s="1">
        <f t="shared" si="118"/>
        <v>1</v>
      </c>
    </row>
    <row r="405" spans="1:35" s="1" customFormat="1" ht="14.25" customHeight="1" x14ac:dyDescent="0.25">
      <c r="A405" s="44">
        <v>0</v>
      </c>
      <c r="B405" s="44">
        <v>2</v>
      </c>
      <c r="C405" s="44">
        <v>7</v>
      </c>
      <c r="D405" s="45" t="s">
        <v>1057</v>
      </c>
      <c r="E405" s="45" t="s">
        <v>1033</v>
      </c>
      <c r="F405" s="45" t="s">
        <v>1058</v>
      </c>
      <c r="G405" s="45" t="s">
        <v>212</v>
      </c>
      <c r="H405" s="45" t="s">
        <v>352</v>
      </c>
      <c r="I405" s="44" t="s">
        <v>1059</v>
      </c>
      <c r="J405" s="44">
        <v>1</v>
      </c>
      <c r="K405" s="46" t="s">
        <v>942</v>
      </c>
      <c r="L405" s="46" t="s">
        <v>718</v>
      </c>
      <c r="M405" s="47" t="s">
        <v>1418</v>
      </c>
      <c r="N405" s="47" t="s">
        <v>1719</v>
      </c>
      <c r="O405" s="48"/>
      <c r="P405" s="48"/>
      <c r="Q405" s="45" t="s">
        <v>1902</v>
      </c>
      <c r="S405" s="1">
        <f t="shared" si="119"/>
        <v>1</v>
      </c>
      <c r="T405" s="1">
        <f t="shared" si="120"/>
        <v>0</v>
      </c>
      <c r="U405" s="1">
        <f t="shared" si="121"/>
        <v>0</v>
      </c>
      <c r="V405" s="1">
        <f t="shared" si="122"/>
        <v>0</v>
      </c>
      <c r="W405" s="1">
        <f t="shared" si="123"/>
        <v>0</v>
      </c>
      <c r="X405" s="1">
        <f t="shared" si="124"/>
        <v>0</v>
      </c>
      <c r="Y405" s="1">
        <f t="shared" si="125"/>
        <v>0</v>
      </c>
      <c r="Z405" s="1">
        <f t="shared" si="126"/>
        <v>0</v>
      </c>
      <c r="AA405" s="1">
        <f t="shared" si="127"/>
        <v>0</v>
      </c>
      <c r="AB405" s="1">
        <f t="shared" si="128"/>
        <v>0</v>
      </c>
      <c r="AD405" s="1">
        <f t="shared" si="129"/>
        <v>0</v>
      </c>
      <c r="AE405" s="1">
        <f t="shared" si="130"/>
        <v>0</v>
      </c>
      <c r="AF405" s="1">
        <f t="shared" si="115"/>
        <v>0</v>
      </c>
      <c r="AG405" s="1">
        <f t="shared" si="116"/>
        <v>0</v>
      </c>
      <c r="AH405" s="1">
        <f t="shared" si="117"/>
        <v>0</v>
      </c>
      <c r="AI405" s="1">
        <f t="shared" si="118"/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7</v>
      </c>
      <c r="D406" s="32" t="s">
        <v>1004</v>
      </c>
      <c r="E406" s="32" t="s">
        <v>155</v>
      </c>
      <c r="F406" s="32" t="s">
        <v>1075</v>
      </c>
      <c r="G406" s="32" t="s">
        <v>1085</v>
      </c>
      <c r="H406" s="32" t="s">
        <v>352</v>
      </c>
      <c r="I406" s="31" t="s">
        <v>1005</v>
      </c>
      <c r="J406" s="31">
        <v>99</v>
      </c>
      <c r="K406" s="33" t="s">
        <v>709</v>
      </c>
      <c r="L406" s="33" t="s">
        <v>718</v>
      </c>
      <c r="M406" s="34" t="s">
        <v>1418</v>
      </c>
      <c r="N406" s="34" t="s">
        <v>1732</v>
      </c>
      <c r="O406" s="35">
        <v>1</v>
      </c>
      <c r="P406" s="35"/>
      <c r="Q406" s="32"/>
      <c r="S406" s="1">
        <f t="shared" si="119"/>
        <v>0</v>
      </c>
      <c r="T406" s="1">
        <f t="shared" si="120"/>
        <v>0</v>
      </c>
      <c r="U406" s="1">
        <f t="shared" si="121"/>
        <v>0</v>
      </c>
      <c r="V406" s="1">
        <f t="shared" si="122"/>
        <v>0</v>
      </c>
      <c r="W406" s="1">
        <f t="shared" si="123"/>
        <v>0</v>
      </c>
      <c r="X406" s="1">
        <f t="shared" si="124"/>
        <v>0</v>
      </c>
      <c r="Y406" s="1">
        <f t="shared" si="125"/>
        <v>0</v>
      </c>
      <c r="Z406" s="1">
        <f t="shared" si="126"/>
        <v>0</v>
      </c>
      <c r="AA406" s="1">
        <f t="shared" si="127"/>
        <v>0</v>
      </c>
      <c r="AB406" s="1">
        <f t="shared" si="128"/>
        <v>0</v>
      </c>
      <c r="AD406" s="1">
        <f t="shared" si="129"/>
        <v>0</v>
      </c>
      <c r="AE406" s="1">
        <f t="shared" si="130"/>
        <v>1</v>
      </c>
      <c r="AF406" s="1">
        <f t="shared" si="115"/>
        <v>0</v>
      </c>
      <c r="AG406" s="1">
        <f t="shared" si="116"/>
        <v>1</v>
      </c>
      <c r="AH406" s="1">
        <f t="shared" si="117"/>
        <v>0</v>
      </c>
      <c r="AI406" s="1">
        <f t="shared" si="118"/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7</v>
      </c>
      <c r="D407" s="32" t="s">
        <v>1189</v>
      </c>
      <c r="E407" s="32" t="s">
        <v>1316</v>
      </c>
      <c r="F407" s="32" t="s">
        <v>1190</v>
      </c>
      <c r="G407" s="32" t="s">
        <v>39</v>
      </c>
      <c r="H407" s="32" t="s">
        <v>352</v>
      </c>
      <c r="I407" s="31" t="s">
        <v>1669</v>
      </c>
      <c r="J407" s="31">
        <v>99</v>
      </c>
      <c r="K407" s="33" t="s">
        <v>942</v>
      </c>
      <c r="L407" s="33" t="s">
        <v>725</v>
      </c>
      <c r="M407" s="34" t="s">
        <v>1419</v>
      </c>
      <c r="N407" s="34" t="s">
        <v>1732</v>
      </c>
      <c r="O407" s="35">
        <v>1</v>
      </c>
      <c r="P407" s="35"/>
      <c r="Q407" s="32"/>
      <c r="S407" s="1">
        <f t="shared" si="119"/>
        <v>0</v>
      </c>
      <c r="T407" s="1">
        <f t="shared" si="120"/>
        <v>0</v>
      </c>
      <c r="U407" s="1">
        <f t="shared" si="121"/>
        <v>0</v>
      </c>
      <c r="V407" s="1">
        <f t="shared" si="122"/>
        <v>0</v>
      </c>
      <c r="W407" s="1">
        <f t="shared" si="123"/>
        <v>0</v>
      </c>
      <c r="X407" s="1">
        <f t="shared" si="124"/>
        <v>0</v>
      </c>
      <c r="Y407" s="1">
        <f t="shared" si="125"/>
        <v>0</v>
      </c>
      <c r="Z407" s="1">
        <f t="shared" si="126"/>
        <v>0</v>
      </c>
      <c r="AA407" s="1">
        <f t="shared" si="127"/>
        <v>0</v>
      </c>
      <c r="AB407" s="1">
        <f t="shared" si="128"/>
        <v>0</v>
      </c>
      <c r="AD407" s="1">
        <f t="shared" si="129"/>
        <v>0</v>
      </c>
      <c r="AE407" s="1">
        <f t="shared" si="130"/>
        <v>1</v>
      </c>
      <c r="AF407" s="1">
        <f t="shared" si="115"/>
        <v>0</v>
      </c>
      <c r="AG407" s="1">
        <f t="shared" si="116"/>
        <v>1</v>
      </c>
      <c r="AH407" s="1">
        <f t="shared" si="117"/>
        <v>0</v>
      </c>
      <c r="AI407" s="1">
        <f t="shared" si="118"/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640</v>
      </c>
      <c r="G408" s="32" t="s">
        <v>531</v>
      </c>
      <c r="H408" s="32" t="s">
        <v>352</v>
      </c>
      <c r="I408" s="31" t="s">
        <v>392</v>
      </c>
      <c r="J408" s="31">
        <v>6</v>
      </c>
      <c r="K408" s="33" t="s">
        <v>708</v>
      </c>
      <c r="L408" s="33" t="s">
        <v>709</v>
      </c>
      <c r="M408" s="34" t="s">
        <v>727</v>
      </c>
      <c r="N408" s="34" t="s">
        <v>1745</v>
      </c>
      <c r="O408" s="35">
        <v>1</v>
      </c>
      <c r="P408" s="35"/>
      <c r="Q408" s="32"/>
      <c r="S408" s="1">
        <f t="shared" si="119"/>
        <v>0</v>
      </c>
      <c r="T408" s="1">
        <f t="shared" si="120"/>
        <v>0</v>
      </c>
      <c r="U408" s="1">
        <f t="shared" si="121"/>
        <v>0</v>
      </c>
      <c r="V408" s="1">
        <f t="shared" si="122"/>
        <v>0</v>
      </c>
      <c r="W408" s="1">
        <f t="shared" si="123"/>
        <v>0</v>
      </c>
      <c r="X408" s="1">
        <f t="shared" si="124"/>
        <v>1</v>
      </c>
      <c r="Y408" s="1">
        <f t="shared" si="125"/>
        <v>0</v>
      </c>
      <c r="Z408" s="1">
        <f t="shared" si="126"/>
        <v>0</v>
      </c>
      <c r="AA408" s="1">
        <f t="shared" si="127"/>
        <v>0</v>
      </c>
      <c r="AB408" s="1">
        <f t="shared" si="128"/>
        <v>0</v>
      </c>
      <c r="AD408" s="1">
        <f t="shared" si="129"/>
        <v>0</v>
      </c>
      <c r="AE408" s="1">
        <f t="shared" si="130"/>
        <v>1</v>
      </c>
      <c r="AF408" s="1">
        <f t="shared" si="115"/>
        <v>0</v>
      </c>
      <c r="AG408" s="1">
        <f t="shared" si="116"/>
        <v>1</v>
      </c>
      <c r="AH408" s="1">
        <f t="shared" si="117"/>
        <v>0</v>
      </c>
      <c r="AI408" s="1">
        <f t="shared" si="118"/>
        <v>1</v>
      </c>
    </row>
    <row r="409" spans="1:35" s="1" customFormat="1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352</v>
      </c>
      <c r="I409" s="31" t="s">
        <v>30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1745</v>
      </c>
      <c r="O409" s="35">
        <v>1</v>
      </c>
      <c r="P409" s="35"/>
      <c r="Q409" s="32"/>
      <c r="S409" s="1">
        <f t="shared" si="119"/>
        <v>0</v>
      </c>
      <c r="T409" s="1">
        <f t="shared" si="120"/>
        <v>0</v>
      </c>
      <c r="U409" s="1">
        <f t="shared" si="121"/>
        <v>0</v>
      </c>
      <c r="V409" s="1">
        <f t="shared" si="122"/>
        <v>0</v>
      </c>
      <c r="W409" s="1">
        <f t="shared" si="123"/>
        <v>0</v>
      </c>
      <c r="X409" s="1">
        <f t="shared" si="124"/>
        <v>0</v>
      </c>
      <c r="Y409" s="1">
        <f t="shared" si="125"/>
        <v>0</v>
      </c>
      <c r="Z409" s="1">
        <f t="shared" si="126"/>
        <v>0</v>
      </c>
      <c r="AA409" s="1">
        <f t="shared" si="127"/>
        <v>0</v>
      </c>
      <c r="AB409" s="1">
        <f t="shared" si="128"/>
        <v>0</v>
      </c>
      <c r="AD409" s="1">
        <f t="shared" si="129"/>
        <v>0</v>
      </c>
      <c r="AE409" s="1">
        <f t="shared" si="130"/>
        <v>1</v>
      </c>
      <c r="AF409" s="1">
        <f t="shared" si="115"/>
        <v>0</v>
      </c>
      <c r="AG409" s="1">
        <f t="shared" si="116"/>
        <v>0</v>
      </c>
      <c r="AH409" s="1">
        <f t="shared" si="117"/>
        <v>0</v>
      </c>
      <c r="AI409" s="1">
        <f t="shared" si="118"/>
        <v>0</v>
      </c>
    </row>
    <row r="410" spans="1:35" s="1" customFormat="1" ht="14.25" customHeight="1" x14ac:dyDescent="0.25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214</v>
      </c>
      <c r="G410" s="32" t="s">
        <v>39</v>
      </c>
      <c r="H410" s="32" t="s">
        <v>352</v>
      </c>
      <c r="I410" s="31" t="s">
        <v>392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1745</v>
      </c>
      <c r="O410" s="35">
        <v>1</v>
      </c>
      <c r="P410" s="35"/>
      <c r="Q410" s="32"/>
      <c r="S410" s="1">
        <f t="shared" si="119"/>
        <v>0</v>
      </c>
      <c r="T410" s="1">
        <f t="shared" si="120"/>
        <v>0</v>
      </c>
      <c r="U410" s="1">
        <f t="shared" si="121"/>
        <v>0</v>
      </c>
      <c r="V410" s="1">
        <f t="shared" si="122"/>
        <v>0</v>
      </c>
      <c r="W410" s="1">
        <f t="shared" si="123"/>
        <v>0</v>
      </c>
      <c r="X410" s="1">
        <f t="shared" si="124"/>
        <v>0</v>
      </c>
      <c r="Y410" s="1">
        <f t="shared" si="125"/>
        <v>0</v>
      </c>
      <c r="Z410" s="1">
        <f t="shared" si="126"/>
        <v>0</v>
      </c>
      <c r="AA410" s="1">
        <f t="shared" si="127"/>
        <v>0</v>
      </c>
      <c r="AB410" s="1">
        <f t="shared" si="128"/>
        <v>0</v>
      </c>
      <c r="AD410" s="1">
        <f t="shared" si="129"/>
        <v>0</v>
      </c>
      <c r="AE410" s="1">
        <f t="shared" si="130"/>
        <v>1</v>
      </c>
      <c r="AF410" s="1">
        <f t="shared" si="115"/>
        <v>0</v>
      </c>
      <c r="AG410" s="1">
        <f t="shared" si="116"/>
        <v>0</v>
      </c>
      <c r="AH410" s="1">
        <f t="shared" si="117"/>
        <v>0</v>
      </c>
      <c r="AI410" s="1">
        <f t="shared" si="118"/>
        <v>0</v>
      </c>
    </row>
    <row r="411" spans="1:35" s="1" customFormat="1" ht="14.25" customHeight="1" x14ac:dyDescent="0.25">
      <c r="A411" s="31">
        <v>1</v>
      </c>
      <c r="B411" s="31">
        <v>2</v>
      </c>
      <c r="C411" s="31">
        <v>7</v>
      </c>
      <c r="D411" s="32" t="s">
        <v>55</v>
      </c>
      <c r="E411" s="32" t="s">
        <v>28</v>
      </c>
      <c r="F411" s="32" t="s">
        <v>216</v>
      </c>
      <c r="G411" s="32" t="s">
        <v>217</v>
      </c>
      <c r="H411" s="32" t="s">
        <v>352</v>
      </c>
      <c r="I411" s="31" t="s">
        <v>393</v>
      </c>
      <c r="J411" s="31">
        <v>99</v>
      </c>
      <c r="K411" s="33" t="s">
        <v>708</v>
      </c>
      <c r="L411" s="33" t="s">
        <v>709</v>
      </c>
      <c r="M411" s="34" t="s">
        <v>727</v>
      </c>
      <c r="N411" s="34" t="s">
        <v>1745</v>
      </c>
      <c r="O411" s="35">
        <v>1</v>
      </c>
      <c r="P411" s="35"/>
      <c r="Q411" s="32"/>
      <c r="S411" s="1">
        <f t="shared" si="119"/>
        <v>0</v>
      </c>
      <c r="T411" s="1">
        <f t="shared" si="120"/>
        <v>0</v>
      </c>
      <c r="U411" s="1">
        <f t="shared" si="121"/>
        <v>0</v>
      </c>
      <c r="V411" s="1">
        <f t="shared" si="122"/>
        <v>0</v>
      </c>
      <c r="W411" s="1">
        <f t="shared" si="123"/>
        <v>0</v>
      </c>
      <c r="X411" s="1">
        <f t="shared" si="124"/>
        <v>0</v>
      </c>
      <c r="Y411" s="1">
        <f t="shared" si="125"/>
        <v>0</v>
      </c>
      <c r="Z411" s="1">
        <f t="shared" si="126"/>
        <v>0</v>
      </c>
      <c r="AA411" s="1">
        <f t="shared" si="127"/>
        <v>0</v>
      </c>
      <c r="AB411" s="1">
        <f t="shared" si="128"/>
        <v>0</v>
      </c>
      <c r="AD411" s="1">
        <f t="shared" si="129"/>
        <v>0</v>
      </c>
      <c r="AE411" s="1">
        <f t="shared" si="130"/>
        <v>1</v>
      </c>
      <c r="AF411" s="1">
        <f t="shared" si="115"/>
        <v>0</v>
      </c>
      <c r="AG411" s="1">
        <f t="shared" si="116"/>
        <v>0</v>
      </c>
      <c r="AH411" s="1">
        <f t="shared" si="117"/>
        <v>0</v>
      </c>
      <c r="AI411" s="1">
        <f t="shared" si="118"/>
        <v>0</v>
      </c>
    </row>
    <row r="412" spans="1:35" s="1" customFormat="1" ht="14.25" customHeight="1" x14ac:dyDescent="0.25">
      <c r="A412" s="31">
        <v>0</v>
      </c>
      <c r="B412" s="31">
        <v>2</v>
      </c>
      <c r="C412" s="31">
        <v>7</v>
      </c>
      <c r="D412" s="36" t="s">
        <v>2033</v>
      </c>
      <c r="E412" s="36" t="s">
        <v>155</v>
      </c>
      <c r="F412" s="36" t="s">
        <v>2034</v>
      </c>
      <c r="G412" s="36" t="s">
        <v>219</v>
      </c>
      <c r="H412" s="36" t="s">
        <v>352</v>
      </c>
      <c r="I412" s="37" t="s">
        <v>2035</v>
      </c>
      <c r="J412" s="31">
        <v>99</v>
      </c>
      <c r="K412" s="33" t="s">
        <v>699</v>
      </c>
      <c r="L412" s="33">
        <v>10</v>
      </c>
      <c r="M412" s="34" t="s">
        <v>2036</v>
      </c>
      <c r="N412" s="34" t="s">
        <v>1732</v>
      </c>
      <c r="O412" s="35">
        <v>1</v>
      </c>
      <c r="P412" s="35"/>
      <c r="Q412" s="32"/>
      <c r="S412" s="1">
        <f t="shared" si="119"/>
        <v>0</v>
      </c>
      <c r="T412" s="1">
        <f t="shared" si="120"/>
        <v>0</v>
      </c>
      <c r="U412" s="1">
        <f t="shared" si="121"/>
        <v>0</v>
      </c>
      <c r="V412" s="1">
        <f t="shared" si="122"/>
        <v>0</v>
      </c>
      <c r="W412" s="1">
        <f t="shared" si="123"/>
        <v>0</v>
      </c>
      <c r="X412" s="1">
        <f t="shared" si="124"/>
        <v>0</v>
      </c>
      <c r="Y412" s="1">
        <f t="shared" si="125"/>
        <v>0</v>
      </c>
      <c r="Z412" s="1">
        <f t="shared" si="126"/>
        <v>0</v>
      </c>
      <c r="AA412" s="1">
        <f t="shared" si="127"/>
        <v>0</v>
      </c>
      <c r="AB412" s="1">
        <f t="shared" si="128"/>
        <v>0</v>
      </c>
      <c r="AD412" s="1">
        <f t="shared" si="129"/>
        <v>0</v>
      </c>
      <c r="AE412" s="1">
        <f t="shared" si="130"/>
        <v>1</v>
      </c>
      <c r="AF412" s="1">
        <f t="shared" si="115"/>
        <v>0</v>
      </c>
      <c r="AG412" s="1">
        <f t="shared" si="116"/>
        <v>1</v>
      </c>
      <c r="AH412" s="1">
        <f t="shared" si="117"/>
        <v>0</v>
      </c>
      <c r="AI412" s="1">
        <f t="shared" si="118"/>
        <v>1</v>
      </c>
    </row>
    <row r="413" spans="1:35" s="1" customFormat="1" ht="14.25" customHeight="1" x14ac:dyDescent="0.25">
      <c r="A413" s="44">
        <v>0</v>
      </c>
      <c r="B413" s="44">
        <v>2</v>
      </c>
      <c r="C413" s="44">
        <v>7</v>
      </c>
      <c r="D413" s="45" t="s">
        <v>68</v>
      </c>
      <c r="E413" s="45" t="s">
        <v>28</v>
      </c>
      <c r="F413" s="45" t="s">
        <v>252</v>
      </c>
      <c r="G413" s="45" t="s">
        <v>253</v>
      </c>
      <c r="H413" s="45" t="s">
        <v>352</v>
      </c>
      <c r="I413" s="44" t="s">
        <v>412</v>
      </c>
      <c r="J413" s="44">
        <v>99</v>
      </c>
      <c r="K413" s="46" t="s">
        <v>709</v>
      </c>
      <c r="L413" s="46" t="s">
        <v>709</v>
      </c>
      <c r="M413" s="47" t="s">
        <v>727</v>
      </c>
      <c r="N413" s="47" t="s">
        <v>1786</v>
      </c>
      <c r="O413" s="48"/>
      <c r="P413" s="48"/>
      <c r="Q413" s="45"/>
      <c r="S413" s="1">
        <f t="shared" si="119"/>
        <v>0</v>
      </c>
      <c r="T413" s="1">
        <f t="shared" si="120"/>
        <v>0</v>
      </c>
      <c r="U413" s="1">
        <f t="shared" si="121"/>
        <v>0</v>
      </c>
      <c r="V413" s="1">
        <f t="shared" si="122"/>
        <v>0</v>
      </c>
      <c r="W413" s="1">
        <f t="shared" si="123"/>
        <v>0</v>
      </c>
      <c r="X413" s="1">
        <f t="shared" si="124"/>
        <v>0</v>
      </c>
      <c r="Y413" s="1">
        <f t="shared" si="125"/>
        <v>0</v>
      </c>
      <c r="Z413" s="1">
        <f t="shared" si="126"/>
        <v>0</v>
      </c>
      <c r="AA413" s="1">
        <f t="shared" si="127"/>
        <v>0</v>
      </c>
      <c r="AB413" s="1">
        <f t="shared" si="128"/>
        <v>0</v>
      </c>
      <c r="AD413" s="1">
        <f t="shared" si="129"/>
        <v>0</v>
      </c>
      <c r="AE413" s="1">
        <f t="shared" si="130"/>
        <v>0</v>
      </c>
      <c r="AF413" s="1">
        <f t="shared" si="115"/>
        <v>0</v>
      </c>
      <c r="AG413" s="1">
        <f t="shared" si="116"/>
        <v>0</v>
      </c>
      <c r="AH413" s="1">
        <f t="shared" si="117"/>
        <v>0</v>
      </c>
      <c r="AI413" s="1">
        <f t="shared" si="118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1997</v>
      </c>
      <c r="E414" s="32" t="s">
        <v>28</v>
      </c>
      <c r="F414" s="32" t="s">
        <v>1999</v>
      </c>
      <c r="G414" s="32" t="s">
        <v>1091</v>
      </c>
      <c r="H414" s="32" t="s">
        <v>352</v>
      </c>
      <c r="I414" s="31" t="s">
        <v>2000</v>
      </c>
      <c r="J414" s="31">
        <v>1</v>
      </c>
      <c r="K414" s="33" t="s">
        <v>699</v>
      </c>
      <c r="L414" s="33"/>
      <c r="M414" s="34"/>
      <c r="N414" s="34" t="s">
        <v>1711</v>
      </c>
      <c r="O414" s="35">
        <v>1</v>
      </c>
      <c r="P414" s="35">
        <v>1</v>
      </c>
      <c r="Q414" s="32" t="s">
        <v>2002</v>
      </c>
      <c r="S414" s="1">
        <f t="shared" si="119"/>
        <v>1</v>
      </c>
      <c r="T414" s="1">
        <f t="shared" si="120"/>
        <v>0</v>
      </c>
      <c r="U414" s="1">
        <f t="shared" si="121"/>
        <v>0</v>
      </c>
      <c r="V414" s="1">
        <f t="shared" si="122"/>
        <v>0</v>
      </c>
      <c r="W414" s="1">
        <f t="shared" si="123"/>
        <v>0</v>
      </c>
      <c r="X414" s="1">
        <f t="shared" si="124"/>
        <v>0</v>
      </c>
      <c r="Y414" s="1">
        <f t="shared" si="125"/>
        <v>0</v>
      </c>
      <c r="Z414" s="1">
        <f t="shared" si="126"/>
        <v>0</v>
      </c>
      <c r="AA414" s="1">
        <f t="shared" si="127"/>
        <v>0</v>
      </c>
      <c r="AB414" s="1">
        <f t="shared" si="128"/>
        <v>0</v>
      </c>
      <c r="AD414" s="1">
        <f t="shared" si="129"/>
        <v>1</v>
      </c>
      <c r="AE414" s="1">
        <f t="shared" si="130"/>
        <v>0</v>
      </c>
      <c r="AF414" s="1">
        <f t="shared" si="115"/>
        <v>1</v>
      </c>
      <c r="AG414" s="1">
        <f t="shared" si="116"/>
        <v>0</v>
      </c>
      <c r="AH414" s="1">
        <f t="shared" si="117"/>
        <v>1</v>
      </c>
      <c r="AI414" s="1">
        <f t="shared" si="118"/>
        <v>0</v>
      </c>
    </row>
    <row r="415" spans="1:35" s="1" customFormat="1" ht="14.25" customHeight="1" x14ac:dyDescent="0.25">
      <c r="A415" s="31">
        <v>1</v>
      </c>
      <c r="B415" s="31">
        <v>2</v>
      </c>
      <c r="C415" s="31">
        <v>7</v>
      </c>
      <c r="D415" s="32" t="s">
        <v>1997</v>
      </c>
      <c r="E415" s="32" t="s">
        <v>28</v>
      </c>
      <c r="F415" s="32" t="s">
        <v>1998</v>
      </c>
      <c r="G415" s="36" t="s">
        <v>2004</v>
      </c>
      <c r="H415" s="32" t="s">
        <v>352</v>
      </c>
      <c r="I415" s="31" t="s">
        <v>2001</v>
      </c>
      <c r="J415" s="31">
        <v>8</v>
      </c>
      <c r="K415" s="33" t="s">
        <v>699</v>
      </c>
      <c r="L415" s="33"/>
      <c r="M415" s="34"/>
      <c r="N415" s="34" t="s">
        <v>1711</v>
      </c>
      <c r="O415" s="35">
        <v>1</v>
      </c>
      <c r="P415" s="35">
        <v>1</v>
      </c>
      <c r="Q415" s="32" t="s">
        <v>2003</v>
      </c>
      <c r="S415" s="1">
        <f t="shared" si="119"/>
        <v>0</v>
      </c>
      <c r="T415" s="1">
        <f t="shared" si="120"/>
        <v>0</v>
      </c>
      <c r="U415" s="1">
        <f t="shared" si="121"/>
        <v>0</v>
      </c>
      <c r="V415" s="1">
        <f t="shared" si="122"/>
        <v>0</v>
      </c>
      <c r="W415" s="1">
        <f t="shared" si="123"/>
        <v>0</v>
      </c>
      <c r="X415" s="1">
        <f t="shared" si="124"/>
        <v>0</v>
      </c>
      <c r="Y415" s="1">
        <f t="shared" si="125"/>
        <v>0</v>
      </c>
      <c r="Z415" s="1">
        <f t="shared" si="126"/>
        <v>1</v>
      </c>
      <c r="AA415" s="1">
        <f t="shared" si="127"/>
        <v>0</v>
      </c>
      <c r="AB415" s="1">
        <f t="shared" si="128"/>
        <v>0</v>
      </c>
      <c r="AD415" s="1">
        <f t="shared" si="129"/>
        <v>1</v>
      </c>
      <c r="AE415" s="1">
        <f t="shared" si="130"/>
        <v>0</v>
      </c>
      <c r="AF415" s="1">
        <f t="shared" si="115"/>
        <v>0</v>
      </c>
      <c r="AG415" s="1">
        <f t="shared" si="116"/>
        <v>0</v>
      </c>
      <c r="AH415" s="1">
        <f t="shared" si="117"/>
        <v>0</v>
      </c>
      <c r="AI415" s="1">
        <f t="shared" si="118"/>
        <v>0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254</v>
      </c>
      <c r="G416" s="36" t="s">
        <v>206</v>
      </c>
      <c r="H416" s="32" t="s">
        <v>352</v>
      </c>
      <c r="I416" s="31" t="s">
        <v>413</v>
      </c>
      <c r="J416" s="31">
        <v>99</v>
      </c>
      <c r="K416" s="33" t="s">
        <v>942</v>
      </c>
      <c r="L416" s="33" t="s">
        <v>709</v>
      </c>
      <c r="M416" s="34" t="s">
        <v>727</v>
      </c>
      <c r="N416" s="34" t="s">
        <v>1717</v>
      </c>
      <c r="O416" s="35">
        <v>1</v>
      </c>
      <c r="P416" s="35">
        <v>1</v>
      </c>
      <c r="Q416" s="32"/>
      <c r="S416" s="1">
        <f t="shared" ref="S403:S466" si="131">IF(J416=$S$7,1,0)</f>
        <v>0</v>
      </c>
      <c r="T416" s="1">
        <f t="shared" ref="T403:T466" si="132">IF(J416=$T$7,1,0)</f>
        <v>0</v>
      </c>
      <c r="U416" s="1">
        <f t="shared" ref="U403:U466" si="133">IF(J416=$U$7,1,0)</f>
        <v>0</v>
      </c>
      <c r="V416" s="1">
        <f t="shared" ref="V403:V466" si="134">IF(J416=$V$7,1,0)</f>
        <v>0</v>
      </c>
      <c r="W416" s="1">
        <f t="shared" ref="W403:W466" si="135">IF(J416=$W$7,1,0)</f>
        <v>0</v>
      </c>
      <c r="X416" s="1">
        <f t="shared" ref="X403:X466" si="136">IF(J416=$X$7,1,0)</f>
        <v>0</v>
      </c>
      <c r="Y416" s="1">
        <f t="shared" ref="Y403:Y466" si="137">IF(J416=$Y$7,1,0)</f>
        <v>0</v>
      </c>
      <c r="Z416" s="1">
        <f t="shared" ref="Z403:Z466" si="138">IF(J416=$Z$7,1,0)</f>
        <v>0</v>
      </c>
      <c r="AA416" s="1">
        <f t="shared" ref="AA403:AA466" si="139">IF(J416=$AA$7,1,0)</f>
        <v>0</v>
      </c>
      <c r="AB416" s="1">
        <f t="shared" ref="AB403:AB466" si="140">IF(J416=$AB$7,1,0)</f>
        <v>0</v>
      </c>
      <c r="AD416" s="1">
        <f t="shared" ref="AD403:AD466" si="141">+O416*P416</f>
        <v>1</v>
      </c>
      <c r="AE416" s="1">
        <f t="shared" ref="AE403:AE466" si="142">O416*(1-P416)</f>
        <v>0</v>
      </c>
      <c r="AF416" s="1">
        <f t="shared" ref="AF399:AF462" si="143">+O416*P416*(1-A416)</f>
        <v>1</v>
      </c>
      <c r="AG416" s="1">
        <f t="shared" ref="AG399:AG462" si="144">O416*(1-P416)*(1-A416)</f>
        <v>0</v>
      </c>
      <c r="AH416" s="1">
        <f t="shared" ref="AH399:AH462" si="145">+P416*(1-A416)</f>
        <v>1</v>
      </c>
      <c r="AI416" s="1">
        <f t="shared" ref="AI399:AI462" si="146">+(1-A416)*(1-P416)</f>
        <v>0</v>
      </c>
    </row>
    <row r="417" spans="1:35" s="1" customFormat="1" ht="14.25" customHeight="1" x14ac:dyDescent="0.25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1858</v>
      </c>
      <c r="G417" s="36" t="s">
        <v>255</v>
      </c>
      <c r="H417" s="32" t="s">
        <v>352</v>
      </c>
      <c r="I417" s="31" t="s">
        <v>414</v>
      </c>
      <c r="J417" s="31">
        <v>99</v>
      </c>
      <c r="K417" s="33" t="s">
        <v>942</v>
      </c>
      <c r="L417" s="33" t="s">
        <v>709</v>
      </c>
      <c r="M417" s="34" t="s">
        <v>727</v>
      </c>
      <c r="N417" s="34" t="s">
        <v>1717</v>
      </c>
      <c r="O417" s="35">
        <v>1</v>
      </c>
      <c r="P417" s="35">
        <v>1</v>
      </c>
      <c r="Q417" s="32"/>
      <c r="S417" s="1">
        <f t="shared" si="131"/>
        <v>0</v>
      </c>
      <c r="T417" s="1">
        <f t="shared" si="132"/>
        <v>0</v>
      </c>
      <c r="U417" s="1">
        <f t="shared" si="133"/>
        <v>0</v>
      </c>
      <c r="V417" s="1">
        <f t="shared" si="134"/>
        <v>0</v>
      </c>
      <c r="W417" s="1">
        <f t="shared" si="135"/>
        <v>0</v>
      </c>
      <c r="X417" s="1">
        <f t="shared" si="136"/>
        <v>0</v>
      </c>
      <c r="Y417" s="1">
        <f t="shared" si="137"/>
        <v>0</v>
      </c>
      <c r="Z417" s="1">
        <f t="shared" si="138"/>
        <v>0</v>
      </c>
      <c r="AA417" s="1">
        <f t="shared" si="139"/>
        <v>0</v>
      </c>
      <c r="AB417" s="1">
        <f t="shared" si="140"/>
        <v>0</v>
      </c>
      <c r="AD417" s="1">
        <f t="shared" si="141"/>
        <v>1</v>
      </c>
      <c r="AE417" s="1">
        <f t="shared" si="142"/>
        <v>0</v>
      </c>
      <c r="AF417" s="1">
        <f t="shared" si="143"/>
        <v>0</v>
      </c>
      <c r="AG417" s="1">
        <f t="shared" si="144"/>
        <v>0</v>
      </c>
      <c r="AH417" s="1">
        <f t="shared" si="145"/>
        <v>0</v>
      </c>
      <c r="AI417" s="1">
        <f t="shared" si="146"/>
        <v>0</v>
      </c>
    </row>
    <row r="418" spans="1:35" s="1" customFormat="1" ht="14.25" customHeight="1" x14ac:dyDescent="0.25">
      <c r="A418" s="31">
        <v>1</v>
      </c>
      <c r="B418" s="31">
        <v>2</v>
      </c>
      <c r="C418" s="31">
        <v>7</v>
      </c>
      <c r="D418" s="32" t="s">
        <v>69</v>
      </c>
      <c r="E418" s="32" t="s">
        <v>28</v>
      </c>
      <c r="F418" s="32" t="s">
        <v>566</v>
      </c>
      <c r="G418" s="36" t="s">
        <v>567</v>
      </c>
      <c r="H418" s="32" t="s">
        <v>352</v>
      </c>
      <c r="I418" s="31" t="s">
        <v>576</v>
      </c>
      <c r="J418" s="31">
        <v>99</v>
      </c>
      <c r="K418" s="33" t="s">
        <v>942</v>
      </c>
      <c r="L418" s="33" t="s">
        <v>709</v>
      </c>
      <c r="M418" s="34" t="s">
        <v>727</v>
      </c>
      <c r="N418" s="34" t="s">
        <v>1717</v>
      </c>
      <c r="O418" s="35">
        <v>1</v>
      </c>
      <c r="P418" s="35">
        <v>1</v>
      </c>
      <c r="Q418" s="32"/>
      <c r="S418" s="1">
        <f t="shared" si="131"/>
        <v>0</v>
      </c>
      <c r="T418" s="1">
        <f t="shared" si="132"/>
        <v>0</v>
      </c>
      <c r="U418" s="1">
        <f t="shared" si="133"/>
        <v>0</v>
      </c>
      <c r="V418" s="1">
        <f t="shared" si="134"/>
        <v>0</v>
      </c>
      <c r="W418" s="1">
        <f t="shared" si="135"/>
        <v>0</v>
      </c>
      <c r="X418" s="1">
        <f t="shared" si="136"/>
        <v>0</v>
      </c>
      <c r="Y418" s="1">
        <f t="shared" si="137"/>
        <v>0</v>
      </c>
      <c r="Z418" s="1">
        <f t="shared" si="138"/>
        <v>0</v>
      </c>
      <c r="AA418" s="1">
        <f t="shared" si="139"/>
        <v>0</v>
      </c>
      <c r="AB418" s="1">
        <f t="shared" si="140"/>
        <v>0</v>
      </c>
      <c r="AD418" s="1">
        <f t="shared" si="141"/>
        <v>1</v>
      </c>
      <c r="AE418" s="1">
        <f t="shared" si="142"/>
        <v>0</v>
      </c>
      <c r="AF418" s="1">
        <f t="shared" si="143"/>
        <v>0</v>
      </c>
      <c r="AG418" s="1">
        <f t="shared" si="144"/>
        <v>0</v>
      </c>
      <c r="AH418" s="1">
        <f t="shared" si="145"/>
        <v>0</v>
      </c>
      <c r="AI418" s="1">
        <f t="shared" si="146"/>
        <v>0</v>
      </c>
    </row>
    <row r="419" spans="1:35" s="1" customFormat="1" ht="14.25" customHeight="1" x14ac:dyDescent="0.25">
      <c r="A419" s="44">
        <v>0</v>
      </c>
      <c r="B419" s="44">
        <v>2</v>
      </c>
      <c r="C419" s="44">
        <v>7</v>
      </c>
      <c r="D419" s="45" t="s">
        <v>71</v>
      </c>
      <c r="E419" s="45" t="s">
        <v>28</v>
      </c>
      <c r="F419" s="45" t="s">
        <v>1333</v>
      </c>
      <c r="G419" s="45" t="s">
        <v>258</v>
      </c>
      <c r="H419" s="45" t="s">
        <v>352</v>
      </c>
      <c r="I419" s="44" t="s">
        <v>416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1786</v>
      </c>
      <c r="O419" s="48"/>
      <c r="P419" s="48"/>
      <c r="Q419" s="45"/>
      <c r="S419" s="1">
        <f t="shared" si="131"/>
        <v>0</v>
      </c>
      <c r="T419" s="1">
        <f t="shared" si="132"/>
        <v>0</v>
      </c>
      <c r="U419" s="1">
        <f t="shared" si="133"/>
        <v>0</v>
      </c>
      <c r="V419" s="1">
        <f t="shared" si="134"/>
        <v>0</v>
      </c>
      <c r="W419" s="1">
        <f t="shared" si="135"/>
        <v>0</v>
      </c>
      <c r="X419" s="1">
        <f t="shared" si="136"/>
        <v>0</v>
      </c>
      <c r="Y419" s="1">
        <f t="shared" si="137"/>
        <v>0</v>
      </c>
      <c r="Z419" s="1">
        <f t="shared" si="138"/>
        <v>0</v>
      </c>
      <c r="AA419" s="1">
        <f t="shared" si="139"/>
        <v>0</v>
      </c>
      <c r="AB419" s="1">
        <f t="shared" si="140"/>
        <v>0</v>
      </c>
      <c r="AD419" s="1">
        <f t="shared" si="141"/>
        <v>0</v>
      </c>
      <c r="AE419" s="1">
        <f t="shared" si="142"/>
        <v>0</v>
      </c>
      <c r="AF419" s="1">
        <f t="shared" si="143"/>
        <v>0</v>
      </c>
      <c r="AG419" s="1">
        <f t="shared" si="144"/>
        <v>0</v>
      </c>
      <c r="AH419" s="1">
        <f t="shared" si="145"/>
        <v>0</v>
      </c>
      <c r="AI419" s="1">
        <f t="shared" si="146"/>
        <v>1</v>
      </c>
    </row>
    <row r="420" spans="1:35" s="1" customFormat="1" ht="14.25" customHeight="1" x14ac:dyDescent="0.25">
      <c r="A420" s="44">
        <v>0</v>
      </c>
      <c r="B420" s="44">
        <v>2</v>
      </c>
      <c r="C420" s="44">
        <v>7</v>
      </c>
      <c r="D420" s="45" t="s">
        <v>1049</v>
      </c>
      <c r="E420" s="45" t="s">
        <v>28</v>
      </c>
      <c r="F420" s="45" t="s">
        <v>1050</v>
      </c>
      <c r="G420" s="45" t="s">
        <v>1051</v>
      </c>
      <c r="H420" s="45" t="s">
        <v>352</v>
      </c>
      <c r="I420" s="44" t="s">
        <v>1052</v>
      </c>
      <c r="J420" s="44">
        <v>99</v>
      </c>
      <c r="K420" s="46" t="s">
        <v>709</v>
      </c>
      <c r="L420" s="46" t="s">
        <v>709</v>
      </c>
      <c r="M420" s="47" t="s">
        <v>727</v>
      </c>
      <c r="N420" s="47" t="s">
        <v>1786</v>
      </c>
      <c r="O420" s="48"/>
      <c r="P420" s="48"/>
      <c r="Q420" s="45"/>
      <c r="S420" s="1">
        <f t="shared" si="131"/>
        <v>0</v>
      </c>
      <c r="T420" s="1">
        <f t="shared" si="132"/>
        <v>0</v>
      </c>
      <c r="U420" s="1">
        <f t="shared" si="133"/>
        <v>0</v>
      </c>
      <c r="V420" s="1">
        <f t="shared" si="134"/>
        <v>0</v>
      </c>
      <c r="W420" s="1">
        <f t="shared" si="135"/>
        <v>0</v>
      </c>
      <c r="X420" s="1">
        <f t="shared" si="136"/>
        <v>0</v>
      </c>
      <c r="Y420" s="1">
        <f t="shared" si="137"/>
        <v>0</v>
      </c>
      <c r="Z420" s="1">
        <f t="shared" si="138"/>
        <v>0</v>
      </c>
      <c r="AA420" s="1">
        <f t="shared" si="139"/>
        <v>0</v>
      </c>
      <c r="AB420" s="1">
        <f t="shared" si="140"/>
        <v>0</v>
      </c>
      <c r="AD420" s="1">
        <f t="shared" si="141"/>
        <v>0</v>
      </c>
      <c r="AE420" s="1">
        <f t="shared" si="142"/>
        <v>0</v>
      </c>
      <c r="AF420" s="1">
        <f t="shared" si="143"/>
        <v>0</v>
      </c>
      <c r="AG420" s="1">
        <f t="shared" si="144"/>
        <v>0</v>
      </c>
      <c r="AH420" s="1">
        <f t="shared" si="145"/>
        <v>0</v>
      </c>
      <c r="AI420" s="1">
        <f t="shared" si="146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1790</v>
      </c>
      <c r="E421" s="32" t="s">
        <v>155</v>
      </c>
      <c r="F421" s="32" t="s">
        <v>1791</v>
      </c>
      <c r="G421" s="32"/>
      <c r="H421" s="32" t="s">
        <v>352</v>
      </c>
      <c r="I421" s="31" t="s">
        <v>1792</v>
      </c>
      <c r="J421" s="31">
        <v>99</v>
      </c>
      <c r="K421" s="33" t="s">
        <v>699</v>
      </c>
      <c r="L421" s="33"/>
      <c r="M421" s="34"/>
      <c r="N421" s="34" t="s">
        <v>1711</v>
      </c>
      <c r="O421" s="35">
        <v>1</v>
      </c>
      <c r="P421" s="35">
        <v>1</v>
      </c>
      <c r="Q421" s="32"/>
      <c r="S421" s="1">
        <f t="shared" si="131"/>
        <v>0</v>
      </c>
      <c r="T421" s="1">
        <f t="shared" si="132"/>
        <v>0</v>
      </c>
      <c r="U421" s="1">
        <f t="shared" si="133"/>
        <v>0</v>
      </c>
      <c r="V421" s="1">
        <f t="shared" si="134"/>
        <v>0</v>
      </c>
      <c r="W421" s="1">
        <f t="shared" si="135"/>
        <v>0</v>
      </c>
      <c r="X421" s="1">
        <f t="shared" si="136"/>
        <v>0</v>
      </c>
      <c r="Y421" s="1">
        <f t="shared" si="137"/>
        <v>0</v>
      </c>
      <c r="Z421" s="1">
        <f t="shared" si="138"/>
        <v>0</v>
      </c>
      <c r="AA421" s="1">
        <f t="shared" si="139"/>
        <v>0</v>
      </c>
      <c r="AB421" s="1">
        <f t="shared" si="140"/>
        <v>0</v>
      </c>
      <c r="AD421" s="1">
        <f t="shared" si="141"/>
        <v>1</v>
      </c>
      <c r="AE421" s="1">
        <f t="shared" si="142"/>
        <v>0</v>
      </c>
      <c r="AF421" s="1">
        <f t="shared" si="143"/>
        <v>1</v>
      </c>
      <c r="AG421" s="1">
        <f t="shared" si="144"/>
        <v>0</v>
      </c>
      <c r="AH421" s="1">
        <f t="shared" si="145"/>
        <v>1</v>
      </c>
      <c r="AI421" s="1">
        <f t="shared" si="146"/>
        <v>0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1162</v>
      </c>
      <c r="E422" s="32" t="s">
        <v>155</v>
      </c>
      <c r="F422" s="32" t="s">
        <v>1163</v>
      </c>
      <c r="G422" s="32" t="s">
        <v>291</v>
      </c>
      <c r="H422" s="32" t="s">
        <v>352</v>
      </c>
      <c r="I422" s="31" t="s">
        <v>1164</v>
      </c>
      <c r="J422" s="31">
        <v>99</v>
      </c>
      <c r="K422" s="33" t="s">
        <v>709</v>
      </c>
      <c r="L422" s="33" t="s">
        <v>718</v>
      </c>
      <c r="M422" s="34" t="s">
        <v>1418</v>
      </c>
      <c r="N422" s="34" t="s">
        <v>1732</v>
      </c>
      <c r="O422" s="35">
        <v>1</v>
      </c>
      <c r="P422" s="35"/>
      <c r="Q422" s="32"/>
      <c r="S422" s="1">
        <f t="shared" si="131"/>
        <v>0</v>
      </c>
      <c r="T422" s="1">
        <f t="shared" si="132"/>
        <v>0</v>
      </c>
      <c r="U422" s="1">
        <f t="shared" si="133"/>
        <v>0</v>
      </c>
      <c r="V422" s="1">
        <f t="shared" si="134"/>
        <v>0</v>
      </c>
      <c r="W422" s="1">
        <f t="shared" si="135"/>
        <v>0</v>
      </c>
      <c r="X422" s="1">
        <f t="shared" si="136"/>
        <v>0</v>
      </c>
      <c r="Y422" s="1">
        <f t="shared" si="137"/>
        <v>0</v>
      </c>
      <c r="Z422" s="1">
        <f t="shared" si="138"/>
        <v>0</v>
      </c>
      <c r="AA422" s="1">
        <f t="shared" si="139"/>
        <v>0</v>
      </c>
      <c r="AB422" s="1">
        <f t="shared" si="140"/>
        <v>0</v>
      </c>
      <c r="AD422" s="1">
        <f t="shared" si="141"/>
        <v>0</v>
      </c>
      <c r="AE422" s="1">
        <f t="shared" si="142"/>
        <v>1</v>
      </c>
      <c r="AF422" s="1">
        <f t="shared" si="143"/>
        <v>0</v>
      </c>
      <c r="AG422" s="1">
        <f t="shared" si="144"/>
        <v>1</v>
      </c>
      <c r="AH422" s="1">
        <f t="shared" si="145"/>
        <v>0</v>
      </c>
      <c r="AI422" s="1">
        <f t="shared" si="146"/>
        <v>1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2" t="s">
        <v>1137</v>
      </c>
      <c r="E423" s="32" t="s">
        <v>1138</v>
      </c>
      <c r="F423" s="36" t="s">
        <v>1862</v>
      </c>
      <c r="G423" s="32" t="s">
        <v>624</v>
      </c>
      <c r="H423" s="32" t="s">
        <v>352</v>
      </c>
      <c r="I423" s="31" t="s">
        <v>1139</v>
      </c>
      <c r="J423" s="31">
        <v>99</v>
      </c>
      <c r="K423" s="33" t="s">
        <v>709</v>
      </c>
      <c r="L423" s="33" t="s">
        <v>709</v>
      </c>
      <c r="M423" s="34" t="s">
        <v>727</v>
      </c>
      <c r="N423" s="34" t="s">
        <v>1727</v>
      </c>
      <c r="O423" s="35">
        <v>1</v>
      </c>
      <c r="P423" s="35"/>
      <c r="Q423" s="36" t="s">
        <v>1882</v>
      </c>
      <c r="S423" s="1">
        <f t="shared" si="131"/>
        <v>0</v>
      </c>
      <c r="T423" s="1">
        <f t="shared" si="132"/>
        <v>0</v>
      </c>
      <c r="U423" s="1">
        <f t="shared" si="133"/>
        <v>0</v>
      </c>
      <c r="V423" s="1">
        <f t="shared" si="134"/>
        <v>0</v>
      </c>
      <c r="W423" s="1">
        <f t="shared" si="135"/>
        <v>0</v>
      </c>
      <c r="X423" s="1">
        <f t="shared" si="136"/>
        <v>0</v>
      </c>
      <c r="Y423" s="1">
        <f t="shared" si="137"/>
        <v>0</v>
      </c>
      <c r="Z423" s="1">
        <f t="shared" si="138"/>
        <v>0</v>
      </c>
      <c r="AA423" s="1">
        <f t="shared" si="139"/>
        <v>0</v>
      </c>
      <c r="AB423" s="1">
        <f t="shared" si="140"/>
        <v>0</v>
      </c>
      <c r="AD423" s="1">
        <f t="shared" si="141"/>
        <v>0</v>
      </c>
      <c r="AE423" s="1">
        <f t="shared" si="142"/>
        <v>1</v>
      </c>
      <c r="AF423" s="1">
        <f t="shared" si="143"/>
        <v>0</v>
      </c>
      <c r="AG423" s="1">
        <f t="shared" si="144"/>
        <v>1</v>
      </c>
      <c r="AH423" s="1">
        <f t="shared" si="145"/>
        <v>0</v>
      </c>
      <c r="AI423" s="1">
        <f t="shared" si="146"/>
        <v>1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2" t="s">
        <v>538</v>
      </c>
      <c r="E424" s="32" t="s">
        <v>157</v>
      </c>
      <c r="F424" s="32" t="s">
        <v>194</v>
      </c>
      <c r="G424" s="32" t="s">
        <v>195</v>
      </c>
      <c r="H424" s="32" t="s">
        <v>352</v>
      </c>
      <c r="I424" s="31" t="s">
        <v>546</v>
      </c>
      <c r="J424" s="31">
        <v>99</v>
      </c>
      <c r="K424" s="33" t="s">
        <v>942</v>
      </c>
      <c r="L424" s="33" t="s">
        <v>692</v>
      </c>
      <c r="M424" s="34" t="s">
        <v>1420</v>
      </c>
      <c r="N424" s="34" t="s">
        <v>1732</v>
      </c>
      <c r="O424" s="35">
        <v>1</v>
      </c>
      <c r="P424" s="35"/>
      <c r="Q424" s="32"/>
      <c r="S424" s="1">
        <f t="shared" si="131"/>
        <v>0</v>
      </c>
      <c r="T424" s="1">
        <f t="shared" si="132"/>
        <v>0</v>
      </c>
      <c r="U424" s="1">
        <f t="shared" si="133"/>
        <v>0</v>
      </c>
      <c r="V424" s="1">
        <f t="shared" si="134"/>
        <v>0</v>
      </c>
      <c r="W424" s="1">
        <f t="shared" si="135"/>
        <v>0</v>
      </c>
      <c r="X424" s="1">
        <f t="shared" si="136"/>
        <v>0</v>
      </c>
      <c r="Y424" s="1">
        <f t="shared" si="137"/>
        <v>0</v>
      </c>
      <c r="Z424" s="1">
        <f t="shared" si="138"/>
        <v>0</v>
      </c>
      <c r="AA424" s="1">
        <f t="shared" si="139"/>
        <v>0</v>
      </c>
      <c r="AB424" s="1">
        <f t="shared" si="140"/>
        <v>0</v>
      </c>
      <c r="AD424" s="1">
        <f t="shared" si="141"/>
        <v>0</v>
      </c>
      <c r="AE424" s="1">
        <f t="shared" si="142"/>
        <v>1</v>
      </c>
      <c r="AF424" s="1">
        <f t="shared" si="143"/>
        <v>0</v>
      </c>
      <c r="AG424" s="1">
        <f t="shared" si="144"/>
        <v>1</v>
      </c>
      <c r="AH424" s="1">
        <f t="shared" si="145"/>
        <v>0</v>
      </c>
      <c r="AI424" s="1">
        <f t="shared" si="146"/>
        <v>1</v>
      </c>
    </row>
    <row r="425" spans="1:35" s="1" customFormat="1" ht="14.25" customHeight="1" x14ac:dyDescent="0.25">
      <c r="A425" s="44">
        <v>0</v>
      </c>
      <c r="B425" s="44">
        <v>2</v>
      </c>
      <c r="C425" s="44">
        <v>7</v>
      </c>
      <c r="D425" s="45" t="s">
        <v>46</v>
      </c>
      <c r="E425" s="45" t="s">
        <v>155</v>
      </c>
      <c r="F425" s="45" t="s">
        <v>182</v>
      </c>
      <c r="G425" s="45" t="s">
        <v>178</v>
      </c>
      <c r="H425" s="45" t="s">
        <v>352</v>
      </c>
      <c r="I425" s="44" t="s">
        <v>380</v>
      </c>
      <c r="J425" s="44">
        <v>10</v>
      </c>
      <c r="K425" s="46" t="s">
        <v>942</v>
      </c>
      <c r="L425" s="46" t="s">
        <v>718</v>
      </c>
      <c r="M425" s="47" t="s">
        <v>1418</v>
      </c>
      <c r="N425" s="47" t="s">
        <v>1793</v>
      </c>
      <c r="O425" s="48"/>
      <c r="P425" s="48"/>
      <c r="Q425" s="45"/>
      <c r="S425" s="1">
        <f t="shared" si="131"/>
        <v>0</v>
      </c>
      <c r="T425" s="1">
        <f t="shared" si="132"/>
        <v>0</v>
      </c>
      <c r="U425" s="1">
        <f t="shared" si="133"/>
        <v>0</v>
      </c>
      <c r="V425" s="1">
        <f t="shared" si="134"/>
        <v>0</v>
      </c>
      <c r="W425" s="1">
        <f t="shared" si="135"/>
        <v>0</v>
      </c>
      <c r="X425" s="1">
        <f t="shared" si="136"/>
        <v>0</v>
      </c>
      <c r="Y425" s="1">
        <f t="shared" si="137"/>
        <v>0</v>
      </c>
      <c r="Z425" s="1">
        <f t="shared" si="138"/>
        <v>0</v>
      </c>
      <c r="AA425" s="1">
        <f t="shared" si="139"/>
        <v>0</v>
      </c>
      <c r="AB425" s="1">
        <f t="shared" si="140"/>
        <v>1</v>
      </c>
      <c r="AD425" s="1">
        <f t="shared" si="141"/>
        <v>0</v>
      </c>
      <c r="AE425" s="1">
        <f t="shared" si="142"/>
        <v>0</v>
      </c>
      <c r="AF425" s="1">
        <f t="shared" si="143"/>
        <v>0</v>
      </c>
      <c r="AG425" s="1">
        <f t="shared" si="144"/>
        <v>0</v>
      </c>
      <c r="AH425" s="1">
        <f t="shared" si="145"/>
        <v>0</v>
      </c>
      <c r="AI425" s="1">
        <f t="shared" si="146"/>
        <v>1</v>
      </c>
    </row>
    <row r="426" spans="1:35" s="1" customFormat="1" ht="14.25" customHeight="1" x14ac:dyDescent="0.25">
      <c r="A426" s="44">
        <v>0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247</v>
      </c>
      <c r="G426" s="45" t="s">
        <v>248</v>
      </c>
      <c r="H426" s="45" t="s">
        <v>352</v>
      </c>
      <c r="I426" s="44" t="s">
        <v>409</v>
      </c>
      <c r="J426" s="44">
        <v>7</v>
      </c>
      <c r="K426" s="46" t="s">
        <v>709</v>
      </c>
      <c r="L426" s="46" t="s">
        <v>709</v>
      </c>
      <c r="M426" s="47" t="s">
        <v>727</v>
      </c>
      <c r="N426" s="47" t="s">
        <v>1718</v>
      </c>
      <c r="O426" s="48"/>
      <c r="P426" s="48"/>
      <c r="Q426" s="45"/>
      <c r="S426" s="1">
        <f t="shared" si="131"/>
        <v>0</v>
      </c>
      <c r="T426" s="1">
        <f t="shared" si="132"/>
        <v>0</v>
      </c>
      <c r="U426" s="1">
        <f t="shared" si="133"/>
        <v>0</v>
      </c>
      <c r="V426" s="1">
        <f t="shared" si="134"/>
        <v>0</v>
      </c>
      <c r="W426" s="1">
        <f t="shared" si="135"/>
        <v>0</v>
      </c>
      <c r="X426" s="1">
        <f t="shared" si="136"/>
        <v>0</v>
      </c>
      <c r="Y426" s="1">
        <f t="shared" si="137"/>
        <v>1</v>
      </c>
      <c r="Z426" s="1">
        <f t="shared" si="138"/>
        <v>0</v>
      </c>
      <c r="AA426" s="1">
        <f t="shared" si="139"/>
        <v>0</v>
      </c>
      <c r="AB426" s="1">
        <f t="shared" si="140"/>
        <v>0</v>
      </c>
      <c r="AD426" s="1">
        <f t="shared" si="141"/>
        <v>0</v>
      </c>
      <c r="AE426" s="1">
        <f t="shared" si="142"/>
        <v>0</v>
      </c>
      <c r="AF426" s="1">
        <f t="shared" si="143"/>
        <v>0</v>
      </c>
      <c r="AG426" s="1">
        <f t="shared" si="144"/>
        <v>0</v>
      </c>
      <c r="AH426" s="1">
        <f t="shared" si="145"/>
        <v>0</v>
      </c>
      <c r="AI426" s="1">
        <f t="shared" si="146"/>
        <v>1</v>
      </c>
    </row>
    <row r="427" spans="1:35" s="1" customFormat="1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1026</v>
      </c>
      <c r="G427" s="45" t="s">
        <v>535</v>
      </c>
      <c r="H427" s="45" t="s">
        <v>352</v>
      </c>
      <c r="I427" s="44" t="s">
        <v>30</v>
      </c>
      <c r="J427" s="44">
        <v>1</v>
      </c>
      <c r="K427" s="46" t="s">
        <v>709</v>
      </c>
      <c r="L427" s="46" t="s">
        <v>709</v>
      </c>
      <c r="M427" s="47" t="s">
        <v>727</v>
      </c>
      <c r="N427" s="47" t="s">
        <v>1718</v>
      </c>
      <c r="O427" s="48"/>
      <c r="P427" s="48"/>
      <c r="Q427" s="45"/>
      <c r="S427" s="1">
        <f t="shared" si="131"/>
        <v>1</v>
      </c>
      <c r="T427" s="1">
        <f t="shared" si="132"/>
        <v>0</v>
      </c>
      <c r="U427" s="1">
        <f t="shared" si="133"/>
        <v>0</v>
      </c>
      <c r="V427" s="1">
        <f t="shared" si="134"/>
        <v>0</v>
      </c>
      <c r="W427" s="1">
        <f t="shared" si="135"/>
        <v>0</v>
      </c>
      <c r="X427" s="1">
        <f t="shared" si="136"/>
        <v>0</v>
      </c>
      <c r="Y427" s="1">
        <f t="shared" si="137"/>
        <v>0</v>
      </c>
      <c r="Z427" s="1">
        <f t="shared" si="138"/>
        <v>0</v>
      </c>
      <c r="AA427" s="1">
        <f t="shared" si="139"/>
        <v>0</v>
      </c>
      <c r="AB427" s="1">
        <f t="shared" si="140"/>
        <v>0</v>
      </c>
      <c r="AD427" s="1">
        <f t="shared" si="141"/>
        <v>0</v>
      </c>
      <c r="AE427" s="1">
        <f t="shared" si="142"/>
        <v>0</v>
      </c>
      <c r="AF427" s="1">
        <f t="shared" si="143"/>
        <v>0</v>
      </c>
      <c r="AG427" s="1">
        <f t="shared" si="144"/>
        <v>0</v>
      </c>
      <c r="AH427" s="1">
        <f t="shared" si="145"/>
        <v>0</v>
      </c>
      <c r="AI427" s="1">
        <f t="shared" si="146"/>
        <v>0</v>
      </c>
    </row>
    <row r="428" spans="1:35" s="1" customFormat="1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249</v>
      </c>
      <c r="G428" s="45" t="s">
        <v>199</v>
      </c>
      <c r="H428" s="45" t="s">
        <v>352</v>
      </c>
      <c r="I428" s="44" t="s">
        <v>410</v>
      </c>
      <c r="J428" s="44">
        <v>2</v>
      </c>
      <c r="K428" s="46" t="s">
        <v>709</v>
      </c>
      <c r="L428" s="46" t="s">
        <v>709</v>
      </c>
      <c r="M428" s="47" t="s">
        <v>727</v>
      </c>
      <c r="N428" s="47" t="s">
        <v>1718</v>
      </c>
      <c r="O428" s="48"/>
      <c r="P428" s="48"/>
      <c r="Q428" s="45"/>
      <c r="S428" s="1">
        <f t="shared" si="131"/>
        <v>0</v>
      </c>
      <c r="T428" s="1">
        <f t="shared" si="132"/>
        <v>1</v>
      </c>
      <c r="U428" s="1">
        <f t="shared" si="133"/>
        <v>0</v>
      </c>
      <c r="V428" s="1">
        <f t="shared" si="134"/>
        <v>0</v>
      </c>
      <c r="W428" s="1">
        <f t="shared" si="135"/>
        <v>0</v>
      </c>
      <c r="X428" s="1">
        <f t="shared" si="136"/>
        <v>0</v>
      </c>
      <c r="Y428" s="1">
        <f t="shared" si="137"/>
        <v>0</v>
      </c>
      <c r="Z428" s="1">
        <f t="shared" si="138"/>
        <v>0</v>
      </c>
      <c r="AA428" s="1">
        <f t="shared" si="139"/>
        <v>0</v>
      </c>
      <c r="AB428" s="1">
        <f t="shared" si="140"/>
        <v>0</v>
      </c>
      <c r="AD428" s="1">
        <f t="shared" si="141"/>
        <v>0</v>
      </c>
      <c r="AE428" s="1">
        <f t="shared" si="142"/>
        <v>0</v>
      </c>
      <c r="AF428" s="1">
        <f t="shared" si="143"/>
        <v>0</v>
      </c>
      <c r="AG428" s="1">
        <f t="shared" si="144"/>
        <v>0</v>
      </c>
      <c r="AH428" s="1">
        <f t="shared" si="145"/>
        <v>0</v>
      </c>
      <c r="AI428" s="1">
        <f t="shared" si="146"/>
        <v>0</v>
      </c>
    </row>
    <row r="429" spans="1:35" s="1" customFormat="1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246</v>
      </c>
      <c r="G429" s="45" t="s">
        <v>1335</v>
      </c>
      <c r="H429" s="45" t="s">
        <v>352</v>
      </c>
      <c r="I429" s="44" t="s">
        <v>30</v>
      </c>
      <c r="J429" s="44">
        <v>1</v>
      </c>
      <c r="K429" s="46" t="s">
        <v>709</v>
      </c>
      <c r="L429" s="46" t="s">
        <v>709</v>
      </c>
      <c r="M429" s="47" t="s">
        <v>727</v>
      </c>
      <c r="N429" s="47" t="s">
        <v>1718</v>
      </c>
      <c r="O429" s="48"/>
      <c r="P429" s="48"/>
      <c r="Q429" s="45" t="s">
        <v>1901</v>
      </c>
      <c r="S429" s="1">
        <f t="shared" si="131"/>
        <v>1</v>
      </c>
      <c r="T429" s="1">
        <f t="shared" si="132"/>
        <v>0</v>
      </c>
      <c r="U429" s="1">
        <f t="shared" si="133"/>
        <v>0</v>
      </c>
      <c r="V429" s="1">
        <f t="shared" si="134"/>
        <v>0</v>
      </c>
      <c r="W429" s="1">
        <f t="shared" si="135"/>
        <v>0</v>
      </c>
      <c r="X429" s="1">
        <f t="shared" si="136"/>
        <v>0</v>
      </c>
      <c r="Y429" s="1">
        <f t="shared" si="137"/>
        <v>0</v>
      </c>
      <c r="Z429" s="1">
        <f t="shared" si="138"/>
        <v>0</v>
      </c>
      <c r="AA429" s="1">
        <f t="shared" si="139"/>
        <v>0</v>
      </c>
      <c r="AB429" s="1">
        <f t="shared" si="140"/>
        <v>0</v>
      </c>
      <c r="AD429" s="1">
        <f t="shared" si="141"/>
        <v>0</v>
      </c>
      <c r="AE429" s="1">
        <f t="shared" si="142"/>
        <v>0</v>
      </c>
      <c r="AF429" s="1">
        <f t="shared" si="143"/>
        <v>0</v>
      </c>
      <c r="AG429" s="1">
        <f t="shared" si="144"/>
        <v>0</v>
      </c>
      <c r="AH429" s="1">
        <f t="shared" si="145"/>
        <v>0</v>
      </c>
      <c r="AI429" s="1">
        <f t="shared" si="146"/>
        <v>0</v>
      </c>
    </row>
    <row r="430" spans="1:35" s="1" customFormat="1" ht="14.25" customHeight="1" x14ac:dyDescent="0.25">
      <c r="A430" s="44">
        <v>1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251</v>
      </c>
      <c r="G430" s="45" t="s">
        <v>193</v>
      </c>
      <c r="H430" s="45" t="s">
        <v>352</v>
      </c>
      <c r="I430" s="44" t="s">
        <v>411</v>
      </c>
      <c r="J430" s="44">
        <v>9</v>
      </c>
      <c r="K430" s="46" t="s">
        <v>709</v>
      </c>
      <c r="L430" s="46" t="s">
        <v>709</v>
      </c>
      <c r="M430" s="47" t="s">
        <v>727</v>
      </c>
      <c r="N430" s="47" t="s">
        <v>1718</v>
      </c>
      <c r="O430" s="48"/>
      <c r="P430" s="48"/>
      <c r="Q430" s="45"/>
      <c r="S430" s="1">
        <f t="shared" si="131"/>
        <v>0</v>
      </c>
      <c r="T430" s="1">
        <f t="shared" si="132"/>
        <v>0</v>
      </c>
      <c r="U430" s="1">
        <f t="shared" si="133"/>
        <v>0</v>
      </c>
      <c r="V430" s="1">
        <f t="shared" si="134"/>
        <v>0</v>
      </c>
      <c r="W430" s="1">
        <f t="shared" si="135"/>
        <v>0</v>
      </c>
      <c r="X430" s="1">
        <f t="shared" si="136"/>
        <v>0</v>
      </c>
      <c r="Y430" s="1">
        <f t="shared" si="137"/>
        <v>0</v>
      </c>
      <c r="Z430" s="1">
        <f t="shared" si="138"/>
        <v>0</v>
      </c>
      <c r="AA430" s="1">
        <f t="shared" si="139"/>
        <v>1</v>
      </c>
      <c r="AB430" s="1">
        <f t="shared" si="140"/>
        <v>0</v>
      </c>
      <c r="AD430" s="1">
        <f t="shared" si="141"/>
        <v>0</v>
      </c>
      <c r="AE430" s="1">
        <f t="shared" si="142"/>
        <v>0</v>
      </c>
      <c r="AF430" s="1">
        <f t="shared" si="143"/>
        <v>0</v>
      </c>
      <c r="AG430" s="1">
        <f t="shared" si="144"/>
        <v>0</v>
      </c>
      <c r="AH430" s="1">
        <f t="shared" si="145"/>
        <v>0</v>
      </c>
      <c r="AI430" s="1">
        <f t="shared" si="146"/>
        <v>0</v>
      </c>
    </row>
    <row r="431" spans="1:35" s="1" customFormat="1" ht="14.25" customHeight="1" x14ac:dyDescent="0.25">
      <c r="A431" s="44">
        <v>0</v>
      </c>
      <c r="B431" s="44">
        <v>2</v>
      </c>
      <c r="C431" s="44">
        <v>7</v>
      </c>
      <c r="D431" s="45" t="s">
        <v>1010</v>
      </c>
      <c r="E431" s="45" t="s">
        <v>28</v>
      </c>
      <c r="F431" s="45" t="s">
        <v>1011</v>
      </c>
      <c r="G431" s="45" t="s">
        <v>193</v>
      </c>
      <c r="H431" s="45" t="s">
        <v>352</v>
      </c>
      <c r="I431" s="44" t="s">
        <v>1012</v>
      </c>
      <c r="J431" s="44">
        <v>9</v>
      </c>
      <c r="K431" s="46" t="s">
        <v>708</v>
      </c>
      <c r="L431" s="46" t="s">
        <v>709</v>
      </c>
      <c r="M431" s="47" t="s">
        <v>727</v>
      </c>
      <c r="N431" s="47" t="s">
        <v>1719</v>
      </c>
      <c r="O431" s="48"/>
      <c r="P431" s="48"/>
      <c r="Q431" s="45"/>
      <c r="S431" s="1">
        <f t="shared" si="131"/>
        <v>0</v>
      </c>
      <c r="T431" s="1">
        <f t="shared" si="132"/>
        <v>0</v>
      </c>
      <c r="U431" s="1">
        <f t="shared" si="133"/>
        <v>0</v>
      </c>
      <c r="V431" s="1">
        <f t="shared" si="134"/>
        <v>0</v>
      </c>
      <c r="W431" s="1">
        <f t="shared" si="135"/>
        <v>0</v>
      </c>
      <c r="X431" s="1">
        <f t="shared" si="136"/>
        <v>0</v>
      </c>
      <c r="Y431" s="1">
        <f t="shared" si="137"/>
        <v>0</v>
      </c>
      <c r="Z431" s="1">
        <f t="shared" si="138"/>
        <v>0</v>
      </c>
      <c r="AA431" s="1">
        <f t="shared" si="139"/>
        <v>1</v>
      </c>
      <c r="AB431" s="1">
        <f t="shared" si="140"/>
        <v>0</v>
      </c>
      <c r="AD431" s="1">
        <f t="shared" si="141"/>
        <v>0</v>
      </c>
      <c r="AE431" s="1">
        <f t="shared" si="142"/>
        <v>0</v>
      </c>
      <c r="AF431" s="1">
        <f t="shared" si="143"/>
        <v>0</v>
      </c>
      <c r="AG431" s="1">
        <f t="shared" si="144"/>
        <v>0</v>
      </c>
      <c r="AH431" s="1">
        <f t="shared" si="145"/>
        <v>0</v>
      </c>
      <c r="AI431" s="1">
        <f t="shared" si="146"/>
        <v>1</v>
      </c>
    </row>
    <row r="432" spans="1:35" s="1" customFormat="1" ht="14.25" customHeight="1" x14ac:dyDescent="0.25">
      <c r="A432" s="31">
        <v>0</v>
      </c>
      <c r="B432" s="31">
        <v>2</v>
      </c>
      <c r="C432" s="31">
        <v>7</v>
      </c>
      <c r="D432" s="32" t="s">
        <v>1817</v>
      </c>
      <c r="E432" s="32" t="s">
        <v>1818</v>
      </c>
      <c r="F432" s="32" t="s">
        <v>1819</v>
      </c>
      <c r="G432" s="32" t="s">
        <v>206</v>
      </c>
      <c r="H432" s="32" t="s">
        <v>352</v>
      </c>
      <c r="I432" s="31" t="s">
        <v>30</v>
      </c>
      <c r="J432" s="31"/>
      <c r="K432" s="33" t="s">
        <v>699</v>
      </c>
      <c r="L432" s="33">
        <v>20</v>
      </c>
      <c r="M432" s="34" t="s">
        <v>1820</v>
      </c>
      <c r="N432" s="34" t="s">
        <v>1727</v>
      </c>
      <c r="O432" s="35">
        <v>1</v>
      </c>
      <c r="P432" s="35"/>
      <c r="Q432" s="32"/>
      <c r="S432" s="1">
        <f t="shared" si="131"/>
        <v>0</v>
      </c>
      <c r="T432" s="1">
        <f t="shared" si="132"/>
        <v>0</v>
      </c>
      <c r="U432" s="1">
        <f t="shared" si="133"/>
        <v>0</v>
      </c>
      <c r="V432" s="1">
        <f t="shared" si="134"/>
        <v>0</v>
      </c>
      <c r="W432" s="1">
        <f t="shared" si="135"/>
        <v>0</v>
      </c>
      <c r="X432" s="1">
        <f t="shared" si="136"/>
        <v>0</v>
      </c>
      <c r="Y432" s="1">
        <f t="shared" si="137"/>
        <v>0</v>
      </c>
      <c r="Z432" s="1">
        <f t="shared" si="138"/>
        <v>0</v>
      </c>
      <c r="AA432" s="1">
        <f t="shared" si="139"/>
        <v>0</v>
      </c>
      <c r="AB432" s="1">
        <f t="shared" si="140"/>
        <v>0</v>
      </c>
      <c r="AD432" s="1">
        <f t="shared" si="141"/>
        <v>0</v>
      </c>
      <c r="AE432" s="1">
        <f t="shared" si="142"/>
        <v>1</v>
      </c>
      <c r="AF432" s="1">
        <f t="shared" si="143"/>
        <v>0</v>
      </c>
      <c r="AG432" s="1">
        <f t="shared" si="144"/>
        <v>1</v>
      </c>
      <c r="AH432" s="1">
        <f t="shared" si="145"/>
        <v>0</v>
      </c>
      <c r="AI432" s="1">
        <f t="shared" si="146"/>
        <v>1</v>
      </c>
    </row>
    <row r="433" spans="1:35" s="1" customFormat="1" ht="14.25" customHeight="1" x14ac:dyDescent="0.25">
      <c r="A433" s="49">
        <v>0</v>
      </c>
      <c r="B433" s="49">
        <v>2</v>
      </c>
      <c r="C433" s="49">
        <v>7</v>
      </c>
      <c r="D433" s="50" t="s">
        <v>1066</v>
      </c>
      <c r="E433" s="50" t="s">
        <v>540</v>
      </c>
      <c r="F433" s="50" t="s">
        <v>1047</v>
      </c>
      <c r="G433" s="50" t="s">
        <v>237</v>
      </c>
      <c r="H433" s="50" t="s">
        <v>352</v>
      </c>
      <c r="I433" s="49" t="s">
        <v>1048</v>
      </c>
      <c r="J433" s="49">
        <v>99</v>
      </c>
      <c r="K433" s="51" t="s">
        <v>942</v>
      </c>
      <c r="L433" s="51" t="s">
        <v>718</v>
      </c>
      <c r="M433" s="52" t="s">
        <v>1421</v>
      </c>
      <c r="N433" s="52" t="s">
        <v>1727</v>
      </c>
      <c r="O433" s="53">
        <v>1</v>
      </c>
      <c r="P433" s="53"/>
      <c r="Q433" s="50"/>
      <c r="S433" s="1">
        <f t="shared" si="131"/>
        <v>0</v>
      </c>
      <c r="T433" s="1">
        <f t="shared" si="132"/>
        <v>0</v>
      </c>
      <c r="U433" s="1">
        <f t="shared" si="133"/>
        <v>0</v>
      </c>
      <c r="V433" s="1">
        <f t="shared" si="134"/>
        <v>0</v>
      </c>
      <c r="W433" s="1">
        <f t="shared" si="135"/>
        <v>0</v>
      </c>
      <c r="X433" s="1">
        <f t="shared" si="136"/>
        <v>0</v>
      </c>
      <c r="Y433" s="1">
        <f t="shared" si="137"/>
        <v>0</v>
      </c>
      <c r="Z433" s="1">
        <f t="shared" si="138"/>
        <v>0</v>
      </c>
      <c r="AA433" s="1">
        <f t="shared" si="139"/>
        <v>0</v>
      </c>
      <c r="AB433" s="1">
        <f t="shared" si="140"/>
        <v>0</v>
      </c>
      <c r="AD433" s="1">
        <f t="shared" si="141"/>
        <v>0</v>
      </c>
      <c r="AE433" s="1">
        <f t="shared" si="142"/>
        <v>1</v>
      </c>
      <c r="AF433" s="1">
        <f t="shared" si="143"/>
        <v>0</v>
      </c>
      <c r="AG433" s="1">
        <f t="shared" si="144"/>
        <v>1</v>
      </c>
      <c r="AH433" s="1">
        <f t="shared" si="145"/>
        <v>0</v>
      </c>
      <c r="AI433" s="1">
        <f t="shared" si="146"/>
        <v>1</v>
      </c>
    </row>
    <row r="434" spans="1:35" s="1" customFormat="1" ht="14.25" customHeight="1" x14ac:dyDescent="0.25">
      <c r="A434" s="31">
        <v>0</v>
      </c>
      <c r="B434" s="31">
        <v>2</v>
      </c>
      <c r="C434" s="31">
        <v>7</v>
      </c>
      <c r="D434" s="32" t="s">
        <v>1210</v>
      </c>
      <c r="E434" s="32" t="s">
        <v>155</v>
      </c>
      <c r="F434" s="32" t="s">
        <v>1211</v>
      </c>
      <c r="G434" s="32" t="s">
        <v>250</v>
      </c>
      <c r="H434" s="32" t="s">
        <v>352</v>
      </c>
      <c r="I434" s="31" t="s">
        <v>1212</v>
      </c>
      <c r="J434" s="31">
        <v>99</v>
      </c>
      <c r="K434" s="33" t="s">
        <v>709</v>
      </c>
      <c r="L434" s="33">
        <v>10</v>
      </c>
      <c r="M434" s="34" t="s">
        <v>1730</v>
      </c>
      <c r="N434" s="34" t="s">
        <v>1711</v>
      </c>
      <c r="O434" s="35">
        <v>1</v>
      </c>
      <c r="P434" s="35">
        <v>1</v>
      </c>
      <c r="Q434" s="32"/>
      <c r="S434" s="1">
        <f t="shared" si="131"/>
        <v>0</v>
      </c>
      <c r="T434" s="1">
        <f t="shared" si="132"/>
        <v>0</v>
      </c>
      <c r="U434" s="1">
        <f t="shared" si="133"/>
        <v>0</v>
      </c>
      <c r="V434" s="1">
        <f t="shared" si="134"/>
        <v>0</v>
      </c>
      <c r="W434" s="1">
        <f t="shared" si="135"/>
        <v>0</v>
      </c>
      <c r="X434" s="1">
        <f t="shared" si="136"/>
        <v>0</v>
      </c>
      <c r="Y434" s="1">
        <f t="shared" si="137"/>
        <v>0</v>
      </c>
      <c r="Z434" s="1">
        <f t="shared" si="138"/>
        <v>0</v>
      </c>
      <c r="AA434" s="1">
        <f t="shared" si="139"/>
        <v>0</v>
      </c>
      <c r="AB434" s="1">
        <f t="shared" si="140"/>
        <v>0</v>
      </c>
      <c r="AD434" s="1">
        <f t="shared" si="141"/>
        <v>1</v>
      </c>
      <c r="AE434" s="1">
        <f t="shared" si="142"/>
        <v>0</v>
      </c>
      <c r="AF434" s="1">
        <f t="shared" si="143"/>
        <v>1</v>
      </c>
      <c r="AG434" s="1">
        <f t="shared" si="144"/>
        <v>0</v>
      </c>
      <c r="AH434" s="1">
        <f t="shared" si="145"/>
        <v>1</v>
      </c>
      <c r="AI434" s="1">
        <f t="shared" si="146"/>
        <v>0</v>
      </c>
    </row>
    <row r="435" spans="1:35" s="1" customFormat="1" ht="14.25" customHeight="1" x14ac:dyDescent="0.25">
      <c r="A435" s="31">
        <v>0</v>
      </c>
      <c r="B435" s="31">
        <v>2</v>
      </c>
      <c r="C435" s="31">
        <v>7</v>
      </c>
      <c r="D435" s="36" t="s">
        <v>1787</v>
      </c>
      <c r="E435" s="36" t="s">
        <v>28</v>
      </c>
      <c r="F435" s="36" t="s">
        <v>1788</v>
      </c>
      <c r="G435" s="36" t="s">
        <v>179</v>
      </c>
      <c r="H435" s="36" t="s">
        <v>352</v>
      </c>
      <c r="I435" s="37" t="s">
        <v>1789</v>
      </c>
      <c r="J435" s="31">
        <v>10</v>
      </c>
      <c r="K435" s="33" t="s">
        <v>699</v>
      </c>
      <c r="L435" s="33">
        <v>10</v>
      </c>
      <c r="M435" s="34"/>
      <c r="N435" s="34" t="s">
        <v>1711</v>
      </c>
      <c r="O435" s="35">
        <v>1</v>
      </c>
      <c r="P435" s="35">
        <v>1</v>
      </c>
      <c r="Q435" s="36"/>
      <c r="S435" s="1">
        <f t="shared" si="131"/>
        <v>0</v>
      </c>
      <c r="T435" s="1">
        <f t="shared" si="132"/>
        <v>0</v>
      </c>
      <c r="U435" s="1">
        <f t="shared" si="133"/>
        <v>0</v>
      </c>
      <c r="V435" s="1">
        <f t="shared" si="134"/>
        <v>0</v>
      </c>
      <c r="W435" s="1">
        <f t="shared" si="135"/>
        <v>0</v>
      </c>
      <c r="X435" s="1">
        <f t="shared" si="136"/>
        <v>0</v>
      </c>
      <c r="Y435" s="1">
        <f t="shared" si="137"/>
        <v>0</v>
      </c>
      <c r="Z435" s="1">
        <f t="shared" si="138"/>
        <v>0</v>
      </c>
      <c r="AA435" s="1">
        <f t="shared" si="139"/>
        <v>0</v>
      </c>
      <c r="AB435" s="1">
        <f t="shared" si="140"/>
        <v>1</v>
      </c>
      <c r="AD435" s="1">
        <f t="shared" si="141"/>
        <v>1</v>
      </c>
      <c r="AE435" s="1">
        <f t="shared" si="142"/>
        <v>0</v>
      </c>
      <c r="AF435" s="1">
        <f t="shared" si="143"/>
        <v>1</v>
      </c>
      <c r="AG435" s="1">
        <f t="shared" si="144"/>
        <v>0</v>
      </c>
      <c r="AH435" s="1">
        <f t="shared" si="145"/>
        <v>1</v>
      </c>
      <c r="AI435" s="1">
        <f t="shared" si="146"/>
        <v>0</v>
      </c>
    </row>
    <row r="436" spans="1:35" s="1" customFormat="1" ht="14.25" customHeight="1" x14ac:dyDescent="0.25">
      <c r="A436" s="37">
        <v>0</v>
      </c>
      <c r="B436" s="37">
        <v>2</v>
      </c>
      <c r="C436" s="37">
        <v>7</v>
      </c>
      <c r="D436" s="36" t="s">
        <v>1569</v>
      </c>
      <c r="E436" s="36" t="s">
        <v>1635</v>
      </c>
      <c r="F436" s="36" t="s">
        <v>1570</v>
      </c>
      <c r="G436" s="36" t="s">
        <v>652</v>
      </c>
      <c r="H436" s="36" t="s">
        <v>352</v>
      </c>
      <c r="I436" s="37" t="s">
        <v>1571</v>
      </c>
      <c r="J436" s="37">
        <v>99</v>
      </c>
      <c r="K436" s="33" t="s">
        <v>709</v>
      </c>
      <c r="L436" s="33" t="s">
        <v>39</v>
      </c>
      <c r="M436" s="34" t="s">
        <v>39</v>
      </c>
      <c r="N436" s="34" t="s">
        <v>1711</v>
      </c>
      <c r="O436" s="35">
        <v>1</v>
      </c>
      <c r="P436" s="35">
        <v>1</v>
      </c>
      <c r="Q436" s="36"/>
      <c r="S436" s="1">
        <f t="shared" si="131"/>
        <v>0</v>
      </c>
      <c r="T436" s="1">
        <f t="shared" si="132"/>
        <v>0</v>
      </c>
      <c r="U436" s="1">
        <f t="shared" si="133"/>
        <v>0</v>
      </c>
      <c r="V436" s="1">
        <f t="shared" si="134"/>
        <v>0</v>
      </c>
      <c r="W436" s="1">
        <f t="shared" si="135"/>
        <v>0</v>
      </c>
      <c r="X436" s="1">
        <f t="shared" si="136"/>
        <v>0</v>
      </c>
      <c r="Y436" s="1">
        <f t="shared" si="137"/>
        <v>0</v>
      </c>
      <c r="Z436" s="1">
        <f t="shared" si="138"/>
        <v>0</v>
      </c>
      <c r="AA436" s="1">
        <f t="shared" si="139"/>
        <v>0</v>
      </c>
      <c r="AB436" s="1">
        <f t="shared" si="140"/>
        <v>0</v>
      </c>
      <c r="AD436" s="1">
        <f t="shared" si="141"/>
        <v>1</v>
      </c>
      <c r="AE436" s="1">
        <f t="shared" si="142"/>
        <v>0</v>
      </c>
      <c r="AF436" s="1">
        <f t="shared" si="143"/>
        <v>1</v>
      </c>
      <c r="AG436" s="1">
        <f t="shared" si="144"/>
        <v>0</v>
      </c>
      <c r="AH436" s="1">
        <f t="shared" si="145"/>
        <v>1</v>
      </c>
      <c r="AI436" s="1">
        <f t="shared" si="146"/>
        <v>0</v>
      </c>
    </row>
    <row r="437" spans="1:35" s="1" customFormat="1" ht="14.25" customHeight="1" x14ac:dyDescent="0.25">
      <c r="A437" s="44">
        <v>0</v>
      </c>
      <c r="B437" s="44">
        <v>2</v>
      </c>
      <c r="C437" s="44">
        <v>7</v>
      </c>
      <c r="D437" s="45" t="s">
        <v>1521</v>
      </c>
      <c r="E437" s="45" t="s">
        <v>28</v>
      </c>
      <c r="F437" s="45" t="s">
        <v>1646</v>
      </c>
      <c r="G437" s="45" t="s">
        <v>285</v>
      </c>
      <c r="H437" s="45" t="s">
        <v>352</v>
      </c>
      <c r="I437" s="44" t="s">
        <v>1672</v>
      </c>
      <c r="J437" s="44">
        <v>99</v>
      </c>
      <c r="K437" s="46" t="s">
        <v>709</v>
      </c>
      <c r="L437" s="46" t="s">
        <v>709</v>
      </c>
      <c r="M437" s="47" t="s">
        <v>727</v>
      </c>
      <c r="N437" s="47" t="s">
        <v>1719</v>
      </c>
      <c r="O437" s="48"/>
      <c r="P437" s="48"/>
      <c r="Q437" s="45"/>
      <c r="S437" s="1">
        <f t="shared" si="131"/>
        <v>0</v>
      </c>
      <c r="T437" s="1">
        <f t="shared" si="132"/>
        <v>0</v>
      </c>
      <c r="U437" s="1">
        <f t="shared" si="133"/>
        <v>0</v>
      </c>
      <c r="V437" s="1">
        <f t="shared" si="134"/>
        <v>0</v>
      </c>
      <c r="W437" s="1">
        <f t="shared" si="135"/>
        <v>0</v>
      </c>
      <c r="X437" s="1">
        <f t="shared" si="136"/>
        <v>0</v>
      </c>
      <c r="Y437" s="1">
        <f t="shared" si="137"/>
        <v>0</v>
      </c>
      <c r="Z437" s="1">
        <f t="shared" si="138"/>
        <v>0</v>
      </c>
      <c r="AA437" s="1">
        <f t="shared" si="139"/>
        <v>0</v>
      </c>
      <c r="AB437" s="1">
        <f t="shared" si="140"/>
        <v>0</v>
      </c>
      <c r="AD437" s="1">
        <f t="shared" si="141"/>
        <v>0</v>
      </c>
      <c r="AE437" s="1">
        <f t="shared" si="142"/>
        <v>0</v>
      </c>
      <c r="AF437" s="1">
        <f t="shared" si="143"/>
        <v>0</v>
      </c>
      <c r="AG437" s="1">
        <f t="shared" si="144"/>
        <v>0</v>
      </c>
      <c r="AH437" s="1">
        <f t="shared" si="145"/>
        <v>0</v>
      </c>
      <c r="AI437" s="1">
        <f t="shared" si="146"/>
        <v>1</v>
      </c>
    </row>
    <row r="438" spans="1:35" s="1" customFormat="1" ht="14.25" customHeight="1" x14ac:dyDescent="0.25">
      <c r="A438" s="44">
        <v>0</v>
      </c>
      <c r="B438" s="44">
        <v>2</v>
      </c>
      <c r="C438" s="44">
        <v>7</v>
      </c>
      <c r="D438" s="45" t="s">
        <v>1312</v>
      </c>
      <c r="E438" s="45" t="s">
        <v>28</v>
      </c>
      <c r="F438" s="45" t="s">
        <v>568</v>
      </c>
      <c r="G438" s="45" t="s">
        <v>180</v>
      </c>
      <c r="H438" s="45" t="s">
        <v>352</v>
      </c>
      <c r="I438" s="44" t="s">
        <v>428</v>
      </c>
      <c r="J438" s="44">
        <v>7</v>
      </c>
      <c r="K438" s="46" t="s">
        <v>708</v>
      </c>
      <c r="L438" s="46" t="s">
        <v>709</v>
      </c>
      <c r="M438" s="47" t="s">
        <v>727</v>
      </c>
      <c r="N438" s="47" t="s">
        <v>1719</v>
      </c>
      <c r="O438" s="48"/>
      <c r="P438" s="48"/>
      <c r="Q438" s="45"/>
      <c r="S438" s="1">
        <f t="shared" si="131"/>
        <v>0</v>
      </c>
      <c r="T438" s="1">
        <f t="shared" si="132"/>
        <v>0</v>
      </c>
      <c r="U438" s="1">
        <f t="shared" si="133"/>
        <v>0</v>
      </c>
      <c r="V438" s="1">
        <f t="shared" si="134"/>
        <v>0</v>
      </c>
      <c r="W438" s="1">
        <f t="shared" si="135"/>
        <v>0</v>
      </c>
      <c r="X438" s="1">
        <f t="shared" si="136"/>
        <v>0</v>
      </c>
      <c r="Y438" s="1">
        <f t="shared" si="137"/>
        <v>1</v>
      </c>
      <c r="Z438" s="1">
        <f t="shared" si="138"/>
        <v>0</v>
      </c>
      <c r="AA438" s="1">
        <f t="shared" si="139"/>
        <v>0</v>
      </c>
      <c r="AB438" s="1">
        <f t="shared" si="140"/>
        <v>0</v>
      </c>
      <c r="AD438" s="1">
        <f t="shared" si="141"/>
        <v>0</v>
      </c>
      <c r="AE438" s="1">
        <f t="shared" si="142"/>
        <v>0</v>
      </c>
      <c r="AF438" s="1">
        <f t="shared" si="143"/>
        <v>0</v>
      </c>
      <c r="AG438" s="1">
        <f t="shared" si="144"/>
        <v>0</v>
      </c>
      <c r="AH438" s="1">
        <f t="shared" si="145"/>
        <v>0</v>
      </c>
      <c r="AI438" s="1">
        <f t="shared" si="146"/>
        <v>1</v>
      </c>
    </row>
    <row r="439" spans="1:35" s="1" customFormat="1" ht="14.25" customHeight="1" x14ac:dyDescent="0.25">
      <c r="A439" s="44">
        <v>0</v>
      </c>
      <c r="B439" s="44">
        <v>2</v>
      </c>
      <c r="C439" s="44">
        <v>7</v>
      </c>
      <c r="D439" s="45" t="s">
        <v>72</v>
      </c>
      <c r="E439" s="45" t="s">
        <v>28</v>
      </c>
      <c r="F439" s="65" t="s">
        <v>1859</v>
      </c>
      <c r="G439" s="45" t="s">
        <v>234</v>
      </c>
      <c r="H439" s="45" t="s">
        <v>352</v>
      </c>
      <c r="I439" s="44" t="s">
        <v>676</v>
      </c>
      <c r="J439" s="44">
        <v>99</v>
      </c>
      <c r="K439" s="46" t="s">
        <v>709</v>
      </c>
      <c r="L439" s="46" t="s">
        <v>709</v>
      </c>
      <c r="M439" s="47" t="s">
        <v>727</v>
      </c>
      <c r="N439" s="47" t="s">
        <v>1719</v>
      </c>
      <c r="O439" s="48"/>
      <c r="P439" s="48"/>
      <c r="Q439" s="45"/>
      <c r="S439" s="1">
        <f t="shared" si="131"/>
        <v>0</v>
      </c>
      <c r="T439" s="1">
        <f t="shared" si="132"/>
        <v>0</v>
      </c>
      <c r="U439" s="1">
        <f t="shared" si="133"/>
        <v>0</v>
      </c>
      <c r="V439" s="1">
        <f t="shared" si="134"/>
        <v>0</v>
      </c>
      <c r="W439" s="1">
        <f t="shared" si="135"/>
        <v>0</v>
      </c>
      <c r="X439" s="1">
        <f t="shared" si="136"/>
        <v>0</v>
      </c>
      <c r="Y439" s="1">
        <f t="shared" si="137"/>
        <v>0</v>
      </c>
      <c r="Z439" s="1">
        <f t="shared" si="138"/>
        <v>0</v>
      </c>
      <c r="AA439" s="1">
        <f t="shared" si="139"/>
        <v>0</v>
      </c>
      <c r="AB439" s="1">
        <f t="shared" si="140"/>
        <v>0</v>
      </c>
      <c r="AD439" s="1">
        <f t="shared" si="141"/>
        <v>0</v>
      </c>
      <c r="AE439" s="1">
        <f t="shared" si="142"/>
        <v>0</v>
      </c>
      <c r="AF439" s="1">
        <f t="shared" si="143"/>
        <v>0</v>
      </c>
      <c r="AG439" s="1">
        <f t="shared" si="144"/>
        <v>0</v>
      </c>
      <c r="AH439" s="1">
        <f t="shared" si="145"/>
        <v>0</v>
      </c>
      <c r="AI439" s="1">
        <f t="shared" si="146"/>
        <v>1</v>
      </c>
    </row>
    <row r="440" spans="1:35" s="1" customFormat="1" ht="14.25" customHeight="1" x14ac:dyDescent="0.25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219</v>
      </c>
      <c r="H440" s="45" t="s">
        <v>352</v>
      </c>
      <c r="I440" s="44" t="s">
        <v>418</v>
      </c>
      <c r="J440" s="44">
        <v>8</v>
      </c>
      <c r="K440" s="46" t="s">
        <v>709</v>
      </c>
      <c r="L440" s="46" t="s">
        <v>709</v>
      </c>
      <c r="M440" s="47" t="s">
        <v>727</v>
      </c>
      <c r="N440" s="47" t="s">
        <v>1719</v>
      </c>
      <c r="O440" s="48"/>
      <c r="P440" s="48"/>
      <c r="Q440" s="45"/>
      <c r="S440" s="1">
        <f t="shared" si="131"/>
        <v>0</v>
      </c>
      <c r="T440" s="1">
        <f t="shared" si="132"/>
        <v>0</v>
      </c>
      <c r="U440" s="1">
        <f t="shared" si="133"/>
        <v>0</v>
      </c>
      <c r="V440" s="1">
        <f t="shared" si="134"/>
        <v>0</v>
      </c>
      <c r="W440" s="1">
        <f t="shared" si="135"/>
        <v>0</v>
      </c>
      <c r="X440" s="1">
        <f t="shared" si="136"/>
        <v>0</v>
      </c>
      <c r="Y440" s="1">
        <f t="shared" si="137"/>
        <v>0</v>
      </c>
      <c r="Z440" s="1">
        <f t="shared" si="138"/>
        <v>1</v>
      </c>
      <c r="AA440" s="1">
        <f t="shared" si="139"/>
        <v>0</v>
      </c>
      <c r="AB440" s="1">
        <f t="shared" si="140"/>
        <v>0</v>
      </c>
      <c r="AD440" s="1">
        <f t="shared" si="141"/>
        <v>0</v>
      </c>
      <c r="AE440" s="1">
        <f t="shared" si="142"/>
        <v>0</v>
      </c>
      <c r="AF440" s="1">
        <f t="shared" si="143"/>
        <v>0</v>
      </c>
      <c r="AG440" s="1">
        <f t="shared" si="144"/>
        <v>0</v>
      </c>
      <c r="AH440" s="1">
        <f t="shared" si="145"/>
        <v>0</v>
      </c>
      <c r="AI440" s="1">
        <f t="shared" si="146"/>
        <v>0</v>
      </c>
    </row>
    <row r="441" spans="1:35" s="1" customFormat="1" ht="14.25" customHeight="1" x14ac:dyDescent="0.25">
      <c r="A441" s="44">
        <v>1</v>
      </c>
      <c r="B441" s="44">
        <v>2</v>
      </c>
      <c r="C441" s="44">
        <v>7</v>
      </c>
      <c r="D441" s="45" t="s">
        <v>72</v>
      </c>
      <c r="E441" s="45" t="s">
        <v>28</v>
      </c>
      <c r="F441" s="45" t="s">
        <v>259</v>
      </c>
      <c r="G441" s="45" t="s">
        <v>177</v>
      </c>
      <c r="H441" s="45" t="s">
        <v>352</v>
      </c>
      <c r="I441" s="44" t="s">
        <v>417</v>
      </c>
      <c r="J441" s="44">
        <v>1</v>
      </c>
      <c r="K441" s="46" t="s">
        <v>709</v>
      </c>
      <c r="L441" s="46" t="s">
        <v>709</v>
      </c>
      <c r="M441" s="47" t="s">
        <v>727</v>
      </c>
      <c r="N441" s="47" t="s">
        <v>1719</v>
      </c>
      <c r="O441" s="48"/>
      <c r="P441" s="48"/>
      <c r="Q441" s="45"/>
      <c r="S441" s="1">
        <f t="shared" si="131"/>
        <v>1</v>
      </c>
      <c r="T441" s="1">
        <f t="shared" si="132"/>
        <v>0</v>
      </c>
      <c r="U441" s="1">
        <f t="shared" si="133"/>
        <v>0</v>
      </c>
      <c r="V441" s="1">
        <f t="shared" si="134"/>
        <v>0</v>
      </c>
      <c r="W441" s="1">
        <f t="shared" si="135"/>
        <v>0</v>
      </c>
      <c r="X441" s="1">
        <f t="shared" si="136"/>
        <v>0</v>
      </c>
      <c r="Y441" s="1">
        <f t="shared" si="137"/>
        <v>0</v>
      </c>
      <c r="Z441" s="1">
        <f t="shared" si="138"/>
        <v>0</v>
      </c>
      <c r="AA441" s="1">
        <f t="shared" si="139"/>
        <v>0</v>
      </c>
      <c r="AB441" s="1">
        <f t="shared" si="140"/>
        <v>0</v>
      </c>
      <c r="AD441" s="1">
        <f t="shared" si="141"/>
        <v>0</v>
      </c>
      <c r="AE441" s="1">
        <f t="shared" si="142"/>
        <v>0</v>
      </c>
      <c r="AF441" s="1">
        <f t="shared" si="143"/>
        <v>0</v>
      </c>
      <c r="AG441" s="1">
        <f t="shared" si="144"/>
        <v>0</v>
      </c>
      <c r="AH441" s="1">
        <f t="shared" si="145"/>
        <v>0</v>
      </c>
      <c r="AI441" s="1">
        <f t="shared" si="146"/>
        <v>0</v>
      </c>
    </row>
    <row r="442" spans="1:35" s="1" customFormat="1" ht="14.25" customHeight="1" x14ac:dyDescent="0.25">
      <c r="A442" s="15">
        <v>0</v>
      </c>
      <c r="B442" s="15">
        <v>2</v>
      </c>
      <c r="C442" s="15">
        <v>7</v>
      </c>
      <c r="D442" s="16" t="s">
        <v>769</v>
      </c>
      <c r="E442" s="16" t="s">
        <v>28</v>
      </c>
      <c r="F442" s="16" t="s">
        <v>770</v>
      </c>
      <c r="G442" s="16" t="s">
        <v>278</v>
      </c>
      <c r="H442" s="16" t="s">
        <v>352</v>
      </c>
      <c r="I442" s="15" t="s">
        <v>771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131"/>
        <v>0</v>
      </c>
      <c r="T442" s="1">
        <f t="shared" si="132"/>
        <v>0</v>
      </c>
      <c r="U442" s="1">
        <f t="shared" si="133"/>
        <v>0</v>
      </c>
      <c r="V442" s="1">
        <f t="shared" si="134"/>
        <v>0</v>
      </c>
      <c r="W442" s="1">
        <f t="shared" si="135"/>
        <v>0</v>
      </c>
      <c r="X442" s="1">
        <f t="shared" si="136"/>
        <v>0</v>
      </c>
      <c r="Y442" s="1">
        <f t="shared" si="137"/>
        <v>0</v>
      </c>
      <c r="Z442" s="1">
        <f t="shared" si="138"/>
        <v>0</v>
      </c>
      <c r="AA442" s="1">
        <f t="shared" si="139"/>
        <v>0</v>
      </c>
      <c r="AB442" s="1">
        <f t="shared" si="140"/>
        <v>0</v>
      </c>
      <c r="AD442" s="1">
        <f t="shared" si="141"/>
        <v>0</v>
      </c>
      <c r="AE442" s="1">
        <f t="shared" si="142"/>
        <v>0</v>
      </c>
      <c r="AF442" s="1">
        <f t="shared" si="143"/>
        <v>0</v>
      </c>
      <c r="AG442" s="1">
        <f t="shared" si="144"/>
        <v>0</v>
      </c>
      <c r="AH442" s="1">
        <f t="shared" si="145"/>
        <v>0</v>
      </c>
      <c r="AI442" s="1">
        <f t="shared" si="146"/>
        <v>1</v>
      </c>
    </row>
    <row r="443" spans="1:35" s="1" customFormat="1" ht="14.25" customHeight="1" x14ac:dyDescent="0.25">
      <c r="A443" s="15">
        <v>0</v>
      </c>
      <c r="B443" s="15">
        <v>2</v>
      </c>
      <c r="C443" s="15">
        <v>7</v>
      </c>
      <c r="D443" s="16" t="s">
        <v>85</v>
      </c>
      <c r="E443" s="16" t="s">
        <v>28</v>
      </c>
      <c r="F443" s="16" t="s">
        <v>277</v>
      </c>
      <c r="G443" s="16" t="s">
        <v>278</v>
      </c>
      <c r="H443" s="16" t="s">
        <v>352</v>
      </c>
      <c r="I443" s="15" t="s">
        <v>432</v>
      </c>
      <c r="J443" s="15">
        <v>99</v>
      </c>
      <c r="K443" s="10" t="s">
        <v>709</v>
      </c>
      <c r="L443" s="10" t="s">
        <v>709</v>
      </c>
      <c r="M443" s="19" t="s">
        <v>727</v>
      </c>
      <c r="N443" s="17"/>
      <c r="Q443" s="16"/>
      <c r="S443" s="1">
        <f t="shared" si="131"/>
        <v>0</v>
      </c>
      <c r="T443" s="1">
        <f t="shared" si="132"/>
        <v>0</v>
      </c>
      <c r="U443" s="1">
        <f t="shared" si="133"/>
        <v>0</v>
      </c>
      <c r="V443" s="1">
        <f t="shared" si="134"/>
        <v>0</v>
      </c>
      <c r="W443" s="1">
        <f t="shared" si="135"/>
        <v>0</v>
      </c>
      <c r="X443" s="1">
        <f t="shared" si="136"/>
        <v>0</v>
      </c>
      <c r="Y443" s="1">
        <f t="shared" si="137"/>
        <v>0</v>
      </c>
      <c r="Z443" s="1">
        <f t="shared" si="138"/>
        <v>0</v>
      </c>
      <c r="AA443" s="1">
        <f t="shared" si="139"/>
        <v>0</v>
      </c>
      <c r="AB443" s="1">
        <f t="shared" si="140"/>
        <v>0</v>
      </c>
      <c r="AD443" s="1">
        <f t="shared" si="141"/>
        <v>0</v>
      </c>
      <c r="AE443" s="1">
        <f t="shared" si="142"/>
        <v>0</v>
      </c>
      <c r="AF443" s="1">
        <f t="shared" si="143"/>
        <v>0</v>
      </c>
      <c r="AG443" s="1">
        <f t="shared" si="144"/>
        <v>0</v>
      </c>
      <c r="AH443" s="1">
        <f t="shared" si="145"/>
        <v>0</v>
      </c>
      <c r="AI443" s="1">
        <f t="shared" si="146"/>
        <v>1</v>
      </c>
    </row>
    <row r="444" spans="1:35" s="1" customFormat="1" ht="14.25" customHeight="1" x14ac:dyDescent="0.25">
      <c r="A444" s="37">
        <v>0</v>
      </c>
      <c r="B444" s="37">
        <v>2</v>
      </c>
      <c r="C444" s="37">
        <v>7</v>
      </c>
      <c r="D444" s="36" t="s">
        <v>1921</v>
      </c>
      <c r="E444" s="36" t="s">
        <v>28</v>
      </c>
      <c r="F444" s="36" t="s">
        <v>1922</v>
      </c>
      <c r="G444" s="36" t="s">
        <v>184</v>
      </c>
      <c r="H444" s="36" t="s">
        <v>352</v>
      </c>
      <c r="I444" s="37" t="s">
        <v>1923</v>
      </c>
      <c r="J444" s="37">
        <v>99</v>
      </c>
      <c r="K444" s="33" t="s">
        <v>699</v>
      </c>
      <c r="L444" s="33">
        <v>4</v>
      </c>
      <c r="M444" s="34" t="s">
        <v>727</v>
      </c>
      <c r="N444" s="34" t="s">
        <v>1727</v>
      </c>
      <c r="O444" s="35">
        <v>1</v>
      </c>
      <c r="P444" s="35"/>
      <c r="Q444" s="36" t="s">
        <v>1924</v>
      </c>
      <c r="S444" s="1">
        <f t="shared" si="131"/>
        <v>0</v>
      </c>
      <c r="T444" s="1">
        <f t="shared" si="132"/>
        <v>0</v>
      </c>
      <c r="U444" s="1">
        <f t="shared" si="133"/>
        <v>0</v>
      </c>
      <c r="V444" s="1">
        <f t="shared" si="134"/>
        <v>0</v>
      </c>
      <c r="W444" s="1">
        <f t="shared" si="135"/>
        <v>0</v>
      </c>
      <c r="X444" s="1">
        <f t="shared" si="136"/>
        <v>0</v>
      </c>
      <c r="Y444" s="1">
        <f t="shared" si="137"/>
        <v>0</v>
      </c>
      <c r="Z444" s="1">
        <f t="shared" si="138"/>
        <v>0</v>
      </c>
      <c r="AA444" s="1">
        <f t="shared" si="139"/>
        <v>0</v>
      </c>
      <c r="AB444" s="1">
        <f t="shared" si="140"/>
        <v>0</v>
      </c>
      <c r="AD444" s="1">
        <f t="shared" si="141"/>
        <v>0</v>
      </c>
      <c r="AE444" s="1">
        <f t="shared" si="142"/>
        <v>1</v>
      </c>
      <c r="AF444" s="1">
        <f t="shared" si="143"/>
        <v>0</v>
      </c>
      <c r="AG444" s="1">
        <f t="shared" si="144"/>
        <v>1</v>
      </c>
      <c r="AH444" s="1">
        <f t="shared" si="145"/>
        <v>0</v>
      </c>
      <c r="AI444" s="1">
        <f t="shared" si="146"/>
        <v>1</v>
      </c>
    </row>
    <row r="445" spans="1:35" s="1" customFormat="1" ht="14.25" customHeight="1" x14ac:dyDescent="0.25">
      <c r="A445" s="37">
        <v>0</v>
      </c>
      <c r="B445" s="37">
        <v>2</v>
      </c>
      <c r="C445" s="37">
        <v>7</v>
      </c>
      <c r="D445" s="36" t="s">
        <v>549</v>
      </c>
      <c r="E445" s="36" t="s">
        <v>28</v>
      </c>
      <c r="F445" s="36" t="s">
        <v>1860</v>
      </c>
      <c r="G445" s="36" t="s">
        <v>552</v>
      </c>
      <c r="H445" s="36" t="s">
        <v>352</v>
      </c>
      <c r="I445" s="37" t="s">
        <v>553</v>
      </c>
      <c r="J445" s="37">
        <v>99</v>
      </c>
      <c r="K445" s="33" t="s">
        <v>709</v>
      </c>
      <c r="L445" s="33" t="s">
        <v>709</v>
      </c>
      <c r="M445" s="34" t="s">
        <v>727</v>
      </c>
      <c r="N445" s="34" t="s">
        <v>1809</v>
      </c>
      <c r="O445" s="35">
        <v>1</v>
      </c>
      <c r="P445" s="35"/>
      <c r="Q445" s="36"/>
      <c r="S445" s="1">
        <f t="shared" si="131"/>
        <v>0</v>
      </c>
      <c r="T445" s="1">
        <f t="shared" si="132"/>
        <v>0</v>
      </c>
      <c r="U445" s="1">
        <f t="shared" si="133"/>
        <v>0</v>
      </c>
      <c r="V445" s="1">
        <f t="shared" si="134"/>
        <v>0</v>
      </c>
      <c r="W445" s="1">
        <f t="shared" si="135"/>
        <v>0</v>
      </c>
      <c r="X445" s="1">
        <f t="shared" si="136"/>
        <v>0</v>
      </c>
      <c r="Y445" s="1">
        <f t="shared" si="137"/>
        <v>0</v>
      </c>
      <c r="Z445" s="1">
        <f t="shared" si="138"/>
        <v>0</v>
      </c>
      <c r="AA445" s="1">
        <f t="shared" si="139"/>
        <v>0</v>
      </c>
      <c r="AB445" s="1">
        <f t="shared" si="140"/>
        <v>0</v>
      </c>
      <c r="AD445" s="1">
        <f t="shared" si="141"/>
        <v>0</v>
      </c>
      <c r="AE445" s="1">
        <f t="shared" si="142"/>
        <v>1</v>
      </c>
      <c r="AF445" s="1">
        <f t="shared" si="143"/>
        <v>0</v>
      </c>
      <c r="AG445" s="1">
        <f t="shared" si="144"/>
        <v>1</v>
      </c>
      <c r="AH445" s="1">
        <f t="shared" si="145"/>
        <v>0</v>
      </c>
      <c r="AI445" s="1">
        <f t="shared" si="146"/>
        <v>1</v>
      </c>
    </row>
    <row r="446" spans="1:35" s="1" customFormat="1" ht="14.25" customHeight="1" x14ac:dyDescent="0.25">
      <c r="A446" s="37">
        <v>1</v>
      </c>
      <c r="B446" s="37">
        <v>2</v>
      </c>
      <c r="C446" s="37">
        <v>7</v>
      </c>
      <c r="D446" s="36" t="s">
        <v>549</v>
      </c>
      <c r="E446" s="36" t="s">
        <v>28</v>
      </c>
      <c r="F446" s="36" t="s">
        <v>1861</v>
      </c>
      <c r="G446" s="36" t="s">
        <v>550</v>
      </c>
      <c r="H446" s="36" t="s">
        <v>352</v>
      </c>
      <c r="I446" s="37" t="s">
        <v>551</v>
      </c>
      <c r="J446" s="37">
        <v>99</v>
      </c>
      <c r="K446" s="33" t="s">
        <v>709</v>
      </c>
      <c r="L446" s="33" t="s">
        <v>709</v>
      </c>
      <c r="M446" s="34" t="s">
        <v>727</v>
      </c>
      <c r="N446" s="34" t="s">
        <v>1809</v>
      </c>
      <c r="O446" s="35">
        <v>1</v>
      </c>
      <c r="P446" s="35"/>
      <c r="Q446" s="36"/>
      <c r="S446" s="1">
        <f t="shared" si="131"/>
        <v>0</v>
      </c>
      <c r="T446" s="1">
        <f t="shared" si="132"/>
        <v>0</v>
      </c>
      <c r="U446" s="1">
        <f t="shared" si="133"/>
        <v>0</v>
      </c>
      <c r="V446" s="1">
        <f t="shared" si="134"/>
        <v>0</v>
      </c>
      <c r="W446" s="1">
        <f t="shared" si="135"/>
        <v>0</v>
      </c>
      <c r="X446" s="1">
        <f t="shared" si="136"/>
        <v>0</v>
      </c>
      <c r="Y446" s="1">
        <f t="shared" si="137"/>
        <v>0</v>
      </c>
      <c r="Z446" s="1">
        <f t="shared" si="138"/>
        <v>0</v>
      </c>
      <c r="AA446" s="1">
        <f t="shared" si="139"/>
        <v>0</v>
      </c>
      <c r="AB446" s="1">
        <f t="shared" si="140"/>
        <v>0</v>
      </c>
      <c r="AD446" s="1">
        <f t="shared" si="141"/>
        <v>0</v>
      </c>
      <c r="AE446" s="1">
        <f t="shared" si="142"/>
        <v>1</v>
      </c>
      <c r="AF446" s="1">
        <f t="shared" si="143"/>
        <v>0</v>
      </c>
      <c r="AG446" s="1">
        <f t="shared" si="144"/>
        <v>0</v>
      </c>
      <c r="AH446" s="1">
        <f t="shared" si="145"/>
        <v>0</v>
      </c>
      <c r="AI446" s="1">
        <f t="shared" si="146"/>
        <v>0</v>
      </c>
    </row>
    <row r="447" spans="1:35" s="1" customFormat="1" ht="14.25" customHeight="1" x14ac:dyDescent="0.25">
      <c r="A447" s="44">
        <v>0</v>
      </c>
      <c r="B447" s="44">
        <v>2</v>
      </c>
      <c r="C447" s="44">
        <v>7</v>
      </c>
      <c r="D447" s="45" t="s">
        <v>1169</v>
      </c>
      <c r="E447" s="45" t="s">
        <v>28</v>
      </c>
      <c r="F447" s="45" t="s">
        <v>1662</v>
      </c>
      <c r="G447" s="45" t="s">
        <v>234</v>
      </c>
      <c r="H447" s="45" t="s">
        <v>352</v>
      </c>
      <c r="I447" s="44" t="s">
        <v>1350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1719</v>
      </c>
      <c r="O447" s="48"/>
      <c r="P447" s="48"/>
      <c r="Q447" s="45"/>
      <c r="S447" s="1">
        <f t="shared" si="131"/>
        <v>0</v>
      </c>
      <c r="T447" s="1">
        <f t="shared" si="132"/>
        <v>0</v>
      </c>
      <c r="U447" s="1">
        <f t="shared" si="133"/>
        <v>0</v>
      </c>
      <c r="V447" s="1">
        <f t="shared" si="134"/>
        <v>0</v>
      </c>
      <c r="W447" s="1">
        <f t="shared" si="135"/>
        <v>0</v>
      </c>
      <c r="X447" s="1">
        <f t="shared" si="136"/>
        <v>0</v>
      </c>
      <c r="Y447" s="1">
        <f t="shared" si="137"/>
        <v>0</v>
      </c>
      <c r="Z447" s="1">
        <f t="shared" si="138"/>
        <v>0</v>
      </c>
      <c r="AA447" s="1">
        <f t="shared" si="139"/>
        <v>0</v>
      </c>
      <c r="AB447" s="1">
        <f t="shared" si="140"/>
        <v>0</v>
      </c>
      <c r="AD447" s="1">
        <f t="shared" si="141"/>
        <v>0</v>
      </c>
      <c r="AE447" s="1">
        <f t="shared" si="142"/>
        <v>0</v>
      </c>
      <c r="AF447" s="1">
        <f t="shared" si="143"/>
        <v>0</v>
      </c>
      <c r="AG447" s="1">
        <f t="shared" si="144"/>
        <v>0</v>
      </c>
      <c r="AH447" s="1">
        <f t="shared" si="145"/>
        <v>0</v>
      </c>
      <c r="AI447" s="1">
        <f t="shared" si="146"/>
        <v>1</v>
      </c>
    </row>
    <row r="448" spans="1:35" s="1" customFormat="1" ht="14.25" customHeight="1" x14ac:dyDescent="0.25">
      <c r="A448" s="44">
        <v>1</v>
      </c>
      <c r="B448" s="44">
        <v>2</v>
      </c>
      <c r="C448" s="44">
        <v>7</v>
      </c>
      <c r="D448" s="45" t="s">
        <v>1169</v>
      </c>
      <c r="E448" s="45" t="s">
        <v>28</v>
      </c>
      <c r="F448" s="45" t="s">
        <v>1663</v>
      </c>
      <c r="G448" s="45" t="s">
        <v>1336</v>
      </c>
      <c r="H448" s="45" t="s">
        <v>352</v>
      </c>
      <c r="I448" s="44" t="s">
        <v>1351</v>
      </c>
      <c r="J448" s="44">
        <v>99</v>
      </c>
      <c r="K448" s="46" t="s">
        <v>708</v>
      </c>
      <c r="L448" s="46" t="s">
        <v>709</v>
      </c>
      <c r="M448" s="47" t="s">
        <v>727</v>
      </c>
      <c r="N448" s="47" t="s">
        <v>1719</v>
      </c>
      <c r="O448" s="48"/>
      <c r="P448" s="48"/>
      <c r="Q448" s="45"/>
      <c r="S448" s="1">
        <f t="shared" si="131"/>
        <v>0</v>
      </c>
      <c r="T448" s="1">
        <f t="shared" si="132"/>
        <v>0</v>
      </c>
      <c r="U448" s="1">
        <f t="shared" si="133"/>
        <v>0</v>
      </c>
      <c r="V448" s="1">
        <f t="shared" si="134"/>
        <v>0</v>
      </c>
      <c r="W448" s="1">
        <f t="shared" si="135"/>
        <v>0</v>
      </c>
      <c r="X448" s="1">
        <f t="shared" si="136"/>
        <v>0</v>
      </c>
      <c r="Y448" s="1">
        <f t="shared" si="137"/>
        <v>0</v>
      </c>
      <c r="Z448" s="1">
        <f t="shared" si="138"/>
        <v>0</v>
      </c>
      <c r="AA448" s="1">
        <f t="shared" si="139"/>
        <v>0</v>
      </c>
      <c r="AB448" s="1">
        <f t="shared" si="140"/>
        <v>0</v>
      </c>
      <c r="AD448" s="1">
        <f t="shared" si="141"/>
        <v>0</v>
      </c>
      <c r="AE448" s="1">
        <f t="shared" si="142"/>
        <v>0</v>
      </c>
      <c r="AF448" s="1">
        <f t="shared" si="143"/>
        <v>0</v>
      </c>
      <c r="AG448" s="1">
        <f t="shared" si="144"/>
        <v>0</v>
      </c>
      <c r="AH448" s="1">
        <f t="shared" si="145"/>
        <v>0</v>
      </c>
      <c r="AI448" s="1">
        <f t="shared" si="146"/>
        <v>0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1237</v>
      </c>
      <c r="E449" s="32" t="s">
        <v>28</v>
      </c>
      <c r="F449" s="32" t="s">
        <v>1236</v>
      </c>
      <c r="G449" s="32" t="s">
        <v>1221</v>
      </c>
      <c r="H449" s="32" t="s">
        <v>352</v>
      </c>
      <c r="I449" s="31" t="s">
        <v>1238</v>
      </c>
      <c r="J449" s="31">
        <v>99</v>
      </c>
      <c r="K449" s="33" t="s">
        <v>699</v>
      </c>
      <c r="L449" s="33" t="s">
        <v>709</v>
      </c>
      <c r="M449" s="34" t="s">
        <v>727</v>
      </c>
      <c r="N449" s="34" t="s">
        <v>1727</v>
      </c>
      <c r="O449" s="35">
        <v>1</v>
      </c>
      <c r="P449" s="35"/>
      <c r="Q449" s="32"/>
      <c r="S449" s="1">
        <f t="shared" si="131"/>
        <v>0</v>
      </c>
      <c r="T449" s="1">
        <f t="shared" si="132"/>
        <v>0</v>
      </c>
      <c r="U449" s="1">
        <f t="shared" si="133"/>
        <v>0</v>
      </c>
      <c r="V449" s="1">
        <f t="shared" si="134"/>
        <v>0</v>
      </c>
      <c r="W449" s="1">
        <f t="shared" si="135"/>
        <v>0</v>
      </c>
      <c r="X449" s="1">
        <f t="shared" si="136"/>
        <v>0</v>
      </c>
      <c r="Y449" s="1">
        <f t="shared" si="137"/>
        <v>0</v>
      </c>
      <c r="Z449" s="1">
        <f t="shared" si="138"/>
        <v>0</v>
      </c>
      <c r="AA449" s="1">
        <f t="shared" si="139"/>
        <v>0</v>
      </c>
      <c r="AB449" s="1">
        <f t="shared" si="140"/>
        <v>0</v>
      </c>
      <c r="AD449" s="1">
        <f t="shared" si="141"/>
        <v>0</v>
      </c>
      <c r="AE449" s="1">
        <f t="shared" si="142"/>
        <v>1</v>
      </c>
      <c r="AF449" s="1">
        <f t="shared" si="143"/>
        <v>0</v>
      </c>
      <c r="AG449" s="1">
        <f t="shared" si="144"/>
        <v>1</v>
      </c>
      <c r="AH449" s="1">
        <f t="shared" si="145"/>
        <v>0</v>
      </c>
      <c r="AI449" s="1">
        <f t="shared" si="146"/>
        <v>1</v>
      </c>
    </row>
    <row r="450" spans="1:35" s="1" customFormat="1" ht="14.25" customHeight="1" x14ac:dyDescent="0.25">
      <c r="A450" s="31">
        <v>1</v>
      </c>
      <c r="B450" s="31">
        <v>2</v>
      </c>
      <c r="C450" s="31">
        <v>7</v>
      </c>
      <c r="D450" s="32" t="s">
        <v>1237</v>
      </c>
      <c r="E450" s="32" t="s">
        <v>28</v>
      </c>
      <c r="F450" s="32" t="s">
        <v>1235</v>
      </c>
      <c r="G450" s="32" t="s">
        <v>39</v>
      </c>
      <c r="H450" s="32" t="s">
        <v>352</v>
      </c>
      <c r="I450" s="31" t="s">
        <v>1239</v>
      </c>
      <c r="J450" s="31">
        <v>9</v>
      </c>
      <c r="K450" s="33" t="s">
        <v>699</v>
      </c>
      <c r="L450" s="33" t="s">
        <v>709</v>
      </c>
      <c r="M450" s="34" t="s">
        <v>727</v>
      </c>
      <c r="N450" s="34" t="s">
        <v>1727</v>
      </c>
      <c r="O450" s="35">
        <v>1</v>
      </c>
      <c r="P450" s="35"/>
      <c r="Q450" s="32"/>
      <c r="S450" s="1">
        <f t="shared" si="131"/>
        <v>0</v>
      </c>
      <c r="T450" s="1">
        <f t="shared" si="132"/>
        <v>0</v>
      </c>
      <c r="U450" s="1">
        <f t="shared" si="133"/>
        <v>0</v>
      </c>
      <c r="V450" s="1">
        <f t="shared" si="134"/>
        <v>0</v>
      </c>
      <c r="W450" s="1">
        <f t="shared" si="135"/>
        <v>0</v>
      </c>
      <c r="X450" s="1">
        <f t="shared" si="136"/>
        <v>0</v>
      </c>
      <c r="Y450" s="1">
        <f t="shared" si="137"/>
        <v>0</v>
      </c>
      <c r="Z450" s="1">
        <f t="shared" si="138"/>
        <v>0</v>
      </c>
      <c r="AA450" s="1">
        <f t="shared" si="139"/>
        <v>1</v>
      </c>
      <c r="AB450" s="1">
        <f t="shared" si="140"/>
        <v>0</v>
      </c>
      <c r="AD450" s="1">
        <f t="shared" si="141"/>
        <v>0</v>
      </c>
      <c r="AE450" s="1">
        <f t="shared" si="142"/>
        <v>1</v>
      </c>
      <c r="AF450" s="1">
        <f t="shared" si="143"/>
        <v>0</v>
      </c>
      <c r="AG450" s="1">
        <f t="shared" si="144"/>
        <v>0</v>
      </c>
      <c r="AH450" s="1">
        <f t="shared" si="145"/>
        <v>0</v>
      </c>
      <c r="AI450" s="1">
        <f t="shared" si="146"/>
        <v>0</v>
      </c>
    </row>
    <row r="451" spans="1:35" s="1" customFormat="1" ht="14.25" customHeight="1" x14ac:dyDescent="0.25">
      <c r="A451" s="31">
        <v>1</v>
      </c>
      <c r="B451" s="31">
        <v>2</v>
      </c>
      <c r="C451" s="31">
        <v>7</v>
      </c>
      <c r="D451" s="32" t="s">
        <v>1237</v>
      </c>
      <c r="E451" s="32" t="s">
        <v>28</v>
      </c>
      <c r="F451" s="36" t="s">
        <v>1808</v>
      </c>
      <c r="G451" s="36" t="s">
        <v>257</v>
      </c>
      <c r="H451" s="32" t="s">
        <v>352</v>
      </c>
      <c r="I451" s="37" t="s">
        <v>30</v>
      </c>
      <c r="J451" s="31">
        <v>8</v>
      </c>
      <c r="K451" s="33" t="s">
        <v>699</v>
      </c>
      <c r="L451" s="33" t="s">
        <v>709</v>
      </c>
      <c r="M451" s="34" t="s">
        <v>727</v>
      </c>
      <c r="N451" s="34" t="s">
        <v>1727</v>
      </c>
      <c r="O451" s="35">
        <v>1</v>
      </c>
      <c r="P451" s="35"/>
      <c r="Q451" s="32"/>
      <c r="S451" s="1">
        <f t="shared" si="131"/>
        <v>0</v>
      </c>
      <c r="T451" s="1">
        <f t="shared" si="132"/>
        <v>0</v>
      </c>
      <c r="U451" s="1">
        <f t="shared" si="133"/>
        <v>0</v>
      </c>
      <c r="V451" s="1">
        <f t="shared" si="134"/>
        <v>0</v>
      </c>
      <c r="W451" s="1">
        <f t="shared" si="135"/>
        <v>0</v>
      </c>
      <c r="X451" s="1">
        <f t="shared" si="136"/>
        <v>0</v>
      </c>
      <c r="Y451" s="1">
        <f t="shared" si="137"/>
        <v>0</v>
      </c>
      <c r="Z451" s="1">
        <f t="shared" si="138"/>
        <v>1</v>
      </c>
      <c r="AA451" s="1">
        <f t="shared" si="139"/>
        <v>0</v>
      </c>
      <c r="AB451" s="1">
        <f t="shared" si="140"/>
        <v>0</v>
      </c>
      <c r="AD451" s="1">
        <f t="shared" si="141"/>
        <v>0</v>
      </c>
      <c r="AE451" s="1">
        <f t="shared" si="142"/>
        <v>1</v>
      </c>
      <c r="AF451" s="1">
        <f t="shared" si="143"/>
        <v>0</v>
      </c>
      <c r="AG451" s="1">
        <f t="shared" si="144"/>
        <v>0</v>
      </c>
      <c r="AH451" s="1">
        <f t="shared" si="145"/>
        <v>0</v>
      </c>
      <c r="AI451" s="1">
        <f t="shared" si="146"/>
        <v>0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51</v>
      </c>
      <c r="E452" s="32" t="s">
        <v>28</v>
      </c>
      <c r="F452" s="32" t="s">
        <v>670</v>
      </c>
      <c r="G452" s="32" t="s">
        <v>184</v>
      </c>
      <c r="H452" s="32" t="s">
        <v>352</v>
      </c>
      <c r="I452" s="31" t="s">
        <v>388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1733</v>
      </c>
      <c r="O452" s="35">
        <v>1</v>
      </c>
      <c r="P452" s="35"/>
      <c r="Q452" s="32"/>
      <c r="S452" s="1">
        <f t="shared" si="131"/>
        <v>0</v>
      </c>
      <c r="T452" s="1">
        <f t="shared" si="132"/>
        <v>0</v>
      </c>
      <c r="U452" s="1">
        <f t="shared" si="133"/>
        <v>0</v>
      </c>
      <c r="V452" s="1">
        <f t="shared" si="134"/>
        <v>0</v>
      </c>
      <c r="W452" s="1">
        <f t="shared" si="135"/>
        <v>0</v>
      </c>
      <c r="X452" s="1">
        <f t="shared" si="136"/>
        <v>0</v>
      </c>
      <c r="Y452" s="1">
        <f t="shared" si="137"/>
        <v>0</v>
      </c>
      <c r="Z452" s="1">
        <f t="shared" si="138"/>
        <v>0</v>
      </c>
      <c r="AA452" s="1">
        <f t="shared" si="139"/>
        <v>0</v>
      </c>
      <c r="AB452" s="1">
        <f t="shared" si="140"/>
        <v>0</v>
      </c>
      <c r="AD452" s="1">
        <f t="shared" si="141"/>
        <v>0</v>
      </c>
      <c r="AE452" s="1">
        <f t="shared" si="142"/>
        <v>1</v>
      </c>
      <c r="AF452" s="1">
        <f t="shared" si="143"/>
        <v>0</v>
      </c>
      <c r="AG452" s="1">
        <f t="shared" si="144"/>
        <v>1</v>
      </c>
      <c r="AH452" s="1">
        <f t="shared" si="145"/>
        <v>0</v>
      </c>
      <c r="AI452" s="1">
        <f t="shared" si="146"/>
        <v>1</v>
      </c>
    </row>
    <row r="453" spans="1:35" s="1" customFormat="1" ht="14.25" customHeight="1" x14ac:dyDescent="0.25">
      <c r="A453" s="44">
        <v>0</v>
      </c>
      <c r="B453" s="44">
        <v>2</v>
      </c>
      <c r="C453" s="44">
        <v>7</v>
      </c>
      <c r="D453" s="45" t="s">
        <v>1068</v>
      </c>
      <c r="E453" s="45" t="s">
        <v>28</v>
      </c>
      <c r="F453" s="45" t="s">
        <v>985</v>
      </c>
      <c r="G453" s="45" t="s">
        <v>239</v>
      </c>
      <c r="H453" s="45" t="s">
        <v>352</v>
      </c>
      <c r="I453" s="44" t="s">
        <v>1093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1719</v>
      </c>
      <c r="O453" s="48"/>
      <c r="P453" s="48"/>
      <c r="Q453" s="45"/>
      <c r="S453" s="1">
        <f t="shared" si="131"/>
        <v>1</v>
      </c>
      <c r="T453" s="1">
        <f t="shared" si="132"/>
        <v>0</v>
      </c>
      <c r="U453" s="1">
        <f t="shared" si="133"/>
        <v>0</v>
      </c>
      <c r="V453" s="1">
        <f t="shared" si="134"/>
        <v>0</v>
      </c>
      <c r="W453" s="1">
        <f t="shared" si="135"/>
        <v>0</v>
      </c>
      <c r="X453" s="1">
        <f t="shared" si="136"/>
        <v>0</v>
      </c>
      <c r="Y453" s="1">
        <f t="shared" si="137"/>
        <v>0</v>
      </c>
      <c r="Z453" s="1">
        <f t="shared" si="138"/>
        <v>0</v>
      </c>
      <c r="AA453" s="1">
        <f t="shared" si="139"/>
        <v>0</v>
      </c>
      <c r="AB453" s="1">
        <f t="shared" si="140"/>
        <v>0</v>
      </c>
      <c r="AD453" s="1">
        <f t="shared" si="141"/>
        <v>0</v>
      </c>
      <c r="AE453" s="1">
        <f t="shared" si="142"/>
        <v>0</v>
      </c>
      <c r="AF453" s="1">
        <f t="shared" si="143"/>
        <v>0</v>
      </c>
      <c r="AG453" s="1">
        <f t="shared" si="144"/>
        <v>0</v>
      </c>
      <c r="AH453" s="1">
        <f t="shared" si="145"/>
        <v>0</v>
      </c>
      <c r="AI453" s="1">
        <f t="shared" si="146"/>
        <v>1</v>
      </c>
    </row>
    <row r="454" spans="1:35" s="1" customFormat="1" ht="14.25" customHeight="1" x14ac:dyDescent="0.25">
      <c r="A454" s="44">
        <v>1</v>
      </c>
      <c r="B454" s="44">
        <v>2</v>
      </c>
      <c r="C454" s="44">
        <v>7</v>
      </c>
      <c r="D454" s="45" t="s">
        <v>1068</v>
      </c>
      <c r="E454" s="45" t="s">
        <v>28</v>
      </c>
      <c r="F454" s="45" t="s">
        <v>986</v>
      </c>
      <c r="G454" s="45" t="s">
        <v>1086</v>
      </c>
      <c r="H454" s="45" t="s">
        <v>352</v>
      </c>
      <c r="I454" s="44" t="s">
        <v>1094</v>
      </c>
      <c r="J454" s="44">
        <v>1</v>
      </c>
      <c r="K454" s="46" t="s">
        <v>708</v>
      </c>
      <c r="L454" s="46" t="s">
        <v>709</v>
      </c>
      <c r="M454" s="47" t="s">
        <v>727</v>
      </c>
      <c r="N454" s="47" t="s">
        <v>1719</v>
      </c>
      <c r="O454" s="48"/>
      <c r="P454" s="48"/>
      <c r="Q454" s="45"/>
      <c r="S454" s="1">
        <f t="shared" si="131"/>
        <v>1</v>
      </c>
      <c r="T454" s="1">
        <f t="shared" si="132"/>
        <v>0</v>
      </c>
      <c r="U454" s="1">
        <f t="shared" si="133"/>
        <v>0</v>
      </c>
      <c r="V454" s="1">
        <f t="shared" si="134"/>
        <v>0</v>
      </c>
      <c r="W454" s="1">
        <f t="shared" si="135"/>
        <v>0</v>
      </c>
      <c r="X454" s="1">
        <f t="shared" si="136"/>
        <v>0</v>
      </c>
      <c r="Y454" s="1">
        <f t="shared" si="137"/>
        <v>0</v>
      </c>
      <c r="Z454" s="1">
        <f t="shared" si="138"/>
        <v>0</v>
      </c>
      <c r="AA454" s="1">
        <f t="shared" si="139"/>
        <v>0</v>
      </c>
      <c r="AB454" s="1">
        <f t="shared" si="140"/>
        <v>0</v>
      </c>
      <c r="AD454" s="1">
        <f t="shared" si="141"/>
        <v>0</v>
      </c>
      <c r="AE454" s="1">
        <f t="shared" si="142"/>
        <v>0</v>
      </c>
      <c r="AF454" s="1">
        <f t="shared" si="143"/>
        <v>0</v>
      </c>
      <c r="AG454" s="1">
        <f t="shared" si="144"/>
        <v>0</v>
      </c>
      <c r="AH454" s="1">
        <f t="shared" si="145"/>
        <v>0</v>
      </c>
      <c r="AI454" s="1">
        <f t="shared" si="146"/>
        <v>0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1622</v>
      </c>
      <c r="E455" s="32" t="s">
        <v>155</v>
      </c>
      <c r="F455" s="32" t="s">
        <v>1475</v>
      </c>
      <c r="G455" s="32" t="s">
        <v>1476</v>
      </c>
      <c r="H455" s="32" t="s">
        <v>352</v>
      </c>
      <c r="I455" s="31" t="s">
        <v>1477</v>
      </c>
      <c r="J455" s="31">
        <v>99</v>
      </c>
      <c r="K455" s="33" t="s">
        <v>942</v>
      </c>
      <c r="L455" s="33" t="s">
        <v>718</v>
      </c>
      <c r="M455" s="34" t="s">
        <v>728</v>
      </c>
      <c r="N455" s="34" t="s">
        <v>1732</v>
      </c>
      <c r="O455" s="35">
        <v>1</v>
      </c>
      <c r="P455" s="35"/>
      <c r="Q455" s="32"/>
      <c r="S455" s="1">
        <f t="shared" si="131"/>
        <v>0</v>
      </c>
      <c r="T455" s="1">
        <f t="shared" si="132"/>
        <v>0</v>
      </c>
      <c r="U455" s="1">
        <f t="shared" si="133"/>
        <v>0</v>
      </c>
      <c r="V455" s="1">
        <f t="shared" si="134"/>
        <v>0</v>
      </c>
      <c r="W455" s="1">
        <f t="shared" si="135"/>
        <v>0</v>
      </c>
      <c r="X455" s="1">
        <f t="shared" si="136"/>
        <v>0</v>
      </c>
      <c r="Y455" s="1">
        <f t="shared" si="137"/>
        <v>0</v>
      </c>
      <c r="Z455" s="1">
        <f t="shared" si="138"/>
        <v>0</v>
      </c>
      <c r="AA455" s="1">
        <f t="shared" si="139"/>
        <v>0</v>
      </c>
      <c r="AB455" s="1">
        <f t="shared" si="140"/>
        <v>0</v>
      </c>
      <c r="AD455" s="1">
        <f t="shared" si="141"/>
        <v>0</v>
      </c>
      <c r="AE455" s="1">
        <f t="shared" si="142"/>
        <v>1</v>
      </c>
      <c r="AF455" s="1">
        <f t="shared" si="143"/>
        <v>0</v>
      </c>
      <c r="AG455" s="1">
        <f t="shared" si="144"/>
        <v>1</v>
      </c>
      <c r="AH455" s="1">
        <f t="shared" si="145"/>
        <v>0</v>
      </c>
      <c r="AI455" s="1">
        <f t="shared" si="146"/>
        <v>1</v>
      </c>
    </row>
    <row r="456" spans="1:35" s="1" customFormat="1" ht="14.25" customHeight="1" x14ac:dyDescent="0.25">
      <c r="A456" s="44">
        <v>0</v>
      </c>
      <c r="B456" s="44">
        <v>2</v>
      </c>
      <c r="C456" s="44">
        <v>7</v>
      </c>
      <c r="D456" s="45" t="s">
        <v>82</v>
      </c>
      <c r="E456" s="45" t="s">
        <v>28</v>
      </c>
      <c r="F456" s="45" t="s">
        <v>273</v>
      </c>
      <c r="G456" s="45" t="s">
        <v>274</v>
      </c>
      <c r="H456" s="45" t="s">
        <v>352</v>
      </c>
      <c r="I456" s="44" t="s">
        <v>427</v>
      </c>
      <c r="J456" s="44">
        <v>7</v>
      </c>
      <c r="K456" s="46" t="s">
        <v>942</v>
      </c>
      <c r="L456" s="46" t="s">
        <v>941</v>
      </c>
      <c r="M456" s="47" t="s">
        <v>955</v>
      </c>
      <c r="N456" s="47" t="s">
        <v>1793</v>
      </c>
      <c r="O456" s="48"/>
      <c r="P456" s="48"/>
      <c r="Q456" s="45"/>
      <c r="S456" s="1">
        <f t="shared" si="131"/>
        <v>0</v>
      </c>
      <c r="T456" s="1">
        <f t="shared" si="132"/>
        <v>0</v>
      </c>
      <c r="U456" s="1">
        <f t="shared" si="133"/>
        <v>0</v>
      </c>
      <c r="V456" s="1">
        <f t="shared" si="134"/>
        <v>0</v>
      </c>
      <c r="W456" s="1">
        <f t="shared" si="135"/>
        <v>0</v>
      </c>
      <c r="X456" s="1">
        <f t="shared" si="136"/>
        <v>0</v>
      </c>
      <c r="Y456" s="1">
        <f t="shared" si="137"/>
        <v>1</v>
      </c>
      <c r="Z456" s="1">
        <f t="shared" si="138"/>
        <v>0</v>
      </c>
      <c r="AA456" s="1">
        <f t="shared" si="139"/>
        <v>0</v>
      </c>
      <c r="AB456" s="1">
        <f t="shared" si="140"/>
        <v>0</v>
      </c>
      <c r="AD456" s="1">
        <f t="shared" si="141"/>
        <v>0</v>
      </c>
      <c r="AE456" s="1">
        <f t="shared" si="142"/>
        <v>0</v>
      </c>
      <c r="AF456" s="1">
        <f t="shared" si="143"/>
        <v>0</v>
      </c>
      <c r="AG456" s="1">
        <f t="shared" si="144"/>
        <v>0</v>
      </c>
      <c r="AH456" s="1">
        <f t="shared" si="145"/>
        <v>0</v>
      </c>
      <c r="AI456" s="1">
        <f t="shared" si="146"/>
        <v>1</v>
      </c>
    </row>
    <row r="457" spans="1:35" s="1" customFormat="1" ht="14.25" customHeight="1" x14ac:dyDescent="0.25">
      <c r="A457" s="44">
        <v>0</v>
      </c>
      <c r="B457" s="44">
        <v>2</v>
      </c>
      <c r="C457" s="44">
        <v>7</v>
      </c>
      <c r="D457" s="45" t="s">
        <v>76</v>
      </c>
      <c r="E457" s="45" t="s">
        <v>28</v>
      </c>
      <c r="F457" s="45" t="s">
        <v>1665</v>
      </c>
      <c r="G457" s="45" t="s">
        <v>189</v>
      </c>
      <c r="H457" s="45" t="s">
        <v>352</v>
      </c>
      <c r="I457" s="44" t="s">
        <v>421</v>
      </c>
      <c r="J457" s="44">
        <v>99</v>
      </c>
      <c r="K457" s="46" t="s">
        <v>941</v>
      </c>
      <c r="L457" s="46" t="s">
        <v>709</v>
      </c>
      <c r="M457" s="47" t="s">
        <v>727</v>
      </c>
      <c r="N457" s="47" t="s">
        <v>1719</v>
      </c>
      <c r="O457" s="48"/>
      <c r="P457" s="48"/>
      <c r="Q457" s="45"/>
      <c r="S457" s="1">
        <f t="shared" si="131"/>
        <v>0</v>
      </c>
      <c r="T457" s="1">
        <f t="shared" si="132"/>
        <v>0</v>
      </c>
      <c r="U457" s="1">
        <f t="shared" si="133"/>
        <v>0</v>
      </c>
      <c r="V457" s="1">
        <f t="shared" si="134"/>
        <v>0</v>
      </c>
      <c r="W457" s="1">
        <f t="shared" si="135"/>
        <v>0</v>
      </c>
      <c r="X457" s="1">
        <f t="shared" si="136"/>
        <v>0</v>
      </c>
      <c r="Y457" s="1">
        <f t="shared" si="137"/>
        <v>0</v>
      </c>
      <c r="Z457" s="1">
        <f t="shared" si="138"/>
        <v>0</v>
      </c>
      <c r="AA457" s="1">
        <f t="shared" si="139"/>
        <v>0</v>
      </c>
      <c r="AB457" s="1">
        <f t="shared" si="140"/>
        <v>0</v>
      </c>
      <c r="AD457" s="1">
        <f t="shared" si="141"/>
        <v>0</v>
      </c>
      <c r="AE457" s="1">
        <f t="shared" si="142"/>
        <v>0</v>
      </c>
      <c r="AF457" s="1">
        <f t="shared" si="143"/>
        <v>0</v>
      </c>
      <c r="AG457" s="1">
        <f t="shared" si="144"/>
        <v>0</v>
      </c>
      <c r="AH457" s="1">
        <f t="shared" si="145"/>
        <v>0</v>
      </c>
      <c r="AI457" s="1">
        <f t="shared" si="146"/>
        <v>1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6" t="s">
        <v>2013</v>
      </c>
      <c r="E458" s="32" t="s">
        <v>2017</v>
      </c>
      <c r="F458" s="36" t="s">
        <v>2014</v>
      </c>
      <c r="G458" s="36" t="s">
        <v>2015</v>
      </c>
      <c r="H458" s="36" t="s">
        <v>352</v>
      </c>
      <c r="I458" s="37" t="s">
        <v>2016</v>
      </c>
      <c r="J458" s="31">
        <v>99</v>
      </c>
      <c r="K458" s="33" t="s">
        <v>699</v>
      </c>
      <c r="L458" s="33">
        <v>20</v>
      </c>
      <c r="M458" s="34" t="s">
        <v>2019</v>
      </c>
      <c r="N458" s="34" t="s">
        <v>1732</v>
      </c>
      <c r="O458" s="35">
        <v>1</v>
      </c>
      <c r="P458" s="35"/>
      <c r="Q458" s="36" t="s">
        <v>2018</v>
      </c>
      <c r="S458" s="1">
        <f t="shared" si="131"/>
        <v>0</v>
      </c>
      <c r="T458" s="1">
        <f t="shared" si="132"/>
        <v>0</v>
      </c>
      <c r="U458" s="1">
        <f t="shared" si="133"/>
        <v>0</v>
      </c>
      <c r="V458" s="1">
        <f t="shared" si="134"/>
        <v>0</v>
      </c>
      <c r="W458" s="1">
        <f t="shared" si="135"/>
        <v>0</v>
      </c>
      <c r="X458" s="1">
        <f t="shared" si="136"/>
        <v>0</v>
      </c>
      <c r="Y458" s="1">
        <f t="shared" si="137"/>
        <v>0</v>
      </c>
      <c r="Z458" s="1">
        <f t="shared" si="138"/>
        <v>0</v>
      </c>
      <c r="AA458" s="1">
        <f t="shared" si="139"/>
        <v>0</v>
      </c>
      <c r="AB458" s="1">
        <f t="shared" si="140"/>
        <v>0</v>
      </c>
      <c r="AD458" s="1">
        <f t="shared" si="141"/>
        <v>0</v>
      </c>
      <c r="AE458" s="1">
        <f t="shared" si="142"/>
        <v>1</v>
      </c>
      <c r="AF458" s="1">
        <f t="shared" si="143"/>
        <v>0</v>
      </c>
      <c r="AG458" s="1">
        <f t="shared" si="144"/>
        <v>1</v>
      </c>
      <c r="AH458" s="1">
        <f t="shared" si="145"/>
        <v>0</v>
      </c>
      <c r="AI458" s="1">
        <f t="shared" si="146"/>
        <v>1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1624</v>
      </c>
      <c r="E459" s="32" t="s">
        <v>162</v>
      </c>
      <c r="F459" s="32" t="s">
        <v>243</v>
      </c>
      <c r="G459" s="32" t="s">
        <v>217</v>
      </c>
      <c r="H459" s="32" t="s">
        <v>352</v>
      </c>
      <c r="I459" s="31" t="s">
        <v>406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1711</v>
      </c>
      <c r="O459" s="35">
        <v>1</v>
      </c>
      <c r="P459" s="35">
        <v>1</v>
      </c>
      <c r="Q459" s="32"/>
      <c r="S459" s="1">
        <f t="shared" si="131"/>
        <v>0</v>
      </c>
      <c r="T459" s="1">
        <f t="shared" si="132"/>
        <v>0</v>
      </c>
      <c r="U459" s="1">
        <f t="shared" si="133"/>
        <v>0</v>
      </c>
      <c r="V459" s="1">
        <f t="shared" si="134"/>
        <v>0</v>
      </c>
      <c r="W459" s="1">
        <f t="shared" si="135"/>
        <v>0</v>
      </c>
      <c r="X459" s="1">
        <f t="shared" si="136"/>
        <v>0</v>
      </c>
      <c r="Y459" s="1">
        <f t="shared" si="137"/>
        <v>0</v>
      </c>
      <c r="Z459" s="1">
        <f t="shared" si="138"/>
        <v>0</v>
      </c>
      <c r="AA459" s="1">
        <f t="shared" si="139"/>
        <v>0</v>
      </c>
      <c r="AB459" s="1">
        <f t="shared" si="140"/>
        <v>0</v>
      </c>
      <c r="AD459" s="1">
        <f t="shared" si="141"/>
        <v>1</v>
      </c>
      <c r="AE459" s="1">
        <f t="shared" si="142"/>
        <v>0</v>
      </c>
      <c r="AF459" s="1">
        <f t="shared" si="143"/>
        <v>1</v>
      </c>
      <c r="AG459" s="1">
        <f t="shared" si="144"/>
        <v>0</v>
      </c>
      <c r="AH459" s="1">
        <f t="shared" si="145"/>
        <v>1</v>
      </c>
      <c r="AI459" s="1">
        <f t="shared" si="146"/>
        <v>0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1522</v>
      </c>
      <c r="E460" s="32" t="s">
        <v>155</v>
      </c>
      <c r="F460" s="32" t="s">
        <v>1523</v>
      </c>
      <c r="G460" s="32" t="s">
        <v>39</v>
      </c>
      <c r="H460" s="32" t="s">
        <v>352</v>
      </c>
      <c r="I460" s="31" t="s">
        <v>1524</v>
      </c>
      <c r="J460" s="31">
        <v>99</v>
      </c>
      <c r="K460" s="33" t="s">
        <v>709</v>
      </c>
      <c r="L460" s="33" t="s">
        <v>718</v>
      </c>
      <c r="M460" s="34" t="s">
        <v>728</v>
      </c>
      <c r="N460" s="34" t="s">
        <v>1732</v>
      </c>
      <c r="O460" s="35">
        <v>1</v>
      </c>
      <c r="P460" s="35"/>
      <c r="Q460" s="32"/>
      <c r="S460" s="1">
        <f t="shared" si="131"/>
        <v>0</v>
      </c>
      <c r="T460" s="1">
        <f t="shared" si="132"/>
        <v>0</v>
      </c>
      <c r="U460" s="1">
        <f t="shared" si="133"/>
        <v>0</v>
      </c>
      <c r="V460" s="1">
        <f t="shared" si="134"/>
        <v>0</v>
      </c>
      <c r="W460" s="1">
        <f t="shared" si="135"/>
        <v>0</v>
      </c>
      <c r="X460" s="1">
        <f t="shared" si="136"/>
        <v>0</v>
      </c>
      <c r="Y460" s="1">
        <f t="shared" si="137"/>
        <v>0</v>
      </c>
      <c r="Z460" s="1">
        <f t="shared" si="138"/>
        <v>0</v>
      </c>
      <c r="AA460" s="1">
        <f t="shared" si="139"/>
        <v>0</v>
      </c>
      <c r="AB460" s="1">
        <f t="shared" si="140"/>
        <v>0</v>
      </c>
      <c r="AD460" s="1">
        <f t="shared" si="141"/>
        <v>0</v>
      </c>
      <c r="AE460" s="1">
        <f t="shared" si="142"/>
        <v>1</v>
      </c>
      <c r="AF460" s="1">
        <f t="shared" si="143"/>
        <v>0</v>
      </c>
      <c r="AG460" s="1">
        <f t="shared" si="144"/>
        <v>1</v>
      </c>
      <c r="AH460" s="1">
        <f t="shared" si="145"/>
        <v>0</v>
      </c>
      <c r="AI460" s="1">
        <f t="shared" si="146"/>
        <v>1</v>
      </c>
    </row>
    <row r="461" spans="1:35" s="1" customFormat="1" ht="14.25" customHeight="1" x14ac:dyDescent="0.25">
      <c r="A461" s="44">
        <v>0</v>
      </c>
      <c r="B461" s="44">
        <v>2</v>
      </c>
      <c r="C461" s="44">
        <v>7</v>
      </c>
      <c r="D461" s="45" t="s">
        <v>1246</v>
      </c>
      <c r="E461" s="45" t="s">
        <v>1508</v>
      </c>
      <c r="F461" s="45" t="s">
        <v>1339</v>
      </c>
      <c r="G461" s="45" t="s">
        <v>185</v>
      </c>
      <c r="H461" s="45" t="s">
        <v>352</v>
      </c>
      <c r="I461" s="44" t="s">
        <v>1352</v>
      </c>
      <c r="J461" s="44">
        <v>1</v>
      </c>
      <c r="K461" s="46" t="s">
        <v>709</v>
      </c>
      <c r="L461" s="46" t="s">
        <v>712</v>
      </c>
      <c r="M461" s="47" t="s">
        <v>1422</v>
      </c>
      <c r="N461" s="47" t="s">
        <v>1719</v>
      </c>
      <c r="O461" s="48"/>
      <c r="P461" s="48"/>
      <c r="Q461" s="45"/>
      <c r="S461" s="1">
        <f t="shared" si="131"/>
        <v>1</v>
      </c>
      <c r="T461" s="1">
        <f t="shared" si="132"/>
        <v>0</v>
      </c>
      <c r="U461" s="1">
        <f t="shared" si="133"/>
        <v>0</v>
      </c>
      <c r="V461" s="1">
        <f t="shared" si="134"/>
        <v>0</v>
      </c>
      <c r="W461" s="1">
        <f t="shared" si="135"/>
        <v>0</v>
      </c>
      <c r="X461" s="1">
        <f t="shared" si="136"/>
        <v>0</v>
      </c>
      <c r="Y461" s="1">
        <f t="shared" si="137"/>
        <v>0</v>
      </c>
      <c r="Z461" s="1">
        <f t="shared" si="138"/>
        <v>0</v>
      </c>
      <c r="AA461" s="1">
        <f t="shared" si="139"/>
        <v>0</v>
      </c>
      <c r="AB461" s="1">
        <f t="shared" si="140"/>
        <v>0</v>
      </c>
      <c r="AD461" s="1">
        <f t="shared" si="141"/>
        <v>0</v>
      </c>
      <c r="AE461" s="1">
        <f t="shared" si="142"/>
        <v>0</v>
      </c>
      <c r="AF461" s="1">
        <f t="shared" si="143"/>
        <v>0</v>
      </c>
      <c r="AG461" s="1">
        <f t="shared" si="144"/>
        <v>0</v>
      </c>
      <c r="AH461" s="1">
        <f t="shared" si="145"/>
        <v>0</v>
      </c>
      <c r="AI461" s="1">
        <f t="shared" si="146"/>
        <v>1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961</v>
      </c>
      <c r="G462" s="32" t="s">
        <v>1088</v>
      </c>
      <c r="H462" s="32" t="s">
        <v>352</v>
      </c>
      <c r="I462" s="31" t="s">
        <v>1095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1727</v>
      </c>
      <c r="O462" s="35">
        <v>1</v>
      </c>
      <c r="P462" s="35"/>
      <c r="Q462" s="32"/>
      <c r="S462" s="1">
        <f t="shared" si="131"/>
        <v>0</v>
      </c>
      <c r="T462" s="1">
        <f t="shared" si="132"/>
        <v>0</v>
      </c>
      <c r="U462" s="1">
        <f t="shared" si="133"/>
        <v>0</v>
      </c>
      <c r="V462" s="1">
        <f t="shared" si="134"/>
        <v>0</v>
      </c>
      <c r="W462" s="1">
        <f t="shared" si="135"/>
        <v>0</v>
      </c>
      <c r="X462" s="1">
        <f t="shared" si="136"/>
        <v>0</v>
      </c>
      <c r="Y462" s="1">
        <f t="shared" si="137"/>
        <v>0</v>
      </c>
      <c r="Z462" s="1">
        <f t="shared" si="138"/>
        <v>0</v>
      </c>
      <c r="AA462" s="1">
        <f t="shared" si="139"/>
        <v>0</v>
      </c>
      <c r="AB462" s="1">
        <f t="shared" si="140"/>
        <v>0</v>
      </c>
      <c r="AD462" s="1">
        <f t="shared" si="141"/>
        <v>0</v>
      </c>
      <c r="AE462" s="1">
        <f t="shared" si="142"/>
        <v>1</v>
      </c>
      <c r="AF462" s="1">
        <f t="shared" si="143"/>
        <v>0</v>
      </c>
      <c r="AG462" s="1">
        <f t="shared" si="144"/>
        <v>1</v>
      </c>
      <c r="AH462" s="1">
        <f t="shared" si="145"/>
        <v>0</v>
      </c>
      <c r="AI462" s="1">
        <f t="shared" si="146"/>
        <v>1</v>
      </c>
    </row>
    <row r="463" spans="1:35" s="1" customFormat="1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244</v>
      </c>
      <c r="G463" s="32" t="s">
        <v>223</v>
      </c>
      <c r="H463" s="32" t="s">
        <v>352</v>
      </c>
      <c r="I463" s="31" t="s">
        <v>407</v>
      </c>
      <c r="J463" s="31">
        <v>99</v>
      </c>
      <c r="K463" s="33" t="s">
        <v>709</v>
      </c>
      <c r="L463" s="33" t="s">
        <v>709</v>
      </c>
      <c r="M463" s="34" t="s">
        <v>727</v>
      </c>
      <c r="N463" s="34" t="s">
        <v>1727</v>
      </c>
      <c r="O463" s="35">
        <v>1</v>
      </c>
      <c r="P463" s="35"/>
      <c r="Q463" s="32"/>
      <c r="S463" s="1">
        <f t="shared" si="131"/>
        <v>0</v>
      </c>
      <c r="T463" s="1">
        <f t="shared" si="132"/>
        <v>0</v>
      </c>
      <c r="U463" s="1">
        <f t="shared" si="133"/>
        <v>0</v>
      </c>
      <c r="V463" s="1">
        <f t="shared" si="134"/>
        <v>0</v>
      </c>
      <c r="W463" s="1">
        <f t="shared" si="135"/>
        <v>0</v>
      </c>
      <c r="X463" s="1">
        <f t="shared" si="136"/>
        <v>0</v>
      </c>
      <c r="Y463" s="1">
        <f t="shared" si="137"/>
        <v>0</v>
      </c>
      <c r="Z463" s="1">
        <f t="shared" si="138"/>
        <v>0</v>
      </c>
      <c r="AA463" s="1">
        <f t="shared" si="139"/>
        <v>0</v>
      </c>
      <c r="AB463" s="1">
        <f t="shared" si="140"/>
        <v>0</v>
      </c>
      <c r="AD463" s="1">
        <f t="shared" si="141"/>
        <v>0</v>
      </c>
      <c r="AE463" s="1">
        <f t="shared" si="142"/>
        <v>1</v>
      </c>
      <c r="AF463" s="1">
        <f t="shared" ref="AF463:AF497" si="147">+O463*P463*(1-A463)</f>
        <v>0</v>
      </c>
      <c r="AG463" s="1">
        <f t="shared" ref="AG463:AG497" si="148">O463*(1-P463)*(1-A463)</f>
        <v>0</v>
      </c>
      <c r="AH463" s="1">
        <f t="shared" ref="AH463:AH497" si="149">+P463*(1-A463)</f>
        <v>0</v>
      </c>
      <c r="AI463" s="1">
        <f t="shared" ref="AI463:AI497" si="150">+(1-A463)*(1-P463)</f>
        <v>0</v>
      </c>
    </row>
    <row r="464" spans="1:35" s="1" customFormat="1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245</v>
      </c>
      <c r="G464" s="32" t="s">
        <v>219</v>
      </c>
      <c r="H464" s="32" t="s">
        <v>352</v>
      </c>
      <c r="I464" s="31" t="s">
        <v>408</v>
      </c>
      <c r="J464" s="31">
        <v>8</v>
      </c>
      <c r="K464" s="33" t="s">
        <v>709</v>
      </c>
      <c r="L464" s="33" t="s">
        <v>709</v>
      </c>
      <c r="M464" s="34" t="s">
        <v>727</v>
      </c>
      <c r="N464" s="34" t="s">
        <v>1727</v>
      </c>
      <c r="O464" s="35">
        <v>1</v>
      </c>
      <c r="P464" s="35"/>
      <c r="Q464" s="32" t="s">
        <v>1996</v>
      </c>
      <c r="S464" s="1">
        <f t="shared" si="131"/>
        <v>0</v>
      </c>
      <c r="T464" s="1">
        <f t="shared" si="132"/>
        <v>0</v>
      </c>
      <c r="U464" s="1">
        <f t="shared" si="133"/>
        <v>0</v>
      </c>
      <c r="V464" s="1">
        <f t="shared" si="134"/>
        <v>0</v>
      </c>
      <c r="W464" s="1">
        <f t="shared" si="135"/>
        <v>0</v>
      </c>
      <c r="X464" s="1">
        <f t="shared" si="136"/>
        <v>0</v>
      </c>
      <c r="Y464" s="1">
        <f t="shared" si="137"/>
        <v>0</v>
      </c>
      <c r="Z464" s="1">
        <f t="shared" si="138"/>
        <v>1</v>
      </c>
      <c r="AA464" s="1">
        <f t="shared" si="139"/>
        <v>0</v>
      </c>
      <c r="AB464" s="1">
        <f t="shared" si="140"/>
        <v>0</v>
      </c>
      <c r="AD464" s="1">
        <f t="shared" si="141"/>
        <v>0</v>
      </c>
      <c r="AE464" s="1">
        <f t="shared" si="142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s="1" customFormat="1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1021</v>
      </c>
      <c r="G465" s="32" t="s">
        <v>39</v>
      </c>
      <c r="H465" s="32" t="s">
        <v>352</v>
      </c>
      <c r="I465" s="31" t="s">
        <v>1022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1727</v>
      </c>
      <c r="O465" s="35">
        <v>1</v>
      </c>
      <c r="P465" s="35"/>
      <c r="Q465" s="32"/>
      <c r="S465" s="1">
        <f t="shared" si="131"/>
        <v>1</v>
      </c>
      <c r="T465" s="1">
        <f t="shared" si="132"/>
        <v>0</v>
      </c>
      <c r="U465" s="1">
        <f t="shared" si="133"/>
        <v>0</v>
      </c>
      <c r="V465" s="1">
        <f t="shared" si="134"/>
        <v>0</v>
      </c>
      <c r="W465" s="1">
        <f t="shared" si="135"/>
        <v>0</v>
      </c>
      <c r="X465" s="1">
        <f t="shared" si="136"/>
        <v>0</v>
      </c>
      <c r="Y465" s="1">
        <f t="shared" si="137"/>
        <v>0</v>
      </c>
      <c r="Z465" s="1">
        <f t="shared" si="138"/>
        <v>0</v>
      </c>
      <c r="AA465" s="1">
        <f t="shared" si="139"/>
        <v>0</v>
      </c>
      <c r="AB465" s="1">
        <f t="shared" si="140"/>
        <v>0</v>
      </c>
      <c r="AD465" s="1">
        <f t="shared" si="141"/>
        <v>0</v>
      </c>
      <c r="AE465" s="1">
        <f t="shared" si="142"/>
        <v>1</v>
      </c>
      <c r="AF465" s="1">
        <f t="shared" si="147"/>
        <v>0</v>
      </c>
      <c r="AG465" s="1">
        <f t="shared" si="148"/>
        <v>0</v>
      </c>
      <c r="AH465" s="1">
        <f t="shared" si="149"/>
        <v>0</v>
      </c>
      <c r="AI465" s="1">
        <f t="shared" si="150"/>
        <v>0</v>
      </c>
    </row>
    <row r="466" spans="1:35" s="1" customFormat="1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1023</v>
      </c>
      <c r="G466" s="32" t="s">
        <v>300</v>
      </c>
      <c r="H466" s="32" t="s">
        <v>352</v>
      </c>
      <c r="I466" s="31" t="s">
        <v>1024</v>
      </c>
      <c r="J466" s="31">
        <v>1</v>
      </c>
      <c r="K466" s="33" t="s">
        <v>709</v>
      </c>
      <c r="L466" s="33" t="s">
        <v>709</v>
      </c>
      <c r="M466" s="34" t="s">
        <v>727</v>
      </c>
      <c r="N466" s="34" t="s">
        <v>1727</v>
      </c>
      <c r="O466" s="35">
        <v>1</v>
      </c>
      <c r="P466" s="35"/>
      <c r="Q466" s="32"/>
      <c r="S466" s="1">
        <f t="shared" si="131"/>
        <v>1</v>
      </c>
      <c r="T466" s="1">
        <f t="shared" si="132"/>
        <v>0</v>
      </c>
      <c r="U466" s="1">
        <f t="shared" si="133"/>
        <v>0</v>
      </c>
      <c r="V466" s="1">
        <f t="shared" si="134"/>
        <v>0</v>
      </c>
      <c r="W466" s="1">
        <f t="shared" si="135"/>
        <v>0</v>
      </c>
      <c r="X466" s="1">
        <f t="shared" si="136"/>
        <v>0</v>
      </c>
      <c r="Y466" s="1">
        <f t="shared" si="137"/>
        <v>0</v>
      </c>
      <c r="Z466" s="1">
        <f t="shared" si="138"/>
        <v>0</v>
      </c>
      <c r="AA466" s="1">
        <f t="shared" si="139"/>
        <v>0</v>
      </c>
      <c r="AB466" s="1">
        <f t="shared" si="140"/>
        <v>0</v>
      </c>
      <c r="AD466" s="1">
        <f t="shared" si="141"/>
        <v>0</v>
      </c>
      <c r="AE466" s="1">
        <f t="shared" si="142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1557</v>
      </c>
      <c r="E467" s="32" t="s">
        <v>155</v>
      </c>
      <c r="F467" s="32" t="s">
        <v>1558</v>
      </c>
      <c r="G467" s="32" t="s">
        <v>206</v>
      </c>
      <c r="H467" s="32" t="s">
        <v>352</v>
      </c>
      <c r="I467" s="31" t="s">
        <v>1559</v>
      </c>
      <c r="J467" s="31">
        <v>99</v>
      </c>
      <c r="K467" s="33" t="s">
        <v>708</v>
      </c>
      <c r="L467" s="33" t="s">
        <v>718</v>
      </c>
      <c r="M467" s="34" t="s">
        <v>728</v>
      </c>
      <c r="N467" s="34" t="s">
        <v>1930</v>
      </c>
      <c r="O467" s="35">
        <v>1</v>
      </c>
      <c r="P467" s="35"/>
      <c r="Q467" s="32"/>
      <c r="S467" s="1">
        <f t="shared" ref="S467:S497" si="151">IF(J467=$S$7,1,0)</f>
        <v>0</v>
      </c>
      <c r="T467" s="1">
        <f t="shared" ref="T467:T497" si="152">IF(J467=$T$7,1,0)</f>
        <v>0</v>
      </c>
      <c r="U467" s="1">
        <f t="shared" ref="U467:U497" si="153">IF(J467=$U$7,1,0)</f>
        <v>0</v>
      </c>
      <c r="V467" s="1">
        <f t="shared" ref="V467:V497" si="154">IF(J467=$V$7,1,0)</f>
        <v>0</v>
      </c>
      <c r="W467" s="1">
        <f t="shared" ref="W467:W497" si="155">IF(J467=$W$7,1,0)</f>
        <v>0</v>
      </c>
      <c r="X467" s="1">
        <f t="shared" ref="X467:X497" si="156">IF(J467=$X$7,1,0)</f>
        <v>0</v>
      </c>
      <c r="Y467" s="1">
        <f t="shared" ref="Y467:Y497" si="157">IF(J467=$Y$7,1,0)</f>
        <v>0</v>
      </c>
      <c r="Z467" s="1">
        <f t="shared" ref="Z467:Z497" si="158">IF(J467=$Z$7,1,0)</f>
        <v>0</v>
      </c>
      <c r="AA467" s="1">
        <f t="shared" ref="AA467:AA497" si="159">IF(J467=$AA$7,1,0)</f>
        <v>0</v>
      </c>
      <c r="AB467" s="1">
        <f t="shared" ref="AB467:AB497" si="160">IF(J467=$AB$7,1,0)</f>
        <v>0</v>
      </c>
      <c r="AD467" s="1">
        <f t="shared" ref="AD467:AD497" si="161">+O467*P467</f>
        <v>0</v>
      </c>
      <c r="AE467" s="1">
        <f t="shared" ref="AE467:AE497" si="162">O467*(1-P467)</f>
        <v>1</v>
      </c>
      <c r="AF467" s="1">
        <f t="shared" si="147"/>
        <v>0</v>
      </c>
      <c r="AG467" s="1">
        <f t="shared" si="148"/>
        <v>1</v>
      </c>
      <c r="AH467" s="1">
        <f t="shared" si="149"/>
        <v>0</v>
      </c>
      <c r="AI467" s="1">
        <f t="shared" si="150"/>
        <v>1</v>
      </c>
    </row>
    <row r="468" spans="1:35" s="1" customFormat="1" ht="14.25" customHeight="1" x14ac:dyDescent="0.25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708</v>
      </c>
      <c r="L468" s="46" t="s">
        <v>709</v>
      </c>
      <c r="M468" s="47" t="s">
        <v>727</v>
      </c>
      <c r="N468" s="47" t="s">
        <v>1719</v>
      </c>
      <c r="O468" s="48"/>
      <c r="P468" s="48"/>
      <c r="Q468" s="45"/>
      <c r="S468" s="1">
        <f t="shared" si="151"/>
        <v>0</v>
      </c>
      <c r="T468" s="1">
        <f t="shared" si="152"/>
        <v>0</v>
      </c>
      <c r="U468" s="1">
        <f t="shared" si="153"/>
        <v>0</v>
      </c>
      <c r="V468" s="1">
        <f t="shared" si="154"/>
        <v>0</v>
      </c>
      <c r="W468" s="1">
        <f t="shared" si="155"/>
        <v>0</v>
      </c>
      <c r="X468" s="1">
        <f t="shared" si="156"/>
        <v>0</v>
      </c>
      <c r="Y468" s="1">
        <f t="shared" si="157"/>
        <v>0</v>
      </c>
      <c r="Z468" s="1">
        <f t="shared" si="158"/>
        <v>0</v>
      </c>
      <c r="AA468" s="1">
        <f t="shared" si="159"/>
        <v>1</v>
      </c>
      <c r="AB468" s="1">
        <f t="shared" si="160"/>
        <v>0</v>
      </c>
      <c r="AD468" s="1">
        <f t="shared" si="161"/>
        <v>0</v>
      </c>
      <c r="AE468" s="1">
        <f t="shared" si="162"/>
        <v>0</v>
      </c>
      <c r="AF468" s="1">
        <f t="shared" si="147"/>
        <v>0</v>
      </c>
      <c r="AG468" s="1">
        <f t="shared" si="148"/>
        <v>0</v>
      </c>
      <c r="AH468" s="1">
        <f t="shared" si="149"/>
        <v>0</v>
      </c>
      <c r="AI468" s="1">
        <f t="shared" si="150"/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1734</v>
      </c>
      <c r="O469" s="35">
        <v>1</v>
      </c>
      <c r="P469" s="35"/>
      <c r="Q469" s="32"/>
      <c r="S469" s="1">
        <f t="shared" si="151"/>
        <v>0</v>
      </c>
      <c r="T469" s="1">
        <f t="shared" si="152"/>
        <v>0</v>
      </c>
      <c r="U469" s="1">
        <f t="shared" si="153"/>
        <v>0</v>
      </c>
      <c r="V469" s="1">
        <f t="shared" si="154"/>
        <v>0</v>
      </c>
      <c r="W469" s="1">
        <f t="shared" si="155"/>
        <v>0</v>
      </c>
      <c r="X469" s="1">
        <f t="shared" si="156"/>
        <v>0</v>
      </c>
      <c r="Y469" s="1">
        <f t="shared" si="157"/>
        <v>0</v>
      </c>
      <c r="Z469" s="1">
        <f t="shared" si="158"/>
        <v>0</v>
      </c>
      <c r="AA469" s="1">
        <f t="shared" si="159"/>
        <v>0</v>
      </c>
      <c r="AB469" s="1">
        <f t="shared" si="160"/>
        <v>0</v>
      </c>
      <c r="AD469" s="1">
        <f t="shared" si="161"/>
        <v>0</v>
      </c>
      <c r="AE469" s="1">
        <f t="shared" si="162"/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1062</v>
      </c>
      <c r="E470" s="32" t="s">
        <v>155</v>
      </c>
      <c r="F470" s="32" t="s">
        <v>1063</v>
      </c>
      <c r="G470" s="32" t="s">
        <v>219</v>
      </c>
      <c r="H470" s="32" t="s">
        <v>352</v>
      </c>
      <c r="I470" s="31" t="s">
        <v>1064</v>
      </c>
      <c r="J470" s="31">
        <v>8</v>
      </c>
      <c r="K470" s="33" t="s">
        <v>708</v>
      </c>
      <c r="L470" s="33" t="s">
        <v>718</v>
      </c>
      <c r="M470" s="34" t="s">
        <v>728</v>
      </c>
      <c r="N470" s="34" t="s">
        <v>1732</v>
      </c>
      <c r="O470" s="35">
        <v>1</v>
      </c>
      <c r="P470" s="35"/>
      <c r="Q470" s="32"/>
      <c r="S470" s="1">
        <f t="shared" si="151"/>
        <v>0</v>
      </c>
      <c r="T470" s="1">
        <f t="shared" si="152"/>
        <v>0</v>
      </c>
      <c r="U470" s="1">
        <f t="shared" si="153"/>
        <v>0</v>
      </c>
      <c r="V470" s="1">
        <f t="shared" si="154"/>
        <v>0</v>
      </c>
      <c r="W470" s="1">
        <f t="shared" si="155"/>
        <v>0</v>
      </c>
      <c r="X470" s="1">
        <f t="shared" si="156"/>
        <v>0</v>
      </c>
      <c r="Y470" s="1">
        <f t="shared" si="157"/>
        <v>0</v>
      </c>
      <c r="Z470" s="1">
        <f t="shared" si="158"/>
        <v>1</v>
      </c>
      <c r="AA470" s="1">
        <f t="shared" si="159"/>
        <v>0</v>
      </c>
      <c r="AB470" s="1">
        <f t="shared" si="160"/>
        <v>0</v>
      </c>
      <c r="AD470" s="1">
        <f t="shared" si="161"/>
        <v>0</v>
      </c>
      <c r="AE470" s="1">
        <f t="shared" si="162"/>
        <v>1</v>
      </c>
      <c r="AF470" s="1">
        <f t="shared" si="147"/>
        <v>0</v>
      </c>
      <c r="AG470" s="1">
        <f t="shared" si="148"/>
        <v>1</v>
      </c>
      <c r="AH470" s="1">
        <f t="shared" si="149"/>
        <v>0</v>
      </c>
      <c r="AI470" s="1">
        <f t="shared" si="150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709</v>
      </c>
      <c r="L471" s="33" t="s">
        <v>729</v>
      </c>
      <c r="M471" s="34" t="s">
        <v>730</v>
      </c>
      <c r="N471" s="34" t="s">
        <v>1740</v>
      </c>
      <c r="O471" s="35">
        <v>1</v>
      </c>
      <c r="P471" s="35"/>
      <c r="Q471" s="32"/>
      <c r="S471" s="1">
        <f t="shared" si="151"/>
        <v>0</v>
      </c>
      <c r="T471" s="1">
        <f t="shared" si="152"/>
        <v>0</v>
      </c>
      <c r="U471" s="1">
        <f t="shared" si="153"/>
        <v>0</v>
      </c>
      <c r="V471" s="1">
        <f t="shared" si="154"/>
        <v>0</v>
      </c>
      <c r="W471" s="1">
        <f t="shared" si="155"/>
        <v>0</v>
      </c>
      <c r="X471" s="1">
        <f t="shared" si="156"/>
        <v>0</v>
      </c>
      <c r="Y471" s="1">
        <f t="shared" si="157"/>
        <v>0</v>
      </c>
      <c r="Z471" s="1">
        <f t="shared" si="158"/>
        <v>0</v>
      </c>
      <c r="AA471" s="1">
        <f t="shared" si="159"/>
        <v>0</v>
      </c>
      <c r="AB471" s="1">
        <f t="shared" si="160"/>
        <v>0</v>
      </c>
      <c r="AD471" s="1">
        <f t="shared" si="161"/>
        <v>0</v>
      </c>
      <c r="AE471" s="1">
        <f t="shared" si="162"/>
        <v>1</v>
      </c>
      <c r="AF471" s="1">
        <f t="shared" si="147"/>
        <v>0</v>
      </c>
      <c r="AG471" s="1">
        <f t="shared" si="148"/>
        <v>1</v>
      </c>
      <c r="AH471" s="1">
        <f t="shared" si="149"/>
        <v>0</v>
      </c>
      <c r="AI471" s="1">
        <f t="shared" si="150"/>
        <v>1</v>
      </c>
    </row>
    <row r="472" spans="1:35" s="1" customFormat="1" ht="14.25" customHeight="1" x14ac:dyDescent="0.25">
      <c r="A472" s="37">
        <v>0</v>
      </c>
      <c r="B472" s="37">
        <v>2</v>
      </c>
      <c r="C472" s="37">
        <v>7</v>
      </c>
      <c r="D472" s="36" t="s">
        <v>1759</v>
      </c>
      <c r="E472" s="36" t="s">
        <v>1760</v>
      </c>
      <c r="F472" s="36" t="s">
        <v>1761</v>
      </c>
      <c r="G472" s="36" t="s">
        <v>189</v>
      </c>
      <c r="H472" s="36" t="s">
        <v>352</v>
      </c>
      <c r="I472" s="37"/>
      <c r="J472" s="37"/>
      <c r="K472" s="33" t="s">
        <v>699</v>
      </c>
      <c r="L472" s="33"/>
      <c r="M472" s="34"/>
      <c r="N472" s="34" t="s">
        <v>1711</v>
      </c>
      <c r="O472" s="35">
        <v>1</v>
      </c>
      <c r="P472" s="35">
        <v>1</v>
      </c>
      <c r="Q472" s="36"/>
      <c r="S472" s="1">
        <f t="shared" si="151"/>
        <v>0</v>
      </c>
      <c r="T472" s="1">
        <f t="shared" si="152"/>
        <v>0</v>
      </c>
      <c r="U472" s="1">
        <f t="shared" si="153"/>
        <v>0</v>
      </c>
      <c r="V472" s="1">
        <f t="shared" si="154"/>
        <v>0</v>
      </c>
      <c r="W472" s="1">
        <f t="shared" si="155"/>
        <v>0</v>
      </c>
      <c r="X472" s="1">
        <f t="shared" si="156"/>
        <v>0</v>
      </c>
      <c r="Y472" s="1">
        <f t="shared" si="157"/>
        <v>0</v>
      </c>
      <c r="Z472" s="1">
        <f t="shared" si="158"/>
        <v>0</v>
      </c>
      <c r="AA472" s="1">
        <f t="shared" si="159"/>
        <v>0</v>
      </c>
      <c r="AB472" s="1">
        <f t="shared" si="160"/>
        <v>0</v>
      </c>
      <c r="AD472" s="1">
        <f t="shared" si="161"/>
        <v>1</v>
      </c>
      <c r="AE472" s="1">
        <f t="shared" si="162"/>
        <v>0</v>
      </c>
      <c r="AF472" s="1">
        <f t="shared" si="147"/>
        <v>1</v>
      </c>
      <c r="AG472" s="1">
        <f t="shared" si="148"/>
        <v>0</v>
      </c>
      <c r="AH472" s="1">
        <f t="shared" si="149"/>
        <v>1</v>
      </c>
      <c r="AI472" s="1">
        <f t="shared" si="150"/>
        <v>0</v>
      </c>
    </row>
    <row r="473" spans="1:35" s="1" customFormat="1" ht="14.25" customHeight="1" x14ac:dyDescent="0.25">
      <c r="A473" s="37">
        <v>0</v>
      </c>
      <c r="B473" s="37">
        <v>2</v>
      </c>
      <c r="C473" s="37">
        <v>7</v>
      </c>
      <c r="D473" s="36" t="s">
        <v>510</v>
      </c>
      <c r="E473" s="36" t="s">
        <v>155</v>
      </c>
      <c r="F473" s="36" t="s">
        <v>570</v>
      </c>
      <c r="G473" s="36" t="s">
        <v>319</v>
      </c>
      <c r="H473" s="36" t="s">
        <v>352</v>
      </c>
      <c r="I473" s="37" t="s">
        <v>577</v>
      </c>
      <c r="J473" s="37">
        <v>99</v>
      </c>
      <c r="K473" s="33" t="s">
        <v>941</v>
      </c>
      <c r="L473" s="33" t="s">
        <v>718</v>
      </c>
      <c r="M473" s="34" t="s">
        <v>728</v>
      </c>
      <c r="N473" s="34" t="s">
        <v>1745</v>
      </c>
      <c r="O473" s="35">
        <v>1</v>
      </c>
      <c r="P473" s="35"/>
      <c r="Q473" s="36"/>
      <c r="S473" s="1">
        <f t="shared" si="151"/>
        <v>0</v>
      </c>
      <c r="T473" s="1">
        <f t="shared" si="152"/>
        <v>0</v>
      </c>
      <c r="U473" s="1">
        <f t="shared" si="153"/>
        <v>0</v>
      </c>
      <c r="V473" s="1">
        <f t="shared" si="154"/>
        <v>0</v>
      </c>
      <c r="W473" s="1">
        <f t="shared" si="155"/>
        <v>0</v>
      </c>
      <c r="X473" s="1">
        <f t="shared" si="156"/>
        <v>0</v>
      </c>
      <c r="Y473" s="1">
        <f t="shared" si="157"/>
        <v>0</v>
      </c>
      <c r="Z473" s="1">
        <f t="shared" si="158"/>
        <v>0</v>
      </c>
      <c r="AA473" s="1">
        <f t="shared" si="159"/>
        <v>0</v>
      </c>
      <c r="AB473" s="1">
        <f t="shared" si="160"/>
        <v>0</v>
      </c>
      <c r="AD473" s="1">
        <f t="shared" si="161"/>
        <v>0</v>
      </c>
      <c r="AE473" s="1">
        <f t="shared" si="162"/>
        <v>1</v>
      </c>
      <c r="AF473" s="1">
        <f t="shared" si="147"/>
        <v>0</v>
      </c>
      <c r="AG473" s="1">
        <f t="shared" si="148"/>
        <v>1</v>
      </c>
      <c r="AH473" s="1">
        <f t="shared" si="149"/>
        <v>0</v>
      </c>
      <c r="AI473" s="1">
        <f t="shared" si="150"/>
        <v>1</v>
      </c>
    </row>
    <row r="474" spans="1:35" s="1" customFormat="1" ht="14.25" customHeight="1" x14ac:dyDescent="0.25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671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708</v>
      </c>
      <c r="L474" s="46" t="s">
        <v>725</v>
      </c>
      <c r="M474" s="47" t="s">
        <v>728</v>
      </c>
      <c r="N474" s="47" t="s">
        <v>1719</v>
      </c>
      <c r="O474" s="48"/>
      <c r="P474" s="48"/>
      <c r="Q474" s="45"/>
      <c r="S474" s="1">
        <f t="shared" si="151"/>
        <v>0</v>
      </c>
      <c r="T474" s="1">
        <f t="shared" si="152"/>
        <v>0</v>
      </c>
      <c r="U474" s="1">
        <f t="shared" si="153"/>
        <v>0</v>
      </c>
      <c r="V474" s="1">
        <f t="shared" si="154"/>
        <v>0</v>
      </c>
      <c r="W474" s="1">
        <f t="shared" si="155"/>
        <v>0</v>
      </c>
      <c r="X474" s="1">
        <f t="shared" si="156"/>
        <v>0</v>
      </c>
      <c r="Y474" s="1">
        <f t="shared" si="157"/>
        <v>0</v>
      </c>
      <c r="Z474" s="1">
        <f t="shared" si="158"/>
        <v>0</v>
      </c>
      <c r="AA474" s="1">
        <f t="shared" si="159"/>
        <v>0</v>
      </c>
      <c r="AB474" s="1">
        <f t="shared" si="160"/>
        <v>0</v>
      </c>
      <c r="AD474" s="1">
        <f t="shared" si="161"/>
        <v>0</v>
      </c>
      <c r="AE474" s="1">
        <f t="shared" si="162"/>
        <v>0</v>
      </c>
      <c r="AF474" s="1">
        <f t="shared" si="147"/>
        <v>0</v>
      </c>
      <c r="AG474" s="1">
        <f t="shared" si="148"/>
        <v>0</v>
      </c>
      <c r="AH474" s="1">
        <f t="shared" si="149"/>
        <v>0</v>
      </c>
      <c r="AI474" s="1">
        <f t="shared" si="150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1986</v>
      </c>
      <c r="E475" s="32" t="s">
        <v>155</v>
      </c>
      <c r="F475" s="32" t="s">
        <v>1987</v>
      </c>
      <c r="G475" s="32" t="s">
        <v>281</v>
      </c>
      <c r="H475" s="32" t="s">
        <v>352</v>
      </c>
      <c r="I475" s="31" t="s">
        <v>1988</v>
      </c>
      <c r="J475" s="31">
        <v>99</v>
      </c>
      <c r="K475" s="33" t="s">
        <v>699</v>
      </c>
      <c r="L475" s="33" t="s">
        <v>718</v>
      </c>
      <c r="M475" s="34" t="s">
        <v>728</v>
      </c>
      <c r="N475" s="34" t="s">
        <v>1711</v>
      </c>
      <c r="O475" s="35">
        <v>1</v>
      </c>
      <c r="P475" s="35">
        <v>1</v>
      </c>
      <c r="Q475" s="32"/>
      <c r="S475" s="1">
        <f t="shared" si="151"/>
        <v>0</v>
      </c>
      <c r="T475" s="1">
        <f t="shared" si="152"/>
        <v>0</v>
      </c>
      <c r="U475" s="1">
        <f t="shared" si="153"/>
        <v>0</v>
      </c>
      <c r="V475" s="1">
        <f t="shared" si="154"/>
        <v>0</v>
      </c>
      <c r="W475" s="1">
        <f t="shared" si="155"/>
        <v>0</v>
      </c>
      <c r="X475" s="1">
        <f t="shared" si="156"/>
        <v>0</v>
      </c>
      <c r="Y475" s="1">
        <f t="shared" si="157"/>
        <v>0</v>
      </c>
      <c r="Z475" s="1">
        <f t="shared" si="158"/>
        <v>0</v>
      </c>
      <c r="AA475" s="1">
        <f t="shared" si="159"/>
        <v>0</v>
      </c>
      <c r="AB475" s="1">
        <f t="shared" si="160"/>
        <v>0</v>
      </c>
      <c r="AD475" s="1">
        <f t="shared" si="161"/>
        <v>1</v>
      </c>
      <c r="AE475" s="1">
        <f t="shared" si="162"/>
        <v>0</v>
      </c>
      <c r="AF475" s="1">
        <f t="shared" si="147"/>
        <v>1</v>
      </c>
      <c r="AG475" s="1">
        <f t="shared" si="148"/>
        <v>0</v>
      </c>
      <c r="AH475" s="1">
        <f t="shared" si="149"/>
        <v>1</v>
      </c>
      <c r="AI475" s="1">
        <f t="shared" si="150"/>
        <v>0</v>
      </c>
    </row>
    <row r="476" spans="1:35" s="1" customFormat="1" ht="14.25" customHeight="1" x14ac:dyDescent="0.25">
      <c r="A476" s="31">
        <v>1</v>
      </c>
      <c r="B476" s="31">
        <v>2</v>
      </c>
      <c r="C476" s="31">
        <v>7</v>
      </c>
      <c r="D476" s="32" t="s">
        <v>1986</v>
      </c>
      <c r="E476" s="32" t="s">
        <v>155</v>
      </c>
      <c r="F476" s="32" t="s">
        <v>1989</v>
      </c>
      <c r="G476" s="32" t="s">
        <v>1990</v>
      </c>
      <c r="H476" s="32" t="s">
        <v>352</v>
      </c>
      <c r="I476" s="31" t="s">
        <v>1991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1711</v>
      </c>
      <c r="O476" s="35">
        <v>1</v>
      </c>
      <c r="P476" s="35">
        <v>1</v>
      </c>
      <c r="Q476" s="32"/>
      <c r="S476" s="1">
        <f t="shared" si="151"/>
        <v>0</v>
      </c>
      <c r="T476" s="1">
        <f t="shared" si="152"/>
        <v>0</v>
      </c>
      <c r="U476" s="1">
        <f t="shared" si="153"/>
        <v>0</v>
      </c>
      <c r="V476" s="1">
        <f t="shared" si="154"/>
        <v>0</v>
      </c>
      <c r="W476" s="1">
        <f t="shared" si="155"/>
        <v>0</v>
      </c>
      <c r="X476" s="1">
        <f t="shared" si="156"/>
        <v>0</v>
      </c>
      <c r="Y476" s="1">
        <f t="shared" si="157"/>
        <v>0</v>
      </c>
      <c r="Z476" s="1">
        <f t="shared" si="158"/>
        <v>0</v>
      </c>
      <c r="AA476" s="1">
        <f t="shared" si="159"/>
        <v>0</v>
      </c>
      <c r="AB476" s="1">
        <f t="shared" si="160"/>
        <v>0</v>
      </c>
      <c r="AD476" s="1">
        <f t="shared" si="161"/>
        <v>1</v>
      </c>
      <c r="AE476" s="1">
        <f t="shared" si="162"/>
        <v>0</v>
      </c>
      <c r="AF476" s="1">
        <f t="shared" si="147"/>
        <v>0</v>
      </c>
      <c r="AG476" s="1">
        <f t="shared" si="148"/>
        <v>0</v>
      </c>
      <c r="AH476" s="1">
        <f t="shared" si="149"/>
        <v>0</v>
      </c>
      <c r="AI476" s="1">
        <f t="shared" si="150"/>
        <v>0</v>
      </c>
    </row>
    <row r="477" spans="1:35" s="1" customFormat="1" ht="14.25" customHeight="1" x14ac:dyDescent="0.25">
      <c r="A477" s="15">
        <v>0</v>
      </c>
      <c r="B477" s="15">
        <v>2</v>
      </c>
      <c r="C477" s="15">
        <v>7</v>
      </c>
      <c r="D477" s="20" t="s">
        <v>1842</v>
      </c>
      <c r="E477" s="16" t="s">
        <v>155</v>
      </c>
      <c r="F477" s="20" t="s">
        <v>1843</v>
      </c>
      <c r="G477" s="20" t="s">
        <v>281</v>
      </c>
      <c r="H477" s="20" t="s">
        <v>352</v>
      </c>
      <c r="I477" s="21" t="s">
        <v>1844</v>
      </c>
      <c r="J477" s="15">
        <v>99</v>
      </c>
      <c r="K477" s="10" t="s">
        <v>699</v>
      </c>
      <c r="L477" s="10" t="s">
        <v>718</v>
      </c>
      <c r="M477" s="19" t="s">
        <v>728</v>
      </c>
      <c r="N477" s="19"/>
      <c r="Q477" s="20"/>
      <c r="S477" s="1">
        <f t="shared" si="151"/>
        <v>0</v>
      </c>
      <c r="T477" s="1">
        <f t="shared" si="152"/>
        <v>0</v>
      </c>
      <c r="U477" s="1">
        <f t="shared" si="153"/>
        <v>0</v>
      </c>
      <c r="V477" s="1">
        <f t="shared" si="154"/>
        <v>0</v>
      </c>
      <c r="W477" s="1">
        <f t="shared" si="155"/>
        <v>0</v>
      </c>
      <c r="X477" s="1">
        <f t="shared" si="156"/>
        <v>0</v>
      </c>
      <c r="Y477" s="1">
        <f t="shared" si="157"/>
        <v>0</v>
      </c>
      <c r="Z477" s="1">
        <f t="shared" si="158"/>
        <v>0</v>
      </c>
      <c r="AA477" s="1">
        <f t="shared" si="159"/>
        <v>0</v>
      </c>
      <c r="AB477" s="1">
        <f t="shared" si="160"/>
        <v>0</v>
      </c>
      <c r="AD477" s="1">
        <f t="shared" si="161"/>
        <v>0</v>
      </c>
      <c r="AE477" s="1">
        <f t="shared" si="162"/>
        <v>0</v>
      </c>
      <c r="AF477" s="1">
        <f t="shared" si="147"/>
        <v>0</v>
      </c>
      <c r="AG477" s="1">
        <f t="shared" si="148"/>
        <v>0</v>
      </c>
      <c r="AH477" s="1">
        <f t="shared" si="149"/>
        <v>0</v>
      </c>
      <c r="AI477" s="1">
        <f t="shared" si="150"/>
        <v>1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709</v>
      </c>
      <c r="L478" s="33" t="s">
        <v>718</v>
      </c>
      <c r="M478" s="34" t="s">
        <v>728</v>
      </c>
      <c r="N478" s="34" t="s">
        <v>1732</v>
      </c>
      <c r="O478" s="35">
        <v>1</v>
      </c>
      <c r="P478" s="35"/>
      <c r="Q478" s="32"/>
      <c r="S478" s="1">
        <f t="shared" si="151"/>
        <v>0</v>
      </c>
      <c r="T478" s="1">
        <f t="shared" si="152"/>
        <v>0</v>
      </c>
      <c r="U478" s="1">
        <f t="shared" si="153"/>
        <v>0</v>
      </c>
      <c r="V478" s="1">
        <f t="shared" si="154"/>
        <v>0</v>
      </c>
      <c r="W478" s="1">
        <f t="shared" si="155"/>
        <v>0</v>
      </c>
      <c r="X478" s="1">
        <f t="shared" si="156"/>
        <v>0</v>
      </c>
      <c r="Y478" s="1">
        <f t="shared" si="157"/>
        <v>0</v>
      </c>
      <c r="Z478" s="1">
        <f t="shared" si="158"/>
        <v>0</v>
      </c>
      <c r="AA478" s="1">
        <f t="shared" si="159"/>
        <v>0</v>
      </c>
      <c r="AB478" s="1">
        <f t="shared" si="160"/>
        <v>0</v>
      </c>
      <c r="AD478" s="1">
        <f t="shared" si="161"/>
        <v>0</v>
      </c>
      <c r="AE478" s="1">
        <f t="shared" si="162"/>
        <v>1</v>
      </c>
      <c r="AF478" s="1">
        <f t="shared" si="147"/>
        <v>0</v>
      </c>
      <c r="AG478" s="1">
        <f t="shared" si="148"/>
        <v>1</v>
      </c>
      <c r="AH478" s="1">
        <f t="shared" si="149"/>
        <v>0</v>
      </c>
      <c r="AI478" s="1">
        <f t="shared" si="150"/>
        <v>1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1313</v>
      </c>
      <c r="E479" s="32" t="s">
        <v>155</v>
      </c>
      <c r="F479" s="32" t="s">
        <v>1127</v>
      </c>
      <c r="G479" s="32" t="s">
        <v>191</v>
      </c>
      <c r="H479" s="32" t="s">
        <v>352</v>
      </c>
      <c r="I479" s="31" t="s">
        <v>1353</v>
      </c>
      <c r="J479" s="31">
        <v>99</v>
      </c>
      <c r="K479" s="33" t="s">
        <v>708</v>
      </c>
      <c r="L479" s="33" t="s">
        <v>39</v>
      </c>
      <c r="M479" s="34" t="s">
        <v>39</v>
      </c>
      <c r="N479" s="34" t="s">
        <v>1711</v>
      </c>
      <c r="O479" s="35">
        <v>1</v>
      </c>
      <c r="P479" s="35">
        <v>1</v>
      </c>
      <c r="Q479" s="32"/>
      <c r="S479" s="1">
        <f t="shared" si="151"/>
        <v>0</v>
      </c>
      <c r="T479" s="1">
        <f t="shared" si="152"/>
        <v>0</v>
      </c>
      <c r="U479" s="1">
        <f t="shared" si="153"/>
        <v>0</v>
      </c>
      <c r="V479" s="1">
        <f t="shared" si="154"/>
        <v>0</v>
      </c>
      <c r="W479" s="1">
        <f t="shared" si="155"/>
        <v>0</v>
      </c>
      <c r="X479" s="1">
        <f t="shared" si="156"/>
        <v>0</v>
      </c>
      <c r="Y479" s="1">
        <f t="shared" si="157"/>
        <v>0</v>
      </c>
      <c r="Z479" s="1">
        <f t="shared" si="158"/>
        <v>0</v>
      </c>
      <c r="AA479" s="1">
        <f t="shared" si="159"/>
        <v>0</v>
      </c>
      <c r="AB479" s="1">
        <f t="shared" si="160"/>
        <v>0</v>
      </c>
      <c r="AD479" s="1">
        <f t="shared" si="161"/>
        <v>1</v>
      </c>
      <c r="AE479" s="1">
        <f t="shared" si="162"/>
        <v>0</v>
      </c>
      <c r="AF479" s="1">
        <f t="shared" si="147"/>
        <v>1</v>
      </c>
      <c r="AG479" s="1">
        <f t="shared" si="148"/>
        <v>0</v>
      </c>
      <c r="AH479" s="1">
        <f t="shared" si="149"/>
        <v>1</v>
      </c>
      <c r="AI479" s="1">
        <f t="shared" si="150"/>
        <v>0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585</v>
      </c>
      <c r="E480" s="32" t="s">
        <v>1321</v>
      </c>
      <c r="F480" s="32" t="s">
        <v>672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709</v>
      </c>
      <c r="L480" s="33" t="s">
        <v>1695</v>
      </c>
      <c r="M480" s="34" t="s">
        <v>1423</v>
      </c>
      <c r="N480" s="34" t="s">
        <v>1732</v>
      </c>
      <c r="O480" s="35">
        <v>1</v>
      </c>
      <c r="P480" s="35"/>
      <c r="Q480" s="32"/>
      <c r="S480" s="1">
        <f t="shared" si="151"/>
        <v>1</v>
      </c>
      <c r="T480" s="1">
        <f t="shared" si="152"/>
        <v>0</v>
      </c>
      <c r="U480" s="1">
        <f t="shared" si="153"/>
        <v>0</v>
      </c>
      <c r="V480" s="1">
        <f t="shared" si="154"/>
        <v>0</v>
      </c>
      <c r="W480" s="1">
        <f t="shared" si="155"/>
        <v>0</v>
      </c>
      <c r="X480" s="1">
        <f t="shared" si="156"/>
        <v>0</v>
      </c>
      <c r="Y480" s="1">
        <f t="shared" si="157"/>
        <v>0</v>
      </c>
      <c r="Z480" s="1">
        <f t="shared" si="158"/>
        <v>0</v>
      </c>
      <c r="AA480" s="1">
        <f t="shared" si="159"/>
        <v>0</v>
      </c>
      <c r="AB480" s="1">
        <f t="shared" si="160"/>
        <v>0</v>
      </c>
      <c r="AD480" s="1">
        <f t="shared" si="161"/>
        <v>0</v>
      </c>
      <c r="AE480" s="1">
        <f t="shared" si="162"/>
        <v>1</v>
      </c>
      <c r="AF480" s="1">
        <f t="shared" si="147"/>
        <v>0</v>
      </c>
      <c r="AG480" s="1">
        <f t="shared" si="148"/>
        <v>1</v>
      </c>
      <c r="AH480" s="1">
        <f t="shared" si="149"/>
        <v>0</v>
      </c>
      <c r="AI480" s="1">
        <f t="shared" si="150"/>
        <v>1</v>
      </c>
    </row>
    <row r="481" spans="1:35" s="1" customFormat="1" ht="14.25" customHeight="1" x14ac:dyDescent="0.25">
      <c r="A481" s="31">
        <v>1</v>
      </c>
      <c r="B481" s="31">
        <v>2</v>
      </c>
      <c r="C481" s="31">
        <v>7</v>
      </c>
      <c r="D481" s="32" t="s">
        <v>585</v>
      </c>
      <c r="E481" s="32" t="s">
        <v>1321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709</v>
      </c>
      <c r="L481" s="33" t="s">
        <v>1695</v>
      </c>
      <c r="M481" s="34" t="s">
        <v>1423</v>
      </c>
      <c r="N481" s="34" t="s">
        <v>1732</v>
      </c>
      <c r="O481" s="35">
        <v>1</v>
      </c>
      <c r="P481" s="35"/>
      <c r="Q481" s="36" t="s">
        <v>1895</v>
      </c>
      <c r="S481" s="1">
        <f t="shared" si="151"/>
        <v>1</v>
      </c>
      <c r="T481" s="1">
        <f t="shared" si="152"/>
        <v>0</v>
      </c>
      <c r="U481" s="1">
        <f t="shared" si="153"/>
        <v>0</v>
      </c>
      <c r="V481" s="1">
        <f t="shared" si="154"/>
        <v>0</v>
      </c>
      <c r="W481" s="1">
        <f t="shared" si="155"/>
        <v>0</v>
      </c>
      <c r="X481" s="1">
        <f t="shared" si="156"/>
        <v>0</v>
      </c>
      <c r="Y481" s="1">
        <f t="shared" si="157"/>
        <v>0</v>
      </c>
      <c r="Z481" s="1">
        <f t="shared" si="158"/>
        <v>0</v>
      </c>
      <c r="AA481" s="1">
        <f t="shared" si="159"/>
        <v>0</v>
      </c>
      <c r="AB481" s="1">
        <f t="shared" si="160"/>
        <v>0</v>
      </c>
      <c r="AD481" s="1">
        <f t="shared" si="161"/>
        <v>0</v>
      </c>
      <c r="AE481" s="1">
        <f t="shared" si="162"/>
        <v>1</v>
      </c>
      <c r="AF481" s="1">
        <f t="shared" si="147"/>
        <v>0</v>
      </c>
      <c r="AG481" s="1">
        <f t="shared" si="148"/>
        <v>0</v>
      </c>
      <c r="AH481" s="1">
        <f t="shared" si="149"/>
        <v>0</v>
      </c>
      <c r="AI481" s="1">
        <f t="shared" si="150"/>
        <v>0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1314</v>
      </c>
      <c r="E482" s="32" t="s">
        <v>155</v>
      </c>
      <c r="F482" s="32" t="s">
        <v>1340</v>
      </c>
      <c r="G482" s="32" t="s">
        <v>257</v>
      </c>
      <c r="H482" s="32" t="s">
        <v>352</v>
      </c>
      <c r="I482" s="31" t="s">
        <v>1223</v>
      </c>
      <c r="J482" s="31">
        <v>8</v>
      </c>
      <c r="K482" s="33" t="s">
        <v>942</v>
      </c>
      <c r="L482" s="33" t="s">
        <v>718</v>
      </c>
      <c r="M482" s="34" t="s">
        <v>728</v>
      </c>
      <c r="N482" s="34" t="s">
        <v>1732</v>
      </c>
      <c r="O482" s="35">
        <v>1</v>
      </c>
      <c r="P482" s="35"/>
      <c r="Q482" s="32"/>
      <c r="S482" s="1">
        <f t="shared" si="151"/>
        <v>0</v>
      </c>
      <c r="T482" s="1">
        <f t="shared" si="152"/>
        <v>0</v>
      </c>
      <c r="U482" s="1">
        <f t="shared" si="153"/>
        <v>0</v>
      </c>
      <c r="V482" s="1">
        <f t="shared" si="154"/>
        <v>0</v>
      </c>
      <c r="W482" s="1">
        <f t="shared" si="155"/>
        <v>0</v>
      </c>
      <c r="X482" s="1">
        <f t="shared" si="156"/>
        <v>0</v>
      </c>
      <c r="Y482" s="1">
        <f t="shared" si="157"/>
        <v>0</v>
      </c>
      <c r="Z482" s="1">
        <f t="shared" si="158"/>
        <v>1</v>
      </c>
      <c r="AA482" s="1">
        <f t="shared" si="159"/>
        <v>0</v>
      </c>
      <c r="AB482" s="1">
        <f t="shared" si="160"/>
        <v>0</v>
      </c>
      <c r="AD482" s="1">
        <f t="shared" si="161"/>
        <v>0</v>
      </c>
      <c r="AE482" s="1">
        <f t="shared" si="162"/>
        <v>1</v>
      </c>
      <c r="AF482" s="1">
        <f t="shared" si="147"/>
        <v>0</v>
      </c>
      <c r="AG482" s="1">
        <f t="shared" si="148"/>
        <v>1</v>
      </c>
      <c r="AH482" s="1">
        <f t="shared" si="149"/>
        <v>0</v>
      </c>
      <c r="AI482" s="1">
        <f t="shared" si="150"/>
        <v>1</v>
      </c>
    </row>
    <row r="483" spans="1:35" s="1" customFormat="1" ht="14.25" customHeight="1" x14ac:dyDescent="0.25">
      <c r="A483" s="31">
        <v>1</v>
      </c>
      <c r="B483" s="31">
        <v>2</v>
      </c>
      <c r="C483" s="31">
        <v>7</v>
      </c>
      <c r="D483" s="32" t="s">
        <v>1314</v>
      </c>
      <c r="E483" s="32" t="s">
        <v>155</v>
      </c>
      <c r="F483" s="32" t="s">
        <v>1202</v>
      </c>
      <c r="G483" s="32" t="s">
        <v>217</v>
      </c>
      <c r="H483" s="32" t="s">
        <v>352</v>
      </c>
      <c r="I483" s="31" t="s">
        <v>1223</v>
      </c>
      <c r="J483" s="31">
        <v>99</v>
      </c>
      <c r="K483" s="33" t="s">
        <v>942</v>
      </c>
      <c r="L483" s="33" t="s">
        <v>718</v>
      </c>
      <c r="M483" s="34" t="s">
        <v>728</v>
      </c>
      <c r="N483" s="34" t="s">
        <v>1732</v>
      </c>
      <c r="O483" s="35">
        <v>1</v>
      </c>
      <c r="P483" s="35"/>
      <c r="Q483" s="32"/>
      <c r="S483" s="1">
        <f t="shared" si="151"/>
        <v>0</v>
      </c>
      <c r="T483" s="1">
        <f t="shared" si="152"/>
        <v>0</v>
      </c>
      <c r="U483" s="1">
        <f t="shared" si="153"/>
        <v>0</v>
      </c>
      <c r="V483" s="1">
        <f t="shared" si="154"/>
        <v>0</v>
      </c>
      <c r="W483" s="1">
        <f t="shared" si="155"/>
        <v>0</v>
      </c>
      <c r="X483" s="1">
        <f t="shared" si="156"/>
        <v>0</v>
      </c>
      <c r="Y483" s="1">
        <f t="shared" si="157"/>
        <v>0</v>
      </c>
      <c r="Z483" s="1">
        <f t="shared" si="158"/>
        <v>0</v>
      </c>
      <c r="AA483" s="1">
        <f t="shared" si="159"/>
        <v>0</v>
      </c>
      <c r="AB483" s="1">
        <f t="shared" si="160"/>
        <v>0</v>
      </c>
      <c r="AD483" s="1">
        <f t="shared" si="161"/>
        <v>0</v>
      </c>
      <c r="AE483" s="1">
        <f t="shared" si="162"/>
        <v>1</v>
      </c>
      <c r="AF483" s="1">
        <f t="shared" si="147"/>
        <v>0</v>
      </c>
      <c r="AG483" s="1">
        <f t="shared" si="148"/>
        <v>0</v>
      </c>
      <c r="AH483" s="1">
        <f t="shared" si="149"/>
        <v>0</v>
      </c>
      <c r="AI483" s="1">
        <f t="shared" si="150"/>
        <v>0</v>
      </c>
    </row>
    <row r="484" spans="1:35" s="1" customFormat="1" ht="14.25" customHeight="1" x14ac:dyDescent="0.25">
      <c r="A484" s="44">
        <v>0</v>
      </c>
      <c r="B484" s="44">
        <v>2</v>
      </c>
      <c r="C484" s="44">
        <v>7</v>
      </c>
      <c r="D484" s="45" t="s">
        <v>1232</v>
      </c>
      <c r="E484" s="45" t="s">
        <v>155</v>
      </c>
      <c r="F484" s="45" t="s">
        <v>1234</v>
      </c>
      <c r="G484" s="45" t="s">
        <v>219</v>
      </c>
      <c r="H484" s="45" t="s">
        <v>352</v>
      </c>
      <c r="I484" s="44" t="s">
        <v>1354</v>
      </c>
      <c r="J484" s="44">
        <v>8</v>
      </c>
      <c r="K484" s="46" t="s">
        <v>941</v>
      </c>
      <c r="L484" s="46" t="s">
        <v>718</v>
      </c>
      <c r="M484" s="47" t="s">
        <v>728</v>
      </c>
      <c r="N484" s="47" t="s">
        <v>1719</v>
      </c>
      <c r="O484" s="48"/>
      <c r="P484" s="48"/>
      <c r="Q484" s="45"/>
      <c r="S484" s="1">
        <f t="shared" si="151"/>
        <v>0</v>
      </c>
      <c r="T484" s="1">
        <f t="shared" si="152"/>
        <v>0</v>
      </c>
      <c r="U484" s="1">
        <f t="shared" si="153"/>
        <v>0</v>
      </c>
      <c r="V484" s="1">
        <f t="shared" si="154"/>
        <v>0</v>
      </c>
      <c r="W484" s="1">
        <f t="shared" si="155"/>
        <v>0</v>
      </c>
      <c r="X484" s="1">
        <f t="shared" si="156"/>
        <v>0</v>
      </c>
      <c r="Y484" s="1">
        <f t="shared" si="157"/>
        <v>0</v>
      </c>
      <c r="Z484" s="1">
        <f t="shared" si="158"/>
        <v>1</v>
      </c>
      <c r="AA484" s="1">
        <f t="shared" si="159"/>
        <v>0</v>
      </c>
      <c r="AB484" s="1">
        <f t="shared" si="160"/>
        <v>0</v>
      </c>
      <c r="AD484" s="1">
        <f t="shared" si="161"/>
        <v>0</v>
      </c>
      <c r="AE484" s="1">
        <f t="shared" si="162"/>
        <v>0</v>
      </c>
      <c r="AF484" s="1">
        <f t="shared" si="147"/>
        <v>0</v>
      </c>
      <c r="AG484" s="1">
        <f t="shared" si="148"/>
        <v>0</v>
      </c>
      <c r="AH484" s="1">
        <f t="shared" si="149"/>
        <v>0</v>
      </c>
      <c r="AI484" s="1">
        <f t="shared" si="150"/>
        <v>1</v>
      </c>
    </row>
    <row r="485" spans="1:35" s="1" customFormat="1" ht="14.25" customHeight="1" x14ac:dyDescent="0.25">
      <c r="A485" s="44">
        <v>1</v>
      </c>
      <c r="B485" s="44">
        <v>2</v>
      </c>
      <c r="C485" s="44">
        <v>7</v>
      </c>
      <c r="D485" s="45" t="s">
        <v>1232</v>
      </c>
      <c r="E485" s="45" t="s">
        <v>155</v>
      </c>
      <c r="F485" s="45" t="s">
        <v>1341</v>
      </c>
      <c r="G485" s="45" t="s">
        <v>39</v>
      </c>
      <c r="H485" s="45" t="s">
        <v>353</v>
      </c>
      <c r="I485" s="44" t="s">
        <v>1233</v>
      </c>
      <c r="J485" s="44">
        <v>99</v>
      </c>
      <c r="K485" s="46" t="s">
        <v>941</v>
      </c>
      <c r="L485" s="46" t="s">
        <v>718</v>
      </c>
      <c r="M485" s="47" t="s">
        <v>728</v>
      </c>
      <c r="N485" s="47" t="s">
        <v>1719</v>
      </c>
      <c r="O485" s="48"/>
      <c r="P485" s="48"/>
      <c r="Q485" s="65" t="s">
        <v>1888</v>
      </c>
      <c r="S485" s="1">
        <f t="shared" si="151"/>
        <v>0</v>
      </c>
      <c r="T485" s="1">
        <f t="shared" si="152"/>
        <v>0</v>
      </c>
      <c r="U485" s="1">
        <f t="shared" si="153"/>
        <v>0</v>
      </c>
      <c r="V485" s="1">
        <f t="shared" si="154"/>
        <v>0</v>
      </c>
      <c r="W485" s="1">
        <f t="shared" si="155"/>
        <v>0</v>
      </c>
      <c r="X485" s="1">
        <f t="shared" si="156"/>
        <v>0</v>
      </c>
      <c r="Y485" s="1">
        <f t="shared" si="157"/>
        <v>0</v>
      </c>
      <c r="Z485" s="1">
        <f t="shared" si="158"/>
        <v>0</v>
      </c>
      <c r="AA485" s="1">
        <f t="shared" si="159"/>
        <v>0</v>
      </c>
      <c r="AB485" s="1">
        <f t="shared" si="160"/>
        <v>0</v>
      </c>
      <c r="AD485" s="1">
        <f t="shared" si="161"/>
        <v>0</v>
      </c>
      <c r="AE485" s="1">
        <f t="shared" si="162"/>
        <v>0</v>
      </c>
      <c r="AF485" s="1">
        <f t="shared" si="147"/>
        <v>0</v>
      </c>
      <c r="AG485" s="1">
        <f t="shared" si="148"/>
        <v>0</v>
      </c>
      <c r="AH485" s="1">
        <f t="shared" si="149"/>
        <v>0</v>
      </c>
      <c r="AI485" s="1">
        <f t="shared" si="150"/>
        <v>0</v>
      </c>
    </row>
    <row r="486" spans="1:35" s="1" customFormat="1" ht="14.25" customHeight="1" x14ac:dyDescent="0.25">
      <c r="A486" s="44">
        <v>1</v>
      </c>
      <c r="B486" s="44">
        <v>2</v>
      </c>
      <c r="C486" s="44">
        <v>7</v>
      </c>
      <c r="D486" s="45" t="s">
        <v>1232</v>
      </c>
      <c r="E486" s="45" t="s">
        <v>155</v>
      </c>
      <c r="F486" s="45" t="s">
        <v>1507</v>
      </c>
      <c r="G486" s="45" t="s">
        <v>234</v>
      </c>
      <c r="H486" s="45" t="s">
        <v>352</v>
      </c>
      <c r="I486" s="44" t="s">
        <v>1675</v>
      </c>
      <c r="J486" s="44">
        <v>99</v>
      </c>
      <c r="K486" s="46" t="s">
        <v>941</v>
      </c>
      <c r="L486" s="46" t="s">
        <v>718</v>
      </c>
      <c r="M486" s="47" t="s">
        <v>728</v>
      </c>
      <c r="N486" s="47" t="s">
        <v>1719</v>
      </c>
      <c r="O486" s="48"/>
      <c r="P486" s="48"/>
      <c r="Q486" s="45"/>
      <c r="S486" s="1">
        <f t="shared" si="151"/>
        <v>0</v>
      </c>
      <c r="T486" s="1">
        <f t="shared" si="152"/>
        <v>0</v>
      </c>
      <c r="U486" s="1">
        <f t="shared" si="153"/>
        <v>0</v>
      </c>
      <c r="V486" s="1">
        <f t="shared" si="154"/>
        <v>0</v>
      </c>
      <c r="W486" s="1">
        <f t="shared" si="155"/>
        <v>0</v>
      </c>
      <c r="X486" s="1">
        <f t="shared" si="156"/>
        <v>0</v>
      </c>
      <c r="Y486" s="1">
        <f t="shared" si="157"/>
        <v>0</v>
      </c>
      <c r="Z486" s="1">
        <f t="shared" si="158"/>
        <v>0</v>
      </c>
      <c r="AA486" s="1">
        <f t="shared" si="159"/>
        <v>0</v>
      </c>
      <c r="AB486" s="1">
        <f t="shared" si="160"/>
        <v>0</v>
      </c>
      <c r="AD486" s="1">
        <f t="shared" si="161"/>
        <v>0</v>
      </c>
      <c r="AE486" s="1">
        <f t="shared" si="162"/>
        <v>0</v>
      </c>
      <c r="AF486" s="1">
        <f t="shared" si="147"/>
        <v>0</v>
      </c>
      <c r="AG486" s="1">
        <f t="shared" si="148"/>
        <v>0</v>
      </c>
      <c r="AH486" s="1">
        <f t="shared" si="149"/>
        <v>0</v>
      </c>
      <c r="AI486" s="1">
        <f t="shared" si="150"/>
        <v>0</v>
      </c>
    </row>
    <row r="487" spans="1:35" s="1" customFormat="1" ht="14.25" customHeight="1" x14ac:dyDescent="0.25">
      <c r="A487" s="31">
        <v>0</v>
      </c>
      <c r="B487" s="31">
        <v>2</v>
      </c>
      <c r="C487" s="31">
        <v>7</v>
      </c>
      <c r="D487" s="32" t="s">
        <v>1834</v>
      </c>
      <c r="E487" s="32" t="s">
        <v>1835</v>
      </c>
      <c r="F487" s="32" t="s">
        <v>1836</v>
      </c>
      <c r="G487" s="32" t="s">
        <v>264</v>
      </c>
      <c r="H487" s="32" t="s">
        <v>352</v>
      </c>
      <c r="I487" s="31" t="s">
        <v>1837</v>
      </c>
      <c r="J487" s="31">
        <v>99</v>
      </c>
      <c r="K487" s="33" t="s">
        <v>699</v>
      </c>
      <c r="L487" s="33"/>
      <c r="M487" s="34"/>
      <c r="N487" s="34" t="s">
        <v>1711</v>
      </c>
      <c r="O487" s="35">
        <v>1</v>
      </c>
      <c r="P487" s="35">
        <v>1</v>
      </c>
      <c r="Q487" s="32"/>
      <c r="S487" s="1">
        <f t="shared" si="151"/>
        <v>0</v>
      </c>
      <c r="T487" s="1">
        <f t="shared" si="152"/>
        <v>0</v>
      </c>
      <c r="U487" s="1">
        <f t="shared" si="153"/>
        <v>0</v>
      </c>
      <c r="V487" s="1">
        <f t="shared" si="154"/>
        <v>0</v>
      </c>
      <c r="W487" s="1">
        <f t="shared" si="155"/>
        <v>0</v>
      </c>
      <c r="X487" s="1">
        <f t="shared" si="156"/>
        <v>0</v>
      </c>
      <c r="Y487" s="1">
        <f t="shared" si="157"/>
        <v>0</v>
      </c>
      <c r="Z487" s="1">
        <f t="shared" si="158"/>
        <v>0</v>
      </c>
      <c r="AA487" s="1">
        <f t="shared" si="159"/>
        <v>0</v>
      </c>
      <c r="AB487" s="1">
        <f t="shared" si="160"/>
        <v>0</v>
      </c>
      <c r="AD487" s="1">
        <f t="shared" si="161"/>
        <v>1</v>
      </c>
      <c r="AE487" s="1">
        <f t="shared" si="162"/>
        <v>0</v>
      </c>
      <c r="AF487" s="1">
        <f t="shared" si="147"/>
        <v>1</v>
      </c>
      <c r="AG487" s="1">
        <f t="shared" si="148"/>
        <v>0</v>
      </c>
      <c r="AH487" s="1">
        <f t="shared" si="149"/>
        <v>1</v>
      </c>
      <c r="AI487" s="1">
        <f t="shared" si="150"/>
        <v>0</v>
      </c>
    </row>
    <row r="488" spans="1:35" s="1" customFormat="1" ht="14.25" customHeight="1" x14ac:dyDescent="0.25">
      <c r="A488" s="44">
        <v>0</v>
      </c>
      <c r="B488" s="44">
        <v>2</v>
      </c>
      <c r="C488" s="44">
        <v>7</v>
      </c>
      <c r="D488" s="45" t="s">
        <v>1227</v>
      </c>
      <c r="E488" s="45" t="s">
        <v>28</v>
      </c>
      <c r="F488" s="45" t="s">
        <v>1220</v>
      </c>
      <c r="G488" s="45" t="s">
        <v>1221</v>
      </c>
      <c r="H488" s="45" t="s">
        <v>352</v>
      </c>
      <c r="I488" s="44" t="s">
        <v>1222</v>
      </c>
      <c r="J488" s="44">
        <v>99</v>
      </c>
      <c r="K488" s="46" t="s">
        <v>708</v>
      </c>
      <c r="L488" s="46" t="s">
        <v>709</v>
      </c>
      <c r="M488" s="47" t="s">
        <v>727</v>
      </c>
      <c r="N488" s="47" t="s">
        <v>1719</v>
      </c>
      <c r="O488" s="48"/>
      <c r="P488" s="48"/>
      <c r="Q488" s="45"/>
      <c r="S488" s="1">
        <f t="shared" si="151"/>
        <v>0</v>
      </c>
      <c r="T488" s="1">
        <f t="shared" si="152"/>
        <v>0</v>
      </c>
      <c r="U488" s="1">
        <f t="shared" si="153"/>
        <v>0</v>
      </c>
      <c r="V488" s="1">
        <f t="shared" si="154"/>
        <v>0</v>
      </c>
      <c r="W488" s="1">
        <f t="shared" si="155"/>
        <v>0</v>
      </c>
      <c r="X488" s="1">
        <f t="shared" si="156"/>
        <v>0</v>
      </c>
      <c r="Y488" s="1">
        <f t="shared" si="157"/>
        <v>0</v>
      </c>
      <c r="Z488" s="1">
        <f t="shared" si="158"/>
        <v>0</v>
      </c>
      <c r="AA488" s="1">
        <f t="shared" si="159"/>
        <v>0</v>
      </c>
      <c r="AB488" s="1">
        <f t="shared" si="160"/>
        <v>0</v>
      </c>
      <c r="AD488" s="1">
        <f t="shared" si="161"/>
        <v>0</v>
      </c>
      <c r="AE488" s="1">
        <f t="shared" si="162"/>
        <v>0</v>
      </c>
      <c r="AF488" s="1">
        <f t="shared" si="147"/>
        <v>0</v>
      </c>
      <c r="AG488" s="1">
        <f t="shared" si="148"/>
        <v>0</v>
      </c>
      <c r="AH488" s="1">
        <f t="shared" si="149"/>
        <v>0</v>
      </c>
      <c r="AI488" s="1">
        <f t="shared" si="150"/>
        <v>1</v>
      </c>
    </row>
    <row r="489" spans="1:35" s="1" customFormat="1" ht="14.25" customHeight="1" x14ac:dyDescent="0.25">
      <c r="A489" s="44">
        <v>1</v>
      </c>
      <c r="B489" s="44">
        <v>2</v>
      </c>
      <c r="C489" s="44">
        <v>7</v>
      </c>
      <c r="D489" s="45" t="s">
        <v>1224</v>
      </c>
      <c r="E489" s="45" t="s">
        <v>28</v>
      </c>
      <c r="F489" s="45" t="s">
        <v>1225</v>
      </c>
      <c r="G489" s="45" t="s">
        <v>519</v>
      </c>
      <c r="H489" s="45" t="s">
        <v>352</v>
      </c>
      <c r="I489" s="44" t="s">
        <v>1226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1719</v>
      </c>
      <c r="O489" s="48"/>
      <c r="P489" s="48"/>
      <c r="Q489" s="45"/>
      <c r="S489" s="1">
        <f t="shared" si="151"/>
        <v>0</v>
      </c>
      <c r="T489" s="1">
        <f t="shared" si="152"/>
        <v>0</v>
      </c>
      <c r="U489" s="1">
        <f t="shared" si="153"/>
        <v>0</v>
      </c>
      <c r="V489" s="1">
        <f t="shared" si="154"/>
        <v>0</v>
      </c>
      <c r="W489" s="1">
        <f t="shared" si="155"/>
        <v>0</v>
      </c>
      <c r="X489" s="1">
        <f t="shared" si="156"/>
        <v>0</v>
      </c>
      <c r="Y489" s="1">
        <f t="shared" si="157"/>
        <v>0</v>
      </c>
      <c r="Z489" s="1">
        <f t="shared" si="158"/>
        <v>0</v>
      </c>
      <c r="AA489" s="1">
        <f t="shared" si="159"/>
        <v>0</v>
      </c>
      <c r="AB489" s="1">
        <f t="shared" si="160"/>
        <v>0</v>
      </c>
      <c r="AD489" s="1">
        <f t="shared" si="161"/>
        <v>0</v>
      </c>
      <c r="AE489" s="1">
        <f t="shared" si="162"/>
        <v>0</v>
      </c>
      <c r="AF489" s="1">
        <f t="shared" si="147"/>
        <v>0</v>
      </c>
      <c r="AG489" s="1">
        <f t="shared" si="148"/>
        <v>0</v>
      </c>
      <c r="AH489" s="1">
        <f t="shared" si="149"/>
        <v>0</v>
      </c>
      <c r="AI489" s="1">
        <f t="shared" si="150"/>
        <v>0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1830</v>
      </c>
      <c r="E490" s="32" t="s">
        <v>1152</v>
      </c>
      <c r="F490" s="32" t="s">
        <v>1831</v>
      </c>
      <c r="G490" s="32"/>
      <c r="H490" s="32" t="s">
        <v>352</v>
      </c>
      <c r="I490" s="31" t="s">
        <v>1832</v>
      </c>
      <c r="J490" s="31">
        <v>6</v>
      </c>
      <c r="K490" s="33" t="s">
        <v>699</v>
      </c>
      <c r="L490" s="33"/>
      <c r="M490" s="34"/>
      <c r="N490" s="34" t="s">
        <v>1732</v>
      </c>
      <c r="O490" s="35">
        <v>1</v>
      </c>
      <c r="P490" s="35"/>
      <c r="Q490" s="32"/>
      <c r="S490" s="1">
        <f t="shared" si="151"/>
        <v>0</v>
      </c>
      <c r="T490" s="1">
        <f t="shared" si="152"/>
        <v>0</v>
      </c>
      <c r="U490" s="1">
        <f t="shared" si="153"/>
        <v>0</v>
      </c>
      <c r="V490" s="1">
        <f t="shared" si="154"/>
        <v>0</v>
      </c>
      <c r="W490" s="1">
        <f t="shared" si="155"/>
        <v>0</v>
      </c>
      <c r="X490" s="1">
        <f t="shared" si="156"/>
        <v>1</v>
      </c>
      <c r="Y490" s="1">
        <f t="shared" si="157"/>
        <v>0</v>
      </c>
      <c r="Z490" s="1">
        <f t="shared" si="158"/>
        <v>0</v>
      </c>
      <c r="AA490" s="1">
        <f t="shared" si="159"/>
        <v>0</v>
      </c>
      <c r="AB490" s="1">
        <f t="shared" si="160"/>
        <v>0</v>
      </c>
      <c r="AD490" s="1">
        <f t="shared" si="161"/>
        <v>0</v>
      </c>
      <c r="AE490" s="1">
        <f t="shared" si="162"/>
        <v>1</v>
      </c>
      <c r="AF490" s="1">
        <f t="shared" si="147"/>
        <v>0</v>
      </c>
      <c r="AG490" s="1">
        <f t="shared" si="148"/>
        <v>1</v>
      </c>
      <c r="AH490" s="1">
        <f t="shared" si="149"/>
        <v>0</v>
      </c>
      <c r="AI490" s="1">
        <f t="shared" si="150"/>
        <v>1</v>
      </c>
    </row>
    <row r="491" spans="1:35" s="1" customFormat="1" ht="14.25" customHeight="1" x14ac:dyDescent="0.25">
      <c r="A491" s="44">
        <v>0</v>
      </c>
      <c r="B491" s="44">
        <v>2</v>
      </c>
      <c r="C491" s="44">
        <v>7</v>
      </c>
      <c r="D491" s="45" t="s">
        <v>1442</v>
      </c>
      <c r="E491" s="45" t="s">
        <v>28</v>
      </c>
      <c r="F491" s="45" t="s">
        <v>1443</v>
      </c>
      <c r="G491" s="45" t="s">
        <v>1444</v>
      </c>
      <c r="H491" s="45" t="s">
        <v>352</v>
      </c>
      <c r="I491" s="44" t="s">
        <v>1445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1719</v>
      </c>
      <c r="O491" s="48"/>
      <c r="P491" s="48"/>
      <c r="Q491" s="45" t="s">
        <v>1915</v>
      </c>
      <c r="S491" s="1">
        <f t="shared" si="151"/>
        <v>0</v>
      </c>
      <c r="T491" s="1">
        <f t="shared" si="152"/>
        <v>0</v>
      </c>
      <c r="U491" s="1">
        <f t="shared" si="153"/>
        <v>0</v>
      </c>
      <c r="V491" s="1">
        <f t="shared" si="154"/>
        <v>0</v>
      </c>
      <c r="W491" s="1">
        <f t="shared" si="155"/>
        <v>0</v>
      </c>
      <c r="X491" s="1">
        <f t="shared" si="156"/>
        <v>0</v>
      </c>
      <c r="Y491" s="1">
        <f t="shared" si="157"/>
        <v>0</v>
      </c>
      <c r="Z491" s="1">
        <f t="shared" si="158"/>
        <v>0</v>
      </c>
      <c r="AA491" s="1">
        <f t="shared" si="159"/>
        <v>0</v>
      </c>
      <c r="AB491" s="1">
        <f t="shared" si="160"/>
        <v>0</v>
      </c>
      <c r="AD491" s="1">
        <f t="shared" si="161"/>
        <v>0</v>
      </c>
      <c r="AE491" s="1">
        <f t="shared" si="162"/>
        <v>0</v>
      </c>
      <c r="AF491" s="1">
        <f t="shared" si="147"/>
        <v>0</v>
      </c>
      <c r="AG491" s="1">
        <f t="shared" si="148"/>
        <v>0</v>
      </c>
      <c r="AH491" s="1">
        <f t="shared" si="149"/>
        <v>0</v>
      </c>
      <c r="AI491" s="1">
        <f t="shared" si="150"/>
        <v>1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571</v>
      </c>
      <c r="G492" s="32" t="s">
        <v>234</v>
      </c>
      <c r="H492" s="32" t="s">
        <v>352</v>
      </c>
      <c r="I492" s="31" t="s">
        <v>578</v>
      </c>
      <c r="J492" s="31">
        <v>99</v>
      </c>
      <c r="K492" s="33" t="s">
        <v>708</v>
      </c>
      <c r="L492" s="33" t="s">
        <v>725</v>
      </c>
      <c r="M492" s="34" t="s">
        <v>1424</v>
      </c>
      <c r="N492" s="34" t="s">
        <v>1732</v>
      </c>
      <c r="O492" s="35">
        <v>1</v>
      </c>
      <c r="P492" s="35"/>
      <c r="Q492" s="32"/>
      <c r="S492" s="1">
        <f t="shared" si="151"/>
        <v>0</v>
      </c>
      <c r="T492" s="1">
        <f t="shared" si="152"/>
        <v>0</v>
      </c>
      <c r="U492" s="1">
        <f t="shared" si="153"/>
        <v>0</v>
      </c>
      <c r="V492" s="1">
        <f t="shared" si="154"/>
        <v>0</v>
      </c>
      <c r="W492" s="1">
        <f t="shared" si="155"/>
        <v>0</v>
      </c>
      <c r="X492" s="1">
        <f t="shared" si="156"/>
        <v>0</v>
      </c>
      <c r="Y492" s="1">
        <f t="shared" si="157"/>
        <v>0</v>
      </c>
      <c r="Z492" s="1">
        <f t="shared" si="158"/>
        <v>0</v>
      </c>
      <c r="AA492" s="1">
        <f t="shared" si="159"/>
        <v>0</v>
      </c>
      <c r="AB492" s="1">
        <f t="shared" si="160"/>
        <v>0</v>
      </c>
      <c r="AD492" s="1">
        <f t="shared" si="161"/>
        <v>0</v>
      </c>
      <c r="AE492" s="1">
        <f t="shared" si="162"/>
        <v>1</v>
      </c>
      <c r="AF492" s="1">
        <f t="shared" si="147"/>
        <v>0</v>
      </c>
      <c r="AG492" s="1">
        <f t="shared" si="148"/>
        <v>1</v>
      </c>
      <c r="AH492" s="1">
        <f t="shared" si="149"/>
        <v>0</v>
      </c>
      <c r="AI492" s="1">
        <f t="shared" si="150"/>
        <v>1</v>
      </c>
    </row>
    <row r="493" spans="1:35" s="1" customFormat="1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708</v>
      </c>
      <c r="L493" s="33" t="s">
        <v>725</v>
      </c>
      <c r="M493" s="34" t="s">
        <v>1424</v>
      </c>
      <c r="N493" s="34" t="s">
        <v>1732</v>
      </c>
      <c r="O493" s="35">
        <v>1</v>
      </c>
      <c r="P493" s="35"/>
      <c r="Q493" s="32"/>
      <c r="S493" s="1">
        <f t="shared" si="151"/>
        <v>0</v>
      </c>
      <c r="T493" s="1">
        <f t="shared" si="152"/>
        <v>0</v>
      </c>
      <c r="U493" s="1">
        <f t="shared" si="153"/>
        <v>0</v>
      </c>
      <c r="V493" s="1">
        <f t="shared" si="154"/>
        <v>0</v>
      </c>
      <c r="W493" s="1">
        <f t="shared" si="155"/>
        <v>0</v>
      </c>
      <c r="X493" s="1">
        <f t="shared" si="156"/>
        <v>0</v>
      </c>
      <c r="Y493" s="1">
        <f t="shared" si="157"/>
        <v>0</v>
      </c>
      <c r="Z493" s="1">
        <f t="shared" si="158"/>
        <v>0</v>
      </c>
      <c r="AA493" s="1">
        <f t="shared" si="159"/>
        <v>0</v>
      </c>
      <c r="AB493" s="1">
        <f t="shared" si="160"/>
        <v>1</v>
      </c>
      <c r="AD493" s="1">
        <f t="shared" si="161"/>
        <v>0</v>
      </c>
      <c r="AE493" s="1">
        <f t="shared" si="162"/>
        <v>1</v>
      </c>
      <c r="AF493" s="1">
        <f t="shared" si="147"/>
        <v>0</v>
      </c>
      <c r="AG493" s="1">
        <f t="shared" si="148"/>
        <v>0</v>
      </c>
      <c r="AH493" s="1">
        <f t="shared" si="149"/>
        <v>0</v>
      </c>
      <c r="AI493" s="1">
        <f t="shared" si="150"/>
        <v>0</v>
      </c>
    </row>
    <row r="494" spans="1:35" s="1" customFormat="1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708</v>
      </c>
      <c r="L494" s="33" t="s">
        <v>725</v>
      </c>
      <c r="M494" s="34" t="s">
        <v>1424</v>
      </c>
      <c r="N494" s="34" t="s">
        <v>1732</v>
      </c>
      <c r="O494" s="35">
        <v>1</v>
      </c>
      <c r="P494" s="35"/>
      <c r="Q494" s="32"/>
      <c r="S494" s="1">
        <f t="shared" si="151"/>
        <v>0</v>
      </c>
      <c r="T494" s="1">
        <f t="shared" si="152"/>
        <v>0</v>
      </c>
      <c r="U494" s="1">
        <f t="shared" si="153"/>
        <v>0</v>
      </c>
      <c r="V494" s="1">
        <f t="shared" si="154"/>
        <v>0</v>
      </c>
      <c r="W494" s="1">
        <f t="shared" si="155"/>
        <v>1</v>
      </c>
      <c r="X494" s="1">
        <f t="shared" si="156"/>
        <v>0</v>
      </c>
      <c r="Y494" s="1">
        <f t="shared" si="157"/>
        <v>0</v>
      </c>
      <c r="Z494" s="1">
        <f t="shared" si="158"/>
        <v>0</v>
      </c>
      <c r="AA494" s="1">
        <f t="shared" si="159"/>
        <v>0</v>
      </c>
      <c r="AB494" s="1">
        <f t="shared" si="160"/>
        <v>0</v>
      </c>
      <c r="AD494" s="1">
        <f t="shared" si="161"/>
        <v>0</v>
      </c>
      <c r="AE494" s="1">
        <f t="shared" si="162"/>
        <v>1</v>
      </c>
      <c r="AF494" s="1">
        <f t="shared" si="147"/>
        <v>0</v>
      </c>
      <c r="AG494" s="1">
        <f t="shared" si="148"/>
        <v>0</v>
      </c>
      <c r="AH494" s="1">
        <f t="shared" si="149"/>
        <v>0</v>
      </c>
      <c r="AI494" s="1">
        <f t="shared" si="150"/>
        <v>0</v>
      </c>
    </row>
    <row r="495" spans="1:35" s="1" customFormat="1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708</v>
      </c>
      <c r="L495" s="33" t="s">
        <v>725</v>
      </c>
      <c r="M495" s="34" t="s">
        <v>1424</v>
      </c>
      <c r="N495" s="34" t="s">
        <v>1732</v>
      </c>
      <c r="O495" s="35">
        <v>1</v>
      </c>
      <c r="P495" s="35"/>
      <c r="Q495" s="32"/>
      <c r="S495" s="1">
        <f t="shared" si="151"/>
        <v>0</v>
      </c>
      <c r="T495" s="1">
        <f t="shared" si="152"/>
        <v>0</v>
      </c>
      <c r="U495" s="1">
        <f t="shared" si="153"/>
        <v>0</v>
      </c>
      <c r="V495" s="1">
        <f t="shared" si="154"/>
        <v>0</v>
      </c>
      <c r="W495" s="1">
        <f t="shared" si="155"/>
        <v>0</v>
      </c>
      <c r="X495" s="1">
        <f t="shared" si="156"/>
        <v>0</v>
      </c>
      <c r="Y495" s="1">
        <f t="shared" si="157"/>
        <v>0</v>
      </c>
      <c r="Z495" s="1">
        <f t="shared" si="158"/>
        <v>0</v>
      </c>
      <c r="AA495" s="1">
        <f t="shared" si="159"/>
        <v>1</v>
      </c>
      <c r="AB495" s="1">
        <f t="shared" si="160"/>
        <v>0</v>
      </c>
      <c r="AD495" s="1">
        <f t="shared" si="161"/>
        <v>0</v>
      </c>
      <c r="AE495" s="1">
        <f t="shared" si="162"/>
        <v>1</v>
      </c>
      <c r="AF495" s="1">
        <f t="shared" si="147"/>
        <v>0</v>
      </c>
      <c r="AG495" s="1">
        <f t="shared" si="148"/>
        <v>0</v>
      </c>
      <c r="AH495" s="1">
        <f t="shared" si="149"/>
        <v>0</v>
      </c>
      <c r="AI495" s="1">
        <f t="shared" si="150"/>
        <v>0</v>
      </c>
    </row>
    <row r="496" spans="1:35" s="1" customFormat="1" ht="14.25" customHeight="1" x14ac:dyDescent="0.25">
      <c r="A496" s="44">
        <v>0</v>
      </c>
      <c r="B496" s="44">
        <v>2</v>
      </c>
      <c r="C496" s="44">
        <v>7</v>
      </c>
      <c r="D496" s="45" t="s">
        <v>1545</v>
      </c>
      <c r="E496" s="45" t="s">
        <v>28</v>
      </c>
      <c r="F496" s="45" t="s">
        <v>1546</v>
      </c>
      <c r="G496" s="45" t="s">
        <v>237</v>
      </c>
      <c r="H496" s="45" t="s">
        <v>352</v>
      </c>
      <c r="I496" s="44" t="s">
        <v>1679</v>
      </c>
      <c r="J496" s="44">
        <v>4</v>
      </c>
      <c r="K496" s="46" t="s">
        <v>709</v>
      </c>
      <c r="L496" s="46" t="s">
        <v>709</v>
      </c>
      <c r="M496" s="47" t="s">
        <v>727</v>
      </c>
      <c r="N496" s="47" t="s">
        <v>1719</v>
      </c>
      <c r="O496" s="48"/>
      <c r="P496" s="48"/>
      <c r="Q496" s="45"/>
      <c r="S496" s="1">
        <f t="shared" si="151"/>
        <v>0</v>
      </c>
      <c r="T496" s="1">
        <f t="shared" si="152"/>
        <v>0</v>
      </c>
      <c r="U496" s="1">
        <f t="shared" si="153"/>
        <v>0</v>
      </c>
      <c r="V496" s="1">
        <f t="shared" si="154"/>
        <v>1</v>
      </c>
      <c r="W496" s="1">
        <f t="shared" si="155"/>
        <v>0</v>
      </c>
      <c r="X496" s="1">
        <f t="shared" si="156"/>
        <v>0</v>
      </c>
      <c r="Y496" s="1">
        <f t="shared" si="157"/>
        <v>0</v>
      </c>
      <c r="Z496" s="1">
        <f t="shared" si="158"/>
        <v>0</v>
      </c>
      <c r="AA496" s="1">
        <f t="shared" si="159"/>
        <v>0</v>
      </c>
      <c r="AB496" s="1">
        <f t="shared" si="160"/>
        <v>0</v>
      </c>
      <c r="AD496" s="1">
        <f t="shared" si="161"/>
        <v>0</v>
      </c>
      <c r="AE496" s="1">
        <f t="shared" si="162"/>
        <v>0</v>
      </c>
      <c r="AF496" s="1">
        <f t="shared" si="147"/>
        <v>0</v>
      </c>
      <c r="AG496" s="1">
        <f t="shared" si="148"/>
        <v>0</v>
      </c>
      <c r="AH496" s="1">
        <f t="shared" si="149"/>
        <v>0</v>
      </c>
      <c r="AI496" s="1">
        <f t="shared" si="150"/>
        <v>1</v>
      </c>
    </row>
    <row r="497" spans="1:35" s="1" customFormat="1" ht="14.25" customHeight="1" x14ac:dyDescent="0.25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709</v>
      </c>
      <c r="L497" s="46" t="s">
        <v>718</v>
      </c>
      <c r="M497" s="47" t="s">
        <v>731</v>
      </c>
      <c r="N497" s="47" t="s">
        <v>1719</v>
      </c>
      <c r="O497" s="48"/>
      <c r="P497" s="48"/>
      <c r="Q497" s="45"/>
      <c r="S497" s="1">
        <f t="shared" si="151"/>
        <v>0</v>
      </c>
      <c r="T497" s="1">
        <f t="shared" si="152"/>
        <v>1</v>
      </c>
      <c r="U497" s="1">
        <f t="shared" si="153"/>
        <v>0</v>
      </c>
      <c r="V497" s="1">
        <f t="shared" si="154"/>
        <v>0</v>
      </c>
      <c r="W497" s="1">
        <f t="shared" si="155"/>
        <v>0</v>
      </c>
      <c r="X497" s="1">
        <f t="shared" si="156"/>
        <v>0</v>
      </c>
      <c r="Y497" s="1">
        <f t="shared" si="157"/>
        <v>0</v>
      </c>
      <c r="Z497" s="1">
        <f t="shared" si="158"/>
        <v>0</v>
      </c>
      <c r="AA497" s="1">
        <f t="shared" si="159"/>
        <v>0</v>
      </c>
      <c r="AB497" s="1">
        <f t="shared" si="160"/>
        <v>0</v>
      </c>
      <c r="AD497" s="1">
        <f t="shared" si="161"/>
        <v>0</v>
      </c>
      <c r="AE497" s="1">
        <f t="shared" si="162"/>
        <v>0</v>
      </c>
      <c r="AF497" s="1">
        <f t="shared" si="147"/>
        <v>0</v>
      </c>
      <c r="AG497" s="1">
        <f t="shared" si="148"/>
        <v>0</v>
      </c>
      <c r="AH497" s="1">
        <f t="shared" si="149"/>
        <v>0</v>
      </c>
      <c r="AI497" s="1">
        <f t="shared" si="150"/>
        <v>1</v>
      </c>
    </row>
    <row r="498" spans="1:35" s="1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35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35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35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35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35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35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35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35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L789" s="10"/>
      <c r="M789" s="19"/>
      <c r="N789" s="17"/>
      <c r="Q789" s="16"/>
    </row>
    <row r="790" spans="1:17" s="1" customFormat="1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9"/>
      <c r="N790" s="17"/>
      <c r="Q790" s="16"/>
    </row>
    <row r="791" spans="1:17" s="1" customFormat="1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9"/>
      <c r="N791" s="17"/>
      <c r="Q791" s="16"/>
    </row>
    <row r="792" spans="1:17" s="1" customFormat="1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9"/>
      <c r="N792" s="17"/>
      <c r="Q792" s="16"/>
    </row>
    <row r="793" spans="1:17" s="1" customFormat="1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7"/>
      <c r="N793" s="17"/>
      <c r="Q793" s="16"/>
    </row>
    <row r="794" spans="1:17" s="1" customFormat="1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7"/>
      <c r="N794" s="17"/>
      <c r="Q794" s="16"/>
    </row>
    <row r="795" spans="1:17" s="1" customFormat="1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7"/>
      <c r="N795" s="17"/>
      <c r="Q795" s="16"/>
    </row>
    <row r="796" spans="1:17" s="1" customFormat="1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2026-08-26T09:35:30Z</dcterms:modified>
</cp:coreProperties>
</file>