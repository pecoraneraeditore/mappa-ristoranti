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7A77E60-2D9A-4752-B5A8-C55359DDFF15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<sst xmlns="http://schemas.openxmlformats.org/spreadsheetml/2006/main" count="4909" uniqueCount="2151">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</sst>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zoomScaleNormal="100" workbookViewId="0">
      <pane ySplit="7" topLeftCell="A106" activePane="bottomLeft" state="frozen"/>
      <selection pane="bottomLeft" activeCell="A115" sqref="A115:XFD115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131</v>
      </c>
      <c r="G3" s="5">
        <f>+AF6</f>
        <v>126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335</v>
      </c>
      <c r="F4" s="7">
        <f>+AE6</f>
        <v>297</v>
      </c>
      <c r="G4" s="7">
        <f>+AG6</f>
        <v>261</v>
      </c>
      <c r="H4" s="5">
        <f>+E4-G4</f>
        <v>74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428</v>
      </c>
      <c r="G5" s="8">
        <f>+G3+G4</f>
        <v>387</v>
      </c>
      <c r="H5" s="8">
        <f>+H3+H4</f>
        <v>77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131</v>
      </c>
      <c r="AE6" s="1">
        <f t="shared" si="1"/>
        <v>297</v>
      </c>
      <c r="AF6" s="1">
        <f t="shared" si="1"/>
        <v>126</v>
      </c>
      <c r="AG6" s="1">
        <f t="shared" si="1"/>
        <v>261</v>
      </c>
      <c r="AH6" s="1">
        <f t="shared" si="1"/>
        <v>129</v>
      </c>
      <c r="AI6" s="1">
        <f t="shared" si="1"/>
        <v>335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2115</v>
      </c>
      <c r="E67" s="16" t="s">
        <v>174</v>
      </c>
      <c r="F67" s="20" t="s">
        <v>2120</v>
      </c>
      <c r="G67" s="16"/>
      <c r="H67" s="20" t="s">
        <v>2117</v>
      </c>
      <c r="I67" s="21" t="s">
        <v>2116</v>
      </c>
      <c r="J67" s="15">
        <v>16</v>
      </c>
      <c r="K67" s="10" t="s">
        <v>694</v>
      </c>
      <c r="L67" s="10" t="s">
        <v>2118</v>
      </c>
      <c r="M67" s="19" t="s">
        <v>2119</v>
      </c>
      <c r="N67" s="17"/>
      <c r="Q67" s="16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44">
        <v>0</v>
      </c>
      <c r="B68" s="44">
        <v>1</v>
      </c>
      <c r="C68" s="44">
        <v>2</v>
      </c>
      <c r="D68" s="45" t="s">
        <v>1483</v>
      </c>
      <c r="E68" s="45" t="s">
        <v>169</v>
      </c>
      <c r="F68" s="45" t="s">
        <v>1485</v>
      </c>
      <c r="G68" s="45" t="s">
        <v>1143</v>
      </c>
      <c r="H68" s="45" t="s">
        <v>352</v>
      </c>
      <c r="I68" s="44" t="s">
        <v>1484</v>
      </c>
      <c r="J68" s="44">
        <v>11</v>
      </c>
      <c r="K68" s="46" t="s">
        <v>713</v>
      </c>
      <c r="L68" s="46">
        <v>50</v>
      </c>
      <c r="M68" s="47" t="s">
        <v>39</v>
      </c>
      <c r="N68" s="47" t="s">
        <v>1768</v>
      </c>
      <c r="O68" s="48"/>
      <c r="P68" s="48"/>
      <c r="Q68" s="45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135</v>
      </c>
      <c r="E93" s="45" t="s">
        <v>171</v>
      </c>
      <c r="F93" s="45" t="s">
        <v>1838</v>
      </c>
      <c r="G93" s="45" t="s">
        <v>239</v>
      </c>
      <c r="H93" s="45" t="s">
        <v>352</v>
      </c>
      <c r="I93" s="44" t="s">
        <v>481</v>
      </c>
      <c r="J93" s="44">
        <v>1</v>
      </c>
      <c r="K93" s="46" t="s">
        <v>937</v>
      </c>
      <c r="L93" s="46" t="s">
        <v>680</v>
      </c>
      <c r="M93" s="47" t="s">
        <v>682</v>
      </c>
      <c r="N93" s="47" t="s">
        <v>1768</v>
      </c>
      <c r="O93" s="48"/>
      <c r="P93" s="48"/>
      <c r="Q93" s="45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0</v>
      </c>
      <c r="AF93" s="1">
        <f t="shared" si="51"/>
        <v>0</v>
      </c>
      <c r="AG93" s="1">
        <f t="shared" si="52"/>
        <v>0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44">
        <v>0</v>
      </c>
      <c r="B104" s="44">
        <v>1</v>
      </c>
      <c r="C104" s="44">
        <v>3</v>
      </c>
      <c r="D104" s="45" t="s">
        <v>1182</v>
      </c>
      <c r="E104" s="45" t="s">
        <v>174</v>
      </c>
      <c r="F104" s="45" t="s">
        <v>1313</v>
      </c>
      <c r="G104" s="45" t="s">
        <v>39</v>
      </c>
      <c r="H104" s="45" t="s">
        <v>603</v>
      </c>
      <c r="I104" s="44" t="s">
        <v>1183</v>
      </c>
      <c r="J104" s="44">
        <v>14</v>
      </c>
      <c r="K104" s="46" t="s">
        <v>937</v>
      </c>
      <c r="L104" s="46" t="s">
        <v>1665</v>
      </c>
      <c r="M104" s="47" t="s">
        <v>1362</v>
      </c>
      <c r="N104" s="47" t="s">
        <v>1761</v>
      </c>
      <c r="O104" s="48"/>
      <c r="P104" s="48"/>
      <c r="Q104" s="45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0</v>
      </c>
      <c r="AF104" s="1">
        <f t="shared" si="51"/>
        <v>0</v>
      </c>
      <c r="AG104" s="1">
        <f t="shared" si="52"/>
        <v>0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s="1" customFormat="1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s="1" customFormat="1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44">
        <v>0</v>
      </c>
      <c r="B215" s="44">
        <v>1</v>
      </c>
      <c r="C215" s="44">
        <v>5</v>
      </c>
      <c r="D215" s="45" t="s">
        <v>130</v>
      </c>
      <c r="E215" s="45" t="s">
        <v>165</v>
      </c>
      <c r="F215" s="45" t="s">
        <v>330</v>
      </c>
      <c r="G215" s="45" t="s">
        <v>331</v>
      </c>
      <c r="H215" s="45" t="s">
        <v>352</v>
      </c>
      <c r="I215" s="44" t="s">
        <v>477</v>
      </c>
      <c r="J215" s="44">
        <v>99</v>
      </c>
      <c r="K215" s="46" t="s">
        <v>713</v>
      </c>
      <c r="L215" s="46" t="s">
        <v>685</v>
      </c>
      <c r="M215" s="47" t="s">
        <v>951</v>
      </c>
      <c r="N215" s="47" t="s">
        <v>1700</v>
      </c>
      <c r="O215" s="48"/>
      <c r="P215" s="48"/>
      <c r="Q215" s="45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/>
      <c r="M231" s="34"/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1238</v>
      </c>
      <c r="E319" s="45" t="s">
        <v>1239</v>
      </c>
      <c r="F319" s="45" t="s">
        <v>1240</v>
      </c>
      <c r="G319" s="45" t="s">
        <v>1143</v>
      </c>
      <c r="H319" s="45" t="s">
        <v>352</v>
      </c>
      <c r="I319" s="44" t="s">
        <v>1241</v>
      </c>
      <c r="J319" s="44">
        <v>11</v>
      </c>
      <c r="K319" s="46" t="s">
        <v>694</v>
      </c>
      <c r="L319" s="46">
        <v>6</v>
      </c>
      <c r="M319" s="47" t="s">
        <v>1694</v>
      </c>
      <c r="N319" s="47" t="s">
        <v>1768</v>
      </c>
      <c r="O319" s="48"/>
      <c r="P319" s="48"/>
      <c r="Q319" s="45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0</v>
      </c>
      <c r="AF319" s="1">
        <f t="shared" si="109"/>
        <v>0</v>
      </c>
      <c r="AG319" s="1">
        <f t="shared" si="110"/>
        <v>0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44">
        <v>0</v>
      </c>
      <c r="B387" s="44">
        <v>2</v>
      </c>
      <c r="C387" s="44">
        <v>5</v>
      </c>
      <c r="D387" s="45" t="s">
        <v>1455</v>
      </c>
      <c r="E387" s="45" t="s">
        <v>35</v>
      </c>
      <c r="F387" s="57" t="s">
        <v>1832</v>
      </c>
      <c r="G387" s="45" t="s">
        <v>221</v>
      </c>
      <c r="H387" s="45" t="s">
        <v>352</v>
      </c>
      <c r="I387" s="44" t="s">
        <v>1652</v>
      </c>
      <c r="J387" s="44">
        <v>99</v>
      </c>
      <c r="K387" s="46" t="s">
        <v>704</v>
      </c>
      <c r="L387" s="46">
        <v>25</v>
      </c>
      <c r="M387" s="47" t="s">
        <v>39</v>
      </c>
      <c r="N387" s="47" t="s">
        <v>1702</v>
      </c>
      <c r="O387" s="48"/>
      <c r="P387" s="48"/>
      <c r="Q387" s="45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0</v>
      </c>
      <c r="AF387" s="1">
        <f t="shared" si="125"/>
        <v>0</v>
      </c>
      <c r="AG387" s="1">
        <f t="shared" si="126"/>
        <v>0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1768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71</v>
      </c>
      <c r="E433" s="45" t="s">
        <v>28</v>
      </c>
      <c r="F433" s="45" t="s">
        <v>1322</v>
      </c>
      <c r="G433" s="45" t="s">
        <v>258</v>
      </c>
      <c r="H433" s="45" t="s">
        <v>352</v>
      </c>
      <c r="I433" s="44" t="s">
        <v>416</v>
      </c>
      <c r="J433" s="44">
        <v>99</v>
      </c>
      <c r="K433" s="46" t="s">
        <v>704</v>
      </c>
      <c r="L433" s="46" t="s">
        <v>704</v>
      </c>
      <c r="M433" s="47" t="s">
        <v>722</v>
      </c>
      <c r="N433" s="47" t="s">
        <v>1761</v>
      </c>
      <c r="O433" s="48"/>
      <c r="P433" s="48"/>
      <c r="Q433" s="45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0</v>
      </c>
      <c r="AF433" s="1">
        <f t="shared" si="147"/>
        <v>0</v>
      </c>
      <c r="AG433" s="1">
        <f t="shared" si="148"/>
        <v>0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21">
        <v>0</v>
      </c>
      <c r="B453" s="21">
        <v>2</v>
      </c>
      <c r="C453" s="21">
        <v>7</v>
      </c>
      <c r="D453" s="20" t="s">
        <v>2139</v>
      </c>
      <c r="E453" s="20" t="s">
        <v>2140</v>
      </c>
      <c r="F453" s="20" t="s">
        <v>2142</v>
      </c>
      <c r="G453" s="20" t="s">
        <v>2143</v>
      </c>
      <c r="H453" s="20" t="s">
        <v>352</v>
      </c>
      <c r="I453" s="21" t="s">
        <v>2141</v>
      </c>
      <c r="J453" s="21">
        <v>99</v>
      </c>
      <c r="K453" s="10" t="s">
        <v>694</v>
      </c>
      <c r="L453" s="10" t="s">
        <v>704</v>
      </c>
      <c r="M453" s="19" t="s">
        <v>722</v>
      </c>
      <c r="N453" s="19"/>
      <c r="Q453" s="20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0</v>
      </c>
      <c r="AE453" s="1">
        <f t="shared" ref="AE453:AE455" si="152">O453*(1-P453)</f>
        <v>0</v>
      </c>
      <c r="AF453" s="1">
        <f t="shared" ref="AF453:AF455" si="153">+O453*P453*(1-A453)</f>
        <v>0</v>
      </c>
      <c r="AG453" s="1">
        <f t="shared" ref="AG453:AG455" si="154">O453*(1-P453)*(1-A453)</f>
        <v>0</v>
      </c>
      <c r="AH453" s="1">
        <f t="shared" ref="AH453:AH455" si="155">+P453*(1-A453)</f>
        <v>0</v>
      </c>
      <c r="AI453" s="1">
        <f t="shared" ref="AI453:AI455" si="156">+(1-A453)*(1-P453)</f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2026-09-26T08:02:06Z</dcterms:modified>
</cp:coreProperties>
</file>