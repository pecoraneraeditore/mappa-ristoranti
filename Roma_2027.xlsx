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38E3A4B-DD0B-404F-A485-10C13A06C42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golose'!$A$7:$Q$485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66" i="6" l="1"/>
  <c r="AH266" i="6"/>
  <c r="AG266" i="6"/>
  <c r="AF266" i="6"/>
  <c r="AE266" i="6"/>
  <c r="AD266" i="6"/>
  <c r="AB266" i="6"/>
  <c r="AA266" i="6"/>
  <c r="Z266" i="6"/>
  <c r="Y266" i="6"/>
  <c r="X266" i="6"/>
  <c r="W266" i="6"/>
  <c r="V266" i="6"/>
  <c r="U266" i="6"/>
  <c r="T266" i="6"/>
  <c r="S266" i="6"/>
  <c r="AI265" i="6"/>
  <c r="AH265" i="6"/>
  <c r="AG265" i="6"/>
  <c r="AF265" i="6"/>
  <c r="AE265" i="6"/>
  <c r="AD265" i="6"/>
  <c r="AB265" i="6"/>
  <c r="AA265" i="6"/>
  <c r="Z265" i="6"/>
  <c r="Y265" i="6"/>
  <c r="X265" i="6"/>
  <c r="W265" i="6"/>
  <c r="V265" i="6"/>
  <c r="U265" i="6"/>
  <c r="T265" i="6"/>
  <c r="S265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479" i="6"/>
  <c r="AH479" i="6"/>
  <c r="AG479" i="6"/>
  <c r="AF479" i="6"/>
  <c r="AE479" i="6"/>
  <c r="AD479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83" i="6"/>
  <c r="S482" i="6"/>
  <c r="S481" i="6"/>
  <c r="S480" i="6"/>
  <c r="S479" i="6"/>
  <c r="S478" i="6"/>
  <c r="S477" i="6"/>
  <c r="S476" i="6"/>
  <c r="AD190" i="6"/>
  <c r="AE190" i="6"/>
  <c r="AF190" i="6"/>
  <c r="AD191" i="6"/>
  <c r="AE191" i="6"/>
  <c r="AF191" i="6"/>
  <c r="S191" i="6"/>
  <c r="AG191" i="6"/>
  <c r="AH191" i="6"/>
  <c r="AI191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4" i="6"/>
  <c r="AD324" i="6"/>
  <c r="AE324" i="6"/>
  <c r="AF324" i="6"/>
  <c r="AG324" i="6"/>
  <c r="AH324" i="6"/>
  <c r="AI324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S36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AD453" i="6"/>
  <c r="AE453" i="6"/>
  <c r="AD454" i="6"/>
  <c r="AE454" i="6"/>
  <c r="S453" i="6"/>
  <c r="AF453" i="6"/>
  <c r="AG453" i="6"/>
  <c r="AH453" i="6"/>
  <c r="AI453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68" i="6"/>
  <c r="AE468" i="6"/>
  <c r="S468" i="6"/>
  <c r="AF468" i="6"/>
  <c r="AG468" i="6"/>
  <c r="AH468" i="6"/>
  <c r="AI468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S362" i="6"/>
  <c r="S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1" i="6" s="1"/>
  <c r="T407" i="6" l="1"/>
  <c r="T406" i="6"/>
  <c r="T405" i="6"/>
  <c r="T404" i="6"/>
  <c r="T403" i="6"/>
  <c r="T402" i="6"/>
  <c r="T401" i="6"/>
  <c r="T73" i="6"/>
  <c r="T467" i="6"/>
  <c r="T466" i="6"/>
  <c r="T465" i="6"/>
  <c r="T464" i="6"/>
  <c r="T463" i="6"/>
  <c r="T462" i="6"/>
  <c r="T53" i="6"/>
  <c r="T52" i="6"/>
  <c r="T51" i="6"/>
  <c r="T186" i="6"/>
  <c r="T478" i="6"/>
  <c r="T483" i="6"/>
  <c r="T480" i="6"/>
  <c r="T482" i="6"/>
  <c r="T479" i="6"/>
  <c r="T481" i="6"/>
  <c r="T485" i="6"/>
  <c r="T484" i="6"/>
  <c r="T477" i="6"/>
  <c r="T476" i="6"/>
  <c r="T191" i="6"/>
  <c r="T425" i="6"/>
  <c r="T424" i="6"/>
  <c r="T423" i="6"/>
  <c r="T422" i="6"/>
  <c r="T421" i="6"/>
  <c r="T99" i="6"/>
  <c r="T98" i="6"/>
  <c r="T97" i="6"/>
  <c r="T324" i="6"/>
  <c r="T361" i="6"/>
  <c r="T32" i="6"/>
  <c r="T87" i="6"/>
  <c r="T336" i="6"/>
  <c r="T366" i="6"/>
  <c r="T298" i="6"/>
  <c r="T187" i="6"/>
  <c r="T185" i="6"/>
  <c r="T64" i="6"/>
  <c r="T377" i="6"/>
  <c r="T376" i="6"/>
  <c r="T375" i="6"/>
  <c r="T453" i="6"/>
  <c r="T270" i="6"/>
  <c r="T239" i="6"/>
  <c r="T271" i="6"/>
  <c r="T217" i="6"/>
  <c r="T216" i="6"/>
  <c r="T354" i="6"/>
  <c r="T340" i="6"/>
  <c r="T141" i="6"/>
  <c r="T164" i="6"/>
  <c r="T104" i="6"/>
  <c r="T142" i="6"/>
  <c r="T320" i="6"/>
  <c r="T103" i="6"/>
  <c r="T94" i="6"/>
  <c r="T93" i="6"/>
  <c r="T92" i="6"/>
  <c r="T295" i="6"/>
  <c r="T240" i="6"/>
  <c r="T370" i="6"/>
  <c r="T355" i="6"/>
  <c r="T319" i="6"/>
  <c r="T291" i="6"/>
  <c r="T268" i="6"/>
  <c r="T238" i="6"/>
  <c r="T215" i="6"/>
  <c r="T183" i="6"/>
  <c r="T70" i="6"/>
  <c r="T140" i="6"/>
  <c r="T100" i="6"/>
  <c r="T374" i="6"/>
  <c r="T342" i="6"/>
  <c r="T318" i="6"/>
  <c r="T290" i="6"/>
  <c r="T267" i="6"/>
  <c r="T237" i="6"/>
  <c r="T212" i="6"/>
  <c r="T182" i="6"/>
  <c r="T132" i="6"/>
  <c r="T65" i="6"/>
  <c r="T289" i="6"/>
  <c r="T181" i="6"/>
  <c r="T207" i="6"/>
  <c r="T391" i="6"/>
  <c r="T68" i="6"/>
  <c r="T205" i="6"/>
  <c r="T363" i="6"/>
  <c r="T399" i="6"/>
  <c r="T330" i="6"/>
  <c r="T307" i="6"/>
  <c r="T284" i="6"/>
  <c r="T80" i="6"/>
  <c r="T231" i="6"/>
  <c r="T204" i="6"/>
  <c r="T90" i="6"/>
  <c r="T156" i="6"/>
  <c r="T124" i="6"/>
  <c r="T89" i="6"/>
  <c r="T127" i="6"/>
  <c r="T233" i="6"/>
  <c r="T346" i="6"/>
  <c r="T367" i="6"/>
  <c r="T409" i="6"/>
  <c r="T252" i="6"/>
  <c r="T306" i="6"/>
  <c r="T283" i="6"/>
  <c r="T246" i="6"/>
  <c r="T228" i="6"/>
  <c r="T203" i="6"/>
  <c r="T169" i="6"/>
  <c r="T155" i="6"/>
  <c r="T123" i="6"/>
  <c r="T48" i="6"/>
  <c r="T328" i="6"/>
  <c r="T128" i="6"/>
  <c r="T261" i="6"/>
  <c r="T329" i="6"/>
  <c r="T257" i="6"/>
  <c r="T174" i="6"/>
  <c r="T395" i="6"/>
  <c r="T305" i="6"/>
  <c r="T247" i="6"/>
  <c r="T224" i="6"/>
  <c r="T201" i="6"/>
  <c r="T162" i="6"/>
  <c r="T153" i="6"/>
  <c r="T121" i="6"/>
  <c r="T47" i="6"/>
  <c r="T379" i="6"/>
  <c r="T264" i="6"/>
  <c r="T60" i="6"/>
  <c r="T235" i="6"/>
  <c r="T287" i="6"/>
  <c r="T172" i="6"/>
  <c r="T371" i="6"/>
  <c r="T331" i="6"/>
  <c r="T282" i="6"/>
  <c r="T250" i="6"/>
  <c r="T304" i="6"/>
  <c r="T279" i="6"/>
  <c r="T248" i="6"/>
  <c r="T223" i="6"/>
  <c r="T200" i="6"/>
  <c r="T170" i="6"/>
  <c r="T152" i="6"/>
  <c r="T120" i="6"/>
  <c r="T45" i="6"/>
  <c r="T316" i="6"/>
  <c r="T84" i="6"/>
  <c r="T383" i="6"/>
  <c r="T288" i="6"/>
  <c r="T67" i="6"/>
  <c r="T314" i="6"/>
  <c r="T126" i="6"/>
  <c r="T125" i="6"/>
  <c r="T337" i="6"/>
  <c r="T380" i="6"/>
  <c r="T338" i="6"/>
  <c r="T348" i="6"/>
  <c r="T303" i="6"/>
  <c r="T275" i="6"/>
  <c r="T171" i="6"/>
  <c r="T222" i="6"/>
  <c r="T192" i="6"/>
  <c r="T69" i="6"/>
  <c r="T151" i="6"/>
  <c r="T116" i="6"/>
  <c r="T44" i="6"/>
  <c r="T236" i="6"/>
  <c r="T345" i="6"/>
  <c r="T178" i="6"/>
  <c r="T206" i="6"/>
  <c r="T359" i="6"/>
  <c r="T311" i="6"/>
  <c r="T232" i="6"/>
  <c r="T166" i="6"/>
  <c r="T58" i="6"/>
  <c r="T325" i="6"/>
  <c r="T302" i="6"/>
  <c r="T163" i="6"/>
  <c r="T190" i="6"/>
  <c r="T148" i="6"/>
  <c r="T392" i="6"/>
  <c r="T255" i="6"/>
  <c r="T300" i="6"/>
  <c r="T273" i="6"/>
  <c r="T173" i="6"/>
  <c r="T220" i="6"/>
  <c r="T189" i="6"/>
  <c r="T91" i="6"/>
  <c r="T144" i="6"/>
  <c r="T107" i="6"/>
  <c r="T40" i="6"/>
  <c r="T208" i="6"/>
  <c r="T315" i="6"/>
  <c r="T85" i="6"/>
  <c r="T158" i="6"/>
  <c r="T286" i="6"/>
  <c r="T157" i="6"/>
  <c r="T388" i="6"/>
  <c r="T254" i="6"/>
  <c r="T274" i="6"/>
  <c r="T221" i="6"/>
  <c r="T59" i="6"/>
  <c r="T112" i="6"/>
  <c r="T42" i="6"/>
  <c r="T396" i="6"/>
  <c r="T339" i="6"/>
  <c r="T256" i="6"/>
  <c r="T299" i="6"/>
  <c r="T272" i="6"/>
  <c r="T244" i="6"/>
  <c r="T219" i="6"/>
  <c r="T188" i="6"/>
  <c r="T74" i="6"/>
  <c r="T143" i="6"/>
  <c r="T105" i="6"/>
  <c r="T37" i="6"/>
  <c r="T61" i="6"/>
  <c r="T55" i="6"/>
  <c r="T139" i="6"/>
  <c r="T111" i="6"/>
  <c r="T79" i="6"/>
  <c r="T31" i="6"/>
  <c r="T199" i="6"/>
  <c r="T167" i="6"/>
  <c r="T160" i="6"/>
  <c r="T137" i="6"/>
  <c r="T110" i="6"/>
  <c r="T63" i="6"/>
  <c r="T30" i="6"/>
  <c r="T196" i="6"/>
  <c r="T168" i="6"/>
  <c r="T159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3" i="6"/>
  <c r="T372" i="6"/>
  <c r="T468" i="6"/>
  <c r="T384" i="6"/>
  <c r="T387" i="6"/>
  <c r="T251" i="6"/>
  <c r="T347" i="6"/>
  <c r="T317" i="6"/>
  <c r="T301" i="6"/>
  <c r="T285" i="6"/>
  <c r="T269" i="6"/>
  <c r="T249" i="6"/>
  <c r="T234" i="6"/>
  <c r="T218" i="6"/>
  <c r="T202" i="6"/>
  <c r="T184" i="6"/>
  <c r="T83" i="6"/>
  <c r="T57" i="6"/>
  <c r="T154" i="6"/>
  <c r="T138" i="6"/>
  <c r="T122" i="6"/>
  <c r="T106" i="6"/>
  <c r="T95" i="6"/>
  <c r="T43" i="6"/>
  <c r="T28" i="6"/>
  <c r="T12" i="6"/>
  <c r="T474" i="6"/>
  <c r="T400" i="6"/>
  <c r="T341" i="6"/>
  <c r="T332" i="6"/>
  <c r="T313" i="6"/>
  <c r="T297" i="6"/>
  <c r="T281" i="6"/>
  <c r="T263" i="6"/>
  <c r="T165" i="6"/>
  <c r="T230" i="6"/>
  <c r="T214" i="6"/>
  <c r="T198" i="6"/>
  <c r="T180" i="6"/>
  <c r="T96" i="6"/>
  <c r="T150" i="6"/>
  <c r="T134" i="6"/>
  <c r="T118" i="6"/>
  <c r="T102" i="6"/>
  <c r="T56" i="6"/>
  <c r="T39" i="6"/>
  <c r="T24" i="6"/>
  <c r="T10" i="6"/>
  <c r="T469" i="6"/>
  <c r="T410" i="6"/>
  <c r="T326" i="6"/>
  <c r="T253" i="6"/>
  <c r="T312" i="6"/>
  <c r="T296" i="6"/>
  <c r="T280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2" i="6"/>
  <c r="T38" i="6"/>
  <c r="T23" i="6"/>
  <c r="T352" i="6"/>
  <c r="T390" i="6"/>
  <c r="T438" i="6"/>
  <c r="AD6" i="6"/>
  <c r="F3" i="6" s="1"/>
  <c r="T413" i="6"/>
  <c r="T411" i="6"/>
  <c r="T351" i="6"/>
  <c r="T343" i="6"/>
  <c r="T323" i="6"/>
  <c r="T310" i="6"/>
  <c r="T294" i="6"/>
  <c r="T278" i="6"/>
  <c r="T260" i="6"/>
  <c r="T243" i="6"/>
  <c r="T227" i="6"/>
  <c r="T211" i="6"/>
  <c r="T195" i="6"/>
  <c r="T177" i="6"/>
  <c r="T66" i="6"/>
  <c r="T78" i="6"/>
  <c r="T147" i="6"/>
  <c r="T131" i="6"/>
  <c r="T115" i="6"/>
  <c r="T88" i="6"/>
  <c r="T36" i="6"/>
  <c r="T21" i="6"/>
  <c r="T449" i="6"/>
  <c r="T357" i="6"/>
  <c r="T334" i="6"/>
  <c r="T335" i="6"/>
  <c r="T327" i="6"/>
  <c r="T322" i="6"/>
  <c r="T309" i="6"/>
  <c r="T293" i="6"/>
  <c r="T277" i="6"/>
  <c r="T259" i="6"/>
  <c r="T242" i="6"/>
  <c r="T226" i="6"/>
  <c r="T210" i="6"/>
  <c r="T194" i="6"/>
  <c r="T176" i="6"/>
  <c r="T62" i="6"/>
  <c r="T146" i="6"/>
  <c r="T130" i="6"/>
  <c r="T114" i="6"/>
  <c r="T35" i="6"/>
  <c r="T20" i="6"/>
  <c r="T349" i="6"/>
  <c r="T358" i="6"/>
  <c r="T353" i="6"/>
  <c r="T344" i="6"/>
  <c r="T321" i="6"/>
  <c r="T308" i="6"/>
  <c r="T292" i="6"/>
  <c r="T276" i="6"/>
  <c r="T258" i="6"/>
  <c r="T241" i="6"/>
  <c r="T225" i="6"/>
  <c r="T209" i="6"/>
  <c r="T193" i="6"/>
  <c r="T175" i="6"/>
  <c r="T77" i="6"/>
  <c r="T161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1" i="6"/>
  <c r="T445" i="6"/>
  <c r="T429" i="6"/>
  <c r="T472" i="6"/>
  <c r="T452" i="6"/>
  <c r="T436" i="6"/>
  <c r="T419" i="6"/>
  <c r="T394" i="6"/>
  <c r="T362" i="6"/>
  <c r="T459" i="6"/>
  <c r="T443" i="6"/>
  <c r="T427" i="6"/>
  <c r="T350" i="6"/>
  <c r="T470" i="6"/>
  <c r="T450" i="6"/>
  <c r="T434" i="6"/>
  <c r="T417" i="6"/>
  <c r="T398" i="6"/>
  <c r="T381" i="6"/>
  <c r="T365" i="6"/>
  <c r="T457" i="6"/>
  <c r="T441" i="6"/>
  <c r="T415" i="6"/>
  <c r="T448" i="6"/>
  <c r="T432" i="6"/>
  <c r="T385" i="6"/>
  <c r="T369" i="6"/>
  <c r="T475" i="6"/>
  <c r="T455" i="6"/>
  <c r="T439" i="6"/>
  <c r="T446" i="6"/>
  <c r="T430" i="6"/>
  <c r="T389" i="6"/>
  <c r="T373" i="6"/>
  <c r="T356" i="6"/>
  <c r="T473" i="6"/>
  <c r="T454" i="6"/>
  <c r="T437" i="6"/>
  <c r="T420" i="6"/>
  <c r="T408" i="6"/>
  <c r="T460" i="6"/>
  <c r="T444" i="6"/>
  <c r="T428" i="6"/>
  <c r="T393" i="6"/>
  <c r="T378" i="6"/>
  <c r="T360" i="6"/>
  <c r="T471" i="6"/>
  <c r="T451" i="6"/>
  <c r="T435" i="6"/>
  <c r="T418" i="6"/>
  <c r="T458" i="6"/>
  <c r="T442" i="6"/>
  <c r="T426" i="6"/>
  <c r="T416" i="6"/>
  <c r="T412" i="6"/>
  <c r="T397" i="6"/>
  <c r="T382" i="6"/>
  <c r="T364" i="6"/>
  <c r="T414" i="6"/>
  <c r="T333" i="6"/>
  <c r="T456" i="6"/>
  <c r="T440" i="6"/>
  <c r="T386" i="6"/>
  <c r="T368" i="6"/>
  <c r="T447" i="6"/>
  <c r="U73" i="6" l="1"/>
  <c r="U401" i="6"/>
  <c r="U402" i="6"/>
  <c r="U403" i="6"/>
  <c r="U404" i="6"/>
  <c r="U405" i="6"/>
  <c r="U406" i="6"/>
  <c r="U407" i="6"/>
  <c r="U462" i="6"/>
  <c r="U463" i="6"/>
  <c r="U464" i="6"/>
  <c r="U465" i="6"/>
  <c r="U466" i="6"/>
  <c r="U467" i="6"/>
  <c r="U186" i="6"/>
  <c r="U51" i="6"/>
  <c r="U52" i="6"/>
  <c r="U53" i="6"/>
  <c r="U478" i="6"/>
  <c r="U484" i="6"/>
  <c r="U485" i="6"/>
  <c r="U481" i="6"/>
  <c r="U479" i="6"/>
  <c r="U482" i="6"/>
  <c r="U480" i="6"/>
  <c r="U483" i="6"/>
  <c r="U191" i="6"/>
  <c r="U476" i="6"/>
  <c r="U477" i="6"/>
  <c r="U421" i="6"/>
  <c r="U422" i="6"/>
  <c r="U423" i="6"/>
  <c r="U424" i="6"/>
  <c r="U425" i="6"/>
  <c r="U324" i="6"/>
  <c r="U97" i="6"/>
  <c r="U98" i="6"/>
  <c r="U99" i="6"/>
  <c r="U13" i="6"/>
  <c r="U361" i="6"/>
  <c r="U335" i="6"/>
  <c r="U453" i="6"/>
  <c r="U375" i="6"/>
  <c r="U376" i="6"/>
  <c r="U377" i="6"/>
  <c r="U92" i="6"/>
  <c r="U93" i="6"/>
  <c r="U94" i="6"/>
  <c r="U143" i="6"/>
  <c r="U108" i="6"/>
  <c r="U292" i="6"/>
  <c r="U181" i="6"/>
  <c r="U451" i="6"/>
  <c r="U415" i="6"/>
  <c r="U455" i="6"/>
  <c r="U293" i="6"/>
  <c r="U220" i="6"/>
  <c r="U230" i="6"/>
  <c r="U311" i="6"/>
  <c r="U172" i="6"/>
  <c r="U132" i="6"/>
  <c r="U275" i="6"/>
  <c r="U147" i="6"/>
  <c r="U278" i="6"/>
  <c r="U101" i="6"/>
  <c r="U333" i="6"/>
  <c r="U321" i="6"/>
  <c r="U77" i="6"/>
  <c r="U297" i="6"/>
  <c r="U162" i="6"/>
  <c r="U384" i="6"/>
  <c r="U109" i="6"/>
  <c r="U106" i="6"/>
  <c r="U332" i="6"/>
  <c r="U174" i="6"/>
  <c r="U206" i="6"/>
  <c r="U119" i="6"/>
  <c r="U326" i="6"/>
  <c r="U200" i="6"/>
  <c r="U295" i="6"/>
  <c r="U177" i="6"/>
  <c r="U157" i="6"/>
  <c r="U44" i="6"/>
  <c r="U22" i="6"/>
  <c r="U188" i="6"/>
  <c r="U35" i="6"/>
  <c r="U24" i="6"/>
  <c r="U299" i="6"/>
  <c r="U122" i="6"/>
  <c r="U227" i="6"/>
  <c r="U203" i="6"/>
  <c r="U470" i="6"/>
  <c r="U475" i="6"/>
  <c r="U458" i="6"/>
  <c r="U20" i="6"/>
  <c r="U443" i="6"/>
  <c r="U323" i="6"/>
  <c r="U70" i="6"/>
  <c r="U457" i="6"/>
  <c r="U449" i="6"/>
  <c r="U235" i="6"/>
  <c r="U152" i="6"/>
  <c r="U315" i="6"/>
  <c r="U155" i="6"/>
  <c r="U239" i="6"/>
  <c r="U229" i="6"/>
  <c r="U111" i="6"/>
  <c r="U199" i="6"/>
  <c r="U231" i="6"/>
  <c r="V7" i="6"/>
  <c r="U27" i="6"/>
  <c r="U460" i="6"/>
  <c r="U246" i="6"/>
  <c r="U441" i="6"/>
  <c r="U21" i="6"/>
  <c r="U110" i="6"/>
  <c r="U19" i="6"/>
  <c r="U68" i="6"/>
  <c r="U412" i="6"/>
  <c r="U138" i="6"/>
  <c r="U343" i="6"/>
  <c r="U215" i="6"/>
  <c r="U351" i="6"/>
  <c r="U78" i="6"/>
  <c r="U267" i="6"/>
  <c r="U205" i="6"/>
  <c r="U283" i="6"/>
  <c r="U448" i="6"/>
  <c r="U459" i="6"/>
  <c r="U56" i="6"/>
  <c r="U34" i="6"/>
  <c r="U105" i="6"/>
  <c r="U72" i="6"/>
  <c r="U140" i="6"/>
  <c r="U131" i="6"/>
  <c r="U133" i="6"/>
  <c r="U334" i="6"/>
  <c r="U158" i="6"/>
  <c r="U175" i="6"/>
  <c r="U271" i="6"/>
  <c r="U438" i="6"/>
  <c r="U9" i="6"/>
  <c r="U67" i="6"/>
  <c r="U171" i="6"/>
  <c r="U151" i="6"/>
  <c r="U107" i="6"/>
  <c r="U11" i="6"/>
  <c r="U289" i="6"/>
  <c r="U352" i="6"/>
  <c r="U190" i="6"/>
  <c r="U436" i="6"/>
  <c r="U193" i="6"/>
  <c r="U76" i="6"/>
  <c r="U291" i="6"/>
  <c r="U429" i="6"/>
  <c r="U274" i="6"/>
  <c r="U179" i="6"/>
  <c r="U30" i="6"/>
  <c r="U442" i="6"/>
  <c r="U430" i="6"/>
  <c r="U471" i="6"/>
  <c r="U416" i="6"/>
  <c r="U142" i="6"/>
  <c r="U432" i="6"/>
  <c r="U10" i="6"/>
  <c r="U112" i="6"/>
  <c r="U23" i="6"/>
  <c r="U413" i="6"/>
  <c r="U156" i="6"/>
  <c r="U469" i="6"/>
  <c r="U103" i="6"/>
  <c r="U273" i="6"/>
  <c r="U75" i="6"/>
  <c r="U237" i="6"/>
  <c r="U159" i="6"/>
  <c r="U410" i="6"/>
  <c r="U84" i="6"/>
  <c r="U135" i="6"/>
  <c r="U420" i="6"/>
  <c r="U118" i="6"/>
  <c r="U149" i="6"/>
  <c r="U25" i="6"/>
  <c r="U305" i="6"/>
  <c r="U417" i="6"/>
  <c r="U207" i="6"/>
  <c r="U209" i="6"/>
  <c r="U310" i="6"/>
  <c r="U176" i="6"/>
  <c r="U313" i="6"/>
  <c r="U208" i="6"/>
  <c r="U58" i="6"/>
  <c r="U473" i="6"/>
  <c r="U124" i="6"/>
  <c r="U61" i="6"/>
  <c r="U8" i="6"/>
  <c r="U433" i="6"/>
  <c r="U353" i="6"/>
  <c r="U39" i="6"/>
  <c r="U221" i="6"/>
  <c r="U447" i="6"/>
  <c r="U87" i="6"/>
  <c r="U85" i="6"/>
  <c r="U419" i="6"/>
  <c r="U50" i="6"/>
  <c r="U89" i="6"/>
  <c r="U411" i="6"/>
  <c r="U102" i="6"/>
  <c r="U418" i="6"/>
  <c r="U253" i="6"/>
  <c r="U184" i="6"/>
  <c r="U168" i="6"/>
  <c r="U40" i="6"/>
  <c r="U164" i="6"/>
  <c r="U223" i="6"/>
  <c r="U452" i="6"/>
  <c r="U225" i="6"/>
  <c r="U255" i="6"/>
  <c r="U201" i="6"/>
  <c r="U367" i="6"/>
  <c r="U173" i="6"/>
  <c r="U408" i="6"/>
  <c r="U245" i="6"/>
  <c r="U81" i="6"/>
  <c r="U427" i="6"/>
  <c r="U446" i="6"/>
  <c r="U42" i="6"/>
  <c r="U37" i="6"/>
  <c r="U59" i="6"/>
  <c r="U54" i="6"/>
  <c r="U163" i="6"/>
  <c r="U474" i="6"/>
  <c r="U456" i="6"/>
  <c r="U127" i="6"/>
  <c r="U435" i="6"/>
  <c r="U218" i="6"/>
  <c r="U439" i="6"/>
  <c r="U187" i="6"/>
  <c r="U74" i="6"/>
  <c r="U472" i="6"/>
  <c r="U259" i="6"/>
  <c r="U397" i="6"/>
  <c r="U233" i="6"/>
  <c r="U276" i="6"/>
  <c r="U16" i="6"/>
  <c r="U210" i="6"/>
  <c r="U444" i="6"/>
  <c r="U29" i="6"/>
  <c r="U165" i="6"/>
  <c r="U431" i="6"/>
  <c r="U95" i="6"/>
  <c r="U440" i="6"/>
  <c r="U18" i="6"/>
  <c r="U437" i="6"/>
  <c r="U202" i="6"/>
  <c r="U134" i="6"/>
  <c r="U57" i="6"/>
  <c r="U434" i="6"/>
  <c r="U350" i="6"/>
  <c r="U249" i="6"/>
  <c r="U344" i="6"/>
  <c r="U228" i="6"/>
  <c r="U15" i="6"/>
  <c r="U426" i="6"/>
  <c r="U153" i="6"/>
  <c r="U428" i="6"/>
  <c r="U454" i="6"/>
  <c r="U128" i="6"/>
  <c r="U204" i="6"/>
  <c r="U90" i="6"/>
  <c r="U450" i="6"/>
  <c r="U277" i="6"/>
  <c r="U79" i="6"/>
  <c r="U272" i="6"/>
  <c r="U400" i="6"/>
  <c r="U180" i="6"/>
  <c r="U48" i="6"/>
  <c r="U88" i="6"/>
  <c r="U117" i="6"/>
  <c r="U296" i="6"/>
  <c r="U369" i="6"/>
  <c r="U120" i="6"/>
  <c r="U129" i="6"/>
  <c r="U294" i="6"/>
  <c r="U314" i="6"/>
  <c r="U386" i="6"/>
  <c r="U316" i="6"/>
  <c r="U189" i="6"/>
  <c r="U365" i="6"/>
  <c r="U312" i="6"/>
  <c r="U349" i="6"/>
  <c r="U414" i="6"/>
  <c r="U282" i="6"/>
  <c r="U364" i="6"/>
  <c r="U243" i="6"/>
  <c r="U382" i="6"/>
  <c r="U254" i="6"/>
  <c r="U342" i="6"/>
  <c r="U445" i="6"/>
  <c r="U461" i="6"/>
  <c r="U302" i="6"/>
  <c r="U381" i="6"/>
  <c r="U398" i="6"/>
  <c r="U327" i="6"/>
  <c r="U368" i="6"/>
  <c r="U320" i="6"/>
  <c r="U43" i="6"/>
  <c r="U338" i="6"/>
  <c r="U383" i="6"/>
  <c r="U385" i="6"/>
  <c r="U347" i="6"/>
  <c r="U41" i="6"/>
  <c r="U325" i="6"/>
  <c r="U71" i="6"/>
  <c r="U366" i="6"/>
  <c r="U46" i="6"/>
  <c r="U14" i="6"/>
  <c r="U357" i="6"/>
  <c r="U69" i="6"/>
  <c r="U12" i="6"/>
  <c r="U104" i="6"/>
  <c r="U399" i="6"/>
  <c r="U178" i="6"/>
  <c r="U47" i="6"/>
  <c r="U336" i="6"/>
  <c r="U373" i="6"/>
  <c r="U169" i="6"/>
  <c r="U45" i="6"/>
  <c r="U241" i="6"/>
  <c r="U80" i="6"/>
  <c r="U113" i="6"/>
  <c r="U390" i="6"/>
  <c r="U337" i="6"/>
  <c r="U33" i="6"/>
  <c r="U121" i="6"/>
  <c r="U211" i="6"/>
  <c r="U248" i="6"/>
  <c r="U286" i="6"/>
  <c r="U232" i="6"/>
  <c r="U355" i="6"/>
  <c r="U380" i="6"/>
  <c r="U251" i="6"/>
  <c r="U212" i="6"/>
  <c r="U240" i="6"/>
  <c r="U49" i="6"/>
  <c r="U161" i="6"/>
  <c r="U216" i="6"/>
  <c r="U258" i="6"/>
  <c r="U290" i="6"/>
  <c r="U244" i="6"/>
  <c r="U359" i="6"/>
  <c r="U389" i="6"/>
  <c r="U114" i="6"/>
  <c r="U392" i="6"/>
  <c r="U195" i="6"/>
  <c r="U96" i="6"/>
  <c r="U145" i="6"/>
  <c r="U468" i="6"/>
  <c r="U100" i="6"/>
  <c r="U166" i="6"/>
  <c r="U217" i="6"/>
  <c r="U260" i="6"/>
  <c r="U298" i="6"/>
  <c r="U256" i="6"/>
  <c r="U360" i="6"/>
  <c r="U391" i="6"/>
  <c r="U126" i="6"/>
  <c r="U262" i="6"/>
  <c r="U123" i="6"/>
  <c r="U82" i="6"/>
  <c r="U309" i="6"/>
  <c r="U91" i="6"/>
  <c r="U319" i="6"/>
  <c r="U247" i="6"/>
  <c r="U339" i="6"/>
  <c r="U38" i="6"/>
  <c r="U288" i="6"/>
  <c r="U55" i="6"/>
  <c r="U219" i="6"/>
  <c r="U300" i="6"/>
  <c r="U362" i="6"/>
  <c r="U280" i="6"/>
  <c r="U285" i="6"/>
  <c r="U213" i="6"/>
  <c r="U60" i="6"/>
  <c r="U115" i="6"/>
  <c r="U150" i="6"/>
  <c r="U222" i="6"/>
  <c r="U263" i="6"/>
  <c r="U301" i="6"/>
  <c r="U348" i="6"/>
  <c r="U393" i="6"/>
  <c r="U146" i="6"/>
  <c r="U354" i="6"/>
  <c r="U388" i="6"/>
  <c r="U62" i="6"/>
  <c r="U116" i="6"/>
  <c r="U182" i="6"/>
  <c r="U224" i="6"/>
  <c r="U264" i="6"/>
  <c r="U303" i="6"/>
  <c r="U322" i="6"/>
  <c r="U363" i="6"/>
  <c r="U394" i="6"/>
  <c r="U226" i="6"/>
  <c r="U331" i="6"/>
  <c r="U370" i="6"/>
  <c r="U136" i="6"/>
  <c r="U252" i="6"/>
  <c r="U36" i="6"/>
  <c r="U63" i="6"/>
  <c r="U125" i="6"/>
  <c r="U183" i="6"/>
  <c r="U268" i="6"/>
  <c r="U304" i="6"/>
  <c r="U395" i="6"/>
  <c r="U269" i="6"/>
  <c r="U371" i="6"/>
  <c r="U137" i="6"/>
  <c r="U64" i="6"/>
  <c r="U141" i="6"/>
  <c r="U185" i="6"/>
  <c r="U306" i="6"/>
  <c r="U396" i="6"/>
  <c r="U139" i="6"/>
  <c r="U242" i="6"/>
  <c r="U358" i="6"/>
  <c r="U17" i="6"/>
  <c r="U65" i="6"/>
  <c r="U170" i="6"/>
  <c r="U192" i="6"/>
  <c r="U144" i="6"/>
  <c r="U270" i="6"/>
  <c r="U307" i="6"/>
  <c r="U330" i="6"/>
  <c r="U372" i="6"/>
  <c r="U279" i="6"/>
  <c r="U308" i="6"/>
  <c r="U374" i="6"/>
  <c r="U198" i="6"/>
  <c r="U387" i="6"/>
  <c r="U26" i="6"/>
  <c r="U66" i="6"/>
  <c r="U130" i="6"/>
  <c r="U194" i="6"/>
  <c r="U160" i="6"/>
  <c r="U346" i="6"/>
  <c r="U28" i="6"/>
  <c r="U329" i="6"/>
  <c r="U167" i="6"/>
  <c r="U341" i="6"/>
  <c r="U287" i="6"/>
  <c r="U31" i="6"/>
  <c r="U83" i="6"/>
  <c r="U154" i="6"/>
  <c r="U196" i="6"/>
  <c r="U234" i="6"/>
  <c r="U281" i="6"/>
  <c r="U317" i="6"/>
  <c r="U345" i="6"/>
  <c r="U409" i="6"/>
  <c r="U236" i="6"/>
  <c r="U257" i="6"/>
  <c r="U32" i="6"/>
  <c r="U86" i="6"/>
  <c r="U148" i="6"/>
  <c r="U197" i="6"/>
  <c r="U238" i="6"/>
  <c r="U284" i="6"/>
  <c r="U318" i="6"/>
  <c r="U328" i="6"/>
  <c r="U378" i="6"/>
  <c r="U340" i="6"/>
  <c r="U379" i="6"/>
  <c r="U356" i="6"/>
  <c r="U214" i="6"/>
  <c r="U250" i="6"/>
  <c r="U261" i="6"/>
  <c r="F5" i="6"/>
  <c r="G5" i="6"/>
  <c r="E5" i="6"/>
  <c r="H4" i="6"/>
  <c r="H3" i="6"/>
  <c r="T5" i="6"/>
  <c r="V73" i="6" l="1"/>
  <c r="V401" i="6"/>
  <c r="V402" i="6"/>
  <c r="V403" i="6"/>
  <c r="V404" i="6"/>
  <c r="V405" i="6"/>
  <c r="V406" i="6"/>
  <c r="V407" i="6"/>
  <c r="V312" i="6"/>
  <c r="V462" i="6"/>
  <c r="V463" i="6"/>
  <c r="V464" i="6"/>
  <c r="V465" i="6"/>
  <c r="V466" i="6"/>
  <c r="V467" i="6"/>
  <c r="V51" i="6"/>
  <c r="V52" i="6"/>
  <c r="V53" i="6"/>
  <c r="V140" i="6"/>
  <c r="V186" i="6"/>
  <c r="V468" i="6"/>
  <c r="V478" i="6"/>
  <c r="V484" i="6"/>
  <c r="V485" i="6"/>
  <c r="V481" i="6"/>
  <c r="V479" i="6"/>
  <c r="V482" i="6"/>
  <c r="V480" i="6"/>
  <c r="V483" i="6"/>
  <c r="V378" i="6"/>
  <c r="V188" i="6"/>
  <c r="V354" i="6"/>
  <c r="V237" i="6"/>
  <c r="V191" i="6"/>
  <c r="V476" i="6"/>
  <c r="V477" i="6"/>
  <c r="V421" i="6"/>
  <c r="V422" i="6"/>
  <c r="V423" i="6"/>
  <c r="V424" i="6"/>
  <c r="V425" i="6"/>
  <c r="V97" i="6"/>
  <c r="V98" i="6"/>
  <c r="V99" i="6"/>
  <c r="V361" i="6"/>
  <c r="V324" i="6"/>
  <c r="V95" i="6"/>
  <c r="V309" i="6"/>
  <c r="V382" i="6"/>
  <c r="V37" i="6"/>
  <c r="V261" i="6"/>
  <c r="V128" i="6"/>
  <c r="V317" i="6"/>
  <c r="V390" i="6"/>
  <c r="V13" i="6"/>
  <c r="V67" i="6"/>
  <c r="V136" i="6"/>
  <c r="V351" i="6"/>
  <c r="V166" i="6"/>
  <c r="V283" i="6"/>
  <c r="V288" i="6"/>
  <c r="V226" i="6"/>
  <c r="V321" i="6"/>
  <c r="V28" i="6"/>
  <c r="V18" i="6"/>
  <c r="V232" i="6"/>
  <c r="V437" i="6"/>
  <c r="V181" i="6"/>
  <c r="V453" i="6"/>
  <c r="V375" i="6"/>
  <c r="V376" i="6"/>
  <c r="V377" i="6"/>
  <c r="V92" i="6"/>
  <c r="V93" i="6"/>
  <c r="V94" i="6"/>
  <c r="V153" i="6"/>
  <c r="V417" i="6"/>
  <c r="V203" i="6"/>
  <c r="V470" i="6"/>
  <c r="V250" i="6"/>
  <c r="V72" i="6"/>
  <c r="V357" i="6"/>
  <c r="V104" i="6"/>
  <c r="V388" i="6"/>
  <c r="V134" i="6"/>
  <c r="V251" i="6"/>
  <c r="V200" i="6"/>
  <c r="V253" i="6"/>
  <c r="V55" i="6"/>
  <c r="V280" i="6"/>
  <c r="V12" i="6"/>
  <c r="V229" i="6"/>
  <c r="V344" i="6"/>
  <c r="V50" i="6"/>
  <c r="V277" i="6"/>
  <c r="V448" i="6"/>
  <c r="V194" i="6"/>
  <c r="V291" i="6"/>
  <c r="V33" i="6"/>
  <c r="V155" i="6"/>
  <c r="V248" i="6"/>
  <c r="V32" i="6"/>
  <c r="V391" i="6"/>
  <c r="V124" i="6"/>
  <c r="V439" i="6"/>
  <c r="V356" i="6"/>
  <c r="V64" i="6"/>
  <c r="V455" i="6"/>
  <c r="V347" i="6"/>
  <c r="V34" i="6"/>
  <c r="V371" i="6"/>
  <c r="V118" i="6"/>
  <c r="V233" i="6"/>
  <c r="V438" i="6"/>
  <c r="V182" i="6"/>
  <c r="V147" i="6"/>
  <c r="V262" i="6"/>
  <c r="V471" i="6"/>
  <c r="V213" i="6"/>
  <c r="V325" i="6"/>
  <c r="V19" i="6"/>
  <c r="V259" i="6"/>
  <c r="V432" i="6"/>
  <c r="V176" i="6"/>
  <c r="V275" i="6"/>
  <c r="V393" i="6"/>
  <c r="V139" i="6"/>
  <c r="V238" i="6"/>
  <c r="V267" i="6"/>
  <c r="V450" i="6"/>
  <c r="V301" i="6"/>
  <c r="V475" i="6"/>
  <c r="V9" i="6"/>
  <c r="V246" i="6"/>
  <c r="V88" i="6"/>
  <c r="V427" i="6"/>
  <c r="V318" i="6"/>
  <c r="V65" i="6"/>
  <c r="V355" i="6"/>
  <c r="V102" i="6"/>
  <c r="V217" i="6"/>
  <c r="V170" i="6"/>
  <c r="V385" i="6"/>
  <c r="V131" i="6"/>
  <c r="V80" i="6"/>
  <c r="V451" i="6"/>
  <c r="V197" i="6"/>
  <c r="V310" i="6"/>
  <c r="V79" i="6"/>
  <c r="V243" i="6"/>
  <c r="W7" i="6"/>
  <c r="V91" i="6"/>
  <c r="V257" i="6"/>
  <c r="V123" i="6"/>
  <c r="V222" i="6"/>
  <c r="V474" i="6"/>
  <c r="V208" i="6"/>
  <c r="V443" i="6"/>
  <c r="V362" i="6"/>
  <c r="V167" i="6"/>
  <c r="V459" i="6"/>
  <c r="V411" i="6"/>
  <c r="V302" i="6"/>
  <c r="V66" i="6"/>
  <c r="V348" i="6"/>
  <c r="V31" i="6"/>
  <c r="V201" i="6"/>
  <c r="V337" i="6"/>
  <c r="V81" i="6"/>
  <c r="V368" i="6"/>
  <c r="V115" i="6"/>
  <c r="V230" i="6"/>
  <c r="V435" i="6"/>
  <c r="V179" i="6"/>
  <c r="V294" i="6"/>
  <c r="V39" i="6"/>
  <c r="V227" i="6"/>
  <c r="V414" i="6"/>
  <c r="V158" i="6"/>
  <c r="V241" i="6"/>
  <c r="V360" i="6"/>
  <c r="V107" i="6"/>
  <c r="V206" i="6"/>
  <c r="V446" i="6"/>
  <c r="V252" i="6"/>
  <c r="V171" i="6"/>
  <c r="V365" i="6"/>
  <c r="V307" i="6"/>
  <c r="V137" i="6"/>
  <c r="V10" i="6"/>
  <c r="V271" i="6"/>
  <c r="V42" i="6"/>
  <c r="V429" i="6"/>
  <c r="V319" i="6"/>
  <c r="V286" i="6"/>
  <c r="V24" i="6"/>
  <c r="V316" i="6"/>
  <c r="V85" i="6"/>
  <c r="V183" i="6"/>
  <c r="V148" i="6"/>
  <c r="V342" i="6"/>
  <c r="V78" i="6"/>
  <c r="V214" i="6"/>
  <c r="V418" i="6"/>
  <c r="V90" i="6"/>
  <c r="V278" i="6"/>
  <c r="V469" i="6"/>
  <c r="V211" i="6"/>
  <c r="V396" i="6"/>
  <c r="V142" i="6"/>
  <c r="V225" i="6"/>
  <c r="V346" i="6"/>
  <c r="V40" i="6"/>
  <c r="V189" i="6"/>
  <c r="V76" i="6"/>
  <c r="V306" i="6"/>
  <c r="V445" i="6"/>
  <c r="V374" i="6"/>
  <c r="V185" i="6"/>
  <c r="V461" i="6"/>
  <c r="V413" i="6"/>
  <c r="V235" i="6"/>
  <c r="V270" i="6"/>
  <c r="V103" i="6"/>
  <c r="V300" i="6"/>
  <c r="V169" i="6"/>
  <c r="V386" i="6"/>
  <c r="V132" i="6"/>
  <c r="V333" i="6"/>
  <c r="V25" i="6"/>
  <c r="V198" i="6"/>
  <c r="V339" i="6"/>
  <c r="V161" i="6"/>
  <c r="V260" i="6"/>
  <c r="V449" i="6"/>
  <c r="V195" i="6"/>
  <c r="V380" i="6"/>
  <c r="V126" i="6"/>
  <c r="V209" i="6"/>
  <c r="V256" i="6"/>
  <c r="V96" i="6"/>
  <c r="V59" i="6"/>
  <c r="V75" i="6"/>
  <c r="V221" i="6"/>
  <c r="V353" i="6"/>
  <c r="V285" i="6"/>
  <c r="V108" i="6"/>
  <c r="V431" i="6"/>
  <c r="V331" i="6"/>
  <c r="V156" i="6"/>
  <c r="V165" i="6"/>
  <c r="V284" i="6"/>
  <c r="V20" i="6"/>
  <c r="V369" i="6"/>
  <c r="V116" i="6"/>
  <c r="V313" i="6"/>
  <c r="V58" i="6"/>
  <c r="V180" i="6"/>
  <c r="V399" i="6"/>
  <c r="V145" i="6"/>
  <c r="V244" i="6"/>
  <c r="V433" i="6"/>
  <c r="V177" i="6"/>
  <c r="V363" i="6"/>
  <c r="V110" i="6"/>
  <c r="V193" i="6"/>
  <c r="V305" i="6"/>
  <c r="V30" i="6"/>
  <c r="V70" i="6"/>
  <c r="V151" i="6"/>
  <c r="V389" i="6"/>
  <c r="V192" i="6"/>
  <c r="V240" i="6"/>
  <c r="V69" i="6"/>
  <c r="V236" i="6"/>
  <c r="V60" i="6"/>
  <c r="V268" i="6"/>
  <c r="V149" i="6"/>
  <c r="V326" i="6"/>
  <c r="V100" i="6"/>
  <c r="V297" i="6"/>
  <c r="V45" i="6"/>
  <c r="V163" i="6"/>
  <c r="V383" i="6"/>
  <c r="V129" i="6"/>
  <c r="V228" i="6"/>
  <c r="V335" i="6"/>
  <c r="V61" i="6"/>
  <c r="V254" i="6"/>
  <c r="V46" i="6"/>
  <c r="V175" i="6"/>
  <c r="V289" i="6"/>
  <c r="V410" i="6"/>
  <c r="V154" i="6"/>
  <c r="V26" i="6"/>
  <c r="V290" i="6"/>
  <c r="V121" i="6"/>
  <c r="V436" i="6"/>
  <c r="V329" i="6"/>
  <c r="V57" i="6"/>
  <c r="V416" i="6"/>
  <c r="V220" i="6"/>
  <c r="V54" i="6"/>
  <c r="V173" i="6"/>
  <c r="V387" i="6"/>
  <c r="V133" i="6"/>
  <c r="V349" i="6"/>
  <c r="V27" i="6"/>
  <c r="V281" i="6"/>
  <c r="V14" i="6"/>
  <c r="V162" i="6"/>
  <c r="V366" i="6"/>
  <c r="V113" i="6"/>
  <c r="V212" i="6"/>
  <c r="V340" i="6"/>
  <c r="V159" i="6"/>
  <c r="V322" i="6"/>
  <c r="V15" i="6"/>
  <c r="V74" i="6"/>
  <c r="V273" i="6"/>
  <c r="V392" i="6"/>
  <c r="V138" i="6"/>
  <c r="V447" i="6"/>
  <c r="V205" i="6"/>
  <c r="V472" i="6"/>
  <c r="V11" i="6"/>
  <c r="V249" i="6"/>
  <c r="V71" i="6"/>
  <c r="V458" i="6"/>
  <c r="V204" i="6"/>
  <c r="V22" i="6"/>
  <c r="V234" i="6"/>
  <c r="V370" i="6"/>
  <c r="V117" i="6"/>
  <c r="V314" i="6"/>
  <c r="V82" i="6"/>
  <c r="V263" i="6"/>
  <c r="V400" i="6"/>
  <c r="V146" i="6"/>
  <c r="V327" i="6"/>
  <c r="V196" i="6"/>
  <c r="V397" i="6"/>
  <c r="V143" i="6"/>
  <c r="V308" i="6"/>
  <c r="V63" i="6"/>
  <c r="V157" i="6"/>
  <c r="V247" i="6"/>
  <c r="V122" i="6"/>
  <c r="V287" i="6"/>
  <c r="V84" i="6"/>
  <c r="V150" i="6"/>
  <c r="V296" i="6"/>
  <c r="V112" i="6"/>
  <c r="V56" i="6"/>
  <c r="V419" i="6"/>
  <c r="V135" i="6"/>
  <c r="V441" i="6"/>
  <c r="V358" i="6"/>
  <c r="V457" i="6"/>
  <c r="V442" i="6"/>
  <c r="V187" i="6"/>
  <c r="V415" i="6"/>
  <c r="V218" i="6"/>
  <c r="V341" i="6"/>
  <c r="V101" i="6"/>
  <c r="V298" i="6"/>
  <c r="V47" i="6"/>
  <c r="V164" i="6"/>
  <c r="V384" i="6"/>
  <c r="V130" i="6"/>
  <c r="V334" i="6"/>
  <c r="V21" i="6"/>
  <c r="V178" i="6"/>
  <c r="V381" i="6"/>
  <c r="V127" i="6"/>
  <c r="V292" i="6"/>
  <c r="V35" i="6"/>
  <c r="V141" i="6"/>
  <c r="V239" i="6"/>
  <c r="V359" i="6"/>
  <c r="V106" i="6"/>
  <c r="V224" i="6"/>
  <c r="V434" i="6"/>
  <c r="V120" i="6"/>
  <c r="V420" i="6"/>
  <c r="V245" i="6"/>
  <c r="V87" i="6"/>
  <c r="V452" i="6"/>
  <c r="V394" i="6"/>
  <c r="V352" i="6"/>
  <c r="V8" i="6"/>
  <c r="V269" i="6"/>
  <c r="V36" i="6"/>
  <c r="V428" i="6"/>
  <c r="V426" i="6"/>
  <c r="V168" i="6"/>
  <c r="V456" i="6"/>
  <c r="V202" i="6"/>
  <c r="V332" i="6"/>
  <c r="V29" i="6"/>
  <c r="V282" i="6"/>
  <c r="V16" i="6"/>
  <c r="V231" i="6"/>
  <c r="V367" i="6"/>
  <c r="V114" i="6"/>
  <c r="V311" i="6"/>
  <c r="V89" i="6"/>
  <c r="V83" i="6"/>
  <c r="V364" i="6"/>
  <c r="V111" i="6"/>
  <c r="V276" i="6"/>
  <c r="V395" i="6"/>
  <c r="V125" i="6"/>
  <c r="V223" i="6"/>
  <c r="V330" i="6"/>
  <c r="V38" i="6"/>
  <c r="V303" i="6"/>
  <c r="V444" i="6"/>
  <c r="V372" i="6"/>
  <c r="V174" i="6"/>
  <c r="V460" i="6"/>
  <c r="V412" i="6"/>
  <c r="V336" i="6"/>
  <c r="V440" i="6"/>
  <c r="V184" i="6"/>
  <c r="V315" i="6"/>
  <c r="V68" i="6"/>
  <c r="V264" i="6"/>
  <c r="V473" i="6"/>
  <c r="V215" i="6"/>
  <c r="V343" i="6"/>
  <c r="V62" i="6"/>
  <c r="V295" i="6"/>
  <c r="V41" i="6"/>
  <c r="V160" i="6"/>
  <c r="V328" i="6"/>
  <c r="V48" i="6"/>
  <c r="V258" i="6"/>
  <c r="V379" i="6"/>
  <c r="V109" i="6"/>
  <c r="V207" i="6"/>
  <c r="V320" i="6"/>
  <c r="V119" i="6"/>
  <c r="V373" i="6"/>
  <c r="V216" i="6"/>
  <c r="V43" i="6"/>
  <c r="V293" i="6"/>
  <c r="V210" i="6"/>
  <c r="V272" i="6"/>
  <c r="V409" i="6"/>
  <c r="V219" i="6"/>
  <c r="V338" i="6"/>
  <c r="V274" i="6"/>
  <c r="V105" i="6"/>
  <c r="V430" i="6"/>
  <c r="V255" i="6"/>
  <c r="V408" i="6"/>
  <c r="V152" i="6"/>
  <c r="V77" i="6"/>
  <c r="V299" i="6"/>
  <c r="V49" i="6"/>
  <c r="V172" i="6"/>
  <c r="V454" i="6"/>
  <c r="V199" i="6"/>
  <c r="V350" i="6"/>
  <c r="V23" i="6"/>
  <c r="V279" i="6"/>
  <c r="V398" i="6"/>
  <c r="V144" i="6"/>
  <c r="V323" i="6"/>
  <c r="V17" i="6"/>
  <c r="V242" i="6"/>
  <c r="V345" i="6"/>
  <c r="V44" i="6"/>
  <c r="V190" i="6"/>
  <c r="V304" i="6"/>
  <c r="V86" i="6"/>
  <c r="U5" i="6"/>
  <c r="H5" i="6"/>
  <c r="W73" i="6" l="1"/>
  <c r="W401" i="6"/>
  <c r="W402" i="6"/>
  <c r="W403" i="6"/>
  <c r="W404" i="6"/>
  <c r="W405" i="6"/>
  <c r="W406" i="6"/>
  <c r="W407" i="6"/>
  <c r="W462" i="6"/>
  <c r="W463" i="6"/>
  <c r="W464" i="6"/>
  <c r="W465" i="6"/>
  <c r="W466" i="6"/>
  <c r="W467" i="6"/>
  <c r="W186" i="6"/>
  <c r="W51" i="6"/>
  <c r="W52" i="6"/>
  <c r="W53" i="6"/>
  <c r="W34" i="6"/>
  <c r="W483" i="6"/>
  <c r="W478" i="6"/>
  <c r="W484" i="6"/>
  <c r="W485" i="6"/>
  <c r="W481" i="6"/>
  <c r="W479" i="6"/>
  <c r="W482" i="6"/>
  <c r="W480" i="6"/>
  <c r="W191" i="6"/>
  <c r="W476" i="6"/>
  <c r="W477" i="6"/>
  <c r="W421" i="6"/>
  <c r="W422" i="6"/>
  <c r="W423" i="6"/>
  <c r="W424" i="6"/>
  <c r="W425" i="6"/>
  <c r="W125" i="6"/>
  <c r="W97" i="6"/>
  <c r="W98" i="6"/>
  <c r="W99" i="6"/>
  <c r="W357" i="6"/>
  <c r="W324" i="6"/>
  <c r="W60" i="6"/>
  <c r="W118" i="6"/>
  <c r="W86" i="6"/>
  <c r="W249" i="6"/>
  <c r="W184" i="6"/>
  <c r="W278" i="6"/>
  <c r="W17" i="6"/>
  <c r="W410" i="6"/>
  <c r="W12" i="6"/>
  <c r="W36" i="6"/>
  <c r="W147" i="6"/>
  <c r="W318" i="6"/>
  <c r="W361" i="6"/>
  <c r="W354" i="6"/>
  <c r="W59" i="6"/>
  <c r="W431" i="6"/>
  <c r="W198" i="6"/>
  <c r="W8" i="6"/>
  <c r="W474" i="6"/>
  <c r="W419" i="6"/>
  <c r="W61" i="6"/>
  <c r="W66" i="6"/>
  <c r="W32" i="6"/>
  <c r="W453" i="6"/>
  <c r="W375" i="6"/>
  <c r="W376" i="6"/>
  <c r="W377" i="6"/>
  <c r="W302" i="6"/>
  <c r="W92" i="6"/>
  <c r="W93" i="6"/>
  <c r="W94" i="6"/>
  <c r="V5" i="6"/>
  <c r="W378" i="6"/>
  <c r="W400" i="6"/>
  <c r="W411" i="6"/>
  <c r="W470" i="6"/>
  <c r="W450" i="6"/>
  <c r="W434" i="6"/>
  <c r="W31" i="6"/>
  <c r="W30" i="6"/>
  <c r="W58" i="6"/>
  <c r="W84" i="6"/>
  <c r="W117" i="6"/>
  <c r="W145" i="6"/>
  <c r="W162" i="6"/>
  <c r="W242" i="6"/>
  <c r="W178" i="6"/>
  <c r="W42" i="6"/>
  <c r="W260" i="6"/>
  <c r="W167" i="6"/>
  <c r="W385" i="6"/>
  <c r="W109" i="6"/>
  <c r="W207" i="6"/>
  <c r="W35" i="6"/>
  <c r="W49" i="6"/>
  <c r="W286" i="6"/>
  <c r="W342" i="6"/>
  <c r="W398" i="6"/>
  <c r="W336" i="6"/>
  <c r="W418" i="6"/>
  <c r="W432" i="6"/>
  <c r="W253" i="6"/>
  <c r="W469" i="6"/>
  <c r="W449" i="6"/>
  <c r="W29" i="6"/>
  <c r="W56" i="6"/>
  <c r="W81" i="6"/>
  <c r="W116" i="6"/>
  <c r="W143" i="6"/>
  <c r="W163" i="6"/>
  <c r="W334" i="6"/>
  <c r="W27" i="6"/>
  <c r="W221" i="6"/>
  <c r="W442" i="6"/>
  <c r="W158" i="6"/>
  <c r="W368" i="6"/>
  <c r="W87" i="6"/>
  <c r="W305" i="6"/>
  <c r="W20" i="6"/>
  <c r="W33" i="6"/>
  <c r="W270" i="6"/>
  <c r="W76" i="6"/>
  <c r="W187" i="6"/>
  <c r="W228" i="6"/>
  <c r="W343" i="6"/>
  <c r="W374" i="6"/>
  <c r="W397" i="6"/>
  <c r="W319" i="6"/>
  <c r="W412" i="6"/>
  <c r="W471" i="6"/>
  <c r="W447" i="6"/>
  <c r="W460" i="6"/>
  <c r="W433" i="6"/>
  <c r="W28" i="6"/>
  <c r="W80" i="6"/>
  <c r="W115" i="6"/>
  <c r="W140" i="6"/>
  <c r="W312" i="6"/>
  <c r="W456" i="6"/>
  <c r="W246" i="6"/>
  <c r="W413" i="6"/>
  <c r="W142" i="6"/>
  <c r="W320" i="6"/>
  <c r="W70" i="6"/>
  <c r="W289" i="6"/>
  <c r="W303" i="6"/>
  <c r="W18" i="6"/>
  <c r="W226" i="6"/>
  <c r="W75" i="6"/>
  <c r="W350" i="6"/>
  <c r="W351" i="6"/>
  <c r="W204" i="6"/>
  <c r="W372" i="6"/>
  <c r="W395" i="6"/>
  <c r="W394" i="6"/>
  <c r="W393" i="6"/>
  <c r="W325" i="6"/>
  <c r="W451" i="6"/>
  <c r="W461" i="6"/>
  <c r="W428" i="6"/>
  <c r="W475" i="6"/>
  <c r="W26" i="6"/>
  <c r="W50" i="6"/>
  <c r="W79" i="6"/>
  <c r="W113" i="6"/>
  <c r="W296" i="6"/>
  <c r="W214" i="6"/>
  <c r="W126" i="6"/>
  <c r="W347" i="6"/>
  <c r="W54" i="6"/>
  <c r="W273" i="6"/>
  <c r="W287" i="6"/>
  <c r="X7" i="6"/>
  <c r="W237" i="6"/>
  <c r="W300" i="6"/>
  <c r="W299" i="6"/>
  <c r="W255" i="6"/>
  <c r="W344" i="6"/>
  <c r="W370" i="6"/>
  <c r="W367" i="6"/>
  <c r="W365" i="6"/>
  <c r="W392" i="6"/>
  <c r="W414" i="6"/>
  <c r="W445" i="6"/>
  <c r="W472" i="6"/>
  <c r="W452" i="6"/>
  <c r="W24" i="6"/>
  <c r="W47" i="6"/>
  <c r="W78" i="6"/>
  <c r="W280" i="6"/>
  <c r="W430" i="6"/>
  <c r="W252" i="6"/>
  <c r="W386" i="6"/>
  <c r="W110" i="6"/>
  <c r="W223" i="6"/>
  <c r="W37" i="6"/>
  <c r="W240" i="6"/>
  <c r="W271" i="6"/>
  <c r="W420" i="6"/>
  <c r="W177" i="6"/>
  <c r="W468" i="6"/>
  <c r="W272" i="6"/>
  <c r="W269" i="6"/>
  <c r="W298" i="6"/>
  <c r="W215" i="6"/>
  <c r="W328" i="6"/>
  <c r="W321" i="6"/>
  <c r="W254" i="6"/>
  <c r="W364" i="6"/>
  <c r="W391" i="6"/>
  <c r="W389" i="6"/>
  <c r="W415" i="6"/>
  <c r="W436" i="6"/>
  <c r="W443" i="6"/>
  <c r="W21" i="6"/>
  <c r="W46" i="6"/>
  <c r="W262" i="6"/>
  <c r="W459" i="6"/>
  <c r="W160" i="6"/>
  <c r="W369" i="6"/>
  <c r="W88" i="6"/>
  <c r="W307" i="6"/>
  <c r="W22" i="6"/>
  <c r="W179" i="6"/>
  <c r="W232" i="6"/>
  <c r="W10" i="6"/>
  <c r="W173" i="6"/>
  <c r="W213" i="6"/>
  <c r="W188" i="6"/>
  <c r="W268" i="6"/>
  <c r="W297" i="6"/>
  <c r="W199" i="6"/>
  <c r="W190" i="6"/>
  <c r="W256" i="6"/>
  <c r="W345" i="6"/>
  <c r="W346" i="6"/>
  <c r="W362" i="6"/>
  <c r="W387" i="6"/>
  <c r="W352" i="6"/>
  <c r="W458" i="6"/>
  <c r="W446" i="6"/>
  <c r="W440" i="6"/>
  <c r="W19" i="6"/>
  <c r="W174" i="6"/>
  <c r="W144" i="6"/>
  <c r="W326" i="6"/>
  <c r="W71" i="6"/>
  <c r="W291" i="6"/>
  <c r="W473" i="6"/>
  <c r="W203" i="6"/>
  <c r="W241" i="6"/>
  <c r="W448" i="6"/>
  <c r="W171" i="6"/>
  <c r="W229" i="6"/>
  <c r="W91" i="6"/>
  <c r="W234" i="6"/>
  <c r="W222" i="6"/>
  <c r="W245" i="6"/>
  <c r="W267" i="6"/>
  <c r="W295" i="6"/>
  <c r="W293" i="6"/>
  <c r="W290" i="6"/>
  <c r="W176" i="6"/>
  <c r="W315" i="6"/>
  <c r="W331" i="6"/>
  <c r="W360" i="6"/>
  <c r="W384" i="6"/>
  <c r="W337" i="6"/>
  <c r="W9" i="6"/>
  <c r="W457" i="6"/>
  <c r="W192" i="6"/>
  <c r="W340" i="6"/>
  <c r="W128" i="6"/>
  <c r="W330" i="6"/>
  <c r="W55" i="6"/>
  <c r="W275" i="6"/>
  <c r="W444" i="6"/>
  <c r="W175" i="6"/>
  <c r="W185" i="6"/>
  <c r="W239" i="6"/>
  <c r="W152" i="6"/>
  <c r="W301" i="6"/>
  <c r="W238" i="6"/>
  <c r="W138" i="6"/>
  <c r="W172" i="6"/>
  <c r="W164" i="6"/>
  <c r="W206" i="6"/>
  <c r="W233" i="6"/>
  <c r="W264" i="6"/>
  <c r="W263" i="6"/>
  <c r="W261" i="6"/>
  <c r="W288" i="6"/>
  <c r="W285" i="6"/>
  <c r="W314" i="6"/>
  <c r="W348" i="6"/>
  <c r="W359" i="6"/>
  <c r="W382" i="6"/>
  <c r="W338" i="6"/>
  <c r="W409" i="6"/>
  <c r="W417" i="6"/>
  <c r="W230" i="6"/>
  <c r="W388" i="6"/>
  <c r="W112" i="6"/>
  <c r="W231" i="6"/>
  <c r="W38" i="6"/>
  <c r="W257" i="6"/>
  <c r="W435" i="6"/>
  <c r="W169" i="6"/>
  <c r="W250" i="6"/>
  <c r="W220" i="6"/>
  <c r="W136" i="6"/>
  <c r="W274" i="6"/>
  <c r="W111" i="6"/>
  <c r="W135" i="6"/>
  <c r="W134" i="6"/>
  <c r="W180" i="6"/>
  <c r="W224" i="6"/>
  <c r="W216" i="6"/>
  <c r="W208" i="6"/>
  <c r="W259" i="6"/>
  <c r="W244" i="6"/>
  <c r="W284" i="6"/>
  <c r="W313" i="6"/>
  <c r="W332" i="6"/>
  <c r="W358" i="6"/>
  <c r="W381" i="6"/>
  <c r="W243" i="6"/>
  <c r="W439" i="6"/>
  <c r="W193" i="6"/>
  <c r="W371" i="6"/>
  <c r="W90" i="6"/>
  <c r="W308" i="6"/>
  <c r="W23" i="6"/>
  <c r="W197" i="6"/>
  <c r="W235" i="6"/>
  <c r="W155" i="6"/>
  <c r="W170" i="6"/>
  <c r="W396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3" i="6"/>
  <c r="W311" i="6"/>
  <c r="W212" i="6"/>
  <c r="W356" i="6"/>
  <c r="W379" i="6"/>
  <c r="W429" i="6"/>
  <c r="W355" i="6"/>
  <c r="W74" i="6"/>
  <c r="W292" i="6"/>
  <c r="W427" i="6"/>
  <c r="W219" i="6"/>
  <c r="W11" i="6"/>
  <c r="W139" i="6"/>
  <c r="W153" i="6"/>
  <c r="W380" i="6"/>
  <c r="W104" i="6"/>
  <c r="W45" i="6"/>
  <c r="W44" i="6"/>
  <c r="W72" i="6"/>
  <c r="W103" i="6"/>
  <c r="W132" i="6"/>
  <c r="W159" i="6"/>
  <c r="W156" i="6"/>
  <c r="W154" i="6"/>
  <c r="W217" i="6"/>
  <c r="W209" i="6"/>
  <c r="W247" i="6"/>
  <c r="W218" i="6"/>
  <c r="W282" i="6"/>
  <c r="W309" i="6"/>
  <c r="W349" i="6"/>
  <c r="W341" i="6"/>
  <c r="W323" i="6"/>
  <c r="W146" i="6"/>
  <c r="W329" i="6"/>
  <c r="W57" i="6"/>
  <c r="W276" i="6"/>
  <c r="W316" i="6"/>
  <c r="W189" i="6"/>
  <c r="W399" i="6"/>
  <c r="W123" i="6"/>
  <c r="W137" i="6"/>
  <c r="W363" i="6"/>
  <c r="W82" i="6"/>
  <c r="W16" i="6"/>
  <c r="W15" i="6"/>
  <c r="W43" i="6"/>
  <c r="W69" i="6"/>
  <c r="W102" i="6"/>
  <c r="W131" i="6"/>
  <c r="W129" i="6"/>
  <c r="W127" i="6"/>
  <c r="W151" i="6"/>
  <c r="W150" i="6"/>
  <c r="W201" i="6"/>
  <c r="W211" i="6"/>
  <c r="W210" i="6"/>
  <c r="W281" i="6"/>
  <c r="W306" i="6"/>
  <c r="W333" i="6"/>
  <c r="W196" i="6"/>
  <c r="W130" i="6"/>
  <c r="W335" i="6"/>
  <c r="W40" i="6"/>
  <c r="W258" i="6"/>
  <c r="W438" i="6"/>
  <c r="W168" i="6"/>
  <c r="W383" i="6"/>
  <c r="W107" i="6"/>
  <c r="W121" i="6"/>
  <c r="W327" i="6"/>
  <c r="W65" i="6"/>
  <c r="W441" i="6"/>
  <c r="W437" i="6"/>
  <c r="W14" i="6"/>
  <c r="W41" i="6"/>
  <c r="W67" i="6"/>
  <c r="W101" i="6"/>
  <c r="W100" i="6"/>
  <c r="W124" i="6"/>
  <c r="W122" i="6"/>
  <c r="W149" i="6"/>
  <c r="W183" i="6"/>
  <c r="W195" i="6"/>
  <c r="W202" i="6"/>
  <c r="W279" i="6"/>
  <c r="W304" i="6"/>
  <c r="W390" i="6"/>
  <c r="W114" i="6"/>
  <c r="W310" i="6"/>
  <c r="W25" i="6"/>
  <c r="W205" i="6"/>
  <c r="W426" i="6"/>
  <c r="W157" i="6"/>
  <c r="W366" i="6"/>
  <c r="W85" i="6"/>
  <c r="W105" i="6"/>
  <c r="W322" i="6"/>
  <c r="W48" i="6"/>
  <c r="W408" i="6"/>
  <c r="W454" i="6"/>
  <c r="W353" i="6"/>
  <c r="W416" i="6"/>
  <c r="W455" i="6"/>
  <c r="W13" i="6"/>
  <c r="W39" i="6"/>
  <c r="W64" i="6"/>
  <c r="W63" i="6"/>
  <c r="W62" i="6"/>
  <c r="W96" i="6"/>
  <c r="W89" i="6"/>
  <c r="W119" i="6"/>
  <c r="W148" i="6"/>
  <c r="W166" i="6"/>
  <c r="W248" i="6"/>
  <c r="W194" i="6"/>
  <c r="W277" i="6"/>
  <c r="W373" i="6"/>
  <c r="W95" i="6"/>
  <c r="W294" i="6"/>
  <c r="W227" i="6"/>
  <c r="W339" i="6"/>
  <c r="W141" i="6"/>
  <c r="W317" i="6"/>
  <c r="W68" i="6"/>
  <c r="W83" i="6"/>
  <c r="W181" i="6"/>
  <c r="X73" i="6" l="1"/>
  <c r="X401" i="6"/>
  <c r="X402" i="6"/>
  <c r="X403" i="6"/>
  <c r="X404" i="6"/>
  <c r="X405" i="6"/>
  <c r="X406" i="6"/>
  <c r="X407" i="6"/>
  <c r="X462" i="6"/>
  <c r="X463" i="6"/>
  <c r="X464" i="6"/>
  <c r="X465" i="6"/>
  <c r="X466" i="6"/>
  <c r="X467" i="6"/>
  <c r="X186" i="6"/>
  <c r="X51" i="6"/>
  <c r="X52" i="6"/>
  <c r="X53" i="6"/>
  <c r="X483" i="6"/>
  <c r="X478" i="6"/>
  <c r="X484" i="6"/>
  <c r="X485" i="6"/>
  <c r="X481" i="6"/>
  <c r="X479" i="6"/>
  <c r="X482" i="6"/>
  <c r="X480" i="6"/>
  <c r="X191" i="6"/>
  <c r="X476" i="6"/>
  <c r="X477" i="6"/>
  <c r="X421" i="6"/>
  <c r="X422" i="6"/>
  <c r="X423" i="6"/>
  <c r="X424" i="6"/>
  <c r="X425" i="6"/>
  <c r="X324" i="6"/>
  <c r="X97" i="6"/>
  <c r="X98" i="6"/>
  <c r="X99" i="6"/>
  <c r="X271" i="6"/>
  <c r="X361" i="6"/>
  <c r="X384" i="6"/>
  <c r="X296" i="6"/>
  <c r="X165" i="6"/>
  <c r="X471" i="6"/>
  <c r="X321" i="6"/>
  <c r="X71" i="6"/>
  <c r="X375" i="6"/>
  <c r="X376" i="6"/>
  <c r="X377" i="6"/>
  <c r="X270" i="6"/>
  <c r="X286" i="6"/>
  <c r="X443" i="6"/>
  <c r="X414" i="6"/>
  <c r="X78" i="6"/>
  <c r="X66" i="6"/>
  <c r="X13" i="6"/>
  <c r="X28" i="6"/>
  <c r="X453" i="6"/>
  <c r="X429" i="6"/>
  <c r="X80" i="6"/>
  <c r="X164" i="6"/>
  <c r="X26" i="6"/>
  <c r="X319" i="6"/>
  <c r="X248" i="6"/>
  <c r="X217" i="6"/>
  <c r="X446" i="6"/>
  <c r="X310" i="6"/>
  <c r="X81" i="6"/>
  <c r="X431" i="6"/>
  <c r="X417" i="6"/>
  <c r="X367" i="6"/>
  <c r="X224" i="6"/>
  <c r="X444" i="6"/>
  <c r="X249" i="6"/>
  <c r="X312" i="6"/>
  <c r="X326" i="6"/>
  <c r="X178" i="6"/>
  <c r="X86" i="6"/>
  <c r="X132" i="6"/>
  <c r="X393" i="6"/>
  <c r="X358" i="6"/>
  <c r="X149" i="6"/>
  <c r="X345" i="6"/>
  <c r="X290" i="6"/>
  <c r="X274" i="6"/>
  <c r="X192" i="6"/>
  <c r="X331" i="6"/>
  <c r="X353" i="6"/>
  <c r="X29" i="6"/>
  <c r="X92" i="6"/>
  <c r="X93" i="6"/>
  <c r="X94" i="6"/>
  <c r="X357" i="6"/>
  <c r="X168" i="6"/>
  <c r="X288" i="6"/>
  <c r="X91" i="6"/>
  <c r="X64" i="6"/>
  <c r="X69" i="6"/>
  <c r="X338" i="6"/>
  <c r="X152" i="6"/>
  <c r="X27" i="6"/>
  <c r="X272" i="6"/>
  <c r="X83" i="6"/>
  <c r="X470" i="6"/>
  <c r="X287" i="6"/>
  <c r="X167" i="6"/>
  <c r="X88" i="6"/>
  <c r="W5" i="6"/>
  <c r="X472" i="6"/>
  <c r="X426" i="6"/>
  <c r="X101" i="6"/>
  <c r="X349" i="6"/>
  <c r="X381" i="6"/>
  <c r="X10" i="6"/>
  <c r="X434" i="6"/>
  <c r="X263" i="6"/>
  <c r="X329" i="6"/>
  <c r="X244" i="6"/>
  <c r="X176" i="6"/>
  <c r="X42" i="6"/>
  <c r="X236" i="6"/>
  <c r="X232" i="6"/>
  <c r="X226" i="6"/>
  <c r="X435" i="6"/>
  <c r="X187" i="6"/>
  <c r="X209" i="6"/>
  <c r="X396" i="6"/>
  <c r="X136" i="6"/>
  <c r="X151" i="6"/>
  <c r="X410" i="6"/>
  <c r="X148" i="6"/>
  <c r="X335" i="6"/>
  <c r="X50" i="6"/>
  <c r="X48" i="6"/>
  <c r="X47" i="6"/>
  <c r="X45" i="6"/>
  <c r="X76" i="6"/>
  <c r="X307" i="6"/>
  <c r="X418" i="6"/>
  <c r="X188" i="6"/>
  <c r="X22" i="6"/>
  <c r="X241" i="6"/>
  <c r="X135" i="6"/>
  <c r="X25" i="6"/>
  <c r="X24" i="6"/>
  <c r="X75" i="6"/>
  <c r="X459" i="6"/>
  <c r="X389" i="6"/>
  <c r="X183" i="6"/>
  <c r="X350" i="6"/>
  <c r="X378" i="6"/>
  <c r="Y7" i="6"/>
  <c r="X184" i="6"/>
  <c r="X211" i="6"/>
  <c r="X289" i="6"/>
  <c r="X195" i="6"/>
  <c r="X185" i="6"/>
  <c r="X177" i="6"/>
  <c r="X416" i="6"/>
  <c r="X154" i="6"/>
  <c r="X169" i="6"/>
  <c r="X363" i="6"/>
  <c r="X104" i="6"/>
  <c r="X119" i="6"/>
  <c r="X116" i="6"/>
  <c r="X294" i="6"/>
  <c r="X293" i="6"/>
  <c r="X292" i="6"/>
  <c r="X291" i="6"/>
  <c r="X9" i="6"/>
  <c r="X364" i="6"/>
  <c r="X455" i="6"/>
  <c r="X303" i="6"/>
  <c r="X256" i="6"/>
  <c r="X399" i="6"/>
  <c r="X445" i="6"/>
  <c r="X118" i="6"/>
  <c r="X180" i="6"/>
  <c r="X273" i="6"/>
  <c r="X469" i="6"/>
  <c r="X250" i="6"/>
  <c r="X251" i="6"/>
  <c r="X225" i="6"/>
  <c r="X398" i="6"/>
  <c r="X138" i="6"/>
  <c r="X153" i="6"/>
  <c r="X344" i="6"/>
  <c r="X79" i="6"/>
  <c r="X103" i="6"/>
  <c r="X359" i="6"/>
  <c r="X100" i="6"/>
  <c r="X278" i="6"/>
  <c r="X277" i="6"/>
  <c r="X276" i="6"/>
  <c r="X275" i="6"/>
  <c r="X35" i="6"/>
  <c r="X468" i="6"/>
  <c r="X412" i="6"/>
  <c r="X330" i="6"/>
  <c r="X411" i="6"/>
  <c r="X474" i="6"/>
  <c r="X74" i="6"/>
  <c r="X255" i="6"/>
  <c r="X373" i="6"/>
  <c r="X11" i="6"/>
  <c r="X228" i="6"/>
  <c r="X240" i="6"/>
  <c r="X212" i="6"/>
  <c r="X204" i="6"/>
  <c r="X196" i="6"/>
  <c r="X382" i="6"/>
  <c r="X122" i="6"/>
  <c r="X137" i="6"/>
  <c r="X333" i="6"/>
  <c r="X57" i="6"/>
  <c r="X56" i="6"/>
  <c r="X190" i="6"/>
  <c r="X90" i="6"/>
  <c r="X260" i="6"/>
  <c r="X259" i="6"/>
  <c r="X258" i="6"/>
  <c r="X257" i="6"/>
  <c r="X20" i="6"/>
  <c r="X397" i="6"/>
  <c r="X313" i="6"/>
  <c r="X386" i="6"/>
  <c r="X340" i="6"/>
  <c r="X420" i="6"/>
  <c r="X297" i="6"/>
  <c r="X215" i="6"/>
  <c r="X394" i="6"/>
  <c r="X427" i="6"/>
  <c r="X84" i="6"/>
  <c r="X179" i="6"/>
  <c r="X475" i="6"/>
  <c r="X173" i="6"/>
  <c r="X172" i="6"/>
  <c r="X171" i="6"/>
  <c r="X365" i="6"/>
  <c r="X106" i="6"/>
  <c r="X121" i="6"/>
  <c r="X315" i="6"/>
  <c r="X36" i="6"/>
  <c r="X34" i="6"/>
  <c r="X351" i="6"/>
  <c r="X221" i="6"/>
  <c r="X213" i="6"/>
  <c r="X205" i="6"/>
  <c r="X197" i="6"/>
  <c r="X49" i="6"/>
  <c r="X432" i="6"/>
  <c r="X134" i="6"/>
  <c r="X305" i="6"/>
  <c r="X237" i="6"/>
  <c r="X387" i="6"/>
  <c r="X200" i="6"/>
  <c r="X360" i="6"/>
  <c r="X438" i="6"/>
  <c r="X166" i="6"/>
  <c r="X336" i="6"/>
  <c r="X370" i="6"/>
  <c r="X442" i="6"/>
  <c r="X159" i="6"/>
  <c r="X203" i="6"/>
  <c r="X339" i="6"/>
  <c r="X157" i="6"/>
  <c r="X156" i="6"/>
  <c r="X155" i="6"/>
  <c r="X327" i="6"/>
  <c r="X82" i="6"/>
  <c r="X105" i="6"/>
  <c r="X299" i="6"/>
  <c r="X12" i="6"/>
  <c r="X96" i="6"/>
  <c r="X311" i="6"/>
  <c r="X30" i="6"/>
  <c r="X246" i="6"/>
  <c r="X247" i="6"/>
  <c r="X227" i="6"/>
  <c r="X219" i="6"/>
  <c r="X33" i="6"/>
  <c r="X355" i="6"/>
  <c r="X120" i="6"/>
  <c r="X372" i="6"/>
  <c r="X102" i="6"/>
  <c r="X322" i="6"/>
  <c r="X383" i="6"/>
  <c r="X354" i="6"/>
  <c r="X450" i="6"/>
  <c r="X281" i="6"/>
  <c r="X254" i="6"/>
  <c r="X181" i="6"/>
  <c r="X143" i="6"/>
  <c r="X175" i="6"/>
  <c r="X141" i="6"/>
  <c r="X140" i="6"/>
  <c r="X139" i="6"/>
  <c r="X223" i="6"/>
  <c r="X59" i="6"/>
  <c r="X89" i="6"/>
  <c r="X283" i="6"/>
  <c r="X298" i="6"/>
  <c r="X55" i="6"/>
  <c r="X295" i="6"/>
  <c r="X437" i="6"/>
  <c r="X214" i="6"/>
  <c r="X206" i="6"/>
  <c r="X198" i="6"/>
  <c r="X189" i="6"/>
  <c r="X18" i="6"/>
  <c r="X415" i="6"/>
  <c r="X380" i="6"/>
  <c r="X362" i="6"/>
  <c r="X430" i="6"/>
  <c r="X308" i="6"/>
  <c r="X356" i="6"/>
  <c r="X451" i="6"/>
  <c r="X150" i="6"/>
  <c r="X318" i="6"/>
  <c r="X390" i="6"/>
  <c r="X127" i="6"/>
  <c r="X220" i="6"/>
  <c r="X385" i="6"/>
  <c r="X125" i="6"/>
  <c r="X124" i="6"/>
  <c r="X123" i="6"/>
  <c r="X317" i="6"/>
  <c r="X38" i="6"/>
  <c r="X58" i="6"/>
  <c r="X267" i="6"/>
  <c r="X282" i="6"/>
  <c r="X279" i="6"/>
  <c r="X441" i="6"/>
  <c r="X243" i="6"/>
  <c r="X239" i="6"/>
  <c r="X235" i="6"/>
  <c r="X231" i="6"/>
  <c r="X63" i="6"/>
  <c r="X392" i="6"/>
  <c r="X328" i="6"/>
  <c r="X428" i="6"/>
  <c r="X230" i="6"/>
  <c r="X199" i="6"/>
  <c r="X379" i="6"/>
  <c r="X8" i="6"/>
  <c r="X436" i="6"/>
  <c r="X262" i="6"/>
  <c r="X366" i="6"/>
  <c r="X111" i="6"/>
  <c r="X67" i="6"/>
  <c r="X368" i="6"/>
  <c r="X109" i="6"/>
  <c r="X108" i="6"/>
  <c r="X107" i="6"/>
  <c r="X301" i="6"/>
  <c r="X16" i="6"/>
  <c r="X37" i="6"/>
  <c r="X202" i="6"/>
  <c r="X264" i="6"/>
  <c r="X72" i="6"/>
  <c r="X261" i="6"/>
  <c r="X87" i="6"/>
  <c r="X70" i="6"/>
  <c r="X46" i="6"/>
  <c r="X332" i="6"/>
  <c r="X449" i="6"/>
  <c r="X456" i="6"/>
  <c r="X306" i="6"/>
  <c r="X341" i="6"/>
  <c r="X400" i="6"/>
  <c r="X461" i="6"/>
  <c r="X133" i="6"/>
  <c r="X346" i="6"/>
  <c r="X65" i="6"/>
  <c r="X158" i="6"/>
  <c r="X342" i="6"/>
  <c r="X85" i="6"/>
  <c r="X68" i="6"/>
  <c r="X95" i="6"/>
  <c r="X285" i="6"/>
  <c r="X300" i="6"/>
  <c r="X14" i="6"/>
  <c r="X216" i="6"/>
  <c r="X194" i="6"/>
  <c r="X54" i="6"/>
  <c r="X229" i="6"/>
  <c r="X207" i="6"/>
  <c r="X163" i="6"/>
  <c r="X162" i="6"/>
  <c r="X161" i="6"/>
  <c r="X160" i="6"/>
  <c r="X31" i="6"/>
  <c r="X245" i="6"/>
  <c r="X323" i="6"/>
  <c r="X413" i="6"/>
  <c r="X452" i="6"/>
  <c r="X252" i="6"/>
  <c r="X334" i="6"/>
  <c r="X337" i="6"/>
  <c r="X447" i="6"/>
  <c r="X314" i="6"/>
  <c r="X43" i="6"/>
  <c r="X142" i="6"/>
  <c r="X348" i="6"/>
  <c r="X62" i="6"/>
  <c r="X61" i="6"/>
  <c r="X60" i="6"/>
  <c r="X269" i="6"/>
  <c r="X284" i="6"/>
  <c r="X440" i="6"/>
  <c r="X242" i="6"/>
  <c r="X208" i="6"/>
  <c r="X32" i="6"/>
  <c r="X182" i="6"/>
  <c r="X409" i="6"/>
  <c r="X147" i="6"/>
  <c r="X146" i="6"/>
  <c r="X145" i="6"/>
  <c r="X144" i="6"/>
  <c r="X15" i="6"/>
  <c r="X433" i="6"/>
  <c r="X316" i="6"/>
  <c r="X419" i="6"/>
  <c r="X309" i="6"/>
  <c r="X388" i="6"/>
  <c r="X439" i="6"/>
  <c r="X454" i="6"/>
  <c r="X302" i="6"/>
  <c r="X343" i="6"/>
  <c r="X395" i="6"/>
  <c r="X458" i="6"/>
  <c r="X174" i="6"/>
  <c r="X23" i="6"/>
  <c r="X126" i="6"/>
  <c r="X320" i="6"/>
  <c r="X41" i="6"/>
  <c r="X40" i="6"/>
  <c r="X39" i="6"/>
  <c r="X218" i="6"/>
  <c r="X268" i="6"/>
  <c r="X460" i="6"/>
  <c r="X201" i="6"/>
  <c r="X238" i="6"/>
  <c r="X473" i="6"/>
  <c r="X222" i="6"/>
  <c r="X391" i="6"/>
  <c r="X131" i="6"/>
  <c r="X130" i="6"/>
  <c r="X129" i="6"/>
  <c r="X128" i="6"/>
  <c r="X44" i="6"/>
  <c r="X170" i="6"/>
  <c r="X234" i="6"/>
  <c r="X280" i="6"/>
  <c r="X347" i="6"/>
  <c r="X408" i="6"/>
  <c r="X352" i="6"/>
  <c r="X371" i="6"/>
  <c r="X325" i="6"/>
  <c r="X117" i="6"/>
  <c r="X369" i="6"/>
  <c r="X110" i="6"/>
  <c r="X304" i="6"/>
  <c r="X21" i="6"/>
  <c r="X19" i="6"/>
  <c r="X17" i="6"/>
  <c r="X233" i="6"/>
  <c r="X210" i="6"/>
  <c r="X448" i="6"/>
  <c r="X77" i="6"/>
  <c r="X193" i="6"/>
  <c r="X457" i="6"/>
  <c r="X253" i="6"/>
  <c r="X374" i="6"/>
  <c r="X115" i="6"/>
  <c r="X114" i="6"/>
  <c r="X113" i="6"/>
  <c r="X112" i="6"/>
  <c r="Y73" i="6" l="1"/>
  <c r="Y401" i="6"/>
  <c r="Y402" i="6"/>
  <c r="Y403" i="6"/>
  <c r="Y404" i="6"/>
  <c r="Y405" i="6"/>
  <c r="Y406" i="6"/>
  <c r="Y407" i="6"/>
  <c r="Y462" i="6"/>
  <c r="Y463" i="6"/>
  <c r="Y464" i="6"/>
  <c r="Y465" i="6"/>
  <c r="Y466" i="6"/>
  <c r="Y467" i="6"/>
  <c r="Y186" i="6"/>
  <c r="Y51" i="6"/>
  <c r="Y52" i="6"/>
  <c r="Y53" i="6"/>
  <c r="Y480" i="6"/>
  <c r="Y483" i="6"/>
  <c r="Y478" i="6"/>
  <c r="Y484" i="6"/>
  <c r="Y485" i="6"/>
  <c r="Y481" i="6"/>
  <c r="Y479" i="6"/>
  <c r="Y482" i="6"/>
  <c r="Y476" i="6"/>
  <c r="Y477" i="6"/>
  <c r="Y101" i="6"/>
  <c r="Y365" i="6"/>
  <c r="Y135" i="6"/>
  <c r="Y191" i="6"/>
  <c r="Y469" i="6"/>
  <c r="Y399" i="6"/>
  <c r="Y396" i="6"/>
  <c r="Y144" i="6"/>
  <c r="Y41" i="6"/>
  <c r="Y74" i="6"/>
  <c r="Y121" i="6"/>
  <c r="Y197" i="6"/>
  <c r="Y421" i="6"/>
  <c r="Y422" i="6"/>
  <c r="Y423" i="6"/>
  <c r="Y424" i="6"/>
  <c r="Y425" i="6"/>
  <c r="Y268" i="6"/>
  <c r="Y214" i="6"/>
  <c r="Y33" i="6"/>
  <c r="Y174" i="6"/>
  <c r="Y127" i="6"/>
  <c r="Y77" i="6"/>
  <c r="Y56" i="6"/>
  <c r="Y363" i="6"/>
  <c r="Y203" i="6"/>
  <c r="Y14" i="6"/>
  <c r="Y281" i="6"/>
  <c r="Y430" i="6"/>
  <c r="Y275" i="6"/>
  <c r="Y419" i="6"/>
  <c r="Y27" i="6"/>
  <c r="Y289" i="6"/>
  <c r="Y143" i="6"/>
  <c r="Y64" i="6"/>
  <c r="Y103" i="6"/>
  <c r="Y18" i="6"/>
  <c r="Y219" i="6"/>
  <c r="Y108" i="6"/>
  <c r="Y239" i="6"/>
  <c r="Y176" i="6"/>
  <c r="Y147" i="6"/>
  <c r="Y85" i="6"/>
  <c r="Y217" i="6"/>
  <c r="Y157" i="6"/>
  <c r="Y71" i="6"/>
  <c r="Y60" i="6"/>
  <c r="Y122" i="6"/>
  <c r="Y347" i="6"/>
  <c r="Y271" i="6"/>
  <c r="Y394" i="6"/>
  <c r="Y303" i="6"/>
  <c r="Y215" i="6"/>
  <c r="Y113" i="6"/>
  <c r="Y324" i="6"/>
  <c r="Y97" i="6"/>
  <c r="Y98" i="6"/>
  <c r="Y99" i="6"/>
  <c r="Y338" i="6"/>
  <c r="Y170" i="6"/>
  <c r="Y230" i="6"/>
  <c r="Y83" i="6"/>
  <c r="Y61" i="6"/>
  <c r="Y408" i="6"/>
  <c r="Y81" i="6"/>
  <c r="Y313" i="6"/>
  <c r="Y184" i="6"/>
  <c r="Y455" i="6"/>
  <c r="Y146" i="6"/>
  <c r="Y102" i="6"/>
  <c r="Y354" i="6"/>
  <c r="Y345" i="6"/>
  <c r="Y251" i="6"/>
  <c r="Y12" i="6"/>
  <c r="Y117" i="6"/>
  <c r="Y228" i="6"/>
  <c r="Y361" i="6"/>
  <c r="Y445" i="6"/>
  <c r="Y130" i="6"/>
  <c r="Y327" i="6"/>
  <c r="Y200" i="6"/>
  <c r="Y132" i="6"/>
  <c r="Y431" i="6"/>
  <c r="Y415" i="6"/>
  <c r="Y391" i="6"/>
  <c r="Y48" i="6"/>
  <c r="Y125" i="6"/>
  <c r="Y192" i="6"/>
  <c r="Y190" i="6"/>
  <c r="Y211" i="6"/>
  <c r="Y311" i="6"/>
  <c r="Y16" i="6"/>
  <c r="Y37" i="6"/>
  <c r="Y59" i="6"/>
  <c r="Y9" i="6"/>
  <c r="Y111" i="6"/>
  <c r="Y185" i="6"/>
  <c r="Y201" i="6"/>
  <c r="Y179" i="6"/>
  <c r="Y45" i="6"/>
  <c r="Y257" i="6"/>
  <c r="Y326" i="6"/>
  <c r="Y235" i="6"/>
  <c r="Y17" i="6"/>
  <c r="Y110" i="6"/>
  <c r="Y368" i="6"/>
  <c r="Y392" i="6"/>
  <c r="Y26" i="6"/>
  <c r="Y100" i="6"/>
  <c r="Y163" i="6"/>
  <c r="Y87" i="6"/>
  <c r="Y188" i="6"/>
  <c r="Y359" i="6"/>
  <c r="Y276" i="6"/>
  <c r="Y13" i="6"/>
  <c r="Y35" i="6"/>
  <c r="Y395" i="6"/>
  <c r="Y72" i="6"/>
  <c r="Y169" i="6"/>
  <c r="Y154" i="6"/>
  <c r="Y164" i="6"/>
  <c r="Y30" i="6"/>
  <c r="Y386" i="6"/>
  <c r="Y273" i="6"/>
  <c r="Y8" i="6"/>
  <c r="Y57" i="6"/>
  <c r="Y244" i="6"/>
  <c r="Y364" i="6"/>
  <c r="Y452" i="6"/>
  <c r="Y387" i="6"/>
  <c r="Y47" i="6"/>
  <c r="Y123" i="6"/>
  <c r="Y68" i="6"/>
  <c r="Y120" i="6"/>
  <c r="Y441" i="6"/>
  <c r="Y339" i="6"/>
  <c r="Y341" i="6"/>
  <c r="Y362" i="6"/>
  <c r="Y355" i="6"/>
  <c r="Y39" i="6"/>
  <c r="Y69" i="6"/>
  <c r="Y106" i="6"/>
  <c r="Y80" i="6"/>
  <c r="Y76" i="6"/>
  <c r="Y255" i="6"/>
  <c r="Y95" i="6"/>
  <c r="Y258" i="6"/>
  <c r="Y373" i="6"/>
  <c r="Y473" i="6"/>
  <c r="Y24" i="6"/>
  <c r="Y36" i="6"/>
  <c r="Y84" i="6"/>
  <c r="Y46" i="6"/>
  <c r="Y75" i="6"/>
  <c r="Y224" i="6"/>
  <c r="Y378" i="6"/>
  <c r="Y414" i="6"/>
  <c r="Y22" i="6"/>
  <c r="Y383" i="6"/>
  <c r="Y54" i="6"/>
  <c r="Y301" i="6"/>
  <c r="Y42" i="6"/>
  <c r="Y438" i="6"/>
  <c r="Y437" i="6"/>
  <c r="Y434" i="6"/>
  <c r="Y374" i="6"/>
  <c r="Y50" i="6"/>
  <c r="Y468" i="6"/>
  <c r="Y344" i="6"/>
  <c r="Y309" i="6"/>
  <c r="Y43" i="6"/>
  <c r="Y350" i="6"/>
  <c r="Y249" i="6"/>
  <c r="Y379" i="6"/>
  <c r="Y306" i="6"/>
  <c r="Y459" i="6"/>
  <c r="Y233" i="6"/>
  <c r="Y336" i="6"/>
  <c r="Y370" i="6"/>
  <c r="Y312" i="6"/>
  <c r="Y15" i="6"/>
  <c r="Y295" i="6"/>
  <c r="Y435" i="6"/>
  <c r="Y107" i="6"/>
  <c r="Y308" i="6"/>
  <c r="Y436" i="6"/>
  <c r="Y131" i="6"/>
  <c r="Y198" i="6"/>
  <c r="Y242" i="6"/>
  <c r="Y353" i="6"/>
  <c r="Y475" i="6"/>
  <c r="Y474" i="6"/>
  <c r="Y366" i="6"/>
  <c r="Y20" i="6"/>
  <c r="Y334" i="6"/>
  <c r="Y298" i="6"/>
  <c r="Y290" i="6"/>
  <c r="Y393" i="6"/>
  <c r="Y264" i="6"/>
  <c r="Y417" i="6"/>
  <c r="Y400" i="6"/>
  <c r="Y34" i="6"/>
  <c r="Y443" i="6"/>
  <c r="Y429" i="6"/>
  <c r="Y360" i="6"/>
  <c r="Y454" i="6"/>
  <c r="Y221" i="6"/>
  <c r="Y410" i="6"/>
  <c r="Y457" i="6"/>
  <c r="Y109" i="6"/>
  <c r="Y293" i="6"/>
  <c r="Y447" i="6"/>
  <c r="Y371" i="6"/>
  <c r="Y304" i="6"/>
  <c r="Y288" i="6"/>
  <c r="Y282" i="6"/>
  <c r="Y307" i="6"/>
  <c r="Y340" i="6"/>
  <c r="Y357" i="6"/>
  <c r="Y287" i="6"/>
  <c r="Y427" i="6"/>
  <c r="Y388" i="6"/>
  <c r="Y418" i="6"/>
  <c r="Y349" i="6"/>
  <c r="Y261" i="6"/>
  <c r="Y440" i="6"/>
  <c r="Y67" i="6"/>
  <c r="Y458" i="6"/>
  <c r="Y380" i="6"/>
  <c r="Y439" i="6"/>
  <c r="Y300" i="6"/>
  <c r="Y389" i="6"/>
  <c r="Y195" i="6"/>
  <c r="Y449" i="6"/>
  <c r="Y210" i="6"/>
  <c r="Y153" i="6"/>
  <c r="Y223" i="6"/>
  <c r="Y78" i="6"/>
  <c r="Y129" i="6"/>
  <c r="Y167" i="6"/>
  <c r="Y218" i="6"/>
  <c r="Y315" i="6"/>
  <c r="Y472" i="6"/>
  <c r="Y187" i="6"/>
  <c r="Y231" i="6"/>
  <c r="Y310" i="6"/>
  <c r="Y302" i="6"/>
  <c r="Y294" i="6"/>
  <c r="Y270" i="6"/>
  <c r="Y321" i="6"/>
  <c r="Y460" i="6"/>
  <c r="Y277" i="6"/>
  <c r="Y116" i="6"/>
  <c r="Y25" i="6"/>
  <c r="Y175" i="6"/>
  <c r="Y10" i="6"/>
  <c r="Y66" i="6"/>
  <c r="Y461" i="6"/>
  <c r="Y31" i="6"/>
  <c r="Y11" i="6"/>
  <c r="Y155" i="6"/>
  <c r="Y426" i="6"/>
  <c r="Y416" i="6"/>
  <c r="Y278" i="6"/>
  <c r="Y328" i="6"/>
  <c r="Y173" i="6"/>
  <c r="Y238" i="6"/>
  <c r="Y263" i="6"/>
  <c r="Y348" i="6"/>
  <c r="Y372" i="6"/>
  <c r="Y274" i="6"/>
  <c r="Y199" i="6"/>
  <c r="Y411" i="6"/>
  <c r="Y246" i="6"/>
  <c r="Y40" i="6"/>
  <c r="Y262" i="6"/>
  <c r="Y32" i="6"/>
  <c r="Y105" i="6"/>
  <c r="Y151" i="6"/>
  <c r="Y194" i="6"/>
  <c r="Y337" i="6"/>
  <c r="Y316" i="6"/>
  <c r="Y342" i="6"/>
  <c r="Y446" i="6"/>
  <c r="Y91" i="6"/>
  <c r="Y208" i="6"/>
  <c r="Y254" i="6"/>
  <c r="Y232" i="6"/>
  <c r="Y226" i="6"/>
  <c r="Y206" i="6"/>
  <c r="Y296" i="6"/>
  <c r="Y448" i="6"/>
  <c r="Y444" i="6"/>
  <c r="Y322" i="6"/>
  <c r="Y90" i="6"/>
  <c r="Y142" i="6"/>
  <c r="Y248" i="6"/>
  <c r="Y442" i="6"/>
  <c r="Y237" i="6"/>
  <c r="Y168" i="6"/>
  <c r="Y259" i="6"/>
  <c r="Y205" i="6"/>
  <c r="Y456" i="6"/>
  <c r="Y28" i="6"/>
  <c r="Y119" i="6"/>
  <c r="Y166" i="6"/>
  <c r="Y412" i="6"/>
  <c r="Y23" i="6"/>
  <c r="Y325" i="6"/>
  <c r="Y433" i="6"/>
  <c r="Y471" i="6"/>
  <c r="Y390" i="6"/>
  <c r="Y128" i="6"/>
  <c r="Y234" i="6"/>
  <c r="Y269" i="6"/>
  <c r="Y182" i="6"/>
  <c r="Y207" i="6"/>
  <c r="Y204" i="6"/>
  <c r="Y189" i="6"/>
  <c r="Y352" i="6"/>
  <c r="Y432" i="6"/>
  <c r="Y385" i="6"/>
  <c r="Y260" i="6"/>
  <c r="Y367" i="6"/>
  <c r="Y209" i="6"/>
  <c r="Y225" i="6"/>
  <c r="Y104" i="6"/>
  <c r="Y148" i="6"/>
  <c r="Y216" i="6"/>
  <c r="Y299" i="6"/>
  <c r="Y291" i="6"/>
  <c r="Y256" i="6"/>
  <c r="Y139" i="6"/>
  <c r="Y181" i="6"/>
  <c r="Y160" i="6"/>
  <c r="Y177" i="6"/>
  <c r="Y165" i="6"/>
  <c r="Y317" i="6"/>
  <c r="Y318" i="6"/>
  <c r="Y141" i="6"/>
  <c r="Y243" i="6"/>
  <c r="Y29" i="6"/>
  <c r="Y202" i="6"/>
  <c r="Y413" i="6"/>
  <c r="Y369" i="6"/>
  <c r="Y49" i="6"/>
  <c r="Y126" i="6"/>
  <c r="Y193" i="6"/>
  <c r="Y319" i="6"/>
  <c r="Y297" i="6"/>
  <c r="Y346" i="6"/>
  <c r="Y89" i="6"/>
  <c r="Y115" i="6"/>
  <c r="Y137" i="6"/>
  <c r="Y136" i="6"/>
  <c r="Y158" i="6"/>
  <c r="Y159" i="6"/>
  <c r="Y253" i="6"/>
  <c r="Y241" i="6"/>
  <c r="Y285" i="6"/>
  <c r="Y133" i="6"/>
  <c r="Y332" i="6"/>
  <c r="Y335" i="6"/>
  <c r="Y161" i="6"/>
  <c r="Y227" i="6"/>
  <c r="Y272" i="6"/>
  <c r="Y356" i="6"/>
  <c r="Y409" i="6"/>
  <c r="Y86" i="6"/>
  <c r="Y171" i="6"/>
  <c r="Y351" i="6"/>
  <c r="Y305" i="6"/>
  <c r="Y343" i="6"/>
  <c r="Y330" i="6"/>
  <c r="Y286" i="6"/>
  <c r="Y55" i="6"/>
  <c r="Y152" i="6"/>
  <c r="Y220" i="6"/>
  <c r="Y333" i="6"/>
  <c r="Y451" i="6"/>
  <c r="Y284" i="6"/>
  <c r="Y44" i="6"/>
  <c r="Y88" i="6"/>
  <c r="Y172" i="6"/>
  <c r="Y292" i="6"/>
  <c r="Y38" i="6"/>
  <c r="Y114" i="6"/>
  <c r="Y180" i="6"/>
  <c r="Y245" i="6"/>
  <c r="Y331" i="6"/>
  <c r="Y450" i="6"/>
  <c r="Y138" i="6"/>
  <c r="Y247" i="6"/>
  <c r="Y453" i="6"/>
  <c r="Y375" i="6"/>
  <c r="Y376" i="6"/>
  <c r="Y377" i="6"/>
  <c r="Y112" i="6"/>
  <c r="Y240" i="6"/>
  <c r="Y279" i="6"/>
  <c r="Y156" i="6"/>
  <c r="Y320" i="6"/>
  <c r="Y382" i="6"/>
  <c r="Y150" i="6"/>
  <c r="Y212" i="6"/>
  <c r="Y82" i="6"/>
  <c r="Y250" i="6"/>
  <c r="Y398" i="6"/>
  <c r="Y140" i="6"/>
  <c r="Y329" i="6"/>
  <c r="Y358" i="6"/>
  <c r="Y134" i="6"/>
  <c r="Y196" i="6"/>
  <c r="Y70" i="6"/>
  <c r="Y145" i="6"/>
  <c r="Y252" i="6"/>
  <c r="Y65" i="6"/>
  <c r="Y162" i="6"/>
  <c r="Y236" i="6"/>
  <c r="Y397" i="6"/>
  <c r="Z7" i="6"/>
  <c r="Y58" i="6"/>
  <c r="Y222" i="6"/>
  <c r="Y470" i="6"/>
  <c r="Y124" i="6"/>
  <c r="Y280" i="6"/>
  <c r="Y384" i="6"/>
  <c r="Y118" i="6"/>
  <c r="Y178" i="6"/>
  <c r="X5" i="6"/>
  <c r="Y62" i="6"/>
  <c r="Y92" i="6"/>
  <c r="Y93" i="6"/>
  <c r="Y94" i="6"/>
  <c r="Y420" i="6"/>
  <c r="Y96" i="6"/>
  <c r="Y283" i="6"/>
  <c r="Y21" i="6"/>
  <c r="Y183" i="6"/>
  <c r="Y428" i="6"/>
  <c r="Y63" i="6"/>
  <c r="Y149" i="6"/>
  <c r="Y267" i="6"/>
  <c r="Y19" i="6"/>
  <c r="Y229" i="6"/>
  <c r="Y381" i="6"/>
  <c r="Y79" i="6"/>
  <c r="Y323" i="6"/>
  <c r="Y213" i="6"/>
  <c r="Y314" i="6"/>
  <c r="Z73" i="6" l="1"/>
  <c r="Z401" i="6"/>
  <c r="Z402" i="6"/>
  <c r="Z403" i="6"/>
  <c r="Z404" i="6"/>
  <c r="Z405" i="6"/>
  <c r="Z406" i="6"/>
  <c r="Z407" i="6"/>
  <c r="Z462" i="6"/>
  <c r="Z463" i="6"/>
  <c r="Z464" i="6"/>
  <c r="Z465" i="6"/>
  <c r="Z466" i="6"/>
  <c r="Z467" i="6"/>
  <c r="Z186" i="6"/>
  <c r="Z51" i="6"/>
  <c r="Z52" i="6"/>
  <c r="Z53" i="6"/>
  <c r="Z480" i="6"/>
  <c r="Z483" i="6"/>
  <c r="Z478" i="6"/>
  <c r="Z484" i="6"/>
  <c r="Z485" i="6"/>
  <c r="Z481" i="6"/>
  <c r="Z479" i="6"/>
  <c r="Z482" i="6"/>
  <c r="Z158" i="6"/>
  <c r="Z191" i="6"/>
  <c r="Z476" i="6"/>
  <c r="Z477" i="6"/>
  <c r="Z198" i="6"/>
  <c r="Z180" i="6"/>
  <c r="Z364" i="6"/>
  <c r="Z421" i="6"/>
  <c r="Z422" i="6"/>
  <c r="Z423" i="6"/>
  <c r="Z424" i="6"/>
  <c r="Z425" i="6"/>
  <c r="Z133" i="6"/>
  <c r="Z324" i="6"/>
  <c r="Z97" i="6"/>
  <c r="Z98" i="6"/>
  <c r="Z99" i="6"/>
  <c r="Z165" i="6"/>
  <c r="Z32" i="6"/>
  <c r="Z12" i="6"/>
  <c r="Z361" i="6"/>
  <c r="Z75" i="6"/>
  <c r="Z343" i="6"/>
  <c r="Z308" i="6"/>
  <c r="Z381" i="6"/>
  <c r="Z445" i="6"/>
  <c r="Z301" i="6"/>
  <c r="Z13" i="6"/>
  <c r="Z344" i="6"/>
  <c r="Z447" i="6"/>
  <c r="Z427" i="6"/>
  <c r="Z271" i="6"/>
  <c r="Z439" i="6"/>
  <c r="Z142" i="6"/>
  <c r="Z468" i="6"/>
  <c r="Z135" i="6"/>
  <c r="Z41" i="6"/>
  <c r="Z152" i="6"/>
  <c r="Z126" i="6"/>
  <c r="Z60" i="6"/>
  <c r="Z382" i="6"/>
  <c r="Z23" i="6"/>
  <c r="Z82" i="6"/>
  <c r="Z8" i="6"/>
  <c r="Z457" i="6"/>
  <c r="Z354" i="6"/>
  <c r="Z316" i="6"/>
  <c r="Y5" i="6"/>
  <c r="Z389" i="6"/>
  <c r="Z245" i="6"/>
  <c r="Z49" i="6"/>
  <c r="Z114" i="6"/>
  <c r="Z347" i="6"/>
  <c r="Z157" i="6"/>
  <c r="Z64" i="6"/>
  <c r="Z291" i="6"/>
  <c r="Z62" i="6"/>
  <c r="Z86" i="6"/>
  <c r="Z345" i="6"/>
  <c r="Z297" i="6"/>
  <c r="Z125" i="6"/>
  <c r="Z145" i="6"/>
  <c r="Z281" i="6"/>
  <c r="Z248" i="6"/>
  <c r="Z349" i="6"/>
  <c r="Z87" i="6"/>
  <c r="Z240" i="6"/>
  <c r="Z231" i="6"/>
  <c r="Z280" i="6"/>
  <c r="Z255" i="6"/>
  <c r="Z306" i="6"/>
  <c r="Z409" i="6"/>
  <c r="Z259" i="6"/>
  <c r="Z208" i="6"/>
  <c r="Z391" i="6"/>
  <c r="Z350" i="6"/>
  <c r="Z254" i="6"/>
  <c r="Z272" i="6"/>
  <c r="Z342" i="6"/>
  <c r="Z235" i="6"/>
  <c r="Z411" i="6"/>
  <c r="Z132" i="6"/>
  <c r="Z373" i="6"/>
  <c r="Z116" i="6"/>
  <c r="Z274" i="6"/>
  <c r="Z84" i="6"/>
  <c r="Z326" i="6"/>
  <c r="Z329" i="6"/>
  <c r="Z335" i="6"/>
  <c r="Z247" i="6"/>
  <c r="Z251" i="6"/>
  <c r="Z472" i="6"/>
  <c r="Z429" i="6"/>
  <c r="Z119" i="6"/>
  <c r="Z36" i="6"/>
  <c r="Z141" i="6"/>
  <c r="Z450" i="6"/>
  <c r="Z234" i="6"/>
  <c r="Z365" i="6"/>
  <c r="Z333" i="6"/>
  <c r="Z241" i="6"/>
  <c r="Z357" i="6"/>
  <c r="Z311" i="6"/>
  <c r="Z112" i="6"/>
  <c r="Z61" i="6"/>
  <c r="Z293" i="6"/>
  <c r="Z395" i="6"/>
  <c r="Z475" i="6"/>
  <c r="Z42" i="6"/>
  <c r="Z340" i="6"/>
  <c r="Z374" i="6"/>
  <c r="Z200" i="6"/>
  <c r="Z339" i="6"/>
  <c r="Z455" i="6"/>
  <c r="Z25" i="6"/>
  <c r="Z258" i="6"/>
  <c r="Z50" i="6"/>
  <c r="Z358" i="6"/>
  <c r="Z442" i="6"/>
  <c r="Z284" i="6"/>
  <c r="Z210" i="6"/>
  <c r="Z432" i="6"/>
  <c r="Z55" i="6"/>
  <c r="Z348" i="6"/>
  <c r="Z363" i="6"/>
  <c r="Z175" i="6"/>
  <c r="Z397" i="6"/>
  <c r="Z309" i="6"/>
  <c r="Z31" i="6"/>
  <c r="Z224" i="6"/>
  <c r="Z110" i="6"/>
  <c r="Z109" i="6"/>
  <c r="Z286" i="6"/>
  <c r="Z278" i="6"/>
  <c r="Z320" i="6"/>
  <c r="Z219" i="6"/>
  <c r="Z218" i="6"/>
  <c r="Z215" i="6"/>
  <c r="Z149" i="6"/>
  <c r="Z287" i="6"/>
  <c r="Z72" i="6"/>
  <c r="Z313" i="6"/>
  <c r="Z107" i="6"/>
  <c r="Z380" i="6"/>
  <c r="Z436" i="6"/>
  <c r="Z69" i="6"/>
  <c r="Z312" i="6"/>
  <c r="Z396" i="6"/>
  <c r="Z193" i="6"/>
  <c r="Z417" i="6"/>
  <c r="Z29" i="6"/>
  <c r="Z275" i="6"/>
  <c r="Z334" i="6"/>
  <c r="Z366" i="6"/>
  <c r="Z192" i="6"/>
  <c r="Z317" i="6"/>
  <c r="Z91" i="6"/>
  <c r="Z80" i="6"/>
  <c r="Z322" i="6"/>
  <c r="Z321" i="6"/>
  <c r="Z410" i="6"/>
  <c r="Z185" i="6"/>
  <c r="Z184" i="6"/>
  <c r="Z181" i="6"/>
  <c r="Z430" i="6"/>
  <c r="Z117" i="6"/>
  <c r="Z288" i="6"/>
  <c r="Z33" i="6"/>
  <c r="Z244" i="6"/>
  <c r="Z83" i="6"/>
  <c r="Z93" i="6"/>
  <c r="Z95" i="6"/>
  <c r="Z203" i="6"/>
  <c r="Z199" i="6"/>
  <c r="Z282" i="6"/>
  <c r="Z388" i="6"/>
  <c r="Z174" i="6"/>
  <c r="Z44" i="6"/>
  <c r="Z43" i="6"/>
  <c r="Z237" i="6"/>
  <c r="Z236" i="6"/>
  <c r="Z367" i="6"/>
  <c r="Z170" i="6"/>
  <c r="Z169" i="6"/>
  <c r="Z166" i="6"/>
  <c r="Z393" i="6"/>
  <c r="Z100" i="6"/>
  <c r="Z257" i="6"/>
  <c r="Z15" i="6"/>
  <c r="Z228" i="6"/>
  <c r="Z48" i="6"/>
  <c r="Z92" i="6"/>
  <c r="Z71" i="6"/>
  <c r="Z246" i="6"/>
  <c r="Z232" i="6"/>
  <c r="Z277" i="6"/>
  <c r="Z415" i="6"/>
  <c r="Z161" i="6"/>
  <c r="Z346" i="6"/>
  <c r="Z412" i="6"/>
  <c r="Z201" i="6"/>
  <c r="Z426" i="6"/>
  <c r="Z46" i="6"/>
  <c r="Z299" i="6"/>
  <c r="Z355" i="6"/>
  <c r="Z167" i="6"/>
  <c r="Z252" i="6"/>
  <c r="Z268" i="6"/>
  <c r="Z159" i="6"/>
  <c r="Z318" i="6"/>
  <c r="Z27" i="6"/>
  <c r="Z26" i="6"/>
  <c r="Z221" i="6"/>
  <c r="Z220" i="6"/>
  <c r="Z471" i="6"/>
  <c r="Z154" i="6"/>
  <c r="Z153" i="6"/>
  <c r="Z150" i="6"/>
  <c r="Z295" i="6"/>
  <c r="Z90" i="6"/>
  <c r="Z319" i="6"/>
  <c r="Z390" i="6"/>
  <c r="Z212" i="6"/>
  <c r="AA7" i="6"/>
  <c r="Z88" i="6"/>
  <c r="Z336" i="6"/>
  <c r="Z469" i="6"/>
  <c r="Z136" i="6"/>
  <c r="Z261" i="6"/>
  <c r="Z183" i="6"/>
  <c r="Z242" i="6"/>
  <c r="Z448" i="6"/>
  <c r="Z102" i="6"/>
  <c r="Z243" i="6"/>
  <c r="Z456" i="6"/>
  <c r="Z143" i="6"/>
  <c r="Z302" i="6"/>
  <c r="Z294" i="6"/>
  <c r="Z276" i="6"/>
  <c r="Z205" i="6"/>
  <c r="Z204" i="6"/>
  <c r="Z451" i="6"/>
  <c r="Z138" i="6"/>
  <c r="Z137" i="6"/>
  <c r="Z134" i="6"/>
  <c r="Z328" i="6"/>
  <c r="Z250" i="6"/>
  <c r="Z383" i="6"/>
  <c r="Z196" i="6"/>
  <c r="Z17" i="6"/>
  <c r="Z128" i="6"/>
  <c r="Z370" i="6"/>
  <c r="Z225" i="6"/>
  <c r="Z433" i="6"/>
  <c r="Z262" i="6"/>
  <c r="Z176" i="6"/>
  <c r="Z19" i="6"/>
  <c r="Z227" i="6"/>
  <c r="Z440" i="6"/>
  <c r="Z127" i="6"/>
  <c r="Z273" i="6"/>
  <c r="Z263" i="6"/>
  <c r="Z362" i="6"/>
  <c r="Z188" i="6"/>
  <c r="Z187" i="6"/>
  <c r="Z435" i="6"/>
  <c r="Z122" i="6"/>
  <c r="Z121" i="6"/>
  <c r="Z118" i="6"/>
  <c r="Z296" i="6"/>
  <c r="Z34" i="6"/>
  <c r="Z74" i="6"/>
  <c r="Z413" i="6"/>
  <c r="Z178" i="6"/>
  <c r="Z14" i="6"/>
  <c r="Z399" i="6"/>
  <c r="Z474" i="6"/>
  <c r="Z216" i="6"/>
  <c r="Z57" i="6"/>
  <c r="Z120" i="6"/>
  <c r="Z160" i="6"/>
  <c r="Z151" i="6"/>
  <c r="Z341" i="6"/>
  <c r="Z253" i="6"/>
  <c r="Z37" i="6"/>
  <c r="Z113" i="6"/>
  <c r="Z264" i="6"/>
  <c r="Z386" i="6"/>
  <c r="Z211" i="6"/>
  <c r="Z111" i="6"/>
  <c r="Z325" i="6"/>
  <c r="Z323" i="6"/>
  <c r="Z292" i="6"/>
  <c r="Z172" i="6"/>
  <c r="Z171" i="6"/>
  <c r="Z418" i="6"/>
  <c r="Z105" i="6"/>
  <c r="Z104" i="6"/>
  <c r="Z101" i="6"/>
  <c r="Z267" i="6"/>
  <c r="Z16" i="6"/>
  <c r="Z229" i="6"/>
  <c r="Z414" i="6"/>
  <c r="Z163" i="6"/>
  <c r="Z453" i="6"/>
  <c r="Z375" i="6"/>
  <c r="Z376" i="6"/>
  <c r="Z377" i="6"/>
  <c r="Z226" i="6"/>
  <c r="Z452" i="6"/>
  <c r="Z194" i="6"/>
  <c r="Z283" i="6"/>
  <c r="Z66" i="6"/>
  <c r="Z239" i="6"/>
  <c r="Z238" i="6"/>
  <c r="Z473" i="6"/>
  <c r="Z156" i="6"/>
  <c r="Z155" i="6"/>
  <c r="Z408" i="6"/>
  <c r="Z65" i="6"/>
  <c r="Z337" i="6"/>
  <c r="Z213" i="6"/>
  <c r="Z460" i="6"/>
  <c r="Z147" i="6"/>
  <c r="Z67" i="6"/>
  <c r="Z78" i="6"/>
  <c r="Z419" i="6"/>
  <c r="Z379" i="6"/>
  <c r="Z89" i="6"/>
  <c r="Z438" i="6"/>
  <c r="Z10" i="6"/>
  <c r="Z298" i="6"/>
  <c r="Z233" i="6"/>
  <c r="Z400" i="6"/>
  <c r="Z177" i="6"/>
  <c r="Z327" i="6"/>
  <c r="Z45" i="6"/>
  <c r="Z223" i="6"/>
  <c r="Z222" i="6"/>
  <c r="Z454" i="6"/>
  <c r="Z140" i="6"/>
  <c r="Z139" i="6"/>
  <c r="Z290" i="6"/>
  <c r="Z59" i="6"/>
  <c r="Z58" i="6"/>
  <c r="Z54" i="6"/>
  <c r="Z249" i="6"/>
  <c r="Z387" i="6"/>
  <c r="Z197" i="6"/>
  <c r="Z444" i="6"/>
  <c r="Z131" i="6"/>
  <c r="Z56" i="6"/>
  <c r="Z94" i="6"/>
  <c r="Z371" i="6"/>
  <c r="Z458" i="6"/>
  <c r="Z79" i="6"/>
  <c r="Z30" i="6"/>
  <c r="Z195" i="6"/>
  <c r="Z96" i="6"/>
  <c r="Z47" i="6"/>
  <c r="Z162" i="6"/>
  <c r="Z28" i="6"/>
  <c r="Z206" i="6"/>
  <c r="Z437" i="6"/>
  <c r="Z124" i="6"/>
  <c r="Z123" i="6"/>
  <c r="Z330" i="6"/>
  <c r="Z40" i="6"/>
  <c r="Z38" i="6"/>
  <c r="Z35" i="6"/>
  <c r="Z9" i="6"/>
  <c r="Z179" i="6"/>
  <c r="Z428" i="6"/>
  <c r="Z115" i="6"/>
  <c r="Z39" i="6"/>
  <c r="Z338" i="6"/>
  <c r="Z202" i="6"/>
  <c r="Z446" i="6"/>
  <c r="Z305" i="6"/>
  <c r="Z331" i="6"/>
  <c r="Z372" i="6"/>
  <c r="Z352" i="6"/>
  <c r="Z470" i="6"/>
  <c r="Z144" i="6"/>
  <c r="Z303" i="6"/>
  <c r="Z378" i="6"/>
  <c r="Z70" i="6"/>
  <c r="Z449" i="6"/>
  <c r="Z103" i="6"/>
  <c r="Z459" i="6"/>
  <c r="Z146" i="6"/>
  <c r="Z332" i="6"/>
  <c r="Z369" i="6"/>
  <c r="Z190" i="6"/>
  <c r="Z189" i="6"/>
  <c r="Z420" i="6"/>
  <c r="Z108" i="6"/>
  <c r="Z106" i="6"/>
  <c r="Z307" i="6"/>
  <c r="Z22" i="6"/>
  <c r="Z21" i="6"/>
  <c r="Z18" i="6"/>
  <c r="Z230" i="6"/>
  <c r="Z256" i="6"/>
  <c r="Z164" i="6"/>
  <c r="Z385" i="6"/>
  <c r="Z81" i="6"/>
  <c r="Z24" i="6"/>
  <c r="Z351" i="6"/>
  <c r="Z300" i="6"/>
  <c r="Z368" i="6"/>
  <c r="Z394" i="6"/>
  <c r="Z360" i="6"/>
  <c r="Z289" i="6"/>
  <c r="Z129" i="6"/>
  <c r="Z269" i="6"/>
  <c r="Z11" i="6"/>
  <c r="Z209" i="6"/>
  <c r="Z431" i="6"/>
  <c r="Z315" i="6"/>
  <c r="Z359" i="6"/>
  <c r="Z168" i="6"/>
  <c r="Z285" i="6"/>
  <c r="Z207" i="6"/>
  <c r="Z441" i="6"/>
  <c r="Z314" i="6"/>
  <c r="Z217" i="6"/>
  <c r="Z434" i="6"/>
  <c r="Z304" i="6"/>
  <c r="Z392" i="6"/>
  <c r="Z182" i="6"/>
  <c r="Z416" i="6"/>
  <c r="Z20" i="6"/>
  <c r="Z443" i="6"/>
  <c r="Z130" i="6"/>
  <c r="Z310" i="6"/>
  <c r="Z384" i="6"/>
  <c r="Z173" i="6"/>
  <c r="Z77" i="6"/>
  <c r="Z356" i="6"/>
  <c r="Z85" i="6"/>
  <c r="Z68" i="6"/>
  <c r="Z270" i="6"/>
  <c r="Z260" i="6"/>
  <c r="Z353" i="6"/>
  <c r="Z398" i="6"/>
  <c r="Z214" i="6"/>
  <c r="Z461" i="6"/>
  <c r="Z148" i="6"/>
  <c r="Z279" i="6"/>
  <c r="Z63" i="6"/>
  <c r="Z76" i="6"/>
  <c r="AA73" i="6" l="1"/>
  <c r="AA401" i="6"/>
  <c r="AA402" i="6"/>
  <c r="AA403" i="6"/>
  <c r="AA404" i="6"/>
  <c r="AA405" i="6"/>
  <c r="AA406" i="6"/>
  <c r="AA407" i="6"/>
  <c r="AA462" i="6"/>
  <c r="AA463" i="6"/>
  <c r="AA464" i="6"/>
  <c r="AA465" i="6"/>
  <c r="AA466" i="6"/>
  <c r="AA467" i="6"/>
  <c r="AA186" i="6"/>
  <c r="AA51" i="6"/>
  <c r="AA52" i="6"/>
  <c r="AA53" i="6"/>
  <c r="AA480" i="6"/>
  <c r="AA483" i="6"/>
  <c r="AA478" i="6"/>
  <c r="AA484" i="6"/>
  <c r="AA485" i="6"/>
  <c r="AA481" i="6"/>
  <c r="AA479" i="6"/>
  <c r="AA482" i="6"/>
  <c r="AA191" i="6"/>
  <c r="AA477" i="6"/>
  <c r="AA476" i="6"/>
  <c r="AA421" i="6"/>
  <c r="AA422" i="6"/>
  <c r="AA423" i="6"/>
  <c r="AA424" i="6"/>
  <c r="AA425" i="6"/>
  <c r="AA324" i="6"/>
  <c r="AA98" i="6"/>
  <c r="AA99" i="6"/>
  <c r="AA97" i="6"/>
  <c r="AA393" i="6"/>
  <c r="AA268" i="6"/>
  <c r="AA361" i="6"/>
  <c r="AA343" i="6"/>
  <c r="AA137" i="6"/>
  <c r="AA54" i="6"/>
  <c r="AA432" i="6"/>
  <c r="AA38" i="6"/>
  <c r="AA378" i="6"/>
  <c r="AA130" i="6"/>
  <c r="AA362" i="6"/>
  <c r="AA292" i="6"/>
  <c r="AA118" i="6"/>
  <c r="AA23" i="6"/>
  <c r="AA327" i="6"/>
  <c r="AA11" i="6"/>
  <c r="AA96" i="6"/>
  <c r="AA108" i="6"/>
  <c r="AA215" i="6"/>
  <c r="AA319" i="6"/>
  <c r="AA139" i="6"/>
  <c r="AA162" i="6"/>
  <c r="AA90" i="6"/>
  <c r="AA276" i="6"/>
  <c r="AA286" i="6"/>
  <c r="AA249" i="6"/>
  <c r="AA307" i="6"/>
  <c r="AA345" i="6"/>
  <c r="AA65" i="6"/>
  <c r="AA311" i="6"/>
  <c r="AA182" i="6"/>
  <c r="AA197" i="6"/>
  <c r="AA152" i="6"/>
  <c r="AA234" i="6"/>
  <c r="AA269" i="6"/>
  <c r="AA287" i="6"/>
  <c r="AA175" i="6"/>
  <c r="AA80" i="6"/>
  <c r="AA106" i="6"/>
  <c r="AA280" i="6"/>
  <c r="AA48" i="6"/>
  <c r="AA87" i="6"/>
  <c r="AA333" i="6"/>
  <c r="AA29" i="6"/>
  <c r="AA457" i="6"/>
  <c r="AA131" i="6"/>
  <c r="AA202" i="6"/>
  <c r="AA103" i="6"/>
  <c r="AA13" i="6"/>
  <c r="AA359" i="6"/>
  <c r="AA129" i="6"/>
  <c r="AA192" i="6"/>
  <c r="AA389" i="6"/>
  <c r="AA370" i="6"/>
  <c r="AA382" i="6"/>
  <c r="AA250" i="6"/>
  <c r="AA150" i="6"/>
  <c r="AA395" i="6"/>
  <c r="AA100" i="6"/>
  <c r="AA147" i="6"/>
  <c r="AA444" i="6"/>
  <c r="AA357" i="6"/>
  <c r="AA148" i="6"/>
  <c r="AA400" i="6"/>
  <c r="AA408" i="6"/>
  <c r="AA119" i="6"/>
  <c r="AA28" i="6"/>
  <c r="AA69" i="6"/>
  <c r="AA358" i="6"/>
  <c r="AA224" i="6"/>
  <c r="AA92" i="6"/>
  <c r="AA179" i="6"/>
  <c r="AA74" i="6"/>
  <c r="AA200" i="6"/>
  <c r="AA270" i="6"/>
  <c r="AA433" i="6"/>
  <c r="AA356" i="6"/>
  <c r="AA180" i="6"/>
  <c r="AA313" i="6"/>
  <c r="AA205" i="6"/>
  <c r="Z5" i="6"/>
  <c r="AA453" i="6"/>
  <c r="AA375" i="6"/>
  <c r="AA376" i="6"/>
  <c r="AA377" i="6"/>
  <c r="AA237" i="6"/>
  <c r="AA328" i="6"/>
  <c r="AA334" i="6"/>
  <c r="AA385" i="6"/>
  <c r="AA306" i="6"/>
  <c r="AA387" i="6"/>
  <c r="AA64" i="6"/>
  <c r="AA63" i="6"/>
  <c r="AA177" i="6"/>
  <c r="AA278" i="6"/>
  <c r="AA346" i="6"/>
  <c r="AA442" i="6"/>
  <c r="AA290" i="6"/>
  <c r="AA159" i="6"/>
  <c r="AA17" i="6"/>
  <c r="AA391" i="6"/>
  <c r="AA217" i="6"/>
  <c r="AA277" i="6"/>
  <c r="AA57" i="6"/>
  <c r="AA155" i="6"/>
  <c r="AA214" i="6"/>
  <c r="AA441" i="6"/>
  <c r="AA141" i="6"/>
  <c r="AA456" i="6"/>
  <c r="AA43" i="6"/>
  <c r="AA274" i="6"/>
  <c r="AA367" i="6"/>
  <c r="AA134" i="6"/>
  <c r="AA281" i="6"/>
  <c r="AA329" i="6"/>
  <c r="AA454" i="6"/>
  <c r="AA396" i="6"/>
  <c r="AA37" i="6"/>
  <c r="AA36" i="6"/>
  <c r="AA255" i="6"/>
  <c r="AA308" i="6"/>
  <c r="AA299" i="6"/>
  <c r="AA420" i="6"/>
  <c r="AA355" i="6"/>
  <c r="AA22" i="6"/>
  <c r="AA173" i="6"/>
  <c r="AA30" i="6"/>
  <c r="AA317" i="6"/>
  <c r="AA204" i="6"/>
  <c r="AA232" i="6"/>
  <c r="AA40" i="6"/>
  <c r="AA222" i="6"/>
  <c r="AA239" i="6"/>
  <c r="AA120" i="6"/>
  <c r="AA212" i="6"/>
  <c r="AA252" i="6"/>
  <c r="AA288" i="6"/>
  <c r="AA58" i="6"/>
  <c r="AA184" i="6"/>
  <c r="AA248" i="6"/>
  <c r="AA181" i="6"/>
  <c r="AA366" i="6"/>
  <c r="AA8" i="6"/>
  <c r="AA112" i="6"/>
  <c r="AA151" i="6"/>
  <c r="AA166" i="6"/>
  <c r="AA262" i="6"/>
  <c r="AA431" i="6"/>
  <c r="AA10" i="6"/>
  <c r="AA383" i="6"/>
  <c r="AA369" i="6"/>
  <c r="AA121" i="6"/>
  <c r="AA246" i="6"/>
  <c r="AA352" i="6"/>
  <c r="AA325" i="6"/>
  <c r="AA303" i="6"/>
  <c r="AA79" i="6"/>
  <c r="AA14" i="6"/>
  <c r="AA279" i="6"/>
  <c r="AA168" i="6"/>
  <c r="AA244" i="6"/>
  <c r="AA25" i="6"/>
  <c r="AA243" i="6"/>
  <c r="AA158" i="6"/>
  <c r="AA372" i="6"/>
  <c r="AA83" i="6"/>
  <c r="AA219" i="6"/>
  <c r="AA470" i="6"/>
  <c r="AA458" i="6"/>
  <c r="AA140" i="6"/>
  <c r="AA77" i="6"/>
  <c r="AA193" i="6"/>
  <c r="AA273" i="6"/>
  <c r="AA348" i="6"/>
  <c r="AA430" i="6"/>
  <c r="AA475" i="6"/>
  <c r="AA373" i="6"/>
  <c r="AA91" i="6"/>
  <c r="AA228" i="6"/>
  <c r="AA233" i="6"/>
  <c r="AA291" i="6"/>
  <c r="AA419" i="6"/>
  <c r="AA298" i="6"/>
  <c r="AA21" i="6"/>
  <c r="AA220" i="6"/>
  <c r="AA450" i="6"/>
  <c r="AA138" i="6"/>
  <c r="AA339" i="6"/>
  <c r="AA415" i="6"/>
  <c r="AA109" i="6"/>
  <c r="AA127" i="6"/>
  <c r="AA347" i="6"/>
  <c r="AA49" i="6"/>
  <c r="AA354" i="6"/>
  <c r="AA245" i="6"/>
  <c r="AA368" i="6"/>
  <c r="AA451" i="6"/>
  <c r="AA379" i="6"/>
  <c r="AA62" i="6"/>
  <c r="AA156" i="6"/>
  <c r="AA230" i="6"/>
  <c r="AA353" i="6"/>
  <c r="AA314" i="6"/>
  <c r="AA461" i="6"/>
  <c r="AA198" i="6"/>
  <c r="AA111" i="6"/>
  <c r="AA434" i="6"/>
  <c r="AA174" i="6"/>
  <c r="AA123" i="6"/>
  <c r="AA459" i="6"/>
  <c r="AA135" i="6"/>
  <c r="AA149" i="6"/>
  <c r="AA322" i="6"/>
  <c r="AA33" i="6"/>
  <c r="AA271" i="6"/>
  <c r="AA446" i="6"/>
  <c r="AA309" i="6"/>
  <c r="AA32" i="6"/>
  <c r="AA226" i="6"/>
  <c r="AA331" i="6"/>
  <c r="AA417" i="6"/>
  <c r="AA59" i="6"/>
  <c r="AA208" i="6"/>
  <c r="AA443" i="6"/>
  <c r="AA157" i="6"/>
  <c r="AA128" i="6"/>
  <c r="AA310" i="6"/>
  <c r="AA18" i="6"/>
  <c r="AA12" i="6"/>
  <c r="AA223" i="6"/>
  <c r="AA338" i="6"/>
  <c r="AA440" i="6"/>
  <c r="AA107" i="6"/>
  <c r="AA167" i="6"/>
  <c r="AA344" i="6"/>
  <c r="AA66" i="6"/>
  <c r="AA225" i="6"/>
  <c r="AA46" i="6"/>
  <c r="AA335" i="6"/>
  <c r="AA411" i="6"/>
  <c r="AA410" i="6"/>
  <c r="AA171" i="6"/>
  <c r="AA429" i="6"/>
  <c r="AA172" i="6"/>
  <c r="AA439" i="6"/>
  <c r="AA412" i="6"/>
  <c r="AA397" i="6"/>
  <c r="AA398" i="6"/>
  <c r="AA183" i="6"/>
  <c r="AA364" i="6"/>
  <c r="AA386" i="6"/>
  <c r="AA124" i="6"/>
  <c r="AA283" i="6"/>
  <c r="AA418" i="6"/>
  <c r="AA142" i="6"/>
  <c r="AA154" i="6"/>
  <c r="AA9" i="6"/>
  <c r="AA242" i="6"/>
  <c r="AA427" i="6"/>
  <c r="AA136" i="6"/>
  <c r="AA84" i="6"/>
  <c r="AA297" i="6"/>
  <c r="AA76" i="6"/>
  <c r="AA437" i="6"/>
  <c r="AA321" i="6"/>
  <c r="AA190" i="6"/>
  <c r="AA336" i="6"/>
  <c r="AA261" i="6"/>
  <c r="AA196" i="6"/>
  <c r="AA56" i="6"/>
  <c r="AA305" i="6"/>
  <c r="AA16" i="6"/>
  <c r="AA211" i="6"/>
  <c r="AA388" i="6"/>
  <c r="AA178" i="6"/>
  <c r="AA231" i="6"/>
  <c r="AA315" i="6"/>
  <c r="AA436" i="6"/>
  <c r="AB7" i="6"/>
  <c r="AA460" i="6"/>
  <c r="AA144" i="6"/>
  <c r="AA229" i="6"/>
  <c r="AA332" i="6"/>
  <c r="AA474" i="6"/>
  <c r="AA89" i="6"/>
  <c r="AA247" i="6"/>
  <c r="AA42" i="6"/>
  <c r="AA472" i="6"/>
  <c r="AA238" i="6"/>
  <c r="AA350" i="6"/>
  <c r="AA289" i="6"/>
  <c r="AA320" i="6"/>
  <c r="AA438" i="6"/>
  <c r="AA71" i="6"/>
  <c r="AA161" i="6"/>
  <c r="AA203" i="6"/>
  <c r="AA302" i="6"/>
  <c r="AA301" i="6"/>
  <c r="AA449" i="6"/>
  <c r="AA374" i="6"/>
  <c r="AA60" i="6"/>
  <c r="AA117" i="6"/>
  <c r="AA251" i="6"/>
  <c r="AA337" i="6"/>
  <c r="AA295" i="6"/>
  <c r="AA169" i="6"/>
  <c r="AA176" i="6"/>
  <c r="AA293" i="6"/>
  <c r="AA27" i="6"/>
  <c r="AA201" i="6"/>
  <c r="AA381" i="6"/>
  <c r="AA85" i="6"/>
  <c r="AA67" i="6"/>
  <c r="AA258" i="6"/>
  <c r="AA75" i="6"/>
  <c r="AA392" i="6"/>
  <c r="AA47" i="6"/>
  <c r="AA260" i="6"/>
  <c r="AA409" i="6"/>
  <c r="AA26" i="6"/>
  <c r="AA102" i="6"/>
  <c r="AA263" i="6"/>
  <c r="AA132" i="6"/>
  <c r="AA259" i="6"/>
  <c r="AA88" i="6"/>
  <c r="AA209" i="6"/>
  <c r="AA45" i="6"/>
  <c r="AA194" i="6"/>
  <c r="AA416" i="6"/>
  <c r="AA341" i="6"/>
  <c r="AA41" i="6"/>
  <c r="AA163" i="6"/>
  <c r="AA113" i="6"/>
  <c r="AA318" i="6"/>
  <c r="AA428" i="6"/>
  <c r="AA380" i="6"/>
  <c r="AA31" i="6"/>
  <c r="AA86" i="6"/>
  <c r="AA104" i="6"/>
  <c r="AA218" i="6"/>
  <c r="AA312" i="6"/>
  <c r="AA105" i="6"/>
  <c r="AA95" i="6"/>
  <c r="AA272" i="6"/>
  <c r="AA413" i="6"/>
  <c r="AA187" i="6"/>
  <c r="AA326" i="6"/>
  <c r="AA68" i="6"/>
  <c r="AA50" i="6"/>
  <c r="AA188" i="6"/>
  <c r="AA452" i="6"/>
  <c r="AA384" i="6"/>
  <c r="AA471" i="6"/>
  <c r="AA342" i="6"/>
  <c r="AA221" i="6"/>
  <c r="AA294" i="6"/>
  <c r="AA360" i="6"/>
  <c r="AA340" i="6"/>
  <c r="AA55" i="6"/>
  <c r="AA114" i="6"/>
  <c r="AA216" i="6"/>
  <c r="AA275" i="6"/>
  <c r="AA133" i="6"/>
  <c r="AA78" i="6"/>
  <c r="AA267" i="6"/>
  <c r="AA207" i="6"/>
  <c r="AA153" i="6"/>
  <c r="AA330" i="6"/>
  <c r="AA34" i="6"/>
  <c r="AA227" i="6"/>
  <c r="AA468" i="6"/>
  <c r="AA284" i="6"/>
  <c r="AA116" i="6"/>
  <c r="AA164" i="6"/>
  <c r="AA285" i="6"/>
  <c r="AA61" i="6"/>
  <c r="AA206" i="6"/>
  <c r="AA165" i="6"/>
  <c r="AA110" i="6"/>
  <c r="AA253" i="6"/>
  <c r="AA240" i="6"/>
  <c r="AA241" i="6"/>
  <c r="AA72" i="6"/>
  <c r="AA371" i="6"/>
  <c r="AA143" i="6"/>
  <c r="AA414" i="6"/>
  <c r="AA394" i="6"/>
  <c r="AA145" i="6"/>
  <c r="AA473" i="6"/>
  <c r="AA365" i="6"/>
  <c r="AA125" i="6"/>
  <c r="AA264" i="6"/>
  <c r="AA15" i="6"/>
  <c r="AA304" i="6"/>
  <c r="AA455" i="6"/>
  <c r="AA399" i="6"/>
  <c r="AA70" i="6"/>
  <c r="AA146" i="6"/>
  <c r="AA195" i="6"/>
  <c r="AA213" i="6"/>
  <c r="AA447" i="6"/>
  <c r="AA363" i="6"/>
  <c r="AA24" i="6"/>
  <c r="AA101" i="6"/>
  <c r="AA189" i="6"/>
  <c r="AA323" i="6"/>
  <c r="AA115" i="6"/>
  <c r="AA199" i="6"/>
  <c r="AA170" i="6"/>
  <c r="AA349" i="6"/>
  <c r="AA35" i="6"/>
  <c r="AA19" i="6"/>
  <c r="AA94" i="6"/>
  <c r="AA160" i="6"/>
  <c r="AA445" i="6"/>
  <c r="AA296" i="6"/>
  <c r="AA300" i="6"/>
  <c r="AA126" i="6"/>
  <c r="AA257" i="6"/>
  <c r="AA435" i="6"/>
  <c r="AA39" i="6"/>
  <c r="AA254" i="6"/>
  <c r="AA185" i="6"/>
  <c r="AA236" i="6"/>
  <c r="AA426" i="6"/>
  <c r="AA469" i="6"/>
  <c r="AA390" i="6"/>
  <c r="AA81" i="6"/>
  <c r="AA256" i="6"/>
  <c r="AA210" i="6"/>
  <c r="AA82" i="6"/>
  <c r="AA44" i="6"/>
  <c r="AA316" i="6"/>
  <c r="AA448" i="6"/>
  <c r="AA122" i="6"/>
  <c r="AA351" i="6"/>
  <c r="AA20" i="6"/>
  <c r="AA282" i="6"/>
  <c r="AA235" i="6"/>
  <c r="AA93" i="6"/>
  <c r="AB73" i="6" l="1"/>
  <c r="AB401" i="6"/>
  <c r="AB402" i="6"/>
  <c r="AB403" i="6"/>
  <c r="AB404" i="6"/>
  <c r="AB405" i="6"/>
  <c r="AB406" i="6"/>
  <c r="AB407" i="6"/>
  <c r="AB462" i="6"/>
  <c r="AB463" i="6"/>
  <c r="AB464" i="6"/>
  <c r="AB465" i="6"/>
  <c r="AB466" i="6"/>
  <c r="AB467" i="6"/>
  <c r="AB186" i="6"/>
  <c r="AB51" i="6"/>
  <c r="AB52" i="6"/>
  <c r="AB53" i="6"/>
  <c r="AB480" i="6"/>
  <c r="AB483" i="6"/>
  <c r="AB478" i="6"/>
  <c r="AB484" i="6"/>
  <c r="AB485" i="6"/>
  <c r="AB481" i="6"/>
  <c r="AB479" i="6"/>
  <c r="AB482" i="6"/>
  <c r="AB191" i="6"/>
  <c r="AB477" i="6"/>
  <c r="AB476" i="6"/>
  <c r="AB320" i="6"/>
  <c r="AB424" i="6"/>
  <c r="AB423" i="6"/>
  <c r="AB421" i="6"/>
  <c r="AB422" i="6"/>
  <c r="AB425" i="6"/>
  <c r="AB436" i="6"/>
  <c r="AB324" i="6"/>
  <c r="AB97" i="6"/>
  <c r="AB98" i="6"/>
  <c r="AB99" i="6"/>
  <c r="AB126" i="6"/>
  <c r="AB163" i="6"/>
  <c r="AB361" i="6"/>
  <c r="AB362" i="6"/>
  <c r="AB219" i="6"/>
  <c r="AB166" i="6"/>
  <c r="AB303" i="6"/>
  <c r="AB304" i="6"/>
  <c r="AB314" i="6"/>
  <c r="AB238" i="6"/>
  <c r="AB63" i="6"/>
  <c r="AB420" i="6"/>
  <c r="AB55" i="6"/>
  <c r="AB46" i="6"/>
  <c r="AB71" i="6"/>
  <c r="AB366" i="6"/>
  <c r="AB38" i="6"/>
  <c r="AB31" i="6"/>
  <c r="AB110" i="6"/>
  <c r="AB234" i="6"/>
  <c r="AB132" i="6"/>
  <c r="AB182" i="6"/>
  <c r="AB284" i="6"/>
  <c r="AB268" i="6"/>
  <c r="AB17" i="6"/>
  <c r="AB346" i="6"/>
  <c r="AB218" i="6"/>
  <c r="AB432" i="6"/>
  <c r="AB474" i="6"/>
  <c r="AB352" i="6"/>
  <c r="AB113" i="6"/>
  <c r="AB413" i="6"/>
  <c r="AB128" i="6"/>
  <c r="AB250" i="6"/>
  <c r="AB119" i="6"/>
  <c r="AB281" i="6"/>
  <c r="AB367" i="6"/>
  <c r="AB263" i="6"/>
  <c r="AB85" i="6"/>
  <c r="AB330" i="6"/>
  <c r="AB161" i="6"/>
  <c r="AB68" i="6"/>
  <c r="AB473" i="6"/>
  <c r="AB24" i="6"/>
  <c r="AB417" i="6"/>
  <c r="AB446" i="6"/>
  <c r="AB399" i="6"/>
  <c r="AB351" i="6"/>
  <c r="AB323" i="6"/>
  <c r="AB348" i="6"/>
  <c r="AB434" i="6"/>
  <c r="AB309" i="6"/>
  <c r="AB101" i="6"/>
  <c r="AB431" i="6"/>
  <c r="AB217" i="6"/>
  <c r="AB306" i="6"/>
  <c r="AB167" i="6"/>
  <c r="AB168" i="6"/>
  <c r="AB343" i="6"/>
  <c r="AB78" i="6"/>
  <c r="AB108" i="6"/>
  <c r="AB327" i="6"/>
  <c r="AB183" i="6"/>
  <c r="AB61" i="6"/>
  <c r="AB400" i="6"/>
  <c r="AB267" i="6"/>
  <c r="AB246" i="6"/>
  <c r="AB305" i="6"/>
  <c r="AB416" i="6"/>
  <c r="AB154" i="6"/>
  <c r="AB114" i="6"/>
  <c r="AB312" i="6"/>
  <c r="AB387" i="6"/>
  <c r="AB23" i="6"/>
  <c r="AB202" i="6"/>
  <c r="AB136" i="6"/>
  <c r="AB169" i="6"/>
  <c r="AB44" i="6"/>
  <c r="AB239" i="6"/>
  <c r="AB142" i="6"/>
  <c r="AB174" i="6"/>
  <c r="AB130" i="6"/>
  <c r="AB296" i="6"/>
  <c r="AB111" i="6"/>
  <c r="AB357" i="6"/>
  <c r="AB87" i="6"/>
  <c r="AB109" i="6"/>
  <c r="AB105" i="6"/>
  <c r="AB440" i="6"/>
  <c r="AB29" i="6"/>
  <c r="AB104" i="6"/>
  <c r="AB370" i="6"/>
  <c r="AB70" i="6"/>
  <c r="AB415" i="6"/>
  <c r="AB135" i="6"/>
  <c r="AB133" i="6"/>
  <c r="AB383" i="6"/>
  <c r="AB13" i="6"/>
  <c r="AB280" i="6"/>
  <c r="AB337" i="6"/>
  <c r="AB60" i="6"/>
  <c r="AB326" i="6"/>
  <c r="AB349" i="6"/>
  <c r="AB76" i="6"/>
  <c r="AB100" i="6"/>
  <c r="AB190" i="6"/>
  <c r="AB155" i="6"/>
  <c r="AB244" i="6"/>
  <c r="AB381" i="6"/>
  <c r="AB149" i="6"/>
  <c r="AB213" i="6"/>
  <c r="AB245" i="6"/>
  <c r="AB222" i="6"/>
  <c r="AB43" i="6"/>
  <c r="AB221" i="6"/>
  <c r="AB153" i="6"/>
  <c r="AB311" i="6"/>
  <c r="AB429" i="6"/>
  <c r="AB201" i="6"/>
  <c r="AB11" i="6"/>
  <c r="AB247" i="6"/>
  <c r="AB457" i="6"/>
  <c r="AB333" i="6"/>
  <c r="AB75" i="6"/>
  <c r="AB396" i="6"/>
  <c r="AB77" i="6"/>
  <c r="AB59" i="6"/>
  <c r="AB414" i="6"/>
  <c r="AB353" i="6"/>
  <c r="AB198" i="6"/>
  <c r="AB58" i="6"/>
  <c r="AB48" i="6"/>
  <c r="AB315" i="6"/>
  <c r="AB385" i="6"/>
  <c r="AB28" i="6"/>
  <c r="AB205" i="6"/>
  <c r="AB204" i="6"/>
  <c r="AB295" i="6"/>
  <c r="AB360" i="6"/>
  <c r="AB86" i="6"/>
  <c r="AB449" i="6"/>
  <c r="AB231" i="6"/>
  <c r="AB397" i="6"/>
  <c r="AB79" i="6"/>
  <c r="AB444" i="6"/>
  <c r="AB472" i="6"/>
  <c r="AB229" i="6"/>
  <c r="AB9" i="6"/>
  <c r="AB107" i="6"/>
  <c r="AB54" i="6"/>
  <c r="AB188" i="6"/>
  <c r="AB452" i="6"/>
  <c r="AB469" i="6"/>
  <c r="AB255" i="6"/>
  <c r="AB369" i="6"/>
  <c r="AB298" i="6"/>
  <c r="AB106" i="6"/>
  <c r="AB157" i="6"/>
  <c r="AB290" i="6"/>
  <c r="AB66" i="6"/>
  <c r="AB41" i="6"/>
  <c r="AB437" i="6"/>
  <c r="AB187" i="6"/>
  <c r="AB215" i="6"/>
  <c r="AB62" i="6"/>
  <c r="AB127" i="6"/>
  <c r="AB102" i="6"/>
  <c r="AB165" i="6"/>
  <c r="AB160" i="6"/>
  <c r="AB261" i="6"/>
  <c r="AB150" i="6"/>
  <c r="AB21" i="6"/>
  <c r="AB199" i="6"/>
  <c r="AB441" i="6"/>
  <c r="AB45" i="6"/>
  <c r="AB253" i="6"/>
  <c r="AB262" i="6"/>
  <c r="AB12" i="6"/>
  <c r="AB475" i="6"/>
  <c r="AB158" i="6"/>
  <c r="AB214" i="6"/>
  <c r="AB371" i="6"/>
  <c r="AB207" i="6"/>
  <c r="AB42" i="6"/>
  <c r="AB418" i="6"/>
  <c r="AB347" i="6"/>
  <c r="AB363" i="6"/>
  <c r="AB90" i="6"/>
  <c r="AB89" i="6"/>
  <c r="AB145" i="6"/>
  <c r="AB341" i="6"/>
  <c r="AB10" i="6"/>
  <c r="AB248" i="6"/>
  <c r="AB120" i="6"/>
  <c r="AB408" i="6"/>
  <c r="AB30" i="6"/>
  <c r="AB342" i="6"/>
  <c r="AB237" i="6"/>
  <c r="AB82" i="6"/>
  <c r="AB279" i="6"/>
  <c r="AB146" i="6"/>
  <c r="AB411" i="6"/>
  <c r="AB18" i="6"/>
  <c r="AB197" i="6"/>
  <c r="AB409" i="6"/>
  <c r="AB27" i="6"/>
  <c r="AB331" i="6"/>
  <c r="AB439" i="6"/>
  <c r="AB359" i="6"/>
  <c r="AB72" i="6"/>
  <c r="AB162" i="6"/>
  <c r="AB260" i="6"/>
  <c r="AB426" i="6"/>
  <c r="AB232" i="6"/>
  <c r="AB84" i="6"/>
  <c r="AB350" i="6"/>
  <c r="AB14" i="6"/>
  <c r="AB289" i="6"/>
  <c r="AB189" i="6"/>
  <c r="AB435" i="6"/>
  <c r="AB368" i="6"/>
  <c r="AB103" i="6"/>
  <c r="AB427" i="6"/>
  <c r="AB334" i="6"/>
  <c r="AB65" i="6"/>
  <c r="AB442" i="6"/>
  <c r="AB316" i="6"/>
  <c r="AB372" i="6"/>
  <c r="AB56" i="6"/>
  <c r="AB137" i="6"/>
  <c r="AB216" i="6"/>
  <c r="AB358" i="6"/>
  <c r="AB386" i="6"/>
  <c r="AB283" i="6"/>
  <c r="AB412" i="6"/>
  <c r="AB382" i="6"/>
  <c r="AB445" i="6"/>
  <c r="AB300" i="6"/>
  <c r="AB456" i="6"/>
  <c r="AB455" i="6"/>
  <c r="AB39" i="6"/>
  <c r="AB251" i="6"/>
  <c r="AB159" i="6"/>
  <c r="AB340" i="6"/>
  <c r="AB200" i="6"/>
  <c r="AB443" i="6"/>
  <c r="AB319" i="6"/>
  <c r="AB391" i="6"/>
  <c r="AB318" i="6"/>
  <c r="AB332" i="6"/>
  <c r="AB35" i="6"/>
  <c r="AB19" i="6"/>
  <c r="AB228" i="6"/>
  <c r="AB243" i="6"/>
  <c r="AB302" i="6"/>
  <c r="AB317" i="6"/>
  <c r="AB468" i="6"/>
  <c r="AB293" i="6"/>
  <c r="AB339" i="6"/>
  <c r="AB20" i="6"/>
  <c r="AB398" i="6"/>
  <c r="AB212" i="6"/>
  <c r="AB227" i="6"/>
  <c r="AB286" i="6"/>
  <c r="AB301" i="6"/>
  <c r="AB37" i="6"/>
  <c r="AB322" i="6"/>
  <c r="AB196" i="6"/>
  <c r="AB270" i="6"/>
  <c r="AB285" i="6"/>
  <c r="AB459" i="6"/>
  <c r="AB180" i="6"/>
  <c r="AB116" i="6"/>
  <c r="AB134" i="6"/>
  <c r="AB91" i="6"/>
  <c r="AB256" i="6"/>
  <c r="AB118" i="6"/>
  <c r="AB74" i="6"/>
  <c r="AB170" i="6"/>
  <c r="AB433" i="6"/>
  <c r="AB203" i="6"/>
  <c r="AB325" i="6"/>
  <c r="AB22" i="6"/>
  <c r="AB129" i="6"/>
  <c r="AB308" i="6"/>
  <c r="AB392" i="6"/>
  <c r="AB178" i="6"/>
  <c r="AB195" i="6"/>
  <c r="AB131" i="6"/>
  <c r="AB269" i="6"/>
  <c r="AB211" i="6"/>
  <c r="AB282" i="6"/>
  <c r="AB447" i="6"/>
  <c r="AB230" i="6"/>
  <c r="AB26" i="6"/>
  <c r="AB344" i="6"/>
  <c r="AB57" i="6"/>
  <c r="AB252" i="6"/>
  <c r="AB364" i="6"/>
  <c r="AB185" i="6"/>
  <c r="AB310" i="6"/>
  <c r="AB354" i="6"/>
  <c r="AB151" i="6"/>
  <c r="AB292" i="6"/>
  <c r="AB291" i="6"/>
  <c r="AB460" i="6"/>
  <c r="AB177" i="6"/>
  <c r="AB194" i="6"/>
  <c r="AB123" i="6"/>
  <c r="AA5" i="6"/>
  <c r="AB345" i="6"/>
  <c r="AB336" i="6"/>
  <c r="AB49" i="6"/>
  <c r="AB299" i="6"/>
  <c r="AB240" i="6"/>
  <c r="AB138" i="6"/>
  <c r="AB273" i="6"/>
  <c r="AB264" i="6"/>
  <c r="AB378" i="6"/>
  <c r="AB115" i="6"/>
  <c r="AB124" i="6"/>
  <c r="AB374" i="6"/>
  <c r="AB224" i="6"/>
  <c r="AB328" i="6"/>
  <c r="AB25" i="6"/>
  <c r="AB236" i="6"/>
  <c r="AB454" i="6"/>
  <c r="AB152" i="6"/>
  <c r="AB294" i="6"/>
  <c r="AB277" i="6"/>
  <c r="AB249" i="6"/>
  <c r="AB276" i="6"/>
  <c r="AB275" i="6"/>
  <c r="AB81" i="6"/>
  <c r="AB176" i="6"/>
  <c r="AB140" i="6"/>
  <c r="AB259" i="6"/>
  <c r="AB373" i="6"/>
  <c r="AB206" i="6"/>
  <c r="AB141" i="6"/>
  <c r="AB254" i="6"/>
  <c r="AB470" i="6"/>
  <c r="AB33" i="6"/>
  <c r="AB223" i="6"/>
  <c r="AB448" i="6"/>
  <c r="AB208" i="6"/>
  <c r="AB297" i="6"/>
  <c r="AB365" i="6"/>
  <c r="AB220" i="6"/>
  <c r="AB430" i="6"/>
  <c r="AB88" i="6"/>
  <c r="AB278" i="6"/>
  <c r="AB172" i="6"/>
  <c r="AB233" i="6"/>
  <c r="AB258" i="6"/>
  <c r="AB257" i="6"/>
  <c r="AB471" i="6"/>
  <c r="AB388" i="6"/>
  <c r="AB80" i="6"/>
  <c r="AB96" i="6"/>
  <c r="AB453" i="6"/>
  <c r="AB375" i="6"/>
  <c r="AB376" i="6"/>
  <c r="AB377" i="6"/>
  <c r="AB181" i="6"/>
  <c r="AB335" i="6"/>
  <c r="AB64" i="6"/>
  <c r="AB287" i="6"/>
  <c r="AB15" i="6"/>
  <c r="AB148" i="6"/>
  <c r="AB380" i="6"/>
  <c r="AB241" i="6"/>
  <c r="AB94" i="6"/>
  <c r="AB47" i="6"/>
  <c r="AB271" i="6"/>
  <c r="AB390" i="6"/>
  <c r="AB171" i="6"/>
  <c r="AB451" i="6"/>
  <c r="AB225" i="6"/>
  <c r="AB93" i="6"/>
  <c r="AB32" i="6"/>
  <c r="AB139" i="6"/>
  <c r="AB395" i="6"/>
  <c r="AB117" i="6"/>
  <c r="AB389" i="6"/>
  <c r="AB209" i="6"/>
  <c r="AB92" i="6"/>
  <c r="AB69" i="6"/>
  <c r="AB121" i="6"/>
  <c r="AB338" i="6"/>
  <c r="AB67" i="6"/>
  <c r="AB288" i="6"/>
  <c r="AB16" i="6"/>
  <c r="AB156" i="6"/>
  <c r="AB384" i="6"/>
  <c r="AB242" i="6"/>
  <c r="AB193" i="6"/>
  <c r="AB36" i="6"/>
  <c r="AB321" i="6"/>
  <c r="AB50" i="6"/>
  <c r="AB272" i="6"/>
  <c r="AB394" i="6"/>
  <c r="AB226" i="6"/>
  <c r="AB438" i="6"/>
  <c r="AB175" i="6"/>
  <c r="AB184" i="6"/>
  <c r="AB356" i="6"/>
  <c r="AB143" i="6"/>
  <c r="AB112" i="6"/>
  <c r="AB83" i="6"/>
  <c r="AB274" i="6"/>
  <c r="AB458" i="6"/>
  <c r="AB329" i="6"/>
  <c r="AB179" i="6"/>
  <c r="AB419" i="6"/>
  <c r="AB173" i="6"/>
  <c r="AB461" i="6"/>
  <c r="AB192" i="6"/>
  <c r="AB313" i="6"/>
  <c r="AB40" i="6"/>
  <c r="AB122" i="6"/>
  <c r="AB355" i="6"/>
  <c r="AB235" i="6"/>
  <c r="AB428" i="6"/>
  <c r="AB144" i="6"/>
  <c r="AB450" i="6"/>
  <c r="AB410" i="6"/>
  <c r="AB164" i="6"/>
  <c r="AB307" i="6"/>
  <c r="AB34" i="6"/>
  <c r="AB147" i="6"/>
  <c r="AB8" i="6"/>
  <c r="AB125" i="6"/>
  <c r="AB393" i="6"/>
  <c r="AB210" i="6"/>
  <c r="AB379" i="6"/>
  <c r="AB95" i="6"/>
  <c r="AB5" i="6" l="1"/>
</calcChain>
</file>

<file path=xl/sharedStrings.xml><?xml version="1.0" encoding="utf-8"?>
<sst xmlns="http://schemas.openxmlformats.org/spreadsheetml/2006/main" count="4643" uniqueCount="2029">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</sst>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4"/>
  <sheetViews>
    <sheetView tabSelected="1" zoomScaleNormal="100" workbookViewId="0">
      <pane ySplit="7" topLeftCell="A248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114</v>
      </c>
      <c r="F3" s="5">
        <f>+AD6</f>
        <v>92</v>
      </c>
      <c r="G3" s="5">
        <f>+AF6</f>
        <v>89</v>
      </c>
      <c r="H3" s="5">
        <f>+E3-G3</f>
        <v>25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147</v>
      </c>
      <c r="G4" s="7">
        <f>+AG6</f>
        <v>130</v>
      </c>
      <c r="H4" s="5">
        <f>+E4-G4</f>
        <v>194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438</v>
      </c>
      <c r="F5" s="8">
        <f>+F3+F4</f>
        <v>239</v>
      </c>
      <c r="G5" s="8">
        <f>+G3+G4</f>
        <v>219</v>
      </c>
      <c r="H5" s="8">
        <f>+H3+H4</f>
        <v>219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SUM(S8:S2427)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SUM(AD8:AD1696)</f>
        <v>92</v>
      </c>
      <c r="AE6" s="1">
        <f t="shared" si="1"/>
        <v>147</v>
      </c>
      <c r="AF6" s="1">
        <f t="shared" si="1"/>
        <v>89</v>
      </c>
      <c r="AG6" s="1">
        <f t="shared" si="1"/>
        <v>130</v>
      </c>
      <c r="AH6" s="1">
        <f t="shared" si="1"/>
        <v>114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4">
        <v>0</v>
      </c>
      <c r="B48" s="34">
        <v>1</v>
      </c>
      <c r="C48" s="34">
        <v>2</v>
      </c>
      <c r="D48" s="35" t="s">
        <v>1531</v>
      </c>
      <c r="E48" s="35" t="s">
        <v>1649</v>
      </c>
      <c r="F48" s="35" t="s">
        <v>1532</v>
      </c>
      <c r="G48" s="35" t="s">
        <v>200</v>
      </c>
      <c r="H48" s="35" t="s">
        <v>354</v>
      </c>
      <c r="I48" s="34" t="s">
        <v>1533</v>
      </c>
      <c r="J48" s="34">
        <v>2</v>
      </c>
      <c r="K48" s="36" t="s">
        <v>956</v>
      </c>
      <c r="L48" s="36">
        <v>70</v>
      </c>
      <c r="M48" s="37" t="s">
        <v>39</v>
      </c>
      <c r="N48" s="37" t="s">
        <v>1789</v>
      </c>
      <c r="O48" s="38">
        <v>1</v>
      </c>
      <c r="P48" s="38"/>
      <c r="Q48" s="35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4">
        <v>0</v>
      </c>
      <c r="B73" s="34">
        <v>1</v>
      </c>
      <c r="C73" s="34">
        <v>2</v>
      </c>
      <c r="D73" s="39" t="s">
        <v>2014</v>
      </c>
      <c r="E73" s="35" t="s">
        <v>175</v>
      </c>
      <c r="F73" s="39" t="s">
        <v>2015</v>
      </c>
      <c r="G73" s="39" t="s">
        <v>220</v>
      </c>
      <c r="H73" s="39" t="s">
        <v>354</v>
      </c>
      <c r="I73" s="40" t="s">
        <v>2016</v>
      </c>
      <c r="J73" s="34">
        <v>8</v>
      </c>
      <c r="K73" s="36" t="s">
        <v>703</v>
      </c>
      <c r="L73" s="36"/>
      <c r="M73" s="37"/>
      <c r="N73" s="37" t="s">
        <v>1733</v>
      </c>
      <c r="O73" s="38">
        <v>1</v>
      </c>
      <c r="P73" s="38">
        <v>1</v>
      </c>
      <c r="Q73" s="35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7">
        <v>0</v>
      </c>
      <c r="B74" s="47">
        <v>1</v>
      </c>
      <c r="C74" s="47">
        <v>2</v>
      </c>
      <c r="D74" s="48" t="s">
        <v>584</v>
      </c>
      <c r="E74" s="48" t="s">
        <v>174</v>
      </c>
      <c r="F74" s="48" t="s">
        <v>586</v>
      </c>
      <c r="G74" s="48" t="s">
        <v>39</v>
      </c>
      <c r="H74" s="48" t="s">
        <v>587</v>
      </c>
      <c r="I74" s="47" t="s">
        <v>588</v>
      </c>
      <c r="J74" s="47">
        <v>12</v>
      </c>
      <c r="K74" s="49" t="s">
        <v>960</v>
      </c>
      <c r="L74" s="49" t="s">
        <v>1712</v>
      </c>
      <c r="M74" s="50" t="s">
        <v>1379</v>
      </c>
      <c r="N74" s="50" t="s">
        <v>1738</v>
      </c>
      <c r="O74" s="51"/>
      <c r="P74" s="51"/>
      <c r="Q74" s="48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5" t="s">
        <v>1842</v>
      </c>
      <c r="E75" s="35" t="s">
        <v>174</v>
      </c>
      <c r="F75" s="35" t="s">
        <v>1843</v>
      </c>
      <c r="G75" s="35"/>
      <c r="H75" s="35" t="s">
        <v>1844</v>
      </c>
      <c r="I75" s="34" t="s">
        <v>1845</v>
      </c>
      <c r="J75" s="34">
        <v>14</v>
      </c>
      <c r="K75" s="36" t="s">
        <v>703</v>
      </c>
      <c r="L75" s="36">
        <v>75</v>
      </c>
      <c r="M75" s="37" t="s">
        <v>971</v>
      </c>
      <c r="N75" s="37" t="s">
        <v>1743</v>
      </c>
      <c r="O75" s="38">
        <v>1</v>
      </c>
      <c r="P75" s="38"/>
      <c r="Q75" s="35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1724</v>
      </c>
      <c r="E76" s="35" t="s">
        <v>175</v>
      </c>
      <c r="F76" s="39" t="s">
        <v>1725</v>
      </c>
      <c r="G76" s="39" t="s">
        <v>207</v>
      </c>
      <c r="H76" s="39" t="s">
        <v>354</v>
      </c>
      <c r="I76" s="40" t="s">
        <v>1726</v>
      </c>
      <c r="J76" s="34"/>
      <c r="K76" s="36" t="s">
        <v>703</v>
      </c>
      <c r="L76" s="36"/>
      <c r="M76" s="37"/>
      <c r="N76" s="37" t="s">
        <v>1727</v>
      </c>
      <c r="O76" s="38">
        <v>1</v>
      </c>
      <c r="P76" s="38">
        <v>1</v>
      </c>
      <c r="Q76" s="39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1058</v>
      </c>
      <c r="E77" s="35" t="s">
        <v>175</v>
      </c>
      <c r="F77" s="39" t="s">
        <v>1097</v>
      </c>
      <c r="G77" s="39" t="s">
        <v>39</v>
      </c>
      <c r="H77" s="39" t="s">
        <v>1059</v>
      </c>
      <c r="I77" s="40" t="s">
        <v>1161</v>
      </c>
      <c r="J77" s="34">
        <v>13</v>
      </c>
      <c r="K77" s="36" t="s">
        <v>702</v>
      </c>
      <c r="L77" s="36" t="s">
        <v>689</v>
      </c>
      <c r="M77" s="37" t="s">
        <v>1441</v>
      </c>
      <c r="N77" s="37" t="s">
        <v>1749</v>
      </c>
      <c r="O77" s="38">
        <v>1</v>
      </c>
      <c r="P77" s="38"/>
      <c r="Q77" s="39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4">
        <v>0</v>
      </c>
      <c r="B78" s="34">
        <v>1</v>
      </c>
      <c r="C78" s="34">
        <v>2</v>
      </c>
      <c r="D78" s="39" t="s">
        <v>1595</v>
      </c>
      <c r="E78" s="35" t="s">
        <v>175</v>
      </c>
      <c r="F78" s="39" t="s">
        <v>1596</v>
      </c>
      <c r="G78" s="39" t="s">
        <v>235</v>
      </c>
      <c r="H78" s="39" t="s">
        <v>354</v>
      </c>
      <c r="I78" s="40" t="s">
        <v>1597</v>
      </c>
      <c r="J78" s="34">
        <v>99</v>
      </c>
      <c r="K78" s="36" t="s">
        <v>956</v>
      </c>
      <c r="L78" s="36">
        <v>45</v>
      </c>
      <c r="M78" s="37" t="s">
        <v>39</v>
      </c>
      <c r="N78" s="37" t="s">
        <v>1789</v>
      </c>
      <c r="O78" s="38">
        <v>1</v>
      </c>
      <c r="P78" s="38"/>
      <c r="Q78" s="39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41">
        <v>0</v>
      </c>
      <c r="B79" s="41">
        <v>1</v>
      </c>
      <c r="C79" s="41">
        <v>2</v>
      </c>
      <c r="D79" s="57" t="s">
        <v>1325</v>
      </c>
      <c r="E79" s="42" t="s">
        <v>174</v>
      </c>
      <c r="F79" s="42" t="s">
        <v>1268</v>
      </c>
      <c r="G79" s="42" t="s">
        <v>207</v>
      </c>
      <c r="H79" s="42" t="s">
        <v>354</v>
      </c>
      <c r="I79" s="41" t="s">
        <v>1269</v>
      </c>
      <c r="J79" s="41">
        <v>99</v>
      </c>
      <c r="K79" s="43" t="s">
        <v>962</v>
      </c>
      <c r="L79" s="43" t="s">
        <v>39</v>
      </c>
      <c r="M79" s="44" t="s">
        <v>39</v>
      </c>
      <c r="N79" s="45"/>
      <c r="O79" s="46"/>
      <c r="P79" s="46">
        <v>1</v>
      </c>
      <c r="Q79" s="42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1799</v>
      </c>
      <c r="E80" s="35" t="s">
        <v>170</v>
      </c>
      <c r="F80" s="39" t="s">
        <v>1797</v>
      </c>
      <c r="G80" s="39" t="s">
        <v>232</v>
      </c>
      <c r="H80" s="39" t="s">
        <v>354</v>
      </c>
      <c r="I80" s="40" t="s">
        <v>1798</v>
      </c>
      <c r="J80" s="34">
        <v>99</v>
      </c>
      <c r="K80" s="36" t="s">
        <v>703</v>
      </c>
      <c r="L80" s="36"/>
      <c r="M80" s="37"/>
      <c r="N80" s="37" t="s">
        <v>1727</v>
      </c>
      <c r="O80" s="38">
        <v>1</v>
      </c>
      <c r="P80" s="38">
        <v>1</v>
      </c>
      <c r="Q80" s="39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4">
        <v>0</v>
      </c>
      <c r="B81" s="34">
        <v>1</v>
      </c>
      <c r="C81" s="34">
        <v>3</v>
      </c>
      <c r="D81" s="39" t="s">
        <v>1158</v>
      </c>
      <c r="E81" s="35" t="s">
        <v>170</v>
      </c>
      <c r="F81" s="39" t="s">
        <v>1159</v>
      </c>
      <c r="G81" s="39" t="s">
        <v>39</v>
      </c>
      <c r="H81" s="39" t="s">
        <v>1359</v>
      </c>
      <c r="I81" s="40" t="s">
        <v>1160</v>
      </c>
      <c r="J81" s="34">
        <v>11</v>
      </c>
      <c r="K81" s="36" t="s">
        <v>702</v>
      </c>
      <c r="L81" s="36" t="s">
        <v>1699</v>
      </c>
      <c r="M81" s="37" t="s">
        <v>1389</v>
      </c>
      <c r="N81" s="37" t="s">
        <v>1749</v>
      </c>
      <c r="O81" s="38">
        <v>1</v>
      </c>
      <c r="P81" s="38"/>
      <c r="Q81" s="39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1010</v>
      </c>
      <c r="E83" s="35" t="s">
        <v>172</v>
      </c>
      <c r="F83" s="39" t="s">
        <v>1011</v>
      </c>
      <c r="G83" s="39" t="s">
        <v>1012</v>
      </c>
      <c r="H83" s="39" t="s">
        <v>354</v>
      </c>
      <c r="I83" s="40" t="s">
        <v>1013</v>
      </c>
      <c r="J83" s="34">
        <v>99</v>
      </c>
      <c r="K83" s="36" t="s">
        <v>956</v>
      </c>
      <c r="L83" s="36" t="s">
        <v>39</v>
      </c>
      <c r="M83" s="37" t="s">
        <v>39</v>
      </c>
      <c r="N83" s="37" t="s">
        <v>1733</v>
      </c>
      <c r="O83" s="38">
        <v>1</v>
      </c>
      <c r="P83" s="38">
        <v>1</v>
      </c>
      <c r="Q83" s="39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4">
        <v>0</v>
      </c>
      <c r="B84" s="34">
        <v>1</v>
      </c>
      <c r="C84" s="34">
        <v>3</v>
      </c>
      <c r="D84" s="39" t="s">
        <v>143</v>
      </c>
      <c r="E84" s="35" t="s">
        <v>175</v>
      </c>
      <c r="F84" s="39" t="s">
        <v>344</v>
      </c>
      <c r="G84" s="39" t="s">
        <v>345</v>
      </c>
      <c r="H84" s="39" t="s">
        <v>354</v>
      </c>
      <c r="I84" s="40" t="s">
        <v>491</v>
      </c>
      <c r="J84" s="34">
        <v>6</v>
      </c>
      <c r="K84" s="36" t="s">
        <v>957</v>
      </c>
      <c r="L84" s="36" t="s">
        <v>687</v>
      </c>
      <c r="M84" s="37" t="s">
        <v>691</v>
      </c>
      <c r="N84" s="37" t="s">
        <v>1743</v>
      </c>
      <c r="O84" s="38">
        <v>1</v>
      </c>
      <c r="P84" s="38"/>
      <c r="Q84" s="39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5" t="s">
        <v>1810</v>
      </c>
      <c r="E86" s="35" t="s">
        <v>172</v>
      </c>
      <c r="F86" s="35" t="s">
        <v>1811</v>
      </c>
      <c r="G86" s="35" t="s">
        <v>1812</v>
      </c>
      <c r="H86" s="35" t="s">
        <v>354</v>
      </c>
      <c r="I86" s="34" t="s">
        <v>1813</v>
      </c>
      <c r="J86" s="34">
        <v>1</v>
      </c>
      <c r="K86" s="36" t="s">
        <v>703</v>
      </c>
      <c r="L86" s="36">
        <v>60</v>
      </c>
      <c r="M86" s="37" t="s">
        <v>1814</v>
      </c>
      <c r="N86" s="37" t="s">
        <v>1849</v>
      </c>
      <c r="O86" s="38">
        <v>1</v>
      </c>
      <c r="P86" s="38"/>
      <c r="Q86" s="35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4">
        <v>0</v>
      </c>
      <c r="B87" s="34">
        <v>1</v>
      </c>
      <c r="C87" s="34">
        <v>3</v>
      </c>
      <c r="D87" s="39" t="s">
        <v>1598</v>
      </c>
      <c r="E87" s="35" t="s">
        <v>175</v>
      </c>
      <c r="F87" s="39" t="s">
        <v>319</v>
      </c>
      <c r="G87" s="39" t="s">
        <v>269</v>
      </c>
      <c r="H87" s="39" t="s">
        <v>354</v>
      </c>
      <c r="I87" s="40" t="s">
        <v>466</v>
      </c>
      <c r="J87" s="34">
        <v>8</v>
      </c>
      <c r="K87" s="36" t="s">
        <v>702</v>
      </c>
      <c r="L87" s="36" t="s">
        <v>689</v>
      </c>
      <c r="M87" s="37" t="s">
        <v>691</v>
      </c>
      <c r="N87" s="37" t="s">
        <v>1755</v>
      </c>
      <c r="O87" s="38">
        <v>1</v>
      </c>
      <c r="P87" s="38"/>
      <c r="Q87" s="39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41">
        <v>0</v>
      </c>
      <c r="B88" s="41">
        <v>1</v>
      </c>
      <c r="C88" s="41">
        <v>3</v>
      </c>
      <c r="D88" s="42" t="s">
        <v>136</v>
      </c>
      <c r="E88" s="42" t="s">
        <v>172</v>
      </c>
      <c r="F88" s="57" t="s">
        <v>1880</v>
      </c>
      <c r="G88" s="42" t="s">
        <v>240</v>
      </c>
      <c r="H88" s="42" t="s">
        <v>354</v>
      </c>
      <c r="I88" s="41" t="s">
        <v>484</v>
      </c>
      <c r="J88" s="41">
        <v>1</v>
      </c>
      <c r="K88" s="43" t="s">
        <v>956</v>
      </c>
      <c r="L88" s="43" t="s">
        <v>689</v>
      </c>
      <c r="M88" s="44" t="s">
        <v>691</v>
      </c>
      <c r="N88" s="45"/>
      <c r="O88" s="46"/>
      <c r="P88" s="46">
        <v>1</v>
      </c>
      <c r="Q88" s="42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790</v>
      </c>
      <c r="E89" s="48" t="s">
        <v>610</v>
      </c>
      <c r="F89" s="48" t="s">
        <v>792</v>
      </c>
      <c r="G89" s="48" t="s">
        <v>214</v>
      </c>
      <c r="H89" s="48" t="s">
        <v>354</v>
      </c>
      <c r="I89" s="47" t="s">
        <v>791</v>
      </c>
      <c r="J89" s="47">
        <v>99</v>
      </c>
      <c r="K89" s="49" t="s">
        <v>722</v>
      </c>
      <c r="L89" s="49" t="s">
        <v>1699</v>
      </c>
      <c r="M89" s="50" t="s">
        <v>1390</v>
      </c>
      <c r="N89" s="50" t="s">
        <v>1747</v>
      </c>
      <c r="O89" s="51"/>
      <c r="P89" s="51"/>
      <c r="Q89" s="48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7">
        <v>0</v>
      </c>
      <c r="B90" s="47">
        <v>1</v>
      </c>
      <c r="C90" s="47">
        <v>3</v>
      </c>
      <c r="D90" s="48" t="s">
        <v>77</v>
      </c>
      <c r="E90" s="48" t="s">
        <v>172</v>
      </c>
      <c r="F90" s="48" t="s">
        <v>267</v>
      </c>
      <c r="G90" s="48" t="s">
        <v>263</v>
      </c>
      <c r="H90" s="48" t="s">
        <v>354</v>
      </c>
      <c r="I90" s="47" t="s">
        <v>424</v>
      </c>
      <c r="J90" s="47">
        <v>1</v>
      </c>
      <c r="K90" s="49" t="s">
        <v>956</v>
      </c>
      <c r="L90" s="49" t="s">
        <v>1699</v>
      </c>
      <c r="M90" s="50" t="s">
        <v>970</v>
      </c>
      <c r="N90" s="50" t="s">
        <v>1735</v>
      </c>
      <c r="O90" s="51"/>
      <c r="P90" s="51"/>
      <c r="Q90" s="48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1525</v>
      </c>
      <c r="E92" s="35" t="s">
        <v>176</v>
      </c>
      <c r="F92" s="39" t="s">
        <v>1526</v>
      </c>
      <c r="G92" s="39" t="s">
        <v>39</v>
      </c>
      <c r="H92" s="39" t="s">
        <v>906</v>
      </c>
      <c r="I92" s="40" t="s">
        <v>1527</v>
      </c>
      <c r="J92" s="34">
        <v>11</v>
      </c>
      <c r="K92" s="36" t="s">
        <v>964</v>
      </c>
      <c r="L92" s="36" t="s">
        <v>39</v>
      </c>
      <c r="M92" s="37" t="s">
        <v>39</v>
      </c>
      <c r="N92" s="37" t="s">
        <v>1733</v>
      </c>
      <c r="O92" s="38">
        <v>1</v>
      </c>
      <c r="P92" s="38">
        <v>1</v>
      </c>
      <c r="Q92" s="39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4">
        <v>0</v>
      </c>
      <c r="B93" s="34">
        <v>1</v>
      </c>
      <c r="C93" s="34">
        <v>3</v>
      </c>
      <c r="D93" s="39" t="s">
        <v>1854</v>
      </c>
      <c r="E93" s="39" t="s">
        <v>172</v>
      </c>
      <c r="F93" s="39" t="s">
        <v>1855</v>
      </c>
      <c r="G93" s="39"/>
      <c r="H93" s="39" t="s">
        <v>1856</v>
      </c>
      <c r="I93" s="40" t="s">
        <v>1857</v>
      </c>
      <c r="J93" s="34">
        <v>15</v>
      </c>
      <c r="K93" s="36" t="s">
        <v>703</v>
      </c>
      <c r="L93" s="36"/>
      <c r="M93" s="37"/>
      <c r="N93" s="37" t="s">
        <v>1733</v>
      </c>
      <c r="O93" s="38">
        <v>1</v>
      </c>
      <c r="P93" s="38">
        <v>1</v>
      </c>
      <c r="Q93" s="39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5" t="s">
        <v>1546</v>
      </c>
      <c r="E95" s="35" t="s">
        <v>172</v>
      </c>
      <c r="F95" s="35" t="s">
        <v>1547</v>
      </c>
      <c r="G95" s="35" t="s">
        <v>39</v>
      </c>
      <c r="H95" s="35" t="s">
        <v>364</v>
      </c>
      <c r="I95" s="34" t="s">
        <v>1548</v>
      </c>
      <c r="J95" s="34">
        <v>17</v>
      </c>
      <c r="K95" s="36" t="s">
        <v>722</v>
      </c>
      <c r="L95" s="36" t="s">
        <v>688</v>
      </c>
      <c r="M95" s="37" t="s">
        <v>39</v>
      </c>
      <c r="N95" s="37" t="s">
        <v>1727</v>
      </c>
      <c r="O95" s="38">
        <v>1</v>
      </c>
      <c r="P95" s="38">
        <v>1</v>
      </c>
      <c r="Q95" s="39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119</v>
      </c>
      <c r="E96" s="35" t="s">
        <v>172</v>
      </c>
      <c r="F96" s="39" t="s">
        <v>320</v>
      </c>
      <c r="G96" s="39" t="s">
        <v>39</v>
      </c>
      <c r="H96" s="39" t="s">
        <v>370</v>
      </c>
      <c r="I96" s="40" t="s">
        <v>467</v>
      </c>
      <c r="J96" s="34">
        <v>14</v>
      </c>
      <c r="K96" s="36" t="s">
        <v>956</v>
      </c>
      <c r="L96" s="36" t="s">
        <v>694</v>
      </c>
      <c r="M96" s="37" t="s">
        <v>691</v>
      </c>
      <c r="N96" s="37" t="s">
        <v>1748</v>
      </c>
      <c r="O96" s="38">
        <v>1</v>
      </c>
      <c r="P96" s="38"/>
      <c r="Q96" s="39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115</v>
      </c>
      <c r="E97" s="35" t="s">
        <v>170</v>
      </c>
      <c r="F97" s="39" t="s">
        <v>326</v>
      </c>
      <c r="G97" s="39" t="s">
        <v>230</v>
      </c>
      <c r="H97" s="39" t="s">
        <v>354</v>
      </c>
      <c r="I97" s="40" t="s">
        <v>474</v>
      </c>
      <c r="J97" s="34">
        <v>7</v>
      </c>
      <c r="K97" s="36" t="s">
        <v>702</v>
      </c>
      <c r="L97" s="36" t="s">
        <v>39</v>
      </c>
      <c r="M97" s="37" t="s">
        <v>39</v>
      </c>
      <c r="N97" s="37" t="s">
        <v>1733</v>
      </c>
      <c r="O97" s="38">
        <v>1</v>
      </c>
      <c r="P97" s="38">
        <v>1</v>
      </c>
      <c r="Q97" s="39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1932</v>
      </c>
      <c r="E98" s="35" t="s">
        <v>1933</v>
      </c>
      <c r="F98" s="39" t="s">
        <v>1934</v>
      </c>
      <c r="G98" s="39"/>
      <c r="H98" s="39" t="s">
        <v>366</v>
      </c>
      <c r="I98" s="40" t="s">
        <v>1936</v>
      </c>
      <c r="J98" s="34">
        <v>18</v>
      </c>
      <c r="K98" s="36" t="s">
        <v>703</v>
      </c>
      <c r="L98" s="36"/>
      <c r="M98" s="37"/>
      <c r="N98" s="37" t="s">
        <v>1733</v>
      </c>
      <c r="O98" s="38">
        <v>1</v>
      </c>
      <c r="P98" s="38">
        <v>1</v>
      </c>
      <c r="Q98" s="39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1207</v>
      </c>
      <c r="E99" s="48" t="s">
        <v>175</v>
      </c>
      <c r="F99" s="48" t="s">
        <v>1339</v>
      </c>
      <c r="G99" s="48" t="s">
        <v>39</v>
      </c>
      <c r="H99" s="48" t="s">
        <v>611</v>
      </c>
      <c r="I99" s="47" t="s">
        <v>1208</v>
      </c>
      <c r="J99" s="47">
        <v>14</v>
      </c>
      <c r="K99" s="49" t="s">
        <v>956</v>
      </c>
      <c r="L99" s="49" t="s">
        <v>1699</v>
      </c>
      <c r="M99" s="50" t="s">
        <v>1391</v>
      </c>
      <c r="N99" s="50" t="s">
        <v>1802</v>
      </c>
      <c r="O99" s="51"/>
      <c r="P99" s="51"/>
      <c r="Q99" s="48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4">
        <v>0</v>
      </c>
      <c r="B100" s="34">
        <v>1</v>
      </c>
      <c r="C100" s="34">
        <v>3</v>
      </c>
      <c r="D100" s="39" t="s">
        <v>821</v>
      </c>
      <c r="E100" s="35" t="s">
        <v>176</v>
      </c>
      <c r="F100" s="39" t="s">
        <v>927</v>
      </c>
      <c r="G100" s="39" t="s">
        <v>39</v>
      </c>
      <c r="H100" s="39" t="s">
        <v>372</v>
      </c>
      <c r="I100" s="40" t="s">
        <v>822</v>
      </c>
      <c r="J100" s="34">
        <v>16</v>
      </c>
      <c r="K100" s="36" t="s">
        <v>957</v>
      </c>
      <c r="L100" s="36" t="s">
        <v>688</v>
      </c>
      <c r="M100" s="37" t="s">
        <v>970</v>
      </c>
      <c r="N100" s="37" t="s">
        <v>1727</v>
      </c>
      <c r="O100" s="38">
        <v>1</v>
      </c>
      <c r="P100" s="38">
        <v>1</v>
      </c>
      <c r="Q100" s="39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7">
        <v>0</v>
      </c>
      <c r="B102" s="47">
        <v>1</v>
      </c>
      <c r="C102" s="47">
        <v>3</v>
      </c>
      <c r="D102" s="48" t="s">
        <v>516</v>
      </c>
      <c r="E102" s="48" t="s">
        <v>170</v>
      </c>
      <c r="F102" s="48" t="s">
        <v>517</v>
      </c>
      <c r="G102" s="48" t="s">
        <v>504</v>
      </c>
      <c r="H102" s="48" t="s">
        <v>354</v>
      </c>
      <c r="I102" s="47" t="s">
        <v>518</v>
      </c>
      <c r="J102" s="47">
        <v>99</v>
      </c>
      <c r="K102" s="49" t="s">
        <v>956</v>
      </c>
      <c r="L102" s="49" t="s">
        <v>694</v>
      </c>
      <c r="M102" s="50" t="s">
        <v>691</v>
      </c>
      <c r="N102" s="50" t="s">
        <v>1747</v>
      </c>
      <c r="O102" s="51"/>
      <c r="P102" s="51"/>
      <c r="Q102" s="48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1319</v>
      </c>
      <c r="E105" s="35" t="s">
        <v>175</v>
      </c>
      <c r="F105" s="35" t="s">
        <v>1340</v>
      </c>
      <c r="G105" s="35" t="s">
        <v>39</v>
      </c>
      <c r="H105" s="35" t="s">
        <v>354</v>
      </c>
      <c r="I105" s="34" t="s">
        <v>1136</v>
      </c>
      <c r="J105" s="34">
        <v>99</v>
      </c>
      <c r="K105" s="36" t="s">
        <v>702</v>
      </c>
      <c r="L105" s="36" t="s">
        <v>1699</v>
      </c>
      <c r="M105" s="37" t="s">
        <v>1392</v>
      </c>
      <c r="N105" s="37" t="s">
        <v>1749</v>
      </c>
      <c r="O105" s="38">
        <v>1</v>
      </c>
      <c r="P105" s="38"/>
      <c r="Q105" s="35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1263</v>
      </c>
      <c r="E106" s="35" t="s">
        <v>170</v>
      </c>
      <c r="F106" s="35" t="s">
        <v>1341</v>
      </c>
      <c r="G106" s="35" t="s">
        <v>1194</v>
      </c>
      <c r="H106" s="35" t="s">
        <v>354</v>
      </c>
      <c r="I106" s="34" t="s">
        <v>1195</v>
      </c>
      <c r="J106" s="34">
        <v>99</v>
      </c>
      <c r="K106" s="36" t="s">
        <v>722</v>
      </c>
      <c r="L106" s="36">
        <v>50</v>
      </c>
      <c r="M106" s="37" t="s">
        <v>39</v>
      </c>
      <c r="N106" s="37" t="s">
        <v>1801</v>
      </c>
      <c r="O106" s="38">
        <v>1</v>
      </c>
      <c r="P106" s="38"/>
      <c r="Q106" s="35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1019</v>
      </c>
      <c r="E107" s="35" t="s">
        <v>610</v>
      </c>
      <c r="F107" s="35" t="s">
        <v>1020</v>
      </c>
      <c r="G107" s="35" t="s">
        <v>1021</v>
      </c>
      <c r="H107" s="35" t="s">
        <v>354</v>
      </c>
      <c r="I107" s="34" t="s">
        <v>1022</v>
      </c>
      <c r="J107" s="34">
        <v>99</v>
      </c>
      <c r="K107" s="36" t="s">
        <v>956</v>
      </c>
      <c r="L107" s="36" t="s">
        <v>39</v>
      </c>
      <c r="M107" s="37" t="s">
        <v>39</v>
      </c>
      <c r="N107" s="37" t="s">
        <v>1733</v>
      </c>
      <c r="O107" s="38">
        <v>1</v>
      </c>
      <c r="P107" s="38">
        <v>1</v>
      </c>
      <c r="Q107" s="35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141</v>
      </c>
      <c r="E108" s="35" t="s">
        <v>175</v>
      </c>
      <c r="F108" s="35" t="s">
        <v>342</v>
      </c>
      <c r="G108" s="35" t="s">
        <v>39</v>
      </c>
      <c r="H108" s="35" t="s">
        <v>376</v>
      </c>
      <c r="I108" s="34" t="s">
        <v>489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1748</v>
      </c>
      <c r="O108" s="38">
        <v>1</v>
      </c>
      <c r="P108" s="38"/>
      <c r="Q108" s="35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4">
        <v>0</v>
      </c>
      <c r="B109" s="34">
        <v>1</v>
      </c>
      <c r="C109" s="34">
        <v>3</v>
      </c>
      <c r="D109" s="35" t="s">
        <v>817</v>
      </c>
      <c r="E109" s="35" t="s">
        <v>172</v>
      </c>
      <c r="F109" s="35" t="s">
        <v>818</v>
      </c>
      <c r="G109" s="35" t="s">
        <v>39</v>
      </c>
      <c r="H109" s="35" t="s">
        <v>819</v>
      </c>
      <c r="I109" s="34" t="s">
        <v>820</v>
      </c>
      <c r="J109" s="34">
        <v>16</v>
      </c>
      <c r="K109" s="36" t="s">
        <v>702</v>
      </c>
      <c r="L109" s="36" t="s">
        <v>688</v>
      </c>
      <c r="M109" s="37" t="s">
        <v>1393</v>
      </c>
      <c r="N109" s="37" t="s">
        <v>1727</v>
      </c>
      <c r="O109" s="38">
        <v>1</v>
      </c>
      <c r="P109" s="38">
        <v>1</v>
      </c>
      <c r="Q109" s="35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1505</v>
      </c>
      <c r="E111" s="48" t="s">
        <v>170</v>
      </c>
      <c r="F111" s="48" t="s">
        <v>1506</v>
      </c>
      <c r="G111" s="48" t="s">
        <v>39</v>
      </c>
      <c r="H111" s="48" t="s">
        <v>374</v>
      </c>
      <c r="I111" s="47" t="s">
        <v>1507</v>
      </c>
      <c r="J111" s="47">
        <v>11</v>
      </c>
      <c r="K111" s="49" t="s">
        <v>722</v>
      </c>
      <c r="L111" s="49">
        <v>50</v>
      </c>
      <c r="M111" s="50" t="s">
        <v>39</v>
      </c>
      <c r="N111" s="50" t="s">
        <v>1734</v>
      </c>
      <c r="O111" s="51"/>
      <c r="P111" s="51"/>
      <c r="Q111" s="48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107</v>
      </c>
      <c r="E112" s="48" t="s">
        <v>170</v>
      </c>
      <c r="F112" s="48" t="s">
        <v>305</v>
      </c>
      <c r="G112" s="48" t="s">
        <v>39</v>
      </c>
      <c r="H112" s="48" t="s">
        <v>360</v>
      </c>
      <c r="I112" s="47" t="s">
        <v>454</v>
      </c>
      <c r="J112" s="47">
        <v>18</v>
      </c>
      <c r="K112" s="49" t="s">
        <v>702</v>
      </c>
      <c r="L112" s="49">
        <v>55</v>
      </c>
      <c r="M112" s="50" t="s">
        <v>691</v>
      </c>
      <c r="N112" s="50" t="s">
        <v>1734</v>
      </c>
      <c r="O112" s="51"/>
      <c r="P112" s="51"/>
      <c r="Q112" s="48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4">
        <v>0</v>
      </c>
      <c r="B113" s="34">
        <v>1</v>
      </c>
      <c r="C113" s="34">
        <v>3</v>
      </c>
      <c r="D113" s="35" t="s">
        <v>128</v>
      </c>
      <c r="E113" s="35" t="s">
        <v>175</v>
      </c>
      <c r="F113" s="35" t="s">
        <v>329</v>
      </c>
      <c r="G113" s="35" t="s">
        <v>39</v>
      </c>
      <c r="H113" s="35" t="s">
        <v>375</v>
      </c>
      <c r="I113" s="34" t="s">
        <v>477</v>
      </c>
      <c r="J113" s="34">
        <v>12</v>
      </c>
      <c r="K113" s="36" t="s">
        <v>702</v>
      </c>
      <c r="L113" s="36">
        <v>35</v>
      </c>
      <c r="M113" s="37" t="s">
        <v>691</v>
      </c>
      <c r="N113" s="37" t="s">
        <v>1749</v>
      </c>
      <c r="O113" s="38">
        <v>1</v>
      </c>
      <c r="P113" s="38"/>
      <c r="Q113" s="35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994</v>
      </c>
      <c r="E114" s="48" t="s">
        <v>170</v>
      </c>
      <c r="F114" s="48" t="s">
        <v>1093</v>
      </c>
      <c r="G114" s="48" t="s">
        <v>232</v>
      </c>
      <c r="H114" s="48" t="s">
        <v>354</v>
      </c>
      <c r="I114" s="47" t="s">
        <v>995</v>
      </c>
      <c r="J114" s="47">
        <v>99</v>
      </c>
      <c r="K114" s="49" t="s">
        <v>956</v>
      </c>
      <c r="L114" s="49">
        <v>40</v>
      </c>
      <c r="M114" s="50" t="s">
        <v>39</v>
      </c>
      <c r="N114" s="50" t="s">
        <v>1747</v>
      </c>
      <c r="O114" s="51"/>
      <c r="P114" s="51"/>
      <c r="Q114" s="48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41">
        <v>0</v>
      </c>
      <c r="B115" s="41">
        <v>1</v>
      </c>
      <c r="C115" s="41">
        <v>3</v>
      </c>
      <c r="D115" s="42" t="s">
        <v>129</v>
      </c>
      <c r="E115" s="42" t="s">
        <v>170</v>
      </c>
      <c r="F115" s="42" t="s">
        <v>330</v>
      </c>
      <c r="G115" s="42" t="s">
        <v>39</v>
      </c>
      <c r="H115" s="42" t="s">
        <v>371</v>
      </c>
      <c r="I115" s="41" t="s">
        <v>478</v>
      </c>
      <c r="J115" s="41">
        <v>11</v>
      </c>
      <c r="K115" s="43" t="s">
        <v>702</v>
      </c>
      <c r="L115" s="43" t="s">
        <v>39</v>
      </c>
      <c r="M115" s="44" t="s">
        <v>39</v>
      </c>
      <c r="N115" s="45"/>
      <c r="O115" s="46"/>
      <c r="P115" s="46">
        <v>1</v>
      </c>
      <c r="Q115" s="42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699</v>
      </c>
      <c r="E117" s="48" t="s">
        <v>175</v>
      </c>
      <c r="F117" s="48" t="s">
        <v>700</v>
      </c>
      <c r="G117" s="48" t="s">
        <v>39</v>
      </c>
      <c r="H117" s="48" t="s">
        <v>701</v>
      </c>
      <c r="I117" s="47" t="s">
        <v>1115</v>
      </c>
      <c r="J117" s="47">
        <v>13</v>
      </c>
      <c r="K117" s="49" t="s">
        <v>702</v>
      </c>
      <c r="L117" s="49" t="s">
        <v>1699</v>
      </c>
      <c r="M117" s="50" t="s">
        <v>970</v>
      </c>
      <c r="N117" s="50" t="s">
        <v>1802</v>
      </c>
      <c r="O117" s="51"/>
      <c r="P117" s="51"/>
      <c r="Q117" s="48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4">
        <v>0</v>
      </c>
      <c r="B118" s="34">
        <v>1</v>
      </c>
      <c r="C118" s="34">
        <v>3</v>
      </c>
      <c r="D118" s="35" t="s">
        <v>1520</v>
      </c>
      <c r="E118" s="35" t="s">
        <v>170</v>
      </c>
      <c r="F118" s="35" t="s">
        <v>1667</v>
      </c>
      <c r="G118" s="35" t="s">
        <v>39</v>
      </c>
      <c r="H118" s="35" t="s">
        <v>1521</v>
      </c>
      <c r="I118" s="34" t="s">
        <v>1522</v>
      </c>
      <c r="J118" s="34">
        <v>11</v>
      </c>
      <c r="K118" s="36" t="s">
        <v>722</v>
      </c>
      <c r="L118" s="36">
        <v>40</v>
      </c>
      <c r="M118" s="37" t="s">
        <v>39</v>
      </c>
      <c r="N118" s="37" t="s">
        <v>1727</v>
      </c>
      <c r="O118" s="38">
        <v>1</v>
      </c>
      <c r="P118" s="38">
        <v>1</v>
      </c>
      <c r="Q118" s="35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7">
        <v>0</v>
      </c>
      <c r="B121" s="47">
        <v>1</v>
      </c>
      <c r="C121" s="47">
        <v>3</v>
      </c>
      <c r="D121" s="48" t="s">
        <v>1000</v>
      </c>
      <c r="E121" s="48" t="s">
        <v>172</v>
      </c>
      <c r="F121" s="68" t="s">
        <v>1867</v>
      </c>
      <c r="G121" s="48" t="s">
        <v>39</v>
      </c>
      <c r="H121" s="48" t="s">
        <v>1001</v>
      </c>
      <c r="I121" s="47" t="s">
        <v>1116</v>
      </c>
      <c r="J121" s="47">
        <v>16</v>
      </c>
      <c r="K121" s="49" t="s">
        <v>722</v>
      </c>
      <c r="L121" s="49" t="s">
        <v>1742</v>
      </c>
      <c r="M121" s="50" t="s">
        <v>1394</v>
      </c>
      <c r="N121" s="50" t="s">
        <v>1802</v>
      </c>
      <c r="O121" s="51"/>
      <c r="P121" s="51"/>
      <c r="Q121" s="68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1078</v>
      </c>
      <c r="E123" s="35" t="s">
        <v>172</v>
      </c>
      <c r="F123" s="35" t="s">
        <v>1040</v>
      </c>
      <c r="G123" s="35" t="s">
        <v>1104</v>
      </c>
      <c r="H123" s="35" t="s">
        <v>354</v>
      </c>
      <c r="I123" s="34" t="s">
        <v>1041</v>
      </c>
      <c r="J123" s="34">
        <v>1</v>
      </c>
      <c r="K123" s="36" t="s">
        <v>958</v>
      </c>
      <c r="L123" s="36" t="s">
        <v>687</v>
      </c>
      <c r="M123" s="37" t="s">
        <v>971</v>
      </c>
      <c r="N123" s="37" t="s">
        <v>1755</v>
      </c>
      <c r="O123" s="38">
        <v>1</v>
      </c>
      <c r="P123" s="38"/>
      <c r="Q123" s="35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4">
        <v>0</v>
      </c>
      <c r="B124" s="34">
        <v>1</v>
      </c>
      <c r="C124" s="34">
        <v>3</v>
      </c>
      <c r="D124" s="35" t="s">
        <v>1629</v>
      </c>
      <c r="E124" s="35" t="s">
        <v>1087</v>
      </c>
      <c r="F124" s="35" t="s">
        <v>1630</v>
      </c>
      <c r="G124" s="35" t="s">
        <v>39</v>
      </c>
      <c r="H124" s="35" t="s">
        <v>1631</v>
      </c>
      <c r="I124" s="34" t="s">
        <v>1632</v>
      </c>
      <c r="J124" s="34">
        <v>15</v>
      </c>
      <c r="K124" s="36" t="s">
        <v>958</v>
      </c>
      <c r="L124" s="36" t="s">
        <v>39</v>
      </c>
      <c r="M124" s="37" t="s">
        <v>39</v>
      </c>
      <c r="N124" s="37" t="s">
        <v>1748</v>
      </c>
      <c r="O124" s="38">
        <v>1</v>
      </c>
      <c r="P124" s="38"/>
      <c r="Q124" s="39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4">
        <v>0</v>
      </c>
      <c r="B127" s="34">
        <v>1</v>
      </c>
      <c r="C127" s="34">
        <v>3</v>
      </c>
      <c r="D127" s="35" t="s">
        <v>920</v>
      </c>
      <c r="E127" s="35" t="s">
        <v>172</v>
      </c>
      <c r="F127" s="35" t="s">
        <v>1157</v>
      </c>
      <c r="G127" s="35" t="s">
        <v>39</v>
      </c>
      <c r="H127" s="35" t="s">
        <v>363</v>
      </c>
      <c r="I127" s="34" t="s">
        <v>891</v>
      </c>
      <c r="J127" s="34">
        <v>14</v>
      </c>
      <c r="K127" s="36" t="s">
        <v>957</v>
      </c>
      <c r="L127" s="36" t="s">
        <v>39</v>
      </c>
      <c r="M127" s="37" t="s">
        <v>39</v>
      </c>
      <c r="N127" s="37" t="s">
        <v>1733</v>
      </c>
      <c r="O127" s="38">
        <v>1</v>
      </c>
      <c r="P127" s="38">
        <v>1</v>
      </c>
      <c r="Q127" s="39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1508</v>
      </c>
      <c r="E129" s="35" t="s">
        <v>1652</v>
      </c>
      <c r="F129" s="35" t="s">
        <v>1510</v>
      </c>
      <c r="G129" s="35" t="s">
        <v>39</v>
      </c>
      <c r="H129" s="35" t="s">
        <v>1511</v>
      </c>
      <c r="I129" s="34" t="s">
        <v>1509</v>
      </c>
      <c r="J129" s="34">
        <v>14</v>
      </c>
      <c r="K129" s="36" t="s">
        <v>962</v>
      </c>
      <c r="L129" s="36" t="s">
        <v>687</v>
      </c>
      <c r="M129" s="37" t="s">
        <v>1396</v>
      </c>
      <c r="N129" s="37" t="s">
        <v>1727</v>
      </c>
      <c r="O129" s="38">
        <v>1</v>
      </c>
      <c r="P129" s="38">
        <v>1</v>
      </c>
      <c r="Q129" s="39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7">
        <v>0</v>
      </c>
      <c r="B130" s="47">
        <v>1</v>
      </c>
      <c r="C130" s="47">
        <v>3</v>
      </c>
      <c r="D130" s="48" t="s">
        <v>1256</v>
      </c>
      <c r="E130" s="48" t="s">
        <v>172</v>
      </c>
      <c r="F130" s="48" t="s">
        <v>1257</v>
      </c>
      <c r="G130" s="48" t="s">
        <v>1259</v>
      </c>
      <c r="H130" s="48" t="s">
        <v>354</v>
      </c>
      <c r="I130" s="47" t="s">
        <v>1258</v>
      </c>
      <c r="J130" s="47">
        <v>99</v>
      </c>
      <c r="K130" s="49" t="s">
        <v>958</v>
      </c>
      <c r="L130" s="49" t="s">
        <v>693</v>
      </c>
      <c r="M130" s="50" t="s">
        <v>971</v>
      </c>
      <c r="N130" s="50" t="s">
        <v>1802</v>
      </c>
      <c r="O130" s="51"/>
      <c r="P130" s="51"/>
      <c r="Q130" s="48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1244</v>
      </c>
      <c r="E133" s="35" t="s">
        <v>1246</v>
      </c>
      <c r="F133" s="35" t="s">
        <v>1247</v>
      </c>
      <c r="G133" s="35" t="s">
        <v>39</v>
      </c>
      <c r="H133" s="35" t="s">
        <v>369</v>
      </c>
      <c r="I133" s="34" t="s">
        <v>1245</v>
      </c>
      <c r="J133" s="34">
        <v>14</v>
      </c>
      <c r="K133" s="36" t="s">
        <v>958</v>
      </c>
      <c r="L133" s="36" t="s">
        <v>687</v>
      </c>
      <c r="M133" s="37" t="s">
        <v>1396</v>
      </c>
      <c r="N133" s="37" t="s">
        <v>1733</v>
      </c>
      <c r="O133" s="38">
        <v>1</v>
      </c>
      <c r="P133" s="38">
        <v>1</v>
      </c>
      <c r="Q133" s="35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130</v>
      </c>
      <c r="E134" s="35" t="s">
        <v>176</v>
      </c>
      <c r="F134" s="35" t="s">
        <v>331</v>
      </c>
      <c r="G134" s="35" t="s">
        <v>182</v>
      </c>
      <c r="H134" s="35" t="s">
        <v>354</v>
      </c>
      <c r="I134" s="34" t="s">
        <v>479</v>
      </c>
      <c r="J134" s="34">
        <v>99</v>
      </c>
      <c r="K134" s="36" t="s">
        <v>957</v>
      </c>
      <c r="L134" s="36" t="s">
        <v>39</v>
      </c>
      <c r="M134" s="37" t="s">
        <v>39</v>
      </c>
      <c r="N134" s="37" t="s">
        <v>1733</v>
      </c>
      <c r="O134" s="38">
        <v>1</v>
      </c>
      <c r="P134" s="38">
        <v>1</v>
      </c>
      <c r="Q134" s="35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921</v>
      </c>
      <c r="E135" s="35" t="s">
        <v>172</v>
      </c>
      <c r="F135" s="35" t="s">
        <v>933</v>
      </c>
      <c r="G135" s="35" t="s">
        <v>235</v>
      </c>
      <c r="H135" s="35" t="s">
        <v>354</v>
      </c>
      <c r="I135" s="34" t="s">
        <v>947</v>
      </c>
      <c r="J135" s="34">
        <v>99</v>
      </c>
      <c r="K135" s="36" t="s">
        <v>722</v>
      </c>
      <c r="L135" s="36">
        <v>45</v>
      </c>
      <c r="M135" s="37" t="s">
        <v>39</v>
      </c>
      <c r="N135" s="37" t="s">
        <v>1801</v>
      </c>
      <c r="O135" s="38">
        <v>1</v>
      </c>
      <c r="P135" s="38"/>
      <c r="Q135" s="35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7">
        <v>0</v>
      </c>
      <c r="B136" s="47">
        <v>1</v>
      </c>
      <c r="C136" s="47">
        <v>3</v>
      </c>
      <c r="D136" s="48" t="s">
        <v>78</v>
      </c>
      <c r="E136" s="48" t="s">
        <v>610</v>
      </c>
      <c r="F136" s="48" t="s">
        <v>308</v>
      </c>
      <c r="G136" s="48" t="s">
        <v>39</v>
      </c>
      <c r="H136" s="48" t="s">
        <v>362</v>
      </c>
      <c r="I136" s="47" t="s">
        <v>457</v>
      </c>
      <c r="J136" s="47">
        <v>12</v>
      </c>
      <c r="K136" s="49" t="s">
        <v>703</v>
      </c>
      <c r="L136" s="49">
        <v>40</v>
      </c>
      <c r="M136" s="50" t="s">
        <v>971</v>
      </c>
      <c r="N136" s="50" t="s">
        <v>1802</v>
      </c>
      <c r="O136" s="51"/>
      <c r="P136" s="51"/>
      <c r="Q136" s="48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1287</v>
      </c>
      <c r="E138" s="35" t="s">
        <v>172</v>
      </c>
      <c r="F138" s="35" t="s">
        <v>1288</v>
      </c>
      <c r="G138" s="35" t="s">
        <v>238</v>
      </c>
      <c r="H138" s="35" t="s">
        <v>354</v>
      </c>
      <c r="I138" s="34" t="s">
        <v>1289</v>
      </c>
      <c r="J138" s="34">
        <v>4</v>
      </c>
      <c r="K138" s="36" t="s">
        <v>957</v>
      </c>
      <c r="L138" s="36" t="s">
        <v>39</v>
      </c>
      <c r="M138" s="37" t="s">
        <v>39</v>
      </c>
      <c r="N138" s="37" t="s">
        <v>1727</v>
      </c>
      <c r="O138" s="38">
        <v>1</v>
      </c>
      <c r="P138" s="38">
        <v>1</v>
      </c>
      <c r="Q138" s="35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3" si="97">+O138*P138*(1-A138)</f>
        <v>1</v>
      </c>
      <c r="AG138" s="1">
        <f t="shared" ref="AG138:AG203" si="98">O138*(1-P138)*(1-A138)</f>
        <v>0</v>
      </c>
      <c r="AH138" s="1">
        <f t="shared" ref="AH138:AH203" si="99">+P138*(1-A138)</f>
        <v>1</v>
      </c>
      <c r="AI138" s="1">
        <f t="shared" ref="AI138:AI203" si="100">+(1-A138)*(1-P138)</f>
        <v>0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5" t="s">
        <v>648</v>
      </c>
      <c r="E139" s="35" t="s">
        <v>172</v>
      </c>
      <c r="F139" s="35" t="s">
        <v>657</v>
      </c>
      <c r="G139" s="35" t="s">
        <v>232</v>
      </c>
      <c r="H139" s="35" t="s">
        <v>354</v>
      </c>
      <c r="I139" s="34" t="s">
        <v>612</v>
      </c>
      <c r="J139" s="34">
        <v>99</v>
      </c>
      <c r="K139" s="36" t="s">
        <v>702</v>
      </c>
      <c r="L139" s="36" t="s">
        <v>39</v>
      </c>
      <c r="M139" s="37" t="s">
        <v>39</v>
      </c>
      <c r="N139" s="37" t="s">
        <v>1733</v>
      </c>
      <c r="O139" s="38">
        <v>1</v>
      </c>
      <c r="P139" s="38">
        <v>1</v>
      </c>
      <c r="Q139" s="35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41">
        <v>0</v>
      </c>
      <c r="B140" s="41">
        <v>1</v>
      </c>
      <c r="C140" s="41">
        <v>3</v>
      </c>
      <c r="D140" s="42" t="s">
        <v>873</v>
      </c>
      <c r="E140" s="42" t="s">
        <v>874</v>
      </c>
      <c r="F140" s="42" t="s">
        <v>875</v>
      </c>
      <c r="G140" s="42" t="s">
        <v>39</v>
      </c>
      <c r="H140" s="42" t="s">
        <v>366</v>
      </c>
      <c r="I140" s="41" t="s">
        <v>876</v>
      </c>
      <c r="J140" s="41">
        <v>18</v>
      </c>
      <c r="K140" s="43" t="s">
        <v>956</v>
      </c>
      <c r="L140" s="43" t="s">
        <v>39</v>
      </c>
      <c r="M140" s="44" t="s">
        <v>39</v>
      </c>
      <c r="N140" s="45"/>
      <c r="O140" s="46"/>
      <c r="P140" s="46">
        <v>1</v>
      </c>
      <c r="Q140" s="42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1307</v>
      </c>
      <c r="E141" s="35" t="s">
        <v>172</v>
      </c>
      <c r="F141" s="35" t="s">
        <v>1308</v>
      </c>
      <c r="G141" s="35" t="s">
        <v>208</v>
      </c>
      <c r="H141" s="35" t="s">
        <v>354</v>
      </c>
      <c r="I141" s="34" t="s">
        <v>1309</v>
      </c>
      <c r="J141" s="34">
        <v>3</v>
      </c>
      <c r="K141" s="36" t="s">
        <v>956</v>
      </c>
      <c r="L141" s="36" t="s">
        <v>39</v>
      </c>
      <c r="M141" s="37" t="s">
        <v>39</v>
      </c>
      <c r="N141" s="37" t="s">
        <v>1733</v>
      </c>
      <c r="O141" s="38">
        <v>1</v>
      </c>
      <c r="P141" s="38">
        <v>1</v>
      </c>
      <c r="Q141" s="35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867</v>
      </c>
      <c r="E142" s="48" t="s">
        <v>170</v>
      </c>
      <c r="F142" s="48" t="s">
        <v>868</v>
      </c>
      <c r="G142" s="48" t="s">
        <v>39</v>
      </c>
      <c r="H142" s="48" t="s">
        <v>869</v>
      </c>
      <c r="I142" s="47" t="s">
        <v>948</v>
      </c>
      <c r="J142" s="47">
        <v>11</v>
      </c>
      <c r="K142" s="49" t="s">
        <v>702</v>
      </c>
      <c r="L142" s="49" t="s">
        <v>689</v>
      </c>
      <c r="M142" s="50" t="s">
        <v>971</v>
      </c>
      <c r="N142" s="50" t="s">
        <v>1741</v>
      </c>
      <c r="O142" s="51"/>
      <c r="P142" s="51"/>
      <c r="Q142" s="48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506</v>
      </c>
      <c r="E143" s="39" t="s">
        <v>170</v>
      </c>
      <c r="F143" s="39" t="s">
        <v>507</v>
      </c>
      <c r="G143" s="39" t="s">
        <v>504</v>
      </c>
      <c r="H143" s="39" t="s">
        <v>354</v>
      </c>
      <c r="I143" s="40" t="s">
        <v>508</v>
      </c>
      <c r="J143" s="34">
        <v>99</v>
      </c>
      <c r="K143" s="36" t="s">
        <v>703</v>
      </c>
      <c r="L143" s="36">
        <v>40</v>
      </c>
      <c r="M143" s="37" t="s">
        <v>971</v>
      </c>
      <c r="N143" s="37" t="s">
        <v>1946</v>
      </c>
      <c r="O143" s="38">
        <v>1</v>
      </c>
      <c r="P143" s="38"/>
      <c r="Q143" s="39"/>
      <c r="S143" s="1">
        <f t="shared" ref="S143:S208" si="101">IF(J143=$S$7,1,0)</f>
        <v>0</v>
      </c>
      <c r="T143" s="1">
        <f t="shared" ref="T143:T208" si="102">IF(J143=$T$7,1,0)</f>
        <v>0</v>
      </c>
      <c r="U143" s="1">
        <f t="shared" ref="U143:U208" si="103">IF(J143=$U$7,1,0)</f>
        <v>0</v>
      </c>
      <c r="V143" s="1">
        <f t="shared" ref="V143:V208" si="104">IF(J143=$V$7,1,0)</f>
        <v>0</v>
      </c>
      <c r="W143" s="1">
        <f t="shared" ref="W143:W208" si="105">IF(J143=$W$7,1,0)</f>
        <v>0</v>
      </c>
      <c r="X143" s="1">
        <f t="shared" ref="X143:X208" si="106">IF(J143=$X$7,1,0)</f>
        <v>0</v>
      </c>
      <c r="Y143" s="1">
        <f t="shared" ref="Y143:Y208" si="107">IF(J143=$Y$7,1,0)</f>
        <v>0</v>
      </c>
      <c r="Z143" s="1">
        <f t="shared" ref="Z143:Z208" si="108">IF(J143=$Z$7,1,0)</f>
        <v>0</v>
      </c>
      <c r="AA143" s="1">
        <f t="shared" ref="AA143:AA208" si="109">IF(J143=$AA$7,1,0)</f>
        <v>0</v>
      </c>
      <c r="AB143" s="1">
        <f t="shared" ref="AB143:AB208" si="110">IF(J143=$AB$7,1,0)</f>
        <v>0</v>
      </c>
      <c r="AD143" s="1">
        <f t="shared" ref="AD143:AD208" si="111">+O143*P143</f>
        <v>0</v>
      </c>
      <c r="AE143" s="1">
        <f t="shared" ref="AE143:AE208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9" t="s">
        <v>1792</v>
      </c>
      <c r="E144" s="39" t="s">
        <v>1793</v>
      </c>
      <c r="F144" s="39" t="s">
        <v>1794</v>
      </c>
      <c r="G144" s="39" t="s">
        <v>1795</v>
      </c>
      <c r="H144" s="39" t="s">
        <v>354</v>
      </c>
      <c r="I144" s="40" t="s">
        <v>1796</v>
      </c>
      <c r="J144" s="34">
        <v>99</v>
      </c>
      <c r="K144" s="36" t="s">
        <v>703</v>
      </c>
      <c r="L144" s="36"/>
      <c r="M144" s="37"/>
      <c r="N144" s="37" t="s">
        <v>1733</v>
      </c>
      <c r="O144" s="38">
        <v>1</v>
      </c>
      <c r="P144" s="38">
        <v>1</v>
      </c>
      <c r="Q144" s="39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529</v>
      </c>
      <c r="E145" s="35" t="s">
        <v>170</v>
      </c>
      <c r="F145" s="35" t="s">
        <v>658</v>
      </c>
      <c r="G145" s="35" t="s">
        <v>39</v>
      </c>
      <c r="H145" s="35" t="s">
        <v>530</v>
      </c>
      <c r="I145" s="34" t="s">
        <v>531</v>
      </c>
      <c r="J145" s="34">
        <v>18</v>
      </c>
      <c r="K145" s="36" t="s">
        <v>956</v>
      </c>
      <c r="L145" s="36" t="s">
        <v>1742</v>
      </c>
      <c r="M145" s="37" t="s">
        <v>970</v>
      </c>
      <c r="N145" s="37" t="s">
        <v>1733</v>
      </c>
      <c r="O145" s="38">
        <v>1</v>
      </c>
      <c r="P145" s="38">
        <v>1</v>
      </c>
      <c r="Q145" s="35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975</v>
      </c>
      <c r="E146" s="48" t="s">
        <v>175</v>
      </c>
      <c r="F146" s="48" t="s">
        <v>805</v>
      </c>
      <c r="G146" s="48" t="s">
        <v>39</v>
      </c>
      <c r="H146" s="48" t="s">
        <v>806</v>
      </c>
      <c r="I146" s="47" t="s">
        <v>807</v>
      </c>
      <c r="J146" s="47">
        <v>16</v>
      </c>
      <c r="K146" s="49" t="s">
        <v>957</v>
      </c>
      <c r="L146" s="49" t="s">
        <v>1141</v>
      </c>
      <c r="M146" s="50" t="s">
        <v>970</v>
      </c>
      <c r="N146" s="50" t="s">
        <v>1739</v>
      </c>
      <c r="O146" s="51"/>
      <c r="P146" s="51"/>
      <c r="Q146" s="48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1198</v>
      </c>
      <c r="E147" s="35" t="s">
        <v>172</v>
      </c>
      <c r="F147" s="35" t="s">
        <v>1199</v>
      </c>
      <c r="G147" s="35" t="s">
        <v>238</v>
      </c>
      <c r="H147" s="35" t="s">
        <v>354</v>
      </c>
      <c r="I147" s="34" t="s">
        <v>1200</v>
      </c>
      <c r="J147" s="34">
        <v>4</v>
      </c>
      <c r="K147" s="36" t="s">
        <v>963</v>
      </c>
      <c r="L147" s="36" t="s">
        <v>1699</v>
      </c>
      <c r="M147" s="37" t="s">
        <v>1604</v>
      </c>
      <c r="N147" s="37" t="s">
        <v>1727</v>
      </c>
      <c r="O147" s="38">
        <v>1</v>
      </c>
      <c r="P147" s="38">
        <v>1</v>
      </c>
      <c r="Q147" s="35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4">
        <v>0</v>
      </c>
      <c r="B148" s="34">
        <v>1</v>
      </c>
      <c r="C148" s="34">
        <v>3</v>
      </c>
      <c r="D148" s="35" t="s">
        <v>1641</v>
      </c>
      <c r="E148" s="35" t="s">
        <v>170</v>
      </c>
      <c r="F148" s="35" t="s">
        <v>1476</v>
      </c>
      <c r="G148" s="35" t="s">
        <v>1669</v>
      </c>
      <c r="H148" s="35" t="s">
        <v>354</v>
      </c>
      <c r="I148" s="34" t="s">
        <v>1475</v>
      </c>
      <c r="J148" s="34">
        <v>99</v>
      </c>
      <c r="K148" s="36" t="s">
        <v>702</v>
      </c>
      <c r="L148" s="36" t="s">
        <v>1704</v>
      </c>
      <c r="M148" s="37" t="s">
        <v>1477</v>
      </c>
      <c r="N148" s="37" t="s">
        <v>1749</v>
      </c>
      <c r="O148" s="38">
        <v>1</v>
      </c>
      <c r="P148" s="38"/>
      <c r="Q148" s="35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145</v>
      </c>
      <c r="E150" s="35" t="s">
        <v>172</v>
      </c>
      <c r="F150" s="35" t="s">
        <v>347</v>
      </c>
      <c r="G150" s="35" t="s">
        <v>39</v>
      </c>
      <c r="H150" s="35" t="s">
        <v>378</v>
      </c>
      <c r="I150" s="34" t="s">
        <v>1362</v>
      </c>
      <c r="J150" s="34">
        <v>14</v>
      </c>
      <c r="K150" s="36" t="s">
        <v>956</v>
      </c>
      <c r="L150" s="36" t="s">
        <v>689</v>
      </c>
      <c r="M150" s="37" t="s">
        <v>691</v>
      </c>
      <c r="N150" s="37" t="s">
        <v>1748</v>
      </c>
      <c r="O150" s="38">
        <v>1</v>
      </c>
      <c r="P150" s="38"/>
      <c r="Q150" s="35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4">
        <v>0</v>
      </c>
      <c r="B151" s="34">
        <v>1</v>
      </c>
      <c r="C151" s="34">
        <v>3</v>
      </c>
      <c r="D151" s="35" t="s">
        <v>1567</v>
      </c>
      <c r="E151" s="35" t="s">
        <v>172</v>
      </c>
      <c r="F151" s="35" t="s">
        <v>1568</v>
      </c>
      <c r="G151" s="35" t="s">
        <v>39</v>
      </c>
      <c r="H151" s="35" t="s">
        <v>1569</v>
      </c>
      <c r="I151" s="34" t="s">
        <v>1570</v>
      </c>
      <c r="J151" s="34">
        <v>17</v>
      </c>
      <c r="K151" s="36" t="s">
        <v>722</v>
      </c>
      <c r="L151" s="36" t="s">
        <v>39</v>
      </c>
      <c r="M151" s="37" t="s">
        <v>39</v>
      </c>
      <c r="N151" s="37" t="s">
        <v>1733</v>
      </c>
      <c r="O151" s="38">
        <v>1</v>
      </c>
      <c r="P151" s="38">
        <v>1</v>
      </c>
      <c r="Q151" s="35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4">
        <v>0</v>
      </c>
      <c r="B152" s="34">
        <v>1</v>
      </c>
      <c r="C152" s="34">
        <v>3</v>
      </c>
      <c r="D152" s="35" t="s">
        <v>153</v>
      </c>
      <c r="E152" s="35" t="s">
        <v>172</v>
      </c>
      <c r="F152" s="35" t="s">
        <v>353</v>
      </c>
      <c r="G152" s="35" t="s">
        <v>39</v>
      </c>
      <c r="H152" s="35" t="s">
        <v>1869</v>
      </c>
      <c r="I152" s="34" t="s">
        <v>500</v>
      </c>
      <c r="J152" s="34">
        <v>14</v>
      </c>
      <c r="K152" s="36" t="s">
        <v>702</v>
      </c>
      <c r="L152" s="36" t="s">
        <v>689</v>
      </c>
      <c r="M152" s="37" t="s">
        <v>970</v>
      </c>
      <c r="N152" s="37" t="s">
        <v>1748</v>
      </c>
      <c r="O152" s="38">
        <v>1</v>
      </c>
      <c r="P152" s="38"/>
      <c r="Q152" s="35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904</v>
      </c>
      <c r="E154" s="48" t="s">
        <v>172</v>
      </c>
      <c r="F154" s="48" t="s">
        <v>1096</v>
      </c>
      <c r="G154" s="48" t="s">
        <v>39</v>
      </c>
      <c r="H154" s="48" t="s">
        <v>906</v>
      </c>
      <c r="I154" s="47" t="s">
        <v>905</v>
      </c>
      <c r="J154" s="47">
        <v>11</v>
      </c>
      <c r="K154" s="49" t="s">
        <v>957</v>
      </c>
      <c r="L154" s="49">
        <v>60</v>
      </c>
      <c r="M154" s="50" t="s">
        <v>39</v>
      </c>
      <c r="N154" s="50" t="s">
        <v>1739</v>
      </c>
      <c r="O154" s="51"/>
      <c r="P154" s="51"/>
      <c r="Q154" s="48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123</v>
      </c>
      <c r="E155" s="48" t="s">
        <v>175</v>
      </c>
      <c r="F155" s="48" t="s">
        <v>324</v>
      </c>
      <c r="G155" s="48" t="s">
        <v>39</v>
      </c>
      <c r="H155" s="48" t="s">
        <v>363</v>
      </c>
      <c r="I155" s="47" t="s">
        <v>470</v>
      </c>
      <c r="J155" s="47">
        <v>14</v>
      </c>
      <c r="K155" s="49" t="s">
        <v>722</v>
      </c>
      <c r="L155" s="49" t="s">
        <v>693</v>
      </c>
      <c r="M155" s="50" t="s">
        <v>1379</v>
      </c>
      <c r="N155" s="50" t="s">
        <v>1809</v>
      </c>
      <c r="O155" s="51"/>
      <c r="P155" s="51"/>
      <c r="Q155" s="48"/>
      <c r="S155" s="1">
        <f t="shared" si="101"/>
        <v>0</v>
      </c>
      <c r="T155" s="1">
        <f t="shared" si="102"/>
        <v>0</v>
      </c>
      <c r="U155" s="1">
        <f t="shared" si="103"/>
        <v>0</v>
      </c>
      <c r="V155" s="1">
        <f t="shared" si="104"/>
        <v>0</v>
      </c>
      <c r="W155" s="1">
        <f t="shared" si="105"/>
        <v>0</v>
      </c>
      <c r="X155" s="1">
        <f t="shared" si="106"/>
        <v>0</v>
      </c>
      <c r="Y155" s="1">
        <f t="shared" si="107"/>
        <v>0</v>
      </c>
      <c r="Z155" s="1">
        <f t="shared" si="108"/>
        <v>0</v>
      </c>
      <c r="AA155" s="1">
        <f t="shared" si="109"/>
        <v>0</v>
      </c>
      <c r="AB155" s="1">
        <f t="shared" si="110"/>
        <v>0</v>
      </c>
      <c r="AD155" s="1">
        <f t="shared" si="111"/>
        <v>0</v>
      </c>
      <c r="AE155" s="1">
        <f t="shared" si="112"/>
        <v>0</v>
      </c>
      <c r="AF155" s="1">
        <f t="shared" si="97"/>
        <v>0</v>
      </c>
      <c r="AG155" s="1">
        <f t="shared" si="98"/>
        <v>0</v>
      </c>
      <c r="AH155" s="1">
        <f t="shared" si="99"/>
        <v>0</v>
      </c>
      <c r="AI155" s="1">
        <f t="shared" si="100"/>
        <v>1</v>
      </c>
    </row>
    <row r="156" spans="1:35" ht="14.25" customHeight="1" x14ac:dyDescent="0.25">
      <c r="A156" s="34">
        <v>0</v>
      </c>
      <c r="B156" s="34">
        <v>1</v>
      </c>
      <c r="C156" s="34">
        <v>3</v>
      </c>
      <c r="D156" s="35" t="s">
        <v>1169</v>
      </c>
      <c r="E156" s="35" t="s">
        <v>172</v>
      </c>
      <c r="F156" s="35" t="s">
        <v>1171</v>
      </c>
      <c r="G156" s="35" t="s">
        <v>767</v>
      </c>
      <c r="H156" s="35" t="s">
        <v>354</v>
      </c>
      <c r="I156" s="34" t="s">
        <v>1170</v>
      </c>
      <c r="J156" s="34">
        <v>99</v>
      </c>
      <c r="K156" s="36" t="s">
        <v>703</v>
      </c>
      <c r="L156" s="36">
        <v>30</v>
      </c>
      <c r="M156" s="37" t="s">
        <v>970</v>
      </c>
      <c r="N156" s="37" t="s">
        <v>1825</v>
      </c>
      <c r="O156" s="38">
        <v>1</v>
      </c>
      <c r="P156" s="38"/>
      <c r="Q156" s="39"/>
      <c r="S156" s="1">
        <f t="shared" si="101"/>
        <v>0</v>
      </c>
      <c r="T156" s="1">
        <f t="shared" si="102"/>
        <v>0</v>
      </c>
      <c r="U156" s="1">
        <f t="shared" si="103"/>
        <v>0</v>
      </c>
      <c r="V156" s="1">
        <f t="shared" si="104"/>
        <v>0</v>
      </c>
      <c r="W156" s="1">
        <f t="shared" si="105"/>
        <v>0</v>
      </c>
      <c r="X156" s="1">
        <f t="shared" si="106"/>
        <v>0</v>
      </c>
      <c r="Y156" s="1">
        <f t="shared" si="107"/>
        <v>0</v>
      </c>
      <c r="Z156" s="1">
        <f t="shared" si="108"/>
        <v>0</v>
      </c>
      <c r="AA156" s="1">
        <f t="shared" si="109"/>
        <v>0</v>
      </c>
      <c r="AB156" s="1">
        <f t="shared" si="110"/>
        <v>0</v>
      </c>
      <c r="AD156" s="1">
        <f t="shared" si="111"/>
        <v>0</v>
      </c>
      <c r="AE156" s="1">
        <f t="shared" si="112"/>
        <v>1</v>
      </c>
      <c r="AF156" s="1">
        <f t="shared" si="97"/>
        <v>0</v>
      </c>
      <c r="AG156" s="1">
        <f t="shared" si="98"/>
        <v>1</v>
      </c>
      <c r="AH156" s="1">
        <f t="shared" si="99"/>
        <v>0</v>
      </c>
      <c r="AI156" s="1">
        <f t="shared" si="100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743</v>
      </c>
      <c r="E157" s="16" t="s">
        <v>170</v>
      </c>
      <c r="F157" s="16" t="s">
        <v>744</v>
      </c>
      <c r="G157" s="16" t="s">
        <v>39</v>
      </c>
      <c r="H157" s="16" t="s">
        <v>745</v>
      </c>
      <c r="I157" s="15" t="s">
        <v>746</v>
      </c>
      <c r="J157" s="15">
        <v>17</v>
      </c>
      <c r="K157" s="10" t="s">
        <v>703</v>
      </c>
      <c r="L157" s="10" t="s">
        <v>697</v>
      </c>
      <c r="M157" s="19" t="s">
        <v>971</v>
      </c>
      <c r="N157" s="17"/>
      <c r="Q157" s="16"/>
      <c r="S157" s="1">
        <f t="shared" si="101"/>
        <v>0</v>
      </c>
      <c r="T157" s="1">
        <f t="shared" si="102"/>
        <v>0</v>
      </c>
      <c r="U157" s="1">
        <f t="shared" si="103"/>
        <v>0</v>
      </c>
      <c r="V157" s="1">
        <f t="shared" si="104"/>
        <v>0</v>
      </c>
      <c r="W157" s="1">
        <f t="shared" si="105"/>
        <v>0</v>
      </c>
      <c r="X157" s="1">
        <f t="shared" si="106"/>
        <v>0</v>
      </c>
      <c r="Y157" s="1">
        <f t="shared" si="107"/>
        <v>0</v>
      </c>
      <c r="Z157" s="1">
        <f t="shared" si="108"/>
        <v>0</v>
      </c>
      <c r="AA157" s="1">
        <f t="shared" si="109"/>
        <v>0</v>
      </c>
      <c r="AB157" s="1">
        <f t="shared" si="110"/>
        <v>0</v>
      </c>
      <c r="AD157" s="1">
        <f t="shared" si="111"/>
        <v>0</v>
      </c>
      <c r="AE157" s="1">
        <f t="shared" si="112"/>
        <v>0</v>
      </c>
      <c r="AF157" s="1">
        <f t="shared" si="97"/>
        <v>0</v>
      </c>
      <c r="AG157" s="1">
        <f t="shared" si="98"/>
        <v>0</v>
      </c>
      <c r="AH157" s="1">
        <f t="shared" si="99"/>
        <v>0</v>
      </c>
      <c r="AI157" s="1">
        <f t="shared" si="100"/>
        <v>1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1947</v>
      </c>
      <c r="E158" s="20" t="s">
        <v>172</v>
      </c>
      <c r="F158" s="20" t="s">
        <v>1958</v>
      </c>
      <c r="G158" s="20"/>
      <c r="H158" s="20" t="s">
        <v>1959</v>
      </c>
      <c r="I158" s="21" t="s">
        <v>1960</v>
      </c>
      <c r="J158" s="15">
        <v>16</v>
      </c>
      <c r="K158" s="10" t="s">
        <v>703</v>
      </c>
      <c r="L158" s="10" t="s">
        <v>697</v>
      </c>
      <c r="M158" s="19" t="s">
        <v>971</v>
      </c>
      <c r="N158" s="17"/>
      <c r="Q158" s="20" t="s">
        <v>1957</v>
      </c>
      <c r="S158" s="1">
        <f t="shared" si="101"/>
        <v>0</v>
      </c>
      <c r="T158" s="1">
        <f t="shared" si="102"/>
        <v>0</v>
      </c>
      <c r="U158" s="1">
        <f t="shared" si="103"/>
        <v>0</v>
      </c>
      <c r="V158" s="1">
        <f t="shared" si="104"/>
        <v>0</v>
      </c>
      <c r="W158" s="1">
        <f t="shared" si="105"/>
        <v>0</v>
      </c>
      <c r="X158" s="1">
        <f t="shared" si="106"/>
        <v>0</v>
      </c>
      <c r="Y158" s="1">
        <f t="shared" si="107"/>
        <v>0</v>
      </c>
      <c r="Z158" s="1">
        <f t="shared" si="108"/>
        <v>0</v>
      </c>
      <c r="AA158" s="1">
        <f t="shared" si="109"/>
        <v>0</v>
      </c>
      <c r="AB158" s="1">
        <f t="shared" si="110"/>
        <v>0</v>
      </c>
      <c r="AD158" s="1">
        <f t="shared" si="111"/>
        <v>0</v>
      </c>
      <c r="AE158" s="1">
        <f t="shared" si="112"/>
        <v>0</v>
      </c>
      <c r="AF158" s="1">
        <f t="shared" si="97"/>
        <v>0</v>
      </c>
      <c r="AG158" s="1">
        <f t="shared" si="98"/>
        <v>0</v>
      </c>
      <c r="AH158" s="1">
        <f t="shared" si="99"/>
        <v>0</v>
      </c>
      <c r="AI158" s="1">
        <f t="shared" si="100"/>
        <v>1</v>
      </c>
    </row>
    <row r="159" spans="1:35" ht="14.25" customHeight="1" x14ac:dyDescent="0.25">
      <c r="A159" s="47">
        <v>0</v>
      </c>
      <c r="B159" s="47">
        <v>1</v>
      </c>
      <c r="C159" s="47">
        <v>3</v>
      </c>
      <c r="D159" s="48" t="s">
        <v>834</v>
      </c>
      <c r="E159" s="48" t="s">
        <v>914</v>
      </c>
      <c r="F159" s="48" t="s">
        <v>835</v>
      </c>
      <c r="G159" s="48" t="s">
        <v>208</v>
      </c>
      <c r="H159" s="48" t="s">
        <v>354</v>
      </c>
      <c r="I159" s="47" t="s">
        <v>836</v>
      </c>
      <c r="J159" s="47">
        <v>3</v>
      </c>
      <c r="K159" s="49" t="s">
        <v>722</v>
      </c>
      <c r="L159" s="49" t="s">
        <v>693</v>
      </c>
      <c r="M159" s="50" t="s">
        <v>698</v>
      </c>
      <c r="N159" s="50" t="s">
        <v>1740</v>
      </c>
      <c r="O159" s="51"/>
      <c r="P159" s="51"/>
      <c r="Q159" s="48"/>
      <c r="S159" s="1">
        <f t="shared" si="101"/>
        <v>0</v>
      </c>
      <c r="T159" s="1">
        <f t="shared" si="102"/>
        <v>0</v>
      </c>
      <c r="U159" s="1">
        <f t="shared" si="103"/>
        <v>1</v>
      </c>
      <c r="V159" s="1">
        <f t="shared" si="104"/>
        <v>0</v>
      </c>
      <c r="W159" s="1">
        <f t="shared" si="105"/>
        <v>0</v>
      </c>
      <c r="X159" s="1">
        <f t="shared" si="106"/>
        <v>0</v>
      </c>
      <c r="Y159" s="1">
        <f t="shared" si="107"/>
        <v>0</v>
      </c>
      <c r="Z159" s="1">
        <f t="shared" si="108"/>
        <v>0</v>
      </c>
      <c r="AA159" s="1">
        <f t="shared" si="109"/>
        <v>0</v>
      </c>
      <c r="AB159" s="1">
        <f t="shared" si="110"/>
        <v>0</v>
      </c>
      <c r="AD159" s="1">
        <f t="shared" si="111"/>
        <v>0</v>
      </c>
      <c r="AE159" s="1">
        <f t="shared" si="112"/>
        <v>0</v>
      </c>
      <c r="AF159" s="1">
        <f t="shared" si="97"/>
        <v>0</v>
      </c>
      <c r="AG159" s="1">
        <f t="shared" si="98"/>
        <v>0</v>
      </c>
      <c r="AH159" s="1">
        <f t="shared" si="99"/>
        <v>0</v>
      </c>
      <c r="AI159" s="1">
        <f t="shared" si="10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1953</v>
      </c>
      <c r="E160" s="20" t="s">
        <v>172</v>
      </c>
      <c r="F160" s="20" t="s">
        <v>1955</v>
      </c>
      <c r="G160" s="20"/>
      <c r="H160" s="20" t="s">
        <v>1956</v>
      </c>
      <c r="I160" s="21" t="s">
        <v>1954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1961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7">
        <v>0</v>
      </c>
      <c r="B161" s="47">
        <v>1</v>
      </c>
      <c r="C161" s="47">
        <v>3</v>
      </c>
      <c r="D161" s="48" t="s">
        <v>1209</v>
      </c>
      <c r="E161" s="48" t="s">
        <v>172</v>
      </c>
      <c r="F161" s="48" t="s">
        <v>1211</v>
      </c>
      <c r="G161" s="48" t="s">
        <v>185</v>
      </c>
      <c r="H161" s="48" t="s">
        <v>354</v>
      </c>
      <c r="I161" s="47" t="s">
        <v>1210</v>
      </c>
      <c r="J161" s="47">
        <v>99</v>
      </c>
      <c r="K161" s="49" t="s">
        <v>958</v>
      </c>
      <c r="L161" s="49" t="s">
        <v>689</v>
      </c>
      <c r="M161" s="50" t="s">
        <v>971</v>
      </c>
      <c r="N161" s="50" t="s">
        <v>1734</v>
      </c>
      <c r="O161" s="51"/>
      <c r="P161" s="51"/>
      <c r="Q161" s="48"/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632</v>
      </c>
      <c r="E162" s="35" t="s">
        <v>170</v>
      </c>
      <c r="F162" s="35" t="s">
        <v>633</v>
      </c>
      <c r="G162" s="35" t="s">
        <v>194</v>
      </c>
      <c r="H162" s="35" t="s">
        <v>354</v>
      </c>
      <c r="I162" s="34" t="s">
        <v>634</v>
      </c>
      <c r="J162" s="34">
        <v>9</v>
      </c>
      <c r="K162" s="36" t="s">
        <v>957</v>
      </c>
      <c r="L162" s="36" t="s">
        <v>1699</v>
      </c>
      <c r="M162" s="37" t="s">
        <v>970</v>
      </c>
      <c r="N162" s="37" t="s">
        <v>1727</v>
      </c>
      <c r="O162" s="38">
        <v>1</v>
      </c>
      <c r="P162" s="38">
        <v>1</v>
      </c>
      <c r="Q162" s="3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1</v>
      </c>
      <c r="AB162" s="1">
        <f t="shared" si="110"/>
        <v>0</v>
      </c>
      <c r="AD162" s="1">
        <f t="shared" si="111"/>
        <v>1</v>
      </c>
      <c r="AE162" s="1">
        <f t="shared" si="112"/>
        <v>0</v>
      </c>
      <c r="AF162" s="1">
        <f t="shared" si="97"/>
        <v>1</v>
      </c>
      <c r="AG162" s="1">
        <f t="shared" si="98"/>
        <v>0</v>
      </c>
      <c r="AH162" s="1">
        <f t="shared" si="99"/>
        <v>1</v>
      </c>
      <c r="AI162" s="1">
        <f t="shared" si="100"/>
        <v>0</v>
      </c>
    </row>
    <row r="163" spans="1:35" ht="14.25" customHeight="1" x14ac:dyDescent="0.25">
      <c r="A163" s="47">
        <v>0</v>
      </c>
      <c r="B163" s="47">
        <v>1</v>
      </c>
      <c r="C163" s="47">
        <v>3</v>
      </c>
      <c r="D163" s="48" t="s">
        <v>132</v>
      </c>
      <c r="E163" s="48" t="s">
        <v>683</v>
      </c>
      <c r="F163" s="48" t="s">
        <v>334</v>
      </c>
      <c r="G163" s="48" t="s">
        <v>39</v>
      </c>
      <c r="H163" s="48" t="s">
        <v>362</v>
      </c>
      <c r="I163" s="47" t="s">
        <v>481</v>
      </c>
      <c r="J163" s="47">
        <v>12</v>
      </c>
      <c r="K163" s="49" t="s">
        <v>722</v>
      </c>
      <c r="L163" s="49">
        <v>35</v>
      </c>
      <c r="M163" s="50" t="s">
        <v>39</v>
      </c>
      <c r="N163" s="50" t="s">
        <v>1802</v>
      </c>
      <c r="O163" s="51"/>
      <c r="P163" s="51"/>
      <c r="Q163" s="48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826</v>
      </c>
      <c r="E164" s="16" t="s">
        <v>172</v>
      </c>
      <c r="F164" s="16" t="s">
        <v>827</v>
      </c>
      <c r="G164" s="16" t="s">
        <v>39</v>
      </c>
      <c r="H164" s="16" t="s">
        <v>375</v>
      </c>
      <c r="I164" s="15" t="s">
        <v>825</v>
      </c>
      <c r="J164" s="15">
        <v>12</v>
      </c>
      <c r="K164" s="10" t="s">
        <v>703</v>
      </c>
      <c r="L164" s="10">
        <v>40</v>
      </c>
      <c r="M164" s="19" t="s">
        <v>970</v>
      </c>
      <c r="N164" s="19"/>
      <c r="Q164" s="16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142</v>
      </c>
      <c r="E165" s="35" t="s">
        <v>172</v>
      </c>
      <c r="F165" s="35" t="s">
        <v>343</v>
      </c>
      <c r="G165" s="35" t="s">
        <v>39</v>
      </c>
      <c r="H165" s="35" t="s">
        <v>377</v>
      </c>
      <c r="I165" s="34" t="s">
        <v>490</v>
      </c>
      <c r="J165" s="34">
        <v>15</v>
      </c>
      <c r="K165" s="36" t="s">
        <v>702</v>
      </c>
      <c r="L165" s="36" t="s">
        <v>692</v>
      </c>
      <c r="M165" s="37" t="s">
        <v>691</v>
      </c>
      <c r="N165" s="37" t="s">
        <v>1733</v>
      </c>
      <c r="O165" s="38">
        <v>1</v>
      </c>
      <c r="P165" s="38">
        <v>1</v>
      </c>
      <c r="Q165" s="39" t="s">
        <v>1891</v>
      </c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1</v>
      </c>
      <c r="AE165" s="1">
        <f t="shared" si="112"/>
        <v>0</v>
      </c>
      <c r="AF165" s="1">
        <f t="shared" si="97"/>
        <v>1</v>
      </c>
      <c r="AG165" s="1">
        <f t="shared" si="98"/>
        <v>0</v>
      </c>
      <c r="AH165" s="1">
        <f t="shared" si="99"/>
        <v>1</v>
      </c>
      <c r="AI165" s="1">
        <f t="shared" si="100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747</v>
      </c>
      <c r="E166" s="16" t="s">
        <v>610</v>
      </c>
      <c r="F166" s="16" t="s">
        <v>748</v>
      </c>
      <c r="G166" s="16" t="s">
        <v>39</v>
      </c>
      <c r="H166" s="16" t="s">
        <v>749</v>
      </c>
      <c r="I166" s="15" t="s">
        <v>750</v>
      </c>
      <c r="J166" s="15">
        <v>18</v>
      </c>
      <c r="K166" s="10" t="s">
        <v>703</v>
      </c>
      <c r="L166" s="10" t="s">
        <v>697</v>
      </c>
      <c r="M166" s="19" t="s">
        <v>691</v>
      </c>
      <c r="N166" s="17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9" t="s">
        <v>1841</v>
      </c>
      <c r="E167" s="35" t="s">
        <v>1087</v>
      </c>
      <c r="F167" s="35" t="s">
        <v>1826</v>
      </c>
      <c r="G167" s="35"/>
      <c r="H167" s="35" t="s">
        <v>372</v>
      </c>
      <c r="I167" s="34" t="s">
        <v>1827</v>
      </c>
      <c r="J167" s="34">
        <v>16</v>
      </c>
      <c r="K167" s="36" t="s">
        <v>703</v>
      </c>
      <c r="L167" s="36"/>
      <c r="M167" s="37"/>
      <c r="N167" s="37" t="s">
        <v>1727</v>
      </c>
      <c r="O167" s="38">
        <v>1</v>
      </c>
      <c r="P167" s="38">
        <v>1</v>
      </c>
      <c r="Q167" s="35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34">
        <v>0</v>
      </c>
      <c r="B168" s="34">
        <v>1</v>
      </c>
      <c r="C168" s="34">
        <v>3</v>
      </c>
      <c r="D168" s="35" t="s">
        <v>979</v>
      </c>
      <c r="E168" s="35" t="s">
        <v>610</v>
      </c>
      <c r="F168" s="35" t="s">
        <v>980</v>
      </c>
      <c r="G168" s="35" t="s">
        <v>203</v>
      </c>
      <c r="H168" s="35" t="s">
        <v>354</v>
      </c>
      <c r="I168" s="34" t="s">
        <v>981</v>
      </c>
      <c r="J168" s="34">
        <v>99</v>
      </c>
      <c r="K168" s="36" t="s">
        <v>956</v>
      </c>
      <c r="L168" s="36" t="s">
        <v>39</v>
      </c>
      <c r="M168" s="37" t="s">
        <v>39</v>
      </c>
      <c r="N168" s="37" t="s">
        <v>1727</v>
      </c>
      <c r="O168" s="38">
        <v>1</v>
      </c>
      <c r="P168" s="38">
        <v>1</v>
      </c>
      <c r="Q168" s="35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149</v>
      </c>
      <c r="E169" s="35" t="s">
        <v>172</v>
      </c>
      <c r="F169" s="35" t="s">
        <v>350</v>
      </c>
      <c r="G169" s="35" t="s">
        <v>39</v>
      </c>
      <c r="H169" s="35" t="s">
        <v>380</v>
      </c>
      <c r="I169" s="34" t="s">
        <v>496</v>
      </c>
      <c r="J169" s="34">
        <v>14</v>
      </c>
      <c r="K169" s="36" t="s">
        <v>964</v>
      </c>
      <c r="L169" s="36" t="s">
        <v>39</v>
      </c>
      <c r="M169" s="37" t="s">
        <v>39</v>
      </c>
      <c r="N169" s="37" t="s">
        <v>1733</v>
      </c>
      <c r="O169" s="38">
        <v>1</v>
      </c>
      <c r="P169" s="38">
        <v>1</v>
      </c>
      <c r="Q169" s="35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1989</v>
      </c>
      <c r="E170" s="35" t="s">
        <v>1990</v>
      </c>
      <c r="F170" s="35" t="s">
        <v>1991</v>
      </c>
      <c r="G170" s="35" t="s">
        <v>535</v>
      </c>
      <c r="H170" s="35" t="s">
        <v>354</v>
      </c>
      <c r="I170" s="34" t="s">
        <v>1992</v>
      </c>
      <c r="J170" s="34"/>
      <c r="K170" s="36" t="s">
        <v>703</v>
      </c>
      <c r="L170" s="36"/>
      <c r="M170" s="37"/>
      <c r="N170" s="37" t="s">
        <v>1733</v>
      </c>
      <c r="O170" s="38">
        <v>1</v>
      </c>
      <c r="P170" s="38">
        <v>1</v>
      </c>
      <c r="Q170" s="35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4">
        <v>0</v>
      </c>
      <c r="B171" s="34">
        <v>1</v>
      </c>
      <c r="C171" s="34">
        <v>3</v>
      </c>
      <c r="D171" s="35" t="s">
        <v>635</v>
      </c>
      <c r="E171" s="35" t="s">
        <v>172</v>
      </c>
      <c r="F171" s="35" t="s">
        <v>637</v>
      </c>
      <c r="G171" s="35" t="s">
        <v>238</v>
      </c>
      <c r="H171" s="35" t="s">
        <v>354</v>
      </c>
      <c r="I171" s="34" t="s">
        <v>636</v>
      </c>
      <c r="J171" s="34">
        <v>4</v>
      </c>
      <c r="K171" s="36" t="s">
        <v>956</v>
      </c>
      <c r="L171" s="36" t="s">
        <v>39</v>
      </c>
      <c r="M171" s="37" t="s">
        <v>39</v>
      </c>
      <c r="N171" s="37" t="s">
        <v>1733</v>
      </c>
      <c r="O171" s="38">
        <v>1</v>
      </c>
      <c r="P171" s="38">
        <v>1</v>
      </c>
      <c r="Q171" s="35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1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1528</v>
      </c>
      <c r="E172" s="16" t="s">
        <v>1087</v>
      </c>
      <c r="F172" s="16" t="s">
        <v>1529</v>
      </c>
      <c r="G172" s="16" t="s">
        <v>218</v>
      </c>
      <c r="H172" s="16" t="s">
        <v>354</v>
      </c>
      <c r="I172" s="15" t="s">
        <v>1530</v>
      </c>
      <c r="J172" s="15">
        <v>99</v>
      </c>
      <c r="K172" s="10" t="s">
        <v>703</v>
      </c>
      <c r="L172" s="10">
        <v>40</v>
      </c>
      <c r="M172" s="19" t="s">
        <v>970</v>
      </c>
      <c r="N172" s="19"/>
      <c r="Q172" s="16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0</v>
      </c>
      <c r="AE172" s="1">
        <f t="shared" si="112"/>
        <v>0</v>
      </c>
      <c r="AF172" s="1">
        <f t="shared" si="97"/>
        <v>0</v>
      </c>
      <c r="AG172" s="1">
        <f t="shared" si="98"/>
        <v>0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4">
        <v>0</v>
      </c>
      <c r="B173" s="34">
        <v>1</v>
      </c>
      <c r="C173" s="34">
        <v>3</v>
      </c>
      <c r="D173" s="35" t="s">
        <v>102</v>
      </c>
      <c r="E173" s="35" t="s">
        <v>172</v>
      </c>
      <c r="F173" s="35" t="s">
        <v>299</v>
      </c>
      <c r="G173" s="35" t="s">
        <v>300</v>
      </c>
      <c r="H173" s="35" t="s">
        <v>354</v>
      </c>
      <c r="I173" s="34" t="s">
        <v>449</v>
      </c>
      <c r="J173" s="34">
        <v>99</v>
      </c>
      <c r="K173" s="36" t="s">
        <v>958</v>
      </c>
      <c r="L173" s="36" t="s">
        <v>693</v>
      </c>
      <c r="M173" s="37" t="s">
        <v>691</v>
      </c>
      <c r="N173" s="37" t="s">
        <v>1743</v>
      </c>
      <c r="O173" s="38">
        <v>1</v>
      </c>
      <c r="P173" s="38"/>
      <c r="Q173" s="35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47">
        <v>0</v>
      </c>
      <c r="B174" s="47">
        <v>1</v>
      </c>
      <c r="C174" s="47">
        <v>3</v>
      </c>
      <c r="D174" s="48" t="s">
        <v>990</v>
      </c>
      <c r="E174" s="48" t="s">
        <v>172</v>
      </c>
      <c r="F174" s="48" t="s">
        <v>993</v>
      </c>
      <c r="G174" s="48" t="s">
        <v>39</v>
      </c>
      <c r="H174" s="48" t="s">
        <v>992</v>
      </c>
      <c r="I174" s="47" t="s">
        <v>991</v>
      </c>
      <c r="J174" s="47">
        <v>14</v>
      </c>
      <c r="K174" s="49" t="s">
        <v>722</v>
      </c>
      <c r="L174" s="49" t="s">
        <v>694</v>
      </c>
      <c r="M174" s="50" t="s">
        <v>971</v>
      </c>
      <c r="N174" s="50" t="s">
        <v>1735</v>
      </c>
      <c r="O174" s="51"/>
      <c r="P174" s="51"/>
      <c r="Q174" s="48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60">
        <v>0</v>
      </c>
      <c r="B175" s="60">
        <v>1</v>
      </c>
      <c r="C175" s="60">
        <v>3</v>
      </c>
      <c r="D175" s="61" t="s">
        <v>1644</v>
      </c>
      <c r="E175" s="61" t="s">
        <v>172</v>
      </c>
      <c r="F175" s="61" t="s">
        <v>773</v>
      </c>
      <c r="G175" s="61" t="s">
        <v>39</v>
      </c>
      <c r="H175" s="61" t="s">
        <v>367</v>
      </c>
      <c r="I175" s="60" t="s">
        <v>781</v>
      </c>
      <c r="J175" s="60">
        <v>18</v>
      </c>
      <c r="K175" s="62" t="s">
        <v>1697</v>
      </c>
      <c r="L175" s="62" t="s">
        <v>39</v>
      </c>
      <c r="M175" s="63" t="s">
        <v>774</v>
      </c>
      <c r="N175" s="64"/>
      <c r="O175" s="65"/>
      <c r="P175" s="65"/>
      <c r="Q175" s="61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2">
        <v>0</v>
      </c>
      <c r="B176" s="52">
        <v>1</v>
      </c>
      <c r="C176" s="52">
        <v>3</v>
      </c>
      <c r="D176" s="53" t="s">
        <v>135</v>
      </c>
      <c r="E176" s="53" t="s">
        <v>172</v>
      </c>
      <c r="F176" s="53" t="s">
        <v>659</v>
      </c>
      <c r="G176" s="53" t="s">
        <v>257</v>
      </c>
      <c r="H176" s="53" t="s">
        <v>354</v>
      </c>
      <c r="I176" s="52" t="s">
        <v>1693</v>
      </c>
      <c r="J176" s="52">
        <v>99</v>
      </c>
      <c r="K176" s="54" t="s">
        <v>722</v>
      </c>
      <c r="L176" s="54" t="s">
        <v>687</v>
      </c>
      <c r="M176" s="55" t="s">
        <v>1397</v>
      </c>
      <c r="N176" s="55" t="s">
        <v>1743</v>
      </c>
      <c r="O176" s="56">
        <v>1</v>
      </c>
      <c r="P176" s="56"/>
      <c r="Q176" s="53" t="s">
        <v>1930</v>
      </c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1</v>
      </c>
      <c r="AF176" s="1">
        <f t="shared" si="97"/>
        <v>0</v>
      </c>
      <c r="AG176" s="1">
        <f t="shared" si="98"/>
        <v>1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923</v>
      </c>
      <c r="E177" s="16" t="s">
        <v>170</v>
      </c>
      <c r="F177" s="16" t="s">
        <v>940</v>
      </c>
      <c r="G177" s="16" t="s">
        <v>39</v>
      </c>
      <c r="H177" s="16" t="s">
        <v>365</v>
      </c>
      <c r="I177" s="15" t="s">
        <v>883</v>
      </c>
      <c r="J177" s="15">
        <v>18</v>
      </c>
      <c r="K177" s="10" t="s">
        <v>702</v>
      </c>
      <c r="L177" s="10" t="s">
        <v>697</v>
      </c>
      <c r="M177" s="19" t="s">
        <v>971</v>
      </c>
      <c r="N177" s="17"/>
      <c r="Q177" s="16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34">
        <v>0</v>
      </c>
      <c r="B178" s="34">
        <v>1</v>
      </c>
      <c r="C178" s="34">
        <v>3</v>
      </c>
      <c r="D178" s="35" t="s">
        <v>1260</v>
      </c>
      <c r="E178" s="35" t="s">
        <v>170</v>
      </c>
      <c r="F178" s="35" t="s">
        <v>1676</v>
      </c>
      <c r="G178" s="35" t="s">
        <v>39</v>
      </c>
      <c r="H178" s="35" t="s">
        <v>771</v>
      </c>
      <c r="I178" s="34" t="s">
        <v>1261</v>
      </c>
      <c r="J178" s="34">
        <v>11</v>
      </c>
      <c r="K178" s="36" t="s">
        <v>722</v>
      </c>
      <c r="L178" s="36" t="s">
        <v>689</v>
      </c>
      <c r="M178" s="37" t="s">
        <v>1398</v>
      </c>
      <c r="N178" s="37" t="s">
        <v>1749</v>
      </c>
      <c r="O178" s="38">
        <v>1</v>
      </c>
      <c r="P178" s="38"/>
      <c r="Q178" s="35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4">
        <v>0</v>
      </c>
      <c r="B179" s="34">
        <v>1</v>
      </c>
      <c r="C179" s="34">
        <v>4</v>
      </c>
      <c r="D179" s="35" t="s">
        <v>996</v>
      </c>
      <c r="E179" s="35" t="s">
        <v>772</v>
      </c>
      <c r="F179" s="35" t="s">
        <v>1094</v>
      </c>
      <c r="G179" s="35" t="s">
        <v>200</v>
      </c>
      <c r="H179" s="35" t="s">
        <v>354</v>
      </c>
      <c r="I179" s="34" t="s">
        <v>997</v>
      </c>
      <c r="J179" s="34">
        <v>2</v>
      </c>
      <c r="K179" s="36" t="s">
        <v>956</v>
      </c>
      <c r="L179" s="36" t="s">
        <v>693</v>
      </c>
      <c r="M179" s="37" t="s">
        <v>1399</v>
      </c>
      <c r="N179" s="37" t="s">
        <v>1727</v>
      </c>
      <c r="O179" s="38">
        <v>1</v>
      </c>
      <c r="P179" s="38">
        <v>1</v>
      </c>
      <c r="Q179" s="35"/>
      <c r="S179" s="1">
        <f t="shared" si="101"/>
        <v>0</v>
      </c>
      <c r="T179" s="1">
        <f t="shared" si="102"/>
        <v>1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1</v>
      </c>
      <c r="AE179" s="1">
        <f t="shared" si="112"/>
        <v>0</v>
      </c>
      <c r="AF179" s="1">
        <f t="shared" si="97"/>
        <v>1</v>
      </c>
      <c r="AG179" s="1">
        <f t="shared" si="98"/>
        <v>0</v>
      </c>
      <c r="AH179" s="1">
        <f t="shared" si="99"/>
        <v>1</v>
      </c>
      <c r="AI179" s="1">
        <f t="shared" si="100"/>
        <v>0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50</v>
      </c>
      <c r="E180" s="48" t="s">
        <v>772</v>
      </c>
      <c r="F180" s="48" t="s">
        <v>193</v>
      </c>
      <c r="G180" s="48" t="s">
        <v>194</v>
      </c>
      <c r="H180" s="48" t="s">
        <v>354</v>
      </c>
      <c r="I180" s="47" t="s">
        <v>387</v>
      </c>
      <c r="J180" s="47">
        <v>9</v>
      </c>
      <c r="K180" s="49" t="s">
        <v>956</v>
      </c>
      <c r="L180" s="49" t="s">
        <v>694</v>
      </c>
      <c r="M180" s="50" t="s">
        <v>969</v>
      </c>
      <c r="N180" s="50" t="s">
        <v>1736</v>
      </c>
      <c r="O180" s="51"/>
      <c r="P180" s="51"/>
      <c r="Q180" s="48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1</v>
      </c>
      <c r="AB180" s="1">
        <f t="shared" si="110"/>
        <v>0</v>
      </c>
      <c r="AD180" s="1">
        <f t="shared" si="111"/>
        <v>0</v>
      </c>
      <c r="AE180" s="1">
        <f t="shared" si="112"/>
        <v>0</v>
      </c>
      <c r="AF180" s="1">
        <f t="shared" si="97"/>
        <v>0</v>
      </c>
      <c r="AG180" s="1">
        <f t="shared" si="98"/>
        <v>0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47">
        <v>0</v>
      </c>
      <c r="B181" s="47">
        <v>1</v>
      </c>
      <c r="C181" s="47">
        <v>4</v>
      </c>
      <c r="D181" s="48" t="s">
        <v>134</v>
      </c>
      <c r="E181" s="48" t="s">
        <v>177</v>
      </c>
      <c r="F181" s="48" t="s">
        <v>336</v>
      </c>
      <c r="G181" s="48" t="s">
        <v>213</v>
      </c>
      <c r="H181" s="48" t="s">
        <v>354</v>
      </c>
      <c r="I181" s="47" t="s">
        <v>483</v>
      </c>
      <c r="J181" s="47">
        <v>1</v>
      </c>
      <c r="K181" s="49" t="s">
        <v>956</v>
      </c>
      <c r="L181" s="49" t="s">
        <v>689</v>
      </c>
      <c r="M181" s="50" t="s">
        <v>691</v>
      </c>
      <c r="N181" s="50" t="s">
        <v>1735</v>
      </c>
      <c r="O181" s="51"/>
      <c r="P181" s="51"/>
      <c r="Q181" s="48"/>
      <c r="S181" s="1">
        <f t="shared" si="101"/>
        <v>1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15">
        <v>0</v>
      </c>
      <c r="B182" s="15">
        <v>1</v>
      </c>
      <c r="C182" s="15">
        <v>4</v>
      </c>
      <c r="D182" s="16" t="s">
        <v>884</v>
      </c>
      <c r="E182" s="16" t="s">
        <v>772</v>
      </c>
      <c r="F182" s="16" t="s">
        <v>885</v>
      </c>
      <c r="G182" s="16" t="s">
        <v>39</v>
      </c>
      <c r="H182" s="16" t="s">
        <v>886</v>
      </c>
      <c r="I182" s="15" t="s">
        <v>950</v>
      </c>
      <c r="J182" s="15">
        <v>17</v>
      </c>
      <c r="K182" s="10" t="s">
        <v>703</v>
      </c>
      <c r="L182" s="10" t="s">
        <v>1141</v>
      </c>
      <c r="M182" s="19" t="s">
        <v>972</v>
      </c>
      <c r="N182" s="17"/>
      <c r="Q182" s="16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126</v>
      </c>
      <c r="E183" s="48" t="s">
        <v>526</v>
      </c>
      <c r="F183" s="48" t="s">
        <v>327</v>
      </c>
      <c r="G183" s="48" t="s">
        <v>300</v>
      </c>
      <c r="H183" s="48" t="s">
        <v>354</v>
      </c>
      <c r="I183" s="47" t="s">
        <v>475</v>
      </c>
      <c r="J183" s="47">
        <v>99</v>
      </c>
      <c r="K183" s="49" t="s">
        <v>702</v>
      </c>
      <c r="L183" s="49" t="s">
        <v>689</v>
      </c>
      <c r="M183" s="50" t="s">
        <v>970</v>
      </c>
      <c r="N183" s="50" t="s">
        <v>1737</v>
      </c>
      <c r="O183" s="51"/>
      <c r="P183" s="51"/>
      <c r="Q183" s="48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1729</v>
      </c>
      <c r="E184" s="35" t="s">
        <v>166</v>
      </c>
      <c r="F184" s="35" t="s">
        <v>1730</v>
      </c>
      <c r="G184" s="35" t="s">
        <v>1731</v>
      </c>
      <c r="H184" s="35" t="s">
        <v>354</v>
      </c>
      <c r="I184" s="34" t="s">
        <v>1732</v>
      </c>
      <c r="J184" s="34">
        <v>2</v>
      </c>
      <c r="K184" s="36" t="s">
        <v>703</v>
      </c>
      <c r="L184" s="36"/>
      <c r="M184" s="37"/>
      <c r="N184" s="37" t="s">
        <v>1733</v>
      </c>
      <c r="O184" s="38">
        <v>1</v>
      </c>
      <c r="P184" s="38">
        <v>1</v>
      </c>
      <c r="Q184" s="35"/>
      <c r="S184" s="1">
        <f t="shared" si="101"/>
        <v>0</v>
      </c>
      <c r="T184" s="1">
        <f t="shared" si="102"/>
        <v>1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ref="AD184:AD188" si="113">+O184*P184</f>
        <v>1</v>
      </c>
      <c r="AE184" s="1">
        <f t="shared" ref="AE184:AE188" si="114">O184*(1-P184)</f>
        <v>0</v>
      </c>
      <c r="AF184" s="1">
        <f t="shared" ref="AF184:AF188" si="115">+O184*P184*(1-A184)</f>
        <v>1</v>
      </c>
      <c r="AG184" s="1">
        <f t="shared" si="98"/>
        <v>0</v>
      </c>
      <c r="AH184" s="1">
        <f t="shared" si="99"/>
        <v>1</v>
      </c>
      <c r="AI184" s="1">
        <f t="shared" si="100"/>
        <v>0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87</v>
      </c>
      <c r="E185" s="48" t="s">
        <v>166</v>
      </c>
      <c r="F185" s="48" t="s">
        <v>577</v>
      </c>
      <c r="G185" s="48" t="s">
        <v>194</v>
      </c>
      <c r="H185" s="48" t="s">
        <v>354</v>
      </c>
      <c r="I185" s="47" t="s">
        <v>436</v>
      </c>
      <c r="J185" s="47">
        <v>9</v>
      </c>
      <c r="K185" s="49" t="s">
        <v>956</v>
      </c>
      <c r="L185" s="49" t="s">
        <v>696</v>
      </c>
      <c r="M185" s="50" t="s">
        <v>691</v>
      </c>
      <c r="N185" s="50" t="s">
        <v>1735</v>
      </c>
      <c r="O185" s="51"/>
      <c r="P185" s="51"/>
      <c r="Q185" s="48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1</v>
      </c>
      <c r="AB185" s="1">
        <f t="shared" si="110"/>
        <v>0</v>
      </c>
      <c r="AD185" s="1">
        <f t="shared" si="113"/>
        <v>0</v>
      </c>
      <c r="AE185" s="1">
        <f t="shared" si="114"/>
        <v>0</v>
      </c>
      <c r="AF185" s="1">
        <f t="shared" si="115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1997</v>
      </c>
      <c r="E186" s="35" t="s">
        <v>166</v>
      </c>
      <c r="F186" s="35" t="s">
        <v>1998</v>
      </c>
      <c r="G186" s="35" t="s">
        <v>2001</v>
      </c>
      <c r="H186" s="35" t="s">
        <v>354</v>
      </c>
      <c r="I186" s="34" t="s">
        <v>1999</v>
      </c>
      <c r="J186" s="34">
        <v>99</v>
      </c>
      <c r="K186" s="36" t="s">
        <v>703</v>
      </c>
      <c r="L186" s="36">
        <v>25</v>
      </c>
      <c r="M186" s="37" t="s">
        <v>691</v>
      </c>
      <c r="N186" s="37" t="s">
        <v>1743</v>
      </c>
      <c r="O186" s="38">
        <v>1</v>
      </c>
      <c r="P186" s="38"/>
      <c r="Q186" s="35" t="s">
        <v>2000</v>
      </c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si="113"/>
        <v>0</v>
      </c>
      <c r="AE186" s="1">
        <f t="shared" si="114"/>
        <v>1</v>
      </c>
      <c r="AF186" s="1">
        <f t="shared" si="115"/>
        <v>0</v>
      </c>
      <c r="AG186" s="1">
        <f t="shared" si="98"/>
        <v>1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127</v>
      </c>
      <c r="E187" s="48" t="s">
        <v>166</v>
      </c>
      <c r="F187" s="48" t="s">
        <v>328</v>
      </c>
      <c r="G187" s="48" t="s">
        <v>180</v>
      </c>
      <c r="H187" s="48" t="s">
        <v>354</v>
      </c>
      <c r="I187" s="47" t="s">
        <v>476</v>
      </c>
      <c r="J187" s="47">
        <v>10</v>
      </c>
      <c r="K187" s="49" t="s">
        <v>958</v>
      </c>
      <c r="L187" s="49" t="s">
        <v>694</v>
      </c>
      <c r="M187" s="50" t="s">
        <v>691</v>
      </c>
      <c r="N187" s="50" t="s">
        <v>1740</v>
      </c>
      <c r="O187" s="51"/>
      <c r="P187" s="51"/>
      <c r="Q187" s="48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1</v>
      </c>
      <c r="AD187" s="1">
        <f t="shared" si="113"/>
        <v>0</v>
      </c>
      <c r="AE187" s="1">
        <f t="shared" si="114"/>
        <v>0</v>
      </c>
      <c r="AF187" s="1">
        <f t="shared" si="115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3.9" customHeight="1" x14ac:dyDescent="0.25">
      <c r="A188" s="47">
        <v>0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548</v>
      </c>
      <c r="G188" s="48" t="s">
        <v>220</v>
      </c>
      <c r="H188" s="48" t="s">
        <v>354</v>
      </c>
      <c r="I188" s="47" t="s">
        <v>540</v>
      </c>
      <c r="J188" s="47">
        <v>8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1</v>
      </c>
      <c r="AA188" s="1">
        <f t="shared" si="109"/>
        <v>0</v>
      </c>
      <c r="AB188" s="1">
        <f t="shared" si="110"/>
        <v>0</v>
      </c>
      <c r="AD188" s="1">
        <f t="shared" si="113"/>
        <v>0</v>
      </c>
      <c r="AE188" s="1">
        <f t="shared" si="114"/>
        <v>0</v>
      </c>
      <c r="AF188" s="1">
        <f t="shared" si="115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7">
        <v>1</v>
      </c>
      <c r="B189" s="47">
        <v>1</v>
      </c>
      <c r="C189" s="47">
        <v>5</v>
      </c>
      <c r="D189" s="48" t="s">
        <v>137</v>
      </c>
      <c r="E189" s="48" t="s">
        <v>166</v>
      </c>
      <c r="F189" s="48" t="s">
        <v>337</v>
      </c>
      <c r="G189" s="48" t="s">
        <v>338</v>
      </c>
      <c r="H189" s="48" t="s">
        <v>354</v>
      </c>
      <c r="I189" s="47" t="s">
        <v>485</v>
      </c>
      <c r="J189" s="47">
        <v>10</v>
      </c>
      <c r="K189" s="49" t="s">
        <v>956</v>
      </c>
      <c r="L189" s="49" t="s">
        <v>694</v>
      </c>
      <c r="M189" s="50" t="s">
        <v>691</v>
      </c>
      <c r="N189" s="50" t="s">
        <v>1735</v>
      </c>
      <c r="O189" s="51"/>
      <c r="P189" s="51"/>
      <c r="Q189" s="48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11"/>
        <v>0</v>
      </c>
      <c r="AE189" s="1">
        <f t="shared" si="112"/>
        <v>0</v>
      </c>
      <c r="AF189" s="1">
        <f t="shared" si="97"/>
        <v>0</v>
      </c>
      <c r="AG189" s="1">
        <f t="shared" si="98"/>
        <v>0</v>
      </c>
      <c r="AH189" s="1">
        <f t="shared" si="99"/>
        <v>0</v>
      </c>
      <c r="AI189" s="1">
        <f t="shared" si="100"/>
        <v>0</v>
      </c>
    </row>
    <row r="190" spans="1:35" ht="14.25" customHeight="1" x14ac:dyDescent="0.25">
      <c r="A190" s="47">
        <v>0</v>
      </c>
      <c r="B190" s="47">
        <v>1</v>
      </c>
      <c r="C190" s="47">
        <v>5</v>
      </c>
      <c r="D190" s="48" t="s">
        <v>1637</v>
      </c>
      <c r="E190" s="48" t="s">
        <v>166</v>
      </c>
      <c r="F190" s="48" t="s">
        <v>865</v>
      </c>
      <c r="G190" s="48" t="s">
        <v>1664</v>
      </c>
      <c r="H190" s="48" t="s">
        <v>354</v>
      </c>
      <c r="I190" s="47" t="s">
        <v>866</v>
      </c>
      <c r="J190" s="47">
        <v>1</v>
      </c>
      <c r="K190" s="49" t="s">
        <v>722</v>
      </c>
      <c r="L190" s="49" t="s">
        <v>1707</v>
      </c>
      <c r="M190" s="50" t="s">
        <v>1400</v>
      </c>
      <c r="N190" s="50" t="s">
        <v>1735</v>
      </c>
      <c r="O190" s="51"/>
      <c r="P190" s="51"/>
      <c r="Q190" s="48"/>
      <c r="S190" s="1">
        <f t="shared" si="101"/>
        <v>1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0</v>
      </c>
      <c r="AD190" s="1">
        <f t="shared" ref="AD190:AD191" si="116">+O190*P190</f>
        <v>0</v>
      </c>
      <c r="AE190" s="1">
        <f t="shared" ref="AE190:AE191" si="117">O190*(1-P190)</f>
        <v>0</v>
      </c>
      <c r="AF190" s="1">
        <f t="shared" ref="AF190:AF191" si="118">+O190*P190*(1-A190)</f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1949</v>
      </c>
      <c r="E191" s="20" t="s">
        <v>893</v>
      </c>
      <c r="F191" s="20" t="s">
        <v>1967</v>
      </c>
      <c r="G191" s="20"/>
      <c r="H191" s="20" t="s">
        <v>1968</v>
      </c>
      <c r="I191" s="21" t="s">
        <v>1966</v>
      </c>
      <c r="J191" s="15">
        <v>15</v>
      </c>
      <c r="K191" s="10" t="s">
        <v>703</v>
      </c>
      <c r="L191" s="10" t="s">
        <v>697</v>
      </c>
      <c r="M191" s="19" t="s">
        <v>971</v>
      </c>
      <c r="N191" s="17"/>
      <c r="Q191" s="20" t="s">
        <v>1969</v>
      </c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si="116"/>
        <v>0</v>
      </c>
      <c r="AE191" s="1">
        <f t="shared" si="117"/>
        <v>0</v>
      </c>
      <c r="AF191" s="1">
        <f t="shared" si="118"/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887</v>
      </c>
      <c r="E192" s="35" t="s">
        <v>888</v>
      </c>
      <c r="F192" s="35" t="s">
        <v>1092</v>
      </c>
      <c r="G192" s="35" t="s">
        <v>39</v>
      </c>
      <c r="H192" s="35" t="s">
        <v>889</v>
      </c>
      <c r="I192" s="34" t="s">
        <v>890</v>
      </c>
      <c r="J192" s="34">
        <v>16</v>
      </c>
      <c r="K192" s="36" t="s">
        <v>703</v>
      </c>
      <c r="L192" s="36" t="s">
        <v>692</v>
      </c>
      <c r="M192" s="37" t="s">
        <v>970</v>
      </c>
      <c r="N192" s="37" t="s">
        <v>1733</v>
      </c>
      <c r="O192" s="38">
        <v>1</v>
      </c>
      <c r="P192" s="38">
        <v>1</v>
      </c>
      <c r="Q192" s="39" t="s">
        <v>1894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11"/>
        <v>1</v>
      </c>
      <c r="AE192" s="1">
        <f t="shared" si="112"/>
        <v>0</v>
      </c>
      <c r="AF192" s="1">
        <f t="shared" si="97"/>
        <v>1</v>
      </c>
      <c r="AG192" s="1">
        <f t="shared" si="98"/>
        <v>0</v>
      </c>
      <c r="AH192" s="1">
        <f t="shared" si="99"/>
        <v>1</v>
      </c>
      <c r="AI192" s="1">
        <f t="shared" si="100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106</v>
      </c>
      <c r="E193" s="35" t="s">
        <v>173</v>
      </c>
      <c r="F193" s="35" t="s">
        <v>304</v>
      </c>
      <c r="G193" s="35" t="s">
        <v>39</v>
      </c>
      <c r="H193" s="35" t="s">
        <v>359</v>
      </c>
      <c r="I193" s="34" t="s">
        <v>453</v>
      </c>
      <c r="J193" s="34">
        <v>14</v>
      </c>
      <c r="K193" s="36" t="s">
        <v>956</v>
      </c>
      <c r="L193" s="36" t="s">
        <v>693</v>
      </c>
      <c r="M193" s="37" t="s">
        <v>970</v>
      </c>
      <c r="N193" s="37" t="s">
        <v>1743</v>
      </c>
      <c r="O193" s="38">
        <v>1</v>
      </c>
      <c r="P193" s="38"/>
      <c r="Q193" s="35"/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0</v>
      </c>
      <c r="AE193" s="1">
        <f t="shared" si="112"/>
        <v>1</v>
      </c>
      <c r="AF193" s="1">
        <f t="shared" si="97"/>
        <v>0</v>
      </c>
      <c r="AG193" s="1">
        <f t="shared" si="98"/>
        <v>1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1951</v>
      </c>
      <c r="E194" s="20" t="s">
        <v>893</v>
      </c>
      <c r="F194" s="20" t="s">
        <v>1981</v>
      </c>
      <c r="G194" s="20"/>
      <c r="H194" s="20" t="s">
        <v>1980</v>
      </c>
      <c r="I194" s="21" t="s">
        <v>1979</v>
      </c>
      <c r="J194" s="15">
        <v>18</v>
      </c>
      <c r="K194" s="10" t="s">
        <v>703</v>
      </c>
      <c r="L194" s="10" t="s">
        <v>697</v>
      </c>
      <c r="M194" s="19" t="s">
        <v>971</v>
      </c>
      <c r="N194" s="17"/>
      <c r="Q194" s="20" t="s">
        <v>1982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0</v>
      </c>
      <c r="AF194" s="1">
        <f t="shared" si="97"/>
        <v>0</v>
      </c>
      <c r="AG194" s="1">
        <f t="shared" si="98"/>
        <v>0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513</v>
      </c>
      <c r="E195" s="48" t="s">
        <v>172</v>
      </c>
      <c r="F195" s="48" t="s">
        <v>549</v>
      </c>
      <c r="G195" s="48" t="s">
        <v>39</v>
      </c>
      <c r="H195" s="48" t="s">
        <v>362</v>
      </c>
      <c r="I195" s="47" t="s">
        <v>1114</v>
      </c>
      <c r="J195" s="47">
        <v>12</v>
      </c>
      <c r="K195" s="49" t="s">
        <v>703</v>
      </c>
      <c r="L195" s="49">
        <v>35</v>
      </c>
      <c r="M195" s="50" t="s">
        <v>970</v>
      </c>
      <c r="N195" s="50" t="s">
        <v>1802</v>
      </c>
      <c r="O195" s="51"/>
      <c r="P195" s="51"/>
      <c r="Q195" s="48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151</v>
      </c>
      <c r="E196" s="35" t="s">
        <v>166</v>
      </c>
      <c r="F196" s="39" t="s">
        <v>1870</v>
      </c>
      <c r="G196" s="35" t="s">
        <v>197</v>
      </c>
      <c r="H196" s="35" t="s">
        <v>354</v>
      </c>
      <c r="I196" s="34" t="s">
        <v>498</v>
      </c>
      <c r="J196" s="34">
        <v>99</v>
      </c>
      <c r="K196" s="36" t="s">
        <v>956</v>
      </c>
      <c r="L196" s="36" t="s">
        <v>693</v>
      </c>
      <c r="M196" s="37" t="s">
        <v>970</v>
      </c>
      <c r="N196" s="37" t="s">
        <v>1748</v>
      </c>
      <c r="O196" s="38">
        <v>1</v>
      </c>
      <c r="P196" s="38"/>
      <c r="Q196" s="3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1</v>
      </c>
      <c r="AF196" s="1">
        <f t="shared" si="97"/>
        <v>0</v>
      </c>
      <c r="AG196" s="1">
        <f t="shared" si="98"/>
        <v>1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649</v>
      </c>
      <c r="E197" s="48" t="s">
        <v>684</v>
      </c>
      <c r="F197" s="48" t="s">
        <v>645</v>
      </c>
      <c r="G197" s="48" t="s">
        <v>185</v>
      </c>
      <c r="H197" s="48" t="s">
        <v>354</v>
      </c>
      <c r="I197" s="47" t="s">
        <v>646</v>
      </c>
      <c r="J197" s="47">
        <v>99</v>
      </c>
      <c r="K197" s="49" t="s">
        <v>722</v>
      </c>
      <c r="L197" s="49" t="s">
        <v>693</v>
      </c>
      <c r="M197" s="50" t="s">
        <v>970</v>
      </c>
      <c r="N197" s="50" t="s">
        <v>1734</v>
      </c>
      <c r="O197" s="51"/>
      <c r="P197" s="51"/>
      <c r="Q197" s="48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1310</v>
      </c>
      <c r="E198" s="35" t="s">
        <v>166</v>
      </c>
      <c r="F198" s="35" t="s">
        <v>1311</v>
      </c>
      <c r="G198" s="35" t="s">
        <v>283</v>
      </c>
      <c r="H198" s="35" t="s">
        <v>354</v>
      </c>
      <c r="I198" s="34" t="s">
        <v>1312</v>
      </c>
      <c r="J198" s="34">
        <v>99</v>
      </c>
      <c r="K198" s="36" t="s">
        <v>702</v>
      </c>
      <c r="L198" s="36" t="s">
        <v>39</v>
      </c>
      <c r="M198" s="37" t="s">
        <v>39</v>
      </c>
      <c r="N198" s="37" t="s">
        <v>1733</v>
      </c>
      <c r="O198" s="38">
        <v>1</v>
      </c>
      <c r="P198" s="38">
        <v>1</v>
      </c>
      <c r="Q198" s="3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1</v>
      </c>
      <c r="AE198" s="1">
        <f t="shared" si="112"/>
        <v>0</v>
      </c>
      <c r="AF198" s="1">
        <f t="shared" si="97"/>
        <v>1</v>
      </c>
      <c r="AG198" s="1">
        <f t="shared" si="98"/>
        <v>0</v>
      </c>
      <c r="AH198" s="1">
        <f t="shared" si="99"/>
        <v>1</v>
      </c>
      <c r="AI198" s="1">
        <f t="shared" si="100"/>
        <v>0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892</v>
      </c>
      <c r="E199" s="48" t="s">
        <v>893</v>
      </c>
      <c r="F199" s="48" t="s">
        <v>934</v>
      </c>
      <c r="G199" s="48" t="s">
        <v>39</v>
      </c>
      <c r="H199" s="48" t="s">
        <v>894</v>
      </c>
      <c r="I199" s="47" t="s">
        <v>895</v>
      </c>
      <c r="J199" s="47">
        <v>17</v>
      </c>
      <c r="K199" s="49" t="s">
        <v>703</v>
      </c>
      <c r="L199" s="49" t="s">
        <v>697</v>
      </c>
      <c r="M199" s="50" t="s">
        <v>970</v>
      </c>
      <c r="N199" s="50" t="s">
        <v>1741</v>
      </c>
      <c r="O199" s="51"/>
      <c r="P199" s="51"/>
      <c r="Q199" s="48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1941</v>
      </c>
      <c r="E200" s="16" t="s">
        <v>893</v>
      </c>
      <c r="F200" s="16" t="s">
        <v>1943</v>
      </c>
      <c r="G200" s="16"/>
      <c r="H200" s="16" t="s">
        <v>1942</v>
      </c>
      <c r="I200" s="15" t="s">
        <v>1944</v>
      </c>
      <c r="J200" s="15">
        <v>16</v>
      </c>
      <c r="K200" s="10" t="s">
        <v>703</v>
      </c>
      <c r="L200" s="10" t="s">
        <v>697</v>
      </c>
      <c r="M200" s="19" t="s">
        <v>970</v>
      </c>
      <c r="N200" s="17"/>
      <c r="Q200" s="20" t="s">
        <v>1945</v>
      </c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47">
        <v>0</v>
      </c>
      <c r="B201" s="47">
        <v>1</v>
      </c>
      <c r="C201" s="47">
        <v>5</v>
      </c>
      <c r="D201" s="48" t="s">
        <v>131</v>
      </c>
      <c r="E201" s="48" t="s">
        <v>166</v>
      </c>
      <c r="F201" s="48" t="s">
        <v>332</v>
      </c>
      <c r="G201" s="48" t="s">
        <v>333</v>
      </c>
      <c r="H201" s="48" t="s">
        <v>354</v>
      </c>
      <c r="I201" s="47" t="s">
        <v>480</v>
      </c>
      <c r="J201" s="47">
        <v>99</v>
      </c>
      <c r="K201" s="49" t="s">
        <v>722</v>
      </c>
      <c r="L201" s="49" t="s">
        <v>694</v>
      </c>
      <c r="M201" s="50" t="s">
        <v>970</v>
      </c>
      <c r="N201" s="50" t="s">
        <v>1747</v>
      </c>
      <c r="O201" s="51"/>
      <c r="P201" s="51"/>
      <c r="Q201" s="48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109</v>
      </c>
      <c r="E202" s="35" t="s">
        <v>166</v>
      </c>
      <c r="F202" s="35" t="s">
        <v>307</v>
      </c>
      <c r="G202" s="35" t="s">
        <v>231</v>
      </c>
      <c r="H202" s="35" t="s">
        <v>354</v>
      </c>
      <c r="I202" s="34" t="s">
        <v>456</v>
      </c>
      <c r="J202" s="34">
        <v>99</v>
      </c>
      <c r="K202" s="36" t="s">
        <v>722</v>
      </c>
      <c r="L202" s="36" t="s">
        <v>696</v>
      </c>
      <c r="M202" s="37" t="s">
        <v>691</v>
      </c>
      <c r="N202" s="37" t="s">
        <v>1743</v>
      </c>
      <c r="O202" s="38">
        <v>1</v>
      </c>
      <c r="P202" s="38"/>
      <c r="Q202" s="3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1</v>
      </c>
      <c r="AF202" s="1">
        <f t="shared" si="97"/>
        <v>0</v>
      </c>
      <c r="AG202" s="1">
        <f t="shared" si="98"/>
        <v>1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172</v>
      </c>
      <c r="F203" s="16" t="s">
        <v>310</v>
      </c>
      <c r="G203" s="16" t="s">
        <v>39</v>
      </c>
      <c r="H203" s="16" t="s">
        <v>364</v>
      </c>
      <c r="I203" s="15" t="s">
        <v>459</v>
      </c>
      <c r="J203" s="15">
        <v>17</v>
      </c>
      <c r="K203" s="10" t="s">
        <v>703</v>
      </c>
      <c r="L203" s="10" t="s">
        <v>697</v>
      </c>
      <c r="M203" s="19" t="s">
        <v>691</v>
      </c>
      <c r="N203" s="17"/>
      <c r="Q203" s="20" t="s">
        <v>1915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525</v>
      </c>
      <c r="E204" s="35" t="s">
        <v>526</v>
      </c>
      <c r="F204" s="35" t="s">
        <v>527</v>
      </c>
      <c r="G204" s="35" t="s">
        <v>202</v>
      </c>
      <c r="H204" s="35" t="s">
        <v>354</v>
      </c>
      <c r="I204" s="34" t="s">
        <v>528</v>
      </c>
      <c r="J204" s="34">
        <v>10</v>
      </c>
      <c r="K204" s="36" t="s">
        <v>702</v>
      </c>
      <c r="L204" s="36" t="s">
        <v>693</v>
      </c>
      <c r="M204" s="37" t="s">
        <v>970</v>
      </c>
      <c r="N204" s="37" t="s">
        <v>1733</v>
      </c>
      <c r="O204" s="38">
        <v>1</v>
      </c>
      <c r="P204" s="38">
        <v>1</v>
      </c>
      <c r="Q204" s="35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1</v>
      </c>
      <c r="AD204" s="1">
        <f t="shared" si="111"/>
        <v>1</v>
      </c>
      <c r="AE204" s="1">
        <f t="shared" si="112"/>
        <v>0</v>
      </c>
      <c r="AF204" s="1">
        <f t="shared" ref="AF204:AF269" si="119">+O204*P204*(1-A204)</f>
        <v>1</v>
      </c>
      <c r="AG204" s="1">
        <f t="shared" ref="AG204:AG269" si="120">O204*(1-P204)*(1-A204)</f>
        <v>0</v>
      </c>
      <c r="AH204" s="1">
        <f t="shared" ref="AH204:AH269" si="121">+P204*(1-A204)</f>
        <v>1</v>
      </c>
      <c r="AI204" s="1">
        <f t="shared" ref="AI204:AI269" si="122">+(1-A204)*(1-P204)</f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1499</v>
      </c>
      <c r="E205" s="35" t="s">
        <v>166</v>
      </c>
      <c r="F205" s="35" t="s">
        <v>1500</v>
      </c>
      <c r="G205" s="35" t="s">
        <v>180</v>
      </c>
      <c r="H205" s="35" t="s">
        <v>354</v>
      </c>
      <c r="I205" s="34" t="s">
        <v>1501</v>
      </c>
      <c r="J205" s="34">
        <v>10</v>
      </c>
      <c r="K205" s="36" t="s">
        <v>956</v>
      </c>
      <c r="L205" s="36" t="s">
        <v>693</v>
      </c>
      <c r="M205" s="37" t="s">
        <v>970</v>
      </c>
      <c r="N205" s="37" t="s">
        <v>1727</v>
      </c>
      <c r="O205" s="38">
        <v>1</v>
      </c>
      <c r="P205" s="38">
        <v>1</v>
      </c>
      <c r="Q205" s="35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si="119"/>
        <v>1</v>
      </c>
      <c r="AG205" s="1">
        <f t="shared" si="120"/>
        <v>0</v>
      </c>
      <c r="AH205" s="1">
        <f t="shared" si="121"/>
        <v>1</v>
      </c>
      <c r="AI205" s="1">
        <f t="shared" si="122"/>
        <v>0</v>
      </c>
    </row>
    <row r="206" spans="1:35" ht="14.25" customHeight="1" x14ac:dyDescent="0.25">
      <c r="A206" s="34">
        <v>0</v>
      </c>
      <c r="B206" s="34">
        <v>1</v>
      </c>
      <c r="C206" s="34">
        <v>5</v>
      </c>
      <c r="D206" s="35" t="s">
        <v>1757</v>
      </c>
      <c r="E206" s="35" t="s">
        <v>166</v>
      </c>
      <c r="F206" s="35" t="s">
        <v>1758</v>
      </c>
      <c r="G206" s="35" t="s">
        <v>1759</v>
      </c>
      <c r="H206" s="35" t="s">
        <v>354</v>
      </c>
      <c r="I206" s="34" t="s">
        <v>1760</v>
      </c>
      <c r="J206" s="34">
        <v>1</v>
      </c>
      <c r="K206" s="36" t="s">
        <v>703</v>
      </c>
      <c r="L206" s="36"/>
      <c r="M206" s="37"/>
      <c r="N206" s="37" t="s">
        <v>1748</v>
      </c>
      <c r="O206" s="38">
        <v>1</v>
      </c>
      <c r="P206" s="38"/>
      <c r="Q206" s="35"/>
      <c r="S206" s="1">
        <f t="shared" si="101"/>
        <v>1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D206" s="1">
        <f t="shared" si="111"/>
        <v>0</v>
      </c>
      <c r="AE206" s="1">
        <f t="shared" si="112"/>
        <v>1</v>
      </c>
      <c r="AF206" s="1">
        <f t="shared" si="119"/>
        <v>0</v>
      </c>
      <c r="AG206" s="1">
        <f t="shared" si="120"/>
        <v>1</v>
      </c>
      <c r="AH206" s="1">
        <f t="shared" si="121"/>
        <v>0</v>
      </c>
      <c r="AI206" s="1">
        <f t="shared" si="122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1026</v>
      </c>
      <c r="E207" s="48" t="s">
        <v>1087</v>
      </c>
      <c r="F207" s="48" t="s">
        <v>1027</v>
      </c>
      <c r="G207" s="48" t="s">
        <v>194</v>
      </c>
      <c r="H207" s="48" t="s">
        <v>354</v>
      </c>
      <c r="I207" s="47" t="s">
        <v>1028</v>
      </c>
      <c r="J207" s="47">
        <v>9</v>
      </c>
      <c r="K207" s="49" t="s">
        <v>722</v>
      </c>
      <c r="L207" s="49" t="s">
        <v>1704</v>
      </c>
      <c r="M207" s="50" t="s">
        <v>1604</v>
      </c>
      <c r="N207" s="50" t="s">
        <v>1735</v>
      </c>
      <c r="O207" s="51"/>
      <c r="P207" s="51"/>
      <c r="Q207" s="48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1</v>
      </c>
      <c r="AB207" s="1">
        <f t="shared" si="110"/>
        <v>0</v>
      </c>
      <c r="AD207" s="1">
        <f t="shared" si="111"/>
        <v>0</v>
      </c>
      <c r="AE207" s="1">
        <f t="shared" si="112"/>
        <v>0</v>
      </c>
      <c r="AF207" s="1">
        <f t="shared" si="119"/>
        <v>0</v>
      </c>
      <c r="AG207" s="1">
        <f t="shared" si="120"/>
        <v>0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7">
        <v>0</v>
      </c>
      <c r="B208" s="47">
        <v>1</v>
      </c>
      <c r="C208" s="47">
        <v>5</v>
      </c>
      <c r="D208" s="48" t="s">
        <v>1614</v>
      </c>
      <c r="E208" s="48" t="s">
        <v>166</v>
      </c>
      <c r="F208" s="48" t="s">
        <v>1615</v>
      </c>
      <c r="G208" s="48" t="s">
        <v>213</v>
      </c>
      <c r="H208" s="48" t="s">
        <v>354</v>
      </c>
      <c r="I208" s="47" t="s">
        <v>1616</v>
      </c>
      <c r="J208" s="47">
        <v>1</v>
      </c>
      <c r="K208" s="49" t="s">
        <v>722</v>
      </c>
      <c r="L208" s="49" t="s">
        <v>694</v>
      </c>
      <c r="M208" s="50" t="s">
        <v>970</v>
      </c>
      <c r="N208" s="50" t="s">
        <v>1736</v>
      </c>
      <c r="O208" s="51"/>
      <c r="P208" s="51"/>
      <c r="Q208" s="48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19"/>
        <v>0</v>
      </c>
      <c r="AG208" s="1">
        <f t="shared" si="120"/>
        <v>0</v>
      </c>
      <c r="AH208" s="1">
        <f t="shared" si="121"/>
        <v>0</v>
      </c>
      <c r="AI208" s="1">
        <f t="shared" si="122"/>
        <v>1</v>
      </c>
    </row>
    <row r="209" spans="1:35" ht="14.25" customHeight="1" x14ac:dyDescent="0.25">
      <c r="A209" s="41">
        <v>0</v>
      </c>
      <c r="B209" s="41">
        <v>1</v>
      </c>
      <c r="C209" s="41">
        <v>5</v>
      </c>
      <c r="D209" s="42" t="s">
        <v>147</v>
      </c>
      <c r="E209" s="42" t="s">
        <v>545</v>
      </c>
      <c r="F209" s="42" t="s">
        <v>1599</v>
      </c>
      <c r="G209" s="42" t="s">
        <v>1673</v>
      </c>
      <c r="H209" s="42" t="s">
        <v>354</v>
      </c>
      <c r="I209" s="41" t="s">
        <v>494</v>
      </c>
      <c r="J209" s="41">
        <v>99</v>
      </c>
      <c r="K209" s="43" t="s">
        <v>702</v>
      </c>
      <c r="L209" s="43" t="s">
        <v>689</v>
      </c>
      <c r="M209" s="44" t="s">
        <v>970</v>
      </c>
      <c r="N209" s="45"/>
      <c r="O209" s="46"/>
      <c r="P209" s="46">
        <v>1</v>
      </c>
      <c r="Q209" s="42"/>
      <c r="S209" s="1">
        <f t="shared" ref="S209:S273" si="123">IF(J209=$S$7,1,0)</f>
        <v>0</v>
      </c>
      <c r="T209" s="1">
        <f t="shared" ref="T209:T273" si="124">IF(J209=$T$7,1,0)</f>
        <v>0</v>
      </c>
      <c r="U209" s="1">
        <f t="shared" ref="U209:U273" si="125">IF(J209=$U$7,1,0)</f>
        <v>0</v>
      </c>
      <c r="V209" s="1">
        <f t="shared" ref="V209:V273" si="126">IF(J209=$V$7,1,0)</f>
        <v>0</v>
      </c>
      <c r="W209" s="1">
        <f t="shared" ref="W209:W273" si="127">IF(J209=$W$7,1,0)</f>
        <v>0</v>
      </c>
      <c r="X209" s="1">
        <f t="shared" ref="X209:X273" si="128">IF(J209=$X$7,1,0)</f>
        <v>0</v>
      </c>
      <c r="Y209" s="1">
        <f t="shared" ref="Y209:Y273" si="129">IF(J209=$Y$7,1,0)</f>
        <v>0</v>
      </c>
      <c r="Z209" s="1">
        <f t="shared" ref="Z209:Z273" si="130">IF(J209=$Z$7,1,0)</f>
        <v>0</v>
      </c>
      <c r="AA209" s="1">
        <f t="shared" ref="AA209:AA273" si="131">IF(J209=$AA$7,1,0)</f>
        <v>0</v>
      </c>
      <c r="AB209" s="1">
        <f t="shared" ref="AB209:AB273" si="132">IF(J209=$AB$7,1,0)</f>
        <v>0</v>
      </c>
      <c r="AD209" s="1">
        <f t="shared" ref="AD209:AD273" si="133">+O209*P209</f>
        <v>0</v>
      </c>
      <c r="AE209" s="1">
        <f t="shared" ref="AE209:AE273" si="134">O209*(1-P209)</f>
        <v>0</v>
      </c>
      <c r="AF209" s="1">
        <f t="shared" si="119"/>
        <v>0</v>
      </c>
      <c r="AG209" s="1">
        <f t="shared" si="120"/>
        <v>0</v>
      </c>
      <c r="AH209" s="1">
        <f t="shared" si="121"/>
        <v>1</v>
      </c>
      <c r="AI209" s="1">
        <f t="shared" si="122"/>
        <v>0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1212</v>
      </c>
      <c r="E210" s="16" t="s">
        <v>166</v>
      </c>
      <c r="F210" s="16" t="s">
        <v>1213</v>
      </c>
      <c r="G210" s="16" t="s">
        <v>1214</v>
      </c>
      <c r="H210" s="16" t="s">
        <v>354</v>
      </c>
      <c r="I210" s="15" t="s">
        <v>1215</v>
      </c>
      <c r="J210" s="15">
        <v>99</v>
      </c>
      <c r="K210" s="10" t="s">
        <v>703</v>
      </c>
      <c r="L210" s="10">
        <v>30</v>
      </c>
      <c r="M210" s="19" t="s">
        <v>970</v>
      </c>
      <c r="N210" s="19"/>
      <c r="Q210" s="16"/>
      <c r="S210" s="1">
        <f t="shared" si="123"/>
        <v>0</v>
      </c>
      <c r="T210" s="1">
        <f t="shared" si="124"/>
        <v>0</v>
      </c>
      <c r="U210" s="1">
        <f t="shared" si="125"/>
        <v>0</v>
      </c>
      <c r="V210" s="1">
        <f t="shared" si="126"/>
        <v>0</v>
      </c>
      <c r="W210" s="1">
        <f t="shared" si="127"/>
        <v>0</v>
      </c>
      <c r="X210" s="1">
        <f t="shared" si="128"/>
        <v>0</v>
      </c>
      <c r="Y210" s="1">
        <f t="shared" si="129"/>
        <v>0</v>
      </c>
      <c r="Z210" s="1">
        <f t="shared" si="130"/>
        <v>0</v>
      </c>
      <c r="AA210" s="1">
        <f t="shared" si="131"/>
        <v>0</v>
      </c>
      <c r="AB210" s="1">
        <f t="shared" si="132"/>
        <v>0</v>
      </c>
      <c r="AD210" s="1">
        <f t="shared" si="133"/>
        <v>0</v>
      </c>
      <c r="AE210" s="1">
        <f t="shared" si="134"/>
        <v>0</v>
      </c>
      <c r="AF210" s="1">
        <f t="shared" si="119"/>
        <v>0</v>
      </c>
      <c r="AG210" s="1">
        <f t="shared" si="120"/>
        <v>0</v>
      </c>
      <c r="AH210" s="1">
        <f t="shared" si="121"/>
        <v>0</v>
      </c>
      <c r="AI210" s="1">
        <f t="shared" si="122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1600</v>
      </c>
      <c r="E211" s="35" t="s">
        <v>172</v>
      </c>
      <c r="F211" s="35" t="s">
        <v>808</v>
      </c>
      <c r="G211" s="35" t="s">
        <v>39</v>
      </c>
      <c r="H211" s="35" t="s">
        <v>809</v>
      </c>
      <c r="I211" s="34" t="s">
        <v>810</v>
      </c>
      <c r="J211" s="34">
        <v>16</v>
      </c>
      <c r="K211" s="36" t="s">
        <v>957</v>
      </c>
      <c r="L211" s="36" t="s">
        <v>1742</v>
      </c>
      <c r="M211" s="37" t="s">
        <v>970</v>
      </c>
      <c r="N211" s="37" t="s">
        <v>1748</v>
      </c>
      <c r="O211" s="38">
        <v>1</v>
      </c>
      <c r="P211" s="38"/>
      <c r="Q211" s="35"/>
      <c r="S211" s="1">
        <f t="shared" si="123"/>
        <v>0</v>
      </c>
      <c r="T211" s="1">
        <f t="shared" si="124"/>
        <v>0</v>
      </c>
      <c r="U211" s="1">
        <f t="shared" si="125"/>
        <v>0</v>
      </c>
      <c r="V211" s="1">
        <f t="shared" si="126"/>
        <v>0</v>
      </c>
      <c r="W211" s="1">
        <f t="shared" si="127"/>
        <v>0</v>
      </c>
      <c r="X211" s="1">
        <f t="shared" si="128"/>
        <v>0</v>
      </c>
      <c r="Y211" s="1">
        <f t="shared" si="129"/>
        <v>0</v>
      </c>
      <c r="Z211" s="1">
        <f t="shared" si="130"/>
        <v>0</v>
      </c>
      <c r="AA211" s="1">
        <f t="shared" si="131"/>
        <v>0</v>
      </c>
      <c r="AB211" s="1">
        <f t="shared" si="132"/>
        <v>0</v>
      </c>
      <c r="AD211" s="1">
        <f t="shared" si="133"/>
        <v>0</v>
      </c>
      <c r="AE211" s="1">
        <f t="shared" si="134"/>
        <v>1</v>
      </c>
      <c r="AF211" s="1">
        <f t="shared" si="119"/>
        <v>0</v>
      </c>
      <c r="AG211" s="1">
        <f t="shared" si="120"/>
        <v>1</v>
      </c>
      <c r="AH211" s="1">
        <f t="shared" si="121"/>
        <v>0</v>
      </c>
      <c r="AI211" s="1">
        <f t="shared" si="122"/>
        <v>1</v>
      </c>
    </row>
    <row r="212" spans="1:35" ht="14.25" customHeight="1" x14ac:dyDescent="0.25">
      <c r="A212" s="34">
        <v>0</v>
      </c>
      <c r="B212" s="34">
        <v>1</v>
      </c>
      <c r="C212" s="34">
        <v>5</v>
      </c>
      <c r="D212" s="35" t="s">
        <v>502</v>
      </c>
      <c r="E212" s="35" t="s">
        <v>166</v>
      </c>
      <c r="F212" s="35" t="s">
        <v>503</v>
      </c>
      <c r="G212" s="35" t="s">
        <v>504</v>
      </c>
      <c r="H212" s="35" t="s">
        <v>354</v>
      </c>
      <c r="I212" s="34" t="s">
        <v>505</v>
      </c>
      <c r="J212" s="34">
        <v>99</v>
      </c>
      <c r="K212" s="36" t="s">
        <v>957</v>
      </c>
      <c r="L212" s="36" t="s">
        <v>694</v>
      </c>
      <c r="M212" s="37" t="s">
        <v>691</v>
      </c>
      <c r="N212" s="37" t="s">
        <v>1727</v>
      </c>
      <c r="O212" s="38">
        <v>1</v>
      </c>
      <c r="P212" s="38">
        <v>1</v>
      </c>
      <c r="Q212" s="35"/>
      <c r="S212" s="1">
        <f t="shared" si="123"/>
        <v>0</v>
      </c>
      <c r="T212" s="1">
        <f t="shared" si="124"/>
        <v>0</v>
      </c>
      <c r="U212" s="1">
        <f t="shared" si="125"/>
        <v>0</v>
      </c>
      <c r="V212" s="1">
        <f t="shared" si="126"/>
        <v>0</v>
      </c>
      <c r="W212" s="1">
        <f t="shared" si="127"/>
        <v>0</v>
      </c>
      <c r="X212" s="1">
        <f t="shared" si="128"/>
        <v>0</v>
      </c>
      <c r="Y212" s="1">
        <f t="shared" si="129"/>
        <v>0</v>
      </c>
      <c r="Z212" s="1">
        <f t="shared" si="130"/>
        <v>0</v>
      </c>
      <c r="AA212" s="1">
        <f t="shared" si="131"/>
        <v>0</v>
      </c>
      <c r="AB212" s="1">
        <f t="shared" si="132"/>
        <v>0</v>
      </c>
      <c r="AD212" s="1">
        <f t="shared" si="133"/>
        <v>1</v>
      </c>
      <c r="AE212" s="1">
        <f t="shared" si="134"/>
        <v>0</v>
      </c>
      <c r="AF212" s="1">
        <f t="shared" si="119"/>
        <v>1</v>
      </c>
      <c r="AG212" s="1">
        <f t="shared" si="120"/>
        <v>0</v>
      </c>
      <c r="AH212" s="1">
        <f t="shared" si="121"/>
        <v>1</v>
      </c>
      <c r="AI212" s="1">
        <f t="shared" si="122"/>
        <v>0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1450</v>
      </c>
      <c r="E213" s="35" t="s">
        <v>167</v>
      </c>
      <c r="F213" s="35" t="s">
        <v>1451</v>
      </c>
      <c r="G213" s="35" t="s">
        <v>179</v>
      </c>
      <c r="H213" s="35" t="s">
        <v>354</v>
      </c>
      <c r="I213" s="34" t="s">
        <v>1452</v>
      </c>
      <c r="J213" s="34">
        <v>99</v>
      </c>
      <c r="K213" s="36" t="s">
        <v>956</v>
      </c>
      <c r="L213" s="36" t="s">
        <v>696</v>
      </c>
      <c r="M213" s="37" t="s">
        <v>1453</v>
      </c>
      <c r="N213" s="37" t="s">
        <v>1749</v>
      </c>
      <c r="O213" s="38">
        <v>1</v>
      </c>
      <c r="P213" s="38"/>
      <c r="Q213" s="39"/>
      <c r="S213" s="1">
        <f t="shared" si="123"/>
        <v>0</v>
      </c>
      <c r="T213" s="1">
        <f t="shared" si="124"/>
        <v>0</v>
      </c>
      <c r="U213" s="1">
        <f t="shared" si="125"/>
        <v>0</v>
      </c>
      <c r="V213" s="1">
        <f t="shared" si="126"/>
        <v>0</v>
      </c>
      <c r="W213" s="1">
        <f t="shared" si="127"/>
        <v>0</v>
      </c>
      <c r="X213" s="1">
        <f t="shared" si="128"/>
        <v>0</v>
      </c>
      <c r="Y213" s="1">
        <f t="shared" si="129"/>
        <v>0</v>
      </c>
      <c r="Z213" s="1">
        <f t="shared" si="130"/>
        <v>0</v>
      </c>
      <c r="AA213" s="1">
        <f t="shared" si="131"/>
        <v>0</v>
      </c>
      <c r="AB213" s="1">
        <f t="shared" si="132"/>
        <v>0</v>
      </c>
      <c r="AD213" s="1">
        <f t="shared" si="133"/>
        <v>0</v>
      </c>
      <c r="AE213" s="1">
        <f t="shared" si="134"/>
        <v>1</v>
      </c>
      <c r="AF213" s="1">
        <f t="shared" si="119"/>
        <v>0</v>
      </c>
      <c r="AG213" s="1">
        <f t="shared" si="120"/>
        <v>1</v>
      </c>
      <c r="AH213" s="1">
        <f t="shared" si="121"/>
        <v>0</v>
      </c>
      <c r="AI213" s="1">
        <f t="shared" si="122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1186</v>
      </c>
      <c r="E214" s="35" t="s">
        <v>1189</v>
      </c>
      <c r="F214" s="35" t="s">
        <v>1187</v>
      </c>
      <c r="G214" s="35" t="s">
        <v>39</v>
      </c>
      <c r="H214" s="35" t="s">
        <v>354</v>
      </c>
      <c r="I214" s="34" t="s">
        <v>1188</v>
      </c>
      <c r="J214" s="34">
        <v>99</v>
      </c>
      <c r="K214" s="36" t="s">
        <v>962</v>
      </c>
      <c r="L214" s="36" t="s">
        <v>39</v>
      </c>
      <c r="M214" s="37" t="s">
        <v>39</v>
      </c>
      <c r="N214" s="37" t="s">
        <v>1733</v>
      </c>
      <c r="O214" s="38">
        <v>1</v>
      </c>
      <c r="P214" s="38">
        <v>1</v>
      </c>
      <c r="Q214" s="39" t="s">
        <v>1908</v>
      </c>
      <c r="S214" s="1">
        <f t="shared" si="123"/>
        <v>0</v>
      </c>
      <c r="T214" s="1">
        <f t="shared" si="124"/>
        <v>0</v>
      </c>
      <c r="U214" s="1">
        <f t="shared" si="125"/>
        <v>0</v>
      </c>
      <c r="V214" s="1">
        <f t="shared" si="126"/>
        <v>0</v>
      </c>
      <c r="W214" s="1">
        <f t="shared" si="127"/>
        <v>0</v>
      </c>
      <c r="X214" s="1">
        <f t="shared" si="128"/>
        <v>0</v>
      </c>
      <c r="Y214" s="1">
        <f t="shared" si="129"/>
        <v>0</v>
      </c>
      <c r="Z214" s="1">
        <f t="shared" si="130"/>
        <v>0</v>
      </c>
      <c r="AA214" s="1">
        <f t="shared" si="131"/>
        <v>0</v>
      </c>
      <c r="AB214" s="1">
        <f t="shared" si="132"/>
        <v>0</v>
      </c>
      <c r="AD214" s="1">
        <f t="shared" si="133"/>
        <v>1</v>
      </c>
      <c r="AE214" s="1">
        <f t="shared" si="134"/>
        <v>0</v>
      </c>
      <c r="AF214" s="1">
        <f t="shared" si="119"/>
        <v>1</v>
      </c>
      <c r="AG214" s="1">
        <f t="shared" si="120"/>
        <v>0</v>
      </c>
      <c r="AH214" s="1">
        <f t="shared" si="121"/>
        <v>1</v>
      </c>
      <c r="AI214" s="1">
        <f t="shared" si="122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1648</v>
      </c>
      <c r="E215" s="35" t="s">
        <v>1656</v>
      </c>
      <c r="F215" s="35" t="s">
        <v>1683</v>
      </c>
      <c r="G215" s="35" t="s">
        <v>1684</v>
      </c>
      <c r="H215" s="35" t="s">
        <v>354</v>
      </c>
      <c r="I215" s="34" t="s">
        <v>1696</v>
      </c>
      <c r="J215" s="34">
        <v>1</v>
      </c>
      <c r="K215" s="36" t="s">
        <v>958</v>
      </c>
      <c r="L215" s="36" t="s">
        <v>39</v>
      </c>
      <c r="M215" s="37" t="s">
        <v>39</v>
      </c>
      <c r="N215" s="37" t="s">
        <v>1727</v>
      </c>
      <c r="O215" s="38">
        <v>1</v>
      </c>
      <c r="P215" s="38">
        <v>1</v>
      </c>
      <c r="Q215" s="35"/>
      <c r="S215" s="1">
        <f t="shared" si="123"/>
        <v>1</v>
      </c>
      <c r="T215" s="1">
        <f t="shared" si="124"/>
        <v>0</v>
      </c>
      <c r="U215" s="1">
        <f t="shared" si="125"/>
        <v>0</v>
      </c>
      <c r="V215" s="1">
        <f t="shared" si="126"/>
        <v>0</v>
      </c>
      <c r="W215" s="1">
        <f t="shared" si="127"/>
        <v>0</v>
      </c>
      <c r="X215" s="1">
        <f t="shared" si="128"/>
        <v>0</v>
      </c>
      <c r="Y215" s="1">
        <f t="shared" si="129"/>
        <v>0</v>
      </c>
      <c r="Z215" s="1">
        <f t="shared" si="130"/>
        <v>0</v>
      </c>
      <c r="AA215" s="1">
        <f t="shared" si="131"/>
        <v>0</v>
      </c>
      <c r="AB215" s="1">
        <f t="shared" si="132"/>
        <v>0</v>
      </c>
      <c r="AD215" s="1">
        <f t="shared" si="133"/>
        <v>1</v>
      </c>
      <c r="AE215" s="1">
        <f t="shared" si="134"/>
        <v>0</v>
      </c>
      <c r="AF215" s="1">
        <f t="shared" si="119"/>
        <v>1</v>
      </c>
      <c r="AG215" s="1">
        <f t="shared" si="120"/>
        <v>0</v>
      </c>
      <c r="AH215" s="1">
        <f t="shared" si="121"/>
        <v>1</v>
      </c>
      <c r="AI215" s="1">
        <f t="shared" si="122"/>
        <v>0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90</v>
      </c>
      <c r="E216" s="35" t="s">
        <v>168</v>
      </c>
      <c r="F216" s="35" t="s">
        <v>284</v>
      </c>
      <c r="G216" s="35" t="s">
        <v>230</v>
      </c>
      <c r="H216" s="35" t="s">
        <v>354</v>
      </c>
      <c r="I216" s="34" t="s">
        <v>438</v>
      </c>
      <c r="J216" s="34">
        <v>7</v>
      </c>
      <c r="K216" s="36" t="s">
        <v>722</v>
      </c>
      <c r="L216" s="36">
        <v>40</v>
      </c>
      <c r="M216" s="37" t="s">
        <v>39</v>
      </c>
      <c r="N216" s="37" t="s">
        <v>1748</v>
      </c>
      <c r="O216" s="38">
        <v>1</v>
      </c>
      <c r="P216" s="38"/>
      <c r="Q216" s="35"/>
      <c r="S216" s="1">
        <f t="shared" si="123"/>
        <v>0</v>
      </c>
      <c r="T216" s="1">
        <f t="shared" si="124"/>
        <v>0</v>
      </c>
      <c r="U216" s="1">
        <f t="shared" si="125"/>
        <v>0</v>
      </c>
      <c r="V216" s="1">
        <f t="shared" si="126"/>
        <v>0</v>
      </c>
      <c r="W216" s="1">
        <f t="shared" si="127"/>
        <v>0</v>
      </c>
      <c r="X216" s="1">
        <f t="shared" si="128"/>
        <v>0</v>
      </c>
      <c r="Y216" s="1">
        <f t="shared" si="129"/>
        <v>1</v>
      </c>
      <c r="Z216" s="1">
        <f t="shared" si="130"/>
        <v>0</v>
      </c>
      <c r="AA216" s="1">
        <f t="shared" si="131"/>
        <v>0</v>
      </c>
      <c r="AB216" s="1">
        <f t="shared" si="132"/>
        <v>0</v>
      </c>
      <c r="AD216" s="1">
        <f t="shared" si="133"/>
        <v>0</v>
      </c>
      <c r="AE216" s="1">
        <f t="shared" si="134"/>
        <v>1</v>
      </c>
      <c r="AF216" s="1">
        <f t="shared" si="119"/>
        <v>0</v>
      </c>
      <c r="AG216" s="1">
        <f t="shared" si="120"/>
        <v>1</v>
      </c>
      <c r="AH216" s="1">
        <f t="shared" si="121"/>
        <v>0</v>
      </c>
      <c r="AI216" s="1">
        <f t="shared" si="122"/>
        <v>1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91</v>
      </c>
      <c r="E217" s="35" t="s">
        <v>165</v>
      </c>
      <c r="F217" s="39" t="s">
        <v>1871</v>
      </c>
      <c r="G217" s="35" t="s">
        <v>240</v>
      </c>
      <c r="H217" s="35" t="s">
        <v>354</v>
      </c>
      <c r="I217" s="34" t="s">
        <v>439</v>
      </c>
      <c r="J217" s="34">
        <v>1</v>
      </c>
      <c r="K217" s="36" t="s">
        <v>964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23"/>
        <v>1</v>
      </c>
      <c r="T217" s="1">
        <f t="shared" si="124"/>
        <v>0</v>
      </c>
      <c r="U217" s="1">
        <f t="shared" si="125"/>
        <v>0</v>
      </c>
      <c r="V217" s="1">
        <f t="shared" si="126"/>
        <v>0</v>
      </c>
      <c r="W217" s="1">
        <f t="shared" si="127"/>
        <v>0</v>
      </c>
      <c r="X217" s="1">
        <f t="shared" si="128"/>
        <v>0</v>
      </c>
      <c r="Y217" s="1">
        <f t="shared" si="129"/>
        <v>0</v>
      </c>
      <c r="Z217" s="1">
        <f t="shared" si="130"/>
        <v>0</v>
      </c>
      <c r="AA217" s="1">
        <f t="shared" si="131"/>
        <v>0</v>
      </c>
      <c r="AB217" s="1">
        <f t="shared" si="132"/>
        <v>0</v>
      </c>
      <c r="AD217" s="1">
        <f t="shared" si="133"/>
        <v>1</v>
      </c>
      <c r="AE217" s="1">
        <f t="shared" si="134"/>
        <v>0</v>
      </c>
      <c r="AF217" s="1">
        <f t="shared" si="119"/>
        <v>1</v>
      </c>
      <c r="AG217" s="1">
        <f t="shared" si="120"/>
        <v>0</v>
      </c>
      <c r="AH217" s="1">
        <f t="shared" si="121"/>
        <v>1</v>
      </c>
      <c r="AI217" s="1">
        <f t="shared" si="122"/>
        <v>0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92</v>
      </c>
      <c r="E218" s="35" t="s">
        <v>167</v>
      </c>
      <c r="F218" s="35" t="s">
        <v>286</v>
      </c>
      <c r="G218" s="35" t="s">
        <v>200</v>
      </c>
      <c r="H218" s="35" t="s">
        <v>354</v>
      </c>
      <c r="I218" s="34" t="s">
        <v>440</v>
      </c>
      <c r="J218" s="34">
        <v>2</v>
      </c>
      <c r="K218" s="36" t="s">
        <v>962</v>
      </c>
      <c r="L218" s="36" t="s">
        <v>39</v>
      </c>
      <c r="M218" s="37" t="s">
        <v>39</v>
      </c>
      <c r="N218" s="37" t="s">
        <v>1727</v>
      </c>
      <c r="O218" s="38">
        <v>1</v>
      </c>
      <c r="P218" s="38">
        <v>1</v>
      </c>
      <c r="Q218" s="35"/>
      <c r="S218" s="1">
        <f t="shared" si="123"/>
        <v>0</v>
      </c>
      <c r="T218" s="1">
        <f t="shared" si="124"/>
        <v>1</v>
      </c>
      <c r="U218" s="1">
        <f t="shared" si="125"/>
        <v>0</v>
      </c>
      <c r="V218" s="1">
        <f t="shared" si="126"/>
        <v>0</v>
      </c>
      <c r="W218" s="1">
        <f t="shared" si="127"/>
        <v>0</v>
      </c>
      <c r="X218" s="1">
        <f t="shared" si="128"/>
        <v>0</v>
      </c>
      <c r="Y218" s="1">
        <f t="shared" si="129"/>
        <v>0</v>
      </c>
      <c r="Z218" s="1">
        <f t="shared" si="130"/>
        <v>0</v>
      </c>
      <c r="AA218" s="1">
        <f t="shared" si="131"/>
        <v>0</v>
      </c>
      <c r="AB218" s="1">
        <f t="shared" si="132"/>
        <v>0</v>
      </c>
      <c r="AD218" s="1">
        <f t="shared" si="133"/>
        <v>1</v>
      </c>
      <c r="AE218" s="1">
        <f t="shared" si="134"/>
        <v>0</v>
      </c>
      <c r="AF218" s="1">
        <f t="shared" si="119"/>
        <v>1</v>
      </c>
      <c r="AG218" s="1">
        <f t="shared" si="120"/>
        <v>0</v>
      </c>
      <c r="AH218" s="1">
        <f t="shared" si="121"/>
        <v>1</v>
      </c>
      <c r="AI218" s="1">
        <f t="shared" si="122"/>
        <v>0</v>
      </c>
    </row>
    <row r="219" spans="1:35" ht="14.25" customHeight="1" x14ac:dyDescent="0.25">
      <c r="A219" s="47">
        <v>0</v>
      </c>
      <c r="B219" s="47">
        <v>1</v>
      </c>
      <c r="C219" s="47">
        <v>6</v>
      </c>
      <c r="D219" s="48" t="s">
        <v>1276</v>
      </c>
      <c r="E219" s="48" t="s">
        <v>167</v>
      </c>
      <c r="F219" s="48" t="s">
        <v>1148</v>
      </c>
      <c r="G219" s="48" t="s">
        <v>1342</v>
      </c>
      <c r="H219" s="48" t="s">
        <v>354</v>
      </c>
      <c r="I219" s="47" t="s">
        <v>1149</v>
      </c>
      <c r="J219" s="47">
        <v>99</v>
      </c>
      <c r="K219" s="49" t="s">
        <v>702</v>
      </c>
      <c r="L219" s="49">
        <v>45</v>
      </c>
      <c r="M219" s="50" t="s">
        <v>39</v>
      </c>
      <c r="N219" s="50" t="s">
        <v>1735</v>
      </c>
      <c r="O219" s="51"/>
      <c r="P219" s="51"/>
      <c r="Q219" s="48"/>
      <c r="S219" s="1">
        <f t="shared" si="123"/>
        <v>0</v>
      </c>
      <c r="T219" s="1">
        <f t="shared" si="124"/>
        <v>0</v>
      </c>
      <c r="U219" s="1">
        <f t="shared" si="125"/>
        <v>0</v>
      </c>
      <c r="V219" s="1">
        <f t="shared" si="126"/>
        <v>0</v>
      </c>
      <c r="W219" s="1">
        <f t="shared" si="127"/>
        <v>0</v>
      </c>
      <c r="X219" s="1">
        <f t="shared" si="128"/>
        <v>0</v>
      </c>
      <c r="Y219" s="1">
        <f t="shared" si="129"/>
        <v>0</v>
      </c>
      <c r="Z219" s="1">
        <f t="shared" si="130"/>
        <v>0</v>
      </c>
      <c r="AA219" s="1">
        <f t="shared" si="131"/>
        <v>0</v>
      </c>
      <c r="AB219" s="1">
        <f t="shared" si="132"/>
        <v>0</v>
      </c>
      <c r="AD219" s="1">
        <f t="shared" si="133"/>
        <v>0</v>
      </c>
      <c r="AE219" s="1">
        <f t="shared" si="134"/>
        <v>0</v>
      </c>
      <c r="AF219" s="1">
        <f t="shared" si="119"/>
        <v>0</v>
      </c>
      <c r="AG219" s="1">
        <f t="shared" si="120"/>
        <v>0</v>
      </c>
      <c r="AH219" s="1">
        <f t="shared" si="121"/>
        <v>0</v>
      </c>
      <c r="AI219" s="1">
        <f t="shared" si="122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1791</v>
      </c>
      <c r="E220" s="35" t="s">
        <v>167</v>
      </c>
      <c r="F220" s="35" t="s">
        <v>1766</v>
      </c>
      <c r="G220" s="35"/>
      <c r="H220" s="35" t="s">
        <v>354</v>
      </c>
      <c r="I220" s="34" t="s">
        <v>1767</v>
      </c>
      <c r="J220" s="34"/>
      <c r="K220" s="36" t="s">
        <v>703</v>
      </c>
      <c r="L220" s="36"/>
      <c r="M220" s="37"/>
      <c r="N220" s="37" t="s">
        <v>1727</v>
      </c>
      <c r="O220" s="38">
        <v>1</v>
      </c>
      <c r="P220" s="38">
        <v>1</v>
      </c>
      <c r="Q220" s="35"/>
      <c r="S220" s="1">
        <f t="shared" si="123"/>
        <v>0</v>
      </c>
      <c r="T220" s="1">
        <f t="shared" si="124"/>
        <v>0</v>
      </c>
      <c r="U220" s="1">
        <f t="shared" si="125"/>
        <v>0</v>
      </c>
      <c r="V220" s="1">
        <f t="shared" si="126"/>
        <v>0</v>
      </c>
      <c r="W220" s="1">
        <f t="shared" si="127"/>
        <v>0</v>
      </c>
      <c r="X220" s="1">
        <f t="shared" si="128"/>
        <v>0</v>
      </c>
      <c r="Y220" s="1">
        <f t="shared" si="129"/>
        <v>0</v>
      </c>
      <c r="Z220" s="1">
        <f t="shared" si="130"/>
        <v>0</v>
      </c>
      <c r="AA220" s="1">
        <f t="shared" si="131"/>
        <v>0</v>
      </c>
      <c r="AB220" s="1">
        <f t="shared" si="132"/>
        <v>0</v>
      </c>
      <c r="AD220" s="1">
        <f t="shared" si="133"/>
        <v>1</v>
      </c>
      <c r="AE220" s="1">
        <f t="shared" si="134"/>
        <v>0</v>
      </c>
      <c r="AF220" s="1">
        <f t="shared" si="119"/>
        <v>1</v>
      </c>
      <c r="AG220" s="1">
        <f t="shared" si="120"/>
        <v>0</v>
      </c>
      <c r="AH220" s="1">
        <f t="shared" si="121"/>
        <v>1</v>
      </c>
      <c r="AI220" s="1">
        <f t="shared" si="122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1014</v>
      </c>
      <c r="E221" s="35" t="s">
        <v>167</v>
      </c>
      <c r="F221" s="35" t="s">
        <v>1015</v>
      </c>
      <c r="G221" s="35" t="s">
        <v>1103</v>
      </c>
      <c r="H221" s="35" t="s">
        <v>354</v>
      </c>
      <c r="I221" s="34" t="s">
        <v>1016</v>
      </c>
      <c r="J221" s="34">
        <v>99</v>
      </c>
      <c r="K221" s="36" t="s">
        <v>964</v>
      </c>
      <c r="L221" s="36" t="s">
        <v>39</v>
      </c>
      <c r="M221" s="37" t="s">
        <v>39</v>
      </c>
      <c r="N221" s="37" t="s">
        <v>1727</v>
      </c>
      <c r="O221" s="38">
        <v>1</v>
      </c>
      <c r="P221" s="38">
        <v>1</v>
      </c>
      <c r="Q221" s="35"/>
      <c r="S221" s="1">
        <f t="shared" si="123"/>
        <v>0</v>
      </c>
      <c r="T221" s="1">
        <f t="shared" si="124"/>
        <v>0</v>
      </c>
      <c r="U221" s="1">
        <f t="shared" si="125"/>
        <v>0</v>
      </c>
      <c r="V221" s="1">
        <f t="shared" si="126"/>
        <v>0</v>
      </c>
      <c r="W221" s="1">
        <f t="shared" si="127"/>
        <v>0</v>
      </c>
      <c r="X221" s="1">
        <f t="shared" si="128"/>
        <v>0</v>
      </c>
      <c r="Y221" s="1">
        <f t="shared" si="129"/>
        <v>0</v>
      </c>
      <c r="Z221" s="1">
        <f t="shared" si="130"/>
        <v>0</v>
      </c>
      <c r="AA221" s="1">
        <f t="shared" si="131"/>
        <v>0</v>
      </c>
      <c r="AB221" s="1">
        <f t="shared" si="132"/>
        <v>0</v>
      </c>
      <c r="AD221" s="1">
        <f t="shared" si="133"/>
        <v>1</v>
      </c>
      <c r="AE221" s="1">
        <f t="shared" si="134"/>
        <v>0</v>
      </c>
      <c r="AF221" s="1">
        <f t="shared" si="119"/>
        <v>1</v>
      </c>
      <c r="AG221" s="1">
        <f t="shared" si="120"/>
        <v>0</v>
      </c>
      <c r="AH221" s="1">
        <f t="shared" si="121"/>
        <v>1</v>
      </c>
      <c r="AI221" s="1">
        <f t="shared" si="122"/>
        <v>0</v>
      </c>
    </row>
    <row r="222" spans="1:35" ht="14.25" customHeight="1" x14ac:dyDescent="0.25">
      <c r="A222" s="34">
        <v>0</v>
      </c>
      <c r="B222" s="34">
        <v>1</v>
      </c>
      <c r="C222" s="34">
        <v>6</v>
      </c>
      <c r="D222" s="35" t="s">
        <v>94</v>
      </c>
      <c r="E222" s="35" t="s">
        <v>169</v>
      </c>
      <c r="F222" s="35" t="s">
        <v>289</v>
      </c>
      <c r="G222" s="35" t="s">
        <v>194</v>
      </c>
      <c r="H222" s="35" t="s">
        <v>354</v>
      </c>
      <c r="I222" s="34" t="s">
        <v>442</v>
      </c>
      <c r="J222" s="34">
        <v>9</v>
      </c>
      <c r="K222" s="36" t="s">
        <v>702</v>
      </c>
      <c r="L222" s="36" t="s">
        <v>694</v>
      </c>
      <c r="M222" s="37" t="s">
        <v>706</v>
      </c>
      <c r="N222" s="37" t="s">
        <v>1748</v>
      </c>
      <c r="O222" s="38">
        <v>1</v>
      </c>
      <c r="P222" s="38"/>
      <c r="Q222" s="35"/>
      <c r="S222" s="1">
        <f t="shared" si="123"/>
        <v>0</v>
      </c>
      <c r="T222" s="1">
        <f t="shared" si="124"/>
        <v>0</v>
      </c>
      <c r="U222" s="1">
        <f t="shared" si="125"/>
        <v>0</v>
      </c>
      <c r="V222" s="1">
        <f t="shared" si="126"/>
        <v>0</v>
      </c>
      <c r="W222" s="1">
        <f t="shared" si="127"/>
        <v>0</v>
      </c>
      <c r="X222" s="1">
        <f t="shared" si="128"/>
        <v>0</v>
      </c>
      <c r="Y222" s="1">
        <f t="shared" si="129"/>
        <v>0</v>
      </c>
      <c r="Z222" s="1">
        <f t="shared" si="130"/>
        <v>0</v>
      </c>
      <c r="AA222" s="1">
        <f t="shared" si="131"/>
        <v>1</v>
      </c>
      <c r="AB222" s="1">
        <f t="shared" si="132"/>
        <v>0</v>
      </c>
      <c r="AD222" s="1">
        <f t="shared" si="133"/>
        <v>0</v>
      </c>
      <c r="AE222" s="1">
        <f t="shared" si="134"/>
        <v>1</v>
      </c>
      <c r="AF222" s="1">
        <f t="shared" si="119"/>
        <v>0</v>
      </c>
      <c r="AG222" s="1">
        <f t="shared" si="120"/>
        <v>1</v>
      </c>
      <c r="AH222" s="1">
        <f t="shared" si="121"/>
        <v>0</v>
      </c>
      <c r="AI222" s="1">
        <f t="shared" si="122"/>
        <v>1</v>
      </c>
    </row>
    <row r="223" spans="1:35" ht="14.25" customHeight="1" x14ac:dyDescent="0.25">
      <c r="A223" s="41">
        <v>0</v>
      </c>
      <c r="B223" s="41">
        <v>1</v>
      </c>
      <c r="C223" s="41">
        <v>6</v>
      </c>
      <c r="D223" s="57" t="s">
        <v>1609</v>
      </c>
      <c r="E223" s="42" t="s">
        <v>1610</v>
      </c>
      <c r="F223" s="42" t="s">
        <v>1611</v>
      </c>
      <c r="G223" s="42" t="s">
        <v>192</v>
      </c>
      <c r="H223" s="42" t="s">
        <v>354</v>
      </c>
      <c r="I223" s="41" t="s">
        <v>1612</v>
      </c>
      <c r="J223" s="41">
        <v>10</v>
      </c>
      <c r="K223" s="43" t="s">
        <v>956</v>
      </c>
      <c r="L223" s="43" t="s">
        <v>687</v>
      </c>
      <c r="M223" s="44" t="s">
        <v>1613</v>
      </c>
      <c r="N223" s="45"/>
      <c r="O223" s="46"/>
      <c r="P223" s="46">
        <v>1</v>
      </c>
      <c r="Q223" s="42"/>
      <c r="S223" s="1">
        <f t="shared" si="123"/>
        <v>0</v>
      </c>
      <c r="T223" s="1">
        <f t="shared" si="124"/>
        <v>0</v>
      </c>
      <c r="U223" s="1">
        <f t="shared" si="125"/>
        <v>0</v>
      </c>
      <c r="V223" s="1">
        <f t="shared" si="126"/>
        <v>0</v>
      </c>
      <c r="W223" s="1">
        <f t="shared" si="127"/>
        <v>0</v>
      </c>
      <c r="X223" s="1">
        <f t="shared" si="128"/>
        <v>0</v>
      </c>
      <c r="Y223" s="1">
        <f t="shared" si="129"/>
        <v>0</v>
      </c>
      <c r="Z223" s="1">
        <f t="shared" si="130"/>
        <v>0</v>
      </c>
      <c r="AA223" s="1">
        <f t="shared" si="131"/>
        <v>0</v>
      </c>
      <c r="AB223" s="1">
        <f t="shared" si="132"/>
        <v>1</v>
      </c>
      <c r="AD223" s="1">
        <f t="shared" si="133"/>
        <v>0</v>
      </c>
      <c r="AE223" s="1">
        <f t="shared" si="134"/>
        <v>0</v>
      </c>
      <c r="AF223" s="1">
        <f t="shared" si="119"/>
        <v>0</v>
      </c>
      <c r="AG223" s="1">
        <f t="shared" si="120"/>
        <v>0</v>
      </c>
      <c r="AH223" s="1">
        <f t="shared" si="121"/>
        <v>1</v>
      </c>
      <c r="AI223" s="1">
        <f t="shared" si="122"/>
        <v>0</v>
      </c>
    </row>
    <row r="224" spans="1:35" ht="14.25" customHeight="1" x14ac:dyDescent="0.25">
      <c r="A224" s="47">
        <v>0</v>
      </c>
      <c r="B224" s="47">
        <v>1</v>
      </c>
      <c r="C224" s="47">
        <v>6</v>
      </c>
      <c r="D224" s="48" t="s">
        <v>95</v>
      </c>
      <c r="E224" s="48" t="s">
        <v>165</v>
      </c>
      <c r="F224" s="48" t="s">
        <v>290</v>
      </c>
      <c r="G224" s="48" t="s">
        <v>291</v>
      </c>
      <c r="H224" s="48" t="s">
        <v>354</v>
      </c>
      <c r="I224" s="47" t="s">
        <v>443</v>
      </c>
      <c r="J224" s="47">
        <v>7</v>
      </c>
      <c r="K224" s="49" t="s">
        <v>702</v>
      </c>
      <c r="L224" s="49" t="s">
        <v>694</v>
      </c>
      <c r="M224" s="50" t="s">
        <v>698</v>
      </c>
      <c r="N224" s="50" t="s">
        <v>1734</v>
      </c>
      <c r="O224" s="51"/>
      <c r="P224" s="51"/>
      <c r="Q224" s="48"/>
      <c r="S224" s="1">
        <f t="shared" si="123"/>
        <v>0</v>
      </c>
      <c r="T224" s="1">
        <f t="shared" si="124"/>
        <v>0</v>
      </c>
      <c r="U224" s="1">
        <f t="shared" si="125"/>
        <v>0</v>
      </c>
      <c r="V224" s="1">
        <f t="shared" si="126"/>
        <v>0</v>
      </c>
      <c r="W224" s="1">
        <f t="shared" si="127"/>
        <v>0</v>
      </c>
      <c r="X224" s="1">
        <f t="shared" si="128"/>
        <v>0</v>
      </c>
      <c r="Y224" s="1">
        <f t="shared" si="129"/>
        <v>1</v>
      </c>
      <c r="Z224" s="1">
        <f t="shared" si="130"/>
        <v>0</v>
      </c>
      <c r="AA224" s="1">
        <f t="shared" si="131"/>
        <v>0</v>
      </c>
      <c r="AB224" s="1">
        <f t="shared" si="132"/>
        <v>0</v>
      </c>
      <c r="AD224" s="1">
        <f t="shared" si="133"/>
        <v>0</v>
      </c>
      <c r="AE224" s="1">
        <f t="shared" si="134"/>
        <v>0</v>
      </c>
      <c r="AF224" s="1">
        <f t="shared" si="119"/>
        <v>0</v>
      </c>
      <c r="AG224" s="1">
        <f t="shared" si="120"/>
        <v>0</v>
      </c>
      <c r="AH224" s="1">
        <f t="shared" si="121"/>
        <v>0</v>
      </c>
      <c r="AI224" s="1">
        <f t="shared" si="122"/>
        <v>1</v>
      </c>
    </row>
    <row r="225" spans="1:16384" ht="14.25" customHeight="1" x14ac:dyDescent="0.25">
      <c r="A225" s="34">
        <v>0</v>
      </c>
      <c r="B225" s="34">
        <v>1</v>
      </c>
      <c r="C225" s="34">
        <v>6</v>
      </c>
      <c r="D225" s="35" t="s">
        <v>1085</v>
      </c>
      <c r="E225" s="35" t="s">
        <v>167</v>
      </c>
      <c r="F225" s="35" t="s">
        <v>660</v>
      </c>
      <c r="G225" s="35" t="s">
        <v>179</v>
      </c>
      <c r="H225" s="35" t="s">
        <v>354</v>
      </c>
      <c r="I225" s="34" t="s">
        <v>381</v>
      </c>
      <c r="J225" s="34">
        <v>10</v>
      </c>
      <c r="K225" s="36" t="s">
        <v>722</v>
      </c>
      <c r="L225" s="36" t="s">
        <v>704</v>
      </c>
      <c r="M225" s="37" t="s">
        <v>707</v>
      </c>
      <c r="N225" s="37" t="s">
        <v>1750</v>
      </c>
      <c r="O225" s="38">
        <v>1</v>
      </c>
      <c r="P225" s="38"/>
      <c r="Q225" s="35"/>
      <c r="S225" s="1">
        <f t="shared" si="123"/>
        <v>0</v>
      </c>
      <c r="T225" s="1">
        <f t="shared" si="124"/>
        <v>0</v>
      </c>
      <c r="U225" s="1">
        <f t="shared" si="125"/>
        <v>0</v>
      </c>
      <c r="V225" s="1">
        <f t="shared" si="126"/>
        <v>0</v>
      </c>
      <c r="W225" s="1">
        <f t="shared" si="127"/>
        <v>0</v>
      </c>
      <c r="X225" s="1">
        <f t="shared" si="128"/>
        <v>0</v>
      </c>
      <c r="Y225" s="1">
        <f t="shared" si="129"/>
        <v>0</v>
      </c>
      <c r="Z225" s="1">
        <f t="shared" si="130"/>
        <v>0</v>
      </c>
      <c r="AA225" s="1">
        <f t="shared" si="131"/>
        <v>0</v>
      </c>
      <c r="AB225" s="1">
        <f t="shared" si="132"/>
        <v>1</v>
      </c>
      <c r="AD225" s="1">
        <f t="shared" si="133"/>
        <v>0</v>
      </c>
      <c r="AE225" s="1">
        <f t="shared" si="134"/>
        <v>1</v>
      </c>
      <c r="AF225" s="1">
        <f t="shared" si="119"/>
        <v>0</v>
      </c>
      <c r="AG225" s="1">
        <f t="shared" si="120"/>
        <v>1</v>
      </c>
      <c r="AH225" s="1">
        <f t="shared" si="121"/>
        <v>0</v>
      </c>
      <c r="AI225" s="1">
        <f t="shared" si="122"/>
        <v>1</v>
      </c>
    </row>
    <row r="226" spans="1:16384" ht="14.25" customHeight="1" x14ac:dyDescent="0.25">
      <c r="A226" s="34">
        <v>0</v>
      </c>
      <c r="B226" s="34">
        <v>1</v>
      </c>
      <c r="C226" s="34">
        <v>6</v>
      </c>
      <c r="D226" s="35" t="s">
        <v>1229</v>
      </c>
      <c r="E226" s="35" t="s">
        <v>165</v>
      </c>
      <c r="F226" s="35" t="s">
        <v>1230</v>
      </c>
      <c r="G226" s="35" t="s">
        <v>1232</v>
      </c>
      <c r="H226" s="35" t="s">
        <v>354</v>
      </c>
      <c r="I226" s="34" t="s">
        <v>1231</v>
      </c>
      <c r="J226" s="34">
        <v>99</v>
      </c>
      <c r="K226" s="36" t="s">
        <v>722</v>
      </c>
      <c r="L226" s="36" t="s">
        <v>693</v>
      </c>
      <c r="M226" s="37" t="s">
        <v>1401</v>
      </c>
      <c r="N226" s="37" t="s">
        <v>1743</v>
      </c>
      <c r="O226" s="38">
        <v>1</v>
      </c>
      <c r="P226" s="38"/>
      <c r="Q226" s="35"/>
      <c r="R226" s="34"/>
      <c r="S226" s="34">
        <f t="shared" si="123"/>
        <v>0</v>
      </c>
      <c r="T226" s="34">
        <f t="shared" si="124"/>
        <v>0</v>
      </c>
      <c r="U226" s="35">
        <f t="shared" si="125"/>
        <v>0</v>
      </c>
      <c r="V226" s="35">
        <f t="shared" si="126"/>
        <v>0</v>
      </c>
      <c r="W226" s="35">
        <f t="shared" si="127"/>
        <v>0</v>
      </c>
      <c r="X226" s="35">
        <f t="shared" si="128"/>
        <v>0</v>
      </c>
      <c r="Y226" s="35">
        <f t="shared" si="129"/>
        <v>0</v>
      </c>
      <c r="Z226" s="34">
        <f t="shared" si="130"/>
        <v>0</v>
      </c>
      <c r="AA226" s="34">
        <f t="shared" si="131"/>
        <v>0</v>
      </c>
      <c r="AB226" s="36">
        <f t="shared" si="132"/>
        <v>0</v>
      </c>
      <c r="AC226" s="36"/>
      <c r="AD226" s="37">
        <f t="shared" si="133"/>
        <v>0</v>
      </c>
      <c r="AE226" s="37">
        <f t="shared" si="134"/>
        <v>1</v>
      </c>
      <c r="AF226" s="38">
        <f t="shared" si="119"/>
        <v>0</v>
      </c>
      <c r="AG226" s="38">
        <f t="shared" si="120"/>
        <v>1</v>
      </c>
      <c r="AH226" s="39">
        <f t="shared" si="121"/>
        <v>0</v>
      </c>
      <c r="AI226" s="34">
        <f t="shared" si="122"/>
        <v>1</v>
      </c>
      <c r="AJ226" s="34"/>
      <c r="AK226" s="34"/>
      <c r="AL226" s="35"/>
      <c r="AM226" s="35"/>
      <c r="AN226" s="35"/>
      <c r="AO226" s="35"/>
      <c r="AP226" s="35"/>
      <c r="AQ226" s="34"/>
      <c r="AR226" s="34"/>
      <c r="AS226" s="36"/>
      <c r="AT226" s="36"/>
      <c r="AU226" s="37"/>
      <c r="AV226" s="37"/>
      <c r="AW226" s="38"/>
      <c r="AX226" s="38"/>
      <c r="AY226" s="39"/>
      <c r="AZ226" s="34"/>
      <c r="BA226" s="34"/>
      <c r="BB226" s="34"/>
      <c r="BC226" s="35"/>
      <c r="BD226" s="35"/>
      <c r="BE226" s="35"/>
      <c r="BF226" s="35"/>
      <c r="BG226" s="35"/>
      <c r="BH226" s="34"/>
      <c r="BI226" s="34"/>
      <c r="BJ226" s="36"/>
      <c r="BK226" s="36"/>
      <c r="BL226" s="37"/>
      <c r="BM226" s="37"/>
      <c r="BN226" s="38"/>
      <c r="BO226" s="38"/>
      <c r="BP226" s="39"/>
      <c r="BQ226" s="34"/>
      <c r="BR226" s="34"/>
      <c r="BS226" s="34"/>
      <c r="BT226" s="35"/>
      <c r="BU226" s="35"/>
      <c r="BV226" s="35"/>
      <c r="BW226" s="35"/>
      <c r="BX226" s="35"/>
      <c r="BY226" s="34"/>
      <c r="BZ226" s="34"/>
      <c r="CA226" s="36"/>
      <c r="CB226" s="36"/>
      <c r="CC226" s="37"/>
      <c r="CD226" s="37"/>
      <c r="CE226" s="38"/>
      <c r="CF226" s="38"/>
      <c r="CG226" s="39"/>
      <c r="CH226" s="34"/>
      <c r="CI226" s="34"/>
      <c r="CJ226" s="34"/>
      <c r="CK226" s="35"/>
      <c r="CL226" s="35"/>
      <c r="CM226" s="35"/>
      <c r="CN226" s="35"/>
      <c r="CO226" s="35"/>
      <c r="CP226" s="34"/>
      <c r="CQ226" s="34"/>
      <c r="CR226" s="36"/>
      <c r="CS226" s="36"/>
      <c r="CT226" s="37"/>
      <c r="CU226" s="37"/>
      <c r="CV226" s="38"/>
      <c r="CW226" s="38"/>
      <c r="CX226" s="39"/>
      <c r="CY226" s="34"/>
      <c r="CZ226" s="34"/>
      <c r="DA226" s="34"/>
      <c r="DB226" s="35"/>
      <c r="DC226" s="35"/>
      <c r="DD226" s="35"/>
      <c r="DE226" s="35"/>
      <c r="DF226" s="35"/>
      <c r="DG226" s="34"/>
      <c r="DH226" s="34"/>
      <c r="DI226" s="36"/>
      <c r="DJ226" s="36"/>
      <c r="DK226" s="37"/>
      <c r="DL226" s="37"/>
      <c r="DM226" s="38"/>
      <c r="DN226" s="38"/>
      <c r="DO226" s="39"/>
      <c r="DP226" s="34"/>
      <c r="DQ226" s="34"/>
      <c r="DR226" s="34"/>
      <c r="DS226" s="35"/>
      <c r="DT226" s="35"/>
      <c r="DU226" s="35"/>
      <c r="DV226" s="35"/>
      <c r="DW226" s="35"/>
      <c r="DX226" s="34"/>
      <c r="DY226" s="34"/>
      <c r="DZ226" s="36"/>
      <c r="EA226" s="36"/>
      <c r="EB226" s="37"/>
      <c r="EC226" s="37"/>
      <c r="ED226" s="38"/>
      <c r="EE226" s="38"/>
      <c r="EF226" s="39"/>
      <c r="EG226" s="34"/>
      <c r="EH226" s="34"/>
      <c r="EI226" s="34"/>
      <c r="EJ226" s="35"/>
      <c r="EK226" s="35"/>
      <c r="EL226" s="35"/>
      <c r="EM226" s="35"/>
      <c r="EN226" s="35"/>
      <c r="EO226" s="34"/>
      <c r="EP226" s="34"/>
      <c r="EQ226" s="36"/>
      <c r="ER226" s="36"/>
      <c r="ES226" s="37"/>
      <c r="ET226" s="37"/>
      <c r="EU226" s="38"/>
      <c r="EV226" s="38"/>
      <c r="EW226" s="39"/>
      <c r="EX226" s="34"/>
      <c r="EY226" s="34"/>
      <c r="EZ226" s="34"/>
      <c r="FA226" s="35"/>
      <c r="FB226" s="35"/>
      <c r="FC226" s="35"/>
      <c r="FD226" s="35"/>
      <c r="FE226" s="35"/>
      <c r="FF226" s="34"/>
      <c r="FG226" s="34"/>
      <c r="FH226" s="36"/>
      <c r="FI226" s="36"/>
      <c r="FJ226" s="37"/>
      <c r="FK226" s="37"/>
      <c r="FL226" s="38"/>
      <c r="FM226" s="38"/>
      <c r="FN226" s="39"/>
      <c r="FO226" s="34"/>
      <c r="FP226" s="34"/>
      <c r="FQ226" s="34"/>
      <c r="FR226" s="35"/>
      <c r="FS226" s="35"/>
      <c r="FT226" s="35"/>
      <c r="FU226" s="35"/>
      <c r="FV226" s="35"/>
      <c r="FW226" s="34"/>
      <c r="FX226" s="34"/>
      <c r="FY226" s="36"/>
      <c r="FZ226" s="36"/>
      <c r="GA226" s="37"/>
      <c r="GB226" s="37"/>
      <c r="GC226" s="38"/>
      <c r="GD226" s="38"/>
      <c r="GE226" s="39"/>
      <c r="GF226" s="34"/>
      <c r="GG226" s="34"/>
      <c r="GH226" s="34"/>
      <c r="GI226" s="35"/>
      <c r="GJ226" s="35"/>
      <c r="GK226" s="35"/>
      <c r="GL226" s="35"/>
      <c r="GM226" s="35"/>
      <c r="GN226" s="34"/>
      <c r="GO226" s="34"/>
      <c r="GP226" s="36"/>
      <c r="GQ226" s="36"/>
      <c r="GR226" s="37"/>
      <c r="GS226" s="37"/>
      <c r="GT226" s="38"/>
      <c r="GU226" s="38"/>
      <c r="GV226" s="39"/>
      <c r="GW226" s="34"/>
      <c r="GX226" s="34"/>
      <c r="GY226" s="34"/>
      <c r="GZ226" s="35"/>
      <c r="HA226" s="35"/>
      <c r="HB226" s="35"/>
      <c r="HC226" s="35"/>
      <c r="HD226" s="35"/>
      <c r="HE226" s="34"/>
      <c r="HF226" s="34"/>
      <c r="HG226" s="36"/>
      <c r="HH226" s="36"/>
      <c r="HI226" s="37"/>
      <c r="HJ226" s="37"/>
      <c r="HK226" s="38"/>
      <c r="HL226" s="38"/>
      <c r="HM226" s="39"/>
      <c r="HN226" s="34"/>
      <c r="HO226" s="34"/>
      <c r="HP226" s="34"/>
      <c r="HQ226" s="35"/>
      <c r="HR226" s="35"/>
      <c r="HS226" s="35"/>
      <c r="HT226" s="35"/>
      <c r="HU226" s="35"/>
      <c r="HV226" s="34"/>
      <c r="HW226" s="34"/>
      <c r="HX226" s="36"/>
      <c r="HY226" s="36"/>
      <c r="HZ226" s="37"/>
      <c r="IA226" s="37"/>
      <c r="IB226" s="38"/>
      <c r="IC226" s="38"/>
      <c r="ID226" s="39"/>
      <c r="IE226" s="34"/>
      <c r="IF226" s="34"/>
      <c r="IG226" s="34"/>
      <c r="IH226" s="35"/>
      <c r="II226" s="35"/>
      <c r="IJ226" s="35"/>
      <c r="IK226" s="35"/>
      <c r="IL226" s="35"/>
      <c r="IM226" s="34"/>
      <c r="IN226" s="34"/>
      <c r="IO226" s="36"/>
      <c r="IP226" s="36"/>
      <c r="IQ226" s="37"/>
      <c r="IR226" s="37"/>
      <c r="IS226" s="38"/>
      <c r="IT226" s="38"/>
      <c r="IU226" s="39"/>
      <c r="IV226" s="34"/>
      <c r="IW226" s="34"/>
      <c r="IX226" s="34"/>
      <c r="IY226" s="35"/>
      <c r="IZ226" s="35"/>
      <c r="JA226" s="35"/>
      <c r="JB226" s="35"/>
      <c r="JC226" s="35"/>
      <c r="JD226" s="34"/>
      <c r="JE226" s="34"/>
      <c r="JF226" s="36"/>
      <c r="JG226" s="36"/>
      <c r="JH226" s="37"/>
      <c r="JI226" s="37"/>
      <c r="JJ226" s="38"/>
      <c r="JK226" s="38"/>
      <c r="JL226" s="39"/>
      <c r="JM226" s="34"/>
      <c r="JN226" s="34"/>
      <c r="JO226" s="34"/>
      <c r="JP226" s="35"/>
      <c r="JQ226" s="35"/>
      <c r="JR226" s="35"/>
      <c r="JS226" s="35"/>
      <c r="JT226" s="35"/>
      <c r="JU226" s="34"/>
      <c r="JV226" s="34"/>
      <c r="JW226" s="36"/>
      <c r="JX226" s="36"/>
      <c r="JY226" s="37"/>
      <c r="JZ226" s="37"/>
      <c r="KA226" s="38"/>
      <c r="KB226" s="38"/>
      <c r="KC226" s="39"/>
      <c r="KD226" s="34"/>
      <c r="KE226" s="34"/>
      <c r="KF226" s="34"/>
      <c r="KG226" s="35"/>
      <c r="KH226" s="35"/>
      <c r="KI226" s="35"/>
      <c r="KJ226" s="35"/>
      <c r="KK226" s="35"/>
      <c r="KL226" s="34"/>
      <c r="KM226" s="34"/>
      <c r="KN226" s="36"/>
      <c r="KO226" s="36"/>
      <c r="KP226" s="37"/>
      <c r="KQ226" s="37"/>
      <c r="KR226" s="38"/>
      <c r="KS226" s="38"/>
      <c r="KT226" s="39"/>
      <c r="KU226" s="34"/>
      <c r="KV226" s="34"/>
      <c r="KW226" s="34"/>
      <c r="KX226" s="35"/>
      <c r="KY226" s="35"/>
      <c r="KZ226" s="35"/>
      <c r="LA226" s="35"/>
      <c r="LB226" s="35"/>
      <c r="LC226" s="34"/>
      <c r="LD226" s="34"/>
      <c r="LE226" s="36"/>
      <c r="LF226" s="36"/>
      <c r="LG226" s="37"/>
      <c r="LH226" s="37"/>
      <c r="LI226" s="38"/>
      <c r="LJ226" s="38"/>
      <c r="LK226" s="39"/>
      <c r="LL226" s="34"/>
      <c r="LM226" s="34"/>
      <c r="LN226" s="34"/>
      <c r="LO226" s="35"/>
      <c r="LP226" s="35"/>
      <c r="LQ226" s="35"/>
      <c r="LR226" s="35"/>
      <c r="LS226" s="35"/>
      <c r="LT226" s="34"/>
      <c r="LU226" s="34"/>
      <c r="LV226" s="36"/>
      <c r="LW226" s="36"/>
      <c r="LX226" s="37"/>
      <c r="LY226" s="37"/>
      <c r="LZ226" s="38"/>
      <c r="MA226" s="38"/>
      <c r="MB226" s="39"/>
      <c r="MC226" s="34"/>
      <c r="MD226" s="34"/>
      <c r="ME226" s="34"/>
      <c r="MF226" s="35"/>
      <c r="MG226" s="35"/>
      <c r="MH226" s="35"/>
      <c r="MI226" s="35"/>
      <c r="MJ226" s="35"/>
      <c r="MK226" s="34"/>
      <c r="ML226" s="34"/>
      <c r="MM226" s="36"/>
      <c r="MN226" s="36"/>
      <c r="MO226" s="37"/>
      <c r="MP226" s="37"/>
      <c r="MQ226" s="38"/>
      <c r="MR226" s="38"/>
      <c r="MS226" s="39"/>
      <c r="MT226" s="34"/>
      <c r="MU226" s="34"/>
      <c r="MV226" s="34"/>
      <c r="MW226" s="35"/>
      <c r="MX226" s="35"/>
      <c r="MY226" s="35"/>
      <c r="MZ226" s="35"/>
      <c r="NA226" s="35"/>
      <c r="NB226" s="34"/>
      <c r="NC226" s="34"/>
      <c r="ND226" s="36"/>
      <c r="NE226" s="36"/>
      <c r="NF226" s="37"/>
      <c r="NG226" s="37"/>
      <c r="NH226" s="38"/>
      <c r="NI226" s="38"/>
      <c r="NJ226" s="39"/>
      <c r="NK226" s="34"/>
      <c r="NL226" s="34"/>
      <c r="NM226" s="34"/>
      <c r="NN226" s="35"/>
      <c r="NO226" s="35"/>
      <c r="NP226" s="35"/>
      <c r="NQ226" s="35"/>
      <c r="NR226" s="35"/>
      <c r="NS226" s="34"/>
      <c r="NT226" s="34"/>
      <c r="NU226" s="36"/>
      <c r="NV226" s="36"/>
      <c r="NW226" s="37"/>
      <c r="NX226" s="37"/>
      <c r="NY226" s="38"/>
      <c r="NZ226" s="38"/>
      <c r="OA226" s="39"/>
      <c r="OB226" s="34"/>
      <c r="OC226" s="34"/>
      <c r="OD226" s="34"/>
      <c r="OE226" s="35"/>
      <c r="OF226" s="35"/>
      <c r="OG226" s="35"/>
      <c r="OH226" s="35"/>
      <c r="OI226" s="35"/>
      <c r="OJ226" s="34"/>
      <c r="OK226" s="34"/>
      <c r="OL226" s="36"/>
      <c r="OM226" s="36"/>
      <c r="ON226" s="37"/>
      <c r="OO226" s="37"/>
      <c r="OP226" s="38"/>
      <c r="OQ226" s="38"/>
      <c r="OR226" s="39"/>
      <c r="OS226" s="34"/>
      <c r="OT226" s="34"/>
      <c r="OU226" s="34"/>
      <c r="OV226" s="35"/>
      <c r="OW226" s="35"/>
      <c r="OX226" s="35"/>
      <c r="OY226" s="35"/>
      <c r="OZ226" s="35"/>
      <c r="PA226" s="34"/>
      <c r="PB226" s="34"/>
      <c r="PC226" s="36"/>
      <c r="PD226" s="36"/>
      <c r="PE226" s="37"/>
      <c r="PF226" s="37"/>
      <c r="PG226" s="38"/>
      <c r="PH226" s="38"/>
      <c r="PI226" s="39"/>
      <c r="PJ226" s="34"/>
      <c r="PK226" s="34"/>
      <c r="PL226" s="34"/>
      <c r="PM226" s="35"/>
      <c r="PN226" s="35"/>
      <c r="PO226" s="35"/>
      <c r="PP226" s="35"/>
      <c r="PQ226" s="35"/>
      <c r="PR226" s="34"/>
      <c r="PS226" s="34"/>
      <c r="PT226" s="36"/>
      <c r="PU226" s="36"/>
      <c r="PV226" s="37"/>
      <c r="PW226" s="37"/>
      <c r="PX226" s="38"/>
      <c r="PY226" s="38"/>
      <c r="PZ226" s="39"/>
      <c r="QA226" s="34"/>
      <c r="QB226" s="34"/>
      <c r="QC226" s="34"/>
      <c r="QD226" s="35"/>
      <c r="QE226" s="35"/>
      <c r="QF226" s="35"/>
      <c r="QG226" s="35"/>
      <c r="QH226" s="35"/>
      <c r="QI226" s="34"/>
      <c r="QJ226" s="34"/>
      <c r="QK226" s="36"/>
      <c r="QL226" s="36"/>
      <c r="QM226" s="37"/>
      <c r="QN226" s="37"/>
      <c r="QO226" s="38"/>
      <c r="QP226" s="38"/>
      <c r="QQ226" s="39"/>
      <c r="QR226" s="34"/>
      <c r="QS226" s="34"/>
      <c r="QT226" s="34"/>
      <c r="QU226" s="35"/>
      <c r="QV226" s="35"/>
      <c r="QW226" s="35"/>
      <c r="QX226" s="35"/>
      <c r="QY226" s="35"/>
      <c r="QZ226" s="34"/>
      <c r="RA226" s="34"/>
      <c r="RB226" s="36"/>
      <c r="RC226" s="36"/>
      <c r="RD226" s="37"/>
      <c r="RE226" s="37"/>
      <c r="RF226" s="38"/>
      <c r="RG226" s="38"/>
      <c r="RH226" s="39"/>
      <c r="RI226" s="34"/>
      <c r="RJ226" s="34"/>
      <c r="RK226" s="34"/>
      <c r="RL226" s="35"/>
      <c r="RM226" s="35"/>
      <c r="RN226" s="35"/>
      <c r="RO226" s="35"/>
      <c r="RP226" s="35"/>
      <c r="RQ226" s="34"/>
      <c r="RR226" s="34"/>
      <c r="RS226" s="36"/>
      <c r="RT226" s="36"/>
      <c r="RU226" s="37"/>
      <c r="RV226" s="37"/>
      <c r="RW226" s="38"/>
      <c r="RX226" s="38"/>
      <c r="RY226" s="39"/>
      <c r="RZ226" s="34"/>
      <c r="SA226" s="34"/>
      <c r="SB226" s="34"/>
      <c r="SC226" s="35"/>
      <c r="SD226" s="35"/>
      <c r="SE226" s="35"/>
      <c r="SF226" s="35"/>
      <c r="SG226" s="35"/>
      <c r="SH226" s="34"/>
      <c r="SI226" s="34"/>
      <c r="SJ226" s="36"/>
      <c r="SK226" s="36"/>
      <c r="SL226" s="37"/>
      <c r="SM226" s="37"/>
      <c r="SN226" s="38"/>
      <c r="SO226" s="38"/>
      <c r="SP226" s="39"/>
      <c r="SQ226" s="34"/>
      <c r="SR226" s="34"/>
      <c r="SS226" s="34"/>
      <c r="ST226" s="35"/>
      <c r="SU226" s="35"/>
      <c r="SV226" s="35"/>
      <c r="SW226" s="35"/>
      <c r="SX226" s="35"/>
      <c r="SY226" s="34"/>
      <c r="SZ226" s="34"/>
      <c r="TA226" s="36"/>
      <c r="TB226" s="36"/>
      <c r="TC226" s="37"/>
      <c r="TD226" s="37"/>
      <c r="TE226" s="38"/>
      <c r="TF226" s="38"/>
      <c r="TG226" s="39"/>
      <c r="TH226" s="34"/>
      <c r="TI226" s="34"/>
      <c r="TJ226" s="34"/>
      <c r="TK226" s="35"/>
      <c r="TL226" s="35"/>
      <c r="TM226" s="35"/>
      <c r="TN226" s="35"/>
      <c r="TO226" s="35"/>
      <c r="TP226" s="34"/>
      <c r="TQ226" s="34"/>
      <c r="TR226" s="36"/>
      <c r="TS226" s="36"/>
      <c r="TT226" s="37"/>
      <c r="TU226" s="37"/>
      <c r="TV226" s="38"/>
      <c r="TW226" s="38"/>
      <c r="TX226" s="39"/>
      <c r="TY226" s="34"/>
      <c r="TZ226" s="34"/>
      <c r="UA226" s="34"/>
      <c r="UB226" s="35"/>
      <c r="UC226" s="35"/>
      <c r="UD226" s="35"/>
      <c r="UE226" s="35"/>
      <c r="UF226" s="35"/>
      <c r="UG226" s="34"/>
      <c r="UH226" s="34"/>
      <c r="UI226" s="36"/>
      <c r="UJ226" s="36"/>
      <c r="UK226" s="37"/>
      <c r="UL226" s="37"/>
      <c r="UM226" s="38"/>
      <c r="UN226" s="38"/>
      <c r="UO226" s="39"/>
      <c r="UP226" s="34"/>
      <c r="UQ226" s="34"/>
      <c r="UR226" s="34"/>
      <c r="US226" s="35"/>
      <c r="UT226" s="35"/>
      <c r="UU226" s="35"/>
      <c r="UV226" s="35"/>
      <c r="UW226" s="35"/>
      <c r="UX226" s="34"/>
      <c r="UY226" s="34"/>
      <c r="UZ226" s="36"/>
      <c r="VA226" s="36"/>
      <c r="VB226" s="37"/>
      <c r="VC226" s="37"/>
      <c r="VD226" s="38"/>
      <c r="VE226" s="38"/>
      <c r="VF226" s="39"/>
      <c r="VG226" s="34"/>
      <c r="VH226" s="34"/>
      <c r="VI226" s="34"/>
      <c r="VJ226" s="35"/>
      <c r="VK226" s="35"/>
      <c r="VL226" s="35"/>
      <c r="VM226" s="35"/>
      <c r="VN226" s="35"/>
      <c r="VO226" s="34"/>
      <c r="VP226" s="34"/>
      <c r="VQ226" s="36"/>
      <c r="VR226" s="36"/>
      <c r="VS226" s="37"/>
      <c r="VT226" s="37"/>
      <c r="VU226" s="38"/>
      <c r="VV226" s="38"/>
      <c r="VW226" s="39"/>
      <c r="VX226" s="34"/>
      <c r="VY226" s="34"/>
      <c r="VZ226" s="34"/>
      <c r="WA226" s="35"/>
      <c r="WB226" s="35"/>
      <c r="WC226" s="35"/>
      <c r="WD226" s="35"/>
      <c r="WE226" s="35"/>
      <c r="WF226" s="34"/>
      <c r="WG226" s="34"/>
      <c r="WH226" s="36"/>
      <c r="WI226" s="36"/>
      <c r="WJ226" s="37"/>
      <c r="WK226" s="37"/>
      <c r="WL226" s="38"/>
      <c r="WM226" s="38"/>
      <c r="WN226" s="39"/>
      <c r="WO226" s="34"/>
      <c r="WP226" s="34"/>
      <c r="WQ226" s="34"/>
      <c r="WR226" s="35"/>
      <c r="WS226" s="35"/>
      <c r="WT226" s="35"/>
      <c r="WU226" s="35"/>
      <c r="WV226" s="35"/>
      <c r="WW226" s="34"/>
      <c r="WX226" s="34"/>
      <c r="WY226" s="36"/>
      <c r="WZ226" s="36"/>
      <c r="XA226" s="37"/>
      <c r="XB226" s="37"/>
      <c r="XC226" s="38"/>
      <c r="XD226" s="38"/>
      <c r="XE226" s="39"/>
      <c r="XF226" s="34"/>
      <c r="XG226" s="34"/>
      <c r="XH226" s="34"/>
      <c r="XI226" s="35"/>
      <c r="XJ226" s="35"/>
      <c r="XK226" s="35"/>
      <c r="XL226" s="35"/>
      <c r="XM226" s="35"/>
      <c r="XN226" s="34"/>
      <c r="XO226" s="34"/>
      <c r="XP226" s="36"/>
      <c r="XQ226" s="36"/>
      <c r="XR226" s="37"/>
      <c r="XS226" s="37"/>
      <c r="XT226" s="38"/>
      <c r="XU226" s="38"/>
      <c r="XV226" s="39"/>
      <c r="XW226" s="34"/>
      <c r="XX226" s="34"/>
      <c r="XY226" s="34"/>
      <c r="XZ226" s="35"/>
      <c r="YA226" s="35"/>
      <c r="YB226" s="35"/>
      <c r="YC226" s="35"/>
      <c r="YD226" s="35"/>
      <c r="YE226" s="34"/>
      <c r="YF226" s="34"/>
      <c r="YG226" s="36"/>
      <c r="YH226" s="36"/>
      <c r="YI226" s="37"/>
      <c r="YJ226" s="37"/>
      <c r="YK226" s="38"/>
      <c r="YL226" s="38"/>
      <c r="YM226" s="39"/>
      <c r="YN226" s="34"/>
      <c r="YO226" s="34"/>
      <c r="YP226" s="34"/>
      <c r="YQ226" s="35"/>
      <c r="YR226" s="35"/>
      <c r="YS226" s="35"/>
      <c r="YT226" s="35"/>
      <c r="YU226" s="35"/>
      <c r="YV226" s="34"/>
      <c r="YW226" s="34"/>
      <c r="YX226" s="36"/>
      <c r="YY226" s="36"/>
      <c r="YZ226" s="37"/>
      <c r="ZA226" s="37"/>
      <c r="ZB226" s="38"/>
      <c r="ZC226" s="38"/>
      <c r="ZD226" s="39"/>
      <c r="ZE226" s="34"/>
      <c r="ZF226" s="34"/>
      <c r="ZG226" s="34"/>
      <c r="ZH226" s="35"/>
      <c r="ZI226" s="35"/>
      <c r="ZJ226" s="35"/>
      <c r="ZK226" s="35"/>
      <c r="ZL226" s="35"/>
      <c r="ZM226" s="34"/>
      <c r="ZN226" s="34"/>
      <c r="ZO226" s="36"/>
      <c r="ZP226" s="36"/>
      <c r="ZQ226" s="37"/>
      <c r="ZR226" s="37"/>
      <c r="ZS226" s="38"/>
      <c r="ZT226" s="38"/>
      <c r="ZU226" s="39"/>
      <c r="ZV226" s="34"/>
      <c r="ZW226" s="34"/>
      <c r="ZX226" s="34"/>
      <c r="ZY226" s="35"/>
      <c r="ZZ226" s="35"/>
      <c r="AAA226" s="35"/>
      <c r="AAB226" s="35"/>
      <c r="AAC226" s="35"/>
      <c r="AAD226" s="34"/>
      <c r="AAE226" s="34"/>
      <c r="AAF226" s="36"/>
      <c r="AAG226" s="36"/>
      <c r="AAH226" s="37"/>
      <c r="AAI226" s="37"/>
      <c r="AAJ226" s="38"/>
      <c r="AAK226" s="38"/>
      <c r="AAL226" s="39"/>
      <c r="AAM226" s="34"/>
      <c r="AAN226" s="34"/>
      <c r="AAO226" s="34"/>
      <c r="AAP226" s="35"/>
      <c r="AAQ226" s="35"/>
      <c r="AAR226" s="35"/>
      <c r="AAS226" s="35"/>
      <c r="AAT226" s="35"/>
      <c r="AAU226" s="34"/>
      <c r="AAV226" s="34"/>
      <c r="AAW226" s="36"/>
      <c r="AAX226" s="36"/>
      <c r="AAY226" s="37"/>
      <c r="AAZ226" s="37"/>
      <c r="ABA226" s="38"/>
      <c r="ABB226" s="38"/>
      <c r="ABC226" s="39"/>
      <c r="ABD226" s="34"/>
      <c r="ABE226" s="34"/>
      <c r="ABF226" s="34"/>
      <c r="ABG226" s="35"/>
      <c r="ABH226" s="35"/>
      <c r="ABI226" s="35"/>
      <c r="ABJ226" s="35"/>
      <c r="ABK226" s="35"/>
      <c r="ABL226" s="34"/>
      <c r="ABM226" s="34"/>
      <c r="ABN226" s="36"/>
      <c r="ABO226" s="36"/>
      <c r="ABP226" s="37"/>
      <c r="ABQ226" s="37"/>
      <c r="ABR226" s="38"/>
      <c r="ABS226" s="38"/>
      <c r="ABT226" s="39"/>
      <c r="ABU226" s="34"/>
      <c r="ABV226" s="34"/>
      <c r="ABW226" s="34"/>
      <c r="ABX226" s="35"/>
      <c r="ABY226" s="35"/>
      <c r="ABZ226" s="35"/>
      <c r="ACA226" s="35"/>
      <c r="ACB226" s="35"/>
      <c r="ACC226" s="34"/>
      <c r="ACD226" s="34"/>
      <c r="ACE226" s="36"/>
      <c r="ACF226" s="36"/>
      <c r="ACG226" s="37"/>
      <c r="ACH226" s="37"/>
      <c r="ACI226" s="38"/>
      <c r="ACJ226" s="38"/>
      <c r="ACK226" s="39"/>
      <c r="ACL226" s="34"/>
      <c r="ACM226" s="34"/>
      <c r="ACN226" s="34"/>
      <c r="ACO226" s="35"/>
      <c r="ACP226" s="35"/>
      <c r="ACQ226" s="35"/>
      <c r="ACR226" s="35"/>
      <c r="ACS226" s="35"/>
      <c r="ACT226" s="34"/>
      <c r="ACU226" s="34"/>
      <c r="ACV226" s="36"/>
      <c r="ACW226" s="36"/>
      <c r="ACX226" s="37"/>
      <c r="ACY226" s="37"/>
      <c r="ACZ226" s="38"/>
      <c r="ADA226" s="38"/>
      <c r="ADB226" s="39"/>
      <c r="ADC226" s="34"/>
      <c r="ADD226" s="34"/>
      <c r="ADE226" s="34"/>
      <c r="ADF226" s="35"/>
      <c r="ADG226" s="35"/>
      <c r="ADH226" s="35"/>
      <c r="ADI226" s="35"/>
      <c r="ADJ226" s="35"/>
      <c r="ADK226" s="34"/>
      <c r="ADL226" s="34"/>
      <c r="ADM226" s="36"/>
      <c r="ADN226" s="36"/>
      <c r="ADO226" s="37"/>
      <c r="ADP226" s="37"/>
      <c r="ADQ226" s="38"/>
      <c r="ADR226" s="38"/>
      <c r="ADS226" s="39"/>
      <c r="ADT226" s="34"/>
      <c r="ADU226" s="34"/>
      <c r="ADV226" s="34"/>
      <c r="ADW226" s="35"/>
      <c r="ADX226" s="35"/>
      <c r="ADY226" s="35"/>
      <c r="ADZ226" s="35"/>
      <c r="AEA226" s="35"/>
      <c r="AEB226" s="34"/>
      <c r="AEC226" s="34"/>
      <c r="AED226" s="36"/>
      <c r="AEE226" s="36"/>
      <c r="AEF226" s="37"/>
      <c r="AEG226" s="37"/>
      <c r="AEH226" s="38"/>
      <c r="AEI226" s="38"/>
      <c r="AEJ226" s="39"/>
      <c r="AEK226" s="34"/>
      <c r="AEL226" s="34"/>
      <c r="AEM226" s="34"/>
      <c r="AEN226" s="35"/>
      <c r="AEO226" s="35"/>
      <c r="AEP226" s="35"/>
      <c r="AEQ226" s="35"/>
      <c r="AER226" s="35"/>
      <c r="AES226" s="34"/>
      <c r="AET226" s="34"/>
      <c r="AEU226" s="36"/>
      <c r="AEV226" s="36"/>
      <c r="AEW226" s="37"/>
      <c r="AEX226" s="37"/>
      <c r="AEY226" s="38"/>
      <c r="AEZ226" s="38"/>
      <c r="AFA226" s="39"/>
      <c r="AFB226" s="34"/>
      <c r="AFC226" s="34"/>
      <c r="AFD226" s="34"/>
      <c r="AFE226" s="35"/>
      <c r="AFF226" s="35"/>
      <c r="AFG226" s="35"/>
      <c r="AFH226" s="35"/>
      <c r="AFI226" s="35"/>
      <c r="AFJ226" s="34"/>
      <c r="AFK226" s="34"/>
      <c r="AFL226" s="36"/>
      <c r="AFM226" s="36"/>
      <c r="AFN226" s="37"/>
      <c r="AFO226" s="37"/>
      <c r="AFP226" s="38"/>
      <c r="AFQ226" s="38"/>
      <c r="AFR226" s="39"/>
      <c r="AFS226" s="34"/>
      <c r="AFT226" s="34"/>
      <c r="AFU226" s="34"/>
      <c r="AFV226" s="35"/>
      <c r="AFW226" s="35"/>
      <c r="AFX226" s="35"/>
      <c r="AFY226" s="35"/>
      <c r="AFZ226" s="35"/>
      <c r="AGA226" s="34"/>
      <c r="AGB226" s="34"/>
      <c r="AGC226" s="36"/>
      <c r="AGD226" s="36"/>
      <c r="AGE226" s="37"/>
      <c r="AGF226" s="37"/>
      <c r="AGG226" s="38"/>
      <c r="AGH226" s="38"/>
      <c r="AGI226" s="39"/>
      <c r="AGJ226" s="34"/>
      <c r="AGK226" s="34"/>
      <c r="AGL226" s="34"/>
      <c r="AGM226" s="35"/>
      <c r="AGN226" s="35"/>
      <c r="AGO226" s="35"/>
      <c r="AGP226" s="35"/>
      <c r="AGQ226" s="35"/>
      <c r="AGR226" s="34"/>
      <c r="AGS226" s="34"/>
      <c r="AGT226" s="36"/>
      <c r="AGU226" s="36"/>
      <c r="AGV226" s="37"/>
      <c r="AGW226" s="37"/>
      <c r="AGX226" s="38"/>
      <c r="AGY226" s="38"/>
      <c r="AGZ226" s="39"/>
      <c r="AHA226" s="34"/>
      <c r="AHB226" s="34"/>
      <c r="AHC226" s="34"/>
      <c r="AHD226" s="35"/>
      <c r="AHE226" s="35"/>
      <c r="AHF226" s="35"/>
      <c r="AHG226" s="35"/>
      <c r="AHH226" s="35"/>
      <c r="AHI226" s="34"/>
      <c r="AHJ226" s="34"/>
      <c r="AHK226" s="36"/>
      <c r="AHL226" s="36"/>
      <c r="AHM226" s="37"/>
      <c r="AHN226" s="37"/>
      <c r="AHO226" s="38"/>
      <c r="AHP226" s="38"/>
      <c r="AHQ226" s="39"/>
      <c r="AHR226" s="34"/>
      <c r="AHS226" s="34"/>
      <c r="AHT226" s="34"/>
      <c r="AHU226" s="35"/>
      <c r="AHV226" s="35"/>
      <c r="AHW226" s="35"/>
      <c r="AHX226" s="35"/>
      <c r="AHY226" s="35"/>
      <c r="AHZ226" s="34"/>
      <c r="AIA226" s="34"/>
      <c r="AIB226" s="36"/>
      <c r="AIC226" s="36"/>
      <c r="AID226" s="37"/>
      <c r="AIE226" s="37"/>
      <c r="AIF226" s="38"/>
      <c r="AIG226" s="38"/>
      <c r="AIH226" s="39"/>
      <c r="AII226" s="34"/>
      <c r="AIJ226" s="34"/>
      <c r="AIK226" s="34"/>
      <c r="AIL226" s="35"/>
      <c r="AIM226" s="35"/>
      <c r="AIN226" s="35"/>
      <c r="AIO226" s="35"/>
      <c r="AIP226" s="35"/>
      <c r="AIQ226" s="34"/>
      <c r="AIR226" s="34"/>
      <c r="AIS226" s="36"/>
      <c r="AIT226" s="36"/>
      <c r="AIU226" s="37"/>
      <c r="AIV226" s="37"/>
      <c r="AIW226" s="38"/>
      <c r="AIX226" s="38"/>
      <c r="AIY226" s="39"/>
      <c r="AIZ226" s="34"/>
      <c r="AJA226" s="34"/>
      <c r="AJB226" s="34"/>
      <c r="AJC226" s="35"/>
      <c r="AJD226" s="35"/>
      <c r="AJE226" s="35"/>
      <c r="AJF226" s="35"/>
      <c r="AJG226" s="35"/>
      <c r="AJH226" s="34"/>
      <c r="AJI226" s="34"/>
      <c r="AJJ226" s="36"/>
      <c r="AJK226" s="36"/>
      <c r="AJL226" s="37"/>
      <c r="AJM226" s="37"/>
      <c r="AJN226" s="38"/>
      <c r="AJO226" s="38"/>
      <c r="AJP226" s="39"/>
      <c r="AJQ226" s="34"/>
      <c r="AJR226" s="34"/>
      <c r="AJS226" s="34"/>
      <c r="AJT226" s="35"/>
      <c r="AJU226" s="35"/>
      <c r="AJV226" s="35"/>
      <c r="AJW226" s="35"/>
      <c r="AJX226" s="35"/>
      <c r="AJY226" s="34"/>
      <c r="AJZ226" s="34"/>
      <c r="AKA226" s="36"/>
      <c r="AKB226" s="36"/>
      <c r="AKC226" s="37"/>
      <c r="AKD226" s="37"/>
      <c r="AKE226" s="38"/>
      <c r="AKF226" s="38"/>
      <c r="AKG226" s="39"/>
      <c r="AKH226" s="34"/>
      <c r="AKI226" s="34"/>
      <c r="AKJ226" s="34"/>
      <c r="AKK226" s="35"/>
      <c r="AKL226" s="35"/>
      <c r="AKM226" s="35"/>
      <c r="AKN226" s="35"/>
      <c r="AKO226" s="35"/>
      <c r="AKP226" s="34"/>
      <c r="AKQ226" s="34"/>
      <c r="AKR226" s="36"/>
      <c r="AKS226" s="36"/>
      <c r="AKT226" s="37"/>
      <c r="AKU226" s="37"/>
      <c r="AKV226" s="38"/>
      <c r="AKW226" s="38"/>
      <c r="AKX226" s="39"/>
      <c r="AKY226" s="34"/>
      <c r="AKZ226" s="34"/>
      <c r="ALA226" s="34"/>
      <c r="ALB226" s="35"/>
      <c r="ALC226" s="35"/>
      <c r="ALD226" s="35"/>
      <c r="ALE226" s="35"/>
      <c r="ALF226" s="35"/>
      <c r="ALG226" s="34"/>
      <c r="ALH226" s="34"/>
      <c r="ALI226" s="36"/>
      <c r="ALJ226" s="36"/>
      <c r="ALK226" s="37"/>
      <c r="ALL226" s="37"/>
      <c r="ALM226" s="38"/>
      <c r="ALN226" s="38"/>
      <c r="ALO226" s="39"/>
      <c r="ALP226" s="34"/>
      <c r="ALQ226" s="34"/>
      <c r="ALR226" s="34"/>
      <c r="ALS226" s="35"/>
      <c r="ALT226" s="35"/>
      <c r="ALU226" s="35"/>
      <c r="ALV226" s="35"/>
      <c r="ALW226" s="35"/>
      <c r="ALX226" s="34"/>
      <c r="ALY226" s="34"/>
      <c r="ALZ226" s="36"/>
      <c r="AMA226" s="36"/>
      <c r="AMB226" s="37"/>
      <c r="AMC226" s="37"/>
      <c r="AMD226" s="38"/>
      <c r="AME226" s="38"/>
      <c r="AMF226" s="39"/>
      <c r="AMG226" s="34"/>
      <c r="AMH226" s="34"/>
      <c r="AMI226" s="34"/>
      <c r="AMJ226" s="35"/>
      <c r="AMK226" s="35"/>
      <c r="AML226" s="35"/>
      <c r="AMM226" s="35"/>
      <c r="AMN226" s="35"/>
      <c r="AMO226" s="34"/>
      <c r="AMP226" s="34"/>
      <c r="AMQ226" s="36"/>
      <c r="AMR226" s="36"/>
      <c r="AMS226" s="37"/>
      <c r="AMT226" s="37"/>
      <c r="AMU226" s="38"/>
      <c r="AMV226" s="38"/>
      <c r="AMW226" s="39"/>
      <c r="AMX226" s="34"/>
      <c r="AMY226" s="34"/>
      <c r="AMZ226" s="34"/>
      <c r="ANA226" s="35"/>
      <c r="ANB226" s="35"/>
      <c r="ANC226" s="35"/>
      <c r="AND226" s="35"/>
      <c r="ANE226" s="35"/>
      <c r="ANF226" s="34"/>
      <c r="ANG226" s="34"/>
      <c r="ANH226" s="36"/>
      <c r="ANI226" s="36"/>
      <c r="ANJ226" s="37"/>
      <c r="ANK226" s="37"/>
      <c r="ANL226" s="38"/>
      <c r="ANM226" s="38"/>
      <c r="ANN226" s="39"/>
      <c r="ANO226" s="34"/>
      <c r="ANP226" s="34"/>
      <c r="ANQ226" s="34"/>
      <c r="ANR226" s="35"/>
      <c r="ANS226" s="35"/>
      <c r="ANT226" s="35"/>
      <c r="ANU226" s="35"/>
      <c r="ANV226" s="35"/>
      <c r="ANW226" s="34"/>
      <c r="ANX226" s="34"/>
      <c r="ANY226" s="36"/>
      <c r="ANZ226" s="36"/>
      <c r="AOA226" s="37"/>
      <c r="AOB226" s="37"/>
      <c r="AOC226" s="38"/>
      <c r="AOD226" s="38"/>
      <c r="AOE226" s="39"/>
      <c r="AOF226" s="34"/>
      <c r="AOG226" s="34"/>
      <c r="AOH226" s="34"/>
      <c r="AOI226" s="35"/>
      <c r="AOJ226" s="35"/>
      <c r="AOK226" s="35"/>
      <c r="AOL226" s="35"/>
      <c r="AOM226" s="35"/>
      <c r="AON226" s="34"/>
      <c r="AOO226" s="34"/>
      <c r="AOP226" s="36"/>
      <c r="AOQ226" s="36"/>
      <c r="AOR226" s="37"/>
      <c r="AOS226" s="37"/>
      <c r="AOT226" s="38"/>
      <c r="AOU226" s="38"/>
      <c r="AOV226" s="39"/>
      <c r="AOW226" s="34"/>
      <c r="AOX226" s="34"/>
      <c r="AOY226" s="34"/>
      <c r="AOZ226" s="35"/>
      <c r="APA226" s="35"/>
      <c r="APB226" s="35"/>
      <c r="APC226" s="35"/>
      <c r="APD226" s="35"/>
      <c r="APE226" s="34"/>
      <c r="APF226" s="34"/>
      <c r="APG226" s="36"/>
      <c r="APH226" s="36"/>
      <c r="API226" s="37"/>
      <c r="APJ226" s="37"/>
      <c r="APK226" s="38"/>
      <c r="APL226" s="38"/>
      <c r="APM226" s="39"/>
      <c r="APN226" s="34"/>
      <c r="APO226" s="34"/>
      <c r="APP226" s="34"/>
      <c r="APQ226" s="35"/>
      <c r="APR226" s="35"/>
      <c r="APS226" s="35"/>
      <c r="APT226" s="35"/>
      <c r="APU226" s="35"/>
      <c r="APV226" s="34"/>
      <c r="APW226" s="34"/>
      <c r="APX226" s="36"/>
      <c r="APY226" s="36"/>
      <c r="APZ226" s="37"/>
      <c r="AQA226" s="37"/>
      <c r="AQB226" s="38"/>
      <c r="AQC226" s="38"/>
      <c r="AQD226" s="39"/>
      <c r="AQE226" s="34"/>
      <c r="AQF226" s="34"/>
      <c r="AQG226" s="34"/>
      <c r="AQH226" s="35"/>
      <c r="AQI226" s="35"/>
      <c r="AQJ226" s="35"/>
      <c r="AQK226" s="35"/>
      <c r="AQL226" s="35"/>
      <c r="AQM226" s="34"/>
      <c r="AQN226" s="34"/>
      <c r="AQO226" s="36"/>
      <c r="AQP226" s="36"/>
      <c r="AQQ226" s="37"/>
      <c r="AQR226" s="37"/>
      <c r="AQS226" s="38"/>
      <c r="AQT226" s="38"/>
      <c r="AQU226" s="39"/>
      <c r="AQV226" s="34"/>
      <c r="AQW226" s="34"/>
      <c r="AQX226" s="34"/>
      <c r="AQY226" s="35"/>
      <c r="AQZ226" s="35"/>
      <c r="ARA226" s="35"/>
      <c r="ARB226" s="35"/>
      <c r="ARC226" s="35"/>
      <c r="ARD226" s="34"/>
      <c r="ARE226" s="34"/>
      <c r="ARF226" s="36"/>
      <c r="ARG226" s="36"/>
      <c r="ARH226" s="37"/>
      <c r="ARI226" s="37"/>
      <c r="ARJ226" s="38"/>
      <c r="ARK226" s="38"/>
      <c r="ARL226" s="39"/>
      <c r="ARM226" s="34"/>
      <c r="ARN226" s="34"/>
      <c r="ARO226" s="34"/>
      <c r="ARP226" s="35"/>
      <c r="ARQ226" s="35"/>
      <c r="ARR226" s="35"/>
      <c r="ARS226" s="35"/>
      <c r="ART226" s="35"/>
      <c r="ARU226" s="34"/>
      <c r="ARV226" s="34"/>
      <c r="ARW226" s="36"/>
      <c r="ARX226" s="36"/>
      <c r="ARY226" s="37"/>
      <c r="ARZ226" s="37"/>
      <c r="ASA226" s="38"/>
      <c r="ASB226" s="38"/>
      <c r="ASC226" s="39"/>
      <c r="ASD226" s="34"/>
      <c r="ASE226" s="34"/>
      <c r="ASF226" s="34"/>
      <c r="ASG226" s="35"/>
      <c r="ASH226" s="35"/>
      <c r="ASI226" s="35"/>
      <c r="ASJ226" s="35"/>
      <c r="ASK226" s="35"/>
      <c r="ASL226" s="34"/>
      <c r="ASM226" s="34"/>
      <c r="ASN226" s="36"/>
      <c r="ASO226" s="36"/>
      <c r="ASP226" s="37"/>
      <c r="ASQ226" s="37"/>
      <c r="ASR226" s="38"/>
      <c r="ASS226" s="38"/>
      <c r="AST226" s="39"/>
      <c r="ASU226" s="34"/>
      <c r="ASV226" s="34"/>
      <c r="ASW226" s="34"/>
      <c r="ASX226" s="35"/>
      <c r="ASY226" s="35"/>
      <c r="ASZ226" s="35"/>
      <c r="ATA226" s="35"/>
      <c r="ATB226" s="35"/>
      <c r="ATC226" s="34"/>
      <c r="ATD226" s="34"/>
      <c r="ATE226" s="36"/>
      <c r="ATF226" s="36"/>
      <c r="ATG226" s="37"/>
      <c r="ATH226" s="37"/>
      <c r="ATI226" s="38"/>
      <c r="ATJ226" s="38"/>
      <c r="ATK226" s="39"/>
      <c r="ATL226" s="34"/>
      <c r="ATM226" s="34"/>
      <c r="ATN226" s="34"/>
      <c r="ATO226" s="35"/>
      <c r="ATP226" s="35"/>
      <c r="ATQ226" s="35"/>
      <c r="ATR226" s="35"/>
      <c r="ATS226" s="35"/>
      <c r="ATT226" s="34"/>
      <c r="ATU226" s="34"/>
      <c r="ATV226" s="36"/>
      <c r="ATW226" s="36"/>
      <c r="ATX226" s="37"/>
      <c r="ATY226" s="37"/>
      <c r="ATZ226" s="38"/>
      <c r="AUA226" s="38"/>
      <c r="AUB226" s="39"/>
      <c r="AUC226" s="34"/>
      <c r="AUD226" s="34"/>
      <c r="AUE226" s="34"/>
      <c r="AUF226" s="35"/>
      <c r="AUG226" s="35"/>
      <c r="AUH226" s="35"/>
      <c r="AUI226" s="35"/>
      <c r="AUJ226" s="35"/>
      <c r="AUK226" s="34"/>
      <c r="AUL226" s="34"/>
      <c r="AUM226" s="36"/>
      <c r="AUN226" s="36"/>
      <c r="AUO226" s="37"/>
      <c r="AUP226" s="37"/>
      <c r="AUQ226" s="38"/>
      <c r="AUR226" s="38"/>
      <c r="AUS226" s="39"/>
      <c r="AUT226" s="34"/>
      <c r="AUU226" s="34"/>
      <c r="AUV226" s="34"/>
      <c r="AUW226" s="35"/>
      <c r="AUX226" s="35"/>
      <c r="AUY226" s="35"/>
      <c r="AUZ226" s="35"/>
      <c r="AVA226" s="35"/>
      <c r="AVB226" s="34"/>
      <c r="AVC226" s="34"/>
      <c r="AVD226" s="36"/>
      <c r="AVE226" s="36"/>
      <c r="AVF226" s="37"/>
      <c r="AVG226" s="37"/>
      <c r="AVH226" s="38"/>
      <c r="AVI226" s="38"/>
      <c r="AVJ226" s="39"/>
      <c r="AVK226" s="34"/>
      <c r="AVL226" s="34"/>
      <c r="AVM226" s="34"/>
      <c r="AVN226" s="35"/>
      <c r="AVO226" s="35"/>
      <c r="AVP226" s="35"/>
      <c r="AVQ226" s="35"/>
      <c r="AVR226" s="35"/>
      <c r="AVS226" s="34"/>
      <c r="AVT226" s="34"/>
      <c r="AVU226" s="36"/>
      <c r="AVV226" s="36"/>
      <c r="AVW226" s="37"/>
      <c r="AVX226" s="37"/>
      <c r="AVY226" s="38"/>
      <c r="AVZ226" s="38"/>
      <c r="AWA226" s="39"/>
      <c r="AWB226" s="34"/>
      <c r="AWC226" s="34"/>
      <c r="AWD226" s="34"/>
      <c r="AWE226" s="35"/>
      <c r="AWF226" s="35"/>
      <c r="AWG226" s="35"/>
      <c r="AWH226" s="35"/>
      <c r="AWI226" s="35"/>
      <c r="AWJ226" s="34"/>
      <c r="AWK226" s="34"/>
      <c r="AWL226" s="36"/>
      <c r="AWM226" s="36"/>
      <c r="AWN226" s="37"/>
      <c r="AWO226" s="37"/>
      <c r="AWP226" s="38"/>
      <c r="AWQ226" s="38"/>
      <c r="AWR226" s="39"/>
      <c r="AWS226" s="34"/>
      <c r="AWT226" s="34"/>
      <c r="AWU226" s="34"/>
      <c r="AWV226" s="35"/>
      <c r="AWW226" s="35"/>
      <c r="AWX226" s="35"/>
      <c r="AWY226" s="35"/>
      <c r="AWZ226" s="35"/>
      <c r="AXA226" s="34"/>
      <c r="AXB226" s="34"/>
      <c r="AXC226" s="36"/>
      <c r="AXD226" s="36"/>
      <c r="AXE226" s="37"/>
      <c r="AXF226" s="37"/>
      <c r="AXG226" s="38"/>
      <c r="AXH226" s="38"/>
      <c r="AXI226" s="39"/>
      <c r="AXJ226" s="34"/>
      <c r="AXK226" s="34"/>
      <c r="AXL226" s="34"/>
      <c r="AXM226" s="35"/>
      <c r="AXN226" s="35"/>
      <c r="AXO226" s="35"/>
      <c r="AXP226" s="35"/>
      <c r="AXQ226" s="35"/>
      <c r="AXR226" s="34"/>
      <c r="AXS226" s="34"/>
      <c r="AXT226" s="36"/>
      <c r="AXU226" s="36"/>
      <c r="AXV226" s="37"/>
      <c r="AXW226" s="37"/>
      <c r="AXX226" s="38"/>
      <c r="AXY226" s="38"/>
      <c r="AXZ226" s="39"/>
      <c r="AYA226" s="34"/>
      <c r="AYB226" s="34"/>
      <c r="AYC226" s="34"/>
      <c r="AYD226" s="35"/>
      <c r="AYE226" s="35"/>
      <c r="AYF226" s="35"/>
      <c r="AYG226" s="35"/>
      <c r="AYH226" s="35"/>
      <c r="AYI226" s="34"/>
      <c r="AYJ226" s="34"/>
      <c r="AYK226" s="36"/>
      <c r="AYL226" s="36"/>
      <c r="AYM226" s="37"/>
      <c r="AYN226" s="37"/>
      <c r="AYO226" s="38"/>
      <c r="AYP226" s="38"/>
      <c r="AYQ226" s="39"/>
      <c r="AYR226" s="34"/>
      <c r="AYS226" s="34"/>
      <c r="AYT226" s="34"/>
      <c r="AYU226" s="35"/>
      <c r="AYV226" s="35"/>
      <c r="AYW226" s="35"/>
      <c r="AYX226" s="35"/>
      <c r="AYY226" s="35"/>
      <c r="AYZ226" s="34"/>
      <c r="AZA226" s="34"/>
      <c r="AZB226" s="36"/>
      <c r="AZC226" s="36"/>
      <c r="AZD226" s="37"/>
      <c r="AZE226" s="37"/>
      <c r="AZF226" s="38"/>
      <c r="AZG226" s="38"/>
      <c r="AZH226" s="39"/>
      <c r="AZI226" s="34"/>
      <c r="AZJ226" s="34"/>
      <c r="AZK226" s="34"/>
      <c r="AZL226" s="35"/>
      <c r="AZM226" s="35"/>
      <c r="AZN226" s="35"/>
      <c r="AZO226" s="35"/>
      <c r="AZP226" s="35"/>
      <c r="AZQ226" s="34"/>
      <c r="AZR226" s="34"/>
      <c r="AZS226" s="36"/>
      <c r="AZT226" s="36"/>
      <c r="AZU226" s="37"/>
      <c r="AZV226" s="37"/>
      <c r="AZW226" s="38"/>
      <c r="AZX226" s="38"/>
      <c r="AZY226" s="39"/>
      <c r="AZZ226" s="34"/>
      <c r="BAA226" s="34"/>
      <c r="BAB226" s="34"/>
      <c r="BAC226" s="35"/>
      <c r="BAD226" s="35"/>
      <c r="BAE226" s="35"/>
      <c r="BAF226" s="35"/>
      <c r="BAG226" s="35"/>
      <c r="BAH226" s="34"/>
      <c r="BAI226" s="34"/>
      <c r="BAJ226" s="36"/>
      <c r="BAK226" s="36"/>
      <c r="BAL226" s="37"/>
      <c r="BAM226" s="37"/>
      <c r="BAN226" s="38"/>
      <c r="BAO226" s="38"/>
      <c r="BAP226" s="39"/>
      <c r="BAQ226" s="34"/>
      <c r="BAR226" s="34"/>
      <c r="BAS226" s="34"/>
      <c r="BAT226" s="35"/>
      <c r="BAU226" s="35"/>
      <c r="BAV226" s="35"/>
      <c r="BAW226" s="35"/>
      <c r="BAX226" s="35"/>
      <c r="BAY226" s="34"/>
      <c r="BAZ226" s="34"/>
      <c r="BBA226" s="36"/>
      <c r="BBB226" s="36"/>
      <c r="BBC226" s="37"/>
      <c r="BBD226" s="37"/>
      <c r="BBE226" s="38"/>
      <c r="BBF226" s="38"/>
      <c r="BBG226" s="39"/>
      <c r="BBH226" s="34"/>
      <c r="BBI226" s="34"/>
      <c r="BBJ226" s="34"/>
      <c r="BBK226" s="35"/>
      <c r="BBL226" s="35"/>
      <c r="BBM226" s="35"/>
      <c r="BBN226" s="35"/>
      <c r="BBO226" s="35"/>
      <c r="BBP226" s="34"/>
      <c r="BBQ226" s="34"/>
      <c r="BBR226" s="36"/>
      <c r="BBS226" s="36"/>
      <c r="BBT226" s="37"/>
      <c r="BBU226" s="37"/>
      <c r="BBV226" s="38"/>
      <c r="BBW226" s="38"/>
      <c r="BBX226" s="39"/>
      <c r="BBY226" s="34"/>
      <c r="BBZ226" s="34"/>
      <c r="BCA226" s="34"/>
      <c r="BCB226" s="35"/>
      <c r="BCC226" s="35"/>
      <c r="BCD226" s="35"/>
      <c r="BCE226" s="35"/>
      <c r="BCF226" s="35"/>
      <c r="BCG226" s="34"/>
      <c r="BCH226" s="34"/>
      <c r="BCI226" s="36"/>
      <c r="BCJ226" s="36"/>
      <c r="BCK226" s="37"/>
      <c r="BCL226" s="37"/>
      <c r="BCM226" s="38"/>
      <c r="BCN226" s="38"/>
      <c r="BCO226" s="39"/>
      <c r="BCP226" s="34"/>
      <c r="BCQ226" s="34"/>
      <c r="BCR226" s="34"/>
      <c r="BCS226" s="35"/>
      <c r="BCT226" s="35"/>
      <c r="BCU226" s="35"/>
      <c r="BCV226" s="35"/>
      <c r="BCW226" s="35"/>
      <c r="BCX226" s="34"/>
      <c r="BCY226" s="34"/>
      <c r="BCZ226" s="36"/>
      <c r="BDA226" s="36"/>
      <c r="BDB226" s="37"/>
      <c r="BDC226" s="37"/>
      <c r="BDD226" s="38"/>
      <c r="BDE226" s="38"/>
      <c r="BDF226" s="39"/>
      <c r="BDG226" s="34"/>
      <c r="BDH226" s="34"/>
      <c r="BDI226" s="34"/>
      <c r="BDJ226" s="35"/>
      <c r="BDK226" s="35"/>
      <c r="BDL226" s="35"/>
      <c r="BDM226" s="35"/>
      <c r="BDN226" s="35"/>
      <c r="BDO226" s="34"/>
      <c r="BDP226" s="34"/>
      <c r="BDQ226" s="36"/>
      <c r="BDR226" s="36"/>
      <c r="BDS226" s="37"/>
      <c r="BDT226" s="37"/>
      <c r="BDU226" s="38"/>
      <c r="BDV226" s="38"/>
      <c r="BDW226" s="39"/>
      <c r="BDX226" s="34"/>
      <c r="BDY226" s="34"/>
      <c r="BDZ226" s="34"/>
      <c r="BEA226" s="35"/>
      <c r="BEB226" s="35"/>
      <c r="BEC226" s="35"/>
      <c r="BED226" s="35"/>
      <c r="BEE226" s="35"/>
      <c r="BEF226" s="34"/>
      <c r="BEG226" s="34"/>
      <c r="BEH226" s="36"/>
      <c r="BEI226" s="36"/>
      <c r="BEJ226" s="37"/>
      <c r="BEK226" s="37"/>
      <c r="BEL226" s="38"/>
      <c r="BEM226" s="38"/>
      <c r="BEN226" s="39"/>
      <c r="BEO226" s="34"/>
      <c r="BEP226" s="34"/>
      <c r="BEQ226" s="34"/>
      <c r="BER226" s="35"/>
      <c r="BES226" s="35"/>
      <c r="BET226" s="35"/>
      <c r="BEU226" s="35"/>
      <c r="BEV226" s="35"/>
      <c r="BEW226" s="34"/>
      <c r="BEX226" s="34"/>
      <c r="BEY226" s="36"/>
      <c r="BEZ226" s="36"/>
      <c r="BFA226" s="37"/>
      <c r="BFB226" s="37"/>
      <c r="BFC226" s="38"/>
      <c r="BFD226" s="38"/>
      <c r="BFE226" s="39"/>
      <c r="BFF226" s="34"/>
      <c r="BFG226" s="34"/>
      <c r="BFH226" s="34"/>
      <c r="BFI226" s="35"/>
      <c r="BFJ226" s="35"/>
      <c r="BFK226" s="35"/>
      <c r="BFL226" s="35"/>
      <c r="BFM226" s="35"/>
      <c r="BFN226" s="34"/>
      <c r="BFO226" s="34"/>
      <c r="BFP226" s="36"/>
      <c r="BFQ226" s="36"/>
      <c r="BFR226" s="37"/>
      <c r="BFS226" s="37"/>
      <c r="BFT226" s="38"/>
      <c r="BFU226" s="38"/>
      <c r="BFV226" s="39"/>
      <c r="BFW226" s="34"/>
      <c r="BFX226" s="34"/>
      <c r="BFY226" s="34"/>
      <c r="BFZ226" s="35"/>
      <c r="BGA226" s="35"/>
      <c r="BGB226" s="35"/>
      <c r="BGC226" s="35"/>
      <c r="BGD226" s="35"/>
      <c r="BGE226" s="34"/>
      <c r="BGF226" s="34"/>
      <c r="BGG226" s="36"/>
      <c r="BGH226" s="36"/>
      <c r="BGI226" s="37"/>
      <c r="BGJ226" s="37"/>
      <c r="BGK226" s="38"/>
      <c r="BGL226" s="38"/>
      <c r="BGM226" s="39"/>
      <c r="BGN226" s="34"/>
      <c r="BGO226" s="34"/>
      <c r="BGP226" s="34"/>
      <c r="BGQ226" s="35"/>
      <c r="BGR226" s="35"/>
      <c r="BGS226" s="35"/>
      <c r="BGT226" s="35"/>
      <c r="BGU226" s="35"/>
      <c r="BGV226" s="34"/>
      <c r="BGW226" s="34"/>
      <c r="BGX226" s="36"/>
      <c r="BGY226" s="36"/>
      <c r="BGZ226" s="37"/>
      <c r="BHA226" s="37"/>
      <c r="BHB226" s="38"/>
      <c r="BHC226" s="38"/>
      <c r="BHD226" s="39"/>
      <c r="BHE226" s="34"/>
      <c r="BHF226" s="34"/>
      <c r="BHG226" s="34"/>
      <c r="BHH226" s="35"/>
      <c r="BHI226" s="35"/>
      <c r="BHJ226" s="35"/>
      <c r="BHK226" s="35"/>
      <c r="BHL226" s="35"/>
      <c r="BHM226" s="34"/>
      <c r="BHN226" s="34"/>
      <c r="BHO226" s="36"/>
      <c r="BHP226" s="36"/>
      <c r="BHQ226" s="37"/>
      <c r="BHR226" s="37"/>
      <c r="BHS226" s="38"/>
      <c r="BHT226" s="38"/>
      <c r="BHU226" s="39"/>
      <c r="BHV226" s="34"/>
      <c r="BHW226" s="34"/>
      <c r="BHX226" s="34"/>
      <c r="BHY226" s="35"/>
      <c r="BHZ226" s="35"/>
      <c r="BIA226" s="35"/>
      <c r="BIB226" s="35"/>
      <c r="BIC226" s="35"/>
      <c r="BID226" s="34"/>
      <c r="BIE226" s="34"/>
      <c r="BIF226" s="36"/>
      <c r="BIG226" s="36"/>
      <c r="BIH226" s="37"/>
      <c r="BII226" s="37"/>
      <c r="BIJ226" s="38"/>
      <c r="BIK226" s="38"/>
      <c r="BIL226" s="39"/>
      <c r="BIM226" s="34"/>
      <c r="BIN226" s="34"/>
      <c r="BIO226" s="34"/>
      <c r="BIP226" s="35"/>
      <c r="BIQ226" s="35"/>
      <c r="BIR226" s="35"/>
      <c r="BIS226" s="35"/>
      <c r="BIT226" s="35"/>
      <c r="BIU226" s="34"/>
      <c r="BIV226" s="34"/>
      <c r="BIW226" s="36"/>
      <c r="BIX226" s="36"/>
      <c r="BIY226" s="37"/>
      <c r="BIZ226" s="37"/>
      <c r="BJA226" s="38"/>
      <c r="BJB226" s="38"/>
      <c r="BJC226" s="39"/>
      <c r="BJD226" s="34"/>
      <c r="BJE226" s="34"/>
      <c r="BJF226" s="34"/>
      <c r="BJG226" s="35"/>
      <c r="BJH226" s="35"/>
      <c r="BJI226" s="35"/>
      <c r="BJJ226" s="35"/>
      <c r="BJK226" s="35"/>
      <c r="BJL226" s="34"/>
      <c r="BJM226" s="34"/>
      <c r="BJN226" s="36"/>
      <c r="BJO226" s="36"/>
      <c r="BJP226" s="37"/>
      <c r="BJQ226" s="37"/>
      <c r="BJR226" s="38"/>
      <c r="BJS226" s="38"/>
      <c r="BJT226" s="39"/>
      <c r="BJU226" s="34"/>
      <c r="BJV226" s="34"/>
      <c r="BJW226" s="34"/>
      <c r="BJX226" s="35"/>
      <c r="BJY226" s="35"/>
      <c r="BJZ226" s="35"/>
      <c r="BKA226" s="35"/>
      <c r="BKB226" s="35"/>
      <c r="BKC226" s="34"/>
      <c r="BKD226" s="34"/>
      <c r="BKE226" s="36"/>
      <c r="BKF226" s="36"/>
      <c r="BKG226" s="37"/>
      <c r="BKH226" s="37"/>
      <c r="BKI226" s="38"/>
      <c r="BKJ226" s="38"/>
      <c r="BKK226" s="39"/>
      <c r="BKL226" s="34"/>
      <c r="BKM226" s="34"/>
      <c r="BKN226" s="34"/>
      <c r="BKO226" s="35"/>
      <c r="BKP226" s="35"/>
      <c r="BKQ226" s="35"/>
      <c r="BKR226" s="35"/>
      <c r="BKS226" s="35"/>
      <c r="BKT226" s="34"/>
      <c r="BKU226" s="34"/>
      <c r="BKV226" s="36"/>
      <c r="BKW226" s="36"/>
      <c r="BKX226" s="37"/>
      <c r="BKY226" s="37"/>
      <c r="BKZ226" s="38"/>
      <c r="BLA226" s="38"/>
      <c r="BLB226" s="39"/>
      <c r="BLC226" s="34"/>
      <c r="BLD226" s="34"/>
      <c r="BLE226" s="34"/>
      <c r="BLF226" s="35"/>
      <c r="BLG226" s="35"/>
      <c r="BLH226" s="35"/>
      <c r="BLI226" s="35"/>
      <c r="BLJ226" s="35"/>
      <c r="BLK226" s="34"/>
      <c r="BLL226" s="34"/>
      <c r="BLM226" s="36"/>
      <c r="BLN226" s="36"/>
      <c r="BLO226" s="37"/>
      <c r="BLP226" s="37"/>
      <c r="BLQ226" s="38"/>
      <c r="BLR226" s="38"/>
      <c r="BLS226" s="39"/>
      <c r="BLT226" s="34"/>
      <c r="BLU226" s="34"/>
      <c r="BLV226" s="34"/>
      <c r="BLW226" s="35"/>
      <c r="BLX226" s="35"/>
      <c r="BLY226" s="35"/>
      <c r="BLZ226" s="35"/>
      <c r="BMA226" s="35"/>
      <c r="BMB226" s="34"/>
      <c r="BMC226" s="34"/>
      <c r="BMD226" s="36"/>
      <c r="BME226" s="36"/>
      <c r="BMF226" s="37"/>
      <c r="BMG226" s="37"/>
      <c r="BMH226" s="38"/>
      <c r="BMI226" s="38"/>
      <c r="BMJ226" s="39"/>
      <c r="BMK226" s="34"/>
      <c r="BML226" s="34"/>
      <c r="BMM226" s="34"/>
      <c r="BMN226" s="35"/>
      <c r="BMO226" s="35"/>
      <c r="BMP226" s="35"/>
      <c r="BMQ226" s="35"/>
      <c r="BMR226" s="35"/>
      <c r="BMS226" s="34"/>
      <c r="BMT226" s="34"/>
      <c r="BMU226" s="36"/>
      <c r="BMV226" s="36"/>
      <c r="BMW226" s="37"/>
      <c r="BMX226" s="37"/>
      <c r="BMY226" s="38"/>
      <c r="BMZ226" s="38"/>
      <c r="BNA226" s="39"/>
      <c r="BNB226" s="34"/>
      <c r="BNC226" s="34"/>
      <c r="BND226" s="34"/>
      <c r="BNE226" s="35"/>
      <c r="BNF226" s="35"/>
      <c r="BNG226" s="35"/>
      <c r="BNH226" s="35"/>
      <c r="BNI226" s="35"/>
      <c r="BNJ226" s="34"/>
      <c r="BNK226" s="34"/>
      <c r="BNL226" s="36"/>
      <c r="BNM226" s="36"/>
      <c r="BNN226" s="37"/>
      <c r="BNO226" s="37"/>
      <c r="BNP226" s="38"/>
      <c r="BNQ226" s="38"/>
      <c r="BNR226" s="39"/>
      <c r="BNS226" s="34"/>
      <c r="BNT226" s="34"/>
      <c r="BNU226" s="34"/>
      <c r="BNV226" s="35"/>
      <c r="BNW226" s="35"/>
      <c r="BNX226" s="35"/>
      <c r="BNY226" s="35"/>
      <c r="BNZ226" s="35"/>
      <c r="BOA226" s="34"/>
      <c r="BOB226" s="34"/>
      <c r="BOC226" s="36"/>
      <c r="BOD226" s="36"/>
      <c r="BOE226" s="37"/>
      <c r="BOF226" s="37"/>
      <c r="BOG226" s="38"/>
      <c r="BOH226" s="38"/>
      <c r="BOI226" s="39"/>
      <c r="BOJ226" s="34"/>
      <c r="BOK226" s="34"/>
      <c r="BOL226" s="34"/>
      <c r="BOM226" s="35"/>
      <c r="BON226" s="35"/>
      <c r="BOO226" s="35"/>
      <c r="BOP226" s="35"/>
      <c r="BOQ226" s="35"/>
      <c r="BOR226" s="34"/>
      <c r="BOS226" s="34"/>
      <c r="BOT226" s="36"/>
      <c r="BOU226" s="36"/>
      <c r="BOV226" s="37"/>
      <c r="BOW226" s="37"/>
      <c r="BOX226" s="38"/>
      <c r="BOY226" s="38"/>
      <c r="BOZ226" s="39"/>
      <c r="BPA226" s="34"/>
      <c r="BPB226" s="34"/>
      <c r="BPC226" s="34"/>
      <c r="BPD226" s="35"/>
      <c r="BPE226" s="35"/>
      <c r="BPF226" s="35"/>
      <c r="BPG226" s="35"/>
      <c r="BPH226" s="35"/>
      <c r="BPI226" s="34"/>
      <c r="BPJ226" s="34"/>
      <c r="BPK226" s="36"/>
      <c r="BPL226" s="36"/>
      <c r="BPM226" s="37"/>
      <c r="BPN226" s="37"/>
      <c r="BPO226" s="38"/>
      <c r="BPP226" s="38"/>
      <c r="BPQ226" s="39"/>
      <c r="BPR226" s="34"/>
      <c r="BPS226" s="34"/>
      <c r="BPT226" s="34"/>
      <c r="BPU226" s="35"/>
      <c r="BPV226" s="35"/>
      <c r="BPW226" s="35"/>
      <c r="BPX226" s="35"/>
      <c r="BPY226" s="35"/>
      <c r="BPZ226" s="34"/>
      <c r="BQA226" s="34"/>
      <c r="BQB226" s="36"/>
      <c r="BQC226" s="36"/>
      <c r="BQD226" s="37"/>
      <c r="BQE226" s="37"/>
      <c r="BQF226" s="38"/>
      <c r="BQG226" s="38"/>
      <c r="BQH226" s="39"/>
      <c r="BQI226" s="34"/>
      <c r="BQJ226" s="34"/>
      <c r="BQK226" s="34"/>
      <c r="BQL226" s="35"/>
      <c r="BQM226" s="35"/>
      <c r="BQN226" s="35"/>
      <c r="BQO226" s="35"/>
      <c r="BQP226" s="35"/>
      <c r="BQQ226" s="34"/>
      <c r="BQR226" s="34"/>
      <c r="BQS226" s="36"/>
      <c r="BQT226" s="36"/>
      <c r="BQU226" s="37"/>
      <c r="BQV226" s="37"/>
      <c r="BQW226" s="38"/>
      <c r="BQX226" s="38"/>
      <c r="BQY226" s="39"/>
      <c r="BQZ226" s="34"/>
      <c r="BRA226" s="34"/>
      <c r="BRB226" s="34"/>
      <c r="BRC226" s="35"/>
      <c r="BRD226" s="35"/>
      <c r="BRE226" s="35"/>
      <c r="BRF226" s="35"/>
      <c r="BRG226" s="35"/>
      <c r="BRH226" s="34"/>
      <c r="BRI226" s="34"/>
      <c r="BRJ226" s="36"/>
      <c r="BRK226" s="36"/>
      <c r="BRL226" s="37"/>
      <c r="BRM226" s="37"/>
      <c r="BRN226" s="38"/>
      <c r="BRO226" s="38"/>
      <c r="BRP226" s="39"/>
      <c r="BRQ226" s="34"/>
      <c r="BRR226" s="34"/>
      <c r="BRS226" s="34"/>
      <c r="BRT226" s="35"/>
      <c r="BRU226" s="35"/>
      <c r="BRV226" s="35"/>
      <c r="BRW226" s="35"/>
      <c r="BRX226" s="35"/>
      <c r="BRY226" s="34"/>
      <c r="BRZ226" s="34"/>
      <c r="BSA226" s="36"/>
      <c r="BSB226" s="36"/>
      <c r="BSC226" s="37"/>
      <c r="BSD226" s="37"/>
      <c r="BSE226" s="38"/>
      <c r="BSF226" s="38"/>
      <c r="BSG226" s="39"/>
      <c r="BSH226" s="34"/>
      <c r="BSI226" s="34"/>
      <c r="BSJ226" s="34"/>
      <c r="BSK226" s="35"/>
      <c r="BSL226" s="35"/>
      <c r="BSM226" s="35"/>
      <c r="BSN226" s="35"/>
      <c r="BSO226" s="35"/>
      <c r="BSP226" s="34"/>
      <c r="BSQ226" s="34"/>
      <c r="BSR226" s="36"/>
      <c r="BSS226" s="36"/>
      <c r="BST226" s="37"/>
      <c r="BSU226" s="37"/>
      <c r="BSV226" s="38"/>
      <c r="BSW226" s="38"/>
      <c r="BSX226" s="39"/>
      <c r="BSY226" s="34"/>
      <c r="BSZ226" s="34"/>
      <c r="BTA226" s="34"/>
      <c r="BTB226" s="35"/>
      <c r="BTC226" s="35"/>
      <c r="BTD226" s="35"/>
      <c r="BTE226" s="35"/>
      <c r="BTF226" s="35"/>
      <c r="BTG226" s="34"/>
      <c r="BTH226" s="34"/>
      <c r="BTI226" s="36"/>
      <c r="BTJ226" s="36"/>
      <c r="BTK226" s="37"/>
      <c r="BTL226" s="37"/>
      <c r="BTM226" s="38"/>
      <c r="BTN226" s="38"/>
      <c r="BTO226" s="39"/>
      <c r="BTP226" s="34"/>
      <c r="BTQ226" s="34"/>
      <c r="BTR226" s="34"/>
      <c r="BTS226" s="35"/>
      <c r="BTT226" s="35"/>
      <c r="BTU226" s="35"/>
      <c r="BTV226" s="35"/>
      <c r="BTW226" s="35"/>
      <c r="BTX226" s="34"/>
      <c r="BTY226" s="34"/>
      <c r="BTZ226" s="36"/>
      <c r="BUA226" s="36"/>
      <c r="BUB226" s="37"/>
      <c r="BUC226" s="37"/>
      <c r="BUD226" s="38"/>
      <c r="BUE226" s="38"/>
      <c r="BUF226" s="39"/>
      <c r="BUG226" s="34"/>
      <c r="BUH226" s="34"/>
      <c r="BUI226" s="34"/>
      <c r="BUJ226" s="35"/>
      <c r="BUK226" s="35"/>
      <c r="BUL226" s="35"/>
      <c r="BUM226" s="35"/>
      <c r="BUN226" s="35"/>
      <c r="BUO226" s="34"/>
      <c r="BUP226" s="34"/>
      <c r="BUQ226" s="36"/>
      <c r="BUR226" s="36"/>
      <c r="BUS226" s="37"/>
      <c r="BUT226" s="37"/>
      <c r="BUU226" s="38"/>
      <c r="BUV226" s="38"/>
      <c r="BUW226" s="39"/>
      <c r="BUX226" s="34"/>
      <c r="BUY226" s="34"/>
      <c r="BUZ226" s="34"/>
      <c r="BVA226" s="35"/>
      <c r="BVB226" s="35"/>
      <c r="BVC226" s="35"/>
      <c r="BVD226" s="35"/>
      <c r="BVE226" s="35"/>
      <c r="BVF226" s="34"/>
      <c r="BVG226" s="34"/>
      <c r="BVH226" s="36"/>
      <c r="BVI226" s="36"/>
      <c r="BVJ226" s="37"/>
      <c r="BVK226" s="37"/>
      <c r="BVL226" s="38"/>
      <c r="BVM226" s="38"/>
      <c r="BVN226" s="39"/>
      <c r="BVO226" s="34"/>
      <c r="BVP226" s="34"/>
      <c r="BVQ226" s="34"/>
      <c r="BVR226" s="35"/>
      <c r="BVS226" s="35"/>
      <c r="BVT226" s="35"/>
      <c r="BVU226" s="35"/>
      <c r="BVV226" s="35"/>
      <c r="BVW226" s="34"/>
      <c r="BVX226" s="34"/>
      <c r="BVY226" s="36"/>
      <c r="BVZ226" s="36"/>
      <c r="BWA226" s="37"/>
      <c r="BWB226" s="37"/>
      <c r="BWC226" s="38"/>
      <c r="BWD226" s="38"/>
      <c r="BWE226" s="39"/>
      <c r="BWF226" s="34"/>
      <c r="BWG226" s="34"/>
      <c r="BWH226" s="34"/>
      <c r="BWI226" s="35"/>
      <c r="BWJ226" s="35"/>
      <c r="BWK226" s="35"/>
      <c r="BWL226" s="35"/>
      <c r="BWM226" s="35"/>
      <c r="BWN226" s="34"/>
      <c r="BWO226" s="34"/>
      <c r="BWP226" s="36"/>
      <c r="BWQ226" s="36"/>
      <c r="BWR226" s="37"/>
      <c r="BWS226" s="37"/>
      <c r="BWT226" s="38"/>
      <c r="BWU226" s="38"/>
      <c r="BWV226" s="39"/>
      <c r="BWW226" s="34"/>
      <c r="BWX226" s="34"/>
      <c r="BWY226" s="34"/>
      <c r="BWZ226" s="35"/>
      <c r="BXA226" s="35"/>
      <c r="BXB226" s="35"/>
      <c r="BXC226" s="35"/>
      <c r="BXD226" s="35"/>
      <c r="BXE226" s="34"/>
      <c r="BXF226" s="34"/>
      <c r="BXG226" s="36"/>
      <c r="BXH226" s="36"/>
      <c r="BXI226" s="37"/>
      <c r="BXJ226" s="37"/>
      <c r="BXK226" s="38"/>
      <c r="BXL226" s="38"/>
      <c r="BXM226" s="39"/>
      <c r="BXN226" s="34"/>
      <c r="BXO226" s="34"/>
      <c r="BXP226" s="34"/>
      <c r="BXQ226" s="35"/>
      <c r="BXR226" s="35"/>
      <c r="BXS226" s="35"/>
      <c r="BXT226" s="35"/>
      <c r="BXU226" s="35"/>
      <c r="BXV226" s="34"/>
      <c r="BXW226" s="34"/>
      <c r="BXX226" s="36"/>
      <c r="BXY226" s="36"/>
      <c r="BXZ226" s="37"/>
      <c r="BYA226" s="37"/>
      <c r="BYB226" s="38"/>
      <c r="BYC226" s="38"/>
      <c r="BYD226" s="39"/>
      <c r="BYE226" s="34"/>
      <c r="BYF226" s="34"/>
      <c r="BYG226" s="34"/>
      <c r="BYH226" s="35"/>
      <c r="BYI226" s="35"/>
      <c r="BYJ226" s="35"/>
      <c r="BYK226" s="35"/>
      <c r="BYL226" s="35"/>
      <c r="BYM226" s="34"/>
      <c r="BYN226" s="34"/>
      <c r="BYO226" s="36"/>
      <c r="BYP226" s="36"/>
      <c r="BYQ226" s="37"/>
      <c r="BYR226" s="37"/>
      <c r="BYS226" s="38"/>
      <c r="BYT226" s="38"/>
      <c r="BYU226" s="39"/>
      <c r="BYV226" s="34"/>
      <c r="BYW226" s="34"/>
      <c r="BYX226" s="34"/>
      <c r="BYY226" s="35"/>
      <c r="BYZ226" s="35"/>
      <c r="BZA226" s="35"/>
      <c r="BZB226" s="35"/>
      <c r="BZC226" s="35"/>
      <c r="BZD226" s="34"/>
      <c r="BZE226" s="34"/>
      <c r="BZF226" s="36"/>
      <c r="BZG226" s="36"/>
      <c r="BZH226" s="37"/>
      <c r="BZI226" s="37"/>
      <c r="BZJ226" s="38"/>
      <c r="BZK226" s="38"/>
      <c r="BZL226" s="39"/>
      <c r="BZM226" s="34"/>
      <c r="BZN226" s="34"/>
      <c r="BZO226" s="34"/>
      <c r="BZP226" s="35"/>
      <c r="BZQ226" s="35"/>
      <c r="BZR226" s="35"/>
      <c r="BZS226" s="35"/>
      <c r="BZT226" s="35"/>
      <c r="BZU226" s="34"/>
      <c r="BZV226" s="34"/>
      <c r="BZW226" s="36"/>
      <c r="BZX226" s="36"/>
      <c r="BZY226" s="37"/>
      <c r="BZZ226" s="37"/>
      <c r="CAA226" s="38"/>
      <c r="CAB226" s="38"/>
      <c r="CAC226" s="39"/>
      <c r="CAD226" s="34"/>
      <c r="CAE226" s="34"/>
      <c r="CAF226" s="34"/>
      <c r="CAG226" s="35"/>
      <c r="CAH226" s="35"/>
      <c r="CAI226" s="35"/>
      <c r="CAJ226" s="35"/>
      <c r="CAK226" s="35"/>
      <c r="CAL226" s="34"/>
      <c r="CAM226" s="34"/>
      <c r="CAN226" s="36"/>
      <c r="CAO226" s="36"/>
      <c r="CAP226" s="37"/>
      <c r="CAQ226" s="37"/>
      <c r="CAR226" s="38"/>
      <c r="CAS226" s="38"/>
      <c r="CAT226" s="39"/>
      <c r="CAU226" s="34"/>
      <c r="CAV226" s="34"/>
      <c r="CAW226" s="34"/>
      <c r="CAX226" s="35"/>
      <c r="CAY226" s="35"/>
      <c r="CAZ226" s="35"/>
      <c r="CBA226" s="35"/>
      <c r="CBB226" s="35"/>
      <c r="CBC226" s="34"/>
      <c r="CBD226" s="34"/>
      <c r="CBE226" s="36"/>
      <c r="CBF226" s="36"/>
      <c r="CBG226" s="37"/>
      <c r="CBH226" s="37"/>
      <c r="CBI226" s="38"/>
      <c r="CBJ226" s="38"/>
      <c r="CBK226" s="39"/>
      <c r="CBL226" s="34"/>
      <c r="CBM226" s="34"/>
      <c r="CBN226" s="34"/>
      <c r="CBO226" s="35"/>
      <c r="CBP226" s="35"/>
      <c r="CBQ226" s="35"/>
      <c r="CBR226" s="35"/>
      <c r="CBS226" s="35"/>
      <c r="CBT226" s="34"/>
      <c r="CBU226" s="34"/>
      <c r="CBV226" s="36"/>
      <c r="CBW226" s="36"/>
      <c r="CBX226" s="37"/>
      <c r="CBY226" s="37"/>
      <c r="CBZ226" s="38"/>
      <c r="CCA226" s="38"/>
      <c r="CCB226" s="39"/>
      <c r="CCC226" s="34"/>
      <c r="CCD226" s="34"/>
      <c r="CCE226" s="34"/>
      <c r="CCF226" s="35"/>
      <c r="CCG226" s="35"/>
      <c r="CCH226" s="35"/>
      <c r="CCI226" s="35"/>
      <c r="CCJ226" s="35"/>
      <c r="CCK226" s="34"/>
      <c r="CCL226" s="34"/>
      <c r="CCM226" s="36"/>
      <c r="CCN226" s="36"/>
      <c r="CCO226" s="37"/>
      <c r="CCP226" s="37"/>
      <c r="CCQ226" s="38"/>
      <c r="CCR226" s="38"/>
      <c r="CCS226" s="39"/>
      <c r="CCT226" s="34"/>
      <c r="CCU226" s="34"/>
      <c r="CCV226" s="34"/>
      <c r="CCW226" s="35"/>
      <c r="CCX226" s="35"/>
      <c r="CCY226" s="35"/>
      <c r="CCZ226" s="35"/>
      <c r="CDA226" s="35"/>
      <c r="CDB226" s="34"/>
      <c r="CDC226" s="34"/>
      <c r="CDD226" s="36"/>
      <c r="CDE226" s="36"/>
      <c r="CDF226" s="37"/>
      <c r="CDG226" s="37"/>
      <c r="CDH226" s="38"/>
      <c r="CDI226" s="38"/>
      <c r="CDJ226" s="39"/>
      <c r="CDK226" s="34"/>
      <c r="CDL226" s="34"/>
      <c r="CDM226" s="34"/>
      <c r="CDN226" s="35"/>
      <c r="CDO226" s="35"/>
      <c r="CDP226" s="35"/>
      <c r="CDQ226" s="35"/>
      <c r="CDR226" s="35"/>
      <c r="CDS226" s="34"/>
      <c r="CDT226" s="34"/>
      <c r="CDU226" s="36"/>
      <c r="CDV226" s="36"/>
      <c r="CDW226" s="37"/>
      <c r="CDX226" s="37"/>
      <c r="CDY226" s="38"/>
      <c r="CDZ226" s="38"/>
      <c r="CEA226" s="39"/>
      <c r="CEB226" s="34"/>
      <c r="CEC226" s="34"/>
      <c r="CED226" s="34"/>
      <c r="CEE226" s="35"/>
      <c r="CEF226" s="35"/>
      <c r="CEG226" s="35"/>
      <c r="CEH226" s="35"/>
      <c r="CEI226" s="35"/>
      <c r="CEJ226" s="34"/>
      <c r="CEK226" s="34"/>
      <c r="CEL226" s="36"/>
      <c r="CEM226" s="36"/>
      <c r="CEN226" s="37"/>
      <c r="CEO226" s="37"/>
      <c r="CEP226" s="38"/>
      <c r="CEQ226" s="38"/>
      <c r="CER226" s="39"/>
      <c r="CES226" s="34"/>
      <c r="CET226" s="34"/>
      <c r="CEU226" s="34"/>
      <c r="CEV226" s="35"/>
      <c r="CEW226" s="35"/>
      <c r="CEX226" s="35"/>
      <c r="CEY226" s="35"/>
      <c r="CEZ226" s="35"/>
      <c r="CFA226" s="34"/>
      <c r="CFB226" s="34"/>
      <c r="CFC226" s="36"/>
      <c r="CFD226" s="36"/>
      <c r="CFE226" s="37"/>
      <c r="CFF226" s="37"/>
      <c r="CFG226" s="38"/>
      <c r="CFH226" s="38"/>
      <c r="CFI226" s="39"/>
      <c r="CFJ226" s="34"/>
      <c r="CFK226" s="34"/>
      <c r="CFL226" s="34"/>
      <c r="CFM226" s="35"/>
      <c r="CFN226" s="35"/>
      <c r="CFO226" s="35"/>
      <c r="CFP226" s="35"/>
      <c r="CFQ226" s="35"/>
      <c r="CFR226" s="34"/>
      <c r="CFS226" s="34"/>
      <c r="CFT226" s="36"/>
      <c r="CFU226" s="36"/>
      <c r="CFV226" s="37"/>
      <c r="CFW226" s="37"/>
      <c r="CFX226" s="38"/>
      <c r="CFY226" s="38"/>
      <c r="CFZ226" s="39"/>
      <c r="CGA226" s="34"/>
      <c r="CGB226" s="34"/>
      <c r="CGC226" s="34"/>
      <c r="CGD226" s="35"/>
      <c r="CGE226" s="35"/>
      <c r="CGF226" s="35"/>
      <c r="CGG226" s="35"/>
      <c r="CGH226" s="35"/>
      <c r="CGI226" s="34"/>
      <c r="CGJ226" s="34"/>
      <c r="CGK226" s="36"/>
      <c r="CGL226" s="36"/>
      <c r="CGM226" s="37"/>
      <c r="CGN226" s="37"/>
      <c r="CGO226" s="38"/>
      <c r="CGP226" s="38"/>
      <c r="CGQ226" s="39"/>
      <c r="CGR226" s="34"/>
      <c r="CGS226" s="34"/>
      <c r="CGT226" s="34"/>
      <c r="CGU226" s="35"/>
      <c r="CGV226" s="35"/>
      <c r="CGW226" s="35"/>
      <c r="CGX226" s="35"/>
      <c r="CGY226" s="35"/>
      <c r="CGZ226" s="34"/>
      <c r="CHA226" s="34"/>
      <c r="CHB226" s="36"/>
      <c r="CHC226" s="36"/>
      <c r="CHD226" s="37"/>
      <c r="CHE226" s="37"/>
      <c r="CHF226" s="38"/>
      <c r="CHG226" s="38"/>
      <c r="CHH226" s="39"/>
      <c r="CHI226" s="34"/>
      <c r="CHJ226" s="34"/>
      <c r="CHK226" s="34"/>
      <c r="CHL226" s="35"/>
      <c r="CHM226" s="35"/>
      <c r="CHN226" s="35"/>
      <c r="CHO226" s="35"/>
      <c r="CHP226" s="35"/>
      <c r="CHQ226" s="34"/>
      <c r="CHR226" s="34"/>
      <c r="CHS226" s="36"/>
      <c r="CHT226" s="36"/>
      <c r="CHU226" s="37"/>
      <c r="CHV226" s="37"/>
      <c r="CHW226" s="38"/>
      <c r="CHX226" s="38"/>
      <c r="CHY226" s="39"/>
      <c r="CHZ226" s="34"/>
      <c r="CIA226" s="34"/>
      <c r="CIB226" s="34"/>
      <c r="CIC226" s="35"/>
      <c r="CID226" s="35"/>
      <c r="CIE226" s="35"/>
      <c r="CIF226" s="35"/>
      <c r="CIG226" s="35"/>
      <c r="CIH226" s="34"/>
      <c r="CII226" s="34"/>
      <c r="CIJ226" s="36"/>
      <c r="CIK226" s="36"/>
      <c r="CIL226" s="37"/>
      <c r="CIM226" s="37"/>
      <c r="CIN226" s="38"/>
      <c r="CIO226" s="38"/>
      <c r="CIP226" s="39"/>
      <c r="CIQ226" s="34"/>
      <c r="CIR226" s="34"/>
      <c r="CIS226" s="34"/>
      <c r="CIT226" s="35"/>
      <c r="CIU226" s="35"/>
      <c r="CIV226" s="35"/>
      <c r="CIW226" s="35"/>
      <c r="CIX226" s="35"/>
      <c r="CIY226" s="34"/>
      <c r="CIZ226" s="34"/>
      <c r="CJA226" s="36"/>
      <c r="CJB226" s="36"/>
      <c r="CJC226" s="37"/>
      <c r="CJD226" s="37"/>
      <c r="CJE226" s="38"/>
      <c r="CJF226" s="38"/>
      <c r="CJG226" s="39"/>
      <c r="CJH226" s="34"/>
      <c r="CJI226" s="34"/>
      <c r="CJJ226" s="34"/>
      <c r="CJK226" s="35"/>
      <c r="CJL226" s="35"/>
      <c r="CJM226" s="35"/>
      <c r="CJN226" s="35"/>
      <c r="CJO226" s="35"/>
      <c r="CJP226" s="34"/>
      <c r="CJQ226" s="34"/>
      <c r="CJR226" s="36"/>
      <c r="CJS226" s="36"/>
      <c r="CJT226" s="37"/>
      <c r="CJU226" s="37"/>
      <c r="CJV226" s="38"/>
      <c r="CJW226" s="38"/>
      <c r="CJX226" s="39"/>
      <c r="CJY226" s="34"/>
      <c r="CJZ226" s="34"/>
      <c r="CKA226" s="34"/>
      <c r="CKB226" s="35"/>
      <c r="CKC226" s="35"/>
      <c r="CKD226" s="35"/>
      <c r="CKE226" s="35"/>
      <c r="CKF226" s="35"/>
      <c r="CKG226" s="34"/>
      <c r="CKH226" s="34"/>
      <c r="CKI226" s="36"/>
      <c r="CKJ226" s="36"/>
      <c r="CKK226" s="37"/>
      <c r="CKL226" s="37"/>
      <c r="CKM226" s="38"/>
      <c r="CKN226" s="38"/>
      <c r="CKO226" s="39"/>
      <c r="CKP226" s="34"/>
      <c r="CKQ226" s="34"/>
      <c r="CKR226" s="34"/>
      <c r="CKS226" s="35"/>
      <c r="CKT226" s="35"/>
      <c r="CKU226" s="35"/>
      <c r="CKV226" s="35"/>
      <c r="CKW226" s="35"/>
      <c r="CKX226" s="34"/>
      <c r="CKY226" s="34"/>
      <c r="CKZ226" s="36"/>
      <c r="CLA226" s="36"/>
      <c r="CLB226" s="37"/>
      <c r="CLC226" s="37"/>
      <c r="CLD226" s="38"/>
      <c r="CLE226" s="38"/>
      <c r="CLF226" s="39"/>
      <c r="CLG226" s="34"/>
      <c r="CLH226" s="34"/>
      <c r="CLI226" s="34"/>
      <c r="CLJ226" s="35"/>
      <c r="CLK226" s="35"/>
      <c r="CLL226" s="35"/>
      <c r="CLM226" s="35"/>
      <c r="CLN226" s="35"/>
      <c r="CLO226" s="34"/>
      <c r="CLP226" s="34"/>
      <c r="CLQ226" s="36"/>
      <c r="CLR226" s="36"/>
      <c r="CLS226" s="37"/>
      <c r="CLT226" s="37"/>
      <c r="CLU226" s="38"/>
      <c r="CLV226" s="38"/>
      <c r="CLW226" s="39"/>
      <c r="CLX226" s="34"/>
      <c r="CLY226" s="34"/>
      <c r="CLZ226" s="34"/>
      <c r="CMA226" s="35"/>
      <c r="CMB226" s="35"/>
      <c r="CMC226" s="35"/>
      <c r="CMD226" s="35"/>
      <c r="CME226" s="35"/>
      <c r="CMF226" s="34"/>
      <c r="CMG226" s="34"/>
      <c r="CMH226" s="36"/>
      <c r="CMI226" s="36"/>
      <c r="CMJ226" s="37"/>
      <c r="CMK226" s="37"/>
      <c r="CML226" s="38"/>
      <c r="CMM226" s="38"/>
      <c r="CMN226" s="39"/>
      <c r="CMO226" s="34"/>
      <c r="CMP226" s="34"/>
      <c r="CMQ226" s="34"/>
      <c r="CMR226" s="35"/>
      <c r="CMS226" s="35"/>
      <c r="CMT226" s="35"/>
      <c r="CMU226" s="35"/>
      <c r="CMV226" s="35"/>
      <c r="CMW226" s="34"/>
      <c r="CMX226" s="34"/>
      <c r="CMY226" s="36"/>
      <c r="CMZ226" s="36"/>
      <c r="CNA226" s="37"/>
      <c r="CNB226" s="37"/>
      <c r="CNC226" s="38"/>
      <c r="CND226" s="38"/>
      <c r="CNE226" s="39"/>
      <c r="CNF226" s="34"/>
      <c r="CNG226" s="34"/>
      <c r="CNH226" s="34"/>
      <c r="CNI226" s="35"/>
      <c r="CNJ226" s="35"/>
      <c r="CNK226" s="35"/>
      <c r="CNL226" s="35"/>
      <c r="CNM226" s="35"/>
      <c r="CNN226" s="34"/>
      <c r="CNO226" s="34"/>
      <c r="CNP226" s="36"/>
      <c r="CNQ226" s="36"/>
      <c r="CNR226" s="37"/>
      <c r="CNS226" s="37"/>
      <c r="CNT226" s="38"/>
      <c r="CNU226" s="38"/>
      <c r="CNV226" s="39"/>
      <c r="CNW226" s="34"/>
      <c r="CNX226" s="34"/>
      <c r="CNY226" s="34"/>
      <c r="CNZ226" s="35"/>
      <c r="COA226" s="35"/>
      <c r="COB226" s="35"/>
      <c r="COC226" s="35"/>
      <c r="COD226" s="35"/>
      <c r="COE226" s="34"/>
      <c r="COF226" s="34"/>
      <c r="COG226" s="36"/>
      <c r="COH226" s="36"/>
      <c r="COI226" s="37"/>
      <c r="COJ226" s="37"/>
      <c r="COK226" s="38"/>
      <c r="COL226" s="38"/>
      <c r="COM226" s="39"/>
      <c r="CON226" s="34"/>
      <c r="COO226" s="34"/>
      <c r="COP226" s="34"/>
      <c r="COQ226" s="35"/>
      <c r="COR226" s="35"/>
      <c r="COS226" s="35"/>
      <c r="COT226" s="35"/>
      <c r="COU226" s="35"/>
      <c r="COV226" s="34"/>
      <c r="COW226" s="34"/>
      <c r="COX226" s="36"/>
      <c r="COY226" s="36"/>
      <c r="COZ226" s="37"/>
      <c r="CPA226" s="37"/>
      <c r="CPB226" s="38"/>
      <c r="CPC226" s="38"/>
      <c r="CPD226" s="39"/>
      <c r="CPE226" s="34"/>
      <c r="CPF226" s="34"/>
      <c r="CPG226" s="34"/>
      <c r="CPH226" s="35"/>
      <c r="CPI226" s="35"/>
      <c r="CPJ226" s="35"/>
      <c r="CPK226" s="35"/>
      <c r="CPL226" s="35"/>
      <c r="CPM226" s="34"/>
      <c r="CPN226" s="34"/>
      <c r="CPO226" s="36"/>
      <c r="CPP226" s="36"/>
      <c r="CPQ226" s="37"/>
      <c r="CPR226" s="37"/>
      <c r="CPS226" s="38"/>
      <c r="CPT226" s="38"/>
      <c r="CPU226" s="39"/>
      <c r="CPV226" s="34"/>
      <c r="CPW226" s="34"/>
      <c r="CPX226" s="34"/>
      <c r="CPY226" s="35"/>
      <c r="CPZ226" s="35"/>
      <c r="CQA226" s="35"/>
      <c r="CQB226" s="35"/>
      <c r="CQC226" s="35"/>
      <c r="CQD226" s="34"/>
      <c r="CQE226" s="34"/>
      <c r="CQF226" s="36"/>
      <c r="CQG226" s="36"/>
      <c r="CQH226" s="37"/>
      <c r="CQI226" s="37"/>
      <c r="CQJ226" s="38"/>
      <c r="CQK226" s="38"/>
      <c r="CQL226" s="39"/>
      <c r="CQM226" s="34"/>
      <c r="CQN226" s="34"/>
      <c r="CQO226" s="34"/>
      <c r="CQP226" s="35"/>
      <c r="CQQ226" s="35"/>
      <c r="CQR226" s="35"/>
      <c r="CQS226" s="35"/>
      <c r="CQT226" s="35"/>
      <c r="CQU226" s="34"/>
      <c r="CQV226" s="34"/>
      <c r="CQW226" s="36"/>
      <c r="CQX226" s="36"/>
      <c r="CQY226" s="37"/>
      <c r="CQZ226" s="37"/>
      <c r="CRA226" s="38"/>
      <c r="CRB226" s="38"/>
      <c r="CRC226" s="39"/>
      <c r="CRD226" s="34"/>
      <c r="CRE226" s="34"/>
      <c r="CRF226" s="34"/>
      <c r="CRG226" s="35"/>
      <c r="CRH226" s="35"/>
      <c r="CRI226" s="35"/>
      <c r="CRJ226" s="35"/>
      <c r="CRK226" s="35"/>
      <c r="CRL226" s="34"/>
      <c r="CRM226" s="34"/>
      <c r="CRN226" s="36"/>
      <c r="CRO226" s="36"/>
      <c r="CRP226" s="37"/>
      <c r="CRQ226" s="37"/>
      <c r="CRR226" s="38"/>
      <c r="CRS226" s="38"/>
      <c r="CRT226" s="39"/>
      <c r="CRU226" s="34"/>
      <c r="CRV226" s="34"/>
      <c r="CRW226" s="34"/>
      <c r="CRX226" s="35"/>
      <c r="CRY226" s="35"/>
      <c r="CRZ226" s="35"/>
      <c r="CSA226" s="35"/>
      <c r="CSB226" s="35"/>
      <c r="CSC226" s="34"/>
      <c r="CSD226" s="34"/>
      <c r="CSE226" s="36"/>
      <c r="CSF226" s="36"/>
      <c r="CSG226" s="37"/>
      <c r="CSH226" s="37"/>
      <c r="CSI226" s="38"/>
      <c r="CSJ226" s="38"/>
      <c r="CSK226" s="39"/>
      <c r="CSL226" s="34"/>
      <c r="CSM226" s="34"/>
      <c r="CSN226" s="34"/>
      <c r="CSO226" s="35"/>
      <c r="CSP226" s="35"/>
      <c r="CSQ226" s="35"/>
      <c r="CSR226" s="35"/>
      <c r="CSS226" s="35"/>
      <c r="CST226" s="34"/>
      <c r="CSU226" s="34"/>
      <c r="CSV226" s="36"/>
      <c r="CSW226" s="36"/>
      <c r="CSX226" s="37"/>
      <c r="CSY226" s="37"/>
      <c r="CSZ226" s="38"/>
      <c r="CTA226" s="38"/>
      <c r="CTB226" s="39"/>
      <c r="CTC226" s="34"/>
      <c r="CTD226" s="34"/>
      <c r="CTE226" s="34"/>
      <c r="CTF226" s="35"/>
      <c r="CTG226" s="35"/>
      <c r="CTH226" s="35"/>
      <c r="CTI226" s="35"/>
      <c r="CTJ226" s="35"/>
      <c r="CTK226" s="34"/>
      <c r="CTL226" s="34"/>
      <c r="CTM226" s="36"/>
      <c r="CTN226" s="36"/>
      <c r="CTO226" s="37"/>
      <c r="CTP226" s="37"/>
      <c r="CTQ226" s="38"/>
      <c r="CTR226" s="38"/>
      <c r="CTS226" s="39"/>
      <c r="CTT226" s="34"/>
      <c r="CTU226" s="34"/>
      <c r="CTV226" s="34"/>
      <c r="CTW226" s="35"/>
      <c r="CTX226" s="35"/>
      <c r="CTY226" s="35"/>
      <c r="CTZ226" s="35"/>
      <c r="CUA226" s="35"/>
      <c r="CUB226" s="34"/>
      <c r="CUC226" s="34"/>
      <c r="CUD226" s="36"/>
      <c r="CUE226" s="36"/>
      <c r="CUF226" s="37"/>
      <c r="CUG226" s="37"/>
      <c r="CUH226" s="38"/>
      <c r="CUI226" s="38"/>
      <c r="CUJ226" s="39"/>
      <c r="CUK226" s="34"/>
      <c r="CUL226" s="34"/>
      <c r="CUM226" s="34"/>
      <c r="CUN226" s="35"/>
      <c r="CUO226" s="35"/>
      <c r="CUP226" s="35"/>
      <c r="CUQ226" s="35"/>
      <c r="CUR226" s="35"/>
      <c r="CUS226" s="34"/>
      <c r="CUT226" s="34"/>
      <c r="CUU226" s="36"/>
      <c r="CUV226" s="36"/>
      <c r="CUW226" s="37"/>
      <c r="CUX226" s="37"/>
      <c r="CUY226" s="38"/>
      <c r="CUZ226" s="38"/>
      <c r="CVA226" s="39"/>
      <c r="CVB226" s="34"/>
      <c r="CVC226" s="34"/>
      <c r="CVD226" s="34"/>
      <c r="CVE226" s="35"/>
      <c r="CVF226" s="35"/>
      <c r="CVG226" s="35"/>
      <c r="CVH226" s="35"/>
      <c r="CVI226" s="35"/>
      <c r="CVJ226" s="34"/>
      <c r="CVK226" s="34"/>
      <c r="CVL226" s="36"/>
      <c r="CVM226" s="36"/>
      <c r="CVN226" s="37"/>
      <c r="CVO226" s="37"/>
      <c r="CVP226" s="38"/>
      <c r="CVQ226" s="38"/>
      <c r="CVR226" s="39"/>
      <c r="CVS226" s="34"/>
      <c r="CVT226" s="34"/>
      <c r="CVU226" s="34"/>
      <c r="CVV226" s="35"/>
      <c r="CVW226" s="35"/>
      <c r="CVX226" s="35"/>
      <c r="CVY226" s="35"/>
      <c r="CVZ226" s="35"/>
      <c r="CWA226" s="34"/>
      <c r="CWB226" s="34"/>
      <c r="CWC226" s="36"/>
      <c r="CWD226" s="36"/>
      <c r="CWE226" s="37"/>
      <c r="CWF226" s="37"/>
      <c r="CWG226" s="38"/>
      <c r="CWH226" s="38"/>
      <c r="CWI226" s="39"/>
      <c r="CWJ226" s="34"/>
      <c r="CWK226" s="34"/>
      <c r="CWL226" s="34"/>
      <c r="CWM226" s="35"/>
      <c r="CWN226" s="35"/>
      <c r="CWO226" s="35"/>
      <c r="CWP226" s="35"/>
      <c r="CWQ226" s="35"/>
      <c r="CWR226" s="34"/>
      <c r="CWS226" s="34"/>
      <c r="CWT226" s="36"/>
      <c r="CWU226" s="36"/>
      <c r="CWV226" s="37"/>
      <c r="CWW226" s="37"/>
      <c r="CWX226" s="38"/>
      <c r="CWY226" s="38"/>
      <c r="CWZ226" s="39"/>
      <c r="CXA226" s="34"/>
      <c r="CXB226" s="34"/>
      <c r="CXC226" s="34"/>
      <c r="CXD226" s="35"/>
      <c r="CXE226" s="35"/>
      <c r="CXF226" s="35"/>
      <c r="CXG226" s="35"/>
      <c r="CXH226" s="35"/>
      <c r="CXI226" s="34"/>
      <c r="CXJ226" s="34"/>
      <c r="CXK226" s="36"/>
      <c r="CXL226" s="36"/>
      <c r="CXM226" s="37"/>
      <c r="CXN226" s="37"/>
      <c r="CXO226" s="38"/>
      <c r="CXP226" s="38"/>
      <c r="CXQ226" s="39"/>
      <c r="CXR226" s="34"/>
      <c r="CXS226" s="34"/>
      <c r="CXT226" s="34"/>
      <c r="CXU226" s="35"/>
      <c r="CXV226" s="35"/>
      <c r="CXW226" s="35"/>
      <c r="CXX226" s="35"/>
      <c r="CXY226" s="35"/>
      <c r="CXZ226" s="34"/>
      <c r="CYA226" s="34"/>
      <c r="CYB226" s="36"/>
      <c r="CYC226" s="36"/>
      <c r="CYD226" s="37"/>
      <c r="CYE226" s="37"/>
      <c r="CYF226" s="38"/>
      <c r="CYG226" s="38"/>
      <c r="CYH226" s="39"/>
      <c r="CYI226" s="34"/>
      <c r="CYJ226" s="34"/>
      <c r="CYK226" s="34"/>
      <c r="CYL226" s="35"/>
      <c r="CYM226" s="35"/>
      <c r="CYN226" s="35"/>
      <c r="CYO226" s="35"/>
      <c r="CYP226" s="35"/>
      <c r="CYQ226" s="34"/>
      <c r="CYR226" s="34"/>
      <c r="CYS226" s="36"/>
      <c r="CYT226" s="36"/>
      <c r="CYU226" s="37"/>
      <c r="CYV226" s="37"/>
      <c r="CYW226" s="38"/>
      <c r="CYX226" s="38"/>
      <c r="CYY226" s="39"/>
      <c r="CYZ226" s="34"/>
      <c r="CZA226" s="34"/>
      <c r="CZB226" s="34"/>
      <c r="CZC226" s="35"/>
      <c r="CZD226" s="35"/>
      <c r="CZE226" s="35"/>
      <c r="CZF226" s="35"/>
      <c r="CZG226" s="35"/>
      <c r="CZH226" s="34"/>
      <c r="CZI226" s="34"/>
      <c r="CZJ226" s="36"/>
      <c r="CZK226" s="36"/>
      <c r="CZL226" s="37"/>
      <c r="CZM226" s="37"/>
      <c r="CZN226" s="38"/>
      <c r="CZO226" s="38"/>
      <c r="CZP226" s="39"/>
      <c r="CZQ226" s="34"/>
      <c r="CZR226" s="34"/>
      <c r="CZS226" s="34"/>
      <c r="CZT226" s="35"/>
      <c r="CZU226" s="35"/>
      <c r="CZV226" s="35"/>
      <c r="CZW226" s="35"/>
      <c r="CZX226" s="35"/>
      <c r="CZY226" s="34"/>
      <c r="CZZ226" s="34"/>
      <c r="DAA226" s="36"/>
      <c r="DAB226" s="36"/>
      <c r="DAC226" s="37"/>
      <c r="DAD226" s="37"/>
      <c r="DAE226" s="38"/>
      <c r="DAF226" s="38"/>
      <c r="DAG226" s="39"/>
      <c r="DAH226" s="34"/>
      <c r="DAI226" s="34"/>
      <c r="DAJ226" s="34"/>
      <c r="DAK226" s="35"/>
      <c r="DAL226" s="35"/>
      <c r="DAM226" s="35"/>
      <c r="DAN226" s="35"/>
      <c r="DAO226" s="35"/>
      <c r="DAP226" s="34"/>
      <c r="DAQ226" s="34"/>
      <c r="DAR226" s="36"/>
      <c r="DAS226" s="36"/>
      <c r="DAT226" s="37"/>
      <c r="DAU226" s="37"/>
      <c r="DAV226" s="38"/>
      <c r="DAW226" s="38"/>
      <c r="DAX226" s="39"/>
      <c r="DAY226" s="34"/>
      <c r="DAZ226" s="34"/>
      <c r="DBA226" s="34"/>
      <c r="DBB226" s="35"/>
      <c r="DBC226" s="35"/>
      <c r="DBD226" s="35"/>
      <c r="DBE226" s="35"/>
      <c r="DBF226" s="35"/>
      <c r="DBG226" s="34"/>
      <c r="DBH226" s="34"/>
      <c r="DBI226" s="36"/>
      <c r="DBJ226" s="36"/>
      <c r="DBK226" s="37"/>
      <c r="DBL226" s="37"/>
      <c r="DBM226" s="38"/>
      <c r="DBN226" s="38"/>
      <c r="DBO226" s="39"/>
      <c r="DBP226" s="34"/>
      <c r="DBQ226" s="34"/>
      <c r="DBR226" s="34"/>
      <c r="DBS226" s="35"/>
      <c r="DBT226" s="35"/>
      <c r="DBU226" s="35"/>
      <c r="DBV226" s="35"/>
      <c r="DBW226" s="35"/>
      <c r="DBX226" s="34"/>
      <c r="DBY226" s="34"/>
      <c r="DBZ226" s="36"/>
      <c r="DCA226" s="36"/>
      <c r="DCB226" s="37"/>
      <c r="DCC226" s="37"/>
      <c r="DCD226" s="38"/>
      <c r="DCE226" s="38"/>
      <c r="DCF226" s="39"/>
      <c r="DCG226" s="34"/>
      <c r="DCH226" s="34"/>
      <c r="DCI226" s="34"/>
      <c r="DCJ226" s="35"/>
      <c r="DCK226" s="35"/>
      <c r="DCL226" s="35"/>
      <c r="DCM226" s="35"/>
      <c r="DCN226" s="35"/>
      <c r="DCO226" s="34"/>
      <c r="DCP226" s="34"/>
      <c r="DCQ226" s="36"/>
      <c r="DCR226" s="36"/>
      <c r="DCS226" s="37"/>
      <c r="DCT226" s="37"/>
      <c r="DCU226" s="38"/>
      <c r="DCV226" s="38"/>
      <c r="DCW226" s="39"/>
      <c r="DCX226" s="34"/>
      <c r="DCY226" s="34"/>
      <c r="DCZ226" s="34"/>
      <c r="DDA226" s="35"/>
      <c r="DDB226" s="35"/>
      <c r="DDC226" s="35"/>
      <c r="DDD226" s="35"/>
      <c r="DDE226" s="35"/>
      <c r="DDF226" s="34"/>
      <c r="DDG226" s="34"/>
      <c r="DDH226" s="36"/>
      <c r="DDI226" s="36"/>
      <c r="DDJ226" s="37"/>
      <c r="DDK226" s="37"/>
      <c r="DDL226" s="38"/>
      <c r="DDM226" s="38"/>
      <c r="DDN226" s="39"/>
      <c r="DDO226" s="34"/>
      <c r="DDP226" s="34"/>
      <c r="DDQ226" s="34"/>
      <c r="DDR226" s="35"/>
      <c r="DDS226" s="35"/>
      <c r="DDT226" s="35"/>
      <c r="DDU226" s="35"/>
      <c r="DDV226" s="35"/>
      <c r="DDW226" s="34"/>
      <c r="DDX226" s="34"/>
      <c r="DDY226" s="36"/>
      <c r="DDZ226" s="36"/>
      <c r="DEA226" s="37"/>
      <c r="DEB226" s="37"/>
      <c r="DEC226" s="38"/>
      <c r="DED226" s="38"/>
      <c r="DEE226" s="39"/>
      <c r="DEF226" s="34"/>
      <c r="DEG226" s="34"/>
      <c r="DEH226" s="34"/>
      <c r="DEI226" s="35"/>
      <c r="DEJ226" s="35"/>
      <c r="DEK226" s="35"/>
      <c r="DEL226" s="35"/>
      <c r="DEM226" s="35"/>
      <c r="DEN226" s="34"/>
      <c r="DEO226" s="34"/>
      <c r="DEP226" s="36"/>
      <c r="DEQ226" s="36"/>
      <c r="DER226" s="37"/>
      <c r="DES226" s="37"/>
      <c r="DET226" s="38"/>
      <c r="DEU226" s="38"/>
      <c r="DEV226" s="39"/>
      <c r="DEW226" s="34"/>
      <c r="DEX226" s="34"/>
      <c r="DEY226" s="34"/>
      <c r="DEZ226" s="35"/>
      <c r="DFA226" s="35"/>
      <c r="DFB226" s="35"/>
      <c r="DFC226" s="35"/>
      <c r="DFD226" s="35"/>
      <c r="DFE226" s="34"/>
      <c r="DFF226" s="34"/>
      <c r="DFG226" s="36"/>
      <c r="DFH226" s="36"/>
      <c r="DFI226" s="37"/>
      <c r="DFJ226" s="37"/>
      <c r="DFK226" s="38"/>
      <c r="DFL226" s="38"/>
      <c r="DFM226" s="39"/>
      <c r="DFN226" s="34"/>
      <c r="DFO226" s="34"/>
      <c r="DFP226" s="34"/>
      <c r="DFQ226" s="35"/>
      <c r="DFR226" s="35"/>
      <c r="DFS226" s="35"/>
      <c r="DFT226" s="35"/>
      <c r="DFU226" s="35"/>
      <c r="DFV226" s="34"/>
      <c r="DFW226" s="34"/>
      <c r="DFX226" s="36"/>
      <c r="DFY226" s="36"/>
      <c r="DFZ226" s="37"/>
      <c r="DGA226" s="37"/>
      <c r="DGB226" s="38"/>
      <c r="DGC226" s="38"/>
      <c r="DGD226" s="39"/>
      <c r="DGE226" s="34"/>
      <c r="DGF226" s="34"/>
      <c r="DGG226" s="34"/>
      <c r="DGH226" s="35"/>
      <c r="DGI226" s="35"/>
      <c r="DGJ226" s="35"/>
      <c r="DGK226" s="35"/>
      <c r="DGL226" s="35"/>
      <c r="DGM226" s="34"/>
      <c r="DGN226" s="34"/>
      <c r="DGO226" s="36"/>
      <c r="DGP226" s="36"/>
      <c r="DGQ226" s="37"/>
      <c r="DGR226" s="37"/>
      <c r="DGS226" s="38"/>
      <c r="DGT226" s="38"/>
      <c r="DGU226" s="39"/>
      <c r="DGV226" s="34"/>
      <c r="DGW226" s="34"/>
      <c r="DGX226" s="34"/>
      <c r="DGY226" s="35"/>
      <c r="DGZ226" s="35"/>
      <c r="DHA226" s="35"/>
      <c r="DHB226" s="35"/>
      <c r="DHC226" s="35"/>
      <c r="DHD226" s="34"/>
      <c r="DHE226" s="34"/>
      <c r="DHF226" s="36"/>
      <c r="DHG226" s="36"/>
      <c r="DHH226" s="37"/>
      <c r="DHI226" s="37"/>
      <c r="DHJ226" s="38"/>
      <c r="DHK226" s="38"/>
      <c r="DHL226" s="39"/>
      <c r="DHM226" s="34"/>
      <c r="DHN226" s="34"/>
      <c r="DHO226" s="34"/>
      <c r="DHP226" s="35"/>
      <c r="DHQ226" s="35"/>
      <c r="DHR226" s="35"/>
      <c r="DHS226" s="35"/>
      <c r="DHT226" s="35"/>
      <c r="DHU226" s="34"/>
      <c r="DHV226" s="34"/>
      <c r="DHW226" s="36"/>
      <c r="DHX226" s="36"/>
      <c r="DHY226" s="37"/>
      <c r="DHZ226" s="37"/>
      <c r="DIA226" s="38"/>
      <c r="DIB226" s="38"/>
      <c r="DIC226" s="39"/>
      <c r="DID226" s="34"/>
      <c r="DIE226" s="34"/>
      <c r="DIF226" s="34"/>
      <c r="DIG226" s="35"/>
      <c r="DIH226" s="35"/>
      <c r="DII226" s="35"/>
      <c r="DIJ226" s="35"/>
      <c r="DIK226" s="35"/>
      <c r="DIL226" s="34"/>
      <c r="DIM226" s="34"/>
      <c r="DIN226" s="36"/>
      <c r="DIO226" s="36"/>
      <c r="DIP226" s="37"/>
      <c r="DIQ226" s="37"/>
      <c r="DIR226" s="38"/>
      <c r="DIS226" s="38"/>
      <c r="DIT226" s="39"/>
      <c r="DIU226" s="34"/>
      <c r="DIV226" s="34"/>
      <c r="DIW226" s="34"/>
      <c r="DIX226" s="35"/>
      <c r="DIY226" s="35"/>
      <c r="DIZ226" s="35"/>
      <c r="DJA226" s="35"/>
      <c r="DJB226" s="35"/>
      <c r="DJC226" s="34"/>
      <c r="DJD226" s="34"/>
      <c r="DJE226" s="36"/>
      <c r="DJF226" s="36"/>
      <c r="DJG226" s="37"/>
      <c r="DJH226" s="37"/>
      <c r="DJI226" s="38"/>
      <c r="DJJ226" s="38"/>
      <c r="DJK226" s="39"/>
      <c r="DJL226" s="34"/>
      <c r="DJM226" s="34"/>
      <c r="DJN226" s="34"/>
      <c r="DJO226" s="35"/>
      <c r="DJP226" s="35"/>
      <c r="DJQ226" s="35"/>
      <c r="DJR226" s="35"/>
      <c r="DJS226" s="35"/>
      <c r="DJT226" s="34"/>
      <c r="DJU226" s="34"/>
      <c r="DJV226" s="36"/>
      <c r="DJW226" s="36"/>
      <c r="DJX226" s="37"/>
      <c r="DJY226" s="37"/>
      <c r="DJZ226" s="38"/>
      <c r="DKA226" s="38"/>
      <c r="DKB226" s="39"/>
      <c r="DKC226" s="34"/>
      <c r="DKD226" s="34"/>
      <c r="DKE226" s="34"/>
      <c r="DKF226" s="35"/>
      <c r="DKG226" s="35"/>
      <c r="DKH226" s="35"/>
      <c r="DKI226" s="35"/>
      <c r="DKJ226" s="35"/>
      <c r="DKK226" s="34"/>
      <c r="DKL226" s="34"/>
      <c r="DKM226" s="36"/>
      <c r="DKN226" s="36"/>
      <c r="DKO226" s="37"/>
      <c r="DKP226" s="37"/>
      <c r="DKQ226" s="38"/>
      <c r="DKR226" s="38"/>
      <c r="DKS226" s="39"/>
      <c r="DKT226" s="34"/>
      <c r="DKU226" s="34"/>
      <c r="DKV226" s="34"/>
      <c r="DKW226" s="35"/>
      <c r="DKX226" s="35"/>
      <c r="DKY226" s="35"/>
      <c r="DKZ226" s="35"/>
      <c r="DLA226" s="35"/>
      <c r="DLB226" s="34"/>
      <c r="DLC226" s="34"/>
      <c r="DLD226" s="36"/>
      <c r="DLE226" s="36"/>
      <c r="DLF226" s="37"/>
      <c r="DLG226" s="37"/>
      <c r="DLH226" s="38"/>
      <c r="DLI226" s="38"/>
      <c r="DLJ226" s="39"/>
      <c r="DLK226" s="34"/>
      <c r="DLL226" s="34"/>
      <c r="DLM226" s="34"/>
      <c r="DLN226" s="35"/>
      <c r="DLO226" s="35"/>
      <c r="DLP226" s="35"/>
      <c r="DLQ226" s="35"/>
      <c r="DLR226" s="35"/>
      <c r="DLS226" s="34"/>
      <c r="DLT226" s="34"/>
      <c r="DLU226" s="36"/>
      <c r="DLV226" s="36"/>
      <c r="DLW226" s="37"/>
      <c r="DLX226" s="37"/>
      <c r="DLY226" s="38"/>
      <c r="DLZ226" s="38"/>
      <c r="DMA226" s="39"/>
      <c r="DMB226" s="34"/>
      <c r="DMC226" s="34"/>
      <c r="DMD226" s="34"/>
      <c r="DME226" s="35"/>
      <c r="DMF226" s="35"/>
      <c r="DMG226" s="35"/>
      <c r="DMH226" s="35"/>
      <c r="DMI226" s="35"/>
      <c r="DMJ226" s="34"/>
      <c r="DMK226" s="34"/>
      <c r="DML226" s="36"/>
      <c r="DMM226" s="36"/>
      <c r="DMN226" s="37"/>
      <c r="DMO226" s="37"/>
      <c r="DMP226" s="38"/>
      <c r="DMQ226" s="38"/>
      <c r="DMR226" s="39"/>
      <c r="DMS226" s="34"/>
      <c r="DMT226" s="34"/>
      <c r="DMU226" s="34"/>
      <c r="DMV226" s="35"/>
      <c r="DMW226" s="35"/>
      <c r="DMX226" s="35"/>
      <c r="DMY226" s="35"/>
      <c r="DMZ226" s="35"/>
      <c r="DNA226" s="34"/>
      <c r="DNB226" s="34"/>
      <c r="DNC226" s="36"/>
      <c r="DND226" s="36"/>
      <c r="DNE226" s="37"/>
      <c r="DNF226" s="37"/>
      <c r="DNG226" s="38"/>
      <c r="DNH226" s="38"/>
      <c r="DNI226" s="39"/>
      <c r="DNJ226" s="34"/>
      <c r="DNK226" s="34"/>
      <c r="DNL226" s="34"/>
      <c r="DNM226" s="35"/>
      <c r="DNN226" s="35"/>
      <c r="DNO226" s="35"/>
      <c r="DNP226" s="35"/>
      <c r="DNQ226" s="35"/>
      <c r="DNR226" s="34"/>
      <c r="DNS226" s="34"/>
      <c r="DNT226" s="36"/>
      <c r="DNU226" s="36"/>
      <c r="DNV226" s="37"/>
      <c r="DNW226" s="37"/>
      <c r="DNX226" s="38"/>
      <c r="DNY226" s="38"/>
      <c r="DNZ226" s="39"/>
      <c r="DOA226" s="34"/>
      <c r="DOB226" s="34"/>
      <c r="DOC226" s="34"/>
      <c r="DOD226" s="35"/>
      <c r="DOE226" s="35"/>
      <c r="DOF226" s="35"/>
      <c r="DOG226" s="35"/>
      <c r="DOH226" s="35"/>
      <c r="DOI226" s="34"/>
      <c r="DOJ226" s="34"/>
      <c r="DOK226" s="36"/>
      <c r="DOL226" s="36"/>
      <c r="DOM226" s="37"/>
      <c r="DON226" s="37"/>
      <c r="DOO226" s="38"/>
      <c r="DOP226" s="38"/>
      <c r="DOQ226" s="39"/>
      <c r="DOR226" s="34"/>
      <c r="DOS226" s="34"/>
      <c r="DOT226" s="34"/>
      <c r="DOU226" s="35"/>
      <c r="DOV226" s="35"/>
      <c r="DOW226" s="35"/>
      <c r="DOX226" s="35"/>
      <c r="DOY226" s="35"/>
      <c r="DOZ226" s="34"/>
      <c r="DPA226" s="34"/>
      <c r="DPB226" s="36"/>
      <c r="DPC226" s="36"/>
      <c r="DPD226" s="37"/>
      <c r="DPE226" s="37"/>
      <c r="DPF226" s="38"/>
      <c r="DPG226" s="38"/>
      <c r="DPH226" s="39"/>
      <c r="DPI226" s="34"/>
      <c r="DPJ226" s="34"/>
      <c r="DPK226" s="34"/>
      <c r="DPL226" s="35"/>
      <c r="DPM226" s="35"/>
      <c r="DPN226" s="35"/>
      <c r="DPO226" s="35"/>
      <c r="DPP226" s="35"/>
      <c r="DPQ226" s="34"/>
      <c r="DPR226" s="34"/>
      <c r="DPS226" s="36"/>
      <c r="DPT226" s="36"/>
      <c r="DPU226" s="37"/>
      <c r="DPV226" s="37"/>
      <c r="DPW226" s="38"/>
      <c r="DPX226" s="38"/>
      <c r="DPY226" s="39"/>
      <c r="DPZ226" s="34"/>
      <c r="DQA226" s="34"/>
      <c r="DQB226" s="34"/>
      <c r="DQC226" s="35"/>
      <c r="DQD226" s="35"/>
      <c r="DQE226" s="35"/>
      <c r="DQF226" s="35"/>
      <c r="DQG226" s="35"/>
      <c r="DQH226" s="34"/>
      <c r="DQI226" s="34"/>
      <c r="DQJ226" s="36"/>
      <c r="DQK226" s="36"/>
      <c r="DQL226" s="37"/>
      <c r="DQM226" s="37"/>
      <c r="DQN226" s="38"/>
      <c r="DQO226" s="38"/>
      <c r="DQP226" s="39"/>
      <c r="DQQ226" s="34"/>
      <c r="DQR226" s="34"/>
      <c r="DQS226" s="34"/>
      <c r="DQT226" s="35"/>
      <c r="DQU226" s="35"/>
      <c r="DQV226" s="35"/>
      <c r="DQW226" s="35"/>
      <c r="DQX226" s="35"/>
      <c r="DQY226" s="34"/>
      <c r="DQZ226" s="34"/>
      <c r="DRA226" s="36"/>
      <c r="DRB226" s="36"/>
      <c r="DRC226" s="37"/>
      <c r="DRD226" s="37"/>
      <c r="DRE226" s="38"/>
      <c r="DRF226" s="38"/>
      <c r="DRG226" s="39"/>
      <c r="DRH226" s="34"/>
      <c r="DRI226" s="34"/>
      <c r="DRJ226" s="34"/>
      <c r="DRK226" s="35"/>
      <c r="DRL226" s="35"/>
      <c r="DRM226" s="35"/>
      <c r="DRN226" s="35"/>
      <c r="DRO226" s="35"/>
      <c r="DRP226" s="34"/>
      <c r="DRQ226" s="34"/>
      <c r="DRR226" s="36"/>
      <c r="DRS226" s="36"/>
      <c r="DRT226" s="37"/>
      <c r="DRU226" s="37"/>
      <c r="DRV226" s="38"/>
      <c r="DRW226" s="38"/>
      <c r="DRX226" s="39"/>
      <c r="DRY226" s="34"/>
      <c r="DRZ226" s="34"/>
      <c r="DSA226" s="34"/>
      <c r="DSB226" s="35"/>
      <c r="DSC226" s="35"/>
      <c r="DSD226" s="35"/>
      <c r="DSE226" s="35"/>
      <c r="DSF226" s="35"/>
      <c r="DSG226" s="34"/>
      <c r="DSH226" s="34"/>
      <c r="DSI226" s="36"/>
      <c r="DSJ226" s="36"/>
      <c r="DSK226" s="37"/>
      <c r="DSL226" s="37"/>
      <c r="DSM226" s="38"/>
      <c r="DSN226" s="38"/>
      <c r="DSO226" s="39"/>
      <c r="DSP226" s="34"/>
      <c r="DSQ226" s="34"/>
      <c r="DSR226" s="34"/>
      <c r="DSS226" s="35"/>
      <c r="DST226" s="35"/>
      <c r="DSU226" s="35"/>
      <c r="DSV226" s="35"/>
      <c r="DSW226" s="35"/>
      <c r="DSX226" s="34"/>
      <c r="DSY226" s="34"/>
      <c r="DSZ226" s="36"/>
      <c r="DTA226" s="36"/>
      <c r="DTB226" s="37"/>
      <c r="DTC226" s="37"/>
      <c r="DTD226" s="38"/>
      <c r="DTE226" s="38"/>
      <c r="DTF226" s="39"/>
      <c r="DTG226" s="34"/>
      <c r="DTH226" s="34"/>
      <c r="DTI226" s="34"/>
      <c r="DTJ226" s="35"/>
      <c r="DTK226" s="35"/>
      <c r="DTL226" s="35"/>
      <c r="DTM226" s="35"/>
      <c r="DTN226" s="35"/>
      <c r="DTO226" s="34"/>
      <c r="DTP226" s="34"/>
      <c r="DTQ226" s="36"/>
      <c r="DTR226" s="36"/>
      <c r="DTS226" s="37"/>
      <c r="DTT226" s="37"/>
      <c r="DTU226" s="38"/>
      <c r="DTV226" s="38"/>
      <c r="DTW226" s="39"/>
      <c r="DTX226" s="34"/>
      <c r="DTY226" s="34"/>
      <c r="DTZ226" s="34"/>
      <c r="DUA226" s="35"/>
      <c r="DUB226" s="35"/>
      <c r="DUC226" s="35"/>
      <c r="DUD226" s="35"/>
      <c r="DUE226" s="35"/>
      <c r="DUF226" s="34"/>
      <c r="DUG226" s="34"/>
      <c r="DUH226" s="36"/>
      <c r="DUI226" s="36"/>
      <c r="DUJ226" s="37"/>
      <c r="DUK226" s="37"/>
      <c r="DUL226" s="38"/>
      <c r="DUM226" s="38"/>
      <c r="DUN226" s="39"/>
      <c r="DUO226" s="34"/>
      <c r="DUP226" s="34"/>
      <c r="DUQ226" s="34"/>
      <c r="DUR226" s="35"/>
      <c r="DUS226" s="35"/>
      <c r="DUT226" s="35"/>
      <c r="DUU226" s="35"/>
      <c r="DUV226" s="35"/>
      <c r="DUW226" s="34"/>
      <c r="DUX226" s="34"/>
      <c r="DUY226" s="36"/>
      <c r="DUZ226" s="36"/>
      <c r="DVA226" s="37"/>
      <c r="DVB226" s="37"/>
      <c r="DVC226" s="38"/>
      <c r="DVD226" s="38"/>
      <c r="DVE226" s="39"/>
      <c r="DVF226" s="34"/>
      <c r="DVG226" s="34"/>
      <c r="DVH226" s="34"/>
      <c r="DVI226" s="35"/>
      <c r="DVJ226" s="35"/>
      <c r="DVK226" s="35"/>
      <c r="DVL226" s="35"/>
      <c r="DVM226" s="35"/>
      <c r="DVN226" s="34"/>
      <c r="DVO226" s="34"/>
      <c r="DVP226" s="36"/>
      <c r="DVQ226" s="36"/>
      <c r="DVR226" s="37"/>
      <c r="DVS226" s="37"/>
      <c r="DVT226" s="38"/>
      <c r="DVU226" s="38"/>
      <c r="DVV226" s="39"/>
      <c r="DVW226" s="34"/>
      <c r="DVX226" s="34"/>
      <c r="DVY226" s="34"/>
      <c r="DVZ226" s="35"/>
      <c r="DWA226" s="35"/>
      <c r="DWB226" s="35"/>
      <c r="DWC226" s="35"/>
      <c r="DWD226" s="35"/>
      <c r="DWE226" s="34"/>
      <c r="DWF226" s="34"/>
      <c r="DWG226" s="36"/>
      <c r="DWH226" s="36"/>
      <c r="DWI226" s="37"/>
      <c r="DWJ226" s="37"/>
      <c r="DWK226" s="38"/>
      <c r="DWL226" s="38"/>
      <c r="DWM226" s="39"/>
      <c r="DWN226" s="34"/>
      <c r="DWO226" s="34"/>
      <c r="DWP226" s="34"/>
      <c r="DWQ226" s="35"/>
      <c r="DWR226" s="35"/>
      <c r="DWS226" s="35"/>
      <c r="DWT226" s="35"/>
      <c r="DWU226" s="35"/>
      <c r="DWV226" s="34"/>
      <c r="DWW226" s="34"/>
      <c r="DWX226" s="36"/>
      <c r="DWY226" s="36"/>
      <c r="DWZ226" s="37"/>
      <c r="DXA226" s="37"/>
      <c r="DXB226" s="38"/>
      <c r="DXC226" s="38"/>
      <c r="DXD226" s="39"/>
      <c r="DXE226" s="34"/>
      <c r="DXF226" s="34"/>
      <c r="DXG226" s="34"/>
      <c r="DXH226" s="35"/>
      <c r="DXI226" s="35"/>
      <c r="DXJ226" s="35"/>
      <c r="DXK226" s="35"/>
      <c r="DXL226" s="35"/>
      <c r="DXM226" s="34"/>
      <c r="DXN226" s="34"/>
      <c r="DXO226" s="36"/>
      <c r="DXP226" s="36"/>
      <c r="DXQ226" s="37"/>
      <c r="DXR226" s="37"/>
      <c r="DXS226" s="38"/>
      <c r="DXT226" s="38"/>
      <c r="DXU226" s="39"/>
      <c r="DXV226" s="34"/>
      <c r="DXW226" s="34"/>
      <c r="DXX226" s="34"/>
      <c r="DXY226" s="35"/>
      <c r="DXZ226" s="35"/>
      <c r="DYA226" s="35"/>
      <c r="DYB226" s="35"/>
      <c r="DYC226" s="35"/>
      <c r="DYD226" s="34"/>
      <c r="DYE226" s="34"/>
      <c r="DYF226" s="36"/>
      <c r="DYG226" s="36"/>
      <c r="DYH226" s="37"/>
      <c r="DYI226" s="37"/>
      <c r="DYJ226" s="38"/>
      <c r="DYK226" s="38"/>
      <c r="DYL226" s="39"/>
      <c r="DYM226" s="34"/>
      <c r="DYN226" s="34"/>
      <c r="DYO226" s="34"/>
      <c r="DYP226" s="35"/>
      <c r="DYQ226" s="35"/>
      <c r="DYR226" s="35"/>
      <c r="DYS226" s="35"/>
      <c r="DYT226" s="35"/>
      <c r="DYU226" s="34"/>
      <c r="DYV226" s="34"/>
      <c r="DYW226" s="36"/>
      <c r="DYX226" s="36"/>
      <c r="DYY226" s="37"/>
      <c r="DYZ226" s="37"/>
      <c r="DZA226" s="38"/>
      <c r="DZB226" s="38"/>
      <c r="DZC226" s="39"/>
      <c r="DZD226" s="34"/>
      <c r="DZE226" s="34"/>
      <c r="DZF226" s="34"/>
      <c r="DZG226" s="35"/>
      <c r="DZH226" s="35"/>
      <c r="DZI226" s="35"/>
      <c r="DZJ226" s="35"/>
      <c r="DZK226" s="35"/>
      <c r="DZL226" s="34"/>
      <c r="DZM226" s="34"/>
      <c r="DZN226" s="36"/>
      <c r="DZO226" s="36"/>
      <c r="DZP226" s="37"/>
      <c r="DZQ226" s="37"/>
      <c r="DZR226" s="38"/>
      <c r="DZS226" s="38"/>
      <c r="DZT226" s="39"/>
      <c r="DZU226" s="34"/>
      <c r="DZV226" s="34"/>
      <c r="DZW226" s="34"/>
      <c r="DZX226" s="35"/>
      <c r="DZY226" s="35"/>
      <c r="DZZ226" s="35"/>
      <c r="EAA226" s="35"/>
      <c r="EAB226" s="35"/>
      <c r="EAC226" s="34"/>
      <c r="EAD226" s="34"/>
      <c r="EAE226" s="36"/>
      <c r="EAF226" s="36"/>
      <c r="EAG226" s="37"/>
      <c r="EAH226" s="37"/>
      <c r="EAI226" s="38"/>
      <c r="EAJ226" s="38"/>
      <c r="EAK226" s="39"/>
      <c r="EAL226" s="34"/>
      <c r="EAM226" s="34"/>
      <c r="EAN226" s="34"/>
      <c r="EAO226" s="35"/>
      <c r="EAP226" s="35"/>
      <c r="EAQ226" s="35"/>
      <c r="EAR226" s="35"/>
      <c r="EAS226" s="35"/>
      <c r="EAT226" s="34"/>
      <c r="EAU226" s="34"/>
      <c r="EAV226" s="36"/>
      <c r="EAW226" s="36"/>
      <c r="EAX226" s="37"/>
      <c r="EAY226" s="37"/>
      <c r="EAZ226" s="38"/>
      <c r="EBA226" s="38"/>
      <c r="EBB226" s="39"/>
      <c r="EBC226" s="34"/>
      <c r="EBD226" s="34"/>
      <c r="EBE226" s="34"/>
      <c r="EBF226" s="35"/>
      <c r="EBG226" s="35"/>
      <c r="EBH226" s="35"/>
      <c r="EBI226" s="35"/>
      <c r="EBJ226" s="35"/>
      <c r="EBK226" s="34"/>
      <c r="EBL226" s="34"/>
      <c r="EBM226" s="36"/>
      <c r="EBN226" s="36"/>
      <c r="EBO226" s="37"/>
      <c r="EBP226" s="37"/>
      <c r="EBQ226" s="38"/>
      <c r="EBR226" s="38"/>
      <c r="EBS226" s="39"/>
      <c r="EBT226" s="34"/>
      <c r="EBU226" s="34"/>
      <c r="EBV226" s="34"/>
      <c r="EBW226" s="35"/>
      <c r="EBX226" s="35"/>
      <c r="EBY226" s="35"/>
      <c r="EBZ226" s="35"/>
      <c r="ECA226" s="35"/>
      <c r="ECB226" s="34"/>
      <c r="ECC226" s="34"/>
      <c r="ECD226" s="36"/>
      <c r="ECE226" s="36"/>
      <c r="ECF226" s="37"/>
      <c r="ECG226" s="37"/>
      <c r="ECH226" s="38"/>
      <c r="ECI226" s="38"/>
      <c r="ECJ226" s="39"/>
      <c r="ECK226" s="34"/>
      <c r="ECL226" s="34"/>
      <c r="ECM226" s="34"/>
      <c r="ECN226" s="35"/>
      <c r="ECO226" s="35"/>
      <c r="ECP226" s="35"/>
      <c r="ECQ226" s="35"/>
      <c r="ECR226" s="35"/>
      <c r="ECS226" s="34"/>
      <c r="ECT226" s="34"/>
      <c r="ECU226" s="36"/>
      <c r="ECV226" s="36"/>
      <c r="ECW226" s="37"/>
      <c r="ECX226" s="37"/>
      <c r="ECY226" s="38"/>
      <c r="ECZ226" s="38"/>
      <c r="EDA226" s="39"/>
      <c r="EDB226" s="34"/>
      <c r="EDC226" s="34"/>
      <c r="EDD226" s="34"/>
      <c r="EDE226" s="35"/>
      <c r="EDF226" s="35"/>
      <c r="EDG226" s="35"/>
      <c r="EDH226" s="35"/>
      <c r="EDI226" s="35"/>
      <c r="EDJ226" s="34"/>
      <c r="EDK226" s="34"/>
      <c r="EDL226" s="36"/>
      <c r="EDM226" s="36"/>
      <c r="EDN226" s="37"/>
      <c r="EDO226" s="37"/>
      <c r="EDP226" s="38"/>
      <c r="EDQ226" s="38"/>
      <c r="EDR226" s="39"/>
      <c r="EDS226" s="34"/>
      <c r="EDT226" s="34"/>
      <c r="EDU226" s="34"/>
      <c r="EDV226" s="35"/>
      <c r="EDW226" s="35"/>
      <c r="EDX226" s="35"/>
      <c r="EDY226" s="35"/>
      <c r="EDZ226" s="35"/>
      <c r="EEA226" s="34"/>
      <c r="EEB226" s="34"/>
      <c r="EEC226" s="36"/>
      <c r="EED226" s="36"/>
      <c r="EEE226" s="37"/>
      <c r="EEF226" s="37"/>
      <c r="EEG226" s="38"/>
      <c r="EEH226" s="38"/>
      <c r="EEI226" s="39"/>
      <c r="EEJ226" s="34"/>
      <c r="EEK226" s="34"/>
      <c r="EEL226" s="34"/>
      <c r="EEM226" s="35"/>
      <c r="EEN226" s="35"/>
      <c r="EEO226" s="35"/>
      <c r="EEP226" s="35"/>
      <c r="EEQ226" s="35"/>
      <c r="EER226" s="34"/>
      <c r="EES226" s="34"/>
      <c r="EET226" s="36"/>
      <c r="EEU226" s="36"/>
      <c r="EEV226" s="37"/>
      <c r="EEW226" s="37"/>
      <c r="EEX226" s="38"/>
      <c r="EEY226" s="38"/>
      <c r="EEZ226" s="39"/>
      <c r="EFA226" s="34"/>
      <c r="EFB226" s="34"/>
      <c r="EFC226" s="34"/>
      <c r="EFD226" s="35"/>
      <c r="EFE226" s="35"/>
      <c r="EFF226" s="35"/>
      <c r="EFG226" s="35"/>
      <c r="EFH226" s="35"/>
      <c r="EFI226" s="34"/>
      <c r="EFJ226" s="34"/>
      <c r="EFK226" s="36"/>
      <c r="EFL226" s="36"/>
      <c r="EFM226" s="37"/>
      <c r="EFN226" s="37"/>
      <c r="EFO226" s="38"/>
      <c r="EFP226" s="38"/>
      <c r="EFQ226" s="39"/>
      <c r="EFR226" s="34"/>
      <c r="EFS226" s="34"/>
      <c r="EFT226" s="34"/>
      <c r="EFU226" s="35"/>
      <c r="EFV226" s="35"/>
      <c r="EFW226" s="35"/>
      <c r="EFX226" s="35"/>
      <c r="EFY226" s="35"/>
      <c r="EFZ226" s="34"/>
      <c r="EGA226" s="34"/>
      <c r="EGB226" s="36"/>
      <c r="EGC226" s="36"/>
      <c r="EGD226" s="37"/>
      <c r="EGE226" s="37"/>
      <c r="EGF226" s="38"/>
      <c r="EGG226" s="38"/>
      <c r="EGH226" s="39"/>
      <c r="EGI226" s="34"/>
      <c r="EGJ226" s="34"/>
      <c r="EGK226" s="34"/>
      <c r="EGL226" s="35"/>
      <c r="EGM226" s="35"/>
      <c r="EGN226" s="35"/>
      <c r="EGO226" s="35"/>
      <c r="EGP226" s="35"/>
      <c r="EGQ226" s="34"/>
      <c r="EGR226" s="34"/>
      <c r="EGS226" s="36"/>
      <c r="EGT226" s="36"/>
      <c r="EGU226" s="37"/>
      <c r="EGV226" s="37"/>
      <c r="EGW226" s="38"/>
      <c r="EGX226" s="38"/>
      <c r="EGY226" s="39"/>
      <c r="EGZ226" s="34"/>
      <c r="EHA226" s="34"/>
      <c r="EHB226" s="34"/>
      <c r="EHC226" s="35"/>
      <c r="EHD226" s="35"/>
      <c r="EHE226" s="35"/>
      <c r="EHF226" s="35"/>
      <c r="EHG226" s="35"/>
      <c r="EHH226" s="34"/>
      <c r="EHI226" s="34"/>
      <c r="EHJ226" s="36"/>
      <c r="EHK226" s="36"/>
      <c r="EHL226" s="37"/>
      <c r="EHM226" s="37"/>
      <c r="EHN226" s="38"/>
      <c r="EHO226" s="38"/>
      <c r="EHP226" s="39"/>
      <c r="EHQ226" s="34"/>
      <c r="EHR226" s="34"/>
      <c r="EHS226" s="34"/>
      <c r="EHT226" s="35"/>
      <c r="EHU226" s="35"/>
      <c r="EHV226" s="35"/>
      <c r="EHW226" s="35"/>
      <c r="EHX226" s="35"/>
      <c r="EHY226" s="34"/>
      <c r="EHZ226" s="34"/>
      <c r="EIA226" s="36"/>
      <c r="EIB226" s="36"/>
      <c r="EIC226" s="37"/>
      <c r="EID226" s="37"/>
      <c r="EIE226" s="38"/>
      <c r="EIF226" s="38"/>
      <c r="EIG226" s="39"/>
      <c r="EIH226" s="34"/>
      <c r="EII226" s="34"/>
      <c r="EIJ226" s="34"/>
      <c r="EIK226" s="35"/>
      <c r="EIL226" s="35"/>
      <c r="EIM226" s="35"/>
      <c r="EIN226" s="35"/>
      <c r="EIO226" s="35"/>
      <c r="EIP226" s="34"/>
      <c r="EIQ226" s="34"/>
      <c r="EIR226" s="36"/>
      <c r="EIS226" s="36"/>
      <c r="EIT226" s="37"/>
      <c r="EIU226" s="37"/>
      <c r="EIV226" s="38"/>
      <c r="EIW226" s="38"/>
      <c r="EIX226" s="39"/>
      <c r="EIY226" s="34"/>
      <c r="EIZ226" s="34"/>
      <c r="EJA226" s="34"/>
      <c r="EJB226" s="35"/>
      <c r="EJC226" s="35"/>
      <c r="EJD226" s="35"/>
      <c r="EJE226" s="35"/>
      <c r="EJF226" s="35"/>
      <c r="EJG226" s="34"/>
      <c r="EJH226" s="34"/>
      <c r="EJI226" s="36"/>
      <c r="EJJ226" s="36"/>
      <c r="EJK226" s="37"/>
      <c r="EJL226" s="37"/>
      <c r="EJM226" s="38"/>
      <c r="EJN226" s="38"/>
      <c r="EJO226" s="39"/>
      <c r="EJP226" s="34"/>
      <c r="EJQ226" s="34"/>
      <c r="EJR226" s="34"/>
      <c r="EJS226" s="35"/>
      <c r="EJT226" s="35"/>
      <c r="EJU226" s="35"/>
      <c r="EJV226" s="35"/>
      <c r="EJW226" s="35"/>
      <c r="EJX226" s="34"/>
      <c r="EJY226" s="34"/>
      <c r="EJZ226" s="36"/>
      <c r="EKA226" s="36"/>
      <c r="EKB226" s="37"/>
      <c r="EKC226" s="37"/>
      <c r="EKD226" s="38"/>
      <c r="EKE226" s="38"/>
      <c r="EKF226" s="39"/>
      <c r="EKG226" s="34"/>
      <c r="EKH226" s="34"/>
      <c r="EKI226" s="34"/>
      <c r="EKJ226" s="35"/>
      <c r="EKK226" s="35"/>
      <c r="EKL226" s="35"/>
      <c r="EKM226" s="35"/>
      <c r="EKN226" s="35"/>
      <c r="EKO226" s="34"/>
      <c r="EKP226" s="34"/>
      <c r="EKQ226" s="36"/>
      <c r="EKR226" s="36"/>
      <c r="EKS226" s="37"/>
      <c r="EKT226" s="37"/>
      <c r="EKU226" s="38"/>
      <c r="EKV226" s="38"/>
      <c r="EKW226" s="39"/>
      <c r="EKX226" s="34"/>
      <c r="EKY226" s="34"/>
      <c r="EKZ226" s="34"/>
      <c r="ELA226" s="35"/>
      <c r="ELB226" s="35"/>
      <c r="ELC226" s="35"/>
      <c r="ELD226" s="35"/>
      <c r="ELE226" s="35"/>
      <c r="ELF226" s="34"/>
      <c r="ELG226" s="34"/>
      <c r="ELH226" s="36"/>
      <c r="ELI226" s="36"/>
      <c r="ELJ226" s="37"/>
      <c r="ELK226" s="37"/>
      <c r="ELL226" s="38"/>
      <c r="ELM226" s="38"/>
      <c r="ELN226" s="39"/>
      <c r="ELO226" s="34"/>
      <c r="ELP226" s="34"/>
      <c r="ELQ226" s="34"/>
      <c r="ELR226" s="35"/>
      <c r="ELS226" s="35"/>
      <c r="ELT226" s="35"/>
      <c r="ELU226" s="35"/>
      <c r="ELV226" s="35"/>
      <c r="ELW226" s="34"/>
      <c r="ELX226" s="34"/>
      <c r="ELY226" s="36"/>
      <c r="ELZ226" s="36"/>
      <c r="EMA226" s="37"/>
      <c r="EMB226" s="37"/>
      <c r="EMC226" s="38"/>
      <c r="EMD226" s="38"/>
      <c r="EME226" s="39"/>
      <c r="EMF226" s="34"/>
      <c r="EMG226" s="34"/>
      <c r="EMH226" s="34"/>
      <c r="EMI226" s="35"/>
      <c r="EMJ226" s="35"/>
      <c r="EMK226" s="35"/>
      <c r="EML226" s="35"/>
      <c r="EMM226" s="35"/>
      <c r="EMN226" s="34"/>
      <c r="EMO226" s="34"/>
      <c r="EMP226" s="36"/>
      <c r="EMQ226" s="36"/>
      <c r="EMR226" s="37"/>
      <c r="EMS226" s="37"/>
      <c r="EMT226" s="38"/>
      <c r="EMU226" s="38"/>
      <c r="EMV226" s="39"/>
      <c r="EMW226" s="34"/>
      <c r="EMX226" s="34"/>
      <c r="EMY226" s="34"/>
      <c r="EMZ226" s="35"/>
      <c r="ENA226" s="35"/>
      <c r="ENB226" s="35"/>
      <c r="ENC226" s="35"/>
      <c r="END226" s="35"/>
      <c r="ENE226" s="34"/>
      <c r="ENF226" s="34"/>
      <c r="ENG226" s="36"/>
      <c r="ENH226" s="36"/>
      <c r="ENI226" s="37"/>
      <c r="ENJ226" s="37"/>
      <c r="ENK226" s="38"/>
      <c r="ENL226" s="38"/>
      <c r="ENM226" s="39"/>
      <c r="ENN226" s="34"/>
      <c r="ENO226" s="34"/>
      <c r="ENP226" s="34"/>
      <c r="ENQ226" s="35"/>
      <c r="ENR226" s="35"/>
      <c r="ENS226" s="35"/>
      <c r="ENT226" s="35"/>
      <c r="ENU226" s="35"/>
      <c r="ENV226" s="34"/>
      <c r="ENW226" s="34"/>
      <c r="ENX226" s="36"/>
      <c r="ENY226" s="36"/>
      <c r="ENZ226" s="37"/>
      <c r="EOA226" s="37"/>
      <c r="EOB226" s="38"/>
      <c r="EOC226" s="38"/>
      <c r="EOD226" s="39"/>
      <c r="EOE226" s="34"/>
      <c r="EOF226" s="34"/>
      <c r="EOG226" s="34"/>
      <c r="EOH226" s="35"/>
      <c r="EOI226" s="35"/>
      <c r="EOJ226" s="35"/>
      <c r="EOK226" s="35"/>
      <c r="EOL226" s="35"/>
      <c r="EOM226" s="34"/>
      <c r="EON226" s="34"/>
      <c r="EOO226" s="36"/>
      <c r="EOP226" s="36"/>
      <c r="EOQ226" s="37"/>
      <c r="EOR226" s="37"/>
      <c r="EOS226" s="38"/>
      <c r="EOT226" s="38"/>
      <c r="EOU226" s="39"/>
      <c r="EOV226" s="34"/>
      <c r="EOW226" s="34"/>
      <c r="EOX226" s="34"/>
      <c r="EOY226" s="35"/>
      <c r="EOZ226" s="35"/>
      <c r="EPA226" s="35"/>
      <c r="EPB226" s="35"/>
      <c r="EPC226" s="35"/>
      <c r="EPD226" s="34"/>
      <c r="EPE226" s="34"/>
      <c r="EPF226" s="36"/>
      <c r="EPG226" s="36"/>
      <c r="EPH226" s="37"/>
      <c r="EPI226" s="37"/>
      <c r="EPJ226" s="38"/>
      <c r="EPK226" s="38"/>
      <c r="EPL226" s="39"/>
      <c r="EPM226" s="34"/>
      <c r="EPN226" s="34"/>
      <c r="EPO226" s="34"/>
      <c r="EPP226" s="35"/>
      <c r="EPQ226" s="35"/>
      <c r="EPR226" s="35"/>
      <c r="EPS226" s="35"/>
      <c r="EPT226" s="35"/>
      <c r="EPU226" s="34"/>
      <c r="EPV226" s="34"/>
      <c r="EPW226" s="36"/>
      <c r="EPX226" s="36"/>
      <c r="EPY226" s="37"/>
      <c r="EPZ226" s="37"/>
      <c r="EQA226" s="38"/>
      <c r="EQB226" s="38"/>
      <c r="EQC226" s="39"/>
      <c r="EQD226" s="34"/>
      <c r="EQE226" s="34"/>
      <c r="EQF226" s="34"/>
      <c r="EQG226" s="35"/>
      <c r="EQH226" s="35"/>
      <c r="EQI226" s="35"/>
      <c r="EQJ226" s="35"/>
      <c r="EQK226" s="35"/>
      <c r="EQL226" s="34"/>
      <c r="EQM226" s="34"/>
      <c r="EQN226" s="36"/>
      <c r="EQO226" s="36"/>
      <c r="EQP226" s="37"/>
      <c r="EQQ226" s="37"/>
      <c r="EQR226" s="38"/>
      <c r="EQS226" s="38"/>
      <c r="EQT226" s="39"/>
      <c r="EQU226" s="34"/>
      <c r="EQV226" s="34"/>
      <c r="EQW226" s="34"/>
      <c r="EQX226" s="35"/>
      <c r="EQY226" s="35"/>
      <c r="EQZ226" s="35"/>
      <c r="ERA226" s="35"/>
      <c r="ERB226" s="35"/>
      <c r="ERC226" s="34"/>
      <c r="ERD226" s="34"/>
      <c r="ERE226" s="36"/>
      <c r="ERF226" s="36"/>
      <c r="ERG226" s="37"/>
      <c r="ERH226" s="37"/>
      <c r="ERI226" s="38"/>
      <c r="ERJ226" s="38"/>
      <c r="ERK226" s="39"/>
      <c r="ERL226" s="34"/>
      <c r="ERM226" s="34"/>
      <c r="ERN226" s="34"/>
      <c r="ERO226" s="35"/>
      <c r="ERP226" s="35"/>
      <c r="ERQ226" s="35"/>
      <c r="ERR226" s="35"/>
      <c r="ERS226" s="35"/>
      <c r="ERT226" s="34"/>
      <c r="ERU226" s="34"/>
      <c r="ERV226" s="36"/>
      <c r="ERW226" s="36"/>
      <c r="ERX226" s="37"/>
      <c r="ERY226" s="37"/>
      <c r="ERZ226" s="38"/>
      <c r="ESA226" s="38"/>
      <c r="ESB226" s="39"/>
      <c r="ESC226" s="34"/>
      <c r="ESD226" s="34"/>
      <c r="ESE226" s="34"/>
      <c r="ESF226" s="35"/>
      <c r="ESG226" s="35"/>
      <c r="ESH226" s="35"/>
      <c r="ESI226" s="35"/>
      <c r="ESJ226" s="35"/>
      <c r="ESK226" s="34"/>
      <c r="ESL226" s="34"/>
      <c r="ESM226" s="36"/>
      <c r="ESN226" s="36"/>
      <c r="ESO226" s="37"/>
      <c r="ESP226" s="37"/>
      <c r="ESQ226" s="38"/>
      <c r="ESR226" s="38"/>
      <c r="ESS226" s="39"/>
      <c r="EST226" s="34"/>
      <c r="ESU226" s="34"/>
      <c r="ESV226" s="34"/>
      <c r="ESW226" s="35"/>
      <c r="ESX226" s="35"/>
      <c r="ESY226" s="35"/>
      <c r="ESZ226" s="35"/>
      <c r="ETA226" s="35"/>
      <c r="ETB226" s="34"/>
      <c r="ETC226" s="34"/>
      <c r="ETD226" s="36"/>
      <c r="ETE226" s="36"/>
      <c r="ETF226" s="37"/>
      <c r="ETG226" s="37"/>
      <c r="ETH226" s="38"/>
      <c r="ETI226" s="38"/>
      <c r="ETJ226" s="39"/>
      <c r="ETK226" s="34"/>
      <c r="ETL226" s="34"/>
      <c r="ETM226" s="34"/>
      <c r="ETN226" s="35"/>
      <c r="ETO226" s="35"/>
      <c r="ETP226" s="35"/>
      <c r="ETQ226" s="35"/>
      <c r="ETR226" s="35"/>
      <c r="ETS226" s="34"/>
      <c r="ETT226" s="34"/>
      <c r="ETU226" s="36"/>
      <c r="ETV226" s="36"/>
      <c r="ETW226" s="37"/>
      <c r="ETX226" s="37"/>
      <c r="ETY226" s="38"/>
      <c r="ETZ226" s="38"/>
      <c r="EUA226" s="39"/>
      <c r="EUB226" s="34"/>
      <c r="EUC226" s="34"/>
      <c r="EUD226" s="34"/>
      <c r="EUE226" s="35"/>
      <c r="EUF226" s="35"/>
      <c r="EUG226" s="35"/>
      <c r="EUH226" s="35"/>
      <c r="EUI226" s="35"/>
      <c r="EUJ226" s="34"/>
      <c r="EUK226" s="34"/>
      <c r="EUL226" s="36"/>
      <c r="EUM226" s="36"/>
      <c r="EUN226" s="37"/>
      <c r="EUO226" s="37"/>
      <c r="EUP226" s="38"/>
      <c r="EUQ226" s="38"/>
      <c r="EUR226" s="39"/>
      <c r="EUS226" s="34"/>
      <c r="EUT226" s="34"/>
      <c r="EUU226" s="34"/>
      <c r="EUV226" s="35"/>
      <c r="EUW226" s="35"/>
      <c r="EUX226" s="35"/>
      <c r="EUY226" s="35"/>
      <c r="EUZ226" s="35"/>
      <c r="EVA226" s="34"/>
      <c r="EVB226" s="34"/>
      <c r="EVC226" s="36"/>
      <c r="EVD226" s="36"/>
      <c r="EVE226" s="37"/>
      <c r="EVF226" s="37"/>
      <c r="EVG226" s="38"/>
      <c r="EVH226" s="38"/>
      <c r="EVI226" s="39"/>
      <c r="EVJ226" s="34"/>
      <c r="EVK226" s="34"/>
      <c r="EVL226" s="34"/>
      <c r="EVM226" s="35"/>
      <c r="EVN226" s="35"/>
      <c r="EVO226" s="35"/>
      <c r="EVP226" s="35"/>
      <c r="EVQ226" s="35"/>
      <c r="EVR226" s="34"/>
      <c r="EVS226" s="34"/>
      <c r="EVT226" s="36"/>
      <c r="EVU226" s="36"/>
      <c r="EVV226" s="37"/>
      <c r="EVW226" s="37"/>
      <c r="EVX226" s="38"/>
      <c r="EVY226" s="38"/>
      <c r="EVZ226" s="39"/>
      <c r="EWA226" s="34"/>
      <c r="EWB226" s="34"/>
      <c r="EWC226" s="34"/>
      <c r="EWD226" s="35"/>
      <c r="EWE226" s="35"/>
      <c r="EWF226" s="35"/>
      <c r="EWG226" s="35"/>
      <c r="EWH226" s="35"/>
      <c r="EWI226" s="34"/>
      <c r="EWJ226" s="34"/>
      <c r="EWK226" s="36"/>
      <c r="EWL226" s="36"/>
      <c r="EWM226" s="37"/>
      <c r="EWN226" s="37"/>
      <c r="EWO226" s="38"/>
      <c r="EWP226" s="38"/>
      <c r="EWQ226" s="39"/>
      <c r="EWR226" s="34"/>
      <c r="EWS226" s="34"/>
      <c r="EWT226" s="34"/>
      <c r="EWU226" s="35"/>
      <c r="EWV226" s="35"/>
      <c r="EWW226" s="35"/>
      <c r="EWX226" s="35"/>
      <c r="EWY226" s="35"/>
      <c r="EWZ226" s="34"/>
      <c r="EXA226" s="34"/>
      <c r="EXB226" s="36"/>
      <c r="EXC226" s="36"/>
      <c r="EXD226" s="37"/>
      <c r="EXE226" s="37"/>
      <c r="EXF226" s="38"/>
      <c r="EXG226" s="38"/>
      <c r="EXH226" s="39"/>
      <c r="EXI226" s="34"/>
      <c r="EXJ226" s="34"/>
      <c r="EXK226" s="34"/>
      <c r="EXL226" s="35"/>
      <c r="EXM226" s="35"/>
      <c r="EXN226" s="35"/>
      <c r="EXO226" s="35"/>
      <c r="EXP226" s="35"/>
      <c r="EXQ226" s="34"/>
      <c r="EXR226" s="34"/>
      <c r="EXS226" s="36"/>
      <c r="EXT226" s="36"/>
      <c r="EXU226" s="37"/>
      <c r="EXV226" s="37"/>
      <c r="EXW226" s="38"/>
      <c r="EXX226" s="38"/>
      <c r="EXY226" s="39"/>
      <c r="EXZ226" s="34"/>
      <c r="EYA226" s="34"/>
      <c r="EYB226" s="34"/>
      <c r="EYC226" s="35"/>
      <c r="EYD226" s="35"/>
      <c r="EYE226" s="35"/>
      <c r="EYF226" s="35"/>
      <c r="EYG226" s="35"/>
      <c r="EYH226" s="34"/>
      <c r="EYI226" s="34"/>
      <c r="EYJ226" s="36"/>
      <c r="EYK226" s="36"/>
      <c r="EYL226" s="37"/>
      <c r="EYM226" s="37"/>
      <c r="EYN226" s="38"/>
      <c r="EYO226" s="38"/>
      <c r="EYP226" s="39"/>
      <c r="EYQ226" s="34"/>
      <c r="EYR226" s="34"/>
      <c r="EYS226" s="34"/>
      <c r="EYT226" s="35"/>
      <c r="EYU226" s="35"/>
      <c r="EYV226" s="35"/>
      <c r="EYW226" s="35"/>
      <c r="EYX226" s="35"/>
      <c r="EYY226" s="34"/>
      <c r="EYZ226" s="34"/>
      <c r="EZA226" s="36"/>
      <c r="EZB226" s="36"/>
      <c r="EZC226" s="37"/>
      <c r="EZD226" s="37"/>
      <c r="EZE226" s="38"/>
      <c r="EZF226" s="38"/>
      <c r="EZG226" s="39"/>
      <c r="EZH226" s="34"/>
      <c r="EZI226" s="34"/>
      <c r="EZJ226" s="34"/>
      <c r="EZK226" s="35"/>
      <c r="EZL226" s="35"/>
      <c r="EZM226" s="35"/>
      <c r="EZN226" s="35"/>
      <c r="EZO226" s="35"/>
      <c r="EZP226" s="34"/>
      <c r="EZQ226" s="34"/>
      <c r="EZR226" s="36"/>
      <c r="EZS226" s="36"/>
      <c r="EZT226" s="37"/>
      <c r="EZU226" s="37"/>
      <c r="EZV226" s="38"/>
      <c r="EZW226" s="38"/>
      <c r="EZX226" s="39"/>
      <c r="EZY226" s="34"/>
      <c r="EZZ226" s="34"/>
      <c r="FAA226" s="34"/>
      <c r="FAB226" s="35"/>
      <c r="FAC226" s="35"/>
      <c r="FAD226" s="35"/>
      <c r="FAE226" s="35"/>
      <c r="FAF226" s="35"/>
      <c r="FAG226" s="34"/>
      <c r="FAH226" s="34"/>
      <c r="FAI226" s="36"/>
      <c r="FAJ226" s="36"/>
      <c r="FAK226" s="37"/>
      <c r="FAL226" s="37"/>
      <c r="FAM226" s="38"/>
      <c r="FAN226" s="38"/>
      <c r="FAO226" s="39"/>
      <c r="FAP226" s="34"/>
      <c r="FAQ226" s="34"/>
      <c r="FAR226" s="34"/>
      <c r="FAS226" s="35"/>
      <c r="FAT226" s="35"/>
      <c r="FAU226" s="35"/>
      <c r="FAV226" s="35"/>
      <c r="FAW226" s="35"/>
      <c r="FAX226" s="34"/>
      <c r="FAY226" s="34"/>
      <c r="FAZ226" s="36"/>
      <c r="FBA226" s="36"/>
      <c r="FBB226" s="37"/>
      <c r="FBC226" s="37"/>
      <c r="FBD226" s="38"/>
      <c r="FBE226" s="38"/>
      <c r="FBF226" s="39"/>
      <c r="FBG226" s="34"/>
      <c r="FBH226" s="34"/>
      <c r="FBI226" s="34"/>
      <c r="FBJ226" s="35"/>
      <c r="FBK226" s="35"/>
      <c r="FBL226" s="35"/>
      <c r="FBM226" s="35"/>
      <c r="FBN226" s="35"/>
      <c r="FBO226" s="34"/>
      <c r="FBP226" s="34"/>
      <c r="FBQ226" s="36"/>
      <c r="FBR226" s="36"/>
      <c r="FBS226" s="37"/>
      <c r="FBT226" s="37"/>
      <c r="FBU226" s="38"/>
      <c r="FBV226" s="38"/>
      <c r="FBW226" s="39"/>
      <c r="FBX226" s="34"/>
      <c r="FBY226" s="34"/>
      <c r="FBZ226" s="34"/>
      <c r="FCA226" s="35"/>
      <c r="FCB226" s="35"/>
      <c r="FCC226" s="35"/>
      <c r="FCD226" s="35"/>
      <c r="FCE226" s="35"/>
      <c r="FCF226" s="34"/>
      <c r="FCG226" s="34"/>
      <c r="FCH226" s="36"/>
      <c r="FCI226" s="36"/>
      <c r="FCJ226" s="37"/>
      <c r="FCK226" s="37"/>
      <c r="FCL226" s="38"/>
      <c r="FCM226" s="38"/>
      <c r="FCN226" s="39"/>
      <c r="FCO226" s="34"/>
      <c r="FCP226" s="34"/>
      <c r="FCQ226" s="34"/>
      <c r="FCR226" s="35"/>
      <c r="FCS226" s="35"/>
      <c r="FCT226" s="35"/>
      <c r="FCU226" s="35"/>
      <c r="FCV226" s="35"/>
      <c r="FCW226" s="34"/>
      <c r="FCX226" s="34"/>
      <c r="FCY226" s="36"/>
      <c r="FCZ226" s="36"/>
      <c r="FDA226" s="37"/>
      <c r="FDB226" s="37"/>
      <c r="FDC226" s="38"/>
      <c r="FDD226" s="38"/>
      <c r="FDE226" s="39"/>
      <c r="FDF226" s="34"/>
      <c r="FDG226" s="34"/>
      <c r="FDH226" s="34"/>
      <c r="FDI226" s="35"/>
      <c r="FDJ226" s="35"/>
      <c r="FDK226" s="35"/>
      <c r="FDL226" s="35"/>
      <c r="FDM226" s="35"/>
      <c r="FDN226" s="34"/>
      <c r="FDO226" s="34"/>
      <c r="FDP226" s="36"/>
      <c r="FDQ226" s="36"/>
      <c r="FDR226" s="37"/>
      <c r="FDS226" s="37"/>
      <c r="FDT226" s="38"/>
      <c r="FDU226" s="38"/>
      <c r="FDV226" s="39"/>
      <c r="FDW226" s="34"/>
      <c r="FDX226" s="34"/>
      <c r="FDY226" s="34"/>
      <c r="FDZ226" s="35"/>
      <c r="FEA226" s="35"/>
      <c r="FEB226" s="35"/>
      <c r="FEC226" s="35"/>
      <c r="FED226" s="35"/>
      <c r="FEE226" s="34"/>
      <c r="FEF226" s="34"/>
      <c r="FEG226" s="36"/>
      <c r="FEH226" s="36"/>
      <c r="FEI226" s="37"/>
      <c r="FEJ226" s="37"/>
      <c r="FEK226" s="38"/>
      <c r="FEL226" s="38"/>
      <c r="FEM226" s="39"/>
      <c r="FEN226" s="34"/>
      <c r="FEO226" s="34"/>
      <c r="FEP226" s="34"/>
      <c r="FEQ226" s="35"/>
      <c r="FER226" s="35"/>
      <c r="FES226" s="35"/>
      <c r="FET226" s="35"/>
      <c r="FEU226" s="35"/>
      <c r="FEV226" s="34"/>
      <c r="FEW226" s="34"/>
      <c r="FEX226" s="36"/>
      <c r="FEY226" s="36"/>
      <c r="FEZ226" s="37"/>
      <c r="FFA226" s="37"/>
      <c r="FFB226" s="38"/>
      <c r="FFC226" s="38"/>
      <c r="FFD226" s="39"/>
      <c r="FFE226" s="34"/>
      <c r="FFF226" s="34"/>
      <c r="FFG226" s="34"/>
      <c r="FFH226" s="35"/>
      <c r="FFI226" s="35"/>
      <c r="FFJ226" s="35"/>
      <c r="FFK226" s="35"/>
      <c r="FFL226" s="35"/>
      <c r="FFM226" s="34"/>
      <c r="FFN226" s="34"/>
      <c r="FFO226" s="36"/>
      <c r="FFP226" s="36"/>
      <c r="FFQ226" s="37"/>
      <c r="FFR226" s="37"/>
      <c r="FFS226" s="38"/>
      <c r="FFT226" s="38"/>
      <c r="FFU226" s="39"/>
      <c r="FFV226" s="34"/>
      <c r="FFW226" s="34"/>
      <c r="FFX226" s="34"/>
      <c r="FFY226" s="35"/>
      <c r="FFZ226" s="35"/>
      <c r="FGA226" s="35"/>
      <c r="FGB226" s="35"/>
      <c r="FGC226" s="35"/>
      <c r="FGD226" s="34"/>
      <c r="FGE226" s="34"/>
      <c r="FGF226" s="36"/>
      <c r="FGG226" s="36"/>
      <c r="FGH226" s="37"/>
      <c r="FGI226" s="37"/>
      <c r="FGJ226" s="38"/>
      <c r="FGK226" s="38"/>
      <c r="FGL226" s="39"/>
      <c r="FGM226" s="34"/>
      <c r="FGN226" s="34"/>
      <c r="FGO226" s="34"/>
      <c r="FGP226" s="35"/>
      <c r="FGQ226" s="35"/>
      <c r="FGR226" s="35"/>
      <c r="FGS226" s="35"/>
      <c r="FGT226" s="35"/>
      <c r="FGU226" s="34"/>
      <c r="FGV226" s="34"/>
      <c r="FGW226" s="36"/>
      <c r="FGX226" s="36"/>
      <c r="FGY226" s="37"/>
      <c r="FGZ226" s="37"/>
      <c r="FHA226" s="38"/>
      <c r="FHB226" s="38"/>
      <c r="FHC226" s="39"/>
      <c r="FHD226" s="34"/>
      <c r="FHE226" s="34"/>
      <c r="FHF226" s="34"/>
      <c r="FHG226" s="35"/>
      <c r="FHH226" s="35"/>
      <c r="FHI226" s="35"/>
      <c r="FHJ226" s="35"/>
      <c r="FHK226" s="35"/>
      <c r="FHL226" s="34"/>
      <c r="FHM226" s="34"/>
      <c r="FHN226" s="36"/>
      <c r="FHO226" s="36"/>
      <c r="FHP226" s="37"/>
      <c r="FHQ226" s="37"/>
      <c r="FHR226" s="38"/>
      <c r="FHS226" s="38"/>
      <c r="FHT226" s="39"/>
      <c r="FHU226" s="34"/>
      <c r="FHV226" s="34"/>
      <c r="FHW226" s="34"/>
      <c r="FHX226" s="35"/>
      <c r="FHY226" s="35"/>
      <c r="FHZ226" s="35"/>
      <c r="FIA226" s="35"/>
      <c r="FIB226" s="35"/>
      <c r="FIC226" s="34"/>
      <c r="FID226" s="34"/>
      <c r="FIE226" s="36"/>
      <c r="FIF226" s="36"/>
      <c r="FIG226" s="37"/>
      <c r="FIH226" s="37"/>
      <c r="FII226" s="38"/>
      <c r="FIJ226" s="38"/>
      <c r="FIK226" s="39"/>
      <c r="FIL226" s="34"/>
      <c r="FIM226" s="34"/>
      <c r="FIN226" s="34"/>
      <c r="FIO226" s="35"/>
      <c r="FIP226" s="35"/>
      <c r="FIQ226" s="35"/>
      <c r="FIR226" s="35"/>
      <c r="FIS226" s="35"/>
      <c r="FIT226" s="34"/>
      <c r="FIU226" s="34"/>
      <c r="FIV226" s="36"/>
      <c r="FIW226" s="36"/>
      <c r="FIX226" s="37"/>
      <c r="FIY226" s="37"/>
      <c r="FIZ226" s="38"/>
      <c r="FJA226" s="38"/>
      <c r="FJB226" s="39"/>
      <c r="FJC226" s="34"/>
      <c r="FJD226" s="34"/>
      <c r="FJE226" s="34"/>
      <c r="FJF226" s="35"/>
      <c r="FJG226" s="35"/>
      <c r="FJH226" s="35"/>
      <c r="FJI226" s="35"/>
      <c r="FJJ226" s="35"/>
      <c r="FJK226" s="34"/>
      <c r="FJL226" s="34"/>
      <c r="FJM226" s="36"/>
      <c r="FJN226" s="36"/>
      <c r="FJO226" s="37"/>
      <c r="FJP226" s="37"/>
      <c r="FJQ226" s="38"/>
      <c r="FJR226" s="38"/>
      <c r="FJS226" s="39"/>
      <c r="FJT226" s="34"/>
      <c r="FJU226" s="34"/>
      <c r="FJV226" s="34"/>
      <c r="FJW226" s="35"/>
      <c r="FJX226" s="35"/>
      <c r="FJY226" s="35"/>
      <c r="FJZ226" s="35"/>
      <c r="FKA226" s="35"/>
      <c r="FKB226" s="34"/>
      <c r="FKC226" s="34"/>
      <c r="FKD226" s="36"/>
      <c r="FKE226" s="36"/>
      <c r="FKF226" s="37"/>
      <c r="FKG226" s="37"/>
      <c r="FKH226" s="38"/>
      <c r="FKI226" s="38"/>
      <c r="FKJ226" s="39"/>
      <c r="FKK226" s="34"/>
      <c r="FKL226" s="34"/>
      <c r="FKM226" s="34"/>
      <c r="FKN226" s="35"/>
      <c r="FKO226" s="35"/>
      <c r="FKP226" s="35"/>
      <c r="FKQ226" s="35"/>
      <c r="FKR226" s="35"/>
      <c r="FKS226" s="34"/>
      <c r="FKT226" s="34"/>
      <c r="FKU226" s="36"/>
      <c r="FKV226" s="36"/>
      <c r="FKW226" s="37"/>
      <c r="FKX226" s="37"/>
      <c r="FKY226" s="38"/>
      <c r="FKZ226" s="38"/>
      <c r="FLA226" s="39"/>
      <c r="FLB226" s="34"/>
      <c r="FLC226" s="34"/>
      <c r="FLD226" s="34"/>
      <c r="FLE226" s="35"/>
      <c r="FLF226" s="35"/>
      <c r="FLG226" s="35"/>
      <c r="FLH226" s="35"/>
      <c r="FLI226" s="35"/>
      <c r="FLJ226" s="34"/>
      <c r="FLK226" s="34"/>
      <c r="FLL226" s="36"/>
      <c r="FLM226" s="36"/>
      <c r="FLN226" s="37"/>
      <c r="FLO226" s="37"/>
      <c r="FLP226" s="38"/>
      <c r="FLQ226" s="38"/>
      <c r="FLR226" s="39"/>
      <c r="FLS226" s="34"/>
      <c r="FLT226" s="34"/>
      <c r="FLU226" s="34"/>
      <c r="FLV226" s="35"/>
      <c r="FLW226" s="35"/>
      <c r="FLX226" s="35"/>
      <c r="FLY226" s="35"/>
      <c r="FLZ226" s="35"/>
      <c r="FMA226" s="34"/>
      <c r="FMB226" s="34"/>
      <c r="FMC226" s="36"/>
      <c r="FMD226" s="36"/>
      <c r="FME226" s="37"/>
      <c r="FMF226" s="37"/>
      <c r="FMG226" s="38"/>
      <c r="FMH226" s="38"/>
      <c r="FMI226" s="39"/>
      <c r="FMJ226" s="34"/>
      <c r="FMK226" s="34"/>
      <c r="FML226" s="34"/>
      <c r="FMM226" s="35"/>
      <c r="FMN226" s="35"/>
      <c r="FMO226" s="35"/>
      <c r="FMP226" s="35"/>
      <c r="FMQ226" s="35"/>
      <c r="FMR226" s="34"/>
      <c r="FMS226" s="34"/>
      <c r="FMT226" s="36"/>
      <c r="FMU226" s="36"/>
      <c r="FMV226" s="37"/>
      <c r="FMW226" s="37"/>
      <c r="FMX226" s="38"/>
      <c r="FMY226" s="38"/>
      <c r="FMZ226" s="39"/>
      <c r="FNA226" s="34"/>
      <c r="FNB226" s="34"/>
      <c r="FNC226" s="34"/>
      <c r="FND226" s="35"/>
      <c r="FNE226" s="35"/>
      <c r="FNF226" s="35"/>
      <c r="FNG226" s="35"/>
      <c r="FNH226" s="35"/>
      <c r="FNI226" s="34"/>
      <c r="FNJ226" s="34"/>
      <c r="FNK226" s="36"/>
      <c r="FNL226" s="36"/>
      <c r="FNM226" s="37"/>
      <c r="FNN226" s="37"/>
      <c r="FNO226" s="38"/>
      <c r="FNP226" s="38"/>
      <c r="FNQ226" s="39"/>
      <c r="FNR226" s="34"/>
      <c r="FNS226" s="34"/>
      <c r="FNT226" s="34"/>
      <c r="FNU226" s="35"/>
      <c r="FNV226" s="35"/>
      <c r="FNW226" s="35"/>
      <c r="FNX226" s="35"/>
      <c r="FNY226" s="35"/>
      <c r="FNZ226" s="34"/>
      <c r="FOA226" s="34"/>
      <c r="FOB226" s="36"/>
      <c r="FOC226" s="36"/>
      <c r="FOD226" s="37"/>
      <c r="FOE226" s="37"/>
      <c r="FOF226" s="38"/>
      <c r="FOG226" s="38"/>
      <c r="FOH226" s="39"/>
      <c r="FOI226" s="34"/>
      <c r="FOJ226" s="34"/>
      <c r="FOK226" s="34"/>
      <c r="FOL226" s="35"/>
      <c r="FOM226" s="35"/>
      <c r="FON226" s="35"/>
      <c r="FOO226" s="35"/>
      <c r="FOP226" s="35"/>
      <c r="FOQ226" s="34"/>
      <c r="FOR226" s="34"/>
      <c r="FOS226" s="36"/>
      <c r="FOT226" s="36"/>
      <c r="FOU226" s="37"/>
      <c r="FOV226" s="37"/>
      <c r="FOW226" s="38"/>
      <c r="FOX226" s="38"/>
      <c r="FOY226" s="39"/>
      <c r="FOZ226" s="34"/>
      <c r="FPA226" s="34"/>
      <c r="FPB226" s="34"/>
      <c r="FPC226" s="35"/>
      <c r="FPD226" s="35"/>
      <c r="FPE226" s="35"/>
      <c r="FPF226" s="35"/>
      <c r="FPG226" s="35"/>
      <c r="FPH226" s="34"/>
      <c r="FPI226" s="34"/>
      <c r="FPJ226" s="36"/>
      <c r="FPK226" s="36"/>
      <c r="FPL226" s="37"/>
      <c r="FPM226" s="37"/>
      <c r="FPN226" s="38"/>
      <c r="FPO226" s="38"/>
      <c r="FPP226" s="39"/>
      <c r="FPQ226" s="34"/>
      <c r="FPR226" s="34"/>
      <c r="FPS226" s="34"/>
      <c r="FPT226" s="35"/>
      <c r="FPU226" s="35"/>
      <c r="FPV226" s="35"/>
      <c r="FPW226" s="35"/>
      <c r="FPX226" s="35"/>
      <c r="FPY226" s="34"/>
      <c r="FPZ226" s="34"/>
      <c r="FQA226" s="36"/>
      <c r="FQB226" s="36"/>
      <c r="FQC226" s="37"/>
      <c r="FQD226" s="37"/>
      <c r="FQE226" s="38"/>
      <c r="FQF226" s="38"/>
      <c r="FQG226" s="39"/>
      <c r="FQH226" s="34"/>
      <c r="FQI226" s="34"/>
      <c r="FQJ226" s="34"/>
      <c r="FQK226" s="35"/>
      <c r="FQL226" s="35"/>
      <c r="FQM226" s="35"/>
      <c r="FQN226" s="35"/>
      <c r="FQO226" s="35"/>
      <c r="FQP226" s="34"/>
      <c r="FQQ226" s="34"/>
      <c r="FQR226" s="36"/>
      <c r="FQS226" s="36"/>
      <c r="FQT226" s="37"/>
      <c r="FQU226" s="37"/>
      <c r="FQV226" s="38"/>
      <c r="FQW226" s="38"/>
      <c r="FQX226" s="39"/>
      <c r="FQY226" s="34"/>
      <c r="FQZ226" s="34"/>
      <c r="FRA226" s="34"/>
      <c r="FRB226" s="35"/>
      <c r="FRC226" s="35"/>
      <c r="FRD226" s="35"/>
      <c r="FRE226" s="35"/>
      <c r="FRF226" s="35"/>
      <c r="FRG226" s="34"/>
      <c r="FRH226" s="34"/>
      <c r="FRI226" s="36"/>
      <c r="FRJ226" s="36"/>
      <c r="FRK226" s="37"/>
      <c r="FRL226" s="37"/>
      <c r="FRM226" s="38"/>
      <c r="FRN226" s="38"/>
      <c r="FRO226" s="39"/>
      <c r="FRP226" s="34"/>
      <c r="FRQ226" s="34"/>
      <c r="FRR226" s="34"/>
      <c r="FRS226" s="35"/>
      <c r="FRT226" s="35"/>
      <c r="FRU226" s="35"/>
      <c r="FRV226" s="35"/>
      <c r="FRW226" s="35"/>
      <c r="FRX226" s="34"/>
      <c r="FRY226" s="34"/>
      <c r="FRZ226" s="36"/>
      <c r="FSA226" s="36"/>
      <c r="FSB226" s="37"/>
      <c r="FSC226" s="37"/>
      <c r="FSD226" s="38"/>
      <c r="FSE226" s="38"/>
      <c r="FSF226" s="39"/>
      <c r="FSG226" s="34"/>
      <c r="FSH226" s="34"/>
      <c r="FSI226" s="34"/>
      <c r="FSJ226" s="35"/>
      <c r="FSK226" s="35"/>
      <c r="FSL226" s="35"/>
      <c r="FSM226" s="35"/>
      <c r="FSN226" s="35"/>
      <c r="FSO226" s="34"/>
      <c r="FSP226" s="34"/>
      <c r="FSQ226" s="36"/>
      <c r="FSR226" s="36"/>
      <c r="FSS226" s="37"/>
      <c r="FST226" s="37"/>
      <c r="FSU226" s="38"/>
      <c r="FSV226" s="38"/>
      <c r="FSW226" s="39"/>
      <c r="FSX226" s="34"/>
      <c r="FSY226" s="34"/>
      <c r="FSZ226" s="34"/>
      <c r="FTA226" s="35"/>
      <c r="FTB226" s="35"/>
      <c r="FTC226" s="35"/>
      <c r="FTD226" s="35"/>
      <c r="FTE226" s="35"/>
      <c r="FTF226" s="34"/>
      <c r="FTG226" s="34"/>
      <c r="FTH226" s="36"/>
      <c r="FTI226" s="36"/>
      <c r="FTJ226" s="37"/>
      <c r="FTK226" s="37"/>
      <c r="FTL226" s="38"/>
      <c r="FTM226" s="38"/>
      <c r="FTN226" s="39"/>
      <c r="FTO226" s="34"/>
      <c r="FTP226" s="34"/>
      <c r="FTQ226" s="34"/>
      <c r="FTR226" s="35"/>
      <c r="FTS226" s="35"/>
      <c r="FTT226" s="35"/>
      <c r="FTU226" s="35"/>
      <c r="FTV226" s="35"/>
      <c r="FTW226" s="34"/>
      <c r="FTX226" s="34"/>
      <c r="FTY226" s="36"/>
      <c r="FTZ226" s="36"/>
      <c r="FUA226" s="37"/>
      <c r="FUB226" s="37"/>
      <c r="FUC226" s="38"/>
      <c r="FUD226" s="38"/>
      <c r="FUE226" s="39"/>
      <c r="FUF226" s="34"/>
      <c r="FUG226" s="34"/>
      <c r="FUH226" s="34"/>
      <c r="FUI226" s="35"/>
      <c r="FUJ226" s="35"/>
      <c r="FUK226" s="35"/>
      <c r="FUL226" s="35"/>
      <c r="FUM226" s="35"/>
      <c r="FUN226" s="34"/>
      <c r="FUO226" s="34"/>
      <c r="FUP226" s="36"/>
      <c r="FUQ226" s="36"/>
      <c r="FUR226" s="37"/>
      <c r="FUS226" s="37"/>
      <c r="FUT226" s="38"/>
      <c r="FUU226" s="38"/>
      <c r="FUV226" s="39"/>
      <c r="FUW226" s="34"/>
      <c r="FUX226" s="34"/>
      <c r="FUY226" s="34"/>
      <c r="FUZ226" s="35"/>
      <c r="FVA226" s="35"/>
      <c r="FVB226" s="35"/>
      <c r="FVC226" s="35"/>
      <c r="FVD226" s="35"/>
      <c r="FVE226" s="34"/>
      <c r="FVF226" s="34"/>
      <c r="FVG226" s="36"/>
      <c r="FVH226" s="36"/>
      <c r="FVI226" s="37"/>
      <c r="FVJ226" s="37"/>
      <c r="FVK226" s="38"/>
      <c r="FVL226" s="38"/>
      <c r="FVM226" s="39"/>
      <c r="FVN226" s="34"/>
      <c r="FVO226" s="34"/>
      <c r="FVP226" s="34"/>
      <c r="FVQ226" s="35"/>
      <c r="FVR226" s="35"/>
      <c r="FVS226" s="35"/>
      <c r="FVT226" s="35"/>
      <c r="FVU226" s="35"/>
      <c r="FVV226" s="34"/>
      <c r="FVW226" s="34"/>
      <c r="FVX226" s="36"/>
      <c r="FVY226" s="36"/>
      <c r="FVZ226" s="37"/>
      <c r="FWA226" s="37"/>
      <c r="FWB226" s="38"/>
      <c r="FWC226" s="38"/>
      <c r="FWD226" s="39"/>
      <c r="FWE226" s="34"/>
      <c r="FWF226" s="34"/>
      <c r="FWG226" s="34"/>
      <c r="FWH226" s="35"/>
      <c r="FWI226" s="35"/>
      <c r="FWJ226" s="35"/>
      <c r="FWK226" s="35"/>
      <c r="FWL226" s="35"/>
      <c r="FWM226" s="34"/>
      <c r="FWN226" s="34"/>
      <c r="FWO226" s="36"/>
      <c r="FWP226" s="36"/>
      <c r="FWQ226" s="37"/>
      <c r="FWR226" s="37"/>
      <c r="FWS226" s="38"/>
      <c r="FWT226" s="38"/>
      <c r="FWU226" s="39"/>
      <c r="FWV226" s="34"/>
      <c r="FWW226" s="34"/>
      <c r="FWX226" s="34"/>
      <c r="FWY226" s="35"/>
      <c r="FWZ226" s="35"/>
      <c r="FXA226" s="35"/>
      <c r="FXB226" s="35"/>
      <c r="FXC226" s="35"/>
      <c r="FXD226" s="34"/>
      <c r="FXE226" s="34"/>
      <c r="FXF226" s="36"/>
      <c r="FXG226" s="36"/>
      <c r="FXH226" s="37"/>
      <c r="FXI226" s="37"/>
      <c r="FXJ226" s="38"/>
      <c r="FXK226" s="38"/>
      <c r="FXL226" s="39"/>
      <c r="FXM226" s="34"/>
      <c r="FXN226" s="34"/>
      <c r="FXO226" s="34"/>
      <c r="FXP226" s="35"/>
      <c r="FXQ226" s="35"/>
      <c r="FXR226" s="35"/>
      <c r="FXS226" s="35"/>
      <c r="FXT226" s="35"/>
      <c r="FXU226" s="34"/>
      <c r="FXV226" s="34"/>
      <c r="FXW226" s="36"/>
      <c r="FXX226" s="36"/>
      <c r="FXY226" s="37"/>
      <c r="FXZ226" s="37"/>
      <c r="FYA226" s="38"/>
      <c r="FYB226" s="38"/>
      <c r="FYC226" s="39"/>
      <c r="FYD226" s="34"/>
      <c r="FYE226" s="34"/>
      <c r="FYF226" s="34"/>
      <c r="FYG226" s="35"/>
      <c r="FYH226" s="35"/>
      <c r="FYI226" s="35"/>
      <c r="FYJ226" s="35"/>
      <c r="FYK226" s="35"/>
      <c r="FYL226" s="34"/>
      <c r="FYM226" s="34"/>
      <c r="FYN226" s="36"/>
      <c r="FYO226" s="36"/>
      <c r="FYP226" s="37"/>
      <c r="FYQ226" s="37"/>
      <c r="FYR226" s="38"/>
      <c r="FYS226" s="38"/>
      <c r="FYT226" s="39"/>
      <c r="FYU226" s="34"/>
      <c r="FYV226" s="34"/>
      <c r="FYW226" s="34"/>
      <c r="FYX226" s="35"/>
      <c r="FYY226" s="35"/>
      <c r="FYZ226" s="35"/>
      <c r="FZA226" s="35"/>
      <c r="FZB226" s="35"/>
      <c r="FZC226" s="34"/>
      <c r="FZD226" s="34"/>
      <c r="FZE226" s="36"/>
      <c r="FZF226" s="36"/>
      <c r="FZG226" s="37"/>
      <c r="FZH226" s="37"/>
      <c r="FZI226" s="38"/>
      <c r="FZJ226" s="38"/>
      <c r="FZK226" s="39"/>
      <c r="FZL226" s="34"/>
      <c r="FZM226" s="34"/>
      <c r="FZN226" s="34"/>
      <c r="FZO226" s="35"/>
      <c r="FZP226" s="35"/>
      <c r="FZQ226" s="35"/>
      <c r="FZR226" s="35"/>
      <c r="FZS226" s="35"/>
      <c r="FZT226" s="34"/>
      <c r="FZU226" s="34"/>
      <c r="FZV226" s="36"/>
      <c r="FZW226" s="36"/>
      <c r="FZX226" s="37"/>
      <c r="FZY226" s="37"/>
      <c r="FZZ226" s="38"/>
      <c r="GAA226" s="38"/>
      <c r="GAB226" s="39"/>
      <c r="GAC226" s="34"/>
      <c r="GAD226" s="34"/>
      <c r="GAE226" s="34"/>
      <c r="GAF226" s="35"/>
      <c r="GAG226" s="35"/>
      <c r="GAH226" s="35"/>
      <c r="GAI226" s="35"/>
      <c r="GAJ226" s="35"/>
      <c r="GAK226" s="34"/>
      <c r="GAL226" s="34"/>
      <c r="GAM226" s="36"/>
      <c r="GAN226" s="36"/>
      <c r="GAO226" s="37"/>
      <c r="GAP226" s="37"/>
      <c r="GAQ226" s="38"/>
      <c r="GAR226" s="38"/>
      <c r="GAS226" s="39"/>
      <c r="GAT226" s="34"/>
      <c r="GAU226" s="34"/>
      <c r="GAV226" s="34"/>
      <c r="GAW226" s="35"/>
      <c r="GAX226" s="35"/>
      <c r="GAY226" s="35"/>
      <c r="GAZ226" s="35"/>
      <c r="GBA226" s="35"/>
      <c r="GBB226" s="34"/>
      <c r="GBC226" s="34"/>
      <c r="GBD226" s="36"/>
      <c r="GBE226" s="36"/>
      <c r="GBF226" s="37"/>
      <c r="GBG226" s="37"/>
      <c r="GBH226" s="38"/>
      <c r="GBI226" s="38"/>
      <c r="GBJ226" s="39"/>
      <c r="GBK226" s="34"/>
      <c r="GBL226" s="34"/>
      <c r="GBM226" s="34"/>
      <c r="GBN226" s="35"/>
      <c r="GBO226" s="35"/>
      <c r="GBP226" s="35"/>
      <c r="GBQ226" s="35"/>
      <c r="GBR226" s="35"/>
      <c r="GBS226" s="34"/>
      <c r="GBT226" s="34"/>
      <c r="GBU226" s="36"/>
      <c r="GBV226" s="36"/>
      <c r="GBW226" s="37"/>
      <c r="GBX226" s="37"/>
      <c r="GBY226" s="38"/>
      <c r="GBZ226" s="38"/>
      <c r="GCA226" s="39"/>
      <c r="GCB226" s="34"/>
      <c r="GCC226" s="34"/>
      <c r="GCD226" s="34"/>
      <c r="GCE226" s="35"/>
      <c r="GCF226" s="35"/>
      <c r="GCG226" s="35"/>
      <c r="GCH226" s="35"/>
      <c r="GCI226" s="35"/>
      <c r="GCJ226" s="34"/>
      <c r="GCK226" s="34"/>
      <c r="GCL226" s="36"/>
      <c r="GCM226" s="36"/>
      <c r="GCN226" s="37"/>
      <c r="GCO226" s="37"/>
      <c r="GCP226" s="38"/>
      <c r="GCQ226" s="38"/>
      <c r="GCR226" s="39"/>
      <c r="GCS226" s="34"/>
      <c r="GCT226" s="34"/>
      <c r="GCU226" s="34"/>
      <c r="GCV226" s="35"/>
      <c r="GCW226" s="35"/>
      <c r="GCX226" s="35"/>
      <c r="GCY226" s="35"/>
      <c r="GCZ226" s="35"/>
      <c r="GDA226" s="34"/>
      <c r="GDB226" s="34"/>
      <c r="GDC226" s="36"/>
      <c r="GDD226" s="36"/>
      <c r="GDE226" s="37"/>
      <c r="GDF226" s="37"/>
      <c r="GDG226" s="38"/>
      <c r="GDH226" s="38"/>
      <c r="GDI226" s="39"/>
      <c r="GDJ226" s="34"/>
      <c r="GDK226" s="34"/>
      <c r="GDL226" s="34"/>
      <c r="GDM226" s="35"/>
      <c r="GDN226" s="35"/>
      <c r="GDO226" s="35"/>
      <c r="GDP226" s="35"/>
      <c r="GDQ226" s="35"/>
      <c r="GDR226" s="34"/>
      <c r="GDS226" s="34"/>
      <c r="GDT226" s="36"/>
      <c r="GDU226" s="36"/>
      <c r="GDV226" s="37"/>
      <c r="GDW226" s="37"/>
      <c r="GDX226" s="38"/>
      <c r="GDY226" s="38"/>
      <c r="GDZ226" s="39"/>
      <c r="GEA226" s="34"/>
      <c r="GEB226" s="34"/>
      <c r="GEC226" s="34"/>
      <c r="GED226" s="35"/>
      <c r="GEE226" s="35"/>
      <c r="GEF226" s="35"/>
      <c r="GEG226" s="35"/>
      <c r="GEH226" s="35"/>
      <c r="GEI226" s="34"/>
      <c r="GEJ226" s="34"/>
      <c r="GEK226" s="36"/>
      <c r="GEL226" s="36"/>
      <c r="GEM226" s="37"/>
      <c r="GEN226" s="37"/>
      <c r="GEO226" s="38"/>
      <c r="GEP226" s="38"/>
      <c r="GEQ226" s="39"/>
      <c r="GER226" s="34"/>
      <c r="GES226" s="34"/>
      <c r="GET226" s="34"/>
      <c r="GEU226" s="35"/>
      <c r="GEV226" s="35"/>
      <c r="GEW226" s="35"/>
      <c r="GEX226" s="35"/>
      <c r="GEY226" s="35"/>
      <c r="GEZ226" s="34"/>
      <c r="GFA226" s="34"/>
      <c r="GFB226" s="36"/>
      <c r="GFC226" s="36"/>
      <c r="GFD226" s="37"/>
      <c r="GFE226" s="37"/>
      <c r="GFF226" s="38"/>
      <c r="GFG226" s="38"/>
      <c r="GFH226" s="39"/>
      <c r="GFI226" s="34"/>
      <c r="GFJ226" s="34"/>
      <c r="GFK226" s="34"/>
      <c r="GFL226" s="35"/>
      <c r="GFM226" s="35"/>
      <c r="GFN226" s="35"/>
      <c r="GFO226" s="35"/>
      <c r="GFP226" s="35"/>
      <c r="GFQ226" s="34"/>
      <c r="GFR226" s="34"/>
      <c r="GFS226" s="36"/>
      <c r="GFT226" s="36"/>
      <c r="GFU226" s="37"/>
      <c r="GFV226" s="37"/>
      <c r="GFW226" s="38"/>
      <c r="GFX226" s="38"/>
      <c r="GFY226" s="39"/>
      <c r="GFZ226" s="34"/>
      <c r="GGA226" s="34"/>
      <c r="GGB226" s="34"/>
      <c r="GGC226" s="35"/>
      <c r="GGD226" s="35"/>
      <c r="GGE226" s="35"/>
      <c r="GGF226" s="35"/>
      <c r="GGG226" s="35"/>
      <c r="GGH226" s="34"/>
      <c r="GGI226" s="34"/>
      <c r="GGJ226" s="36"/>
      <c r="GGK226" s="36"/>
      <c r="GGL226" s="37"/>
      <c r="GGM226" s="37"/>
      <c r="GGN226" s="38"/>
      <c r="GGO226" s="38"/>
      <c r="GGP226" s="39"/>
      <c r="GGQ226" s="34"/>
      <c r="GGR226" s="34"/>
      <c r="GGS226" s="34"/>
      <c r="GGT226" s="35"/>
      <c r="GGU226" s="35"/>
      <c r="GGV226" s="35"/>
      <c r="GGW226" s="35"/>
      <c r="GGX226" s="35"/>
      <c r="GGY226" s="34"/>
      <c r="GGZ226" s="34"/>
      <c r="GHA226" s="36"/>
      <c r="GHB226" s="36"/>
      <c r="GHC226" s="37"/>
      <c r="GHD226" s="37"/>
      <c r="GHE226" s="38"/>
      <c r="GHF226" s="38"/>
      <c r="GHG226" s="39"/>
      <c r="GHH226" s="34"/>
      <c r="GHI226" s="34"/>
      <c r="GHJ226" s="34"/>
      <c r="GHK226" s="35"/>
      <c r="GHL226" s="35"/>
      <c r="GHM226" s="35"/>
      <c r="GHN226" s="35"/>
      <c r="GHO226" s="35"/>
      <c r="GHP226" s="34"/>
      <c r="GHQ226" s="34"/>
      <c r="GHR226" s="36"/>
      <c r="GHS226" s="36"/>
      <c r="GHT226" s="37"/>
      <c r="GHU226" s="37"/>
      <c r="GHV226" s="38"/>
      <c r="GHW226" s="38"/>
      <c r="GHX226" s="39"/>
      <c r="GHY226" s="34"/>
      <c r="GHZ226" s="34"/>
      <c r="GIA226" s="34"/>
      <c r="GIB226" s="35"/>
      <c r="GIC226" s="35"/>
      <c r="GID226" s="35"/>
      <c r="GIE226" s="35"/>
      <c r="GIF226" s="35"/>
      <c r="GIG226" s="34"/>
      <c r="GIH226" s="34"/>
      <c r="GII226" s="36"/>
      <c r="GIJ226" s="36"/>
      <c r="GIK226" s="37"/>
      <c r="GIL226" s="37"/>
      <c r="GIM226" s="38"/>
      <c r="GIN226" s="38"/>
      <c r="GIO226" s="39"/>
      <c r="GIP226" s="34"/>
      <c r="GIQ226" s="34"/>
      <c r="GIR226" s="34"/>
      <c r="GIS226" s="35"/>
      <c r="GIT226" s="35"/>
      <c r="GIU226" s="35"/>
      <c r="GIV226" s="35"/>
      <c r="GIW226" s="35"/>
      <c r="GIX226" s="34"/>
      <c r="GIY226" s="34"/>
      <c r="GIZ226" s="36"/>
      <c r="GJA226" s="36"/>
      <c r="GJB226" s="37"/>
      <c r="GJC226" s="37"/>
      <c r="GJD226" s="38"/>
      <c r="GJE226" s="38"/>
      <c r="GJF226" s="39"/>
      <c r="GJG226" s="34"/>
      <c r="GJH226" s="34"/>
      <c r="GJI226" s="34"/>
      <c r="GJJ226" s="35"/>
      <c r="GJK226" s="35"/>
      <c r="GJL226" s="35"/>
      <c r="GJM226" s="35"/>
      <c r="GJN226" s="35"/>
      <c r="GJO226" s="34"/>
      <c r="GJP226" s="34"/>
      <c r="GJQ226" s="36"/>
      <c r="GJR226" s="36"/>
      <c r="GJS226" s="37"/>
      <c r="GJT226" s="37"/>
      <c r="GJU226" s="38"/>
      <c r="GJV226" s="38"/>
      <c r="GJW226" s="39"/>
      <c r="GJX226" s="34"/>
      <c r="GJY226" s="34"/>
      <c r="GJZ226" s="34"/>
      <c r="GKA226" s="35"/>
      <c r="GKB226" s="35"/>
      <c r="GKC226" s="35"/>
      <c r="GKD226" s="35"/>
      <c r="GKE226" s="35"/>
      <c r="GKF226" s="34"/>
      <c r="GKG226" s="34"/>
      <c r="GKH226" s="36"/>
      <c r="GKI226" s="36"/>
      <c r="GKJ226" s="37"/>
      <c r="GKK226" s="37"/>
      <c r="GKL226" s="38"/>
      <c r="GKM226" s="38"/>
      <c r="GKN226" s="39"/>
      <c r="GKO226" s="34"/>
      <c r="GKP226" s="34"/>
      <c r="GKQ226" s="34"/>
      <c r="GKR226" s="35"/>
      <c r="GKS226" s="35"/>
      <c r="GKT226" s="35"/>
      <c r="GKU226" s="35"/>
      <c r="GKV226" s="35"/>
      <c r="GKW226" s="34"/>
      <c r="GKX226" s="34"/>
      <c r="GKY226" s="36"/>
      <c r="GKZ226" s="36"/>
      <c r="GLA226" s="37"/>
      <c r="GLB226" s="37"/>
      <c r="GLC226" s="38"/>
      <c r="GLD226" s="38"/>
      <c r="GLE226" s="39"/>
      <c r="GLF226" s="34"/>
      <c r="GLG226" s="34"/>
      <c r="GLH226" s="34"/>
      <c r="GLI226" s="35"/>
      <c r="GLJ226" s="35"/>
      <c r="GLK226" s="35"/>
      <c r="GLL226" s="35"/>
      <c r="GLM226" s="35"/>
      <c r="GLN226" s="34"/>
      <c r="GLO226" s="34"/>
      <c r="GLP226" s="36"/>
      <c r="GLQ226" s="36"/>
      <c r="GLR226" s="37"/>
      <c r="GLS226" s="37"/>
      <c r="GLT226" s="38"/>
      <c r="GLU226" s="38"/>
      <c r="GLV226" s="39"/>
      <c r="GLW226" s="34"/>
      <c r="GLX226" s="34"/>
      <c r="GLY226" s="34"/>
      <c r="GLZ226" s="35"/>
      <c r="GMA226" s="35"/>
      <c r="GMB226" s="35"/>
      <c r="GMC226" s="35"/>
      <c r="GMD226" s="35"/>
      <c r="GME226" s="34"/>
      <c r="GMF226" s="34"/>
      <c r="GMG226" s="36"/>
      <c r="GMH226" s="36"/>
      <c r="GMI226" s="37"/>
      <c r="GMJ226" s="37"/>
      <c r="GMK226" s="38"/>
      <c r="GML226" s="38"/>
      <c r="GMM226" s="39"/>
      <c r="GMN226" s="34"/>
      <c r="GMO226" s="34"/>
      <c r="GMP226" s="34"/>
      <c r="GMQ226" s="35"/>
      <c r="GMR226" s="35"/>
      <c r="GMS226" s="35"/>
      <c r="GMT226" s="35"/>
      <c r="GMU226" s="35"/>
      <c r="GMV226" s="34"/>
      <c r="GMW226" s="34"/>
      <c r="GMX226" s="36"/>
      <c r="GMY226" s="36"/>
      <c r="GMZ226" s="37"/>
      <c r="GNA226" s="37"/>
      <c r="GNB226" s="38"/>
      <c r="GNC226" s="38"/>
      <c r="GND226" s="39"/>
      <c r="GNE226" s="34"/>
      <c r="GNF226" s="34"/>
      <c r="GNG226" s="34"/>
      <c r="GNH226" s="35"/>
      <c r="GNI226" s="35"/>
      <c r="GNJ226" s="35"/>
      <c r="GNK226" s="35"/>
      <c r="GNL226" s="35"/>
      <c r="GNM226" s="34"/>
      <c r="GNN226" s="34"/>
      <c r="GNO226" s="36"/>
      <c r="GNP226" s="36"/>
      <c r="GNQ226" s="37"/>
      <c r="GNR226" s="37"/>
      <c r="GNS226" s="38"/>
      <c r="GNT226" s="38"/>
      <c r="GNU226" s="39"/>
      <c r="GNV226" s="34"/>
      <c r="GNW226" s="34"/>
      <c r="GNX226" s="34"/>
      <c r="GNY226" s="35"/>
      <c r="GNZ226" s="35"/>
      <c r="GOA226" s="35"/>
      <c r="GOB226" s="35"/>
      <c r="GOC226" s="35"/>
      <c r="GOD226" s="34"/>
      <c r="GOE226" s="34"/>
      <c r="GOF226" s="36"/>
      <c r="GOG226" s="36"/>
      <c r="GOH226" s="37"/>
      <c r="GOI226" s="37"/>
      <c r="GOJ226" s="38"/>
      <c r="GOK226" s="38"/>
      <c r="GOL226" s="39"/>
      <c r="GOM226" s="34"/>
      <c r="GON226" s="34"/>
      <c r="GOO226" s="34"/>
      <c r="GOP226" s="35"/>
      <c r="GOQ226" s="35"/>
      <c r="GOR226" s="35"/>
      <c r="GOS226" s="35"/>
      <c r="GOT226" s="35"/>
      <c r="GOU226" s="34"/>
      <c r="GOV226" s="34"/>
      <c r="GOW226" s="36"/>
      <c r="GOX226" s="36"/>
      <c r="GOY226" s="37"/>
      <c r="GOZ226" s="37"/>
      <c r="GPA226" s="38"/>
      <c r="GPB226" s="38"/>
      <c r="GPC226" s="39"/>
      <c r="GPD226" s="34"/>
      <c r="GPE226" s="34"/>
      <c r="GPF226" s="34"/>
      <c r="GPG226" s="35"/>
      <c r="GPH226" s="35"/>
      <c r="GPI226" s="35"/>
      <c r="GPJ226" s="35"/>
      <c r="GPK226" s="35"/>
      <c r="GPL226" s="34"/>
      <c r="GPM226" s="34"/>
      <c r="GPN226" s="36"/>
      <c r="GPO226" s="36"/>
      <c r="GPP226" s="37"/>
      <c r="GPQ226" s="37"/>
      <c r="GPR226" s="38"/>
      <c r="GPS226" s="38"/>
      <c r="GPT226" s="39"/>
      <c r="GPU226" s="34"/>
      <c r="GPV226" s="34"/>
      <c r="GPW226" s="34"/>
      <c r="GPX226" s="35"/>
      <c r="GPY226" s="35"/>
      <c r="GPZ226" s="35"/>
      <c r="GQA226" s="35"/>
      <c r="GQB226" s="35"/>
      <c r="GQC226" s="34"/>
      <c r="GQD226" s="34"/>
      <c r="GQE226" s="36"/>
      <c r="GQF226" s="36"/>
      <c r="GQG226" s="37"/>
      <c r="GQH226" s="37"/>
      <c r="GQI226" s="38"/>
      <c r="GQJ226" s="38"/>
      <c r="GQK226" s="39"/>
      <c r="GQL226" s="34"/>
      <c r="GQM226" s="34"/>
      <c r="GQN226" s="34"/>
      <c r="GQO226" s="35"/>
      <c r="GQP226" s="35"/>
      <c r="GQQ226" s="35"/>
      <c r="GQR226" s="35"/>
      <c r="GQS226" s="35"/>
      <c r="GQT226" s="34"/>
      <c r="GQU226" s="34"/>
      <c r="GQV226" s="36"/>
      <c r="GQW226" s="36"/>
      <c r="GQX226" s="37"/>
      <c r="GQY226" s="37"/>
      <c r="GQZ226" s="38"/>
      <c r="GRA226" s="38"/>
      <c r="GRB226" s="39"/>
      <c r="GRC226" s="34"/>
      <c r="GRD226" s="34"/>
      <c r="GRE226" s="34"/>
      <c r="GRF226" s="35"/>
      <c r="GRG226" s="35"/>
      <c r="GRH226" s="35"/>
      <c r="GRI226" s="35"/>
      <c r="GRJ226" s="35"/>
      <c r="GRK226" s="34"/>
      <c r="GRL226" s="34"/>
      <c r="GRM226" s="36"/>
      <c r="GRN226" s="36"/>
      <c r="GRO226" s="37"/>
      <c r="GRP226" s="37"/>
      <c r="GRQ226" s="38"/>
      <c r="GRR226" s="38"/>
      <c r="GRS226" s="39"/>
      <c r="GRT226" s="34"/>
      <c r="GRU226" s="34"/>
      <c r="GRV226" s="34"/>
      <c r="GRW226" s="35"/>
      <c r="GRX226" s="35"/>
      <c r="GRY226" s="35"/>
      <c r="GRZ226" s="35"/>
      <c r="GSA226" s="35"/>
      <c r="GSB226" s="34"/>
      <c r="GSC226" s="34"/>
      <c r="GSD226" s="36"/>
      <c r="GSE226" s="36"/>
      <c r="GSF226" s="37"/>
      <c r="GSG226" s="37"/>
      <c r="GSH226" s="38"/>
      <c r="GSI226" s="38"/>
      <c r="GSJ226" s="39"/>
      <c r="GSK226" s="34"/>
      <c r="GSL226" s="34"/>
      <c r="GSM226" s="34"/>
      <c r="GSN226" s="35"/>
      <c r="GSO226" s="35"/>
      <c r="GSP226" s="35"/>
      <c r="GSQ226" s="35"/>
      <c r="GSR226" s="35"/>
      <c r="GSS226" s="34"/>
      <c r="GST226" s="34"/>
      <c r="GSU226" s="36"/>
      <c r="GSV226" s="36"/>
      <c r="GSW226" s="37"/>
      <c r="GSX226" s="37"/>
      <c r="GSY226" s="38"/>
      <c r="GSZ226" s="38"/>
      <c r="GTA226" s="39"/>
      <c r="GTB226" s="34"/>
      <c r="GTC226" s="34"/>
      <c r="GTD226" s="34"/>
      <c r="GTE226" s="35"/>
      <c r="GTF226" s="35"/>
      <c r="GTG226" s="35"/>
      <c r="GTH226" s="35"/>
      <c r="GTI226" s="35"/>
      <c r="GTJ226" s="34"/>
      <c r="GTK226" s="34"/>
      <c r="GTL226" s="36"/>
      <c r="GTM226" s="36"/>
      <c r="GTN226" s="37"/>
      <c r="GTO226" s="37"/>
      <c r="GTP226" s="38"/>
      <c r="GTQ226" s="38"/>
      <c r="GTR226" s="39"/>
      <c r="GTS226" s="34"/>
      <c r="GTT226" s="34"/>
      <c r="GTU226" s="34"/>
      <c r="GTV226" s="35"/>
      <c r="GTW226" s="35"/>
      <c r="GTX226" s="35"/>
      <c r="GTY226" s="35"/>
      <c r="GTZ226" s="35"/>
      <c r="GUA226" s="34"/>
      <c r="GUB226" s="34"/>
      <c r="GUC226" s="36"/>
      <c r="GUD226" s="36"/>
      <c r="GUE226" s="37"/>
      <c r="GUF226" s="37"/>
      <c r="GUG226" s="38"/>
      <c r="GUH226" s="38"/>
      <c r="GUI226" s="39"/>
      <c r="GUJ226" s="34"/>
      <c r="GUK226" s="34"/>
      <c r="GUL226" s="34"/>
      <c r="GUM226" s="35"/>
      <c r="GUN226" s="35"/>
      <c r="GUO226" s="35"/>
      <c r="GUP226" s="35"/>
      <c r="GUQ226" s="35"/>
      <c r="GUR226" s="34"/>
      <c r="GUS226" s="34"/>
      <c r="GUT226" s="36"/>
      <c r="GUU226" s="36"/>
      <c r="GUV226" s="37"/>
      <c r="GUW226" s="37"/>
      <c r="GUX226" s="38"/>
      <c r="GUY226" s="38"/>
      <c r="GUZ226" s="39"/>
      <c r="GVA226" s="34"/>
      <c r="GVB226" s="34"/>
      <c r="GVC226" s="34"/>
      <c r="GVD226" s="35"/>
      <c r="GVE226" s="35"/>
      <c r="GVF226" s="35"/>
      <c r="GVG226" s="35"/>
      <c r="GVH226" s="35"/>
      <c r="GVI226" s="34"/>
      <c r="GVJ226" s="34"/>
      <c r="GVK226" s="36"/>
      <c r="GVL226" s="36"/>
      <c r="GVM226" s="37"/>
      <c r="GVN226" s="37"/>
      <c r="GVO226" s="38"/>
      <c r="GVP226" s="38"/>
      <c r="GVQ226" s="39"/>
      <c r="GVR226" s="34"/>
      <c r="GVS226" s="34"/>
      <c r="GVT226" s="34"/>
      <c r="GVU226" s="35"/>
      <c r="GVV226" s="35"/>
      <c r="GVW226" s="35"/>
      <c r="GVX226" s="35"/>
      <c r="GVY226" s="35"/>
      <c r="GVZ226" s="34"/>
      <c r="GWA226" s="34"/>
      <c r="GWB226" s="36"/>
      <c r="GWC226" s="36"/>
      <c r="GWD226" s="37"/>
      <c r="GWE226" s="37"/>
      <c r="GWF226" s="38"/>
      <c r="GWG226" s="38"/>
      <c r="GWH226" s="39"/>
      <c r="GWI226" s="34"/>
      <c r="GWJ226" s="34"/>
      <c r="GWK226" s="34"/>
      <c r="GWL226" s="35"/>
      <c r="GWM226" s="35"/>
      <c r="GWN226" s="35"/>
      <c r="GWO226" s="35"/>
      <c r="GWP226" s="35"/>
      <c r="GWQ226" s="34"/>
      <c r="GWR226" s="34"/>
      <c r="GWS226" s="36"/>
      <c r="GWT226" s="36"/>
      <c r="GWU226" s="37"/>
      <c r="GWV226" s="37"/>
      <c r="GWW226" s="38"/>
      <c r="GWX226" s="38"/>
      <c r="GWY226" s="39"/>
      <c r="GWZ226" s="34"/>
      <c r="GXA226" s="34"/>
      <c r="GXB226" s="34"/>
      <c r="GXC226" s="35"/>
      <c r="GXD226" s="35"/>
      <c r="GXE226" s="35"/>
      <c r="GXF226" s="35"/>
      <c r="GXG226" s="35"/>
      <c r="GXH226" s="34"/>
      <c r="GXI226" s="34"/>
      <c r="GXJ226" s="36"/>
      <c r="GXK226" s="36"/>
      <c r="GXL226" s="37"/>
      <c r="GXM226" s="37"/>
      <c r="GXN226" s="38"/>
      <c r="GXO226" s="38"/>
      <c r="GXP226" s="39"/>
      <c r="GXQ226" s="34"/>
      <c r="GXR226" s="34"/>
      <c r="GXS226" s="34"/>
      <c r="GXT226" s="35"/>
      <c r="GXU226" s="35"/>
      <c r="GXV226" s="35"/>
      <c r="GXW226" s="35"/>
      <c r="GXX226" s="35"/>
      <c r="GXY226" s="34"/>
      <c r="GXZ226" s="34"/>
      <c r="GYA226" s="36"/>
      <c r="GYB226" s="36"/>
      <c r="GYC226" s="37"/>
      <c r="GYD226" s="37"/>
      <c r="GYE226" s="38"/>
      <c r="GYF226" s="38"/>
      <c r="GYG226" s="39"/>
      <c r="GYH226" s="34"/>
      <c r="GYI226" s="34"/>
      <c r="GYJ226" s="34"/>
      <c r="GYK226" s="35"/>
      <c r="GYL226" s="35"/>
      <c r="GYM226" s="35"/>
      <c r="GYN226" s="35"/>
      <c r="GYO226" s="35"/>
      <c r="GYP226" s="34"/>
      <c r="GYQ226" s="34"/>
      <c r="GYR226" s="36"/>
      <c r="GYS226" s="36"/>
      <c r="GYT226" s="37"/>
      <c r="GYU226" s="37"/>
      <c r="GYV226" s="38"/>
      <c r="GYW226" s="38"/>
      <c r="GYX226" s="39"/>
      <c r="GYY226" s="34"/>
      <c r="GYZ226" s="34"/>
      <c r="GZA226" s="34"/>
      <c r="GZB226" s="35"/>
      <c r="GZC226" s="35"/>
      <c r="GZD226" s="35"/>
      <c r="GZE226" s="35"/>
      <c r="GZF226" s="35"/>
      <c r="GZG226" s="34"/>
      <c r="GZH226" s="34"/>
      <c r="GZI226" s="36"/>
      <c r="GZJ226" s="36"/>
      <c r="GZK226" s="37"/>
      <c r="GZL226" s="37"/>
      <c r="GZM226" s="38"/>
      <c r="GZN226" s="38"/>
      <c r="GZO226" s="39"/>
      <c r="GZP226" s="34"/>
      <c r="GZQ226" s="34"/>
      <c r="GZR226" s="34"/>
      <c r="GZS226" s="35"/>
      <c r="GZT226" s="35"/>
      <c r="GZU226" s="35"/>
      <c r="GZV226" s="35"/>
      <c r="GZW226" s="35"/>
      <c r="GZX226" s="34"/>
      <c r="GZY226" s="34"/>
      <c r="GZZ226" s="36"/>
      <c r="HAA226" s="36"/>
      <c r="HAB226" s="37"/>
      <c r="HAC226" s="37"/>
      <c r="HAD226" s="38"/>
      <c r="HAE226" s="38"/>
      <c r="HAF226" s="39"/>
      <c r="HAG226" s="34"/>
      <c r="HAH226" s="34"/>
      <c r="HAI226" s="34"/>
      <c r="HAJ226" s="35"/>
      <c r="HAK226" s="35"/>
      <c r="HAL226" s="35"/>
      <c r="HAM226" s="35"/>
      <c r="HAN226" s="35"/>
      <c r="HAO226" s="34"/>
      <c r="HAP226" s="34"/>
      <c r="HAQ226" s="36"/>
      <c r="HAR226" s="36"/>
      <c r="HAS226" s="37"/>
      <c r="HAT226" s="37"/>
      <c r="HAU226" s="38"/>
      <c r="HAV226" s="38"/>
      <c r="HAW226" s="39"/>
      <c r="HAX226" s="34"/>
      <c r="HAY226" s="34"/>
      <c r="HAZ226" s="34"/>
      <c r="HBA226" s="35"/>
      <c r="HBB226" s="35"/>
      <c r="HBC226" s="35"/>
      <c r="HBD226" s="35"/>
      <c r="HBE226" s="35"/>
      <c r="HBF226" s="34"/>
      <c r="HBG226" s="34"/>
      <c r="HBH226" s="36"/>
      <c r="HBI226" s="36"/>
      <c r="HBJ226" s="37"/>
      <c r="HBK226" s="37"/>
      <c r="HBL226" s="38"/>
      <c r="HBM226" s="38"/>
      <c r="HBN226" s="39"/>
      <c r="HBO226" s="34"/>
      <c r="HBP226" s="34"/>
      <c r="HBQ226" s="34"/>
      <c r="HBR226" s="35"/>
      <c r="HBS226" s="35"/>
      <c r="HBT226" s="35"/>
      <c r="HBU226" s="35"/>
      <c r="HBV226" s="35"/>
      <c r="HBW226" s="34"/>
      <c r="HBX226" s="34"/>
      <c r="HBY226" s="36"/>
      <c r="HBZ226" s="36"/>
      <c r="HCA226" s="37"/>
      <c r="HCB226" s="37"/>
      <c r="HCC226" s="38"/>
      <c r="HCD226" s="38"/>
      <c r="HCE226" s="39"/>
      <c r="HCF226" s="34"/>
      <c r="HCG226" s="34"/>
      <c r="HCH226" s="34"/>
      <c r="HCI226" s="35"/>
      <c r="HCJ226" s="35"/>
      <c r="HCK226" s="35"/>
      <c r="HCL226" s="35"/>
      <c r="HCM226" s="35"/>
      <c r="HCN226" s="34"/>
      <c r="HCO226" s="34"/>
      <c r="HCP226" s="36"/>
      <c r="HCQ226" s="36"/>
      <c r="HCR226" s="37"/>
      <c r="HCS226" s="37"/>
      <c r="HCT226" s="38"/>
      <c r="HCU226" s="38"/>
      <c r="HCV226" s="39"/>
      <c r="HCW226" s="34"/>
      <c r="HCX226" s="34"/>
      <c r="HCY226" s="34"/>
      <c r="HCZ226" s="35"/>
      <c r="HDA226" s="35"/>
      <c r="HDB226" s="35"/>
      <c r="HDC226" s="35"/>
      <c r="HDD226" s="35"/>
      <c r="HDE226" s="34"/>
      <c r="HDF226" s="34"/>
      <c r="HDG226" s="36"/>
      <c r="HDH226" s="36"/>
      <c r="HDI226" s="37"/>
      <c r="HDJ226" s="37"/>
      <c r="HDK226" s="38"/>
      <c r="HDL226" s="38"/>
      <c r="HDM226" s="39"/>
      <c r="HDN226" s="34"/>
      <c r="HDO226" s="34"/>
      <c r="HDP226" s="34"/>
      <c r="HDQ226" s="35"/>
      <c r="HDR226" s="35"/>
      <c r="HDS226" s="35"/>
      <c r="HDT226" s="35"/>
      <c r="HDU226" s="35"/>
      <c r="HDV226" s="34"/>
      <c r="HDW226" s="34"/>
      <c r="HDX226" s="36"/>
      <c r="HDY226" s="36"/>
      <c r="HDZ226" s="37"/>
      <c r="HEA226" s="37"/>
      <c r="HEB226" s="38"/>
      <c r="HEC226" s="38"/>
      <c r="HED226" s="39"/>
      <c r="HEE226" s="34"/>
      <c r="HEF226" s="34"/>
      <c r="HEG226" s="34"/>
      <c r="HEH226" s="35"/>
      <c r="HEI226" s="35"/>
      <c r="HEJ226" s="35"/>
      <c r="HEK226" s="35"/>
      <c r="HEL226" s="35"/>
      <c r="HEM226" s="34"/>
      <c r="HEN226" s="34"/>
      <c r="HEO226" s="36"/>
      <c r="HEP226" s="36"/>
      <c r="HEQ226" s="37"/>
      <c r="HER226" s="37"/>
      <c r="HES226" s="38"/>
      <c r="HET226" s="38"/>
      <c r="HEU226" s="39"/>
      <c r="HEV226" s="34"/>
      <c r="HEW226" s="34"/>
      <c r="HEX226" s="34"/>
      <c r="HEY226" s="35"/>
      <c r="HEZ226" s="35"/>
      <c r="HFA226" s="35"/>
      <c r="HFB226" s="35"/>
      <c r="HFC226" s="35"/>
      <c r="HFD226" s="34"/>
      <c r="HFE226" s="34"/>
      <c r="HFF226" s="36"/>
      <c r="HFG226" s="36"/>
      <c r="HFH226" s="37"/>
      <c r="HFI226" s="37"/>
      <c r="HFJ226" s="38"/>
      <c r="HFK226" s="38"/>
      <c r="HFL226" s="39"/>
      <c r="HFM226" s="34"/>
      <c r="HFN226" s="34"/>
      <c r="HFO226" s="34"/>
      <c r="HFP226" s="35"/>
      <c r="HFQ226" s="35"/>
      <c r="HFR226" s="35"/>
      <c r="HFS226" s="35"/>
      <c r="HFT226" s="35"/>
      <c r="HFU226" s="34"/>
      <c r="HFV226" s="34"/>
      <c r="HFW226" s="36"/>
      <c r="HFX226" s="36"/>
      <c r="HFY226" s="37"/>
      <c r="HFZ226" s="37"/>
      <c r="HGA226" s="38"/>
      <c r="HGB226" s="38"/>
      <c r="HGC226" s="39"/>
      <c r="HGD226" s="34"/>
      <c r="HGE226" s="34"/>
      <c r="HGF226" s="34"/>
      <c r="HGG226" s="35"/>
      <c r="HGH226" s="35"/>
      <c r="HGI226" s="35"/>
      <c r="HGJ226" s="35"/>
      <c r="HGK226" s="35"/>
      <c r="HGL226" s="34"/>
      <c r="HGM226" s="34"/>
      <c r="HGN226" s="36"/>
      <c r="HGO226" s="36"/>
      <c r="HGP226" s="37"/>
      <c r="HGQ226" s="37"/>
      <c r="HGR226" s="38"/>
      <c r="HGS226" s="38"/>
      <c r="HGT226" s="39"/>
      <c r="HGU226" s="34"/>
      <c r="HGV226" s="34"/>
      <c r="HGW226" s="34"/>
      <c r="HGX226" s="35"/>
      <c r="HGY226" s="35"/>
      <c r="HGZ226" s="35"/>
      <c r="HHA226" s="35"/>
      <c r="HHB226" s="35"/>
      <c r="HHC226" s="34"/>
      <c r="HHD226" s="34"/>
      <c r="HHE226" s="36"/>
      <c r="HHF226" s="36"/>
      <c r="HHG226" s="37"/>
      <c r="HHH226" s="37"/>
      <c r="HHI226" s="38"/>
      <c r="HHJ226" s="38"/>
      <c r="HHK226" s="39"/>
      <c r="HHL226" s="34"/>
      <c r="HHM226" s="34"/>
      <c r="HHN226" s="34"/>
      <c r="HHO226" s="35"/>
      <c r="HHP226" s="35"/>
      <c r="HHQ226" s="35"/>
      <c r="HHR226" s="35"/>
      <c r="HHS226" s="35"/>
      <c r="HHT226" s="34"/>
      <c r="HHU226" s="34"/>
      <c r="HHV226" s="36"/>
      <c r="HHW226" s="36"/>
      <c r="HHX226" s="37"/>
      <c r="HHY226" s="37"/>
      <c r="HHZ226" s="38"/>
      <c r="HIA226" s="38"/>
      <c r="HIB226" s="39"/>
      <c r="HIC226" s="34"/>
      <c r="HID226" s="34"/>
      <c r="HIE226" s="34"/>
      <c r="HIF226" s="35"/>
      <c r="HIG226" s="35"/>
      <c r="HIH226" s="35"/>
      <c r="HII226" s="35"/>
      <c r="HIJ226" s="35"/>
      <c r="HIK226" s="34"/>
      <c r="HIL226" s="34"/>
      <c r="HIM226" s="36"/>
      <c r="HIN226" s="36"/>
      <c r="HIO226" s="37"/>
      <c r="HIP226" s="37"/>
      <c r="HIQ226" s="38"/>
      <c r="HIR226" s="38"/>
      <c r="HIS226" s="39"/>
      <c r="HIT226" s="34"/>
      <c r="HIU226" s="34"/>
      <c r="HIV226" s="34"/>
      <c r="HIW226" s="35"/>
      <c r="HIX226" s="35"/>
      <c r="HIY226" s="35"/>
      <c r="HIZ226" s="35"/>
      <c r="HJA226" s="35"/>
      <c r="HJB226" s="34"/>
      <c r="HJC226" s="34"/>
      <c r="HJD226" s="36"/>
      <c r="HJE226" s="36"/>
      <c r="HJF226" s="37"/>
      <c r="HJG226" s="37"/>
      <c r="HJH226" s="38"/>
      <c r="HJI226" s="38"/>
      <c r="HJJ226" s="39"/>
      <c r="HJK226" s="34"/>
      <c r="HJL226" s="34"/>
      <c r="HJM226" s="34"/>
      <c r="HJN226" s="35"/>
      <c r="HJO226" s="35"/>
      <c r="HJP226" s="35"/>
      <c r="HJQ226" s="35"/>
      <c r="HJR226" s="35"/>
      <c r="HJS226" s="34"/>
      <c r="HJT226" s="34"/>
      <c r="HJU226" s="36"/>
      <c r="HJV226" s="36"/>
      <c r="HJW226" s="37"/>
      <c r="HJX226" s="37"/>
      <c r="HJY226" s="38"/>
      <c r="HJZ226" s="38"/>
      <c r="HKA226" s="39"/>
      <c r="HKB226" s="34"/>
      <c r="HKC226" s="34"/>
      <c r="HKD226" s="34"/>
      <c r="HKE226" s="35"/>
      <c r="HKF226" s="35"/>
      <c r="HKG226" s="35"/>
      <c r="HKH226" s="35"/>
      <c r="HKI226" s="35"/>
      <c r="HKJ226" s="34"/>
      <c r="HKK226" s="34"/>
      <c r="HKL226" s="36"/>
      <c r="HKM226" s="36"/>
      <c r="HKN226" s="37"/>
      <c r="HKO226" s="37"/>
      <c r="HKP226" s="38"/>
      <c r="HKQ226" s="38"/>
      <c r="HKR226" s="39"/>
      <c r="HKS226" s="34"/>
      <c r="HKT226" s="34"/>
      <c r="HKU226" s="34"/>
      <c r="HKV226" s="35"/>
      <c r="HKW226" s="35"/>
      <c r="HKX226" s="35"/>
      <c r="HKY226" s="35"/>
      <c r="HKZ226" s="35"/>
      <c r="HLA226" s="34"/>
      <c r="HLB226" s="34"/>
      <c r="HLC226" s="36"/>
      <c r="HLD226" s="36"/>
      <c r="HLE226" s="37"/>
      <c r="HLF226" s="37"/>
      <c r="HLG226" s="38"/>
      <c r="HLH226" s="38"/>
      <c r="HLI226" s="39"/>
      <c r="HLJ226" s="34"/>
      <c r="HLK226" s="34"/>
      <c r="HLL226" s="34"/>
      <c r="HLM226" s="35"/>
      <c r="HLN226" s="35"/>
      <c r="HLO226" s="35"/>
      <c r="HLP226" s="35"/>
      <c r="HLQ226" s="35"/>
      <c r="HLR226" s="34"/>
      <c r="HLS226" s="34"/>
      <c r="HLT226" s="36"/>
      <c r="HLU226" s="36"/>
      <c r="HLV226" s="37"/>
      <c r="HLW226" s="37"/>
      <c r="HLX226" s="38"/>
      <c r="HLY226" s="38"/>
      <c r="HLZ226" s="39"/>
      <c r="HMA226" s="34"/>
      <c r="HMB226" s="34"/>
      <c r="HMC226" s="34"/>
      <c r="HMD226" s="35"/>
      <c r="HME226" s="35"/>
      <c r="HMF226" s="35"/>
      <c r="HMG226" s="35"/>
      <c r="HMH226" s="35"/>
      <c r="HMI226" s="34"/>
      <c r="HMJ226" s="34"/>
      <c r="HMK226" s="36"/>
      <c r="HML226" s="36"/>
      <c r="HMM226" s="37"/>
      <c r="HMN226" s="37"/>
      <c r="HMO226" s="38"/>
      <c r="HMP226" s="38"/>
      <c r="HMQ226" s="39"/>
      <c r="HMR226" s="34"/>
      <c r="HMS226" s="34"/>
      <c r="HMT226" s="34"/>
      <c r="HMU226" s="35"/>
      <c r="HMV226" s="35"/>
      <c r="HMW226" s="35"/>
      <c r="HMX226" s="35"/>
      <c r="HMY226" s="35"/>
      <c r="HMZ226" s="34"/>
      <c r="HNA226" s="34"/>
      <c r="HNB226" s="36"/>
      <c r="HNC226" s="36"/>
      <c r="HND226" s="37"/>
      <c r="HNE226" s="37"/>
      <c r="HNF226" s="38"/>
      <c r="HNG226" s="38"/>
      <c r="HNH226" s="39"/>
      <c r="HNI226" s="34"/>
      <c r="HNJ226" s="34"/>
      <c r="HNK226" s="34"/>
      <c r="HNL226" s="35"/>
      <c r="HNM226" s="35"/>
      <c r="HNN226" s="35"/>
      <c r="HNO226" s="35"/>
      <c r="HNP226" s="35"/>
      <c r="HNQ226" s="34"/>
      <c r="HNR226" s="34"/>
      <c r="HNS226" s="36"/>
      <c r="HNT226" s="36"/>
      <c r="HNU226" s="37"/>
      <c r="HNV226" s="37"/>
      <c r="HNW226" s="38"/>
      <c r="HNX226" s="38"/>
      <c r="HNY226" s="39"/>
      <c r="HNZ226" s="34"/>
      <c r="HOA226" s="34"/>
      <c r="HOB226" s="34"/>
      <c r="HOC226" s="35"/>
      <c r="HOD226" s="35"/>
      <c r="HOE226" s="35"/>
      <c r="HOF226" s="35"/>
      <c r="HOG226" s="35"/>
      <c r="HOH226" s="34"/>
      <c r="HOI226" s="34"/>
      <c r="HOJ226" s="36"/>
      <c r="HOK226" s="36"/>
      <c r="HOL226" s="37"/>
      <c r="HOM226" s="37"/>
      <c r="HON226" s="38"/>
      <c r="HOO226" s="38"/>
      <c r="HOP226" s="39"/>
      <c r="HOQ226" s="34"/>
      <c r="HOR226" s="34"/>
      <c r="HOS226" s="34"/>
      <c r="HOT226" s="35"/>
      <c r="HOU226" s="35"/>
      <c r="HOV226" s="35"/>
      <c r="HOW226" s="35"/>
      <c r="HOX226" s="35"/>
      <c r="HOY226" s="34"/>
      <c r="HOZ226" s="34"/>
      <c r="HPA226" s="36"/>
      <c r="HPB226" s="36"/>
      <c r="HPC226" s="37"/>
      <c r="HPD226" s="37"/>
      <c r="HPE226" s="38"/>
      <c r="HPF226" s="38"/>
      <c r="HPG226" s="39"/>
      <c r="HPH226" s="34"/>
      <c r="HPI226" s="34"/>
      <c r="HPJ226" s="34"/>
      <c r="HPK226" s="35"/>
      <c r="HPL226" s="35"/>
      <c r="HPM226" s="35"/>
      <c r="HPN226" s="35"/>
      <c r="HPO226" s="35"/>
      <c r="HPP226" s="34"/>
      <c r="HPQ226" s="34"/>
      <c r="HPR226" s="36"/>
      <c r="HPS226" s="36"/>
      <c r="HPT226" s="37"/>
      <c r="HPU226" s="37"/>
      <c r="HPV226" s="38"/>
      <c r="HPW226" s="38"/>
      <c r="HPX226" s="39"/>
      <c r="HPY226" s="34"/>
      <c r="HPZ226" s="34"/>
      <c r="HQA226" s="34"/>
      <c r="HQB226" s="35"/>
      <c r="HQC226" s="35"/>
      <c r="HQD226" s="35"/>
      <c r="HQE226" s="35"/>
      <c r="HQF226" s="35"/>
      <c r="HQG226" s="34"/>
      <c r="HQH226" s="34"/>
      <c r="HQI226" s="36"/>
      <c r="HQJ226" s="36"/>
      <c r="HQK226" s="37"/>
      <c r="HQL226" s="37"/>
      <c r="HQM226" s="38"/>
      <c r="HQN226" s="38"/>
      <c r="HQO226" s="39"/>
      <c r="HQP226" s="34"/>
      <c r="HQQ226" s="34"/>
      <c r="HQR226" s="34"/>
      <c r="HQS226" s="35"/>
      <c r="HQT226" s="35"/>
      <c r="HQU226" s="35"/>
      <c r="HQV226" s="35"/>
      <c r="HQW226" s="35"/>
      <c r="HQX226" s="34"/>
      <c r="HQY226" s="34"/>
      <c r="HQZ226" s="36"/>
      <c r="HRA226" s="36"/>
      <c r="HRB226" s="37"/>
      <c r="HRC226" s="37"/>
      <c r="HRD226" s="38"/>
      <c r="HRE226" s="38"/>
      <c r="HRF226" s="39"/>
      <c r="HRG226" s="34"/>
      <c r="HRH226" s="34"/>
      <c r="HRI226" s="34"/>
      <c r="HRJ226" s="35"/>
      <c r="HRK226" s="35"/>
      <c r="HRL226" s="35"/>
      <c r="HRM226" s="35"/>
      <c r="HRN226" s="35"/>
      <c r="HRO226" s="34"/>
      <c r="HRP226" s="34"/>
      <c r="HRQ226" s="36"/>
      <c r="HRR226" s="36"/>
      <c r="HRS226" s="37"/>
      <c r="HRT226" s="37"/>
      <c r="HRU226" s="38"/>
      <c r="HRV226" s="38"/>
      <c r="HRW226" s="39"/>
      <c r="HRX226" s="34"/>
      <c r="HRY226" s="34"/>
      <c r="HRZ226" s="34"/>
      <c r="HSA226" s="35"/>
      <c r="HSB226" s="35"/>
      <c r="HSC226" s="35"/>
      <c r="HSD226" s="35"/>
      <c r="HSE226" s="35"/>
      <c r="HSF226" s="34"/>
      <c r="HSG226" s="34"/>
      <c r="HSH226" s="36"/>
      <c r="HSI226" s="36"/>
      <c r="HSJ226" s="37"/>
      <c r="HSK226" s="37"/>
      <c r="HSL226" s="38"/>
      <c r="HSM226" s="38"/>
      <c r="HSN226" s="39"/>
      <c r="HSO226" s="34"/>
      <c r="HSP226" s="34"/>
      <c r="HSQ226" s="34"/>
      <c r="HSR226" s="35"/>
      <c r="HSS226" s="35"/>
      <c r="HST226" s="35"/>
      <c r="HSU226" s="35"/>
      <c r="HSV226" s="35"/>
      <c r="HSW226" s="34"/>
      <c r="HSX226" s="34"/>
      <c r="HSY226" s="36"/>
      <c r="HSZ226" s="36"/>
      <c r="HTA226" s="37"/>
      <c r="HTB226" s="37"/>
      <c r="HTC226" s="38"/>
      <c r="HTD226" s="38"/>
      <c r="HTE226" s="39"/>
      <c r="HTF226" s="34"/>
      <c r="HTG226" s="34"/>
      <c r="HTH226" s="34"/>
      <c r="HTI226" s="35"/>
      <c r="HTJ226" s="35"/>
      <c r="HTK226" s="35"/>
      <c r="HTL226" s="35"/>
      <c r="HTM226" s="35"/>
      <c r="HTN226" s="34"/>
      <c r="HTO226" s="34"/>
      <c r="HTP226" s="36"/>
      <c r="HTQ226" s="36"/>
      <c r="HTR226" s="37"/>
      <c r="HTS226" s="37"/>
      <c r="HTT226" s="38"/>
      <c r="HTU226" s="38"/>
      <c r="HTV226" s="39"/>
      <c r="HTW226" s="34"/>
      <c r="HTX226" s="34"/>
      <c r="HTY226" s="34"/>
      <c r="HTZ226" s="35"/>
      <c r="HUA226" s="35"/>
      <c r="HUB226" s="35"/>
      <c r="HUC226" s="35"/>
      <c r="HUD226" s="35"/>
      <c r="HUE226" s="34"/>
      <c r="HUF226" s="34"/>
      <c r="HUG226" s="36"/>
      <c r="HUH226" s="36"/>
      <c r="HUI226" s="37"/>
      <c r="HUJ226" s="37"/>
      <c r="HUK226" s="38"/>
      <c r="HUL226" s="38"/>
      <c r="HUM226" s="39"/>
      <c r="HUN226" s="34"/>
      <c r="HUO226" s="34"/>
      <c r="HUP226" s="34"/>
      <c r="HUQ226" s="35"/>
      <c r="HUR226" s="35"/>
      <c r="HUS226" s="35"/>
      <c r="HUT226" s="35"/>
      <c r="HUU226" s="35"/>
      <c r="HUV226" s="34"/>
      <c r="HUW226" s="34"/>
      <c r="HUX226" s="36"/>
      <c r="HUY226" s="36"/>
      <c r="HUZ226" s="37"/>
      <c r="HVA226" s="37"/>
      <c r="HVB226" s="38"/>
      <c r="HVC226" s="38"/>
      <c r="HVD226" s="39"/>
      <c r="HVE226" s="34"/>
      <c r="HVF226" s="34"/>
      <c r="HVG226" s="34"/>
      <c r="HVH226" s="35"/>
      <c r="HVI226" s="35"/>
      <c r="HVJ226" s="35"/>
      <c r="HVK226" s="35"/>
      <c r="HVL226" s="35"/>
      <c r="HVM226" s="34"/>
      <c r="HVN226" s="34"/>
      <c r="HVO226" s="36"/>
      <c r="HVP226" s="36"/>
      <c r="HVQ226" s="37"/>
      <c r="HVR226" s="37"/>
      <c r="HVS226" s="38"/>
      <c r="HVT226" s="38"/>
      <c r="HVU226" s="39"/>
      <c r="HVV226" s="34"/>
      <c r="HVW226" s="34"/>
      <c r="HVX226" s="34"/>
      <c r="HVY226" s="35"/>
      <c r="HVZ226" s="35"/>
      <c r="HWA226" s="35"/>
      <c r="HWB226" s="35"/>
      <c r="HWC226" s="35"/>
      <c r="HWD226" s="34"/>
      <c r="HWE226" s="34"/>
      <c r="HWF226" s="36"/>
      <c r="HWG226" s="36"/>
      <c r="HWH226" s="37"/>
      <c r="HWI226" s="37"/>
      <c r="HWJ226" s="38"/>
      <c r="HWK226" s="38"/>
      <c r="HWL226" s="39"/>
      <c r="HWM226" s="34"/>
      <c r="HWN226" s="34"/>
      <c r="HWO226" s="34"/>
      <c r="HWP226" s="35"/>
      <c r="HWQ226" s="35"/>
      <c r="HWR226" s="35"/>
      <c r="HWS226" s="35"/>
      <c r="HWT226" s="35"/>
      <c r="HWU226" s="34"/>
      <c r="HWV226" s="34"/>
      <c r="HWW226" s="36"/>
      <c r="HWX226" s="36"/>
      <c r="HWY226" s="37"/>
      <c r="HWZ226" s="37"/>
      <c r="HXA226" s="38"/>
      <c r="HXB226" s="38"/>
      <c r="HXC226" s="39"/>
      <c r="HXD226" s="34"/>
      <c r="HXE226" s="34"/>
      <c r="HXF226" s="34"/>
      <c r="HXG226" s="35"/>
      <c r="HXH226" s="35"/>
      <c r="HXI226" s="35"/>
      <c r="HXJ226" s="35"/>
      <c r="HXK226" s="35"/>
      <c r="HXL226" s="34"/>
      <c r="HXM226" s="34"/>
      <c r="HXN226" s="36"/>
      <c r="HXO226" s="36"/>
      <c r="HXP226" s="37"/>
      <c r="HXQ226" s="37"/>
      <c r="HXR226" s="38"/>
      <c r="HXS226" s="38"/>
      <c r="HXT226" s="39"/>
      <c r="HXU226" s="34"/>
      <c r="HXV226" s="34"/>
      <c r="HXW226" s="34"/>
      <c r="HXX226" s="35"/>
      <c r="HXY226" s="35"/>
      <c r="HXZ226" s="35"/>
      <c r="HYA226" s="35"/>
      <c r="HYB226" s="35"/>
      <c r="HYC226" s="34"/>
      <c r="HYD226" s="34"/>
      <c r="HYE226" s="36"/>
      <c r="HYF226" s="36"/>
      <c r="HYG226" s="37"/>
      <c r="HYH226" s="37"/>
      <c r="HYI226" s="38"/>
      <c r="HYJ226" s="38"/>
      <c r="HYK226" s="39"/>
      <c r="HYL226" s="34"/>
      <c r="HYM226" s="34"/>
      <c r="HYN226" s="34"/>
      <c r="HYO226" s="35"/>
      <c r="HYP226" s="35"/>
      <c r="HYQ226" s="35"/>
      <c r="HYR226" s="35"/>
      <c r="HYS226" s="35"/>
      <c r="HYT226" s="34"/>
      <c r="HYU226" s="34"/>
      <c r="HYV226" s="36"/>
      <c r="HYW226" s="36"/>
      <c r="HYX226" s="37"/>
      <c r="HYY226" s="37"/>
      <c r="HYZ226" s="38"/>
      <c r="HZA226" s="38"/>
      <c r="HZB226" s="39"/>
      <c r="HZC226" s="34"/>
      <c r="HZD226" s="34"/>
      <c r="HZE226" s="34"/>
      <c r="HZF226" s="35"/>
      <c r="HZG226" s="35"/>
      <c r="HZH226" s="35"/>
      <c r="HZI226" s="35"/>
      <c r="HZJ226" s="35"/>
      <c r="HZK226" s="34"/>
      <c r="HZL226" s="34"/>
      <c r="HZM226" s="36"/>
      <c r="HZN226" s="36"/>
      <c r="HZO226" s="37"/>
      <c r="HZP226" s="37"/>
      <c r="HZQ226" s="38"/>
      <c r="HZR226" s="38"/>
      <c r="HZS226" s="39"/>
      <c r="HZT226" s="34"/>
      <c r="HZU226" s="34"/>
      <c r="HZV226" s="34"/>
      <c r="HZW226" s="35"/>
      <c r="HZX226" s="35"/>
      <c r="HZY226" s="35"/>
      <c r="HZZ226" s="35"/>
      <c r="IAA226" s="35"/>
      <c r="IAB226" s="34"/>
      <c r="IAC226" s="34"/>
      <c r="IAD226" s="36"/>
      <c r="IAE226" s="36"/>
      <c r="IAF226" s="37"/>
      <c r="IAG226" s="37"/>
      <c r="IAH226" s="38"/>
      <c r="IAI226" s="38"/>
      <c r="IAJ226" s="39"/>
      <c r="IAK226" s="34"/>
      <c r="IAL226" s="34"/>
      <c r="IAM226" s="34"/>
      <c r="IAN226" s="35"/>
      <c r="IAO226" s="35"/>
      <c r="IAP226" s="35"/>
      <c r="IAQ226" s="35"/>
      <c r="IAR226" s="35"/>
      <c r="IAS226" s="34"/>
      <c r="IAT226" s="34"/>
      <c r="IAU226" s="36"/>
      <c r="IAV226" s="36"/>
      <c r="IAW226" s="37"/>
      <c r="IAX226" s="37"/>
      <c r="IAY226" s="38"/>
      <c r="IAZ226" s="38"/>
      <c r="IBA226" s="39"/>
      <c r="IBB226" s="34"/>
      <c r="IBC226" s="34"/>
      <c r="IBD226" s="34"/>
      <c r="IBE226" s="35"/>
      <c r="IBF226" s="35"/>
      <c r="IBG226" s="35"/>
      <c r="IBH226" s="35"/>
      <c r="IBI226" s="35"/>
      <c r="IBJ226" s="34"/>
      <c r="IBK226" s="34"/>
      <c r="IBL226" s="36"/>
      <c r="IBM226" s="36"/>
      <c r="IBN226" s="37"/>
      <c r="IBO226" s="37"/>
      <c r="IBP226" s="38"/>
      <c r="IBQ226" s="38"/>
      <c r="IBR226" s="39"/>
      <c r="IBS226" s="34"/>
      <c r="IBT226" s="34"/>
      <c r="IBU226" s="34"/>
      <c r="IBV226" s="35"/>
      <c r="IBW226" s="35"/>
      <c r="IBX226" s="35"/>
      <c r="IBY226" s="35"/>
      <c r="IBZ226" s="35"/>
      <c r="ICA226" s="34"/>
      <c r="ICB226" s="34"/>
      <c r="ICC226" s="36"/>
      <c r="ICD226" s="36"/>
      <c r="ICE226" s="37"/>
      <c r="ICF226" s="37"/>
      <c r="ICG226" s="38"/>
      <c r="ICH226" s="38"/>
      <c r="ICI226" s="39"/>
      <c r="ICJ226" s="34"/>
      <c r="ICK226" s="34"/>
      <c r="ICL226" s="34"/>
      <c r="ICM226" s="35"/>
      <c r="ICN226" s="35"/>
      <c r="ICO226" s="35"/>
      <c r="ICP226" s="35"/>
      <c r="ICQ226" s="35"/>
      <c r="ICR226" s="34"/>
      <c r="ICS226" s="34"/>
      <c r="ICT226" s="36"/>
      <c r="ICU226" s="36"/>
      <c r="ICV226" s="37"/>
      <c r="ICW226" s="37"/>
      <c r="ICX226" s="38"/>
      <c r="ICY226" s="38"/>
      <c r="ICZ226" s="39"/>
      <c r="IDA226" s="34"/>
      <c r="IDB226" s="34"/>
      <c r="IDC226" s="34"/>
      <c r="IDD226" s="35"/>
      <c r="IDE226" s="35"/>
      <c r="IDF226" s="35"/>
      <c r="IDG226" s="35"/>
      <c r="IDH226" s="35"/>
      <c r="IDI226" s="34"/>
      <c r="IDJ226" s="34"/>
      <c r="IDK226" s="36"/>
      <c r="IDL226" s="36"/>
      <c r="IDM226" s="37"/>
      <c r="IDN226" s="37"/>
      <c r="IDO226" s="38"/>
      <c r="IDP226" s="38"/>
      <c r="IDQ226" s="39"/>
      <c r="IDR226" s="34"/>
      <c r="IDS226" s="34"/>
      <c r="IDT226" s="34"/>
      <c r="IDU226" s="35"/>
      <c r="IDV226" s="35"/>
      <c r="IDW226" s="35"/>
      <c r="IDX226" s="35"/>
      <c r="IDY226" s="35"/>
      <c r="IDZ226" s="34"/>
      <c r="IEA226" s="34"/>
      <c r="IEB226" s="36"/>
      <c r="IEC226" s="36"/>
      <c r="IED226" s="37"/>
      <c r="IEE226" s="37"/>
      <c r="IEF226" s="38"/>
      <c r="IEG226" s="38"/>
      <c r="IEH226" s="39"/>
      <c r="IEI226" s="34"/>
      <c r="IEJ226" s="34"/>
      <c r="IEK226" s="34"/>
      <c r="IEL226" s="35"/>
      <c r="IEM226" s="35"/>
      <c r="IEN226" s="35"/>
      <c r="IEO226" s="35"/>
      <c r="IEP226" s="35"/>
      <c r="IEQ226" s="34"/>
      <c r="IER226" s="34"/>
      <c r="IES226" s="36"/>
      <c r="IET226" s="36"/>
      <c r="IEU226" s="37"/>
      <c r="IEV226" s="37"/>
      <c r="IEW226" s="38"/>
      <c r="IEX226" s="38"/>
      <c r="IEY226" s="39"/>
      <c r="IEZ226" s="34"/>
      <c r="IFA226" s="34"/>
      <c r="IFB226" s="34"/>
      <c r="IFC226" s="35"/>
      <c r="IFD226" s="35"/>
      <c r="IFE226" s="35"/>
      <c r="IFF226" s="35"/>
      <c r="IFG226" s="35"/>
      <c r="IFH226" s="34"/>
      <c r="IFI226" s="34"/>
      <c r="IFJ226" s="36"/>
      <c r="IFK226" s="36"/>
      <c r="IFL226" s="37"/>
      <c r="IFM226" s="37"/>
      <c r="IFN226" s="38"/>
      <c r="IFO226" s="38"/>
      <c r="IFP226" s="39"/>
      <c r="IFQ226" s="34"/>
      <c r="IFR226" s="34"/>
      <c r="IFS226" s="34"/>
      <c r="IFT226" s="35"/>
      <c r="IFU226" s="35"/>
      <c r="IFV226" s="35"/>
      <c r="IFW226" s="35"/>
      <c r="IFX226" s="35"/>
      <c r="IFY226" s="34"/>
      <c r="IFZ226" s="34"/>
      <c r="IGA226" s="36"/>
      <c r="IGB226" s="36"/>
      <c r="IGC226" s="37"/>
      <c r="IGD226" s="37"/>
      <c r="IGE226" s="38"/>
      <c r="IGF226" s="38"/>
      <c r="IGG226" s="39"/>
      <c r="IGH226" s="34"/>
      <c r="IGI226" s="34"/>
      <c r="IGJ226" s="34"/>
      <c r="IGK226" s="35"/>
      <c r="IGL226" s="35"/>
      <c r="IGM226" s="35"/>
      <c r="IGN226" s="35"/>
      <c r="IGO226" s="35"/>
      <c r="IGP226" s="34"/>
      <c r="IGQ226" s="34"/>
      <c r="IGR226" s="36"/>
      <c r="IGS226" s="36"/>
      <c r="IGT226" s="37"/>
      <c r="IGU226" s="37"/>
      <c r="IGV226" s="38"/>
      <c r="IGW226" s="38"/>
      <c r="IGX226" s="39"/>
      <c r="IGY226" s="34"/>
      <c r="IGZ226" s="34"/>
      <c r="IHA226" s="34"/>
      <c r="IHB226" s="35"/>
      <c r="IHC226" s="35"/>
      <c r="IHD226" s="35"/>
      <c r="IHE226" s="35"/>
      <c r="IHF226" s="35"/>
      <c r="IHG226" s="34"/>
      <c r="IHH226" s="34"/>
      <c r="IHI226" s="36"/>
      <c r="IHJ226" s="36"/>
      <c r="IHK226" s="37"/>
      <c r="IHL226" s="37"/>
      <c r="IHM226" s="38"/>
      <c r="IHN226" s="38"/>
      <c r="IHO226" s="39"/>
      <c r="IHP226" s="34"/>
      <c r="IHQ226" s="34"/>
      <c r="IHR226" s="34"/>
      <c r="IHS226" s="35"/>
      <c r="IHT226" s="35"/>
      <c r="IHU226" s="35"/>
      <c r="IHV226" s="35"/>
      <c r="IHW226" s="35"/>
      <c r="IHX226" s="34"/>
      <c r="IHY226" s="34"/>
      <c r="IHZ226" s="36"/>
      <c r="IIA226" s="36"/>
      <c r="IIB226" s="37"/>
      <c r="IIC226" s="37"/>
      <c r="IID226" s="38"/>
      <c r="IIE226" s="38"/>
      <c r="IIF226" s="39"/>
      <c r="IIG226" s="34"/>
      <c r="IIH226" s="34"/>
      <c r="III226" s="34"/>
      <c r="IIJ226" s="35"/>
      <c r="IIK226" s="35"/>
      <c r="IIL226" s="35"/>
      <c r="IIM226" s="35"/>
      <c r="IIN226" s="35"/>
      <c r="IIO226" s="34"/>
      <c r="IIP226" s="34"/>
      <c r="IIQ226" s="36"/>
      <c r="IIR226" s="36"/>
      <c r="IIS226" s="37"/>
      <c r="IIT226" s="37"/>
      <c r="IIU226" s="38"/>
      <c r="IIV226" s="38"/>
      <c r="IIW226" s="39"/>
      <c r="IIX226" s="34"/>
      <c r="IIY226" s="34"/>
      <c r="IIZ226" s="34"/>
      <c r="IJA226" s="35"/>
      <c r="IJB226" s="35"/>
      <c r="IJC226" s="35"/>
      <c r="IJD226" s="35"/>
      <c r="IJE226" s="35"/>
      <c r="IJF226" s="34"/>
      <c r="IJG226" s="34"/>
      <c r="IJH226" s="36"/>
      <c r="IJI226" s="36"/>
      <c r="IJJ226" s="37"/>
      <c r="IJK226" s="37"/>
      <c r="IJL226" s="38"/>
      <c r="IJM226" s="38"/>
      <c r="IJN226" s="39"/>
      <c r="IJO226" s="34"/>
      <c r="IJP226" s="34"/>
      <c r="IJQ226" s="34"/>
      <c r="IJR226" s="35"/>
      <c r="IJS226" s="35"/>
      <c r="IJT226" s="35"/>
      <c r="IJU226" s="35"/>
      <c r="IJV226" s="35"/>
      <c r="IJW226" s="34"/>
      <c r="IJX226" s="34"/>
      <c r="IJY226" s="36"/>
      <c r="IJZ226" s="36"/>
      <c r="IKA226" s="37"/>
      <c r="IKB226" s="37"/>
      <c r="IKC226" s="38"/>
      <c r="IKD226" s="38"/>
      <c r="IKE226" s="39"/>
      <c r="IKF226" s="34"/>
      <c r="IKG226" s="34"/>
      <c r="IKH226" s="34"/>
      <c r="IKI226" s="35"/>
      <c r="IKJ226" s="35"/>
      <c r="IKK226" s="35"/>
      <c r="IKL226" s="35"/>
      <c r="IKM226" s="35"/>
      <c r="IKN226" s="34"/>
      <c r="IKO226" s="34"/>
      <c r="IKP226" s="36"/>
      <c r="IKQ226" s="36"/>
      <c r="IKR226" s="37"/>
      <c r="IKS226" s="37"/>
      <c r="IKT226" s="38"/>
      <c r="IKU226" s="38"/>
      <c r="IKV226" s="39"/>
      <c r="IKW226" s="34"/>
      <c r="IKX226" s="34"/>
      <c r="IKY226" s="34"/>
      <c r="IKZ226" s="35"/>
      <c r="ILA226" s="35"/>
      <c r="ILB226" s="35"/>
      <c r="ILC226" s="35"/>
      <c r="ILD226" s="35"/>
      <c r="ILE226" s="34"/>
      <c r="ILF226" s="34"/>
      <c r="ILG226" s="36"/>
      <c r="ILH226" s="36"/>
      <c r="ILI226" s="37"/>
      <c r="ILJ226" s="37"/>
      <c r="ILK226" s="38"/>
      <c r="ILL226" s="38"/>
      <c r="ILM226" s="39"/>
      <c r="ILN226" s="34"/>
      <c r="ILO226" s="34"/>
      <c r="ILP226" s="34"/>
      <c r="ILQ226" s="35"/>
      <c r="ILR226" s="35"/>
      <c r="ILS226" s="35"/>
      <c r="ILT226" s="35"/>
      <c r="ILU226" s="35"/>
      <c r="ILV226" s="34"/>
      <c r="ILW226" s="34"/>
      <c r="ILX226" s="36"/>
      <c r="ILY226" s="36"/>
      <c r="ILZ226" s="37"/>
      <c r="IMA226" s="37"/>
      <c r="IMB226" s="38"/>
      <c r="IMC226" s="38"/>
      <c r="IMD226" s="39"/>
      <c r="IME226" s="34"/>
      <c r="IMF226" s="34"/>
      <c r="IMG226" s="34"/>
      <c r="IMH226" s="35"/>
      <c r="IMI226" s="35"/>
      <c r="IMJ226" s="35"/>
      <c r="IMK226" s="35"/>
      <c r="IML226" s="35"/>
      <c r="IMM226" s="34"/>
      <c r="IMN226" s="34"/>
      <c r="IMO226" s="36"/>
      <c r="IMP226" s="36"/>
      <c r="IMQ226" s="37"/>
      <c r="IMR226" s="37"/>
      <c r="IMS226" s="38"/>
      <c r="IMT226" s="38"/>
      <c r="IMU226" s="39"/>
      <c r="IMV226" s="34"/>
      <c r="IMW226" s="34"/>
      <c r="IMX226" s="34"/>
      <c r="IMY226" s="35"/>
      <c r="IMZ226" s="35"/>
      <c r="INA226" s="35"/>
      <c r="INB226" s="35"/>
      <c r="INC226" s="35"/>
      <c r="IND226" s="34"/>
      <c r="INE226" s="34"/>
      <c r="INF226" s="36"/>
      <c r="ING226" s="36"/>
      <c r="INH226" s="37"/>
      <c r="INI226" s="37"/>
      <c r="INJ226" s="38"/>
      <c r="INK226" s="38"/>
      <c r="INL226" s="39"/>
      <c r="INM226" s="34"/>
      <c r="INN226" s="34"/>
      <c r="INO226" s="34"/>
      <c r="INP226" s="35"/>
      <c r="INQ226" s="35"/>
      <c r="INR226" s="35"/>
      <c r="INS226" s="35"/>
      <c r="INT226" s="35"/>
      <c r="INU226" s="34"/>
      <c r="INV226" s="34"/>
      <c r="INW226" s="36"/>
      <c r="INX226" s="36"/>
      <c r="INY226" s="37"/>
      <c r="INZ226" s="37"/>
      <c r="IOA226" s="38"/>
      <c r="IOB226" s="38"/>
      <c r="IOC226" s="39"/>
      <c r="IOD226" s="34"/>
      <c r="IOE226" s="34"/>
      <c r="IOF226" s="34"/>
      <c r="IOG226" s="35"/>
      <c r="IOH226" s="35"/>
      <c r="IOI226" s="35"/>
      <c r="IOJ226" s="35"/>
      <c r="IOK226" s="35"/>
      <c r="IOL226" s="34"/>
      <c r="IOM226" s="34"/>
      <c r="ION226" s="36"/>
      <c r="IOO226" s="36"/>
      <c r="IOP226" s="37"/>
      <c r="IOQ226" s="37"/>
      <c r="IOR226" s="38"/>
      <c r="IOS226" s="38"/>
      <c r="IOT226" s="39"/>
      <c r="IOU226" s="34"/>
      <c r="IOV226" s="34"/>
      <c r="IOW226" s="34"/>
      <c r="IOX226" s="35"/>
      <c r="IOY226" s="35"/>
      <c r="IOZ226" s="35"/>
      <c r="IPA226" s="35"/>
      <c r="IPB226" s="35"/>
      <c r="IPC226" s="34"/>
      <c r="IPD226" s="34"/>
      <c r="IPE226" s="36"/>
      <c r="IPF226" s="36"/>
      <c r="IPG226" s="37"/>
      <c r="IPH226" s="37"/>
      <c r="IPI226" s="38"/>
      <c r="IPJ226" s="38"/>
      <c r="IPK226" s="39"/>
      <c r="IPL226" s="34"/>
      <c r="IPM226" s="34"/>
      <c r="IPN226" s="34"/>
      <c r="IPO226" s="35"/>
      <c r="IPP226" s="35"/>
      <c r="IPQ226" s="35"/>
      <c r="IPR226" s="35"/>
      <c r="IPS226" s="35"/>
      <c r="IPT226" s="34"/>
      <c r="IPU226" s="34"/>
      <c r="IPV226" s="36"/>
      <c r="IPW226" s="36"/>
      <c r="IPX226" s="37"/>
      <c r="IPY226" s="37"/>
      <c r="IPZ226" s="38"/>
      <c r="IQA226" s="38"/>
      <c r="IQB226" s="39"/>
      <c r="IQC226" s="34"/>
      <c r="IQD226" s="34"/>
      <c r="IQE226" s="34"/>
      <c r="IQF226" s="35"/>
      <c r="IQG226" s="35"/>
      <c r="IQH226" s="35"/>
      <c r="IQI226" s="35"/>
      <c r="IQJ226" s="35"/>
      <c r="IQK226" s="34"/>
      <c r="IQL226" s="34"/>
      <c r="IQM226" s="36"/>
      <c r="IQN226" s="36"/>
      <c r="IQO226" s="37"/>
      <c r="IQP226" s="37"/>
      <c r="IQQ226" s="38"/>
      <c r="IQR226" s="38"/>
      <c r="IQS226" s="39"/>
      <c r="IQT226" s="34"/>
      <c r="IQU226" s="34"/>
      <c r="IQV226" s="34"/>
      <c r="IQW226" s="35"/>
      <c r="IQX226" s="35"/>
      <c r="IQY226" s="35"/>
      <c r="IQZ226" s="35"/>
      <c r="IRA226" s="35"/>
      <c r="IRB226" s="34"/>
      <c r="IRC226" s="34"/>
      <c r="IRD226" s="36"/>
      <c r="IRE226" s="36"/>
      <c r="IRF226" s="37"/>
      <c r="IRG226" s="37"/>
      <c r="IRH226" s="38"/>
      <c r="IRI226" s="38"/>
      <c r="IRJ226" s="39"/>
      <c r="IRK226" s="34"/>
      <c r="IRL226" s="34"/>
      <c r="IRM226" s="34"/>
      <c r="IRN226" s="35"/>
      <c r="IRO226" s="35"/>
      <c r="IRP226" s="35"/>
      <c r="IRQ226" s="35"/>
      <c r="IRR226" s="35"/>
      <c r="IRS226" s="34"/>
      <c r="IRT226" s="34"/>
      <c r="IRU226" s="36"/>
      <c r="IRV226" s="36"/>
      <c r="IRW226" s="37"/>
      <c r="IRX226" s="37"/>
      <c r="IRY226" s="38"/>
      <c r="IRZ226" s="38"/>
      <c r="ISA226" s="39"/>
      <c r="ISB226" s="34"/>
      <c r="ISC226" s="34"/>
      <c r="ISD226" s="34"/>
      <c r="ISE226" s="35"/>
      <c r="ISF226" s="35"/>
      <c r="ISG226" s="35"/>
      <c r="ISH226" s="35"/>
      <c r="ISI226" s="35"/>
      <c r="ISJ226" s="34"/>
      <c r="ISK226" s="34"/>
      <c r="ISL226" s="36"/>
      <c r="ISM226" s="36"/>
      <c r="ISN226" s="37"/>
      <c r="ISO226" s="37"/>
      <c r="ISP226" s="38"/>
      <c r="ISQ226" s="38"/>
      <c r="ISR226" s="39"/>
      <c r="ISS226" s="34"/>
      <c r="IST226" s="34"/>
      <c r="ISU226" s="34"/>
      <c r="ISV226" s="35"/>
      <c r="ISW226" s="35"/>
      <c r="ISX226" s="35"/>
      <c r="ISY226" s="35"/>
      <c r="ISZ226" s="35"/>
      <c r="ITA226" s="34"/>
      <c r="ITB226" s="34"/>
      <c r="ITC226" s="36"/>
      <c r="ITD226" s="36"/>
      <c r="ITE226" s="37"/>
      <c r="ITF226" s="37"/>
      <c r="ITG226" s="38"/>
      <c r="ITH226" s="38"/>
      <c r="ITI226" s="39"/>
      <c r="ITJ226" s="34"/>
      <c r="ITK226" s="34"/>
      <c r="ITL226" s="34"/>
      <c r="ITM226" s="35"/>
      <c r="ITN226" s="35"/>
      <c r="ITO226" s="35"/>
      <c r="ITP226" s="35"/>
      <c r="ITQ226" s="35"/>
      <c r="ITR226" s="34"/>
      <c r="ITS226" s="34"/>
      <c r="ITT226" s="36"/>
      <c r="ITU226" s="36"/>
      <c r="ITV226" s="37"/>
      <c r="ITW226" s="37"/>
      <c r="ITX226" s="38"/>
      <c r="ITY226" s="38"/>
      <c r="ITZ226" s="39"/>
      <c r="IUA226" s="34"/>
      <c r="IUB226" s="34"/>
      <c r="IUC226" s="34"/>
      <c r="IUD226" s="35"/>
      <c r="IUE226" s="35"/>
      <c r="IUF226" s="35"/>
      <c r="IUG226" s="35"/>
      <c r="IUH226" s="35"/>
      <c r="IUI226" s="34"/>
      <c r="IUJ226" s="34"/>
      <c r="IUK226" s="36"/>
      <c r="IUL226" s="36"/>
      <c r="IUM226" s="37"/>
      <c r="IUN226" s="37"/>
      <c r="IUO226" s="38"/>
      <c r="IUP226" s="38"/>
      <c r="IUQ226" s="39"/>
      <c r="IUR226" s="34"/>
      <c r="IUS226" s="34"/>
      <c r="IUT226" s="34"/>
      <c r="IUU226" s="35"/>
      <c r="IUV226" s="35"/>
      <c r="IUW226" s="35"/>
      <c r="IUX226" s="35"/>
      <c r="IUY226" s="35"/>
      <c r="IUZ226" s="34"/>
      <c r="IVA226" s="34"/>
      <c r="IVB226" s="36"/>
      <c r="IVC226" s="36"/>
      <c r="IVD226" s="37"/>
      <c r="IVE226" s="37"/>
      <c r="IVF226" s="38"/>
      <c r="IVG226" s="38"/>
      <c r="IVH226" s="39"/>
      <c r="IVI226" s="34"/>
      <c r="IVJ226" s="34"/>
      <c r="IVK226" s="34"/>
      <c r="IVL226" s="35"/>
      <c r="IVM226" s="35"/>
      <c r="IVN226" s="35"/>
      <c r="IVO226" s="35"/>
      <c r="IVP226" s="35"/>
      <c r="IVQ226" s="34"/>
      <c r="IVR226" s="34"/>
      <c r="IVS226" s="36"/>
      <c r="IVT226" s="36"/>
      <c r="IVU226" s="37"/>
      <c r="IVV226" s="37"/>
      <c r="IVW226" s="38"/>
      <c r="IVX226" s="38"/>
      <c r="IVY226" s="39"/>
      <c r="IVZ226" s="34"/>
      <c r="IWA226" s="34"/>
      <c r="IWB226" s="34"/>
      <c r="IWC226" s="35"/>
      <c r="IWD226" s="35"/>
      <c r="IWE226" s="35"/>
      <c r="IWF226" s="35"/>
      <c r="IWG226" s="35"/>
      <c r="IWH226" s="34"/>
      <c r="IWI226" s="34"/>
      <c r="IWJ226" s="36"/>
      <c r="IWK226" s="36"/>
      <c r="IWL226" s="37"/>
      <c r="IWM226" s="37"/>
      <c r="IWN226" s="38"/>
      <c r="IWO226" s="38"/>
      <c r="IWP226" s="39"/>
      <c r="IWQ226" s="34"/>
      <c r="IWR226" s="34"/>
      <c r="IWS226" s="34"/>
      <c r="IWT226" s="35"/>
      <c r="IWU226" s="35"/>
      <c r="IWV226" s="35"/>
      <c r="IWW226" s="35"/>
      <c r="IWX226" s="35"/>
      <c r="IWY226" s="34"/>
      <c r="IWZ226" s="34"/>
      <c r="IXA226" s="36"/>
      <c r="IXB226" s="36"/>
      <c r="IXC226" s="37"/>
      <c r="IXD226" s="37"/>
      <c r="IXE226" s="38"/>
      <c r="IXF226" s="38"/>
      <c r="IXG226" s="39"/>
      <c r="IXH226" s="34"/>
      <c r="IXI226" s="34"/>
      <c r="IXJ226" s="34"/>
      <c r="IXK226" s="35"/>
      <c r="IXL226" s="35"/>
      <c r="IXM226" s="35"/>
      <c r="IXN226" s="35"/>
      <c r="IXO226" s="35"/>
      <c r="IXP226" s="34"/>
      <c r="IXQ226" s="34"/>
      <c r="IXR226" s="36"/>
      <c r="IXS226" s="36"/>
      <c r="IXT226" s="37"/>
      <c r="IXU226" s="37"/>
      <c r="IXV226" s="38"/>
      <c r="IXW226" s="38"/>
      <c r="IXX226" s="39"/>
      <c r="IXY226" s="34"/>
      <c r="IXZ226" s="34"/>
      <c r="IYA226" s="34"/>
      <c r="IYB226" s="35"/>
      <c r="IYC226" s="35"/>
      <c r="IYD226" s="35"/>
      <c r="IYE226" s="35"/>
      <c r="IYF226" s="35"/>
      <c r="IYG226" s="34"/>
      <c r="IYH226" s="34"/>
      <c r="IYI226" s="36"/>
      <c r="IYJ226" s="36"/>
      <c r="IYK226" s="37"/>
      <c r="IYL226" s="37"/>
      <c r="IYM226" s="38"/>
      <c r="IYN226" s="38"/>
      <c r="IYO226" s="39"/>
      <c r="IYP226" s="34"/>
      <c r="IYQ226" s="34"/>
      <c r="IYR226" s="34"/>
      <c r="IYS226" s="35"/>
      <c r="IYT226" s="35"/>
      <c r="IYU226" s="35"/>
      <c r="IYV226" s="35"/>
      <c r="IYW226" s="35"/>
      <c r="IYX226" s="34"/>
      <c r="IYY226" s="34"/>
      <c r="IYZ226" s="36"/>
      <c r="IZA226" s="36"/>
      <c r="IZB226" s="37"/>
      <c r="IZC226" s="37"/>
      <c r="IZD226" s="38"/>
      <c r="IZE226" s="38"/>
      <c r="IZF226" s="39"/>
      <c r="IZG226" s="34"/>
      <c r="IZH226" s="34"/>
      <c r="IZI226" s="34"/>
      <c r="IZJ226" s="35"/>
      <c r="IZK226" s="35"/>
      <c r="IZL226" s="35"/>
      <c r="IZM226" s="35"/>
      <c r="IZN226" s="35"/>
      <c r="IZO226" s="34"/>
      <c r="IZP226" s="34"/>
      <c r="IZQ226" s="36"/>
      <c r="IZR226" s="36"/>
      <c r="IZS226" s="37"/>
      <c r="IZT226" s="37"/>
      <c r="IZU226" s="38"/>
      <c r="IZV226" s="38"/>
      <c r="IZW226" s="39"/>
      <c r="IZX226" s="34"/>
      <c r="IZY226" s="34"/>
      <c r="IZZ226" s="34"/>
      <c r="JAA226" s="35"/>
      <c r="JAB226" s="35"/>
      <c r="JAC226" s="35"/>
      <c r="JAD226" s="35"/>
      <c r="JAE226" s="35"/>
      <c r="JAF226" s="34"/>
      <c r="JAG226" s="34"/>
      <c r="JAH226" s="36"/>
      <c r="JAI226" s="36"/>
      <c r="JAJ226" s="37"/>
      <c r="JAK226" s="37"/>
      <c r="JAL226" s="38"/>
      <c r="JAM226" s="38"/>
      <c r="JAN226" s="39"/>
      <c r="JAO226" s="34"/>
      <c r="JAP226" s="34"/>
      <c r="JAQ226" s="34"/>
      <c r="JAR226" s="35"/>
      <c r="JAS226" s="35"/>
      <c r="JAT226" s="35"/>
      <c r="JAU226" s="35"/>
      <c r="JAV226" s="35"/>
      <c r="JAW226" s="34"/>
      <c r="JAX226" s="34"/>
      <c r="JAY226" s="36"/>
      <c r="JAZ226" s="36"/>
      <c r="JBA226" s="37"/>
      <c r="JBB226" s="37"/>
      <c r="JBC226" s="38"/>
      <c r="JBD226" s="38"/>
      <c r="JBE226" s="39"/>
      <c r="JBF226" s="34"/>
      <c r="JBG226" s="34"/>
      <c r="JBH226" s="34"/>
      <c r="JBI226" s="35"/>
      <c r="JBJ226" s="35"/>
      <c r="JBK226" s="35"/>
      <c r="JBL226" s="35"/>
      <c r="JBM226" s="35"/>
      <c r="JBN226" s="34"/>
      <c r="JBO226" s="34"/>
      <c r="JBP226" s="36"/>
      <c r="JBQ226" s="36"/>
      <c r="JBR226" s="37"/>
      <c r="JBS226" s="37"/>
      <c r="JBT226" s="38"/>
      <c r="JBU226" s="38"/>
      <c r="JBV226" s="39"/>
      <c r="JBW226" s="34"/>
      <c r="JBX226" s="34"/>
      <c r="JBY226" s="34"/>
      <c r="JBZ226" s="35"/>
      <c r="JCA226" s="35"/>
      <c r="JCB226" s="35"/>
      <c r="JCC226" s="35"/>
      <c r="JCD226" s="35"/>
      <c r="JCE226" s="34"/>
      <c r="JCF226" s="34"/>
      <c r="JCG226" s="36"/>
      <c r="JCH226" s="36"/>
      <c r="JCI226" s="37"/>
      <c r="JCJ226" s="37"/>
      <c r="JCK226" s="38"/>
      <c r="JCL226" s="38"/>
      <c r="JCM226" s="39"/>
      <c r="JCN226" s="34"/>
      <c r="JCO226" s="34"/>
      <c r="JCP226" s="34"/>
      <c r="JCQ226" s="35"/>
      <c r="JCR226" s="35"/>
      <c r="JCS226" s="35"/>
      <c r="JCT226" s="35"/>
      <c r="JCU226" s="35"/>
      <c r="JCV226" s="34"/>
      <c r="JCW226" s="34"/>
      <c r="JCX226" s="36"/>
      <c r="JCY226" s="36"/>
      <c r="JCZ226" s="37"/>
      <c r="JDA226" s="37"/>
      <c r="JDB226" s="38"/>
      <c r="JDC226" s="38"/>
      <c r="JDD226" s="39"/>
      <c r="JDE226" s="34"/>
      <c r="JDF226" s="34"/>
      <c r="JDG226" s="34"/>
      <c r="JDH226" s="35"/>
      <c r="JDI226" s="35"/>
      <c r="JDJ226" s="35"/>
      <c r="JDK226" s="35"/>
      <c r="JDL226" s="35"/>
      <c r="JDM226" s="34"/>
      <c r="JDN226" s="34"/>
      <c r="JDO226" s="36"/>
      <c r="JDP226" s="36"/>
      <c r="JDQ226" s="37"/>
      <c r="JDR226" s="37"/>
      <c r="JDS226" s="38"/>
      <c r="JDT226" s="38"/>
      <c r="JDU226" s="39"/>
      <c r="JDV226" s="34"/>
      <c r="JDW226" s="34"/>
      <c r="JDX226" s="34"/>
      <c r="JDY226" s="35"/>
      <c r="JDZ226" s="35"/>
      <c r="JEA226" s="35"/>
      <c r="JEB226" s="35"/>
      <c r="JEC226" s="35"/>
      <c r="JED226" s="34"/>
      <c r="JEE226" s="34"/>
      <c r="JEF226" s="36"/>
      <c r="JEG226" s="36"/>
      <c r="JEH226" s="37"/>
      <c r="JEI226" s="37"/>
      <c r="JEJ226" s="38"/>
      <c r="JEK226" s="38"/>
      <c r="JEL226" s="39"/>
      <c r="JEM226" s="34"/>
      <c r="JEN226" s="34"/>
      <c r="JEO226" s="34"/>
      <c r="JEP226" s="35"/>
      <c r="JEQ226" s="35"/>
      <c r="JER226" s="35"/>
      <c r="JES226" s="35"/>
      <c r="JET226" s="35"/>
      <c r="JEU226" s="34"/>
      <c r="JEV226" s="34"/>
      <c r="JEW226" s="36"/>
      <c r="JEX226" s="36"/>
      <c r="JEY226" s="37"/>
      <c r="JEZ226" s="37"/>
      <c r="JFA226" s="38"/>
      <c r="JFB226" s="38"/>
      <c r="JFC226" s="39"/>
      <c r="JFD226" s="34"/>
      <c r="JFE226" s="34"/>
      <c r="JFF226" s="34"/>
      <c r="JFG226" s="35"/>
      <c r="JFH226" s="35"/>
      <c r="JFI226" s="35"/>
      <c r="JFJ226" s="35"/>
      <c r="JFK226" s="35"/>
      <c r="JFL226" s="34"/>
      <c r="JFM226" s="34"/>
      <c r="JFN226" s="36"/>
      <c r="JFO226" s="36"/>
      <c r="JFP226" s="37"/>
      <c r="JFQ226" s="37"/>
      <c r="JFR226" s="38"/>
      <c r="JFS226" s="38"/>
      <c r="JFT226" s="39"/>
      <c r="JFU226" s="34"/>
      <c r="JFV226" s="34"/>
      <c r="JFW226" s="34"/>
      <c r="JFX226" s="35"/>
      <c r="JFY226" s="35"/>
      <c r="JFZ226" s="35"/>
      <c r="JGA226" s="35"/>
      <c r="JGB226" s="35"/>
      <c r="JGC226" s="34"/>
      <c r="JGD226" s="34"/>
      <c r="JGE226" s="36"/>
      <c r="JGF226" s="36"/>
      <c r="JGG226" s="37"/>
      <c r="JGH226" s="37"/>
      <c r="JGI226" s="38"/>
      <c r="JGJ226" s="38"/>
      <c r="JGK226" s="39"/>
      <c r="JGL226" s="34"/>
      <c r="JGM226" s="34"/>
      <c r="JGN226" s="34"/>
      <c r="JGO226" s="35"/>
      <c r="JGP226" s="35"/>
      <c r="JGQ226" s="35"/>
      <c r="JGR226" s="35"/>
      <c r="JGS226" s="35"/>
      <c r="JGT226" s="34"/>
      <c r="JGU226" s="34"/>
      <c r="JGV226" s="36"/>
      <c r="JGW226" s="36"/>
      <c r="JGX226" s="37"/>
      <c r="JGY226" s="37"/>
      <c r="JGZ226" s="38"/>
      <c r="JHA226" s="38"/>
      <c r="JHB226" s="39"/>
      <c r="JHC226" s="34"/>
      <c r="JHD226" s="34"/>
      <c r="JHE226" s="34"/>
      <c r="JHF226" s="35"/>
      <c r="JHG226" s="35"/>
      <c r="JHH226" s="35"/>
      <c r="JHI226" s="35"/>
      <c r="JHJ226" s="35"/>
      <c r="JHK226" s="34"/>
      <c r="JHL226" s="34"/>
      <c r="JHM226" s="36"/>
      <c r="JHN226" s="36"/>
      <c r="JHO226" s="37"/>
      <c r="JHP226" s="37"/>
      <c r="JHQ226" s="38"/>
      <c r="JHR226" s="38"/>
      <c r="JHS226" s="39"/>
      <c r="JHT226" s="34"/>
      <c r="JHU226" s="34"/>
      <c r="JHV226" s="34"/>
      <c r="JHW226" s="35"/>
      <c r="JHX226" s="35"/>
      <c r="JHY226" s="35"/>
      <c r="JHZ226" s="35"/>
      <c r="JIA226" s="35"/>
      <c r="JIB226" s="34"/>
      <c r="JIC226" s="34"/>
      <c r="JID226" s="36"/>
      <c r="JIE226" s="36"/>
      <c r="JIF226" s="37"/>
      <c r="JIG226" s="37"/>
      <c r="JIH226" s="38"/>
      <c r="JII226" s="38"/>
      <c r="JIJ226" s="39"/>
      <c r="JIK226" s="34"/>
      <c r="JIL226" s="34"/>
      <c r="JIM226" s="34"/>
      <c r="JIN226" s="35"/>
      <c r="JIO226" s="35"/>
      <c r="JIP226" s="35"/>
      <c r="JIQ226" s="35"/>
      <c r="JIR226" s="35"/>
      <c r="JIS226" s="34"/>
      <c r="JIT226" s="34"/>
      <c r="JIU226" s="36"/>
      <c r="JIV226" s="36"/>
      <c r="JIW226" s="37"/>
      <c r="JIX226" s="37"/>
      <c r="JIY226" s="38"/>
      <c r="JIZ226" s="38"/>
      <c r="JJA226" s="39"/>
      <c r="JJB226" s="34"/>
      <c r="JJC226" s="34"/>
      <c r="JJD226" s="34"/>
      <c r="JJE226" s="35"/>
      <c r="JJF226" s="35"/>
      <c r="JJG226" s="35"/>
      <c r="JJH226" s="35"/>
      <c r="JJI226" s="35"/>
      <c r="JJJ226" s="34"/>
      <c r="JJK226" s="34"/>
      <c r="JJL226" s="36"/>
      <c r="JJM226" s="36"/>
      <c r="JJN226" s="37"/>
      <c r="JJO226" s="37"/>
      <c r="JJP226" s="38"/>
      <c r="JJQ226" s="38"/>
      <c r="JJR226" s="39"/>
      <c r="JJS226" s="34"/>
      <c r="JJT226" s="34"/>
      <c r="JJU226" s="34"/>
      <c r="JJV226" s="35"/>
      <c r="JJW226" s="35"/>
      <c r="JJX226" s="35"/>
      <c r="JJY226" s="35"/>
      <c r="JJZ226" s="35"/>
      <c r="JKA226" s="34"/>
      <c r="JKB226" s="34"/>
      <c r="JKC226" s="36"/>
      <c r="JKD226" s="36"/>
      <c r="JKE226" s="37"/>
      <c r="JKF226" s="37"/>
      <c r="JKG226" s="38"/>
      <c r="JKH226" s="38"/>
      <c r="JKI226" s="39"/>
      <c r="JKJ226" s="34"/>
      <c r="JKK226" s="34"/>
      <c r="JKL226" s="34"/>
      <c r="JKM226" s="35"/>
      <c r="JKN226" s="35"/>
      <c r="JKO226" s="35"/>
      <c r="JKP226" s="35"/>
      <c r="JKQ226" s="35"/>
      <c r="JKR226" s="34"/>
      <c r="JKS226" s="34"/>
      <c r="JKT226" s="36"/>
      <c r="JKU226" s="36"/>
      <c r="JKV226" s="37"/>
      <c r="JKW226" s="37"/>
      <c r="JKX226" s="38"/>
      <c r="JKY226" s="38"/>
      <c r="JKZ226" s="39"/>
      <c r="JLA226" s="34"/>
      <c r="JLB226" s="34"/>
      <c r="JLC226" s="34"/>
      <c r="JLD226" s="35"/>
      <c r="JLE226" s="35"/>
      <c r="JLF226" s="35"/>
      <c r="JLG226" s="35"/>
      <c r="JLH226" s="35"/>
      <c r="JLI226" s="34"/>
      <c r="JLJ226" s="34"/>
      <c r="JLK226" s="36"/>
      <c r="JLL226" s="36"/>
      <c r="JLM226" s="37"/>
      <c r="JLN226" s="37"/>
      <c r="JLO226" s="38"/>
      <c r="JLP226" s="38"/>
      <c r="JLQ226" s="39"/>
      <c r="JLR226" s="34"/>
      <c r="JLS226" s="34"/>
      <c r="JLT226" s="34"/>
      <c r="JLU226" s="35"/>
      <c r="JLV226" s="35"/>
      <c r="JLW226" s="35"/>
      <c r="JLX226" s="35"/>
      <c r="JLY226" s="35"/>
      <c r="JLZ226" s="34"/>
      <c r="JMA226" s="34"/>
      <c r="JMB226" s="36"/>
      <c r="JMC226" s="36"/>
      <c r="JMD226" s="37"/>
      <c r="JME226" s="37"/>
      <c r="JMF226" s="38"/>
      <c r="JMG226" s="38"/>
      <c r="JMH226" s="39"/>
      <c r="JMI226" s="34"/>
      <c r="JMJ226" s="34"/>
      <c r="JMK226" s="34"/>
      <c r="JML226" s="35"/>
      <c r="JMM226" s="35"/>
      <c r="JMN226" s="35"/>
      <c r="JMO226" s="35"/>
      <c r="JMP226" s="35"/>
      <c r="JMQ226" s="34"/>
      <c r="JMR226" s="34"/>
      <c r="JMS226" s="36"/>
      <c r="JMT226" s="36"/>
      <c r="JMU226" s="37"/>
      <c r="JMV226" s="37"/>
      <c r="JMW226" s="38"/>
      <c r="JMX226" s="38"/>
      <c r="JMY226" s="39"/>
      <c r="JMZ226" s="34"/>
      <c r="JNA226" s="34"/>
      <c r="JNB226" s="34"/>
      <c r="JNC226" s="35"/>
      <c r="JND226" s="35"/>
      <c r="JNE226" s="35"/>
      <c r="JNF226" s="35"/>
      <c r="JNG226" s="35"/>
      <c r="JNH226" s="34"/>
      <c r="JNI226" s="34"/>
      <c r="JNJ226" s="36"/>
      <c r="JNK226" s="36"/>
      <c r="JNL226" s="37"/>
      <c r="JNM226" s="37"/>
      <c r="JNN226" s="38"/>
      <c r="JNO226" s="38"/>
      <c r="JNP226" s="39"/>
      <c r="JNQ226" s="34"/>
      <c r="JNR226" s="34"/>
      <c r="JNS226" s="34"/>
      <c r="JNT226" s="35"/>
      <c r="JNU226" s="35"/>
      <c r="JNV226" s="35"/>
      <c r="JNW226" s="35"/>
      <c r="JNX226" s="35"/>
      <c r="JNY226" s="34"/>
      <c r="JNZ226" s="34"/>
      <c r="JOA226" s="36"/>
      <c r="JOB226" s="36"/>
      <c r="JOC226" s="37"/>
      <c r="JOD226" s="37"/>
      <c r="JOE226" s="38"/>
      <c r="JOF226" s="38"/>
      <c r="JOG226" s="39"/>
      <c r="JOH226" s="34"/>
      <c r="JOI226" s="34"/>
      <c r="JOJ226" s="34"/>
      <c r="JOK226" s="35"/>
      <c r="JOL226" s="35"/>
      <c r="JOM226" s="35"/>
      <c r="JON226" s="35"/>
      <c r="JOO226" s="35"/>
      <c r="JOP226" s="34"/>
      <c r="JOQ226" s="34"/>
      <c r="JOR226" s="36"/>
      <c r="JOS226" s="36"/>
      <c r="JOT226" s="37"/>
      <c r="JOU226" s="37"/>
      <c r="JOV226" s="38"/>
      <c r="JOW226" s="38"/>
      <c r="JOX226" s="39"/>
      <c r="JOY226" s="34"/>
      <c r="JOZ226" s="34"/>
      <c r="JPA226" s="34"/>
      <c r="JPB226" s="35"/>
      <c r="JPC226" s="35"/>
      <c r="JPD226" s="35"/>
      <c r="JPE226" s="35"/>
      <c r="JPF226" s="35"/>
      <c r="JPG226" s="34"/>
      <c r="JPH226" s="34"/>
      <c r="JPI226" s="36"/>
      <c r="JPJ226" s="36"/>
      <c r="JPK226" s="37"/>
      <c r="JPL226" s="37"/>
      <c r="JPM226" s="38"/>
      <c r="JPN226" s="38"/>
      <c r="JPO226" s="39"/>
      <c r="JPP226" s="34"/>
      <c r="JPQ226" s="34"/>
      <c r="JPR226" s="34"/>
      <c r="JPS226" s="35"/>
      <c r="JPT226" s="35"/>
      <c r="JPU226" s="35"/>
      <c r="JPV226" s="35"/>
      <c r="JPW226" s="35"/>
      <c r="JPX226" s="34"/>
      <c r="JPY226" s="34"/>
      <c r="JPZ226" s="36"/>
      <c r="JQA226" s="36"/>
      <c r="JQB226" s="37"/>
      <c r="JQC226" s="37"/>
      <c r="JQD226" s="38"/>
      <c r="JQE226" s="38"/>
      <c r="JQF226" s="39"/>
      <c r="JQG226" s="34"/>
      <c r="JQH226" s="34"/>
      <c r="JQI226" s="34"/>
      <c r="JQJ226" s="35"/>
      <c r="JQK226" s="35"/>
      <c r="JQL226" s="35"/>
      <c r="JQM226" s="35"/>
      <c r="JQN226" s="35"/>
      <c r="JQO226" s="34"/>
      <c r="JQP226" s="34"/>
      <c r="JQQ226" s="36"/>
      <c r="JQR226" s="36"/>
      <c r="JQS226" s="37"/>
      <c r="JQT226" s="37"/>
      <c r="JQU226" s="38"/>
      <c r="JQV226" s="38"/>
      <c r="JQW226" s="39"/>
      <c r="JQX226" s="34"/>
      <c r="JQY226" s="34"/>
      <c r="JQZ226" s="34"/>
      <c r="JRA226" s="35"/>
      <c r="JRB226" s="35"/>
      <c r="JRC226" s="35"/>
      <c r="JRD226" s="35"/>
      <c r="JRE226" s="35"/>
      <c r="JRF226" s="34"/>
      <c r="JRG226" s="34"/>
      <c r="JRH226" s="36"/>
      <c r="JRI226" s="36"/>
      <c r="JRJ226" s="37"/>
      <c r="JRK226" s="37"/>
      <c r="JRL226" s="38"/>
      <c r="JRM226" s="38"/>
      <c r="JRN226" s="39"/>
      <c r="JRO226" s="34"/>
      <c r="JRP226" s="34"/>
      <c r="JRQ226" s="34"/>
      <c r="JRR226" s="35"/>
      <c r="JRS226" s="35"/>
      <c r="JRT226" s="35"/>
      <c r="JRU226" s="35"/>
      <c r="JRV226" s="35"/>
      <c r="JRW226" s="34"/>
      <c r="JRX226" s="34"/>
      <c r="JRY226" s="36"/>
      <c r="JRZ226" s="36"/>
      <c r="JSA226" s="37"/>
      <c r="JSB226" s="37"/>
      <c r="JSC226" s="38"/>
      <c r="JSD226" s="38"/>
      <c r="JSE226" s="39"/>
      <c r="JSF226" s="34"/>
      <c r="JSG226" s="34"/>
      <c r="JSH226" s="34"/>
      <c r="JSI226" s="35"/>
      <c r="JSJ226" s="35"/>
      <c r="JSK226" s="35"/>
      <c r="JSL226" s="35"/>
      <c r="JSM226" s="35"/>
      <c r="JSN226" s="34"/>
      <c r="JSO226" s="34"/>
      <c r="JSP226" s="36"/>
      <c r="JSQ226" s="36"/>
      <c r="JSR226" s="37"/>
      <c r="JSS226" s="37"/>
      <c r="JST226" s="38"/>
      <c r="JSU226" s="38"/>
      <c r="JSV226" s="39"/>
      <c r="JSW226" s="34"/>
      <c r="JSX226" s="34"/>
      <c r="JSY226" s="34"/>
      <c r="JSZ226" s="35"/>
      <c r="JTA226" s="35"/>
      <c r="JTB226" s="35"/>
      <c r="JTC226" s="35"/>
      <c r="JTD226" s="35"/>
      <c r="JTE226" s="34"/>
      <c r="JTF226" s="34"/>
      <c r="JTG226" s="36"/>
      <c r="JTH226" s="36"/>
      <c r="JTI226" s="37"/>
      <c r="JTJ226" s="37"/>
      <c r="JTK226" s="38"/>
      <c r="JTL226" s="38"/>
      <c r="JTM226" s="39"/>
      <c r="JTN226" s="34"/>
      <c r="JTO226" s="34"/>
      <c r="JTP226" s="34"/>
      <c r="JTQ226" s="35"/>
      <c r="JTR226" s="35"/>
      <c r="JTS226" s="35"/>
      <c r="JTT226" s="35"/>
      <c r="JTU226" s="35"/>
      <c r="JTV226" s="34"/>
      <c r="JTW226" s="34"/>
      <c r="JTX226" s="36"/>
      <c r="JTY226" s="36"/>
      <c r="JTZ226" s="37"/>
      <c r="JUA226" s="37"/>
      <c r="JUB226" s="38"/>
      <c r="JUC226" s="38"/>
      <c r="JUD226" s="39"/>
      <c r="JUE226" s="34"/>
      <c r="JUF226" s="34"/>
      <c r="JUG226" s="34"/>
      <c r="JUH226" s="35"/>
      <c r="JUI226" s="35"/>
      <c r="JUJ226" s="35"/>
      <c r="JUK226" s="35"/>
      <c r="JUL226" s="35"/>
      <c r="JUM226" s="34"/>
      <c r="JUN226" s="34"/>
      <c r="JUO226" s="36"/>
      <c r="JUP226" s="36"/>
      <c r="JUQ226" s="37"/>
      <c r="JUR226" s="37"/>
      <c r="JUS226" s="38"/>
      <c r="JUT226" s="38"/>
      <c r="JUU226" s="39"/>
      <c r="JUV226" s="34"/>
      <c r="JUW226" s="34"/>
      <c r="JUX226" s="34"/>
      <c r="JUY226" s="35"/>
      <c r="JUZ226" s="35"/>
      <c r="JVA226" s="35"/>
      <c r="JVB226" s="35"/>
      <c r="JVC226" s="35"/>
      <c r="JVD226" s="34"/>
      <c r="JVE226" s="34"/>
      <c r="JVF226" s="36"/>
      <c r="JVG226" s="36"/>
      <c r="JVH226" s="37"/>
      <c r="JVI226" s="37"/>
      <c r="JVJ226" s="38"/>
      <c r="JVK226" s="38"/>
      <c r="JVL226" s="39"/>
      <c r="JVM226" s="34"/>
      <c r="JVN226" s="34"/>
      <c r="JVO226" s="34"/>
      <c r="JVP226" s="35"/>
      <c r="JVQ226" s="35"/>
      <c r="JVR226" s="35"/>
      <c r="JVS226" s="35"/>
      <c r="JVT226" s="35"/>
      <c r="JVU226" s="34"/>
      <c r="JVV226" s="34"/>
      <c r="JVW226" s="36"/>
      <c r="JVX226" s="36"/>
      <c r="JVY226" s="37"/>
      <c r="JVZ226" s="37"/>
      <c r="JWA226" s="38"/>
      <c r="JWB226" s="38"/>
      <c r="JWC226" s="39"/>
      <c r="JWD226" s="34"/>
      <c r="JWE226" s="34"/>
      <c r="JWF226" s="34"/>
      <c r="JWG226" s="35"/>
      <c r="JWH226" s="35"/>
      <c r="JWI226" s="35"/>
      <c r="JWJ226" s="35"/>
      <c r="JWK226" s="35"/>
      <c r="JWL226" s="34"/>
      <c r="JWM226" s="34"/>
      <c r="JWN226" s="36"/>
      <c r="JWO226" s="36"/>
      <c r="JWP226" s="37"/>
      <c r="JWQ226" s="37"/>
      <c r="JWR226" s="38"/>
      <c r="JWS226" s="38"/>
      <c r="JWT226" s="39"/>
      <c r="JWU226" s="34"/>
      <c r="JWV226" s="34"/>
      <c r="JWW226" s="34"/>
      <c r="JWX226" s="35"/>
      <c r="JWY226" s="35"/>
      <c r="JWZ226" s="35"/>
      <c r="JXA226" s="35"/>
      <c r="JXB226" s="35"/>
      <c r="JXC226" s="34"/>
      <c r="JXD226" s="34"/>
      <c r="JXE226" s="36"/>
      <c r="JXF226" s="36"/>
      <c r="JXG226" s="37"/>
      <c r="JXH226" s="37"/>
      <c r="JXI226" s="38"/>
      <c r="JXJ226" s="38"/>
      <c r="JXK226" s="39"/>
      <c r="JXL226" s="34"/>
      <c r="JXM226" s="34"/>
      <c r="JXN226" s="34"/>
      <c r="JXO226" s="35"/>
      <c r="JXP226" s="35"/>
      <c r="JXQ226" s="35"/>
      <c r="JXR226" s="35"/>
      <c r="JXS226" s="35"/>
      <c r="JXT226" s="34"/>
      <c r="JXU226" s="34"/>
      <c r="JXV226" s="36"/>
      <c r="JXW226" s="36"/>
      <c r="JXX226" s="37"/>
      <c r="JXY226" s="37"/>
      <c r="JXZ226" s="38"/>
      <c r="JYA226" s="38"/>
      <c r="JYB226" s="39"/>
      <c r="JYC226" s="34"/>
      <c r="JYD226" s="34"/>
      <c r="JYE226" s="34"/>
      <c r="JYF226" s="35"/>
      <c r="JYG226" s="35"/>
      <c r="JYH226" s="35"/>
      <c r="JYI226" s="35"/>
      <c r="JYJ226" s="35"/>
      <c r="JYK226" s="34"/>
      <c r="JYL226" s="34"/>
      <c r="JYM226" s="36"/>
      <c r="JYN226" s="36"/>
      <c r="JYO226" s="37"/>
      <c r="JYP226" s="37"/>
      <c r="JYQ226" s="38"/>
      <c r="JYR226" s="38"/>
      <c r="JYS226" s="39"/>
      <c r="JYT226" s="34"/>
      <c r="JYU226" s="34"/>
      <c r="JYV226" s="34"/>
      <c r="JYW226" s="35"/>
      <c r="JYX226" s="35"/>
      <c r="JYY226" s="35"/>
      <c r="JYZ226" s="35"/>
      <c r="JZA226" s="35"/>
      <c r="JZB226" s="34"/>
      <c r="JZC226" s="34"/>
      <c r="JZD226" s="36"/>
      <c r="JZE226" s="36"/>
      <c r="JZF226" s="37"/>
      <c r="JZG226" s="37"/>
      <c r="JZH226" s="38"/>
      <c r="JZI226" s="38"/>
      <c r="JZJ226" s="39"/>
      <c r="JZK226" s="34"/>
      <c r="JZL226" s="34"/>
      <c r="JZM226" s="34"/>
      <c r="JZN226" s="35"/>
      <c r="JZO226" s="35"/>
      <c r="JZP226" s="35"/>
      <c r="JZQ226" s="35"/>
      <c r="JZR226" s="35"/>
      <c r="JZS226" s="34"/>
      <c r="JZT226" s="34"/>
      <c r="JZU226" s="36"/>
      <c r="JZV226" s="36"/>
      <c r="JZW226" s="37"/>
      <c r="JZX226" s="37"/>
      <c r="JZY226" s="38"/>
      <c r="JZZ226" s="38"/>
      <c r="KAA226" s="39"/>
      <c r="KAB226" s="34"/>
      <c r="KAC226" s="34"/>
      <c r="KAD226" s="34"/>
      <c r="KAE226" s="35"/>
      <c r="KAF226" s="35"/>
      <c r="KAG226" s="35"/>
      <c r="KAH226" s="35"/>
      <c r="KAI226" s="35"/>
      <c r="KAJ226" s="34"/>
      <c r="KAK226" s="34"/>
      <c r="KAL226" s="36"/>
      <c r="KAM226" s="36"/>
      <c r="KAN226" s="37"/>
      <c r="KAO226" s="37"/>
      <c r="KAP226" s="38"/>
      <c r="KAQ226" s="38"/>
      <c r="KAR226" s="39"/>
      <c r="KAS226" s="34"/>
      <c r="KAT226" s="34"/>
      <c r="KAU226" s="34"/>
      <c r="KAV226" s="35"/>
      <c r="KAW226" s="35"/>
      <c r="KAX226" s="35"/>
      <c r="KAY226" s="35"/>
      <c r="KAZ226" s="35"/>
      <c r="KBA226" s="34"/>
      <c r="KBB226" s="34"/>
      <c r="KBC226" s="36"/>
      <c r="KBD226" s="36"/>
      <c r="KBE226" s="37"/>
      <c r="KBF226" s="37"/>
      <c r="KBG226" s="38"/>
      <c r="KBH226" s="38"/>
      <c r="KBI226" s="39"/>
      <c r="KBJ226" s="34"/>
      <c r="KBK226" s="34"/>
      <c r="KBL226" s="34"/>
      <c r="KBM226" s="35"/>
      <c r="KBN226" s="35"/>
      <c r="KBO226" s="35"/>
      <c r="KBP226" s="35"/>
      <c r="KBQ226" s="35"/>
      <c r="KBR226" s="34"/>
      <c r="KBS226" s="34"/>
      <c r="KBT226" s="36"/>
      <c r="KBU226" s="36"/>
      <c r="KBV226" s="37"/>
      <c r="KBW226" s="37"/>
      <c r="KBX226" s="38"/>
      <c r="KBY226" s="38"/>
      <c r="KBZ226" s="39"/>
      <c r="KCA226" s="34"/>
      <c r="KCB226" s="34"/>
      <c r="KCC226" s="34"/>
      <c r="KCD226" s="35"/>
      <c r="KCE226" s="35"/>
      <c r="KCF226" s="35"/>
      <c r="KCG226" s="35"/>
      <c r="KCH226" s="35"/>
      <c r="KCI226" s="34"/>
      <c r="KCJ226" s="34"/>
      <c r="KCK226" s="36"/>
      <c r="KCL226" s="36"/>
      <c r="KCM226" s="37"/>
      <c r="KCN226" s="37"/>
      <c r="KCO226" s="38"/>
      <c r="KCP226" s="38"/>
      <c r="KCQ226" s="39"/>
      <c r="KCR226" s="34"/>
      <c r="KCS226" s="34"/>
      <c r="KCT226" s="34"/>
      <c r="KCU226" s="35"/>
      <c r="KCV226" s="35"/>
      <c r="KCW226" s="35"/>
      <c r="KCX226" s="35"/>
      <c r="KCY226" s="35"/>
      <c r="KCZ226" s="34"/>
      <c r="KDA226" s="34"/>
      <c r="KDB226" s="36"/>
      <c r="KDC226" s="36"/>
      <c r="KDD226" s="37"/>
      <c r="KDE226" s="37"/>
      <c r="KDF226" s="38"/>
      <c r="KDG226" s="38"/>
      <c r="KDH226" s="39"/>
      <c r="KDI226" s="34"/>
      <c r="KDJ226" s="34"/>
      <c r="KDK226" s="34"/>
      <c r="KDL226" s="35"/>
      <c r="KDM226" s="35"/>
      <c r="KDN226" s="35"/>
      <c r="KDO226" s="35"/>
      <c r="KDP226" s="35"/>
      <c r="KDQ226" s="34"/>
      <c r="KDR226" s="34"/>
      <c r="KDS226" s="36"/>
      <c r="KDT226" s="36"/>
      <c r="KDU226" s="37"/>
      <c r="KDV226" s="37"/>
      <c r="KDW226" s="38"/>
      <c r="KDX226" s="38"/>
      <c r="KDY226" s="39"/>
      <c r="KDZ226" s="34"/>
      <c r="KEA226" s="34"/>
      <c r="KEB226" s="34"/>
      <c r="KEC226" s="35"/>
      <c r="KED226" s="35"/>
      <c r="KEE226" s="35"/>
      <c r="KEF226" s="35"/>
      <c r="KEG226" s="35"/>
      <c r="KEH226" s="34"/>
      <c r="KEI226" s="34"/>
      <c r="KEJ226" s="36"/>
      <c r="KEK226" s="36"/>
      <c r="KEL226" s="37"/>
      <c r="KEM226" s="37"/>
      <c r="KEN226" s="38"/>
      <c r="KEO226" s="38"/>
      <c r="KEP226" s="39"/>
      <c r="KEQ226" s="34"/>
      <c r="KER226" s="34"/>
      <c r="KES226" s="34"/>
      <c r="KET226" s="35"/>
      <c r="KEU226" s="35"/>
      <c r="KEV226" s="35"/>
      <c r="KEW226" s="35"/>
      <c r="KEX226" s="35"/>
      <c r="KEY226" s="34"/>
      <c r="KEZ226" s="34"/>
      <c r="KFA226" s="36"/>
      <c r="KFB226" s="36"/>
      <c r="KFC226" s="37"/>
      <c r="KFD226" s="37"/>
      <c r="KFE226" s="38"/>
      <c r="KFF226" s="38"/>
      <c r="KFG226" s="39"/>
      <c r="KFH226" s="34"/>
      <c r="KFI226" s="34"/>
      <c r="KFJ226" s="34"/>
      <c r="KFK226" s="35"/>
      <c r="KFL226" s="35"/>
      <c r="KFM226" s="35"/>
      <c r="KFN226" s="35"/>
      <c r="KFO226" s="35"/>
      <c r="KFP226" s="34"/>
      <c r="KFQ226" s="34"/>
      <c r="KFR226" s="36"/>
      <c r="KFS226" s="36"/>
      <c r="KFT226" s="37"/>
      <c r="KFU226" s="37"/>
      <c r="KFV226" s="38"/>
      <c r="KFW226" s="38"/>
      <c r="KFX226" s="39"/>
      <c r="KFY226" s="34"/>
      <c r="KFZ226" s="34"/>
      <c r="KGA226" s="34"/>
      <c r="KGB226" s="35"/>
      <c r="KGC226" s="35"/>
      <c r="KGD226" s="35"/>
      <c r="KGE226" s="35"/>
      <c r="KGF226" s="35"/>
      <c r="KGG226" s="34"/>
      <c r="KGH226" s="34"/>
      <c r="KGI226" s="36"/>
      <c r="KGJ226" s="36"/>
      <c r="KGK226" s="37"/>
      <c r="KGL226" s="37"/>
      <c r="KGM226" s="38"/>
      <c r="KGN226" s="38"/>
      <c r="KGO226" s="39"/>
      <c r="KGP226" s="34"/>
      <c r="KGQ226" s="34"/>
      <c r="KGR226" s="34"/>
      <c r="KGS226" s="35"/>
      <c r="KGT226" s="35"/>
      <c r="KGU226" s="35"/>
      <c r="KGV226" s="35"/>
      <c r="KGW226" s="35"/>
      <c r="KGX226" s="34"/>
      <c r="KGY226" s="34"/>
      <c r="KGZ226" s="36"/>
      <c r="KHA226" s="36"/>
      <c r="KHB226" s="37"/>
      <c r="KHC226" s="37"/>
      <c r="KHD226" s="38"/>
      <c r="KHE226" s="38"/>
      <c r="KHF226" s="39"/>
      <c r="KHG226" s="34"/>
      <c r="KHH226" s="34"/>
      <c r="KHI226" s="34"/>
      <c r="KHJ226" s="35"/>
      <c r="KHK226" s="35"/>
      <c r="KHL226" s="35"/>
      <c r="KHM226" s="35"/>
      <c r="KHN226" s="35"/>
      <c r="KHO226" s="34"/>
      <c r="KHP226" s="34"/>
      <c r="KHQ226" s="36"/>
      <c r="KHR226" s="36"/>
      <c r="KHS226" s="37"/>
      <c r="KHT226" s="37"/>
      <c r="KHU226" s="38"/>
      <c r="KHV226" s="38"/>
      <c r="KHW226" s="39"/>
      <c r="KHX226" s="34"/>
      <c r="KHY226" s="34"/>
      <c r="KHZ226" s="34"/>
      <c r="KIA226" s="35"/>
      <c r="KIB226" s="35"/>
      <c r="KIC226" s="35"/>
      <c r="KID226" s="35"/>
      <c r="KIE226" s="35"/>
      <c r="KIF226" s="34"/>
      <c r="KIG226" s="34"/>
      <c r="KIH226" s="36"/>
      <c r="KII226" s="36"/>
      <c r="KIJ226" s="37"/>
      <c r="KIK226" s="37"/>
      <c r="KIL226" s="38"/>
      <c r="KIM226" s="38"/>
      <c r="KIN226" s="39"/>
      <c r="KIO226" s="34"/>
      <c r="KIP226" s="34"/>
      <c r="KIQ226" s="34"/>
      <c r="KIR226" s="35"/>
      <c r="KIS226" s="35"/>
      <c r="KIT226" s="35"/>
      <c r="KIU226" s="35"/>
      <c r="KIV226" s="35"/>
      <c r="KIW226" s="34"/>
      <c r="KIX226" s="34"/>
      <c r="KIY226" s="36"/>
      <c r="KIZ226" s="36"/>
      <c r="KJA226" s="37"/>
      <c r="KJB226" s="37"/>
      <c r="KJC226" s="38"/>
      <c r="KJD226" s="38"/>
      <c r="KJE226" s="39"/>
      <c r="KJF226" s="34"/>
      <c r="KJG226" s="34"/>
      <c r="KJH226" s="34"/>
      <c r="KJI226" s="35"/>
      <c r="KJJ226" s="35"/>
      <c r="KJK226" s="35"/>
      <c r="KJL226" s="35"/>
      <c r="KJM226" s="35"/>
      <c r="KJN226" s="34"/>
      <c r="KJO226" s="34"/>
      <c r="KJP226" s="36"/>
      <c r="KJQ226" s="36"/>
      <c r="KJR226" s="37"/>
      <c r="KJS226" s="37"/>
      <c r="KJT226" s="38"/>
      <c r="KJU226" s="38"/>
      <c r="KJV226" s="39"/>
      <c r="KJW226" s="34"/>
      <c r="KJX226" s="34"/>
      <c r="KJY226" s="34"/>
      <c r="KJZ226" s="35"/>
      <c r="KKA226" s="35"/>
      <c r="KKB226" s="35"/>
      <c r="KKC226" s="35"/>
      <c r="KKD226" s="35"/>
      <c r="KKE226" s="34"/>
      <c r="KKF226" s="34"/>
      <c r="KKG226" s="36"/>
      <c r="KKH226" s="36"/>
      <c r="KKI226" s="37"/>
      <c r="KKJ226" s="37"/>
      <c r="KKK226" s="38"/>
      <c r="KKL226" s="38"/>
      <c r="KKM226" s="39"/>
      <c r="KKN226" s="34"/>
      <c r="KKO226" s="34"/>
      <c r="KKP226" s="34"/>
      <c r="KKQ226" s="35"/>
      <c r="KKR226" s="35"/>
      <c r="KKS226" s="35"/>
      <c r="KKT226" s="35"/>
      <c r="KKU226" s="35"/>
      <c r="KKV226" s="34"/>
      <c r="KKW226" s="34"/>
      <c r="KKX226" s="36"/>
      <c r="KKY226" s="36"/>
      <c r="KKZ226" s="37"/>
      <c r="KLA226" s="37"/>
      <c r="KLB226" s="38"/>
      <c r="KLC226" s="38"/>
      <c r="KLD226" s="39"/>
      <c r="KLE226" s="34"/>
      <c r="KLF226" s="34"/>
      <c r="KLG226" s="34"/>
      <c r="KLH226" s="35"/>
      <c r="KLI226" s="35"/>
      <c r="KLJ226" s="35"/>
      <c r="KLK226" s="35"/>
      <c r="KLL226" s="35"/>
      <c r="KLM226" s="34"/>
      <c r="KLN226" s="34"/>
      <c r="KLO226" s="36"/>
      <c r="KLP226" s="36"/>
      <c r="KLQ226" s="37"/>
      <c r="KLR226" s="37"/>
      <c r="KLS226" s="38"/>
      <c r="KLT226" s="38"/>
      <c r="KLU226" s="39"/>
      <c r="KLV226" s="34"/>
      <c r="KLW226" s="34"/>
      <c r="KLX226" s="34"/>
      <c r="KLY226" s="35"/>
      <c r="KLZ226" s="35"/>
      <c r="KMA226" s="35"/>
      <c r="KMB226" s="35"/>
      <c r="KMC226" s="35"/>
      <c r="KMD226" s="34"/>
      <c r="KME226" s="34"/>
      <c r="KMF226" s="36"/>
      <c r="KMG226" s="36"/>
      <c r="KMH226" s="37"/>
      <c r="KMI226" s="37"/>
      <c r="KMJ226" s="38"/>
      <c r="KMK226" s="38"/>
      <c r="KML226" s="39"/>
      <c r="KMM226" s="34"/>
      <c r="KMN226" s="34"/>
      <c r="KMO226" s="34"/>
      <c r="KMP226" s="35"/>
      <c r="KMQ226" s="35"/>
      <c r="KMR226" s="35"/>
      <c r="KMS226" s="35"/>
      <c r="KMT226" s="35"/>
      <c r="KMU226" s="34"/>
      <c r="KMV226" s="34"/>
      <c r="KMW226" s="36"/>
      <c r="KMX226" s="36"/>
      <c r="KMY226" s="37"/>
      <c r="KMZ226" s="37"/>
      <c r="KNA226" s="38"/>
      <c r="KNB226" s="38"/>
      <c r="KNC226" s="39"/>
      <c r="KND226" s="34"/>
      <c r="KNE226" s="34"/>
      <c r="KNF226" s="34"/>
      <c r="KNG226" s="35"/>
      <c r="KNH226" s="35"/>
      <c r="KNI226" s="35"/>
      <c r="KNJ226" s="35"/>
      <c r="KNK226" s="35"/>
      <c r="KNL226" s="34"/>
      <c r="KNM226" s="34"/>
      <c r="KNN226" s="36"/>
      <c r="KNO226" s="36"/>
      <c r="KNP226" s="37"/>
      <c r="KNQ226" s="37"/>
      <c r="KNR226" s="38"/>
      <c r="KNS226" s="38"/>
      <c r="KNT226" s="39"/>
      <c r="KNU226" s="34"/>
      <c r="KNV226" s="34"/>
      <c r="KNW226" s="34"/>
      <c r="KNX226" s="35"/>
      <c r="KNY226" s="35"/>
      <c r="KNZ226" s="35"/>
      <c r="KOA226" s="35"/>
      <c r="KOB226" s="35"/>
      <c r="KOC226" s="34"/>
      <c r="KOD226" s="34"/>
      <c r="KOE226" s="36"/>
      <c r="KOF226" s="36"/>
      <c r="KOG226" s="37"/>
      <c r="KOH226" s="37"/>
      <c r="KOI226" s="38"/>
      <c r="KOJ226" s="38"/>
      <c r="KOK226" s="39"/>
      <c r="KOL226" s="34"/>
      <c r="KOM226" s="34"/>
      <c r="KON226" s="34"/>
      <c r="KOO226" s="35"/>
      <c r="KOP226" s="35"/>
      <c r="KOQ226" s="35"/>
      <c r="KOR226" s="35"/>
      <c r="KOS226" s="35"/>
      <c r="KOT226" s="34"/>
      <c r="KOU226" s="34"/>
      <c r="KOV226" s="36"/>
      <c r="KOW226" s="36"/>
      <c r="KOX226" s="37"/>
      <c r="KOY226" s="37"/>
      <c r="KOZ226" s="38"/>
      <c r="KPA226" s="38"/>
      <c r="KPB226" s="39"/>
      <c r="KPC226" s="34"/>
      <c r="KPD226" s="34"/>
      <c r="KPE226" s="34"/>
      <c r="KPF226" s="35"/>
      <c r="KPG226" s="35"/>
      <c r="KPH226" s="35"/>
      <c r="KPI226" s="35"/>
      <c r="KPJ226" s="35"/>
      <c r="KPK226" s="34"/>
      <c r="KPL226" s="34"/>
      <c r="KPM226" s="36"/>
      <c r="KPN226" s="36"/>
      <c r="KPO226" s="37"/>
      <c r="KPP226" s="37"/>
      <c r="KPQ226" s="38"/>
      <c r="KPR226" s="38"/>
      <c r="KPS226" s="39"/>
      <c r="KPT226" s="34"/>
      <c r="KPU226" s="34"/>
      <c r="KPV226" s="34"/>
      <c r="KPW226" s="35"/>
      <c r="KPX226" s="35"/>
      <c r="KPY226" s="35"/>
      <c r="KPZ226" s="35"/>
      <c r="KQA226" s="35"/>
      <c r="KQB226" s="34"/>
      <c r="KQC226" s="34"/>
      <c r="KQD226" s="36"/>
      <c r="KQE226" s="36"/>
      <c r="KQF226" s="37"/>
      <c r="KQG226" s="37"/>
      <c r="KQH226" s="38"/>
      <c r="KQI226" s="38"/>
      <c r="KQJ226" s="39"/>
      <c r="KQK226" s="34"/>
      <c r="KQL226" s="34"/>
      <c r="KQM226" s="34"/>
      <c r="KQN226" s="35"/>
      <c r="KQO226" s="35"/>
      <c r="KQP226" s="35"/>
      <c r="KQQ226" s="35"/>
      <c r="KQR226" s="35"/>
      <c r="KQS226" s="34"/>
      <c r="KQT226" s="34"/>
      <c r="KQU226" s="36"/>
      <c r="KQV226" s="36"/>
      <c r="KQW226" s="37"/>
      <c r="KQX226" s="37"/>
      <c r="KQY226" s="38"/>
      <c r="KQZ226" s="38"/>
      <c r="KRA226" s="39"/>
      <c r="KRB226" s="34"/>
      <c r="KRC226" s="34"/>
      <c r="KRD226" s="34"/>
      <c r="KRE226" s="35"/>
      <c r="KRF226" s="35"/>
      <c r="KRG226" s="35"/>
      <c r="KRH226" s="35"/>
      <c r="KRI226" s="35"/>
      <c r="KRJ226" s="34"/>
      <c r="KRK226" s="34"/>
      <c r="KRL226" s="36"/>
      <c r="KRM226" s="36"/>
      <c r="KRN226" s="37"/>
      <c r="KRO226" s="37"/>
      <c r="KRP226" s="38"/>
      <c r="KRQ226" s="38"/>
      <c r="KRR226" s="39"/>
      <c r="KRS226" s="34"/>
      <c r="KRT226" s="34"/>
      <c r="KRU226" s="34"/>
      <c r="KRV226" s="35"/>
      <c r="KRW226" s="35"/>
      <c r="KRX226" s="35"/>
      <c r="KRY226" s="35"/>
      <c r="KRZ226" s="35"/>
      <c r="KSA226" s="34"/>
      <c r="KSB226" s="34"/>
      <c r="KSC226" s="36"/>
      <c r="KSD226" s="36"/>
      <c r="KSE226" s="37"/>
      <c r="KSF226" s="37"/>
      <c r="KSG226" s="38"/>
      <c r="KSH226" s="38"/>
      <c r="KSI226" s="39"/>
      <c r="KSJ226" s="34"/>
      <c r="KSK226" s="34"/>
      <c r="KSL226" s="34"/>
      <c r="KSM226" s="35"/>
      <c r="KSN226" s="35"/>
      <c r="KSO226" s="35"/>
      <c r="KSP226" s="35"/>
      <c r="KSQ226" s="35"/>
      <c r="KSR226" s="34"/>
      <c r="KSS226" s="34"/>
      <c r="KST226" s="36"/>
      <c r="KSU226" s="36"/>
      <c r="KSV226" s="37"/>
      <c r="KSW226" s="37"/>
      <c r="KSX226" s="38"/>
      <c r="KSY226" s="38"/>
      <c r="KSZ226" s="39"/>
      <c r="KTA226" s="34"/>
      <c r="KTB226" s="34"/>
      <c r="KTC226" s="34"/>
      <c r="KTD226" s="35"/>
      <c r="KTE226" s="35"/>
      <c r="KTF226" s="35"/>
      <c r="KTG226" s="35"/>
      <c r="KTH226" s="35"/>
      <c r="KTI226" s="34"/>
      <c r="KTJ226" s="34"/>
      <c r="KTK226" s="36"/>
      <c r="KTL226" s="36"/>
      <c r="KTM226" s="37"/>
      <c r="KTN226" s="37"/>
      <c r="KTO226" s="38"/>
      <c r="KTP226" s="38"/>
      <c r="KTQ226" s="39"/>
      <c r="KTR226" s="34"/>
      <c r="KTS226" s="34"/>
      <c r="KTT226" s="34"/>
      <c r="KTU226" s="35"/>
      <c r="KTV226" s="35"/>
      <c r="KTW226" s="35"/>
      <c r="KTX226" s="35"/>
      <c r="KTY226" s="35"/>
      <c r="KTZ226" s="34"/>
      <c r="KUA226" s="34"/>
      <c r="KUB226" s="36"/>
      <c r="KUC226" s="36"/>
      <c r="KUD226" s="37"/>
      <c r="KUE226" s="37"/>
      <c r="KUF226" s="38"/>
      <c r="KUG226" s="38"/>
      <c r="KUH226" s="39"/>
      <c r="KUI226" s="34"/>
      <c r="KUJ226" s="34"/>
      <c r="KUK226" s="34"/>
      <c r="KUL226" s="35"/>
      <c r="KUM226" s="35"/>
      <c r="KUN226" s="35"/>
      <c r="KUO226" s="35"/>
      <c r="KUP226" s="35"/>
      <c r="KUQ226" s="34"/>
      <c r="KUR226" s="34"/>
      <c r="KUS226" s="36"/>
      <c r="KUT226" s="36"/>
      <c r="KUU226" s="37"/>
      <c r="KUV226" s="37"/>
      <c r="KUW226" s="38"/>
      <c r="KUX226" s="38"/>
      <c r="KUY226" s="39"/>
      <c r="KUZ226" s="34"/>
      <c r="KVA226" s="34"/>
      <c r="KVB226" s="34"/>
      <c r="KVC226" s="35"/>
      <c r="KVD226" s="35"/>
      <c r="KVE226" s="35"/>
      <c r="KVF226" s="35"/>
      <c r="KVG226" s="35"/>
      <c r="KVH226" s="34"/>
      <c r="KVI226" s="34"/>
      <c r="KVJ226" s="36"/>
      <c r="KVK226" s="36"/>
      <c r="KVL226" s="37"/>
      <c r="KVM226" s="37"/>
      <c r="KVN226" s="38"/>
      <c r="KVO226" s="38"/>
      <c r="KVP226" s="39"/>
      <c r="KVQ226" s="34"/>
      <c r="KVR226" s="34"/>
      <c r="KVS226" s="34"/>
      <c r="KVT226" s="35"/>
      <c r="KVU226" s="35"/>
      <c r="KVV226" s="35"/>
      <c r="KVW226" s="35"/>
      <c r="KVX226" s="35"/>
      <c r="KVY226" s="34"/>
      <c r="KVZ226" s="34"/>
      <c r="KWA226" s="36"/>
      <c r="KWB226" s="36"/>
      <c r="KWC226" s="37"/>
      <c r="KWD226" s="37"/>
      <c r="KWE226" s="38"/>
      <c r="KWF226" s="38"/>
      <c r="KWG226" s="39"/>
      <c r="KWH226" s="34"/>
      <c r="KWI226" s="34"/>
      <c r="KWJ226" s="34"/>
      <c r="KWK226" s="35"/>
      <c r="KWL226" s="35"/>
      <c r="KWM226" s="35"/>
      <c r="KWN226" s="35"/>
      <c r="KWO226" s="35"/>
      <c r="KWP226" s="34"/>
      <c r="KWQ226" s="34"/>
      <c r="KWR226" s="36"/>
      <c r="KWS226" s="36"/>
      <c r="KWT226" s="37"/>
      <c r="KWU226" s="37"/>
      <c r="KWV226" s="38"/>
      <c r="KWW226" s="38"/>
      <c r="KWX226" s="39"/>
      <c r="KWY226" s="34"/>
      <c r="KWZ226" s="34"/>
      <c r="KXA226" s="34"/>
      <c r="KXB226" s="35"/>
      <c r="KXC226" s="35"/>
      <c r="KXD226" s="35"/>
      <c r="KXE226" s="35"/>
      <c r="KXF226" s="35"/>
      <c r="KXG226" s="34"/>
      <c r="KXH226" s="34"/>
      <c r="KXI226" s="36"/>
      <c r="KXJ226" s="36"/>
      <c r="KXK226" s="37"/>
      <c r="KXL226" s="37"/>
      <c r="KXM226" s="38"/>
      <c r="KXN226" s="38"/>
      <c r="KXO226" s="39"/>
      <c r="KXP226" s="34"/>
      <c r="KXQ226" s="34"/>
      <c r="KXR226" s="34"/>
      <c r="KXS226" s="35"/>
      <c r="KXT226" s="35"/>
      <c r="KXU226" s="35"/>
      <c r="KXV226" s="35"/>
      <c r="KXW226" s="35"/>
      <c r="KXX226" s="34"/>
      <c r="KXY226" s="34"/>
      <c r="KXZ226" s="36"/>
      <c r="KYA226" s="36"/>
      <c r="KYB226" s="37"/>
      <c r="KYC226" s="37"/>
      <c r="KYD226" s="38"/>
      <c r="KYE226" s="38"/>
      <c r="KYF226" s="39"/>
      <c r="KYG226" s="34"/>
      <c r="KYH226" s="34"/>
      <c r="KYI226" s="34"/>
      <c r="KYJ226" s="35"/>
      <c r="KYK226" s="35"/>
      <c r="KYL226" s="35"/>
      <c r="KYM226" s="35"/>
      <c r="KYN226" s="35"/>
      <c r="KYO226" s="34"/>
      <c r="KYP226" s="34"/>
      <c r="KYQ226" s="36"/>
      <c r="KYR226" s="36"/>
      <c r="KYS226" s="37"/>
      <c r="KYT226" s="37"/>
      <c r="KYU226" s="38"/>
      <c r="KYV226" s="38"/>
      <c r="KYW226" s="39"/>
      <c r="KYX226" s="34"/>
      <c r="KYY226" s="34"/>
      <c r="KYZ226" s="34"/>
      <c r="KZA226" s="35"/>
      <c r="KZB226" s="35"/>
      <c r="KZC226" s="35"/>
      <c r="KZD226" s="35"/>
      <c r="KZE226" s="35"/>
      <c r="KZF226" s="34"/>
      <c r="KZG226" s="34"/>
      <c r="KZH226" s="36"/>
      <c r="KZI226" s="36"/>
      <c r="KZJ226" s="37"/>
      <c r="KZK226" s="37"/>
      <c r="KZL226" s="38"/>
      <c r="KZM226" s="38"/>
      <c r="KZN226" s="39"/>
      <c r="KZO226" s="34"/>
      <c r="KZP226" s="34"/>
      <c r="KZQ226" s="34"/>
      <c r="KZR226" s="35"/>
      <c r="KZS226" s="35"/>
      <c r="KZT226" s="35"/>
      <c r="KZU226" s="35"/>
      <c r="KZV226" s="35"/>
      <c r="KZW226" s="34"/>
      <c r="KZX226" s="34"/>
      <c r="KZY226" s="36"/>
      <c r="KZZ226" s="36"/>
      <c r="LAA226" s="37"/>
      <c r="LAB226" s="37"/>
      <c r="LAC226" s="38"/>
      <c r="LAD226" s="38"/>
      <c r="LAE226" s="39"/>
      <c r="LAF226" s="34"/>
      <c r="LAG226" s="34"/>
      <c r="LAH226" s="34"/>
      <c r="LAI226" s="35"/>
      <c r="LAJ226" s="35"/>
      <c r="LAK226" s="35"/>
      <c r="LAL226" s="35"/>
      <c r="LAM226" s="35"/>
      <c r="LAN226" s="34"/>
      <c r="LAO226" s="34"/>
      <c r="LAP226" s="36"/>
      <c r="LAQ226" s="36"/>
      <c r="LAR226" s="37"/>
      <c r="LAS226" s="37"/>
      <c r="LAT226" s="38"/>
      <c r="LAU226" s="38"/>
      <c r="LAV226" s="39"/>
      <c r="LAW226" s="34"/>
      <c r="LAX226" s="34"/>
      <c r="LAY226" s="34"/>
      <c r="LAZ226" s="35"/>
      <c r="LBA226" s="35"/>
      <c r="LBB226" s="35"/>
      <c r="LBC226" s="35"/>
      <c r="LBD226" s="35"/>
      <c r="LBE226" s="34"/>
      <c r="LBF226" s="34"/>
      <c r="LBG226" s="36"/>
      <c r="LBH226" s="36"/>
      <c r="LBI226" s="37"/>
      <c r="LBJ226" s="37"/>
      <c r="LBK226" s="38"/>
      <c r="LBL226" s="38"/>
      <c r="LBM226" s="39"/>
      <c r="LBN226" s="34"/>
      <c r="LBO226" s="34"/>
      <c r="LBP226" s="34"/>
      <c r="LBQ226" s="35"/>
      <c r="LBR226" s="35"/>
      <c r="LBS226" s="35"/>
      <c r="LBT226" s="35"/>
      <c r="LBU226" s="35"/>
      <c r="LBV226" s="34"/>
      <c r="LBW226" s="34"/>
      <c r="LBX226" s="36"/>
      <c r="LBY226" s="36"/>
      <c r="LBZ226" s="37"/>
      <c r="LCA226" s="37"/>
      <c r="LCB226" s="38"/>
      <c r="LCC226" s="38"/>
      <c r="LCD226" s="39"/>
      <c r="LCE226" s="34"/>
      <c r="LCF226" s="34"/>
      <c r="LCG226" s="34"/>
      <c r="LCH226" s="35"/>
      <c r="LCI226" s="35"/>
      <c r="LCJ226" s="35"/>
      <c r="LCK226" s="35"/>
      <c r="LCL226" s="35"/>
      <c r="LCM226" s="34"/>
      <c r="LCN226" s="34"/>
      <c r="LCO226" s="36"/>
      <c r="LCP226" s="36"/>
      <c r="LCQ226" s="37"/>
      <c r="LCR226" s="37"/>
      <c r="LCS226" s="38"/>
      <c r="LCT226" s="38"/>
      <c r="LCU226" s="39"/>
      <c r="LCV226" s="34"/>
      <c r="LCW226" s="34"/>
      <c r="LCX226" s="34"/>
      <c r="LCY226" s="35"/>
      <c r="LCZ226" s="35"/>
      <c r="LDA226" s="35"/>
      <c r="LDB226" s="35"/>
      <c r="LDC226" s="35"/>
      <c r="LDD226" s="34"/>
      <c r="LDE226" s="34"/>
      <c r="LDF226" s="36"/>
      <c r="LDG226" s="36"/>
      <c r="LDH226" s="37"/>
      <c r="LDI226" s="37"/>
      <c r="LDJ226" s="38"/>
      <c r="LDK226" s="38"/>
      <c r="LDL226" s="39"/>
      <c r="LDM226" s="34"/>
      <c r="LDN226" s="34"/>
      <c r="LDO226" s="34"/>
      <c r="LDP226" s="35"/>
      <c r="LDQ226" s="35"/>
      <c r="LDR226" s="35"/>
      <c r="LDS226" s="35"/>
      <c r="LDT226" s="35"/>
      <c r="LDU226" s="34"/>
      <c r="LDV226" s="34"/>
      <c r="LDW226" s="36"/>
      <c r="LDX226" s="36"/>
      <c r="LDY226" s="37"/>
      <c r="LDZ226" s="37"/>
      <c r="LEA226" s="38"/>
      <c r="LEB226" s="38"/>
      <c r="LEC226" s="39"/>
      <c r="LED226" s="34"/>
      <c r="LEE226" s="34"/>
      <c r="LEF226" s="34"/>
      <c r="LEG226" s="35"/>
      <c r="LEH226" s="35"/>
      <c r="LEI226" s="35"/>
      <c r="LEJ226" s="35"/>
      <c r="LEK226" s="35"/>
      <c r="LEL226" s="34"/>
      <c r="LEM226" s="34"/>
      <c r="LEN226" s="36"/>
      <c r="LEO226" s="36"/>
      <c r="LEP226" s="37"/>
      <c r="LEQ226" s="37"/>
      <c r="LER226" s="38"/>
      <c r="LES226" s="38"/>
      <c r="LET226" s="39"/>
      <c r="LEU226" s="34"/>
      <c r="LEV226" s="34"/>
      <c r="LEW226" s="34"/>
      <c r="LEX226" s="35"/>
      <c r="LEY226" s="35"/>
      <c r="LEZ226" s="35"/>
      <c r="LFA226" s="35"/>
      <c r="LFB226" s="35"/>
      <c r="LFC226" s="34"/>
      <c r="LFD226" s="34"/>
      <c r="LFE226" s="36"/>
      <c r="LFF226" s="36"/>
      <c r="LFG226" s="37"/>
      <c r="LFH226" s="37"/>
      <c r="LFI226" s="38"/>
      <c r="LFJ226" s="38"/>
      <c r="LFK226" s="39"/>
      <c r="LFL226" s="34"/>
      <c r="LFM226" s="34"/>
      <c r="LFN226" s="34"/>
      <c r="LFO226" s="35"/>
      <c r="LFP226" s="35"/>
      <c r="LFQ226" s="35"/>
      <c r="LFR226" s="35"/>
      <c r="LFS226" s="35"/>
      <c r="LFT226" s="34"/>
      <c r="LFU226" s="34"/>
      <c r="LFV226" s="36"/>
      <c r="LFW226" s="36"/>
      <c r="LFX226" s="37"/>
      <c r="LFY226" s="37"/>
      <c r="LFZ226" s="38"/>
      <c r="LGA226" s="38"/>
      <c r="LGB226" s="39"/>
      <c r="LGC226" s="34"/>
      <c r="LGD226" s="34"/>
      <c r="LGE226" s="34"/>
      <c r="LGF226" s="35"/>
      <c r="LGG226" s="35"/>
      <c r="LGH226" s="35"/>
      <c r="LGI226" s="35"/>
      <c r="LGJ226" s="35"/>
      <c r="LGK226" s="34"/>
      <c r="LGL226" s="34"/>
      <c r="LGM226" s="36"/>
      <c r="LGN226" s="36"/>
      <c r="LGO226" s="37"/>
      <c r="LGP226" s="37"/>
      <c r="LGQ226" s="38"/>
      <c r="LGR226" s="38"/>
      <c r="LGS226" s="39"/>
      <c r="LGT226" s="34"/>
      <c r="LGU226" s="34"/>
      <c r="LGV226" s="34"/>
      <c r="LGW226" s="35"/>
      <c r="LGX226" s="35"/>
      <c r="LGY226" s="35"/>
      <c r="LGZ226" s="35"/>
      <c r="LHA226" s="35"/>
      <c r="LHB226" s="34"/>
      <c r="LHC226" s="34"/>
      <c r="LHD226" s="36"/>
      <c r="LHE226" s="36"/>
      <c r="LHF226" s="37"/>
      <c r="LHG226" s="37"/>
      <c r="LHH226" s="38"/>
      <c r="LHI226" s="38"/>
      <c r="LHJ226" s="39"/>
      <c r="LHK226" s="34"/>
      <c r="LHL226" s="34"/>
      <c r="LHM226" s="34"/>
      <c r="LHN226" s="35"/>
      <c r="LHO226" s="35"/>
      <c r="LHP226" s="35"/>
      <c r="LHQ226" s="35"/>
      <c r="LHR226" s="35"/>
      <c r="LHS226" s="34"/>
      <c r="LHT226" s="34"/>
      <c r="LHU226" s="36"/>
      <c r="LHV226" s="36"/>
      <c r="LHW226" s="37"/>
      <c r="LHX226" s="37"/>
      <c r="LHY226" s="38"/>
      <c r="LHZ226" s="38"/>
      <c r="LIA226" s="39"/>
      <c r="LIB226" s="34"/>
      <c r="LIC226" s="34"/>
      <c r="LID226" s="34"/>
      <c r="LIE226" s="35"/>
      <c r="LIF226" s="35"/>
      <c r="LIG226" s="35"/>
      <c r="LIH226" s="35"/>
      <c r="LII226" s="35"/>
      <c r="LIJ226" s="34"/>
      <c r="LIK226" s="34"/>
      <c r="LIL226" s="36"/>
      <c r="LIM226" s="36"/>
      <c r="LIN226" s="37"/>
      <c r="LIO226" s="37"/>
      <c r="LIP226" s="38"/>
      <c r="LIQ226" s="38"/>
      <c r="LIR226" s="39"/>
      <c r="LIS226" s="34"/>
      <c r="LIT226" s="34"/>
      <c r="LIU226" s="34"/>
      <c r="LIV226" s="35"/>
      <c r="LIW226" s="35"/>
      <c r="LIX226" s="35"/>
      <c r="LIY226" s="35"/>
      <c r="LIZ226" s="35"/>
      <c r="LJA226" s="34"/>
      <c r="LJB226" s="34"/>
      <c r="LJC226" s="36"/>
      <c r="LJD226" s="36"/>
      <c r="LJE226" s="37"/>
      <c r="LJF226" s="37"/>
      <c r="LJG226" s="38"/>
      <c r="LJH226" s="38"/>
      <c r="LJI226" s="39"/>
      <c r="LJJ226" s="34"/>
      <c r="LJK226" s="34"/>
      <c r="LJL226" s="34"/>
      <c r="LJM226" s="35"/>
      <c r="LJN226" s="35"/>
      <c r="LJO226" s="35"/>
      <c r="LJP226" s="35"/>
      <c r="LJQ226" s="35"/>
      <c r="LJR226" s="34"/>
      <c r="LJS226" s="34"/>
      <c r="LJT226" s="36"/>
      <c r="LJU226" s="36"/>
      <c r="LJV226" s="37"/>
      <c r="LJW226" s="37"/>
      <c r="LJX226" s="38"/>
      <c r="LJY226" s="38"/>
      <c r="LJZ226" s="39"/>
      <c r="LKA226" s="34"/>
      <c r="LKB226" s="34"/>
      <c r="LKC226" s="34"/>
      <c r="LKD226" s="35"/>
      <c r="LKE226" s="35"/>
      <c r="LKF226" s="35"/>
      <c r="LKG226" s="35"/>
      <c r="LKH226" s="35"/>
      <c r="LKI226" s="34"/>
      <c r="LKJ226" s="34"/>
      <c r="LKK226" s="36"/>
      <c r="LKL226" s="36"/>
      <c r="LKM226" s="37"/>
      <c r="LKN226" s="37"/>
      <c r="LKO226" s="38"/>
      <c r="LKP226" s="38"/>
      <c r="LKQ226" s="39"/>
      <c r="LKR226" s="34"/>
      <c r="LKS226" s="34"/>
      <c r="LKT226" s="34"/>
      <c r="LKU226" s="35"/>
      <c r="LKV226" s="35"/>
      <c r="LKW226" s="35"/>
      <c r="LKX226" s="35"/>
      <c r="LKY226" s="35"/>
      <c r="LKZ226" s="34"/>
      <c r="LLA226" s="34"/>
      <c r="LLB226" s="36"/>
      <c r="LLC226" s="36"/>
      <c r="LLD226" s="37"/>
      <c r="LLE226" s="37"/>
      <c r="LLF226" s="38"/>
      <c r="LLG226" s="38"/>
      <c r="LLH226" s="39"/>
      <c r="LLI226" s="34"/>
      <c r="LLJ226" s="34"/>
      <c r="LLK226" s="34"/>
      <c r="LLL226" s="35"/>
      <c r="LLM226" s="35"/>
      <c r="LLN226" s="35"/>
      <c r="LLO226" s="35"/>
      <c r="LLP226" s="35"/>
      <c r="LLQ226" s="34"/>
      <c r="LLR226" s="34"/>
      <c r="LLS226" s="36"/>
      <c r="LLT226" s="36"/>
      <c r="LLU226" s="37"/>
      <c r="LLV226" s="37"/>
      <c r="LLW226" s="38"/>
      <c r="LLX226" s="38"/>
      <c r="LLY226" s="39"/>
      <c r="LLZ226" s="34"/>
      <c r="LMA226" s="34"/>
      <c r="LMB226" s="34"/>
      <c r="LMC226" s="35"/>
      <c r="LMD226" s="35"/>
      <c r="LME226" s="35"/>
      <c r="LMF226" s="35"/>
      <c r="LMG226" s="35"/>
      <c r="LMH226" s="34"/>
      <c r="LMI226" s="34"/>
      <c r="LMJ226" s="36"/>
      <c r="LMK226" s="36"/>
      <c r="LML226" s="37"/>
      <c r="LMM226" s="37"/>
      <c r="LMN226" s="38"/>
      <c r="LMO226" s="38"/>
      <c r="LMP226" s="39"/>
      <c r="LMQ226" s="34"/>
      <c r="LMR226" s="34"/>
      <c r="LMS226" s="34"/>
      <c r="LMT226" s="35"/>
      <c r="LMU226" s="35"/>
      <c r="LMV226" s="35"/>
      <c r="LMW226" s="35"/>
      <c r="LMX226" s="35"/>
      <c r="LMY226" s="34"/>
      <c r="LMZ226" s="34"/>
      <c r="LNA226" s="36"/>
      <c r="LNB226" s="36"/>
      <c r="LNC226" s="37"/>
      <c r="LND226" s="37"/>
      <c r="LNE226" s="38"/>
      <c r="LNF226" s="38"/>
      <c r="LNG226" s="39"/>
      <c r="LNH226" s="34"/>
      <c r="LNI226" s="34"/>
      <c r="LNJ226" s="34"/>
      <c r="LNK226" s="35"/>
      <c r="LNL226" s="35"/>
      <c r="LNM226" s="35"/>
      <c r="LNN226" s="35"/>
      <c r="LNO226" s="35"/>
      <c r="LNP226" s="34"/>
      <c r="LNQ226" s="34"/>
      <c r="LNR226" s="36"/>
      <c r="LNS226" s="36"/>
      <c r="LNT226" s="37"/>
      <c r="LNU226" s="37"/>
      <c r="LNV226" s="38"/>
      <c r="LNW226" s="38"/>
      <c r="LNX226" s="39"/>
      <c r="LNY226" s="34"/>
      <c r="LNZ226" s="34"/>
      <c r="LOA226" s="34"/>
      <c r="LOB226" s="35"/>
      <c r="LOC226" s="35"/>
      <c r="LOD226" s="35"/>
      <c r="LOE226" s="35"/>
      <c r="LOF226" s="35"/>
      <c r="LOG226" s="34"/>
      <c r="LOH226" s="34"/>
      <c r="LOI226" s="36"/>
      <c r="LOJ226" s="36"/>
      <c r="LOK226" s="37"/>
      <c r="LOL226" s="37"/>
      <c r="LOM226" s="38"/>
      <c r="LON226" s="38"/>
      <c r="LOO226" s="39"/>
      <c r="LOP226" s="34"/>
      <c r="LOQ226" s="34"/>
      <c r="LOR226" s="34"/>
      <c r="LOS226" s="35"/>
      <c r="LOT226" s="35"/>
      <c r="LOU226" s="35"/>
      <c r="LOV226" s="35"/>
      <c r="LOW226" s="35"/>
      <c r="LOX226" s="34"/>
      <c r="LOY226" s="34"/>
      <c r="LOZ226" s="36"/>
      <c r="LPA226" s="36"/>
      <c r="LPB226" s="37"/>
      <c r="LPC226" s="37"/>
      <c r="LPD226" s="38"/>
      <c r="LPE226" s="38"/>
      <c r="LPF226" s="39"/>
      <c r="LPG226" s="34"/>
      <c r="LPH226" s="34"/>
      <c r="LPI226" s="34"/>
      <c r="LPJ226" s="35"/>
      <c r="LPK226" s="35"/>
      <c r="LPL226" s="35"/>
      <c r="LPM226" s="35"/>
      <c r="LPN226" s="35"/>
      <c r="LPO226" s="34"/>
      <c r="LPP226" s="34"/>
      <c r="LPQ226" s="36"/>
      <c r="LPR226" s="36"/>
      <c r="LPS226" s="37"/>
      <c r="LPT226" s="37"/>
      <c r="LPU226" s="38"/>
      <c r="LPV226" s="38"/>
      <c r="LPW226" s="39"/>
      <c r="LPX226" s="34"/>
      <c r="LPY226" s="34"/>
      <c r="LPZ226" s="34"/>
      <c r="LQA226" s="35"/>
      <c r="LQB226" s="35"/>
      <c r="LQC226" s="35"/>
      <c r="LQD226" s="35"/>
      <c r="LQE226" s="35"/>
      <c r="LQF226" s="34"/>
      <c r="LQG226" s="34"/>
      <c r="LQH226" s="36"/>
      <c r="LQI226" s="36"/>
      <c r="LQJ226" s="37"/>
      <c r="LQK226" s="37"/>
      <c r="LQL226" s="38"/>
      <c r="LQM226" s="38"/>
      <c r="LQN226" s="39"/>
      <c r="LQO226" s="34"/>
      <c r="LQP226" s="34"/>
      <c r="LQQ226" s="34"/>
      <c r="LQR226" s="35"/>
      <c r="LQS226" s="35"/>
      <c r="LQT226" s="35"/>
      <c r="LQU226" s="35"/>
      <c r="LQV226" s="35"/>
      <c r="LQW226" s="34"/>
      <c r="LQX226" s="34"/>
      <c r="LQY226" s="36"/>
      <c r="LQZ226" s="36"/>
      <c r="LRA226" s="37"/>
      <c r="LRB226" s="37"/>
      <c r="LRC226" s="38"/>
      <c r="LRD226" s="38"/>
      <c r="LRE226" s="39"/>
      <c r="LRF226" s="34"/>
      <c r="LRG226" s="34"/>
      <c r="LRH226" s="34"/>
      <c r="LRI226" s="35"/>
      <c r="LRJ226" s="35"/>
      <c r="LRK226" s="35"/>
      <c r="LRL226" s="35"/>
      <c r="LRM226" s="35"/>
      <c r="LRN226" s="34"/>
      <c r="LRO226" s="34"/>
      <c r="LRP226" s="36"/>
      <c r="LRQ226" s="36"/>
      <c r="LRR226" s="37"/>
      <c r="LRS226" s="37"/>
      <c r="LRT226" s="38"/>
      <c r="LRU226" s="38"/>
      <c r="LRV226" s="39"/>
      <c r="LRW226" s="34"/>
      <c r="LRX226" s="34"/>
      <c r="LRY226" s="34"/>
      <c r="LRZ226" s="35"/>
      <c r="LSA226" s="35"/>
      <c r="LSB226" s="35"/>
      <c r="LSC226" s="35"/>
      <c r="LSD226" s="35"/>
      <c r="LSE226" s="34"/>
      <c r="LSF226" s="34"/>
      <c r="LSG226" s="36"/>
      <c r="LSH226" s="36"/>
      <c r="LSI226" s="37"/>
      <c r="LSJ226" s="37"/>
      <c r="LSK226" s="38"/>
      <c r="LSL226" s="38"/>
      <c r="LSM226" s="39"/>
      <c r="LSN226" s="34"/>
      <c r="LSO226" s="34"/>
      <c r="LSP226" s="34"/>
      <c r="LSQ226" s="35"/>
      <c r="LSR226" s="35"/>
      <c r="LSS226" s="35"/>
      <c r="LST226" s="35"/>
      <c r="LSU226" s="35"/>
      <c r="LSV226" s="34"/>
      <c r="LSW226" s="34"/>
      <c r="LSX226" s="36"/>
      <c r="LSY226" s="36"/>
      <c r="LSZ226" s="37"/>
      <c r="LTA226" s="37"/>
      <c r="LTB226" s="38"/>
      <c r="LTC226" s="38"/>
      <c r="LTD226" s="39"/>
      <c r="LTE226" s="34"/>
      <c r="LTF226" s="34"/>
      <c r="LTG226" s="34"/>
      <c r="LTH226" s="35"/>
      <c r="LTI226" s="35"/>
      <c r="LTJ226" s="35"/>
      <c r="LTK226" s="35"/>
      <c r="LTL226" s="35"/>
      <c r="LTM226" s="34"/>
      <c r="LTN226" s="34"/>
      <c r="LTO226" s="36"/>
      <c r="LTP226" s="36"/>
      <c r="LTQ226" s="37"/>
      <c r="LTR226" s="37"/>
      <c r="LTS226" s="38"/>
      <c r="LTT226" s="38"/>
      <c r="LTU226" s="39"/>
      <c r="LTV226" s="34"/>
      <c r="LTW226" s="34"/>
      <c r="LTX226" s="34"/>
      <c r="LTY226" s="35"/>
      <c r="LTZ226" s="35"/>
      <c r="LUA226" s="35"/>
      <c r="LUB226" s="35"/>
      <c r="LUC226" s="35"/>
      <c r="LUD226" s="34"/>
      <c r="LUE226" s="34"/>
      <c r="LUF226" s="36"/>
      <c r="LUG226" s="36"/>
      <c r="LUH226" s="37"/>
      <c r="LUI226" s="37"/>
      <c r="LUJ226" s="38"/>
      <c r="LUK226" s="38"/>
      <c r="LUL226" s="39"/>
      <c r="LUM226" s="34"/>
      <c r="LUN226" s="34"/>
      <c r="LUO226" s="34"/>
      <c r="LUP226" s="35"/>
      <c r="LUQ226" s="35"/>
      <c r="LUR226" s="35"/>
      <c r="LUS226" s="35"/>
      <c r="LUT226" s="35"/>
      <c r="LUU226" s="34"/>
      <c r="LUV226" s="34"/>
      <c r="LUW226" s="36"/>
      <c r="LUX226" s="36"/>
      <c r="LUY226" s="37"/>
      <c r="LUZ226" s="37"/>
      <c r="LVA226" s="38"/>
      <c r="LVB226" s="38"/>
      <c r="LVC226" s="39"/>
      <c r="LVD226" s="34"/>
      <c r="LVE226" s="34"/>
      <c r="LVF226" s="34"/>
      <c r="LVG226" s="35"/>
      <c r="LVH226" s="35"/>
      <c r="LVI226" s="35"/>
      <c r="LVJ226" s="35"/>
      <c r="LVK226" s="35"/>
      <c r="LVL226" s="34"/>
      <c r="LVM226" s="34"/>
      <c r="LVN226" s="36"/>
      <c r="LVO226" s="36"/>
      <c r="LVP226" s="37"/>
      <c r="LVQ226" s="37"/>
      <c r="LVR226" s="38"/>
      <c r="LVS226" s="38"/>
      <c r="LVT226" s="39"/>
      <c r="LVU226" s="34"/>
      <c r="LVV226" s="34"/>
      <c r="LVW226" s="34"/>
      <c r="LVX226" s="35"/>
      <c r="LVY226" s="35"/>
      <c r="LVZ226" s="35"/>
      <c r="LWA226" s="35"/>
      <c r="LWB226" s="35"/>
      <c r="LWC226" s="34"/>
      <c r="LWD226" s="34"/>
      <c r="LWE226" s="36"/>
      <c r="LWF226" s="36"/>
      <c r="LWG226" s="37"/>
      <c r="LWH226" s="37"/>
      <c r="LWI226" s="38"/>
      <c r="LWJ226" s="38"/>
      <c r="LWK226" s="39"/>
      <c r="LWL226" s="34"/>
      <c r="LWM226" s="34"/>
      <c r="LWN226" s="34"/>
      <c r="LWO226" s="35"/>
      <c r="LWP226" s="35"/>
      <c r="LWQ226" s="35"/>
      <c r="LWR226" s="35"/>
      <c r="LWS226" s="35"/>
      <c r="LWT226" s="34"/>
      <c r="LWU226" s="34"/>
      <c r="LWV226" s="36"/>
      <c r="LWW226" s="36"/>
      <c r="LWX226" s="37"/>
      <c r="LWY226" s="37"/>
      <c r="LWZ226" s="38"/>
      <c r="LXA226" s="38"/>
      <c r="LXB226" s="39"/>
      <c r="LXC226" s="34"/>
      <c r="LXD226" s="34"/>
      <c r="LXE226" s="34"/>
      <c r="LXF226" s="35"/>
      <c r="LXG226" s="35"/>
      <c r="LXH226" s="35"/>
      <c r="LXI226" s="35"/>
      <c r="LXJ226" s="35"/>
      <c r="LXK226" s="34"/>
      <c r="LXL226" s="34"/>
      <c r="LXM226" s="36"/>
      <c r="LXN226" s="36"/>
      <c r="LXO226" s="37"/>
      <c r="LXP226" s="37"/>
      <c r="LXQ226" s="38"/>
      <c r="LXR226" s="38"/>
      <c r="LXS226" s="39"/>
      <c r="LXT226" s="34"/>
      <c r="LXU226" s="34"/>
      <c r="LXV226" s="34"/>
      <c r="LXW226" s="35"/>
      <c r="LXX226" s="35"/>
      <c r="LXY226" s="35"/>
      <c r="LXZ226" s="35"/>
      <c r="LYA226" s="35"/>
      <c r="LYB226" s="34"/>
      <c r="LYC226" s="34"/>
      <c r="LYD226" s="36"/>
      <c r="LYE226" s="36"/>
      <c r="LYF226" s="37"/>
      <c r="LYG226" s="37"/>
      <c r="LYH226" s="38"/>
      <c r="LYI226" s="38"/>
      <c r="LYJ226" s="39"/>
      <c r="LYK226" s="34"/>
      <c r="LYL226" s="34"/>
      <c r="LYM226" s="34"/>
      <c r="LYN226" s="35"/>
      <c r="LYO226" s="35"/>
      <c r="LYP226" s="35"/>
      <c r="LYQ226" s="35"/>
      <c r="LYR226" s="35"/>
      <c r="LYS226" s="34"/>
      <c r="LYT226" s="34"/>
      <c r="LYU226" s="36"/>
      <c r="LYV226" s="36"/>
      <c r="LYW226" s="37"/>
      <c r="LYX226" s="37"/>
      <c r="LYY226" s="38"/>
      <c r="LYZ226" s="38"/>
      <c r="LZA226" s="39"/>
      <c r="LZB226" s="34"/>
      <c r="LZC226" s="34"/>
      <c r="LZD226" s="34"/>
      <c r="LZE226" s="35"/>
      <c r="LZF226" s="35"/>
      <c r="LZG226" s="35"/>
      <c r="LZH226" s="35"/>
      <c r="LZI226" s="35"/>
      <c r="LZJ226" s="34"/>
      <c r="LZK226" s="34"/>
      <c r="LZL226" s="36"/>
      <c r="LZM226" s="36"/>
      <c r="LZN226" s="37"/>
      <c r="LZO226" s="37"/>
      <c r="LZP226" s="38"/>
      <c r="LZQ226" s="38"/>
      <c r="LZR226" s="39"/>
      <c r="LZS226" s="34"/>
      <c r="LZT226" s="34"/>
      <c r="LZU226" s="34"/>
      <c r="LZV226" s="35"/>
      <c r="LZW226" s="35"/>
      <c r="LZX226" s="35"/>
      <c r="LZY226" s="35"/>
      <c r="LZZ226" s="35"/>
      <c r="MAA226" s="34"/>
      <c r="MAB226" s="34"/>
      <c r="MAC226" s="36"/>
      <c r="MAD226" s="36"/>
      <c r="MAE226" s="37"/>
      <c r="MAF226" s="37"/>
      <c r="MAG226" s="38"/>
      <c r="MAH226" s="38"/>
      <c r="MAI226" s="39"/>
      <c r="MAJ226" s="34"/>
      <c r="MAK226" s="34"/>
      <c r="MAL226" s="34"/>
      <c r="MAM226" s="35"/>
      <c r="MAN226" s="35"/>
      <c r="MAO226" s="35"/>
      <c r="MAP226" s="35"/>
      <c r="MAQ226" s="35"/>
      <c r="MAR226" s="34"/>
      <c r="MAS226" s="34"/>
      <c r="MAT226" s="36"/>
      <c r="MAU226" s="36"/>
      <c r="MAV226" s="37"/>
      <c r="MAW226" s="37"/>
      <c r="MAX226" s="38"/>
      <c r="MAY226" s="38"/>
      <c r="MAZ226" s="39"/>
      <c r="MBA226" s="34"/>
      <c r="MBB226" s="34"/>
      <c r="MBC226" s="34"/>
      <c r="MBD226" s="35"/>
      <c r="MBE226" s="35"/>
      <c r="MBF226" s="35"/>
      <c r="MBG226" s="35"/>
      <c r="MBH226" s="35"/>
      <c r="MBI226" s="34"/>
      <c r="MBJ226" s="34"/>
      <c r="MBK226" s="36"/>
      <c r="MBL226" s="36"/>
      <c r="MBM226" s="37"/>
      <c r="MBN226" s="37"/>
      <c r="MBO226" s="38"/>
      <c r="MBP226" s="38"/>
      <c r="MBQ226" s="39"/>
      <c r="MBR226" s="34"/>
      <c r="MBS226" s="34"/>
      <c r="MBT226" s="34"/>
      <c r="MBU226" s="35"/>
      <c r="MBV226" s="35"/>
      <c r="MBW226" s="35"/>
      <c r="MBX226" s="35"/>
      <c r="MBY226" s="35"/>
      <c r="MBZ226" s="34"/>
      <c r="MCA226" s="34"/>
      <c r="MCB226" s="36"/>
      <c r="MCC226" s="36"/>
      <c r="MCD226" s="37"/>
      <c r="MCE226" s="37"/>
      <c r="MCF226" s="38"/>
      <c r="MCG226" s="38"/>
      <c r="MCH226" s="39"/>
      <c r="MCI226" s="34"/>
      <c r="MCJ226" s="34"/>
      <c r="MCK226" s="34"/>
      <c r="MCL226" s="35"/>
      <c r="MCM226" s="35"/>
      <c r="MCN226" s="35"/>
      <c r="MCO226" s="35"/>
      <c r="MCP226" s="35"/>
      <c r="MCQ226" s="34"/>
      <c r="MCR226" s="34"/>
      <c r="MCS226" s="36"/>
      <c r="MCT226" s="36"/>
      <c r="MCU226" s="37"/>
      <c r="MCV226" s="37"/>
      <c r="MCW226" s="38"/>
      <c r="MCX226" s="38"/>
      <c r="MCY226" s="39"/>
      <c r="MCZ226" s="34"/>
      <c r="MDA226" s="34"/>
      <c r="MDB226" s="34"/>
      <c r="MDC226" s="35"/>
      <c r="MDD226" s="35"/>
      <c r="MDE226" s="35"/>
      <c r="MDF226" s="35"/>
      <c r="MDG226" s="35"/>
      <c r="MDH226" s="34"/>
      <c r="MDI226" s="34"/>
      <c r="MDJ226" s="36"/>
      <c r="MDK226" s="36"/>
      <c r="MDL226" s="37"/>
      <c r="MDM226" s="37"/>
      <c r="MDN226" s="38"/>
      <c r="MDO226" s="38"/>
      <c r="MDP226" s="39"/>
      <c r="MDQ226" s="34"/>
      <c r="MDR226" s="34"/>
      <c r="MDS226" s="34"/>
      <c r="MDT226" s="35"/>
      <c r="MDU226" s="35"/>
      <c r="MDV226" s="35"/>
      <c r="MDW226" s="35"/>
      <c r="MDX226" s="35"/>
      <c r="MDY226" s="34"/>
      <c r="MDZ226" s="34"/>
      <c r="MEA226" s="36"/>
      <c r="MEB226" s="36"/>
      <c r="MEC226" s="37"/>
      <c r="MED226" s="37"/>
      <c r="MEE226" s="38"/>
      <c r="MEF226" s="38"/>
      <c r="MEG226" s="39"/>
      <c r="MEH226" s="34"/>
      <c r="MEI226" s="34"/>
      <c r="MEJ226" s="34"/>
      <c r="MEK226" s="35"/>
      <c r="MEL226" s="35"/>
      <c r="MEM226" s="35"/>
      <c r="MEN226" s="35"/>
      <c r="MEO226" s="35"/>
      <c r="MEP226" s="34"/>
      <c r="MEQ226" s="34"/>
      <c r="MER226" s="36"/>
      <c r="MES226" s="36"/>
      <c r="MET226" s="37"/>
      <c r="MEU226" s="37"/>
      <c r="MEV226" s="38"/>
      <c r="MEW226" s="38"/>
      <c r="MEX226" s="39"/>
      <c r="MEY226" s="34"/>
      <c r="MEZ226" s="34"/>
      <c r="MFA226" s="34"/>
      <c r="MFB226" s="35"/>
      <c r="MFC226" s="35"/>
      <c r="MFD226" s="35"/>
      <c r="MFE226" s="35"/>
      <c r="MFF226" s="35"/>
      <c r="MFG226" s="34"/>
      <c r="MFH226" s="34"/>
      <c r="MFI226" s="36"/>
      <c r="MFJ226" s="36"/>
      <c r="MFK226" s="37"/>
      <c r="MFL226" s="37"/>
      <c r="MFM226" s="38"/>
      <c r="MFN226" s="38"/>
      <c r="MFO226" s="39"/>
      <c r="MFP226" s="34"/>
      <c r="MFQ226" s="34"/>
      <c r="MFR226" s="34"/>
      <c r="MFS226" s="35"/>
      <c r="MFT226" s="35"/>
      <c r="MFU226" s="35"/>
      <c r="MFV226" s="35"/>
      <c r="MFW226" s="35"/>
      <c r="MFX226" s="34"/>
      <c r="MFY226" s="34"/>
      <c r="MFZ226" s="36"/>
      <c r="MGA226" s="36"/>
      <c r="MGB226" s="37"/>
      <c r="MGC226" s="37"/>
      <c r="MGD226" s="38"/>
      <c r="MGE226" s="38"/>
      <c r="MGF226" s="39"/>
      <c r="MGG226" s="34"/>
      <c r="MGH226" s="34"/>
      <c r="MGI226" s="34"/>
      <c r="MGJ226" s="35"/>
      <c r="MGK226" s="35"/>
      <c r="MGL226" s="35"/>
      <c r="MGM226" s="35"/>
      <c r="MGN226" s="35"/>
      <c r="MGO226" s="34"/>
      <c r="MGP226" s="34"/>
      <c r="MGQ226" s="36"/>
      <c r="MGR226" s="36"/>
      <c r="MGS226" s="37"/>
      <c r="MGT226" s="37"/>
      <c r="MGU226" s="38"/>
      <c r="MGV226" s="38"/>
      <c r="MGW226" s="39"/>
      <c r="MGX226" s="34"/>
      <c r="MGY226" s="34"/>
      <c r="MGZ226" s="34"/>
      <c r="MHA226" s="35"/>
      <c r="MHB226" s="35"/>
      <c r="MHC226" s="35"/>
      <c r="MHD226" s="35"/>
      <c r="MHE226" s="35"/>
      <c r="MHF226" s="34"/>
      <c r="MHG226" s="34"/>
      <c r="MHH226" s="36"/>
      <c r="MHI226" s="36"/>
      <c r="MHJ226" s="37"/>
      <c r="MHK226" s="37"/>
      <c r="MHL226" s="38"/>
      <c r="MHM226" s="38"/>
      <c r="MHN226" s="39"/>
      <c r="MHO226" s="34"/>
      <c r="MHP226" s="34"/>
      <c r="MHQ226" s="34"/>
      <c r="MHR226" s="35"/>
      <c r="MHS226" s="35"/>
      <c r="MHT226" s="35"/>
      <c r="MHU226" s="35"/>
      <c r="MHV226" s="35"/>
      <c r="MHW226" s="34"/>
      <c r="MHX226" s="34"/>
      <c r="MHY226" s="36"/>
      <c r="MHZ226" s="36"/>
      <c r="MIA226" s="37"/>
      <c r="MIB226" s="37"/>
      <c r="MIC226" s="38"/>
      <c r="MID226" s="38"/>
      <c r="MIE226" s="39"/>
      <c r="MIF226" s="34"/>
      <c r="MIG226" s="34"/>
      <c r="MIH226" s="34"/>
      <c r="MII226" s="35"/>
      <c r="MIJ226" s="35"/>
      <c r="MIK226" s="35"/>
      <c r="MIL226" s="35"/>
      <c r="MIM226" s="35"/>
      <c r="MIN226" s="34"/>
      <c r="MIO226" s="34"/>
      <c r="MIP226" s="36"/>
      <c r="MIQ226" s="36"/>
      <c r="MIR226" s="37"/>
      <c r="MIS226" s="37"/>
      <c r="MIT226" s="38"/>
      <c r="MIU226" s="38"/>
      <c r="MIV226" s="39"/>
      <c r="MIW226" s="34"/>
      <c r="MIX226" s="34"/>
      <c r="MIY226" s="34"/>
      <c r="MIZ226" s="35"/>
      <c r="MJA226" s="35"/>
      <c r="MJB226" s="35"/>
      <c r="MJC226" s="35"/>
      <c r="MJD226" s="35"/>
      <c r="MJE226" s="34"/>
      <c r="MJF226" s="34"/>
      <c r="MJG226" s="36"/>
      <c r="MJH226" s="36"/>
      <c r="MJI226" s="37"/>
      <c r="MJJ226" s="37"/>
      <c r="MJK226" s="38"/>
      <c r="MJL226" s="38"/>
      <c r="MJM226" s="39"/>
      <c r="MJN226" s="34"/>
      <c r="MJO226" s="34"/>
      <c r="MJP226" s="34"/>
      <c r="MJQ226" s="35"/>
      <c r="MJR226" s="35"/>
      <c r="MJS226" s="35"/>
      <c r="MJT226" s="35"/>
      <c r="MJU226" s="35"/>
      <c r="MJV226" s="34"/>
      <c r="MJW226" s="34"/>
      <c r="MJX226" s="36"/>
      <c r="MJY226" s="36"/>
      <c r="MJZ226" s="37"/>
      <c r="MKA226" s="37"/>
      <c r="MKB226" s="38"/>
      <c r="MKC226" s="38"/>
      <c r="MKD226" s="39"/>
      <c r="MKE226" s="34"/>
      <c r="MKF226" s="34"/>
      <c r="MKG226" s="34"/>
      <c r="MKH226" s="35"/>
      <c r="MKI226" s="35"/>
      <c r="MKJ226" s="35"/>
      <c r="MKK226" s="35"/>
      <c r="MKL226" s="35"/>
      <c r="MKM226" s="34"/>
      <c r="MKN226" s="34"/>
      <c r="MKO226" s="36"/>
      <c r="MKP226" s="36"/>
      <c r="MKQ226" s="37"/>
      <c r="MKR226" s="37"/>
      <c r="MKS226" s="38"/>
      <c r="MKT226" s="38"/>
      <c r="MKU226" s="39"/>
      <c r="MKV226" s="34"/>
      <c r="MKW226" s="34"/>
      <c r="MKX226" s="34"/>
      <c r="MKY226" s="35"/>
      <c r="MKZ226" s="35"/>
      <c r="MLA226" s="35"/>
      <c r="MLB226" s="35"/>
      <c r="MLC226" s="35"/>
      <c r="MLD226" s="34"/>
      <c r="MLE226" s="34"/>
      <c r="MLF226" s="36"/>
      <c r="MLG226" s="36"/>
      <c r="MLH226" s="37"/>
      <c r="MLI226" s="37"/>
      <c r="MLJ226" s="38"/>
      <c r="MLK226" s="38"/>
      <c r="MLL226" s="39"/>
      <c r="MLM226" s="34"/>
      <c r="MLN226" s="34"/>
      <c r="MLO226" s="34"/>
      <c r="MLP226" s="35"/>
      <c r="MLQ226" s="35"/>
      <c r="MLR226" s="35"/>
      <c r="MLS226" s="35"/>
      <c r="MLT226" s="35"/>
      <c r="MLU226" s="34"/>
      <c r="MLV226" s="34"/>
      <c r="MLW226" s="36"/>
      <c r="MLX226" s="36"/>
      <c r="MLY226" s="37"/>
      <c r="MLZ226" s="37"/>
      <c r="MMA226" s="38"/>
      <c r="MMB226" s="38"/>
      <c r="MMC226" s="39"/>
      <c r="MMD226" s="34"/>
      <c r="MME226" s="34"/>
      <c r="MMF226" s="34"/>
      <c r="MMG226" s="35"/>
      <c r="MMH226" s="35"/>
      <c r="MMI226" s="35"/>
      <c r="MMJ226" s="35"/>
      <c r="MMK226" s="35"/>
      <c r="MML226" s="34"/>
      <c r="MMM226" s="34"/>
      <c r="MMN226" s="36"/>
      <c r="MMO226" s="36"/>
      <c r="MMP226" s="37"/>
      <c r="MMQ226" s="37"/>
      <c r="MMR226" s="38"/>
      <c r="MMS226" s="38"/>
      <c r="MMT226" s="39"/>
      <c r="MMU226" s="34"/>
      <c r="MMV226" s="34"/>
      <c r="MMW226" s="34"/>
      <c r="MMX226" s="35"/>
      <c r="MMY226" s="35"/>
      <c r="MMZ226" s="35"/>
      <c r="MNA226" s="35"/>
      <c r="MNB226" s="35"/>
      <c r="MNC226" s="34"/>
      <c r="MND226" s="34"/>
      <c r="MNE226" s="36"/>
      <c r="MNF226" s="36"/>
      <c r="MNG226" s="37"/>
      <c r="MNH226" s="37"/>
      <c r="MNI226" s="38"/>
      <c r="MNJ226" s="38"/>
      <c r="MNK226" s="39"/>
      <c r="MNL226" s="34"/>
      <c r="MNM226" s="34"/>
      <c r="MNN226" s="34"/>
      <c r="MNO226" s="35"/>
      <c r="MNP226" s="35"/>
      <c r="MNQ226" s="35"/>
      <c r="MNR226" s="35"/>
      <c r="MNS226" s="35"/>
      <c r="MNT226" s="34"/>
      <c r="MNU226" s="34"/>
      <c r="MNV226" s="36"/>
      <c r="MNW226" s="36"/>
      <c r="MNX226" s="37"/>
      <c r="MNY226" s="37"/>
      <c r="MNZ226" s="38"/>
      <c r="MOA226" s="38"/>
      <c r="MOB226" s="39"/>
      <c r="MOC226" s="34"/>
      <c r="MOD226" s="34"/>
      <c r="MOE226" s="34"/>
      <c r="MOF226" s="35"/>
      <c r="MOG226" s="35"/>
      <c r="MOH226" s="35"/>
      <c r="MOI226" s="35"/>
      <c r="MOJ226" s="35"/>
      <c r="MOK226" s="34"/>
      <c r="MOL226" s="34"/>
      <c r="MOM226" s="36"/>
      <c r="MON226" s="36"/>
      <c r="MOO226" s="37"/>
      <c r="MOP226" s="37"/>
      <c r="MOQ226" s="38"/>
      <c r="MOR226" s="38"/>
      <c r="MOS226" s="39"/>
      <c r="MOT226" s="34"/>
      <c r="MOU226" s="34"/>
      <c r="MOV226" s="34"/>
      <c r="MOW226" s="35"/>
      <c r="MOX226" s="35"/>
      <c r="MOY226" s="35"/>
      <c r="MOZ226" s="35"/>
      <c r="MPA226" s="35"/>
      <c r="MPB226" s="34"/>
      <c r="MPC226" s="34"/>
      <c r="MPD226" s="36"/>
      <c r="MPE226" s="36"/>
      <c r="MPF226" s="37"/>
      <c r="MPG226" s="37"/>
      <c r="MPH226" s="38"/>
      <c r="MPI226" s="38"/>
      <c r="MPJ226" s="39"/>
      <c r="MPK226" s="34"/>
      <c r="MPL226" s="34"/>
      <c r="MPM226" s="34"/>
      <c r="MPN226" s="35"/>
      <c r="MPO226" s="35"/>
      <c r="MPP226" s="35"/>
      <c r="MPQ226" s="35"/>
      <c r="MPR226" s="35"/>
      <c r="MPS226" s="34"/>
      <c r="MPT226" s="34"/>
      <c r="MPU226" s="36"/>
      <c r="MPV226" s="36"/>
      <c r="MPW226" s="37"/>
      <c r="MPX226" s="37"/>
      <c r="MPY226" s="38"/>
      <c r="MPZ226" s="38"/>
      <c r="MQA226" s="39"/>
      <c r="MQB226" s="34"/>
      <c r="MQC226" s="34"/>
      <c r="MQD226" s="34"/>
      <c r="MQE226" s="35"/>
      <c r="MQF226" s="35"/>
      <c r="MQG226" s="35"/>
      <c r="MQH226" s="35"/>
      <c r="MQI226" s="35"/>
      <c r="MQJ226" s="34"/>
      <c r="MQK226" s="34"/>
      <c r="MQL226" s="36"/>
      <c r="MQM226" s="36"/>
      <c r="MQN226" s="37"/>
      <c r="MQO226" s="37"/>
      <c r="MQP226" s="38"/>
      <c r="MQQ226" s="38"/>
      <c r="MQR226" s="39"/>
      <c r="MQS226" s="34"/>
      <c r="MQT226" s="34"/>
      <c r="MQU226" s="34"/>
      <c r="MQV226" s="35"/>
      <c r="MQW226" s="35"/>
      <c r="MQX226" s="35"/>
      <c r="MQY226" s="35"/>
      <c r="MQZ226" s="35"/>
      <c r="MRA226" s="34"/>
      <c r="MRB226" s="34"/>
      <c r="MRC226" s="36"/>
      <c r="MRD226" s="36"/>
      <c r="MRE226" s="37"/>
      <c r="MRF226" s="37"/>
      <c r="MRG226" s="38"/>
      <c r="MRH226" s="38"/>
      <c r="MRI226" s="39"/>
      <c r="MRJ226" s="34"/>
      <c r="MRK226" s="34"/>
      <c r="MRL226" s="34"/>
      <c r="MRM226" s="35"/>
      <c r="MRN226" s="35"/>
      <c r="MRO226" s="35"/>
      <c r="MRP226" s="35"/>
      <c r="MRQ226" s="35"/>
      <c r="MRR226" s="34"/>
      <c r="MRS226" s="34"/>
      <c r="MRT226" s="36"/>
      <c r="MRU226" s="36"/>
      <c r="MRV226" s="37"/>
      <c r="MRW226" s="37"/>
      <c r="MRX226" s="38"/>
      <c r="MRY226" s="38"/>
      <c r="MRZ226" s="39"/>
      <c r="MSA226" s="34"/>
      <c r="MSB226" s="34"/>
      <c r="MSC226" s="34"/>
      <c r="MSD226" s="35"/>
      <c r="MSE226" s="35"/>
      <c r="MSF226" s="35"/>
      <c r="MSG226" s="35"/>
      <c r="MSH226" s="35"/>
      <c r="MSI226" s="34"/>
      <c r="MSJ226" s="34"/>
      <c r="MSK226" s="36"/>
      <c r="MSL226" s="36"/>
      <c r="MSM226" s="37"/>
      <c r="MSN226" s="37"/>
      <c r="MSO226" s="38"/>
      <c r="MSP226" s="38"/>
      <c r="MSQ226" s="39"/>
      <c r="MSR226" s="34"/>
      <c r="MSS226" s="34"/>
      <c r="MST226" s="34"/>
      <c r="MSU226" s="35"/>
      <c r="MSV226" s="35"/>
      <c r="MSW226" s="35"/>
      <c r="MSX226" s="35"/>
      <c r="MSY226" s="35"/>
      <c r="MSZ226" s="34"/>
      <c r="MTA226" s="34"/>
      <c r="MTB226" s="36"/>
      <c r="MTC226" s="36"/>
      <c r="MTD226" s="37"/>
      <c r="MTE226" s="37"/>
      <c r="MTF226" s="38"/>
      <c r="MTG226" s="38"/>
      <c r="MTH226" s="39"/>
      <c r="MTI226" s="34"/>
      <c r="MTJ226" s="34"/>
      <c r="MTK226" s="34"/>
      <c r="MTL226" s="35"/>
      <c r="MTM226" s="35"/>
      <c r="MTN226" s="35"/>
      <c r="MTO226" s="35"/>
      <c r="MTP226" s="35"/>
      <c r="MTQ226" s="34"/>
      <c r="MTR226" s="34"/>
      <c r="MTS226" s="36"/>
      <c r="MTT226" s="36"/>
      <c r="MTU226" s="37"/>
      <c r="MTV226" s="37"/>
      <c r="MTW226" s="38"/>
      <c r="MTX226" s="38"/>
      <c r="MTY226" s="39"/>
      <c r="MTZ226" s="34"/>
      <c r="MUA226" s="34"/>
      <c r="MUB226" s="34"/>
      <c r="MUC226" s="35"/>
      <c r="MUD226" s="35"/>
      <c r="MUE226" s="35"/>
      <c r="MUF226" s="35"/>
      <c r="MUG226" s="35"/>
      <c r="MUH226" s="34"/>
      <c r="MUI226" s="34"/>
      <c r="MUJ226" s="36"/>
      <c r="MUK226" s="36"/>
      <c r="MUL226" s="37"/>
      <c r="MUM226" s="37"/>
      <c r="MUN226" s="38"/>
      <c r="MUO226" s="38"/>
      <c r="MUP226" s="39"/>
      <c r="MUQ226" s="34"/>
      <c r="MUR226" s="34"/>
      <c r="MUS226" s="34"/>
      <c r="MUT226" s="35"/>
      <c r="MUU226" s="35"/>
      <c r="MUV226" s="35"/>
      <c r="MUW226" s="35"/>
      <c r="MUX226" s="35"/>
      <c r="MUY226" s="34"/>
      <c r="MUZ226" s="34"/>
      <c r="MVA226" s="36"/>
      <c r="MVB226" s="36"/>
      <c r="MVC226" s="37"/>
      <c r="MVD226" s="37"/>
      <c r="MVE226" s="38"/>
      <c r="MVF226" s="38"/>
      <c r="MVG226" s="39"/>
      <c r="MVH226" s="34"/>
      <c r="MVI226" s="34"/>
      <c r="MVJ226" s="34"/>
      <c r="MVK226" s="35"/>
      <c r="MVL226" s="35"/>
      <c r="MVM226" s="35"/>
      <c r="MVN226" s="35"/>
      <c r="MVO226" s="35"/>
      <c r="MVP226" s="34"/>
      <c r="MVQ226" s="34"/>
      <c r="MVR226" s="36"/>
      <c r="MVS226" s="36"/>
      <c r="MVT226" s="37"/>
      <c r="MVU226" s="37"/>
      <c r="MVV226" s="38"/>
      <c r="MVW226" s="38"/>
      <c r="MVX226" s="39"/>
      <c r="MVY226" s="34"/>
      <c r="MVZ226" s="34"/>
      <c r="MWA226" s="34"/>
      <c r="MWB226" s="35"/>
      <c r="MWC226" s="35"/>
      <c r="MWD226" s="35"/>
      <c r="MWE226" s="35"/>
      <c r="MWF226" s="35"/>
      <c r="MWG226" s="34"/>
      <c r="MWH226" s="34"/>
      <c r="MWI226" s="36"/>
      <c r="MWJ226" s="36"/>
      <c r="MWK226" s="37"/>
      <c r="MWL226" s="37"/>
      <c r="MWM226" s="38"/>
      <c r="MWN226" s="38"/>
      <c r="MWO226" s="39"/>
      <c r="MWP226" s="34"/>
      <c r="MWQ226" s="34"/>
      <c r="MWR226" s="34"/>
      <c r="MWS226" s="35"/>
      <c r="MWT226" s="35"/>
      <c r="MWU226" s="35"/>
      <c r="MWV226" s="35"/>
      <c r="MWW226" s="35"/>
      <c r="MWX226" s="34"/>
      <c r="MWY226" s="34"/>
      <c r="MWZ226" s="36"/>
      <c r="MXA226" s="36"/>
      <c r="MXB226" s="37"/>
      <c r="MXC226" s="37"/>
      <c r="MXD226" s="38"/>
      <c r="MXE226" s="38"/>
      <c r="MXF226" s="39"/>
      <c r="MXG226" s="34"/>
      <c r="MXH226" s="34"/>
      <c r="MXI226" s="34"/>
      <c r="MXJ226" s="35"/>
      <c r="MXK226" s="35"/>
      <c r="MXL226" s="35"/>
      <c r="MXM226" s="35"/>
      <c r="MXN226" s="35"/>
      <c r="MXO226" s="34"/>
      <c r="MXP226" s="34"/>
      <c r="MXQ226" s="36"/>
      <c r="MXR226" s="36"/>
      <c r="MXS226" s="37"/>
      <c r="MXT226" s="37"/>
      <c r="MXU226" s="38"/>
      <c r="MXV226" s="38"/>
      <c r="MXW226" s="39"/>
      <c r="MXX226" s="34"/>
      <c r="MXY226" s="34"/>
      <c r="MXZ226" s="34"/>
      <c r="MYA226" s="35"/>
      <c r="MYB226" s="35"/>
      <c r="MYC226" s="35"/>
      <c r="MYD226" s="35"/>
      <c r="MYE226" s="35"/>
      <c r="MYF226" s="34"/>
      <c r="MYG226" s="34"/>
      <c r="MYH226" s="36"/>
      <c r="MYI226" s="36"/>
      <c r="MYJ226" s="37"/>
      <c r="MYK226" s="37"/>
      <c r="MYL226" s="38"/>
      <c r="MYM226" s="38"/>
      <c r="MYN226" s="39"/>
      <c r="MYO226" s="34"/>
      <c r="MYP226" s="34"/>
      <c r="MYQ226" s="34"/>
      <c r="MYR226" s="35"/>
      <c r="MYS226" s="35"/>
      <c r="MYT226" s="35"/>
      <c r="MYU226" s="35"/>
      <c r="MYV226" s="35"/>
      <c r="MYW226" s="34"/>
      <c r="MYX226" s="34"/>
      <c r="MYY226" s="36"/>
      <c r="MYZ226" s="36"/>
      <c r="MZA226" s="37"/>
      <c r="MZB226" s="37"/>
      <c r="MZC226" s="38"/>
      <c r="MZD226" s="38"/>
      <c r="MZE226" s="39"/>
      <c r="MZF226" s="34"/>
      <c r="MZG226" s="34"/>
      <c r="MZH226" s="34"/>
      <c r="MZI226" s="35"/>
      <c r="MZJ226" s="35"/>
      <c r="MZK226" s="35"/>
      <c r="MZL226" s="35"/>
      <c r="MZM226" s="35"/>
      <c r="MZN226" s="34"/>
      <c r="MZO226" s="34"/>
      <c r="MZP226" s="36"/>
      <c r="MZQ226" s="36"/>
      <c r="MZR226" s="37"/>
      <c r="MZS226" s="37"/>
      <c r="MZT226" s="38"/>
      <c r="MZU226" s="38"/>
      <c r="MZV226" s="39"/>
      <c r="MZW226" s="34"/>
      <c r="MZX226" s="34"/>
      <c r="MZY226" s="34"/>
      <c r="MZZ226" s="35"/>
      <c r="NAA226" s="35"/>
      <c r="NAB226" s="35"/>
      <c r="NAC226" s="35"/>
      <c r="NAD226" s="35"/>
      <c r="NAE226" s="34"/>
      <c r="NAF226" s="34"/>
      <c r="NAG226" s="36"/>
      <c r="NAH226" s="36"/>
      <c r="NAI226" s="37"/>
      <c r="NAJ226" s="37"/>
      <c r="NAK226" s="38"/>
      <c r="NAL226" s="38"/>
      <c r="NAM226" s="39"/>
      <c r="NAN226" s="34"/>
      <c r="NAO226" s="34"/>
      <c r="NAP226" s="34"/>
      <c r="NAQ226" s="35"/>
      <c r="NAR226" s="35"/>
      <c r="NAS226" s="35"/>
      <c r="NAT226" s="35"/>
      <c r="NAU226" s="35"/>
      <c r="NAV226" s="34"/>
      <c r="NAW226" s="34"/>
      <c r="NAX226" s="36"/>
      <c r="NAY226" s="36"/>
      <c r="NAZ226" s="37"/>
      <c r="NBA226" s="37"/>
      <c r="NBB226" s="38"/>
      <c r="NBC226" s="38"/>
      <c r="NBD226" s="39"/>
      <c r="NBE226" s="34"/>
      <c r="NBF226" s="34"/>
      <c r="NBG226" s="34"/>
      <c r="NBH226" s="35"/>
      <c r="NBI226" s="35"/>
      <c r="NBJ226" s="35"/>
      <c r="NBK226" s="35"/>
      <c r="NBL226" s="35"/>
      <c r="NBM226" s="34"/>
      <c r="NBN226" s="34"/>
      <c r="NBO226" s="36"/>
      <c r="NBP226" s="36"/>
      <c r="NBQ226" s="37"/>
      <c r="NBR226" s="37"/>
      <c r="NBS226" s="38"/>
      <c r="NBT226" s="38"/>
      <c r="NBU226" s="39"/>
      <c r="NBV226" s="34"/>
      <c r="NBW226" s="34"/>
      <c r="NBX226" s="34"/>
      <c r="NBY226" s="35"/>
      <c r="NBZ226" s="35"/>
      <c r="NCA226" s="35"/>
      <c r="NCB226" s="35"/>
      <c r="NCC226" s="35"/>
      <c r="NCD226" s="34"/>
      <c r="NCE226" s="34"/>
      <c r="NCF226" s="36"/>
      <c r="NCG226" s="36"/>
      <c r="NCH226" s="37"/>
      <c r="NCI226" s="37"/>
      <c r="NCJ226" s="38"/>
      <c r="NCK226" s="38"/>
      <c r="NCL226" s="39"/>
      <c r="NCM226" s="34"/>
      <c r="NCN226" s="34"/>
      <c r="NCO226" s="34"/>
      <c r="NCP226" s="35"/>
      <c r="NCQ226" s="35"/>
      <c r="NCR226" s="35"/>
      <c r="NCS226" s="35"/>
      <c r="NCT226" s="35"/>
      <c r="NCU226" s="34"/>
      <c r="NCV226" s="34"/>
      <c r="NCW226" s="36"/>
      <c r="NCX226" s="36"/>
      <c r="NCY226" s="37"/>
      <c r="NCZ226" s="37"/>
      <c r="NDA226" s="38"/>
      <c r="NDB226" s="38"/>
      <c r="NDC226" s="39"/>
      <c r="NDD226" s="34"/>
      <c r="NDE226" s="34"/>
      <c r="NDF226" s="34"/>
      <c r="NDG226" s="35"/>
      <c r="NDH226" s="35"/>
      <c r="NDI226" s="35"/>
      <c r="NDJ226" s="35"/>
      <c r="NDK226" s="35"/>
      <c r="NDL226" s="34"/>
      <c r="NDM226" s="34"/>
      <c r="NDN226" s="36"/>
      <c r="NDO226" s="36"/>
      <c r="NDP226" s="37"/>
      <c r="NDQ226" s="37"/>
      <c r="NDR226" s="38"/>
      <c r="NDS226" s="38"/>
      <c r="NDT226" s="39"/>
      <c r="NDU226" s="34"/>
      <c r="NDV226" s="34"/>
      <c r="NDW226" s="34"/>
      <c r="NDX226" s="35"/>
      <c r="NDY226" s="35"/>
      <c r="NDZ226" s="35"/>
      <c r="NEA226" s="35"/>
      <c r="NEB226" s="35"/>
      <c r="NEC226" s="34"/>
      <c r="NED226" s="34"/>
      <c r="NEE226" s="36"/>
      <c r="NEF226" s="36"/>
      <c r="NEG226" s="37"/>
      <c r="NEH226" s="37"/>
      <c r="NEI226" s="38"/>
      <c r="NEJ226" s="38"/>
      <c r="NEK226" s="39"/>
      <c r="NEL226" s="34"/>
      <c r="NEM226" s="34"/>
      <c r="NEN226" s="34"/>
      <c r="NEO226" s="35"/>
      <c r="NEP226" s="35"/>
      <c r="NEQ226" s="35"/>
      <c r="NER226" s="35"/>
      <c r="NES226" s="35"/>
      <c r="NET226" s="34"/>
      <c r="NEU226" s="34"/>
      <c r="NEV226" s="36"/>
      <c r="NEW226" s="36"/>
      <c r="NEX226" s="37"/>
      <c r="NEY226" s="37"/>
      <c r="NEZ226" s="38"/>
      <c r="NFA226" s="38"/>
      <c r="NFB226" s="39"/>
      <c r="NFC226" s="34"/>
      <c r="NFD226" s="34"/>
      <c r="NFE226" s="34"/>
      <c r="NFF226" s="35"/>
      <c r="NFG226" s="35"/>
      <c r="NFH226" s="35"/>
      <c r="NFI226" s="35"/>
      <c r="NFJ226" s="35"/>
      <c r="NFK226" s="34"/>
      <c r="NFL226" s="34"/>
      <c r="NFM226" s="36"/>
      <c r="NFN226" s="36"/>
      <c r="NFO226" s="37"/>
      <c r="NFP226" s="37"/>
      <c r="NFQ226" s="38"/>
      <c r="NFR226" s="38"/>
      <c r="NFS226" s="39"/>
      <c r="NFT226" s="34"/>
      <c r="NFU226" s="34"/>
      <c r="NFV226" s="34"/>
      <c r="NFW226" s="35"/>
      <c r="NFX226" s="35"/>
      <c r="NFY226" s="35"/>
      <c r="NFZ226" s="35"/>
      <c r="NGA226" s="35"/>
      <c r="NGB226" s="34"/>
      <c r="NGC226" s="34"/>
      <c r="NGD226" s="36"/>
      <c r="NGE226" s="36"/>
      <c r="NGF226" s="37"/>
      <c r="NGG226" s="37"/>
      <c r="NGH226" s="38"/>
      <c r="NGI226" s="38"/>
      <c r="NGJ226" s="39"/>
      <c r="NGK226" s="34"/>
      <c r="NGL226" s="34"/>
      <c r="NGM226" s="34"/>
      <c r="NGN226" s="35"/>
      <c r="NGO226" s="35"/>
      <c r="NGP226" s="35"/>
      <c r="NGQ226" s="35"/>
      <c r="NGR226" s="35"/>
      <c r="NGS226" s="34"/>
      <c r="NGT226" s="34"/>
      <c r="NGU226" s="36"/>
      <c r="NGV226" s="36"/>
      <c r="NGW226" s="37"/>
      <c r="NGX226" s="37"/>
      <c r="NGY226" s="38"/>
      <c r="NGZ226" s="38"/>
      <c r="NHA226" s="39"/>
      <c r="NHB226" s="34"/>
      <c r="NHC226" s="34"/>
      <c r="NHD226" s="34"/>
      <c r="NHE226" s="35"/>
      <c r="NHF226" s="35"/>
      <c r="NHG226" s="35"/>
      <c r="NHH226" s="35"/>
      <c r="NHI226" s="35"/>
      <c r="NHJ226" s="34"/>
      <c r="NHK226" s="34"/>
      <c r="NHL226" s="36"/>
      <c r="NHM226" s="36"/>
      <c r="NHN226" s="37"/>
      <c r="NHO226" s="37"/>
      <c r="NHP226" s="38"/>
      <c r="NHQ226" s="38"/>
      <c r="NHR226" s="39"/>
      <c r="NHS226" s="34"/>
      <c r="NHT226" s="34"/>
      <c r="NHU226" s="34"/>
      <c r="NHV226" s="35"/>
      <c r="NHW226" s="35"/>
      <c r="NHX226" s="35"/>
      <c r="NHY226" s="35"/>
      <c r="NHZ226" s="35"/>
      <c r="NIA226" s="34"/>
      <c r="NIB226" s="34"/>
      <c r="NIC226" s="36"/>
      <c r="NID226" s="36"/>
      <c r="NIE226" s="37"/>
      <c r="NIF226" s="37"/>
      <c r="NIG226" s="38"/>
      <c r="NIH226" s="38"/>
      <c r="NII226" s="39"/>
      <c r="NIJ226" s="34"/>
      <c r="NIK226" s="34"/>
      <c r="NIL226" s="34"/>
      <c r="NIM226" s="35"/>
      <c r="NIN226" s="35"/>
      <c r="NIO226" s="35"/>
      <c r="NIP226" s="35"/>
      <c r="NIQ226" s="35"/>
      <c r="NIR226" s="34"/>
      <c r="NIS226" s="34"/>
      <c r="NIT226" s="36"/>
      <c r="NIU226" s="36"/>
      <c r="NIV226" s="37"/>
      <c r="NIW226" s="37"/>
      <c r="NIX226" s="38"/>
      <c r="NIY226" s="38"/>
      <c r="NIZ226" s="39"/>
      <c r="NJA226" s="34"/>
      <c r="NJB226" s="34"/>
      <c r="NJC226" s="34"/>
      <c r="NJD226" s="35"/>
      <c r="NJE226" s="35"/>
      <c r="NJF226" s="35"/>
      <c r="NJG226" s="35"/>
      <c r="NJH226" s="35"/>
      <c r="NJI226" s="34"/>
      <c r="NJJ226" s="34"/>
      <c r="NJK226" s="36"/>
      <c r="NJL226" s="36"/>
      <c r="NJM226" s="37"/>
      <c r="NJN226" s="37"/>
      <c r="NJO226" s="38"/>
      <c r="NJP226" s="38"/>
      <c r="NJQ226" s="39"/>
      <c r="NJR226" s="34"/>
      <c r="NJS226" s="34"/>
      <c r="NJT226" s="34"/>
      <c r="NJU226" s="35"/>
      <c r="NJV226" s="35"/>
      <c r="NJW226" s="35"/>
      <c r="NJX226" s="35"/>
      <c r="NJY226" s="35"/>
      <c r="NJZ226" s="34"/>
      <c r="NKA226" s="34"/>
      <c r="NKB226" s="36"/>
      <c r="NKC226" s="36"/>
      <c r="NKD226" s="37"/>
      <c r="NKE226" s="37"/>
      <c r="NKF226" s="38"/>
      <c r="NKG226" s="38"/>
      <c r="NKH226" s="39"/>
      <c r="NKI226" s="34"/>
      <c r="NKJ226" s="34"/>
      <c r="NKK226" s="34"/>
      <c r="NKL226" s="35"/>
      <c r="NKM226" s="35"/>
      <c r="NKN226" s="35"/>
      <c r="NKO226" s="35"/>
      <c r="NKP226" s="35"/>
      <c r="NKQ226" s="34"/>
      <c r="NKR226" s="34"/>
      <c r="NKS226" s="36"/>
      <c r="NKT226" s="36"/>
      <c r="NKU226" s="37"/>
      <c r="NKV226" s="37"/>
      <c r="NKW226" s="38"/>
      <c r="NKX226" s="38"/>
      <c r="NKY226" s="39"/>
      <c r="NKZ226" s="34"/>
      <c r="NLA226" s="34"/>
      <c r="NLB226" s="34"/>
      <c r="NLC226" s="35"/>
      <c r="NLD226" s="35"/>
      <c r="NLE226" s="35"/>
      <c r="NLF226" s="35"/>
      <c r="NLG226" s="35"/>
      <c r="NLH226" s="34"/>
      <c r="NLI226" s="34"/>
      <c r="NLJ226" s="36"/>
      <c r="NLK226" s="36"/>
      <c r="NLL226" s="37"/>
      <c r="NLM226" s="37"/>
      <c r="NLN226" s="38"/>
      <c r="NLO226" s="38"/>
      <c r="NLP226" s="39"/>
      <c r="NLQ226" s="34"/>
      <c r="NLR226" s="34"/>
      <c r="NLS226" s="34"/>
      <c r="NLT226" s="35"/>
      <c r="NLU226" s="35"/>
      <c r="NLV226" s="35"/>
      <c r="NLW226" s="35"/>
      <c r="NLX226" s="35"/>
      <c r="NLY226" s="34"/>
      <c r="NLZ226" s="34"/>
      <c r="NMA226" s="36"/>
      <c r="NMB226" s="36"/>
      <c r="NMC226" s="37"/>
      <c r="NMD226" s="37"/>
      <c r="NME226" s="38"/>
      <c r="NMF226" s="38"/>
      <c r="NMG226" s="39"/>
      <c r="NMH226" s="34"/>
      <c r="NMI226" s="34"/>
      <c r="NMJ226" s="34"/>
      <c r="NMK226" s="35"/>
      <c r="NML226" s="35"/>
      <c r="NMM226" s="35"/>
      <c r="NMN226" s="35"/>
      <c r="NMO226" s="35"/>
      <c r="NMP226" s="34"/>
      <c r="NMQ226" s="34"/>
      <c r="NMR226" s="36"/>
      <c r="NMS226" s="36"/>
      <c r="NMT226" s="37"/>
      <c r="NMU226" s="37"/>
      <c r="NMV226" s="38"/>
      <c r="NMW226" s="38"/>
      <c r="NMX226" s="39"/>
      <c r="NMY226" s="34"/>
      <c r="NMZ226" s="34"/>
      <c r="NNA226" s="34"/>
      <c r="NNB226" s="35"/>
      <c r="NNC226" s="35"/>
      <c r="NND226" s="35"/>
      <c r="NNE226" s="35"/>
      <c r="NNF226" s="35"/>
      <c r="NNG226" s="34"/>
      <c r="NNH226" s="34"/>
      <c r="NNI226" s="36"/>
      <c r="NNJ226" s="36"/>
      <c r="NNK226" s="37"/>
      <c r="NNL226" s="37"/>
      <c r="NNM226" s="38"/>
      <c r="NNN226" s="38"/>
      <c r="NNO226" s="39"/>
      <c r="NNP226" s="34"/>
      <c r="NNQ226" s="34"/>
      <c r="NNR226" s="34"/>
      <c r="NNS226" s="35"/>
      <c r="NNT226" s="35"/>
      <c r="NNU226" s="35"/>
      <c r="NNV226" s="35"/>
      <c r="NNW226" s="35"/>
      <c r="NNX226" s="34"/>
      <c r="NNY226" s="34"/>
      <c r="NNZ226" s="36"/>
      <c r="NOA226" s="36"/>
      <c r="NOB226" s="37"/>
      <c r="NOC226" s="37"/>
      <c r="NOD226" s="38"/>
      <c r="NOE226" s="38"/>
      <c r="NOF226" s="39"/>
      <c r="NOG226" s="34"/>
      <c r="NOH226" s="34"/>
      <c r="NOI226" s="34"/>
      <c r="NOJ226" s="35"/>
      <c r="NOK226" s="35"/>
      <c r="NOL226" s="35"/>
      <c r="NOM226" s="35"/>
      <c r="NON226" s="35"/>
      <c r="NOO226" s="34"/>
      <c r="NOP226" s="34"/>
      <c r="NOQ226" s="36"/>
      <c r="NOR226" s="36"/>
      <c r="NOS226" s="37"/>
      <c r="NOT226" s="37"/>
      <c r="NOU226" s="38"/>
      <c r="NOV226" s="38"/>
      <c r="NOW226" s="39"/>
      <c r="NOX226" s="34"/>
      <c r="NOY226" s="34"/>
      <c r="NOZ226" s="34"/>
      <c r="NPA226" s="35"/>
      <c r="NPB226" s="35"/>
      <c r="NPC226" s="35"/>
      <c r="NPD226" s="35"/>
      <c r="NPE226" s="35"/>
      <c r="NPF226" s="34"/>
      <c r="NPG226" s="34"/>
      <c r="NPH226" s="36"/>
      <c r="NPI226" s="36"/>
      <c r="NPJ226" s="37"/>
      <c r="NPK226" s="37"/>
      <c r="NPL226" s="38"/>
      <c r="NPM226" s="38"/>
      <c r="NPN226" s="39"/>
      <c r="NPO226" s="34"/>
      <c r="NPP226" s="34"/>
      <c r="NPQ226" s="34"/>
      <c r="NPR226" s="35"/>
      <c r="NPS226" s="35"/>
      <c r="NPT226" s="35"/>
      <c r="NPU226" s="35"/>
      <c r="NPV226" s="35"/>
      <c r="NPW226" s="34"/>
      <c r="NPX226" s="34"/>
      <c r="NPY226" s="36"/>
      <c r="NPZ226" s="36"/>
      <c r="NQA226" s="37"/>
      <c r="NQB226" s="37"/>
      <c r="NQC226" s="38"/>
      <c r="NQD226" s="38"/>
      <c r="NQE226" s="39"/>
      <c r="NQF226" s="34"/>
      <c r="NQG226" s="34"/>
      <c r="NQH226" s="34"/>
      <c r="NQI226" s="35"/>
      <c r="NQJ226" s="35"/>
      <c r="NQK226" s="35"/>
      <c r="NQL226" s="35"/>
      <c r="NQM226" s="35"/>
      <c r="NQN226" s="34"/>
      <c r="NQO226" s="34"/>
      <c r="NQP226" s="36"/>
      <c r="NQQ226" s="36"/>
      <c r="NQR226" s="37"/>
      <c r="NQS226" s="37"/>
      <c r="NQT226" s="38"/>
      <c r="NQU226" s="38"/>
      <c r="NQV226" s="39"/>
      <c r="NQW226" s="34"/>
      <c r="NQX226" s="34"/>
      <c r="NQY226" s="34"/>
      <c r="NQZ226" s="35"/>
      <c r="NRA226" s="35"/>
      <c r="NRB226" s="35"/>
      <c r="NRC226" s="35"/>
      <c r="NRD226" s="35"/>
      <c r="NRE226" s="34"/>
      <c r="NRF226" s="34"/>
      <c r="NRG226" s="36"/>
      <c r="NRH226" s="36"/>
      <c r="NRI226" s="37"/>
      <c r="NRJ226" s="37"/>
      <c r="NRK226" s="38"/>
      <c r="NRL226" s="38"/>
      <c r="NRM226" s="39"/>
      <c r="NRN226" s="34"/>
      <c r="NRO226" s="34"/>
      <c r="NRP226" s="34"/>
      <c r="NRQ226" s="35"/>
      <c r="NRR226" s="35"/>
      <c r="NRS226" s="35"/>
      <c r="NRT226" s="35"/>
      <c r="NRU226" s="35"/>
      <c r="NRV226" s="34"/>
      <c r="NRW226" s="34"/>
      <c r="NRX226" s="36"/>
      <c r="NRY226" s="36"/>
      <c r="NRZ226" s="37"/>
      <c r="NSA226" s="37"/>
      <c r="NSB226" s="38"/>
      <c r="NSC226" s="38"/>
      <c r="NSD226" s="39"/>
      <c r="NSE226" s="34"/>
      <c r="NSF226" s="34"/>
      <c r="NSG226" s="34"/>
      <c r="NSH226" s="35"/>
      <c r="NSI226" s="35"/>
      <c r="NSJ226" s="35"/>
      <c r="NSK226" s="35"/>
      <c r="NSL226" s="35"/>
      <c r="NSM226" s="34"/>
      <c r="NSN226" s="34"/>
      <c r="NSO226" s="36"/>
      <c r="NSP226" s="36"/>
      <c r="NSQ226" s="37"/>
      <c r="NSR226" s="37"/>
      <c r="NSS226" s="38"/>
      <c r="NST226" s="38"/>
      <c r="NSU226" s="39"/>
      <c r="NSV226" s="34"/>
      <c r="NSW226" s="34"/>
      <c r="NSX226" s="34"/>
      <c r="NSY226" s="35"/>
      <c r="NSZ226" s="35"/>
      <c r="NTA226" s="35"/>
      <c r="NTB226" s="35"/>
      <c r="NTC226" s="35"/>
      <c r="NTD226" s="34"/>
      <c r="NTE226" s="34"/>
      <c r="NTF226" s="36"/>
      <c r="NTG226" s="36"/>
      <c r="NTH226" s="37"/>
      <c r="NTI226" s="37"/>
      <c r="NTJ226" s="38"/>
      <c r="NTK226" s="38"/>
      <c r="NTL226" s="39"/>
      <c r="NTM226" s="34"/>
      <c r="NTN226" s="34"/>
      <c r="NTO226" s="34"/>
      <c r="NTP226" s="35"/>
      <c r="NTQ226" s="35"/>
      <c r="NTR226" s="35"/>
      <c r="NTS226" s="35"/>
      <c r="NTT226" s="35"/>
      <c r="NTU226" s="34"/>
      <c r="NTV226" s="34"/>
      <c r="NTW226" s="36"/>
      <c r="NTX226" s="36"/>
      <c r="NTY226" s="37"/>
      <c r="NTZ226" s="37"/>
      <c r="NUA226" s="38"/>
      <c r="NUB226" s="38"/>
      <c r="NUC226" s="39"/>
      <c r="NUD226" s="34"/>
      <c r="NUE226" s="34"/>
      <c r="NUF226" s="34"/>
      <c r="NUG226" s="35"/>
      <c r="NUH226" s="35"/>
      <c r="NUI226" s="35"/>
      <c r="NUJ226" s="35"/>
      <c r="NUK226" s="35"/>
      <c r="NUL226" s="34"/>
      <c r="NUM226" s="34"/>
      <c r="NUN226" s="36"/>
      <c r="NUO226" s="36"/>
      <c r="NUP226" s="37"/>
      <c r="NUQ226" s="37"/>
      <c r="NUR226" s="38"/>
      <c r="NUS226" s="38"/>
      <c r="NUT226" s="39"/>
      <c r="NUU226" s="34"/>
      <c r="NUV226" s="34"/>
      <c r="NUW226" s="34"/>
      <c r="NUX226" s="35"/>
      <c r="NUY226" s="35"/>
      <c r="NUZ226" s="35"/>
      <c r="NVA226" s="35"/>
      <c r="NVB226" s="35"/>
      <c r="NVC226" s="34"/>
      <c r="NVD226" s="34"/>
      <c r="NVE226" s="36"/>
      <c r="NVF226" s="36"/>
      <c r="NVG226" s="37"/>
      <c r="NVH226" s="37"/>
      <c r="NVI226" s="38"/>
      <c r="NVJ226" s="38"/>
      <c r="NVK226" s="39"/>
      <c r="NVL226" s="34"/>
      <c r="NVM226" s="34"/>
      <c r="NVN226" s="34"/>
      <c r="NVO226" s="35"/>
      <c r="NVP226" s="35"/>
      <c r="NVQ226" s="35"/>
      <c r="NVR226" s="35"/>
      <c r="NVS226" s="35"/>
      <c r="NVT226" s="34"/>
      <c r="NVU226" s="34"/>
      <c r="NVV226" s="36"/>
      <c r="NVW226" s="36"/>
      <c r="NVX226" s="37"/>
      <c r="NVY226" s="37"/>
      <c r="NVZ226" s="38"/>
      <c r="NWA226" s="38"/>
      <c r="NWB226" s="39"/>
      <c r="NWC226" s="34"/>
      <c r="NWD226" s="34"/>
      <c r="NWE226" s="34"/>
      <c r="NWF226" s="35"/>
      <c r="NWG226" s="35"/>
      <c r="NWH226" s="35"/>
      <c r="NWI226" s="35"/>
      <c r="NWJ226" s="35"/>
      <c r="NWK226" s="34"/>
      <c r="NWL226" s="34"/>
      <c r="NWM226" s="36"/>
      <c r="NWN226" s="36"/>
      <c r="NWO226" s="37"/>
      <c r="NWP226" s="37"/>
      <c r="NWQ226" s="38"/>
      <c r="NWR226" s="38"/>
      <c r="NWS226" s="39"/>
      <c r="NWT226" s="34"/>
      <c r="NWU226" s="34"/>
      <c r="NWV226" s="34"/>
      <c r="NWW226" s="35"/>
      <c r="NWX226" s="35"/>
      <c r="NWY226" s="35"/>
      <c r="NWZ226" s="35"/>
      <c r="NXA226" s="35"/>
      <c r="NXB226" s="34"/>
      <c r="NXC226" s="34"/>
      <c r="NXD226" s="36"/>
      <c r="NXE226" s="36"/>
      <c r="NXF226" s="37"/>
      <c r="NXG226" s="37"/>
      <c r="NXH226" s="38"/>
      <c r="NXI226" s="38"/>
      <c r="NXJ226" s="39"/>
      <c r="NXK226" s="34"/>
      <c r="NXL226" s="34"/>
      <c r="NXM226" s="34"/>
      <c r="NXN226" s="35"/>
      <c r="NXO226" s="35"/>
      <c r="NXP226" s="35"/>
      <c r="NXQ226" s="35"/>
      <c r="NXR226" s="35"/>
      <c r="NXS226" s="34"/>
      <c r="NXT226" s="34"/>
      <c r="NXU226" s="36"/>
      <c r="NXV226" s="36"/>
      <c r="NXW226" s="37"/>
      <c r="NXX226" s="37"/>
      <c r="NXY226" s="38"/>
      <c r="NXZ226" s="38"/>
      <c r="NYA226" s="39"/>
      <c r="NYB226" s="34"/>
      <c r="NYC226" s="34"/>
      <c r="NYD226" s="34"/>
      <c r="NYE226" s="35"/>
      <c r="NYF226" s="35"/>
      <c r="NYG226" s="35"/>
      <c r="NYH226" s="35"/>
      <c r="NYI226" s="35"/>
      <c r="NYJ226" s="34"/>
      <c r="NYK226" s="34"/>
      <c r="NYL226" s="36"/>
      <c r="NYM226" s="36"/>
      <c r="NYN226" s="37"/>
      <c r="NYO226" s="37"/>
      <c r="NYP226" s="38"/>
      <c r="NYQ226" s="38"/>
      <c r="NYR226" s="39"/>
      <c r="NYS226" s="34"/>
      <c r="NYT226" s="34"/>
      <c r="NYU226" s="34"/>
      <c r="NYV226" s="35"/>
      <c r="NYW226" s="35"/>
      <c r="NYX226" s="35"/>
      <c r="NYY226" s="35"/>
      <c r="NYZ226" s="35"/>
      <c r="NZA226" s="34"/>
      <c r="NZB226" s="34"/>
      <c r="NZC226" s="36"/>
      <c r="NZD226" s="36"/>
      <c r="NZE226" s="37"/>
      <c r="NZF226" s="37"/>
      <c r="NZG226" s="38"/>
      <c r="NZH226" s="38"/>
      <c r="NZI226" s="39"/>
      <c r="NZJ226" s="34"/>
      <c r="NZK226" s="34"/>
      <c r="NZL226" s="34"/>
      <c r="NZM226" s="35"/>
      <c r="NZN226" s="35"/>
      <c r="NZO226" s="35"/>
      <c r="NZP226" s="35"/>
      <c r="NZQ226" s="35"/>
      <c r="NZR226" s="34"/>
      <c r="NZS226" s="34"/>
      <c r="NZT226" s="36"/>
      <c r="NZU226" s="36"/>
      <c r="NZV226" s="37"/>
      <c r="NZW226" s="37"/>
      <c r="NZX226" s="38"/>
      <c r="NZY226" s="38"/>
      <c r="NZZ226" s="39"/>
      <c r="OAA226" s="34"/>
      <c r="OAB226" s="34"/>
      <c r="OAC226" s="34"/>
      <c r="OAD226" s="35"/>
      <c r="OAE226" s="35"/>
      <c r="OAF226" s="35"/>
      <c r="OAG226" s="35"/>
      <c r="OAH226" s="35"/>
      <c r="OAI226" s="34"/>
      <c r="OAJ226" s="34"/>
      <c r="OAK226" s="36"/>
      <c r="OAL226" s="36"/>
      <c r="OAM226" s="37"/>
      <c r="OAN226" s="37"/>
      <c r="OAO226" s="38"/>
      <c r="OAP226" s="38"/>
      <c r="OAQ226" s="39"/>
      <c r="OAR226" s="34"/>
      <c r="OAS226" s="34"/>
      <c r="OAT226" s="34"/>
      <c r="OAU226" s="35"/>
      <c r="OAV226" s="35"/>
      <c r="OAW226" s="35"/>
      <c r="OAX226" s="35"/>
      <c r="OAY226" s="35"/>
      <c r="OAZ226" s="34"/>
      <c r="OBA226" s="34"/>
      <c r="OBB226" s="36"/>
      <c r="OBC226" s="36"/>
      <c r="OBD226" s="37"/>
      <c r="OBE226" s="37"/>
      <c r="OBF226" s="38"/>
      <c r="OBG226" s="38"/>
      <c r="OBH226" s="39"/>
      <c r="OBI226" s="34"/>
      <c r="OBJ226" s="34"/>
      <c r="OBK226" s="34"/>
      <c r="OBL226" s="35"/>
      <c r="OBM226" s="35"/>
      <c r="OBN226" s="35"/>
      <c r="OBO226" s="35"/>
      <c r="OBP226" s="35"/>
      <c r="OBQ226" s="34"/>
      <c r="OBR226" s="34"/>
      <c r="OBS226" s="36"/>
      <c r="OBT226" s="36"/>
      <c r="OBU226" s="37"/>
      <c r="OBV226" s="37"/>
      <c r="OBW226" s="38"/>
      <c r="OBX226" s="38"/>
      <c r="OBY226" s="39"/>
      <c r="OBZ226" s="34"/>
      <c r="OCA226" s="34"/>
      <c r="OCB226" s="34"/>
      <c r="OCC226" s="35"/>
      <c r="OCD226" s="35"/>
      <c r="OCE226" s="35"/>
      <c r="OCF226" s="35"/>
      <c r="OCG226" s="35"/>
      <c r="OCH226" s="34"/>
      <c r="OCI226" s="34"/>
      <c r="OCJ226" s="36"/>
      <c r="OCK226" s="36"/>
      <c r="OCL226" s="37"/>
      <c r="OCM226" s="37"/>
      <c r="OCN226" s="38"/>
      <c r="OCO226" s="38"/>
      <c r="OCP226" s="39"/>
      <c r="OCQ226" s="34"/>
      <c r="OCR226" s="34"/>
      <c r="OCS226" s="34"/>
      <c r="OCT226" s="35"/>
      <c r="OCU226" s="35"/>
      <c r="OCV226" s="35"/>
      <c r="OCW226" s="35"/>
      <c r="OCX226" s="35"/>
      <c r="OCY226" s="34"/>
      <c r="OCZ226" s="34"/>
      <c r="ODA226" s="36"/>
      <c r="ODB226" s="36"/>
      <c r="ODC226" s="37"/>
      <c r="ODD226" s="37"/>
      <c r="ODE226" s="38"/>
      <c r="ODF226" s="38"/>
      <c r="ODG226" s="39"/>
      <c r="ODH226" s="34"/>
      <c r="ODI226" s="34"/>
      <c r="ODJ226" s="34"/>
      <c r="ODK226" s="35"/>
      <c r="ODL226" s="35"/>
      <c r="ODM226" s="35"/>
      <c r="ODN226" s="35"/>
      <c r="ODO226" s="35"/>
      <c r="ODP226" s="34"/>
      <c r="ODQ226" s="34"/>
      <c r="ODR226" s="36"/>
      <c r="ODS226" s="36"/>
      <c r="ODT226" s="37"/>
      <c r="ODU226" s="37"/>
      <c r="ODV226" s="38"/>
      <c r="ODW226" s="38"/>
      <c r="ODX226" s="39"/>
      <c r="ODY226" s="34"/>
      <c r="ODZ226" s="34"/>
      <c r="OEA226" s="34"/>
      <c r="OEB226" s="35"/>
      <c r="OEC226" s="35"/>
      <c r="OED226" s="35"/>
      <c r="OEE226" s="35"/>
      <c r="OEF226" s="35"/>
      <c r="OEG226" s="34"/>
      <c r="OEH226" s="34"/>
      <c r="OEI226" s="36"/>
      <c r="OEJ226" s="36"/>
      <c r="OEK226" s="37"/>
      <c r="OEL226" s="37"/>
      <c r="OEM226" s="38"/>
      <c r="OEN226" s="38"/>
      <c r="OEO226" s="39"/>
      <c r="OEP226" s="34"/>
      <c r="OEQ226" s="34"/>
      <c r="OER226" s="34"/>
      <c r="OES226" s="35"/>
      <c r="OET226" s="35"/>
      <c r="OEU226" s="35"/>
      <c r="OEV226" s="35"/>
      <c r="OEW226" s="35"/>
      <c r="OEX226" s="34"/>
      <c r="OEY226" s="34"/>
      <c r="OEZ226" s="36"/>
      <c r="OFA226" s="36"/>
      <c r="OFB226" s="37"/>
      <c r="OFC226" s="37"/>
      <c r="OFD226" s="38"/>
      <c r="OFE226" s="38"/>
      <c r="OFF226" s="39"/>
      <c r="OFG226" s="34"/>
      <c r="OFH226" s="34"/>
      <c r="OFI226" s="34"/>
      <c r="OFJ226" s="35"/>
      <c r="OFK226" s="35"/>
      <c r="OFL226" s="35"/>
      <c r="OFM226" s="35"/>
      <c r="OFN226" s="35"/>
      <c r="OFO226" s="34"/>
      <c r="OFP226" s="34"/>
      <c r="OFQ226" s="36"/>
      <c r="OFR226" s="36"/>
      <c r="OFS226" s="37"/>
      <c r="OFT226" s="37"/>
      <c r="OFU226" s="38"/>
      <c r="OFV226" s="38"/>
      <c r="OFW226" s="39"/>
      <c r="OFX226" s="34"/>
      <c r="OFY226" s="34"/>
      <c r="OFZ226" s="34"/>
      <c r="OGA226" s="35"/>
      <c r="OGB226" s="35"/>
      <c r="OGC226" s="35"/>
      <c r="OGD226" s="35"/>
      <c r="OGE226" s="35"/>
      <c r="OGF226" s="34"/>
      <c r="OGG226" s="34"/>
      <c r="OGH226" s="36"/>
      <c r="OGI226" s="36"/>
      <c r="OGJ226" s="37"/>
      <c r="OGK226" s="37"/>
      <c r="OGL226" s="38"/>
      <c r="OGM226" s="38"/>
      <c r="OGN226" s="39"/>
      <c r="OGO226" s="34"/>
      <c r="OGP226" s="34"/>
      <c r="OGQ226" s="34"/>
      <c r="OGR226" s="35"/>
      <c r="OGS226" s="35"/>
      <c r="OGT226" s="35"/>
      <c r="OGU226" s="35"/>
      <c r="OGV226" s="35"/>
      <c r="OGW226" s="34"/>
      <c r="OGX226" s="34"/>
      <c r="OGY226" s="36"/>
      <c r="OGZ226" s="36"/>
      <c r="OHA226" s="37"/>
      <c r="OHB226" s="37"/>
      <c r="OHC226" s="38"/>
      <c r="OHD226" s="38"/>
      <c r="OHE226" s="39"/>
      <c r="OHF226" s="34"/>
      <c r="OHG226" s="34"/>
      <c r="OHH226" s="34"/>
      <c r="OHI226" s="35"/>
      <c r="OHJ226" s="35"/>
      <c r="OHK226" s="35"/>
      <c r="OHL226" s="35"/>
      <c r="OHM226" s="35"/>
      <c r="OHN226" s="34"/>
      <c r="OHO226" s="34"/>
      <c r="OHP226" s="36"/>
      <c r="OHQ226" s="36"/>
      <c r="OHR226" s="37"/>
      <c r="OHS226" s="37"/>
      <c r="OHT226" s="38"/>
      <c r="OHU226" s="38"/>
      <c r="OHV226" s="39"/>
      <c r="OHW226" s="34"/>
      <c r="OHX226" s="34"/>
      <c r="OHY226" s="34"/>
      <c r="OHZ226" s="35"/>
      <c r="OIA226" s="35"/>
      <c r="OIB226" s="35"/>
      <c r="OIC226" s="35"/>
      <c r="OID226" s="35"/>
      <c r="OIE226" s="34"/>
      <c r="OIF226" s="34"/>
      <c r="OIG226" s="36"/>
      <c r="OIH226" s="36"/>
      <c r="OII226" s="37"/>
      <c r="OIJ226" s="37"/>
      <c r="OIK226" s="38"/>
      <c r="OIL226" s="38"/>
      <c r="OIM226" s="39"/>
      <c r="OIN226" s="34"/>
      <c r="OIO226" s="34"/>
      <c r="OIP226" s="34"/>
      <c r="OIQ226" s="35"/>
      <c r="OIR226" s="35"/>
      <c r="OIS226" s="35"/>
      <c r="OIT226" s="35"/>
      <c r="OIU226" s="35"/>
      <c r="OIV226" s="34"/>
      <c r="OIW226" s="34"/>
      <c r="OIX226" s="36"/>
      <c r="OIY226" s="36"/>
      <c r="OIZ226" s="37"/>
      <c r="OJA226" s="37"/>
      <c r="OJB226" s="38"/>
      <c r="OJC226" s="38"/>
      <c r="OJD226" s="39"/>
      <c r="OJE226" s="34"/>
      <c r="OJF226" s="34"/>
      <c r="OJG226" s="34"/>
      <c r="OJH226" s="35"/>
      <c r="OJI226" s="35"/>
      <c r="OJJ226" s="35"/>
      <c r="OJK226" s="35"/>
      <c r="OJL226" s="35"/>
      <c r="OJM226" s="34"/>
      <c r="OJN226" s="34"/>
      <c r="OJO226" s="36"/>
      <c r="OJP226" s="36"/>
      <c r="OJQ226" s="37"/>
      <c r="OJR226" s="37"/>
      <c r="OJS226" s="38"/>
      <c r="OJT226" s="38"/>
      <c r="OJU226" s="39"/>
      <c r="OJV226" s="34"/>
      <c r="OJW226" s="34"/>
      <c r="OJX226" s="34"/>
      <c r="OJY226" s="35"/>
      <c r="OJZ226" s="35"/>
      <c r="OKA226" s="35"/>
      <c r="OKB226" s="35"/>
      <c r="OKC226" s="35"/>
      <c r="OKD226" s="34"/>
      <c r="OKE226" s="34"/>
      <c r="OKF226" s="36"/>
      <c r="OKG226" s="36"/>
      <c r="OKH226" s="37"/>
      <c r="OKI226" s="37"/>
      <c r="OKJ226" s="38"/>
      <c r="OKK226" s="38"/>
      <c r="OKL226" s="39"/>
      <c r="OKM226" s="34"/>
      <c r="OKN226" s="34"/>
      <c r="OKO226" s="34"/>
      <c r="OKP226" s="35"/>
      <c r="OKQ226" s="35"/>
      <c r="OKR226" s="35"/>
      <c r="OKS226" s="35"/>
      <c r="OKT226" s="35"/>
      <c r="OKU226" s="34"/>
      <c r="OKV226" s="34"/>
      <c r="OKW226" s="36"/>
      <c r="OKX226" s="36"/>
      <c r="OKY226" s="37"/>
      <c r="OKZ226" s="37"/>
      <c r="OLA226" s="38"/>
      <c r="OLB226" s="38"/>
      <c r="OLC226" s="39"/>
      <c r="OLD226" s="34"/>
      <c r="OLE226" s="34"/>
      <c r="OLF226" s="34"/>
      <c r="OLG226" s="35"/>
      <c r="OLH226" s="35"/>
      <c r="OLI226" s="35"/>
      <c r="OLJ226" s="35"/>
      <c r="OLK226" s="35"/>
      <c r="OLL226" s="34"/>
      <c r="OLM226" s="34"/>
      <c r="OLN226" s="36"/>
      <c r="OLO226" s="36"/>
      <c r="OLP226" s="37"/>
      <c r="OLQ226" s="37"/>
      <c r="OLR226" s="38"/>
      <c r="OLS226" s="38"/>
      <c r="OLT226" s="39"/>
      <c r="OLU226" s="34"/>
      <c r="OLV226" s="34"/>
      <c r="OLW226" s="34"/>
      <c r="OLX226" s="35"/>
      <c r="OLY226" s="35"/>
      <c r="OLZ226" s="35"/>
      <c r="OMA226" s="35"/>
      <c r="OMB226" s="35"/>
      <c r="OMC226" s="34"/>
      <c r="OMD226" s="34"/>
      <c r="OME226" s="36"/>
      <c r="OMF226" s="36"/>
      <c r="OMG226" s="37"/>
      <c r="OMH226" s="37"/>
      <c r="OMI226" s="38"/>
      <c r="OMJ226" s="38"/>
      <c r="OMK226" s="39"/>
      <c r="OML226" s="34"/>
      <c r="OMM226" s="34"/>
      <c r="OMN226" s="34"/>
      <c r="OMO226" s="35"/>
      <c r="OMP226" s="35"/>
      <c r="OMQ226" s="35"/>
      <c r="OMR226" s="35"/>
      <c r="OMS226" s="35"/>
      <c r="OMT226" s="34"/>
      <c r="OMU226" s="34"/>
      <c r="OMV226" s="36"/>
      <c r="OMW226" s="36"/>
      <c r="OMX226" s="37"/>
      <c r="OMY226" s="37"/>
      <c r="OMZ226" s="38"/>
      <c r="ONA226" s="38"/>
      <c r="ONB226" s="39"/>
      <c r="ONC226" s="34"/>
      <c r="OND226" s="34"/>
      <c r="ONE226" s="34"/>
      <c r="ONF226" s="35"/>
      <c r="ONG226" s="35"/>
      <c r="ONH226" s="35"/>
      <c r="ONI226" s="35"/>
      <c r="ONJ226" s="35"/>
      <c r="ONK226" s="34"/>
      <c r="ONL226" s="34"/>
      <c r="ONM226" s="36"/>
      <c r="ONN226" s="36"/>
      <c r="ONO226" s="37"/>
      <c r="ONP226" s="37"/>
      <c r="ONQ226" s="38"/>
      <c r="ONR226" s="38"/>
      <c r="ONS226" s="39"/>
      <c r="ONT226" s="34"/>
      <c r="ONU226" s="34"/>
      <c r="ONV226" s="34"/>
      <c r="ONW226" s="35"/>
      <c r="ONX226" s="35"/>
      <c r="ONY226" s="35"/>
      <c r="ONZ226" s="35"/>
      <c r="OOA226" s="35"/>
      <c r="OOB226" s="34"/>
      <c r="OOC226" s="34"/>
      <c r="OOD226" s="36"/>
      <c r="OOE226" s="36"/>
      <c r="OOF226" s="37"/>
      <c r="OOG226" s="37"/>
      <c r="OOH226" s="38"/>
      <c r="OOI226" s="38"/>
      <c r="OOJ226" s="39"/>
      <c r="OOK226" s="34"/>
      <c r="OOL226" s="34"/>
      <c r="OOM226" s="34"/>
      <c r="OON226" s="35"/>
      <c r="OOO226" s="35"/>
      <c r="OOP226" s="35"/>
      <c r="OOQ226" s="35"/>
      <c r="OOR226" s="35"/>
      <c r="OOS226" s="34"/>
      <c r="OOT226" s="34"/>
      <c r="OOU226" s="36"/>
      <c r="OOV226" s="36"/>
      <c r="OOW226" s="37"/>
      <c r="OOX226" s="37"/>
      <c r="OOY226" s="38"/>
      <c r="OOZ226" s="38"/>
      <c r="OPA226" s="39"/>
      <c r="OPB226" s="34"/>
      <c r="OPC226" s="34"/>
      <c r="OPD226" s="34"/>
      <c r="OPE226" s="35"/>
      <c r="OPF226" s="35"/>
      <c r="OPG226" s="35"/>
      <c r="OPH226" s="35"/>
      <c r="OPI226" s="35"/>
      <c r="OPJ226" s="34"/>
      <c r="OPK226" s="34"/>
      <c r="OPL226" s="36"/>
      <c r="OPM226" s="36"/>
      <c r="OPN226" s="37"/>
      <c r="OPO226" s="37"/>
      <c r="OPP226" s="38"/>
      <c r="OPQ226" s="38"/>
      <c r="OPR226" s="39"/>
      <c r="OPS226" s="34"/>
      <c r="OPT226" s="34"/>
      <c r="OPU226" s="34"/>
      <c r="OPV226" s="35"/>
      <c r="OPW226" s="35"/>
      <c r="OPX226" s="35"/>
      <c r="OPY226" s="35"/>
      <c r="OPZ226" s="35"/>
      <c r="OQA226" s="34"/>
      <c r="OQB226" s="34"/>
      <c r="OQC226" s="36"/>
      <c r="OQD226" s="36"/>
      <c r="OQE226" s="37"/>
      <c r="OQF226" s="37"/>
      <c r="OQG226" s="38"/>
      <c r="OQH226" s="38"/>
      <c r="OQI226" s="39"/>
      <c r="OQJ226" s="34"/>
      <c r="OQK226" s="34"/>
      <c r="OQL226" s="34"/>
      <c r="OQM226" s="35"/>
      <c r="OQN226" s="35"/>
      <c r="OQO226" s="35"/>
      <c r="OQP226" s="35"/>
      <c r="OQQ226" s="35"/>
      <c r="OQR226" s="34"/>
      <c r="OQS226" s="34"/>
      <c r="OQT226" s="36"/>
      <c r="OQU226" s="36"/>
      <c r="OQV226" s="37"/>
      <c r="OQW226" s="37"/>
      <c r="OQX226" s="38"/>
      <c r="OQY226" s="38"/>
      <c r="OQZ226" s="39"/>
      <c r="ORA226" s="34"/>
      <c r="ORB226" s="34"/>
      <c r="ORC226" s="34"/>
      <c r="ORD226" s="35"/>
      <c r="ORE226" s="35"/>
      <c r="ORF226" s="35"/>
      <c r="ORG226" s="35"/>
      <c r="ORH226" s="35"/>
      <c r="ORI226" s="34"/>
      <c r="ORJ226" s="34"/>
      <c r="ORK226" s="36"/>
      <c r="ORL226" s="36"/>
      <c r="ORM226" s="37"/>
      <c r="ORN226" s="37"/>
      <c r="ORO226" s="38"/>
      <c r="ORP226" s="38"/>
      <c r="ORQ226" s="39"/>
      <c r="ORR226" s="34"/>
      <c r="ORS226" s="34"/>
      <c r="ORT226" s="34"/>
      <c r="ORU226" s="35"/>
      <c r="ORV226" s="35"/>
      <c r="ORW226" s="35"/>
      <c r="ORX226" s="35"/>
      <c r="ORY226" s="35"/>
      <c r="ORZ226" s="34"/>
      <c r="OSA226" s="34"/>
      <c r="OSB226" s="36"/>
      <c r="OSC226" s="36"/>
      <c r="OSD226" s="37"/>
      <c r="OSE226" s="37"/>
      <c r="OSF226" s="38"/>
      <c r="OSG226" s="38"/>
      <c r="OSH226" s="39"/>
      <c r="OSI226" s="34"/>
      <c r="OSJ226" s="34"/>
      <c r="OSK226" s="34"/>
      <c r="OSL226" s="35"/>
      <c r="OSM226" s="35"/>
      <c r="OSN226" s="35"/>
      <c r="OSO226" s="35"/>
      <c r="OSP226" s="35"/>
      <c r="OSQ226" s="34"/>
      <c r="OSR226" s="34"/>
      <c r="OSS226" s="36"/>
      <c r="OST226" s="36"/>
      <c r="OSU226" s="37"/>
      <c r="OSV226" s="37"/>
      <c r="OSW226" s="38"/>
      <c r="OSX226" s="38"/>
      <c r="OSY226" s="39"/>
      <c r="OSZ226" s="34"/>
      <c r="OTA226" s="34"/>
      <c r="OTB226" s="34"/>
      <c r="OTC226" s="35"/>
      <c r="OTD226" s="35"/>
      <c r="OTE226" s="35"/>
      <c r="OTF226" s="35"/>
      <c r="OTG226" s="35"/>
      <c r="OTH226" s="34"/>
      <c r="OTI226" s="34"/>
      <c r="OTJ226" s="36"/>
      <c r="OTK226" s="36"/>
      <c r="OTL226" s="37"/>
      <c r="OTM226" s="37"/>
      <c r="OTN226" s="38"/>
      <c r="OTO226" s="38"/>
      <c r="OTP226" s="39"/>
      <c r="OTQ226" s="34"/>
      <c r="OTR226" s="34"/>
      <c r="OTS226" s="34"/>
      <c r="OTT226" s="35"/>
      <c r="OTU226" s="35"/>
      <c r="OTV226" s="35"/>
      <c r="OTW226" s="35"/>
      <c r="OTX226" s="35"/>
      <c r="OTY226" s="34"/>
      <c r="OTZ226" s="34"/>
      <c r="OUA226" s="36"/>
      <c r="OUB226" s="36"/>
      <c r="OUC226" s="37"/>
      <c r="OUD226" s="37"/>
      <c r="OUE226" s="38"/>
      <c r="OUF226" s="38"/>
      <c r="OUG226" s="39"/>
      <c r="OUH226" s="34"/>
      <c r="OUI226" s="34"/>
      <c r="OUJ226" s="34"/>
      <c r="OUK226" s="35"/>
      <c r="OUL226" s="35"/>
      <c r="OUM226" s="35"/>
      <c r="OUN226" s="35"/>
      <c r="OUO226" s="35"/>
      <c r="OUP226" s="34"/>
      <c r="OUQ226" s="34"/>
      <c r="OUR226" s="36"/>
      <c r="OUS226" s="36"/>
      <c r="OUT226" s="37"/>
      <c r="OUU226" s="37"/>
      <c r="OUV226" s="38"/>
      <c r="OUW226" s="38"/>
      <c r="OUX226" s="39"/>
      <c r="OUY226" s="34"/>
      <c r="OUZ226" s="34"/>
      <c r="OVA226" s="34"/>
      <c r="OVB226" s="35"/>
      <c r="OVC226" s="35"/>
      <c r="OVD226" s="35"/>
      <c r="OVE226" s="35"/>
      <c r="OVF226" s="35"/>
      <c r="OVG226" s="34"/>
      <c r="OVH226" s="34"/>
      <c r="OVI226" s="36"/>
      <c r="OVJ226" s="36"/>
      <c r="OVK226" s="37"/>
      <c r="OVL226" s="37"/>
      <c r="OVM226" s="38"/>
      <c r="OVN226" s="38"/>
      <c r="OVO226" s="39"/>
      <c r="OVP226" s="34"/>
      <c r="OVQ226" s="34"/>
      <c r="OVR226" s="34"/>
      <c r="OVS226" s="35"/>
      <c r="OVT226" s="35"/>
      <c r="OVU226" s="35"/>
      <c r="OVV226" s="35"/>
      <c r="OVW226" s="35"/>
      <c r="OVX226" s="34"/>
      <c r="OVY226" s="34"/>
      <c r="OVZ226" s="36"/>
      <c r="OWA226" s="36"/>
      <c r="OWB226" s="37"/>
      <c r="OWC226" s="37"/>
      <c r="OWD226" s="38"/>
      <c r="OWE226" s="38"/>
      <c r="OWF226" s="39"/>
      <c r="OWG226" s="34"/>
      <c r="OWH226" s="34"/>
      <c r="OWI226" s="34"/>
      <c r="OWJ226" s="35"/>
      <c r="OWK226" s="35"/>
      <c r="OWL226" s="35"/>
      <c r="OWM226" s="35"/>
      <c r="OWN226" s="35"/>
      <c r="OWO226" s="34"/>
      <c r="OWP226" s="34"/>
      <c r="OWQ226" s="36"/>
      <c r="OWR226" s="36"/>
      <c r="OWS226" s="37"/>
      <c r="OWT226" s="37"/>
      <c r="OWU226" s="38"/>
      <c r="OWV226" s="38"/>
      <c r="OWW226" s="39"/>
      <c r="OWX226" s="34"/>
      <c r="OWY226" s="34"/>
      <c r="OWZ226" s="34"/>
      <c r="OXA226" s="35"/>
      <c r="OXB226" s="35"/>
      <c r="OXC226" s="35"/>
      <c r="OXD226" s="35"/>
      <c r="OXE226" s="35"/>
      <c r="OXF226" s="34"/>
      <c r="OXG226" s="34"/>
      <c r="OXH226" s="36"/>
      <c r="OXI226" s="36"/>
      <c r="OXJ226" s="37"/>
      <c r="OXK226" s="37"/>
      <c r="OXL226" s="38"/>
      <c r="OXM226" s="38"/>
      <c r="OXN226" s="39"/>
      <c r="OXO226" s="34"/>
      <c r="OXP226" s="34"/>
      <c r="OXQ226" s="34"/>
      <c r="OXR226" s="35"/>
      <c r="OXS226" s="35"/>
      <c r="OXT226" s="35"/>
      <c r="OXU226" s="35"/>
      <c r="OXV226" s="35"/>
      <c r="OXW226" s="34"/>
      <c r="OXX226" s="34"/>
      <c r="OXY226" s="36"/>
      <c r="OXZ226" s="36"/>
      <c r="OYA226" s="37"/>
      <c r="OYB226" s="37"/>
      <c r="OYC226" s="38"/>
      <c r="OYD226" s="38"/>
      <c r="OYE226" s="39"/>
      <c r="OYF226" s="34"/>
      <c r="OYG226" s="34"/>
      <c r="OYH226" s="34"/>
      <c r="OYI226" s="35"/>
      <c r="OYJ226" s="35"/>
      <c r="OYK226" s="35"/>
      <c r="OYL226" s="35"/>
      <c r="OYM226" s="35"/>
      <c r="OYN226" s="34"/>
      <c r="OYO226" s="34"/>
      <c r="OYP226" s="36"/>
      <c r="OYQ226" s="36"/>
      <c r="OYR226" s="37"/>
      <c r="OYS226" s="37"/>
      <c r="OYT226" s="38"/>
      <c r="OYU226" s="38"/>
      <c r="OYV226" s="39"/>
      <c r="OYW226" s="34"/>
      <c r="OYX226" s="34"/>
      <c r="OYY226" s="34"/>
      <c r="OYZ226" s="35"/>
      <c r="OZA226" s="35"/>
      <c r="OZB226" s="35"/>
      <c r="OZC226" s="35"/>
      <c r="OZD226" s="35"/>
      <c r="OZE226" s="34"/>
      <c r="OZF226" s="34"/>
      <c r="OZG226" s="36"/>
      <c r="OZH226" s="36"/>
      <c r="OZI226" s="37"/>
      <c r="OZJ226" s="37"/>
      <c r="OZK226" s="38"/>
      <c r="OZL226" s="38"/>
      <c r="OZM226" s="39"/>
      <c r="OZN226" s="34"/>
      <c r="OZO226" s="34"/>
      <c r="OZP226" s="34"/>
      <c r="OZQ226" s="35"/>
      <c r="OZR226" s="35"/>
      <c r="OZS226" s="35"/>
      <c r="OZT226" s="35"/>
      <c r="OZU226" s="35"/>
      <c r="OZV226" s="34"/>
      <c r="OZW226" s="34"/>
      <c r="OZX226" s="36"/>
      <c r="OZY226" s="36"/>
      <c r="OZZ226" s="37"/>
      <c r="PAA226" s="37"/>
      <c r="PAB226" s="38"/>
      <c r="PAC226" s="38"/>
      <c r="PAD226" s="39"/>
      <c r="PAE226" s="34"/>
      <c r="PAF226" s="34"/>
      <c r="PAG226" s="34"/>
      <c r="PAH226" s="35"/>
      <c r="PAI226" s="35"/>
      <c r="PAJ226" s="35"/>
      <c r="PAK226" s="35"/>
      <c r="PAL226" s="35"/>
      <c r="PAM226" s="34"/>
      <c r="PAN226" s="34"/>
      <c r="PAO226" s="36"/>
      <c r="PAP226" s="36"/>
      <c r="PAQ226" s="37"/>
      <c r="PAR226" s="37"/>
      <c r="PAS226" s="38"/>
      <c r="PAT226" s="38"/>
      <c r="PAU226" s="39"/>
      <c r="PAV226" s="34"/>
      <c r="PAW226" s="34"/>
      <c r="PAX226" s="34"/>
      <c r="PAY226" s="35"/>
      <c r="PAZ226" s="35"/>
      <c r="PBA226" s="35"/>
      <c r="PBB226" s="35"/>
      <c r="PBC226" s="35"/>
      <c r="PBD226" s="34"/>
      <c r="PBE226" s="34"/>
      <c r="PBF226" s="36"/>
      <c r="PBG226" s="36"/>
      <c r="PBH226" s="37"/>
      <c r="PBI226" s="37"/>
      <c r="PBJ226" s="38"/>
      <c r="PBK226" s="38"/>
      <c r="PBL226" s="39"/>
      <c r="PBM226" s="34"/>
      <c r="PBN226" s="34"/>
      <c r="PBO226" s="34"/>
      <c r="PBP226" s="35"/>
      <c r="PBQ226" s="35"/>
      <c r="PBR226" s="35"/>
      <c r="PBS226" s="35"/>
      <c r="PBT226" s="35"/>
      <c r="PBU226" s="34"/>
      <c r="PBV226" s="34"/>
      <c r="PBW226" s="36"/>
      <c r="PBX226" s="36"/>
      <c r="PBY226" s="37"/>
      <c r="PBZ226" s="37"/>
      <c r="PCA226" s="38"/>
      <c r="PCB226" s="38"/>
      <c r="PCC226" s="39"/>
      <c r="PCD226" s="34"/>
      <c r="PCE226" s="34"/>
      <c r="PCF226" s="34"/>
      <c r="PCG226" s="35"/>
      <c r="PCH226" s="35"/>
      <c r="PCI226" s="35"/>
      <c r="PCJ226" s="35"/>
      <c r="PCK226" s="35"/>
      <c r="PCL226" s="34"/>
      <c r="PCM226" s="34"/>
      <c r="PCN226" s="36"/>
      <c r="PCO226" s="36"/>
      <c r="PCP226" s="37"/>
      <c r="PCQ226" s="37"/>
      <c r="PCR226" s="38"/>
      <c r="PCS226" s="38"/>
      <c r="PCT226" s="39"/>
      <c r="PCU226" s="34"/>
      <c r="PCV226" s="34"/>
      <c r="PCW226" s="34"/>
      <c r="PCX226" s="35"/>
      <c r="PCY226" s="35"/>
      <c r="PCZ226" s="35"/>
      <c r="PDA226" s="35"/>
      <c r="PDB226" s="35"/>
      <c r="PDC226" s="34"/>
      <c r="PDD226" s="34"/>
      <c r="PDE226" s="36"/>
      <c r="PDF226" s="36"/>
      <c r="PDG226" s="37"/>
      <c r="PDH226" s="37"/>
      <c r="PDI226" s="38"/>
      <c r="PDJ226" s="38"/>
      <c r="PDK226" s="39"/>
      <c r="PDL226" s="34"/>
      <c r="PDM226" s="34"/>
      <c r="PDN226" s="34"/>
      <c r="PDO226" s="35"/>
      <c r="PDP226" s="35"/>
      <c r="PDQ226" s="35"/>
      <c r="PDR226" s="35"/>
      <c r="PDS226" s="35"/>
      <c r="PDT226" s="34"/>
      <c r="PDU226" s="34"/>
      <c r="PDV226" s="36"/>
      <c r="PDW226" s="36"/>
      <c r="PDX226" s="37"/>
      <c r="PDY226" s="37"/>
      <c r="PDZ226" s="38"/>
      <c r="PEA226" s="38"/>
      <c r="PEB226" s="39"/>
      <c r="PEC226" s="34"/>
      <c r="PED226" s="34"/>
      <c r="PEE226" s="34"/>
      <c r="PEF226" s="35"/>
      <c r="PEG226" s="35"/>
      <c r="PEH226" s="35"/>
      <c r="PEI226" s="35"/>
      <c r="PEJ226" s="35"/>
      <c r="PEK226" s="34"/>
      <c r="PEL226" s="34"/>
      <c r="PEM226" s="36"/>
      <c r="PEN226" s="36"/>
      <c r="PEO226" s="37"/>
      <c r="PEP226" s="37"/>
      <c r="PEQ226" s="38"/>
      <c r="PER226" s="38"/>
      <c r="PES226" s="39"/>
      <c r="PET226" s="34"/>
      <c r="PEU226" s="34"/>
      <c r="PEV226" s="34"/>
      <c r="PEW226" s="35"/>
      <c r="PEX226" s="35"/>
      <c r="PEY226" s="35"/>
      <c r="PEZ226" s="35"/>
      <c r="PFA226" s="35"/>
      <c r="PFB226" s="34"/>
      <c r="PFC226" s="34"/>
      <c r="PFD226" s="36"/>
      <c r="PFE226" s="36"/>
      <c r="PFF226" s="37"/>
      <c r="PFG226" s="37"/>
      <c r="PFH226" s="38"/>
      <c r="PFI226" s="38"/>
      <c r="PFJ226" s="39"/>
      <c r="PFK226" s="34"/>
      <c r="PFL226" s="34"/>
      <c r="PFM226" s="34"/>
      <c r="PFN226" s="35"/>
      <c r="PFO226" s="35"/>
      <c r="PFP226" s="35"/>
      <c r="PFQ226" s="35"/>
      <c r="PFR226" s="35"/>
      <c r="PFS226" s="34"/>
      <c r="PFT226" s="34"/>
      <c r="PFU226" s="36"/>
      <c r="PFV226" s="36"/>
      <c r="PFW226" s="37"/>
      <c r="PFX226" s="37"/>
      <c r="PFY226" s="38"/>
      <c r="PFZ226" s="38"/>
      <c r="PGA226" s="39"/>
      <c r="PGB226" s="34"/>
      <c r="PGC226" s="34"/>
      <c r="PGD226" s="34"/>
      <c r="PGE226" s="35"/>
      <c r="PGF226" s="35"/>
      <c r="PGG226" s="35"/>
      <c r="PGH226" s="35"/>
      <c r="PGI226" s="35"/>
      <c r="PGJ226" s="34"/>
      <c r="PGK226" s="34"/>
      <c r="PGL226" s="36"/>
      <c r="PGM226" s="36"/>
      <c r="PGN226" s="37"/>
      <c r="PGO226" s="37"/>
      <c r="PGP226" s="38"/>
      <c r="PGQ226" s="38"/>
      <c r="PGR226" s="39"/>
      <c r="PGS226" s="34"/>
      <c r="PGT226" s="34"/>
      <c r="PGU226" s="34"/>
      <c r="PGV226" s="35"/>
      <c r="PGW226" s="35"/>
      <c r="PGX226" s="35"/>
      <c r="PGY226" s="35"/>
      <c r="PGZ226" s="35"/>
      <c r="PHA226" s="34"/>
      <c r="PHB226" s="34"/>
      <c r="PHC226" s="36"/>
      <c r="PHD226" s="36"/>
      <c r="PHE226" s="37"/>
      <c r="PHF226" s="37"/>
      <c r="PHG226" s="38"/>
      <c r="PHH226" s="38"/>
      <c r="PHI226" s="39"/>
      <c r="PHJ226" s="34"/>
      <c r="PHK226" s="34"/>
      <c r="PHL226" s="34"/>
      <c r="PHM226" s="35"/>
      <c r="PHN226" s="35"/>
      <c r="PHO226" s="35"/>
      <c r="PHP226" s="35"/>
      <c r="PHQ226" s="35"/>
      <c r="PHR226" s="34"/>
      <c r="PHS226" s="34"/>
      <c r="PHT226" s="36"/>
      <c r="PHU226" s="36"/>
      <c r="PHV226" s="37"/>
      <c r="PHW226" s="37"/>
      <c r="PHX226" s="38"/>
      <c r="PHY226" s="38"/>
      <c r="PHZ226" s="39"/>
      <c r="PIA226" s="34"/>
      <c r="PIB226" s="34"/>
      <c r="PIC226" s="34"/>
      <c r="PID226" s="35"/>
      <c r="PIE226" s="35"/>
      <c r="PIF226" s="35"/>
      <c r="PIG226" s="35"/>
      <c r="PIH226" s="35"/>
      <c r="PII226" s="34"/>
      <c r="PIJ226" s="34"/>
      <c r="PIK226" s="36"/>
      <c r="PIL226" s="36"/>
      <c r="PIM226" s="37"/>
      <c r="PIN226" s="37"/>
      <c r="PIO226" s="38"/>
      <c r="PIP226" s="38"/>
      <c r="PIQ226" s="39"/>
      <c r="PIR226" s="34"/>
      <c r="PIS226" s="34"/>
      <c r="PIT226" s="34"/>
      <c r="PIU226" s="35"/>
      <c r="PIV226" s="35"/>
      <c r="PIW226" s="35"/>
      <c r="PIX226" s="35"/>
      <c r="PIY226" s="35"/>
      <c r="PIZ226" s="34"/>
      <c r="PJA226" s="34"/>
      <c r="PJB226" s="36"/>
      <c r="PJC226" s="36"/>
      <c r="PJD226" s="37"/>
      <c r="PJE226" s="37"/>
      <c r="PJF226" s="38"/>
      <c r="PJG226" s="38"/>
      <c r="PJH226" s="39"/>
      <c r="PJI226" s="34"/>
      <c r="PJJ226" s="34"/>
      <c r="PJK226" s="34"/>
      <c r="PJL226" s="35"/>
      <c r="PJM226" s="35"/>
      <c r="PJN226" s="35"/>
      <c r="PJO226" s="35"/>
      <c r="PJP226" s="35"/>
      <c r="PJQ226" s="34"/>
      <c r="PJR226" s="34"/>
      <c r="PJS226" s="36"/>
      <c r="PJT226" s="36"/>
      <c r="PJU226" s="37"/>
      <c r="PJV226" s="37"/>
      <c r="PJW226" s="38"/>
      <c r="PJX226" s="38"/>
      <c r="PJY226" s="39"/>
      <c r="PJZ226" s="34"/>
      <c r="PKA226" s="34"/>
      <c r="PKB226" s="34"/>
      <c r="PKC226" s="35"/>
      <c r="PKD226" s="35"/>
      <c r="PKE226" s="35"/>
      <c r="PKF226" s="35"/>
      <c r="PKG226" s="35"/>
      <c r="PKH226" s="34"/>
      <c r="PKI226" s="34"/>
      <c r="PKJ226" s="36"/>
      <c r="PKK226" s="36"/>
      <c r="PKL226" s="37"/>
      <c r="PKM226" s="37"/>
      <c r="PKN226" s="38"/>
      <c r="PKO226" s="38"/>
      <c r="PKP226" s="39"/>
      <c r="PKQ226" s="34"/>
      <c r="PKR226" s="34"/>
      <c r="PKS226" s="34"/>
      <c r="PKT226" s="35"/>
      <c r="PKU226" s="35"/>
      <c r="PKV226" s="35"/>
      <c r="PKW226" s="35"/>
      <c r="PKX226" s="35"/>
      <c r="PKY226" s="34"/>
      <c r="PKZ226" s="34"/>
      <c r="PLA226" s="36"/>
      <c r="PLB226" s="36"/>
      <c r="PLC226" s="37"/>
      <c r="PLD226" s="37"/>
      <c r="PLE226" s="38"/>
      <c r="PLF226" s="38"/>
      <c r="PLG226" s="39"/>
      <c r="PLH226" s="34"/>
      <c r="PLI226" s="34"/>
      <c r="PLJ226" s="34"/>
      <c r="PLK226" s="35"/>
      <c r="PLL226" s="35"/>
      <c r="PLM226" s="35"/>
      <c r="PLN226" s="35"/>
      <c r="PLO226" s="35"/>
      <c r="PLP226" s="34"/>
      <c r="PLQ226" s="34"/>
      <c r="PLR226" s="36"/>
      <c r="PLS226" s="36"/>
      <c r="PLT226" s="37"/>
      <c r="PLU226" s="37"/>
      <c r="PLV226" s="38"/>
      <c r="PLW226" s="38"/>
      <c r="PLX226" s="39"/>
      <c r="PLY226" s="34"/>
      <c r="PLZ226" s="34"/>
      <c r="PMA226" s="34"/>
      <c r="PMB226" s="35"/>
      <c r="PMC226" s="35"/>
      <c r="PMD226" s="35"/>
      <c r="PME226" s="35"/>
      <c r="PMF226" s="35"/>
      <c r="PMG226" s="34"/>
      <c r="PMH226" s="34"/>
      <c r="PMI226" s="36"/>
      <c r="PMJ226" s="36"/>
      <c r="PMK226" s="37"/>
      <c r="PML226" s="37"/>
      <c r="PMM226" s="38"/>
      <c r="PMN226" s="38"/>
      <c r="PMO226" s="39"/>
      <c r="PMP226" s="34"/>
      <c r="PMQ226" s="34"/>
      <c r="PMR226" s="34"/>
      <c r="PMS226" s="35"/>
      <c r="PMT226" s="35"/>
      <c r="PMU226" s="35"/>
      <c r="PMV226" s="35"/>
      <c r="PMW226" s="35"/>
      <c r="PMX226" s="34"/>
      <c r="PMY226" s="34"/>
      <c r="PMZ226" s="36"/>
      <c r="PNA226" s="36"/>
      <c r="PNB226" s="37"/>
      <c r="PNC226" s="37"/>
      <c r="PND226" s="38"/>
      <c r="PNE226" s="38"/>
      <c r="PNF226" s="39"/>
      <c r="PNG226" s="34"/>
      <c r="PNH226" s="34"/>
      <c r="PNI226" s="34"/>
      <c r="PNJ226" s="35"/>
      <c r="PNK226" s="35"/>
      <c r="PNL226" s="35"/>
      <c r="PNM226" s="35"/>
      <c r="PNN226" s="35"/>
      <c r="PNO226" s="34"/>
      <c r="PNP226" s="34"/>
      <c r="PNQ226" s="36"/>
      <c r="PNR226" s="36"/>
      <c r="PNS226" s="37"/>
      <c r="PNT226" s="37"/>
      <c r="PNU226" s="38"/>
      <c r="PNV226" s="38"/>
      <c r="PNW226" s="39"/>
      <c r="PNX226" s="34"/>
      <c r="PNY226" s="34"/>
      <c r="PNZ226" s="34"/>
      <c r="POA226" s="35"/>
      <c r="POB226" s="35"/>
      <c r="POC226" s="35"/>
      <c r="POD226" s="35"/>
      <c r="POE226" s="35"/>
      <c r="POF226" s="34"/>
      <c r="POG226" s="34"/>
      <c r="POH226" s="36"/>
      <c r="POI226" s="36"/>
      <c r="POJ226" s="37"/>
      <c r="POK226" s="37"/>
      <c r="POL226" s="38"/>
      <c r="POM226" s="38"/>
      <c r="PON226" s="39"/>
      <c r="POO226" s="34"/>
      <c r="POP226" s="34"/>
      <c r="POQ226" s="34"/>
      <c r="POR226" s="35"/>
      <c r="POS226" s="35"/>
      <c r="POT226" s="35"/>
      <c r="POU226" s="35"/>
      <c r="POV226" s="35"/>
      <c r="POW226" s="34"/>
      <c r="POX226" s="34"/>
      <c r="POY226" s="36"/>
      <c r="POZ226" s="36"/>
      <c r="PPA226" s="37"/>
      <c r="PPB226" s="37"/>
      <c r="PPC226" s="38"/>
      <c r="PPD226" s="38"/>
      <c r="PPE226" s="39"/>
      <c r="PPF226" s="34"/>
      <c r="PPG226" s="34"/>
      <c r="PPH226" s="34"/>
      <c r="PPI226" s="35"/>
      <c r="PPJ226" s="35"/>
      <c r="PPK226" s="35"/>
      <c r="PPL226" s="35"/>
      <c r="PPM226" s="35"/>
      <c r="PPN226" s="34"/>
      <c r="PPO226" s="34"/>
      <c r="PPP226" s="36"/>
      <c r="PPQ226" s="36"/>
      <c r="PPR226" s="37"/>
      <c r="PPS226" s="37"/>
      <c r="PPT226" s="38"/>
      <c r="PPU226" s="38"/>
      <c r="PPV226" s="39"/>
      <c r="PPW226" s="34"/>
      <c r="PPX226" s="34"/>
      <c r="PPY226" s="34"/>
      <c r="PPZ226" s="35"/>
      <c r="PQA226" s="35"/>
      <c r="PQB226" s="35"/>
      <c r="PQC226" s="35"/>
      <c r="PQD226" s="35"/>
      <c r="PQE226" s="34"/>
      <c r="PQF226" s="34"/>
      <c r="PQG226" s="36"/>
      <c r="PQH226" s="36"/>
      <c r="PQI226" s="37"/>
      <c r="PQJ226" s="37"/>
      <c r="PQK226" s="38"/>
      <c r="PQL226" s="38"/>
      <c r="PQM226" s="39"/>
      <c r="PQN226" s="34"/>
      <c r="PQO226" s="34"/>
      <c r="PQP226" s="34"/>
      <c r="PQQ226" s="35"/>
      <c r="PQR226" s="35"/>
      <c r="PQS226" s="35"/>
      <c r="PQT226" s="35"/>
      <c r="PQU226" s="35"/>
      <c r="PQV226" s="34"/>
      <c r="PQW226" s="34"/>
      <c r="PQX226" s="36"/>
      <c r="PQY226" s="36"/>
      <c r="PQZ226" s="37"/>
      <c r="PRA226" s="37"/>
      <c r="PRB226" s="38"/>
      <c r="PRC226" s="38"/>
      <c r="PRD226" s="39"/>
      <c r="PRE226" s="34"/>
      <c r="PRF226" s="34"/>
      <c r="PRG226" s="34"/>
      <c r="PRH226" s="35"/>
      <c r="PRI226" s="35"/>
      <c r="PRJ226" s="35"/>
      <c r="PRK226" s="35"/>
      <c r="PRL226" s="35"/>
      <c r="PRM226" s="34"/>
      <c r="PRN226" s="34"/>
      <c r="PRO226" s="36"/>
      <c r="PRP226" s="36"/>
      <c r="PRQ226" s="37"/>
      <c r="PRR226" s="37"/>
      <c r="PRS226" s="38"/>
      <c r="PRT226" s="38"/>
      <c r="PRU226" s="39"/>
      <c r="PRV226" s="34"/>
      <c r="PRW226" s="34"/>
      <c r="PRX226" s="34"/>
      <c r="PRY226" s="35"/>
      <c r="PRZ226" s="35"/>
      <c r="PSA226" s="35"/>
      <c r="PSB226" s="35"/>
      <c r="PSC226" s="35"/>
      <c r="PSD226" s="34"/>
      <c r="PSE226" s="34"/>
      <c r="PSF226" s="36"/>
      <c r="PSG226" s="36"/>
      <c r="PSH226" s="37"/>
      <c r="PSI226" s="37"/>
      <c r="PSJ226" s="38"/>
      <c r="PSK226" s="38"/>
      <c r="PSL226" s="39"/>
      <c r="PSM226" s="34"/>
      <c r="PSN226" s="34"/>
      <c r="PSO226" s="34"/>
      <c r="PSP226" s="35"/>
      <c r="PSQ226" s="35"/>
      <c r="PSR226" s="35"/>
      <c r="PSS226" s="35"/>
      <c r="PST226" s="35"/>
      <c r="PSU226" s="34"/>
      <c r="PSV226" s="34"/>
      <c r="PSW226" s="36"/>
      <c r="PSX226" s="36"/>
      <c r="PSY226" s="37"/>
      <c r="PSZ226" s="37"/>
      <c r="PTA226" s="38"/>
      <c r="PTB226" s="38"/>
      <c r="PTC226" s="39"/>
      <c r="PTD226" s="34"/>
      <c r="PTE226" s="34"/>
      <c r="PTF226" s="34"/>
      <c r="PTG226" s="35"/>
      <c r="PTH226" s="35"/>
      <c r="PTI226" s="35"/>
      <c r="PTJ226" s="35"/>
      <c r="PTK226" s="35"/>
      <c r="PTL226" s="34"/>
      <c r="PTM226" s="34"/>
      <c r="PTN226" s="36"/>
      <c r="PTO226" s="36"/>
      <c r="PTP226" s="37"/>
      <c r="PTQ226" s="37"/>
      <c r="PTR226" s="38"/>
      <c r="PTS226" s="38"/>
      <c r="PTT226" s="39"/>
      <c r="PTU226" s="34"/>
      <c r="PTV226" s="34"/>
      <c r="PTW226" s="34"/>
      <c r="PTX226" s="35"/>
      <c r="PTY226" s="35"/>
      <c r="PTZ226" s="35"/>
      <c r="PUA226" s="35"/>
      <c r="PUB226" s="35"/>
      <c r="PUC226" s="34"/>
      <c r="PUD226" s="34"/>
      <c r="PUE226" s="36"/>
      <c r="PUF226" s="36"/>
      <c r="PUG226" s="37"/>
      <c r="PUH226" s="37"/>
      <c r="PUI226" s="38"/>
      <c r="PUJ226" s="38"/>
      <c r="PUK226" s="39"/>
      <c r="PUL226" s="34"/>
      <c r="PUM226" s="34"/>
      <c r="PUN226" s="34"/>
      <c r="PUO226" s="35"/>
      <c r="PUP226" s="35"/>
      <c r="PUQ226" s="35"/>
      <c r="PUR226" s="35"/>
      <c r="PUS226" s="35"/>
      <c r="PUT226" s="34"/>
      <c r="PUU226" s="34"/>
      <c r="PUV226" s="36"/>
      <c r="PUW226" s="36"/>
      <c r="PUX226" s="37"/>
      <c r="PUY226" s="37"/>
      <c r="PUZ226" s="38"/>
      <c r="PVA226" s="38"/>
      <c r="PVB226" s="39"/>
      <c r="PVC226" s="34"/>
      <c r="PVD226" s="34"/>
      <c r="PVE226" s="34"/>
      <c r="PVF226" s="35"/>
      <c r="PVG226" s="35"/>
      <c r="PVH226" s="35"/>
      <c r="PVI226" s="35"/>
      <c r="PVJ226" s="35"/>
      <c r="PVK226" s="34"/>
      <c r="PVL226" s="34"/>
      <c r="PVM226" s="36"/>
      <c r="PVN226" s="36"/>
      <c r="PVO226" s="37"/>
      <c r="PVP226" s="37"/>
      <c r="PVQ226" s="38"/>
      <c r="PVR226" s="38"/>
      <c r="PVS226" s="39"/>
      <c r="PVT226" s="34"/>
      <c r="PVU226" s="34"/>
      <c r="PVV226" s="34"/>
      <c r="PVW226" s="35"/>
      <c r="PVX226" s="35"/>
      <c r="PVY226" s="35"/>
      <c r="PVZ226" s="35"/>
      <c r="PWA226" s="35"/>
      <c r="PWB226" s="34"/>
      <c r="PWC226" s="34"/>
      <c r="PWD226" s="36"/>
      <c r="PWE226" s="36"/>
      <c r="PWF226" s="37"/>
      <c r="PWG226" s="37"/>
      <c r="PWH226" s="38"/>
      <c r="PWI226" s="38"/>
      <c r="PWJ226" s="39"/>
      <c r="PWK226" s="34"/>
      <c r="PWL226" s="34"/>
      <c r="PWM226" s="34"/>
      <c r="PWN226" s="35"/>
      <c r="PWO226" s="35"/>
      <c r="PWP226" s="35"/>
      <c r="PWQ226" s="35"/>
      <c r="PWR226" s="35"/>
      <c r="PWS226" s="34"/>
      <c r="PWT226" s="34"/>
      <c r="PWU226" s="36"/>
      <c r="PWV226" s="36"/>
      <c r="PWW226" s="37"/>
      <c r="PWX226" s="37"/>
      <c r="PWY226" s="38"/>
      <c r="PWZ226" s="38"/>
      <c r="PXA226" s="39"/>
      <c r="PXB226" s="34"/>
      <c r="PXC226" s="34"/>
      <c r="PXD226" s="34"/>
      <c r="PXE226" s="35"/>
      <c r="PXF226" s="35"/>
      <c r="PXG226" s="35"/>
      <c r="PXH226" s="35"/>
      <c r="PXI226" s="35"/>
      <c r="PXJ226" s="34"/>
      <c r="PXK226" s="34"/>
      <c r="PXL226" s="36"/>
      <c r="PXM226" s="36"/>
      <c r="PXN226" s="37"/>
      <c r="PXO226" s="37"/>
      <c r="PXP226" s="38"/>
      <c r="PXQ226" s="38"/>
      <c r="PXR226" s="39"/>
      <c r="PXS226" s="34"/>
      <c r="PXT226" s="34"/>
      <c r="PXU226" s="34"/>
      <c r="PXV226" s="35"/>
      <c r="PXW226" s="35"/>
      <c r="PXX226" s="35"/>
      <c r="PXY226" s="35"/>
      <c r="PXZ226" s="35"/>
      <c r="PYA226" s="34"/>
      <c r="PYB226" s="34"/>
      <c r="PYC226" s="36"/>
      <c r="PYD226" s="36"/>
      <c r="PYE226" s="37"/>
      <c r="PYF226" s="37"/>
      <c r="PYG226" s="38"/>
      <c r="PYH226" s="38"/>
      <c r="PYI226" s="39"/>
      <c r="PYJ226" s="34"/>
      <c r="PYK226" s="34"/>
      <c r="PYL226" s="34"/>
      <c r="PYM226" s="35"/>
      <c r="PYN226" s="35"/>
      <c r="PYO226" s="35"/>
      <c r="PYP226" s="35"/>
      <c r="PYQ226" s="35"/>
      <c r="PYR226" s="34"/>
      <c r="PYS226" s="34"/>
      <c r="PYT226" s="36"/>
      <c r="PYU226" s="36"/>
      <c r="PYV226" s="37"/>
      <c r="PYW226" s="37"/>
      <c r="PYX226" s="38"/>
      <c r="PYY226" s="38"/>
      <c r="PYZ226" s="39"/>
      <c r="PZA226" s="34"/>
      <c r="PZB226" s="34"/>
      <c r="PZC226" s="34"/>
      <c r="PZD226" s="35"/>
      <c r="PZE226" s="35"/>
      <c r="PZF226" s="35"/>
      <c r="PZG226" s="35"/>
      <c r="PZH226" s="35"/>
      <c r="PZI226" s="34"/>
      <c r="PZJ226" s="34"/>
      <c r="PZK226" s="36"/>
      <c r="PZL226" s="36"/>
      <c r="PZM226" s="37"/>
      <c r="PZN226" s="37"/>
      <c r="PZO226" s="38"/>
      <c r="PZP226" s="38"/>
      <c r="PZQ226" s="39"/>
      <c r="PZR226" s="34"/>
      <c r="PZS226" s="34"/>
      <c r="PZT226" s="34"/>
      <c r="PZU226" s="35"/>
      <c r="PZV226" s="35"/>
      <c r="PZW226" s="35"/>
      <c r="PZX226" s="35"/>
      <c r="PZY226" s="35"/>
      <c r="PZZ226" s="34"/>
      <c r="QAA226" s="34"/>
      <c r="QAB226" s="36"/>
      <c r="QAC226" s="36"/>
      <c r="QAD226" s="37"/>
      <c r="QAE226" s="37"/>
      <c r="QAF226" s="38"/>
      <c r="QAG226" s="38"/>
      <c r="QAH226" s="39"/>
      <c r="QAI226" s="34"/>
      <c r="QAJ226" s="34"/>
      <c r="QAK226" s="34"/>
      <c r="QAL226" s="35"/>
      <c r="QAM226" s="35"/>
      <c r="QAN226" s="35"/>
      <c r="QAO226" s="35"/>
      <c r="QAP226" s="35"/>
      <c r="QAQ226" s="34"/>
      <c r="QAR226" s="34"/>
      <c r="QAS226" s="36"/>
      <c r="QAT226" s="36"/>
      <c r="QAU226" s="37"/>
      <c r="QAV226" s="37"/>
      <c r="QAW226" s="38"/>
      <c r="QAX226" s="38"/>
      <c r="QAY226" s="39"/>
      <c r="QAZ226" s="34"/>
      <c r="QBA226" s="34"/>
      <c r="QBB226" s="34"/>
      <c r="QBC226" s="35"/>
      <c r="QBD226" s="35"/>
      <c r="QBE226" s="35"/>
      <c r="QBF226" s="35"/>
      <c r="QBG226" s="35"/>
      <c r="QBH226" s="34"/>
      <c r="QBI226" s="34"/>
      <c r="QBJ226" s="36"/>
      <c r="QBK226" s="36"/>
      <c r="QBL226" s="37"/>
      <c r="QBM226" s="37"/>
      <c r="QBN226" s="38"/>
      <c r="QBO226" s="38"/>
      <c r="QBP226" s="39"/>
      <c r="QBQ226" s="34"/>
      <c r="QBR226" s="34"/>
      <c r="QBS226" s="34"/>
      <c r="QBT226" s="35"/>
      <c r="QBU226" s="35"/>
      <c r="QBV226" s="35"/>
      <c r="QBW226" s="35"/>
      <c r="QBX226" s="35"/>
      <c r="QBY226" s="34"/>
      <c r="QBZ226" s="34"/>
      <c r="QCA226" s="36"/>
      <c r="QCB226" s="36"/>
      <c r="QCC226" s="37"/>
      <c r="QCD226" s="37"/>
      <c r="QCE226" s="38"/>
      <c r="QCF226" s="38"/>
      <c r="QCG226" s="39"/>
      <c r="QCH226" s="34"/>
      <c r="QCI226" s="34"/>
      <c r="QCJ226" s="34"/>
      <c r="QCK226" s="35"/>
      <c r="QCL226" s="35"/>
      <c r="QCM226" s="35"/>
      <c r="QCN226" s="35"/>
      <c r="QCO226" s="35"/>
      <c r="QCP226" s="34"/>
      <c r="QCQ226" s="34"/>
      <c r="QCR226" s="36"/>
      <c r="QCS226" s="36"/>
      <c r="QCT226" s="37"/>
      <c r="QCU226" s="37"/>
      <c r="QCV226" s="38"/>
      <c r="QCW226" s="38"/>
      <c r="QCX226" s="39"/>
      <c r="QCY226" s="34"/>
      <c r="QCZ226" s="34"/>
      <c r="QDA226" s="34"/>
      <c r="QDB226" s="35"/>
      <c r="QDC226" s="35"/>
      <c r="QDD226" s="35"/>
      <c r="QDE226" s="35"/>
      <c r="QDF226" s="35"/>
      <c r="QDG226" s="34"/>
      <c r="QDH226" s="34"/>
      <c r="QDI226" s="36"/>
      <c r="QDJ226" s="36"/>
      <c r="QDK226" s="37"/>
      <c r="QDL226" s="37"/>
      <c r="QDM226" s="38"/>
      <c r="QDN226" s="38"/>
      <c r="QDO226" s="39"/>
      <c r="QDP226" s="34"/>
      <c r="QDQ226" s="34"/>
      <c r="QDR226" s="34"/>
      <c r="QDS226" s="35"/>
      <c r="QDT226" s="35"/>
      <c r="QDU226" s="35"/>
      <c r="QDV226" s="35"/>
      <c r="QDW226" s="35"/>
      <c r="QDX226" s="34"/>
      <c r="QDY226" s="34"/>
      <c r="QDZ226" s="36"/>
      <c r="QEA226" s="36"/>
      <c r="QEB226" s="37"/>
      <c r="QEC226" s="37"/>
      <c r="QED226" s="38"/>
      <c r="QEE226" s="38"/>
      <c r="QEF226" s="39"/>
      <c r="QEG226" s="34"/>
      <c r="QEH226" s="34"/>
      <c r="QEI226" s="34"/>
      <c r="QEJ226" s="35"/>
      <c r="QEK226" s="35"/>
      <c r="QEL226" s="35"/>
      <c r="QEM226" s="35"/>
      <c r="QEN226" s="35"/>
      <c r="QEO226" s="34"/>
      <c r="QEP226" s="34"/>
      <c r="QEQ226" s="36"/>
      <c r="QER226" s="36"/>
      <c r="QES226" s="37"/>
      <c r="QET226" s="37"/>
      <c r="QEU226" s="38"/>
      <c r="QEV226" s="38"/>
      <c r="QEW226" s="39"/>
      <c r="QEX226" s="34"/>
      <c r="QEY226" s="34"/>
      <c r="QEZ226" s="34"/>
      <c r="QFA226" s="35"/>
      <c r="QFB226" s="35"/>
      <c r="QFC226" s="35"/>
      <c r="QFD226" s="35"/>
      <c r="QFE226" s="35"/>
      <c r="QFF226" s="34"/>
      <c r="QFG226" s="34"/>
      <c r="QFH226" s="36"/>
      <c r="QFI226" s="36"/>
      <c r="QFJ226" s="37"/>
      <c r="QFK226" s="37"/>
      <c r="QFL226" s="38"/>
      <c r="QFM226" s="38"/>
      <c r="QFN226" s="39"/>
      <c r="QFO226" s="34"/>
      <c r="QFP226" s="34"/>
      <c r="QFQ226" s="34"/>
      <c r="QFR226" s="35"/>
      <c r="QFS226" s="35"/>
      <c r="QFT226" s="35"/>
      <c r="QFU226" s="35"/>
      <c r="QFV226" s="35"/>
      <c r="QFW226" s="34"/>
      <c r="QFX226" s="34"/>
      <c r="QFY226" s="36"/>
      <c r="QFZ226" s="36"/>
      <c r="QGA226" s="37"/>
      <c r="QGB226" s="37"/>
      <c r="QGC226" s="38"/>
      <c r="QGD226" s="38"/>
      <c r="QGE226" s="39"/>
      <c r="QGF226" s="34"/>
      <c r="QGG226" s="34"/>
      <c r="QGH226" s="34"/>
      <c r="QGI226" s="35"/>
      <c r="QGJ226" s="35"/>
      <c r="QGK226" s="35"/>
      <c r="QGL226" s="35"/>
      <c r="QGM226" s="35"/>
      <c r="QGN226" s="34"/>
      <c r="QGO226" s="34"/>
      <c r="QGP226" s="36"/>
      <c r="QGQ226" s="36"/>
      <c r="QGR226" s="37"/>
      <c r="QGS226" s="37"/>
      <c r="QGT226" s="38"/>
      <c r="QGU226" s="38"/>
      <c r="QGV226" s="39"/>
      <c r="QGW226" s="34"/>
      <c r="QGX226" s="34"/>
      <c r="QGY226" s="34"/>
      <c r="QGZ226" s="35"/>
      <c r="QHA226" s="35"/>
      <c r="QHB226" s="35"/>
      <c r="QHC226" s="35"/>
      <c r="QHD226" s="35"/>
      <c r="QHE226" s="34"/>
      <c r="QHF226" s="34"/>
      <c r="QHG226" s="36"/>
      <c r="QHH226" s="36"/>
      <c r="QHI226" s="37"/>
      <c r="QHJ226" s="37"/>
      <c r="QHK226" s="38"/>
      <c r="QHL226" s="38"/>
      <c r="QHM226" s="39"/>
      <c r="QHN226" s="34"/>
      <c r="QHO226" s="34"/>
      <c r="QHP226" s="34"/>
      <c r="QHQ226" s="35"/>
      <c r="QHR226" s="35"/>
      <c r="QHS226" s="35"/>
      <c r="QHT226" s="35"/>
      <c r="QHU226" s="35"/>
      <c r="QHV226" s="34"/>
      <c r="QHW226" s="34"/>
      <c r="QHX226" s="36"/>
      <c r="QHY226" s="36"/>
      <c r="QHZ226" s="37"/>
      <c r="QIA226" s="37"/>
      <c r="QIB226" s="38"/>
      <c r="QIC226" s="38"/>
      <c r="QID226" s="39"/>
      <c r="QIE226" s="34"/>
      <c r="QIF226" s="34"/>
      <c r="QIG226" s="34"/>
      <c r="QIH226" s="35"/>
      <c r="QII226" s="35"/>
      <c r="QIJ226" s="35"/>
      <c r="QIK226" s="35"/>
      <c r="QIL226" s="35"/>
      <c r="QIM226" s="34"/>
      <c r="QIN226" s="34"/>
      <c r="QIO226" s="36"/>
      <c r="QIP226" s="36"/>
      <c r="QIQ226" s="37"/>
      <c r="QIR226" s="37"/>
      <c r="QIS226" s="38"/>
      <c r="QIT226" s="38"/>
      <c r="QIU226" s="39"/>
      <c r="QIV226" s="34"/>
      <c r="QIW226" s="34"/>
      <c r="QIX226" s="34"/>
      <c r="QIY226" s="35"/>
      <c r="QIZ226" s="35"/>
      <c r="QJA226" s="35"/>
      <c r="QJB226" s="35"/>
      <c r="QJC226" s="35"/>
      <c r="QJD226" s="34"/>
      <c r="QJE226" s="34"/>
      <c r="QJF226" s="36"/>
      <c r="QJG226" s="36"/>
      <c r="QJH226" s="37"/>
      <c r="QJI226" s="37"/>
      <c r="QJJ226" s="38"/>
      <c r="QJK226" s="38"/>
      <c r="QJL226" s="39"/>
      <c r="QJM226" s="34"/>
      <c r="QJN226" s="34"/>
      <c r="QJO226" s="34"/>
      <c r="QJP226" s="35"/>
      <c r="QJQ226" s="35"/>
      <c r="QJR226" s="35"/>
      <c r="QJS226" s="35"/>
      <c r="QJT226" s="35"/>
      <c r="QJU226" s="34"/>
      <c r="QJV226" s="34"/>
      <c r="QJW226" s="36"/>
      <c r="QJX226" s="36"/>
      <c r="QJY226" s="37"/>
      <c r="QJZ226" s="37"/>
      <c r="QKA226" s="38"/>
      <c r="QKB226" s="38"/>
      <c r="QKC226" s="39"/>
      <c r="QKD226" s="34"/>
      <c r="QKE226" s="34"/>
      <c r="QKF226" s="34"/>
      <c r="QKG226" s="35"/>
      <c r="QKH226" s="35"/>
      <c r="QKI226" s="35"/>
      <c r="QKJ226" s="35"/>
      <c r="QKK226" s="35"/>
      <c r="QKL226" s="34"/>
      <c r="QKM226" s="34"/>
      <c r="QKN226" s="36"/>
      <c r="QKO226" s="36"/>
      <c r="QKP226" s="37"/>
      <c r="QKQ226" s="37"/>
      <c r="QKR226" s="38"/>
      <c r="QKS226" s="38"/>
      <c r="QKT226" s="39"/>
      <c r="QKU226" s="34"/>
      <c r="QKV226" s="34"/>
      <c r="QKW226" s="34"/>
      <c r="QKX226" s="35"/>
      <c r="QKY226" s="35"/>
      <c r="QKZ226" s="35"/>
      <c r="QLA226" s="35"/>
      <c r="QLB226" s="35"/>
      <c r="QLC226" s="34"/>
      <c r="QLD226" s="34"/>
      <c r="QLE226" s="36"/>
      <c r="QLF226" s="36"/>
      <c r="QLG226" s="37"/>
      <c r="QLH226" s="37"/>
      <c r="QLI226" s="38"/>
      <c r="QLJ226" s="38"/>
      <c r="QLK226" s="39"/>
      <c r="QLL226" s="34"/>
      <c r="QLM226" s="34"/>
      <c r="QLN226" s="34"/>
      <c r="QLO226" s="35"/>
      <c r="QLP226" s="35"/>
      <c r="QLQ226" s="35"/>
      <c r="QLR226" s="35"/>
      <c r="QLS226" s="35"/>
      <c r="QLT226" s="34"/>
      <c r="QLU226" s="34"/>
      <c r="QLV226" s="36"/>
      <c r="QLW226" s="36"/>
      <c r="QLX226" s="37"/>
      <c r="QLY226" s="37"/>
      <c r="QLZ226" s="38"/>
      <c r="QMA226" s="38"/>
      <c r="QMB226" s="39"/>
      <c r="QMC226" s="34"/>
      <c r="QMD226" s="34"/>
      <c r="QME226" s="34"/>
      <c r="QMF226" s="35"/>
      <c r="QMG226" s="35"/>
      <c r="QMH226" s="35"/>
      <c r="QMI226" s="35"/>
      <c r="QMJ226" s="35"/>
      <c r="QMK226" s="34"/>
      <c r="QML226" s="34"/>
      <c r="QMM226" s="36"/>
      <c r="QMN226" s="36"/>
      <c r="QMO226" s="37"/>
      <c r="QMP226" s="37"/>
      <c r="QMQ226" s="38"/>
      <c r="QMR226" s="38"/>
      <c r="QMS226" s="39"/>
      <c r="QMT226" s="34"/>
      <c r="QMU226" s="34"/>
      <c r="QMV226" s="34"/>
      <c r="QMW226" s="35"/>
      <c r="QMX226" s="35"/>
      <c r="QMY226" s="35"/>
      <c r="QMZ226" s="35"/>
      <c r="QNA226" s="35"/>
      <c r="QNB226" s="34"/>
      <c r="QNC226" s="34"/>
      <c r="QND226" s="36"/>
      <c r="QNE226" s="36"/>
      <c r="QNF226" s="37"/>
      <c r="QNG226" s="37"/>
      <c r="QNH226" s="38"/>
      <c r="QNI226" s="38"/>
      <c r="QNJ226" s="39"/>
      <c r="QNK226" s="34"/>
      <c r="QNL226" s="34"/>
      <c r="QNM226" s="34"/>
      <c r="QNN226" s="35"/>
      <c r="QNO226" s="35"/>
      <c r="QNP226" s="35"/>
      <c r="QNQ226" s="35"/>
      <c r="QNR226" s="35"/>
      <c r="QNS226" s="34"/>
      <c r="QNT226" s="34"/>
      <c r="QNU226" s="36"/>
      <c r="QNV226" s="36"/>
      <c r="QNW226" s="37"/>
      <c r="QNX226" s="37"/>
      <c r="QNY226" s="38"/>
      <c r="QNZ226" s="38"/>
      <c r="QOA226" s="39"/>
      <c r="QOB226" s="34"/>
      <c r="QOC226" s="34"/>
      <c r="QOD226" s="34"/>
      <c r="QOE226" s="35"/>
      <c r="QOF226" s="35"/>
      <c r="QOG226" s="35"/>
      <c r="QOH226" s="35"/>
      <c r="QOI226" s="35"/>
      <c r="QOJ226" s="34"/>
      <c r="QOK226" s="34"/>
      <c r="QOL226" s="36"/>
      <c r="QOM226" s="36"/>
      <c r="QON226" s="37"/>
      <c r="QOO226" s="37"/>
      <c r="QOP226" s="38"/>
      <c r="QOQ226" s="38"/>
      <c r="QOR226" s="39"/>
      <c r="QOS226" s="34"/>
      <c r="QOT226" s="34"/>
      <c r="QOU226" s="34"/>
      <c r="QOV226" s="35"/>
      <c r="QOW226" s="35"/>
      <c r="QOX226" s="35"/>
      <c r="QOY226" s="35"/>
      <c r="QOZ226" s="35"/>
      <c r="QPA226" s="34"/>
      <c r="QPB226" s="34"/>
      <c r="QPC226" s="36"/>
      <c r="QPD226" s="36"/>
      <c r="QPE226" s="37"/>
      <c r="QPF226" s="37"/>
      <c r="QPG226" s="38"/>
      <c r="QPH226" s="38"/>
      <c r="QPI226" s="39"/>
      <c r="QPJ226" s="34"/>
      <c r="QPK226" s="34"/>
      <c r="QPL226" s="34"/>
      <c r="QPM226" s="35"/>
      <c r="QPN226" s="35"/>
      <c r="QPO226" s="35"/>
      <c r="QPP226" s="35"/>
      <c r="QPQ226" s="35"/>
      <c r="QPR226" s="34"/>
      <c r="QPS226" s="34"/>
      <c r="QPT226" s="36"/>
      <c r="QPU226" s="36"/>
      <c r="QPV226" s="37"/>
      <c r="QPW226" s="37"/>
      <c r="QPX226" s="38"/>
      <c r="QPY226" s="38"/>
      <c r="QPZ226" s="39"/>
      <c r="QQA226" s="34"/>
      <c r="QQB226" s="34"/>
      <c r="QQC226" s="34"/>
      <c r="QQD226" s="35"/>
      <c r="QQE226" s="35"/>
      <c r="QQF226" s="35"/>
      <c r="QQG226" s="35"/>
      <c r="QQH226" s="35"/>
      <c r="QQI226" s="34"/>
      <c r="QQJ226" s="34"/>
      <c r="QQK226" s="36"/>
      <c r="QQL226" s="36"/>
      <c r="QQM226" s="37"/>
      <c r="QQN226" s="37"/>
      <c r="QQO226" s="38"/>
      <c r="QQP226" s="38"/>
      <c r="QQQ226" s="39"/>
      <c r="QQR226" s="34"/>
      <c r="QQS226" s="34"/>
      <c r="QQT226" s="34"/>
      <c r="QQU226" s="35"/>
      <c r="QQV226" s="35"/>
      <c r="QQW226" s="35"/>
      <c r="QQX226" s="35"/>
      <c r="QQY226" s="35"/>
      <c r="QQZ226" s="34"/>
      <c r="QRA226" s="34"/>
      <c r="QRB226" s="36"/>
      <c r="QRC226" s="36"/>
      <c r="QRD226" s="37"/>
      <c r="QRE226" s="37"/>
      <c r="QRF226" s="38"/>
      <c r="QRG226" s="38"/>
      <c r="QRH226" s="39"/>
      <c r="QRI226" s="34"/>
      <c r="QRJ226" s="34"/>
      <c r="QRK226" s="34"/>
      <c r="QRL226" s="35"/>
      <c r="QRM226" s="35"/>
      <c r="QRN226" s="35"/>
      <c r="QRO226" s="35"/>
      <c r="QRP226" s="35"/>
      <c r="QRQ226" s="34"/>
      <c r="QRR226" s="34"/>
      <c r="QRS226" s="36"/>
      <c r="QRT226" s="36"/>
      <c r="QRU226" s="37"/>
      <c r="QRV226" s="37"/>
      <c r="QRW226" s="38"/>
      <c r="QRX226" s="38"/>
      <c r="QRY226" s="39"/>
      <c r="QRZ226" s="34"/>
      <c r="QSA226" s="34"/>
      <c r="QSB226" s="34"/>
      <c r="QSC226" s="35"/>
      <c r="QSD226" s="35"/>
      <c r="QSE226" s="35"/>
      <c r="QSF226" s="35"/>
      <c r="QSG226" s="35"/>
      <c r="QSH226" s="34"/>
      <c r="QSI226" s="34"/>
      <c r="QSJ226" s="36"/>
      <c r="QSK226" s="36"/>
      <c r="QSL226" s="37"/>
      <c r="QSM226" s="37"/>
      <c r="QSN226" s="38"/>
      <c r="QSO226" s="38"/>
      <c r="QSP226" s="39"/>
      <c r="QSQ226" s="34"/>
      <c r="QSR226" s="34"/>
      <c r="QSS226" s="34"/>
      <c r="QST226" s="35"/>
      <c r="QSU226" s="35"/>
      <c r="QSV226" s="35"/>
      <c r="QSW226" s="35"/>
      <c r="QSX226" s="35"/>
      <c r="QSY226" s="34"/>
      <c r="QSZ226" s="34"/>
      <c r="QTA226" s="36"/>
      <c r="QTB226" s="36"/>
      <c r="QTC226" s="37"/>
      <c r="QTD226" s="37"/>
      <c r="QTE226" s="38"/>
      <c r="QTF226" s="38"/>
      <c r="QTG226" s="39"/>
      <c r="QTH226" s="34"/>
      <c r="QTI226" s="34"/>
      <c r="QTJ226" s="34"/>
      <c r="QTK226" s="35"/>
      <c r="QTL226" s="35"/>
      <c r="QTM226" s="35"/>
      <c r="QTN226" s="35"/>
      <c r="QTO226" s="35"/>
      <c r="QTP226" s="34"/>
      <c r="QTQ226" s="34"/>
      <c r="QTR226" s="36"/>
      <c r="QTS226" s="36"/>
      <c r="QTT226" s="37"/>
      <c r="QTU226" s="37"/>
      <c r="QTV226" s="38"/>
      <c r="QTW226" s="38"/>
      <c r="QTX226" s="39"/>
      <c r="QTY226" s="34"/>
      <c r="QTZ226" s="34"/>
      <c r="QUA226" s="34"/>
      <c r="QUB226" s="35"/>
      <c r="QUC226" s="35"/>
      <c r="QUD226" s="35"/>
      <c r="QUE226" s="35"/>
      <c r="QUF226" s="35"/>
      <c r="QUG226" s="34"/>
      <c r="QUH226" s="34"/>
      <c r="QUI226" s="36"/>
      <c r="QUJ226" s="36"/>
      <c r="QUK226" s="37"/>
      <c r="QUL226" s="37"/>
      <c r="QUM226" s="38"/>
      <c r="QUN226" s="38"/>
      <c r="QUO226" s="39"/>
      <c r="QUP226" s="34"/>
      <c r="QUQ226" s="34"/>
      <c r="QUR226" s="34"/>
      <c r="QUS226" s="35"/>
      <c r="QUT226" s="35"/>
      <c r="QUU226" s="35"/>
      <c r="QUV226" s="35"/>
      <c r="QUW226" s="35"/>
      <c r="QUX226" s="34"/>
      <c r="QUY226" s="34"/>
      <c r="QUZ226" s="36"/>
      <c r="QVA226" s="36"/>
      <c r="QVB226" s="37"/>
      <c r="QVC226" s="37"/>
      <c r="QVD226" s="38"/>
      <c r="QVE226" s="38"/>
      <c r="QVF226" s="39"/>
      <c r="QVG226" s="34"/>
      <c r="QVH226" s="34"/>
      <c r="QVI226" s="34"/>
      <c r="QVJ226" s="35"/>
      <c r="QVK226" s="35"/>
      <c r="QVL226" s="35"/>
      <c r="QVM226" s="35"/>
      <c r="QVN226" s="35"/>
      <c r="QVO226" s="34"/>
      <c r="QVP226" s="34"/>
      <c r="QVQ226" s="36"/>
      <c r="QVR226" s="36"/>
      <c r="QVS226" s="37"/>
      <c r="QVT226" s="37"/>
      <c r="QVU226" s="38"/>
      <c r="QVV226" s="38"/>
      <c r="QVW226" s="39"/>
      <c r="QVX226" s="34"/>
      <c r="QVY226" s="34"/>
      <c r="QVZ226" s="34"/>
      <c r="QWA226" s="35"/>
      <c r="QWB226" s="35"/>
      <c r="QWC226" s="35"/>
      <c r="QWD226" s="35"/>
      <c r="QWE226" s="35"/>
      <c r="QWF226" s="34"/>
      <c r="QWG226" s="34"/>
      <c r="QWH226" s="36"/>
      <c r="QWI226" s="36"/>
      <c r="QWJ226" s="37"/>
      <c r="QWK226" s="37"/>
      <c r="QWL226" s="38"/>
      <c r="QWM226" s="38"/>
      <c r="QWN226" s="39"/>
      <c r="QWO226" s="34"/>
      <c r="QWP226" s="34"/>
      <c r="QWQ226" s="34"/>
      <c r="QWR226" s="35"/>
      <c r="QWS226" s="35"/>
      <c r="QWT226" s="35"/>
      <c r="QWU226" s="35"/>
      <c r="QWV226" s="35"/>
      <c r="QWW226" s="34"/>
      <c r="QWX226" s="34"/>
      <c r="QWY226" s="36"/>
      <c r="QWZ226" s="36"/>
      <c r="QXA226" s="37"/>
      <c r="QXB226" s="37"/>
      <c r="QXC226" s="38"/>
      <c r="QXD226" s="38"/>
      <c r="QXE226" s="39"/>
      <c r="QXF226" s="34"/>
      <c r="QXG226" s="34"/>
      <c r="QXH226" s="34"/>
      <c r="QXI226" s="35"/>
      <c r="QXJ226" s="35"/>
      <c r="QXK226" s="35"/>
      <c r="QXL226" s="35"/>
      <c r="QXM226" s="35"/>
      <c r="QXN226" s="34"/>
      <c r="QXO226" s="34"/>
      <c r="QXP226" s="36"/>
      <c r="QXQ226" s="36"/>
      <c r="QXR226" s="37"/>
      <c r="QXS226" s="37"/>
      <c r="QXT226" s="38"/>
      <c r="QXU226" s="38"/>
      <c r="QXV226" s="39"/>
      <c r="QXW226" s="34"/>
      <c r="QXX226" s="34"/>
      <c r="QXY226" s="34"/>
      <c r="QXZ226" s="35"/>
      <c r="QYA226" s="35"/>
      <c r="QYB226" s="35"/>
      <c r="QYC226" s="35"/>
      <c r="QYD226" s="35"/>
      <c r="QYE226" s="34"/>
      <c r="QYF226" s="34"/>
      <c r="QYG226" s="36"/>
      <c r="QYH226" s="36"/>
      <c r="QYI226" s="37"/>
      <c r="QYJ226" s="37"/>
      <c r="QYK226" s="38"/>
      <c r="QYL226" s="38"/>
      <c r="QYM226" s="39"/>
      <c r="QYN226" s="34"/>
      <c r="QYO226" s="34"/>
      <c r="QYP226" s="34"/>
      <c r="QYQ226" s="35"/>
      <c r="QYR226" s="35"/>
      <c r="QYS226" s="35"/>
      <c r="QYT226" s="35"/>
      <c r="QYU226" s="35"/>
      <c r="QYV226" s="34"/>
      <c r="QYW226" s="34"/>
      <c r="QYX226" s="36"/>
      <c r="QYY226" s="36"/>
      <c r="QYZ226" s="37"/>
      <c r="QZA226" s="37"/>
      <c r="QZB226" s="38"/>
      <c r="QZC226" s="38"/>
      <c r="QZD226" s="39"/>
      <c r="QZE226" s="34"/>
      <c r="QZF226" s="34"/>
      <c r="QZG226" s="34"/>
      <c r="QZH226" s="35"/>
      <c r="QZI226" s="35"/>
      <c r="QZJ226" s="35"/>
      <c r="QZK226" s="35"/>
      <c r="QZL226" s="35"/>
      <c r="QZM226" s="34"/>
      <c r="QZN226" s="34"/>
      <c r="QZO226" s="36"/>
      <c r="QZP226" s="36"/>
      <c r="QZQ226" s="37"/>
      <c r="QZR226" s="37"/>
      <c r="QZS226" s="38"/>
      <c r="QZT226" s="38"/>
      <c r="QZU226" s="39"/>
      <c r="QZV226" s="34"/>
      <c r="QZW226" s="34"/>
      <c r="QZX226" s="34"/>
      <c r="QZY226" s="35"/>
      <c r="QZZ226" s="35"/>
      <c r="RAA226" s="35"/>
      <c r="RAB226" s="35"/>
      <c r="RAC226" s="35"/>
      <c r="RAD226" s="34"/>
      <c r="RAE226" s="34"/>
      <c r="RAF226" s="36"/>
      <c r="RAG226" s="36"/>
      <c r="RAH226" s="37"/>
      <c r="RAI226" s="37"/>
      <c r="RAJ226" s="38"/>
      <c r="RAK226" s="38"/>
      <c r="RAL226" s="39"/>
      <c r="RAM226" s="34"/>
      <c r="RAN226" s="34"/>
      <c r="RAO226" s="34"/>
      <c r="RAP226" s="35"/>
      <c r="RAQ226" s="35"/>
      <c r="RAR226" s="35"/>
      <c r="RAS226" s="35"/>
      <c r="RAT226" s="35"/>
      <c r="RAU226" s="34"/>
      <c r="RAV226" s="34"/>
      <c r="RAW226" s="36"/>
      <c r="RAX226" s="36"/>
      <c r="RAY226" s="37"/>
      <c r="RAZ226" s="37"/>
      <c r="RBA226" s="38"/>
      <c r="RBB226" s="38"/>
      <c r="RBC226" s="39"/>
      <c r="RBD226" s="34"/>
      <c r="RBE226" s="34"/>
      <c r="RBF226" s="34"/>
      <c r="RBG226" s="35"/>
      <c r="RBH226" s="35"/>
      <c r="RBI226" s="35"/>
      <c r="RBJ226" s="35"/>
      <c r="RBK226" s="35"/>
      <c r="RBL226" s="34"/>
      <c r="RBM226" s="34"/>
      <c r="RBN226" s="36"/>
      <c r="RBO226" s="36"/>
      <c r="RBP226" s="37"/>
      <c r="RBQ226" s="37"/>
      <c r="RBR226" s="38"/>
      <c r="RBS226" s="38"/>
      <c r="RBT226" s="39"/>
      <c r="RBU226" s="34"/>
      <c r="RBV226" s="34"/>
      <c r="RBW226" s="34"/>
      <c r="RBX226" s="35"/>
      <c r="RBY226" s="35"/>
      <c r="RBZ226" s="35"/>
      <c r="RCA226" s="35"/>
      <c r="RCB226" s="35"/>
      <c r="RCC226" s="34"/>
      <c r="RCD226" s="34"/>
      <c r="RCE226" s="36"/>
      <c r="RCF226" s="36"/>
      <c r="RCG226" s="37"/>
      <c r="RCH226" s="37"/>
      <c r="RCI226" s="38"/>
      <c r="RCJ226" s="38"/>
      <c r="RCK226" s="39"/>
      <c r="RCL226" s="34"/>
      <c r="RCM226" s="34"/>
      <c r="RCN226" s="34"/>
      <c r="RCO226" s="35"/>
      <c r="RCP226" s="35"/>
      <c r="RCQ226" s="35"/>
      <c r="RCR226" s="35"/>
      <c r="RCS226" s="35"/>
      <c r="RCT226" s="34"/>
      <c r="RCU226" s="34"/>
      <c r="RCV226" s="36"/>
      <c r="RCW226" s="36"/>
      <c r="RCX226" s="37"/>
      <c r="RCY226" s="37"/>
      <c r="RCZ226" s="38"/>
      <c r="RDA226" s="38"/>
      <c r="RDB226" s="39"/>
      <c r="RDC226" s="34"/>
      <c r="RDD226" s="34"/>
      <c r="RDE226" s="34"/>
      <c r="RDF226" s="35"/>
      <c r="RDG226" s="35"/>
      <c r="RDH226" s="35"/>
      <c r="RDI226" s="35"/>
      <c r="RDJ226" s="35"/>
      <c r="RDK226" s="34"/>
      <c r="RDL226" s="34"/>
      <c r="RDM226" s="36"/>
      <c r="RDN226" s="36"/>
      <c r="RDO226" s="37"/>
      <c r="RDP226" s="37"/>
      <c r="RDQ226" s="38"/>
      <c r="RDR226" s="38"/>
      <c r="RDS226" s="39"/>
      <c r="RDT226" s="34"/>
      <c r="RDU226" s="34"/>
      <c r="RDV226" s="34"/>
      <c r="RDW226" s="35"/>
      <c r="RDX226" s="35"/>
      <c r="RDY226" s="35"/>
      <c r="RDZ226" s="35"/>
      <c r="REA226" s="35"/>
      <c r="REB226" s="34"/>
      <c r="REC226" s="34"/>
      <c r="RED226" s="36"/>
      <c r="REE226" s="36"/>
      <c r="REF226" s="37"/>
      <c r="REG226" s="37"/>
      <c r="REH226" s="38"/>
      <c r="REI226" s="38"/>
      <c r="REJ226" s="39"/>
      <c r="REK226" s="34"/>
      <c r="REL226" s="34"/>
      <c r="REM226" s="34"/>
      <c r="REN226" s="35"/>
      <c r="REO226" s="35"/>
      <c r="REP226" s="35"/>
      <c r="REQ226" s="35"/>
      <c r="RER226" s="35"/>
      <c r="RES226" s="34"/>
      <c r="RET226" s="34"/>
      <c r="REU226" s="36"/>
      <c r="REV226" s="36"/>
      <c r="REW226" s="37"/>
      <c r="REX226" s="37"/>
      <c r="REY226" s="38"/>
      <c r="REZ226" s="38"/>
      <c r="RFA226" s="39"/>
      <c r="RFB226" s="34"/>
      <c r="RFC226" s="34"/>
      <c r="RFD226" s="34"/>
      <c r="RFE226" s="35"/>
      <c r="RFF226" s="35"/>
      <c r="RFG226" s="35"/>
      <c r="RFH226" s="35"/>
      <c r="RFI226" s="35"/>
      <c r="RFJ226" s="34"/>
      <c r="RFK226" s="34"/>
      <c r="RFL226" s="36"/>
      <c r="RFM226" s="36"/>
      <c r="RFN226" s="37"/>
      <c r="RFO226" s="37"/>
      <c r="RFP226" s="38"/>
      <c r="RFQ226" s="38"/>
      <c r="RFR226" s="39"/>
      <c r="RFS226" s="34"/>
      <c r="RFT226" s="34"/>
      <c r="RFU226" s="34"/>
      <c r="RFV226" s="35"/>
      <c r="RFW226" s="35"/>
      <c r="RFX226" s="35"/>
      <c r="RFY226" s="35"/>
      <c r="RFZ226" s="35"/>
      <c r="RGA226" s="34"/>
      <c r="RGB226" s="34"/>
      <c r="RGC226" s="36"/>
      <c r="RGD226" s="36"/>
      <c r="RGE226" s="37"/>
      <c r="RGF226" s="37"/>
      <c r="RGG226" s="38"/>
      <c r="RGH226" s="38"/>
      <c r="RGI226" s="39"/>
      <c r="RGJ226" s="34"/>
      <c r="RGK226" s="34"/>
      <c r="RGL226" s="34"/>
      <c r="RGM226" s="35"/>
      <c r="RGN226" s="35"/>
      <c r="RGO226" s="35"/>
      <c r="RGP226" s="35"/>
      <c r="RGQ226" s="35"/>
      <c r="RGR226" s="34"/>
      <c r="RGS226" s="34"/>
      <c r="RGT226" s="36"/>
      <c r="RGU226" s="36"/>
      <c r="RGV226" s="37"/>
      <c r="RGW226" s="37"/>
      <c r="RGX226" s="38"/>
      <c r="RGY226" s="38"/>
      <c r="RGZ226" s="39"/>
      <c r="RHA226" s="34"/>
      <c r="RHB226" s="34"/>
      <c r="RHC226" s="34"/>
      <c r="RHD226" s="35"/>
      <c r="RHE226" s="35"/>
      <c r="RHF226" s="35"/>
      <c r="RHG226" s="35"/>
      <c r="RHH226" s="35"/>
      <c r="RHI226" s="34"/>
      <c r="RHJ226" s="34"/>
      <c r="RHK226" s="36"/>
      <c r="RHL226" s="36"/>
      <c r="RHM226" s="37"/>
      <c r="RHN226" s="37"/>
      <c r="RHO226" s="38"/>
      <c r="RHP226" s="38"/>
      <c r="RHQ226" s="39"/>
      <c r="RHR226" s="34"/>
      <c r="RHS226" s="34"/>
      <c r="RHT226" s="34"/>
      <c r="RHU226" s="35"/>
      <c r="RHV226" s="35"/>
      <c r="RHW226" s="35"/>
      <c r="RHX226" s="35"/>
      <c r="RHY226" s="35"/>
      <c r="RHZ226" s="34"/>
      <c r="RIA226" s="34"/>
      <c r="RIB226" s="36"/>
      <c r="RIC226" s="36"/>
      <c r="RID226" s="37"/>
      <c r="RIE226" s="37"/>
      <c r="RIF226" s="38"/>
      <c r="RIG226" s="38"/>
      <c r="RIH226" s="39"/>
      <c r="RII226" s="34"/>
      <c r="RIJ226" s="34"/>
      <c r="RIK226" s="34"/>
      <c r="RIL226" s="35"/>
      <c r="RIM226" s="35"/>
      <c r="RIN226" s="35"/>
      <c r="RIO226" s="35"/>
      <c r="RIP226" s="35"/>
      <c r="RIQ226" s="34"/>
      <c r="RIR226" s="34"/>
      <c r="RIS226" s="36"/>
      <c r="RIT226" s="36"/>
      <c r="RIU226" s="37"/>
      <c r="RIV226" s="37"/>
      <c r="RIW226" s="38"/>
      <c r="RIX226" s="38"/>
      <c r="RIY226" s="39"/>
      <c r="RIZ226" s="34"/>
      <c r="RJA226" s="34"/>
      <c r="RJB226" s="34"/>
      <c r="RJC226" s="35"/>
      <c r="RJD226" s="35"/>
      <c r="RJE226" s="35"/>
      <c r="RJF226" s="35"/>
      <c r="RJG226" s="35"/>
      <c r="RJH226" s="34"/>
      <c r="RJI226" s="34"/>
      <c r="RJJ226" s="36"/>
      <c r="RJK226" s="36"/>
      <c r="RJL226" s="37"/>
      <c r="RJM226" s="37"/>
      <c r="RJN226" s="38"/>
      <c r="RJO226" s="38"/>
      <c r="RJP226" s="39"/>
      <c r="RJQ226" s="34"/>
      <c r="RJR226" s="34"/>
      <c r="RJS226" s="34"/>
      <c r="RJT226" s="35"/>
      <c r="RJU226" s="35"/>
      <c r="RJV226" s="35"/>
      <c r="RJW226" s="35"/>
      <c r="RJX226" s="35"/>
      <c r="RJY226" s="34"/>
      <c r="RJZ226" s="34"/>
      <c r="RKA226" s="36"/>
      <c r="RKB226" s="36"/>
      <c r="RKC226" s="37"/>
      <c r="RKD226" s="37"/>
      <c r="RKE226" s="38"/>
      <c r="RKF226" s="38"/>
      <c r="RKG226" s="39"/>
      <c r="RKH226" s="34"/>
      <c r="RKI226" s="34"/>
      <c r="RKJ226" s="34"/>
      <c r="RKK226" s="35"/>
      <c r="RKL226" s="35"/>
      <c r="RKM226" s="35"/>
      <c r="RKN226" s="35"/>
      <c r="RKO226" s="35"/>
      <c r="RKP226" s="34"/>
      <c r="RKQ226" s="34"/>
      <c r="RKR226" s="36"/>
      <c r="RKS226" s="36"/>
      <c r="RKT226" s="37"/>
      <c r="RKU226" s="37"/>
      <c r="RKV226" s="38"/>
      <c r="RKW226" s="38"/>
      <c r="RKX226" s="39"/>
      <c r="RKY226" s="34"/>
      <c r="RKZ226" s="34"/>
      <c r="RLA226" s="34"/>
      <c r="RLB226" s="35"/>
      <c r="RLC226" s="35"/>
      <c r="RLD226" s="35"/>
      <c r="RLE226" s="35"/>
      <c r="RLF226" s="35"/>
      <c r="RLG226" s="34"/>
      <c r="RLH226" s="34"/>
      <c r="RLI226" s="36"/>
      <c r="RLJ226" s="36"/>
      <c r="RLK226" s="37"/>
      <c r="RLL226" s="37"/>
      <c r="RLM226" s="38"/>
      <c r="RLN226" s="38"/>
      <c r="RLO226" s="39"/>
      <c r="RLP226" s="34"/>
      <c r="RLQ226" s="34"/>
      <c r="RLR226" s="34"/>
      <c r="RLS226" s="35"/>
      <c r="RLT226" s="35"/>
      <c r="RLU226" s="35"/>
      <c r="RLV226" s="35"/>
      <c r="RLW226" s="35"/>
      <c r="RLX226" s="34"/>
      <c r="RLY226" s="34"/>
      <c r="RLZ226" s="36"/>
      <c r="RMA226" s="36"/>
      <c r="RMB226" s="37"/>
      <c r="RMC226" s="37"/>
      <c r="RMD226" s="38"/>
      <c r="RME226" s="38"/>
      <c r="RMF226" s="39"/>
      <c r="RMG226" s="34"/>
      <c r="RMH226" s="34"/>
      <c r="RMI226" s="34"/>
      <c r="RMJ226" s="35"/>
      <c r="RMK226" s="35"/>
      <c r="RML226" s="35"/>
      <c r="RMM226" s="35"/>
      <c r="RMN226" s="35"/>
      <c r="RMO226" s="34"/>
      <c r="RMP226" s="34"/>
      <c r="RMQ226" s="36"/>
      <c r="RMR226" s="36"/>
      <c r="RMS226" s="37"/>
      <c r="RMT226" s="37"/>
      <c r="RMU226" s="38"/>
      <c r="RMV226" s="38"/>
      <c r="RMW226" s="39"/>
      <c r="RMX226" s="34"/>
      <c r="RMY226" s="34"/>
      <c r="RMZ226" s="34"/>
      <c r="RNA226" s="35"/>
      <c r="RNB226" s="35"/>
      <c r="RNC226" s="35"/>
      <c r="RND226" s="35"/>
      <c r="RNE226" s="35"/>
      <c r="RNF226" s="34"/>
      <c r="RNG226" s="34"/>
      <c r="RNH226" s="36"/>
      <c r="RNI226" s="36"/>
      <c r="RNJ226" s="37"/>
      <c r="RNK226" s="37"/>
      <c r="RNL226" s="38"/>
      <c r="RNM226" s="38"/>
      <c r="RNN226" s="39"/>
      <c r="RNO226" s="34"/>
      <c r="RNP226" s="34"/>
      <c r="RNQ226" s="34"/>
      <c r="RNR226" s="35"/>
      <c r="RNS226" s="35"/>
      <c r="RNT226" s="35"/>
      <c r="RNU226" s="35"/>
      <c r="RNV226" s="35"/>
      <c r="RNW226" s="34"/>
      <c r="RNX226" s="34"/>
      <c r="RNY226" s="36"/>
      <c r="RNZ226" s="36"/>
      <c r="ROA226" s="37"/>
      <c r="ROB226" s="37"/>
      <c r="ROC226" s="38"/>
      <c r="ROD226" s="38"/>
      <c r="ROE226" s="39"/>
      <c r="ROF226" s="34"/>
      <c r="ROG226" s="34"/>
      <c r="ROH226" s="34"/>
      <c r="ROI226" s="35"/>
      <c r="ROJ226" s="35"/>
      <c r="ROK226" s="35"/>
      <c r="ROL226" s="35"/>
      <c r="ROM226" s="35"/>
      <c r="RON226" s="34"/>
      <c r="ROO226" s="34"/>
      <c r="ROP226" s="36"/>
      <c r="ROQ226" s="36"/>
      <c r="ROR226" s="37"/>
      <c r="ROS226" s="37"/>
      <c r="ROT226" s="38"/>
      <c r="ROU226" s="38"/>
      <c r="ROV226" s="39"/>
      <c r="ROW226" s="34"/>
      <c r="ROX226" s="34"/>
      <c r="ROY226" s="34"/>
      <c r="ROZ226" s="35"/>
      <c r="RPA226" s="35"/>
      <c r="RPB226" s="35"/>
      <c r="RPC226" s="35"/>
      <c r="RPD226" s="35"/>
      <c r="RPE226" s="34"/>
      <c r="RPF226" s="34"/>
      <c r="RPG226" s="36"/>
      <c r="RPH226" s="36"/>
      <c r="RPI226" s="37"/>
      <c r="RPJ226" s="37"/>
      <c r="RPK226" s="38"/>
      <c r="RPL226" s="38"/>
      <c r="RPM226" s="39"/>
      <c r="RPN226" s="34"/>
      <c r="RPO226" s="34"/>
      <c r="RPP226" s="34"/>
      <c r="RPQ226" s="35"/>
      <c r="RPR226" s="35"/>
      <c r="RPS226" s="35"/>
      <c r="RPT226" s="35"/>
      <c r="RPU226" s="35"/>
      <c r="RPV226" s="34"/>
      <c r="RPW226" s="34"/>
      <c r="RPX226" s="36"/>
      <c r="RPY226" s="36"/>
      <c r="RPZ226" s="37"/>
      <c r="RQA226" s="37"/>
      <c r="RQB226" s="38"/>
      <c r="RQC226" s="38"/>
      <c r="RQD226" s="39"/>
      <c r="RQE226" s="34"/>
      <c r="RQF226" s="34"/>
      <c r="RQG226" s="34"/>
      <c r="RQH226" s="35"/>
      <c r="RQI226" s="35"/>
      <c r="RQJ226" s="35"/>
      <c r="RQK226" s="35"/>
      <c r="RQL226" s="35"/>
      <c r="RQM226" s="34"/>
      <c r="RQN226" s="34"/>
      <c r="RQO226" s="36"/>
      <c r="RQP226" s="36"/>
      <c r="RQQ226" s="37"/>
      <c r="RQR226" s="37"/>
      <c r="RQS226" s="38"/>
      <c r="RQT226" s="38"/>
      <c r="RQU226" s="39"/>
      <c r="RQV226" s="34"/>
      <c r="RQW226" s="34"/>
      <c r="RQX226" s="34"/>
      <c r="RQY226" s="35"/>
      <c r="RQZ226" s="35"/>
      <c r="RRA226" s="35"/>
      <c r="RRB226" s="35"/>
      <c r="RRC226" s="35"/>
      <c r="RRD226" s="34"/>
      <c r="RRE226" s="34"/>
      <c r="RRF226" s="36"/>
      <c r="RRG226" s="36"/>
      <c r="RRH226" s="37"/>
      <c r="RRI226" s="37"/>
      <c r="RRJ226" s="38"/>
      <c r="RRK226" s="38"/>
      <c r="RRL226" s="39"/>
      <c r="RRM226" s="34"/>
      <c r="RRN226" s="34"/>
      <c r="RRO226" s="34"/>
      <c r="RRP226" s="35"/>
      <c r="RRQ226" s="35"/>
      <c r="RRR226" s="35"/>
      <c r="RRS226" s="35"/>
      <c r="RRT226" s="35"/>
      <c r="RRU226" s="34"/>
      <c r="RRV226" s="34"/>
      <c r="RRW226" s="36"/>
      <c r="RRX226" s="36"/>
      <c r="RRY226" s="37"/>
      <c r="RRZ226" s="37"/>
      <c r="RSA226" s="38"/>
      <c r="RSB226" s="38"/>
      <c r="RSC226" s="39"/>
      <c r="RSD226" s="34"/>
      <c r="RSE226" s="34"/>
      <c r="RSF226" s="34"/>
      <c r="RSG226" s="35"/>
      <c r="RSH226" s="35"/>
      <c r="RSI226" s="35"/>
      <c r="RSJ226" s="35"/>
      <c r="RSK226" s="35"/>
      <c r="RSL226" s="34"/>
      <c r="RSM226" s="34"/>
      <c r="RSN226" s="36"/>
      <c r="RSO226" s="36"/>
      <c r="RSP226" s="37"/>
      <c r="RSQ226" s="37"/>
      <c r="RSR226" s="38"/>
      <c r="RSS226" s="38"/>
      <c r="RST226" s="39"/>
      <c r="RSU226" s="34"/>
      <c r="RSV226" s="34"/>
      <c r="RSW226" s="34"/>
      <c r="RSX226" s="35"/>
      <c r="RSY226" s="35"/>
      <c r="RSZ226" s="35"/>
      <c r="RTA226" s="35"/>
      <c r="RTB226" s="35"/>
      <c r="RTC226" s="34"/>
      <c r="RTD226" s="34"/>
      <c r="RTE226" s="36"/>
      <c r="RTF226" s="36"/>
      <c r="RTG226" s="37"/>
      <c r="RTH226" s="37"/>
      <c r="RTI226" s="38"/>
      <c r="RTJ226" s="38"/>
      <c r="RTK226" s="39"/>
      <c r="RTL226" s="34"/>
      <c r="RTM226" s="34"/>
      <c r="RTN226" s="34"/>
      <c r="RTO226" s="35"/>
      <c r="RTP226" s="35"/>
      <c r="RTQ226" s="35"/>
      <c r="RTR226" s="35"/>
      <c r="RTS226" s="35"/>
      <c r="RTT226" s="34"/>
      <c r="RTU226" s="34"/>
      <c r="RTV226" s="36"/>
      <c r="RTW226" s="36"/>
      <c r="RTX226" s="37"/>
      <c r="RTY226" s="37"/>
      <c r="RTZ226" s="38"/>
      <c r="RUA226" s="38"/>
      <c r="RUB226" s="39"/>
      <c r="RUC226" s="34"/>
      <c r="RUD226" s="34"/>
      <c r="RUE226" s="34"/>
      <c r="RUF226" s="35"/>
      <c r="RUG226" s="35"/>
      <c r="RUH226" s="35"/>
      <c r="RUI226" s="35"/>
      <c r="RUJ226" s="35"/>
      <c r="RUK226" s="34"/>
      <c r="RUL226" s="34"/>
      <c r="RUM226" s="36"/>
      <c r="RUN226" s="36"/>
      <c r="RUO226" s="37"/>
      <c r="RUP226" s="37"/>
      <c r="RUQ226" s="38"/>
      <c r="RUR226" s="38"/>
      <c r="RUS226" s="39"/>
      <c r="RUT226" s="34"/>
      <c r="RUU226" s="34"/>
      <c r="RUV226" s="34"/>
      <c r="RUW226" s="35"/>
      <c r="RUX226" s="35"/>
      <c r="RUY226" s="35"/>
      <c r="RUZ226" s="35"/>
      <c r="RVA226" s="35"/>
      <c r="RVB226" s="34"/>
      <c r="RVC226" s="34"/>
      <c r="RVD226" s="36"/>
      <c r="RVE226" s="36"/>
      <c r="RVF226" s="37"/>
      <c r="RVG226" s="37"/>
      <c r="RVH226" s="38"/>
      <c r="RVI226" s="38"/>
      <c r="RVJ226" s="39"/>
      <c r="RVK226" s="34"/>
      <c r="RVL226" s="34"/>
      <c r="RVM226" s="34"/>
      <c r="RVN226" s="35"/>
      <c r="RVO226" s="35"/>
      <c r="RVP226" s="35"/>
      <c r="RVQ226" s="35"/>
      <c r="RVR226" s="35"/>
      <c r="RVS226" s="34"/>
      <c r="RVT226" s="34"/>
      <c r="RVU226" s="36"/>
      <c r="RVV226" s="36"/>
      <c r="RVW226" s="37"/>
      <c r="RVX226" s="37"/>
      <c r="RVY226" s="38"/>
      <c r="RVZ226" s="38"/>
      <c r="RWA226" s="39"/>
      <c r="RWB226" s="34"/>
      <c r="RWC226" s="34"/>
      <c r="RWD226" s="34"/>
      <c r="RWE226" s="35"/>
      <c r="RWF226" s="35"/>
      <c r="RWG226" s="35"/>
      <c r="RWH226" s="35"/>
      <c r="RWI226" s="35"/>
      <c r="RWJ226" s="34"/>
      <c r="RWK226" s="34"/>
      <c r="RWL226" s="36"/>
      <c r="RWM226" s="36"/>
      <c r="RWN226" s="37"/>
      <c r="RWO226" s="37"/>
      <c r="RWP226" s="38"/>
      <c r="RWQ226" s="38"/>
      <c r="RWR226" s="39"/>
      <c r="RWS226" s="34"/>
      <c r="RWT226" s="34"/>
      <c r="RWU226" s="34"/>
      <c r="RWV226" s="35"/>
      <c r="RWW226" s="35"/>
      <c r="RWX226" s="35"/>
      <c r="RWY226" s="35"/>
      <c r="RWZ226" s="35"/>
      <c r="RXA226" s="34"/>
      <c r="RXB226" s="34"/>
      <c r="RXC226" s="36"/>
      <c r="RXD226" s="36"/>
      <c r="RXE226" s="37"/>
      <c r="RXF226" s="37"/>
      <c r="RXG226" s="38"/>
      <c r="RXH226" s="38"/>
      <c r="RXI226" s="39"/>
      <c r="RXJ226" s="34"/>
      <c r="RXK226" s="34"/>
      <c r="RXL226" s="34"/>
      <c r="RXM226" s="35"/>
      <c r="RXN226" s="35"/>
      <c r="RXO226" s="35"/>
      <c r="RXP226" s="35"/>
      <c r="RXQ226" s="35"/>
      <c r="RXR226" s="34"/>
      <c r="RXS226" s="34"/>
      <c r="RXT226" s="36"/>
      <c r="RXU226" s="36"/>
      <c r="RXV226" s="37"/>
      <c r="RXW226" s="37"/>
      <c r="RXX226" s="38"/>
      <c r="RXY226" s="38"/>
      <c r="RXZ226" s="39"/>
      <c r="RYA226" s="34"/>
      <c r="RYB226" s="34"/>
      <c r="RYC226" s="34"/>
      <c r="RYD226" s="35"/>
      <c r="RYE226" s="35"/>
      <c r="RYF226" s="35"/>
      <c r="RYG226" s="35"/>
      <c r="RYH226" s="35"/>
      <c r="RYI226" s="34"/>
      <c r="RYJ226" s="34"/>
      <c r="RYK226" s="36"/>
      <c r="RYL226" s="36"/>
      <c r="RYM226" s="37"/>
      <c r="RYN226" s="37"/>
      <c r="RYO226" s="38"/>
      <c r="RYP226" s="38"/>
      <c r="RYQ226" s="39"/>
      <c r="RYR226" s="34"/>
      <c r="RYS226" s="34"/>
      <c r="RYT226" s="34"/>
      <c r="RYU226" s="35"/>
      <c r="RYV226" s="35"/>
      <c r="RYW226" s="35"/>
      <c r="RYX226" s="35"/>
      <c r="RYY226" s="35"/>
      <c r="RYZ226" s="34"/>
      <c r="RZA226" s="34"/>
      <c r="RZB226" s="36"/>
      <c r="RZC226" s="36"/>
      <c r="RZD226" s="37"/>
      <c r="RZE226" s="37"/>
      <c r="RZF226" s="38"/>
      <c r="RZG226" s="38"/>
      <c r="RZH226" s="39"/>
      <c r="RZI226" s="34"/>
      <c r="RZJ226" s="34"/>
      <c r="RZK226" s="34"/>
      <c r="RZL226" s="35"/>
      <c r="RZM226" s="35"/>
      <c r="RZN226" s="35"/>
      <c r="RZO226" s="35"/>
      <c r="RZP226" s="35"/>
      <c r="RZQ226" s="34"/>
      <c r="RZR226" s="34"/>
      <c r="RZS226" s="36"/>
      <c r="RZT226" s="36"/>
      <c r="RZU226" s="37"/>
      <c r="RZV226" s="37"/>
      <c r="RZW226" s="38"/>
      <c r="RZX226" s="38"/>
      <c r="RZY226" s="39"/>
      <c r="RZZ226" s="34"/>
      <c r="SAA226" s="34"/>
      <c r="SAB226" s="34"/>
      <c r="SAC226" s="35"/>
      <c r="SAD226" s="35"/>
      <c r="SAE226" s="35"/>
      <c r="SAF226" s="35"/>
      <c r="SAG226" s="35"/>
      <c r="SAH226" s="34"/>
      <c r="SAI226" s="34"/>
      <c r="SAJ226" s="36"/>
      <c r="SAK226" s="36"/>
      <c r="SAL226" s="37"/>
      <c r="SAM226" s="37"/>
      <c r="SAN226" s="38"/>
      <c r="SAO226" s="38"/>
      <c r="SAP226" s="39"/>
      <c r="SAQ226" s="34"/>
      <c r="SAR226" s="34"/>
      <c r="SAS226" s="34"/>
      <c r="SAT226" s="35"/>
      <c r="SAU226" s="35"/>
      <c r="SAV226" s="35"/>
      <c r="SAW226" s="35"/>
      <c r="SAX226" s="35"/>
      <c r="SAY226" s="34"/>
      <c r="SAZ226" s="34"/>
      <c r="SBA226" s="36"/>
      <c r="SBB226" s="36"/>
      <c r="SBC226" s="37"/>
      <c r="SBD226" s="37"/>
      <c r="SBE226" s="38"/>
      <c r="SBF226" s="38"/>
      <c r="SBG226" s="39"/>
      <c r="SBH226" s="34"/>
      <c r="SBI226" s="34"/>
      <c r="SBJ226" s="34"/>
      <c r="SBK226" s="35"/>
      <c r="SBL226" s="35"/>
      <c r="SBM226" s="35"/>
      <c r="SBN226" s="35"/>
      <c r="SBO226" s="35"/>
      <c r="SBP226" s="34"/>
      <c r="SBQ226" s="34"/>
      <c r="SBR226" s="36"/>
      <c r="SBS226" s="36"/>
      <c r="SBT226" s="37"/>
      <c r="SBU226" s="37"/>
      <c r="SBV226" s="38"/>
      <c r="SBW226" s="38"/>
      <c r="SBX226" s="39"/>
      <c r="SBY226" s="34"/>
      <c r="SBZ226" s="34"/>
      <c r="SCA226" s="34"/>
      <c r="SCB226" s="35"/>
      <c r="SCC226" s="35"/>
      <c r="SCD226" s="35"/>
      <c r="SCE226" s="35"/>
      <c r="SCF226" s="35"/>
      <c r="SCG226" s="34"/>
      <c r="SCH226" s="34"/>
      <c r="SCI226" s="36"/>
      <c r="SCJ226" s="36"/>
      <c r="SCK226" s="37"/>
      <c r="SCL226" s="37"/>
      <c r="SCM226" s="38"/>
      <c r="SCN226" s="38"/>
      <c r="SCO226" s="39"/>
      <c r="SCP226" s="34"/>
      <c r="SCQ226" s="34"/>
      <c r="SCR226" s="34"/>
      <c r="SCS226" s="35"/>
      <c r="SCT226" s="35"/>
      <c r="SCU226" s="35"/>
      <c r="SCV226" s="35"/>
      <c r="SCW226" s="35"/>
      <c r="SCX226" s="34"/>
      <c r="SCY226" s="34"/>
      <c r="SCZ226" s="36"/>
      <c r="SDA226" s="36"/>
      <c r="SDB226" s="37"/>
      <c r="SDC226" s="37"/>
      <c r="SDD226" s="38"/>
      <c r="SDE226" s="38"/>
      <c r="SDF226" s="39"/>
      <c r="SDG226" s="34"/>
      <c r="SDH226" s="34"/>
      <c r="SDI226" s="34"/>
      <c r="SDJ226" s="35"/>
      <c r="SDK226" s="35"/>
      <c r="SDL226" s="35"/>
      <c r="SDM226" s="35"/>
      <c r="SDN226" s="35"/>
      <c r="SDO226" s="34"/>
      <c r="SDP226" s="34"/>
      <c r="SDQ226" s="36"/>
      <c r="SDR226" s="36"/>
      <c r="SDS226" s="37"/>
      <c r="SDT226" s="37"/>
      <c r="SDU226" s="38"/>
      <c r="SDV226" s="38"/>
      <c r="SDW226" s="39"/>
      <c r="SDX226" s="34"/>
      <c r="SDY226" s="34"/>
      <c r="SDZ226" s="34"/>
      <c r="SEA226" s="35"/>
      <c r="SEB226" s="35"/>
      <c r="SEC226" s="35"/>
      <c r="SED226" s="35"/>
      <c r="SEE226" s="35"/>
      <c r="SEF226" s="34"/>
      <c r="SEG226" s="34"/>
      <c r="SEH226" s="36"/>
      <c r="SEI226" s="36"/>
      <c r="SEJ226" s="37"/>
      <c r="SEK226" s="37"/>
      <c r="SEL226" s="38"/>
      <c r="SEM226" s="38"/>
      <c r="SEN226" s="39"/>
      <c r="SEO226" s="34"/>
      <c r="SEP226" s="34"/>
      <c r="SEQ226" s="34"/>
      <c r="SER226" s="35"/>
      <c r="SES226" s="35"/>
      <c r="SET226" s="35"/>
      <c r="SEU226" s="35"/>
      <c r="SEV226" s="35"/>
      <c r="SEW226" s="34"/>
      <c r="SEX226" s="34"/>
      <c r="SEY226" s="36"/>
      <c r="SEZ226" s="36"/>
      <c r="SFA226" s="37"/>
      <c r="SFB226" s="37"/>
      <c r="SFC226" s="38"/>
      <c r="SFD226" s="38"/>
      <c r="SFE226" s="39"/>
      <c r="SFF226" s="34"/>
      <c r="SFG226" s="34"/>
      <c r="SFH226" s="34"/>
      <c r="SFI226" s="35"/>
      <c r="SFJ226" s="35"/>
      <c r="SFK226" s="35"/>
      <c r="SFL226" s="35"/>
      <c r="SFM226" s="35"/>
      <c r="SFN226" s="34"/>
      <c r="SFO226" s="34"/>
      <c r="SFP226" s="36"/>
      <c r="SFQ226" s="36"/>
      <c r="SFR226" s="37"/>
      <c r="SFS226" s="37"/>
      <c r="SFT226" s="38"/>
      <c r="SFU226" s="38"/>
      <c r="SFV226" s="39"/>
      <c r="SFW226" s="34"/>
      <c r="SFX226" s="34"/>
      <c r="SFY226" s="34"/>
      <c r="SFZ226" s="35"/>
      <c r="SGA226" s="35"/>
      <c r="SGB226" s="35"/>
      <c r="SGC226" s="35"/>
      <c r="SGD226" s="35"/>
      <c r="SGE226" s="34"/>
      <c r="SGF226" s="34"/>
      <c r="SGG226" s="36"/>
      <c r="SGH226" s="36"/>
      <c r="SGI226" s="37"/>
      <c r="SGJ226" s="37"/>
      <c r="SGK226" s="38"/>
      <c r="SGL226" s="38"/>
      <c r="SGM226" s="39"/>
      <c r="SGN226" s="34"/>
      <c r="SGO226" s="34"/>
      <c r="SGP226" s="34"/>
      <c r="SGQ226" s="35"/>
      <c r="SGR226" s="35"/>
      <c r="SGS226" s="35"/>
      <c r="SGT226" s="35"/>
      <c r="SGU226" s="35"/>
      <c r="SGV226" s="34"/>
      <c r="SGW226" s="34"/>
      <c r="SGX226" s="36"/>
      <c r="SGY226" s="36"/>
      <c r="SGZ226" s="37"/>
      <c r="SHA226" s="37"/>
      <c r="SHB226" s="38"/>
      <c r="SHC226" s="38"/>
      <c r="SHD226" s="39"/>
      <c r="SHE226" s="34"/>
      <c r="SHF226" s="34"/>
      <c r="SHG226" s="34"/>
      <c r="SHH226" s="35"/>
      <c r="SHI226" s="35"/>
      <c r="SHJ226" s="35"/>
      <c r="SHK226" s="35"/>
      <c r="SHL226" s="35"/>
      <c r="SHM226" s="34"/>
      <c r="SHN226" s="34"/>
      <c r="SHO226" s="36"/>
      <c r="SHP226" s="36"/>
      <c r="SHQ226" s="37"/>
      <c r="SHR226" s="37"/>
      <c r="SHS226" s="38"/>
      <c r="SHT226" s="38"/>
      <c r="SHU226" s="39"/>
      <c r="SHV226" s="34"/>
      <c r="SHW226" s="34"/>
      <c r="SHX226" s="34"/>
      <c r="SHY226" s="35"/>
      <c r="SHZ226" s="35"/>
      <c r="SIA226" s="35"/>
      <c r="SIB226" s="35"/>
      <c r="SIC226" s="35"/>
      <c r="SID226" s="34"/>
      <c r="SIE226" s="34"/>
      <c r="SIF226" s="36"/>
      <c r="SIG226" s="36"/>
      <c r="SIH226" s="37"/>
      <c r="SII226" s="37"/>
      <c r="SIJ226" s="38"/>
      <c r="SIK226" s="38"/>
      <c r="SIL226" s="39"/>
      <c r="SIM226" s="34"/>
      <c r="SIN226" s="34"/>
      <c r="SIO226" s="34"/>
      <c r="SIP226" s="35"/>
      <c r="SIQ226" s="35"/>
      <c r="SIR226" s="35"/>
      <c r="SIS226" s="35"/>
      <c r="SIT226" s="35"/>
      <c r="SIU226" s="34"/>
      <c r="SIV226" s="34"/>
      <c r="SIW226" s="36"/>
      <c r="SIX226" s="36"/>
      <c r="SIY226" s="37"/>
      <c r="SIZ226" s="37"/>
      <c r="SJA226" s="38"/>
      <c r="SJB226" s="38"/>
      <c r="SJC226" s="39"/>
      <c r="SJD226" s="34"/>
      <c r="SJE226" s="34"/>
      <c r="SJF226" s="34"/>
      <c r="SJG226" s="35"/>
      <c r="SJH226" s="35"/>
      <c r="SJI226" s="35"/>
      <c r="SJJ226" s="35"/>
      <c r="SJK226" s="35"/>
      <c r="SJL226" s="34"/>
      <c r="SJM226" s="34"/>
      <c r="SJN226" s="36"/>
      <c r="SJO226" s="36"/>
      <c r="SJP226" s="37"/>
      <c r="SJQ226" s="37"/>
      <c r="SJR226" s="38"/>
      <c r="SJS226" s="38"/>
      <c r="SJT226" s="39"/>
      <c r="SJU226" s="34"/>
      <c r="SJV226" s="34"/>
      <c r="SJW226" s="34"/>
      <c r="SJX226" s="35"/>
      <c r="SJY226" s="35"/>
      <c r="SJZ226" s="35"/>
      <c r="SKA226" s="35"/>
      <c r="SKB226" s="35"/>
      <c r="SKC226" s="34"/>
      <c r="SKD226" s="34"/>
      <c r="SKE226" s="36"/>
      <c r="SKF226" s="36"/>
      <c r="SKG226" s="37"/>
      <c r="SKH226" s="37"/>
      <c r="SKI226" s="38"/>
      <c r="SKJ226" s="38"/>
      <c r="SKK226" s="39"/>
      <c r="SKL226" s="34"/>
      <c r="SKM226" s="34"/>
      <c r="SKN226" s="34"/>
      <c r="SKO226" s="35"/>
      <c r="SKP226" s="35"/>
      <c r="SKQ226" s="35"/>
      <c r="SKR226" s="35"/>
      <c r="SKS226" s="35"/>
      <c r="SKT226" s="34"/>
      <c r="SKU226" s="34"/>
      <c r="SKV226" s="36"/>
      <c r="SKW226" s="36"/>
      <c r="SKX226" s="37"/>
      <c r="SKY226" s="37"/>
      <c r="SKZ226" s="38"/>
      <c r="SLA226" s="38"/>
      <c r="SLB226" s="39"/>
      <c r="SLC226" s="34"/>
      <c r="SLD226" s="34"/>
      <c r="SLE226" s="34"/>
      <c r="SLF226" s="35"/>
      <c r="SLG226" s="35"/>
      <c r="SLH226" s="35"/>
      <c r="SLI226" s="35"/>
      <c r="SLJ226" s="35"/>
      <c r="SLK226" s="34"/>
      <c r="SLL226" s="34"/>
      <c r="SLM226" s="36"/>
      <c r="SLN226" s="36"/>
      <c r="SLO226" s="37"/>
      <c r="SLP226" s="37"/>
      <c r="SLQ226" s="38"/>
      <c r="SLR226" s="38"/>
      <c r="SLS226" s="39"/>
      <c r="SLT226" s="34"/>
      <c r="SLU226" s="34"/>
      <c r="SLV226" s="34"/>
      <c r="SLW226" s="35"/>
      <c r="SLX226" s="35"/>
      <c r="SLY226" s="35"/>
      <c r="SLZ226" s="35"/>
      <c r="SMA226" s="35"/>
      <c r="SMB226" s="34"/>
      <c r="SMC226" s="34"/>
      <c r="SMD226" s="36"/>
      <c r="SME226" s="36"/>
      <c r="SMF226" s="37"/>
      <c r="SMG226" s="37"/>
      <c r="SMH226" s="38"/>
      <c r="SMI226" s="38"/>
      <c r="SMJ226" s="39"/>
      <c r="SMK226" s="34"/>
      <c r="SML226" s="34"/>
      <c r="SMM226" s="34"/>
      <c r="SMN226" s="35"/>
      <c r="SMO226" s="35"/>
      <c r="SMP226" s="35"/>
      <c r="SMQ226" s="35"/>
      <c r="SMR226" s="35"/>
      <c r="SMS226" s="34"/>
      <c r="SMT226" s="34"/>
      <c r="SMU226" s="36"/>
      <c r="SMV226" s="36"/>
      <c r="SMW226" s="37"/>
      <c r="SMX226" s="37"/>
      <c r="SMY226" s="38"/>
      <c r="SMZ226" s="38"/>
      <c r="SNA226" s="39"/>
      <c r="SNB226" s="34"/>
      <c r="SNC226" s="34"/>
      <c r="SND226" s="34"/>
      <c r="SNE226" s="35"/>
      <c r="SNF226" s="35"/>
      <c r="SNG226" s="35"/>
      <c r="SNH226" s="35"/>
      <c r="SNI226" s="35"/>
      <c r="SNJ226" s="34"/>
      <c r="SNK226" s="34"/>
      <c r="SNL226" s="36"/>
      <c r="SNM226" s="36"/>
      <c r="SNN226" s="37"/>
      <c r="SNO226" s="37"/>
      <c r="SNP226" s="38"/>
      <c r="SNQ226" s="38"/>
      <c r="SNR226" s="39"/>
      <c r="SNS226" s="34"/>
      <c r="SNT226" s="34"/>
      <c r="SNU226" s="34"/>
      <c r="SNV226" s="35"/>
      <c r="SNW226" s="35"/>
      <c r="SNX226" s="35"/>
      <c r="SNY226" s="35"/>
      <c r="SNZ226" s="35"/>
      <c r="SOA226" s="34"/>
      <c r="SOB226" s="34"/>
      <c r="SOC226" s="36"/>
      <c r="SOD226" s="36"/>
      <c r="SOE226" s="37"/>
      <c r="SOF226" s="37"/>
      <c r="SOG226" s="38"/>
      <c r="SOH226" s="38"/>
      <c r="SOI226" s="39"/>
      <c r="SOJ226" s="34"/>
      <c r="SOK226" s="34"/>
      <c r="SOL226" s="34"/>
      <c r="SOM226" s="35"/>
      <c r="SON226" s="35"/>
      <c r="SOO226" s="35"/>
      <c r="SOP226" s="35"/>
      <c r="SOQ226" s="35"/>
      <c r="SOR226" s="34"/>
      <c r="SOS226" s="34"/>
      <c r="SOT226" s="36"/>
      <c r="SOU226" s="36"/>
      <c r="SOV226" s="37"/>
      <c r="SOW226" s="37"/>
      <c r="SOX226" s="38"/>
      <c r="SOY226" s="38"/>
      <c r="SOZ226" s="39"/>
      <c r="SPA226" s="34"/>
      <c r="SPB226" s="34"/>
      <c r="SPC226" s="34"/>
      <c r="SPD226" s="35"/>
      <c r="SPE226" s="35"/>
      <c r="SPF226" s="35"/>
      <c r="SPG226" s="35"/>
      <c r="SPH226" s="35"/>
      <c r="SPI226" s="34"/>
      <c r="SPJ226" s="34"/>
      <c r="SPK226" s="36"/>
      <c r="SPL226" s="36"/>
      <c r="SPM226" s="37"/>
      <c r="SPN226" s="37"/>
      <c r="SPO226" s="38"/>
      <c r="SPP226" s="38"/>
      <c r="SPQ226" s="39"/>
      <c r="SPR226" s="34"/>
      <c r="SPS226" s="34"/>
      <c r="SPT226" s="34"/>
      <c r="SPU226" s="35"/>
      <c r="SPV226" s="35"/>
      <c r="SPW226" s="35"/>
      <c r="SPX226" s="35"/>
      <c r="SPY226" s="35"/>
      <c r="SPZ226" s="34"/>
      <c r="SQA226" s="34"/>
      <c r="SQB226" s="36"/>
      <c r="SQC226" s="36"/>
      <c r="SQD226" s="37"/>
      <c r="SQE226" s="37"/>
      <c r="SQF226" s="38"/>
      <c r="SQG226" s="38"/>
      <c r="SQH226" s="39"/>
      <c r="SQI226" s="34"/>
      <c r="SQJ226" s="34"/>
      <c r="SQK226" s="34"/>
      <c r="SQL226" s="35"/>
      <c r="SQM226" s="35"/>
      <c r="SQN226" s="35"/>
      <c r="SQO226" s="35"/>
      <c r="SQP226" s="35"/>
      <c r="SQQ226" s="34"/>
      <c r="SQR226" s="34"/>
      <c r="SQS226" s="36"/>
      <c r="SQT226" s="36"/>
      <c r="SQU226" s="37"/>
      <c r="SQV226" s="37"/>
      <c r="SQW226" s="38"/>
      <c r="SQX226" s="38"/>
      <c r="SQY226" s="39"/>
      <c r="SQZ226" s="34"/>
      <c r="SRA226" s="34"/>
      <c r="SRB226" s="34"/>
      <c r="SRC226" s="35"/>
      <c r="SRD226" s="35"/>
      <c r="SRE226" s="35"/>
      <c r="SRF226" s="35"/>
      <c r="SRG226" s="35"/>
      <c r="SRH226" s="34"/>
      <c r="SRI226" s="34"/>
      <c r="SRJ226" s="36"/>
      <c r="SRK226" s="36"/>
      <c r="SRL226" s="37"/>
      <c r="SRM226" s="37"/>
      <c r="SRN226" s="38"/>
      <c r="SRO226" s="38"/>
      <c r="SRP226" s="39"/>
      <c r="SRQ226" s="34"/>
      <c r="SRR226" s="34"/>
      <c r="SRS226" s="34"/>
      <c r="SRT226" s="35"/>
      <c r="SRU226" s="35"/>
      <c r="SRV226" s="35"/>
      <c r="SRW226" s="35"/>
      <c r="SRX226" s="35"/>
      <c r="SRY226" s="34"/>
      <c r="SRZ226" s="34"/>
      <c r="SSA226" s="36"/>
      <c r="SSB226" s="36"/>
      <c r="SSC226" s="37"/>
      <c r="SSD226" s="37"/>
      <c r="SSE226" s="38"/>
      <c r="SSF226" s="38"/>
      <c r="SSG226" s="39"/>
      <c r="SSH226" s="34"/>
      <c r="SSI226" s="34"/>
      <c r="SSJ226" s="34"/>
      <c r="SSK226" s="35"/>
      <c r="SSL226" s="35"/>
      <c r="SSM226" s="35"/>
      <c r="SSN226" s="35"/>
      <c r="SSO226" s="35"/>
      <c r="SSP226" s="34"/>
      <c r="SSQ226" s="34"/>
      <c r="SSR226" s="36"/>
      <c r="SSS226" s="36"/>
      <c r="SST226" s="37"/>
      <c r="SSU226" s="37"/>
      <c r="SSV226" s="38"/>
      <c r="SSW226" s="38"/>
      <c r="SSX226" s="39"/>
      <c r="SSY226" s="34"/>
      <c r="SSZ226" s="34"/>
      <c r="STA226" s="34"/>
      <c r="STB226" s="35"/>
      <c r="STC226" s="35"/>
      <c r="STD226" s="35"/>
      <c r="STE226" s="35"/>
      <c r="STF226" s="35"/>
      <c r="STG226" s="34"/>
      <c r="STH226" s="34"/>
      <c r="STI226" s="36"/>
      <c r="STJ226" s="36"/>
      <c r="STK226" s="37"/>
      <c r="STL226" s="37"/>
      <c r="STM226" s="38"/>
      <c r="STN226" s="38"/>
      <c r="STO226" s="39"/>
      <c r="STP226" s="34"/>
      <c r="STQ226" s="34"/>
      <c r="STR226" s="34"/>
      <c r="STS226" s="35"/>
      <c r="STT226" s="35"/>
      <c r="STU226" s="35"/>
      <c r="STV226" s="35"/>
      <c r="STW226" s="35"/>
      <c r="STX226" s="34"/>
      <c r="STY226" s="34"/>
      <c r="STZ226" s="36"/>
      <c r="SUA226" s="36"/>
      <c r="SUB226" s="37"/>
      <c r="SUC226" s="37"/>
      <c r="SUD226" s="38"/>
      <c r="SUE226" s="38"/>
      <c r="SUF226" s="39"/>
      <c r="SUG226" s="34"/>
      <c r="SUH226" s="34"/>
      <c r="SUI226" s="34"/>
      <c r="SUJ226" s="35"/>
      <c r="SUK226" s="35"/>
      <c r="SUL226" s="35"/>
      <c r="SUM226" s="35"/>
      <c r="SUN226" s="35"/>
      <c r="SUO226" s="34"/>
      <c r="SUP226" s="34"/>
      <c r="SUQ226" s="36"/>
      <c r="SUR226" s="36"/>
      <c r="SUS226" s="37"/>
      <c r="SUT226" s="37"/>
      <c r="SUU226" s="38"/>
      <c r="SUV226" s="38"/>
      <c r="SUW226" s="39"/>
      <c r="SUX226" s="34"/>
      <c r="SUY226" s="34"/>
      <c r="SUZ226" s="34"/>
      <c r="SVA226" s="35"/>
      <c r="SVB226" s="35"/>
      <c r="SVC226" s="35"/>
      <c r="SVD226" s="35"/>
      <c r="SVE226" s="35"/>
      <c r="SVF226" s="34"/>
      <c r="SVG226" s="34"/>
      <c r="SVH226" s="36"/>
      <c r="SVI226" s="36"/>
      <c r="SVJ226" s="37"/>
      <c r="SVK226" s="37"/>
      <c r="SVL226" s="38"/>
      <c r="SVM226" s="38"/>
      <c r="SVN226" s="39"/>
      <c r="SVO226" s="34"/>
      <c r="SVP226" s="34"/>
      <c r="SVQ226" s="34"/>
      <c r="SVR226" s="35"/>
      <c r="SVS226" s="35"/>
      <c r="SVT226" s="35"/>
      <c r="SVU226" s="35"/>
      <c r="SVV226" s="35"/>
      <c r="SVW226" s="34"/>
      <c r="SVX226" s="34"/>
      <c r="SVY226" s="36"/>
      <c r="SVZ226" s="36"/>
      <c r="SWA226" s="37"/>
      <c r="SWB226" s="37"/>
      <c r="SWC226" s="38"/>
      <c r="SWD226" s="38"/>
      <c r="SWE226" s="39"/>
      <c r="SWF226" s="34"/>
      <c r="SWG226" s="34"/>
      <c r="SWH226" s="34"/>
      <c r="SWI226" s="35"/>
      <c r="SWJ226" s="35"/>
      <c r="SWK226" s="35"/>
      <c r="SWL226" s="35"/>
      <c r="SWM226" s="35"/>
      <c r="SWN226" s="34"/>
      <c r="SWO226" s="34"/>
      <c r="SWP226" s="36"/>
      <c r="SWQ226" s="36"/>
      <c r="SWR226" s="37"/>
      <c r="SWS226" s="37"/>
      <c r="SWT226" s="38"/>
      <c r="SWU226" s="38"/>
      <c r="SWV226" s="39"/>
      <c r="SWW226" s="34"/>
      <c r="SWX226" s="34"/>
      <c r="SWY226" s="34"/>
      <c r="SWZ226" s="35"/>
      <c r="SXA226" s="35"/>
      <c r="SXB226" s="35"/>
      <c r="SXC226" s="35"/>
      <c r="SXD226" s="35"/>
      <c r="SXE226" s="34"/>
      <c r="SXF226" s="34"/>
      <c r="SXG226" s="36"/>
      <c r="SXH226" s="36"/>
      <c r="SXI226" s="37"/>
      <c r="SXJ226" s="37"/>
      <c r="SXK226" s="38"/>
      <c r="SXL226" s="38"/>
      <c r="SXM226" s="39"/>
      <c r="SXN226" s="34"/>
      <c r="SXO226" s="34"/>
      <c r="SXP226" s="34"/>
      <c r="SXQ226" s="35"/>
      <c r="SXR226" s="35"/>
      <c r="SXS226" s="35"/>
      <c r="SXT226" s="35"/>
      <c r="SXU226" s="35"/>
      <c r="SXV226" s="34"/>
      <c r="SXW226" s="34"/>
      <c r="SXX226" s="36"/>
      <c r="SXY226" s="36"/>
      <c r="SXZ226" s="37"/>
      <c r="SYA226" s="37"/>
      <c r="SYB226" s="38"/>
      <c r="SYC226" s="38"/>
      <c r="SYD226" s="39"/>
      <c r="SYE226" s="34"/>
      <c r="SYF226" s="34"/>
      <c r="SYG226" s="34"/>
      <c r="SYH226" s="35"/>
      <c r="SYI226" s="35"/>
      <c r="SYJ226" s="35"/>
      <c r="SYK226" s="35"/>
      <c r="SYL226" s="35"/>
      <c r="SYM226" s="34"/>
      <c r="SYN226" s="34"/>
      <c r="SYO226" s="36"/>
      <c r="SYP226" s="36"/>
      <c r="SYQ226" s="37"/>
      <c r="SYR226" s="37"/>
      <c r="SYS226" s="38"/>
      <c r="SYT226" s="38"/>
      <c r="SYU226" s="39"/>
      <c r="SYV226" s="34"/>
      <c r="SYW226" s="34"/>
      <c r="SYX226" s="34"/>
      <c r="SYY226" s="35"/>
      <c r="SYZ226" s="35"/>
      <c r="SZA226" s="35"/>
      <c r="SZB226" s="35"/>
      <c r="SZC226" s="35"/>
      <c r="SZD226" s="34"/>
      <c r="SZE226" s="34"/>
      <c r="SZF226" s="36"/>
      <c r="SZG226" s="36"/>
      <c r="SZH226" s="37"/>
      <c r="SZI226" s="37"/>
      <c r="SZJ226" s="38"/>
      <c r="SZK226" s="38"/>
      <c r="SZL226" s="39"/>
      <c r="SZM226" s="34"/>
      <c r="SZN226" s="34"/>
      <c r="SZO226" s="34"/>
      <c r="SZP226" s="35"/>
      <c r="SZQ226" s="35"/>
      <c r="SZR226" s="35"/>
      <c r="SZS226" s="35"/>
      <c r="SZT226" s="35"/>
      <c r="SZU226" s="34"/>
      <c r="SZV226" s="34"/>
      <c r="SZW226" s="36"/>
      <c r="SZX226" s="36"/>
      <c r="SZY226" s="37"/>
      <c r="SZZ226" s="37"/>
      <c r="TAA226" s="38"/>
      <c r="TAB226" s="38"/>
      <c r="TAC226" s="39"/>
      <c r="TAD226" s="34"/>
      <c r="TAE226" s="34"/>
      <c r="TAF226" s="34"/>
      <c r="TAG226" s="35"/>
      <c r="TAH226" s="35"/>
      <c r="TAI226" s="35"/>
      <c r="TAJ226" s="35"/>
      <c r="TAK226" s="35"/>
      <c r="TAL226" s="34"/>
      <c r="TAM226" s="34"/>
      <c r="TAN226" s="36"/>
      <c r="TAO226" s="36"/>
      <c r="TAP226" s="37"/>
      <c r="TAQ226" s="37"/>
      <c r="TAR226" s="38"/>
      <c r="TAS226" s="38"/>
      <c r="TAT226" s="39"/>
      <c r="TAU226" s="34"/>
      <c r="TAV226" s="34"/>
      <c r="TAW226" s="34"/>
      <c r="TAX226" s="35"/>
      <c r="TAY226" s="35"/>
      <c r="TAZ226" s="35"/>
      <c r="TBA226" s="35"/>
      <c r="TBB226" s="35"/>
      <c r="TBC226" s="34"/>
      <c r="TBD226" s="34"/>
      <c r="TBE226" s="36"/>
      <c r="TBF226" s="36"/>
      <c r="TBG226" s="37"/>
      <c r="TBH226" s="37"/>
      <c r="TBI226" s="38"/>
      <c r="TBJ226" s="38"/>
      <c r="TBK226" s="39"/>
      <c r="TBL226" s="34"/>
      <c r="TBM226" s="34"/>
      <c r="TBN226" s="34"/>
      <c r="TBO226" s="35"/>
      <c r="TBP226" s="35"/>
      <c r="TBQ226" s="35"/>
      <c r="TBR226" s="35"/>
      <c r="TBS226" s="35"/>
      <c r="TBT226" s="34"/>
      <c r="TBU226" s="34"/>
      <c r="TBV226" s="36"/>
      <c r="TBW226" s="36"/>
      <c r="TBX226" s="37"/>
      <c r="TBY226" s="37"/>
      <c r="TBZ226" s="38"/>
      <c r="TCA226" s="38"/>
      <c r="TCB226" s="39"/>
      <c r="TCC226" s="34"/>
      <c r="TCD226" s="34"/>
      <c r="TCE226" s="34"/>
      <c r="TCF226" s="35"/>
      <c r="TCG226" s="35"/>
      <c r="TCH226" s="35"/>
      <c r="TCI226" s="35"/>
      <c r="TCJ226" s="35"/>
      <c r="TCK226" s="34"/>
      <c r="TCL226" s="34"/>
      <c r="TCM226" s="36"/>
      <c r="TCN226" s="36"/>
      <c r="TCO226" s="37"/>
      <c r="TCP226" s="37"/>
      <c r="TCQ226" s="38"/>
      <c r="TCR226" s="38"/>
      <c r="TCS226" s="39"/>
      <c r="TCT226" s="34"/>
      <c r="TCU226" s="34"/>
      <c r="TCV226" s="34"/>
      <c r="TCW226" s="35"/>
      <c r="TCX226" s="35"/>
      <c r="TCY226" s="35"/>
      <c r="TCZ226" s="35"/>
      <c r="TDA226" s="35"/>
      <c r="TDB226" s="34"/>
      <c r="TDC226" s="34"/>
      <c r="TDD226" s="36"/>
      <c r="TDE226" s="36"/>
      <c r="TDF226" s="37"/>
      <c r="TDG226" s="37"/>
      <c r="TDH226" s="38"/>
      <c r="TDI226" s="38"/>
      <c r="TDJ226" s="39"/>
      <c r="TDK226" s="34"/>
      <c r="TDL226" s="34"/>
      <c r="TDM226" s="34"/>
      <c r="TDN226" s="35"/>
      <c r="TDO226" s="35"/>
      <c r="TDP226" s="35"/>
      <c r="TDQ226" s="35"/>
      <c r="TDR226" s="35"/>
      <c r="TDS226" s="34"/>
      <c r="TDT226" s="34"/>
      <c r="TDU226" s="36"/>
      <c r="TDV226" s="36"/>
      <c r="TDW226" s="37"/>
      <c r="TDX226" s="37"/>
      <c r="TDY226" s="38"/>
      <c r="TDZ226" s="38"/>
      <c r="TEA226" s="39"/>
      <c r="TEB226" s="34"/>
      <c r="TEC226" s="34"/>
      <c r="TED226" s="34"/>
      <c r="TEE226" s="35"/>
      <c r="TEF226" s="35"/>
      <c r="TEG226" s="35"/>
      <c r="TEH226" s="35"/>
      <c r="TEI226" s="35"/>
      <c r="TEJ226" s="34"/>
      <c r="TEK226" s="34"/>
      <c r="TEL226" s="36"/>
      <c r="TEM226" s="36"/>
      <c r="TEN226" s="37"/>
      <c r="TEO226" s="37"/>
      <c r="TEP226" s="38"/>
      <c r="TEQ226" s="38"/>
      <c r="TER226" s="39"/>
      <c r="TES226" s="34"/>
      <c r="TET226" s="34"/>
      <c r="TEU226" s="34"/>
      <c r="TEV226" s="35"/>
      <c r="TEW226" s="35"/>
      <c r="TEX226" s="35"/>
      <c r="TEY226" s="35"/>
      <c r="TEZ226" s="35"/>
      <c r="TFA226" s="34"/>
      <c r="TFB226" s="34"/>
      <c r="TFC226" s="36"/>
      <c r="TFD226" s="36"/>
      <c r="TFE226" s="37"/>
      <c r="TFF226" s="37"/>
      <c r="TFG226" s="38"/>
      <c r="TFH226" s="38"/>
      <c r="TFI226" s="39"/>
      <c r="TFJ226" s="34"/>
      <c r="TFK226" s="34"/>
      <c r="TFL226" s="34"/>
      <c r="TFM226" s="35"/>
      <c r="TFN226" s="35"/>
      <c r="TFO226" s="35"/>
      <c r="TFP226" s="35"/>
      <c r="TFQ226" s="35"/>
      <c r="TFR226" s="34"/>
      <c r="TFS226" s="34"/>
      <c r="TFT226" s="36"/>
      <c r="TFU226" s="36"/>
      <c r="TFV226" s="37"/>
      <c r="TFW226" s="37"/>
      <c r="TFX226" s="38"/>
      <c r="TFY226" s="38"/>
      <c r="TFZ226" s="39"/>
      <c r="TGA226" s="34"/>
      <c r="TGB226" s="34"/>
      <c r="TGC226" s="34"/>
      <c r="TGD226" s="35"/>
      <c r="TGE226" s="35"/>
      <c r="TGF226" s="35"/>
      <c r="TGG226" s="35"/>
      <c r="TGH226" s="35"/>
      <c r="TGI226" s="34"/>
      <c r="TGJ226" s="34"/>
      <c r="TGK226" s="36"/>
      <c r="TGL226" s="36"/>
      <c r="TGM226" s="37"/>
      <c r="TGN226" s="37"/>
      <c r="TGO226" s="38"/>
      <c r="TGP226" s="38"/>
      <c r="TGQ226" s="39"/>
      <c r="TGR226" s="34"/>
      <c r="TGS226" s="34"/>
      <c r="TGT226" s="34"/>
      <c r="TGU226" s="35"/>
      <c r="TGV226" s="35"/>
      <c r="TGW226" s="35"/>
      <c r="TGX226" s="35"/>
      <c r="TGY226" s="35"/>
      <c r="TGZ226" s="34"/>
      <c r="THA226" s="34"/>
      <c r="THB226" s="36"/>
      <c r="THC226" s="36"/>
      <c r="THD226" s="37"/>
      <c r="THE226" s="37"/>
      <c r="THF226" s="38"/>
      <c r="THG226" s="38"/>
      <c r="THH226" s="39"/>
      <c r="THI226" s="34"/>
      <c r="THJ226" s="34"/>
      <c r="THK226" s="34"/>
      <c r="THL226" s="35"/>
      <c r="THM226" s="35"/>
      <c r="THN226" s="35"/>
      <c r="THO226" s="35"/>
      <c r="THP226" s="35"/>
      <c r="THQ226" s="34"/>
      <c r="THR226" s="34"/>
      <c r="THS226" s="36"/>
      <c r="THT226" s="36"/>
      <c r="THU226" s="37"/>
      <c r="THV226" s="37"/>
      <c r="THW226" s="38"/>
      <c r="THX226" s="38"/>
      <c r="THY226" s="39"/>
      <c r="THZ226" s="34"/>
      <c r="TIA226" s="34"/>
      <c r="TIB226" s="34"/>
      <c r="TIC226" s="35"/>
      <c r="TID226" s="35"/>
      <c r="TIE226" s="35"/>
      <c r="TIF226" s="35"/>
      <c r="TIG226" s="35"/>
      <c r="TIH226" s="34"/>
      <c r="TII226" s="34"/>
      <c r="TIJ226" s="36"/>
      <c r="TIK226" s="36"/>
      <c r="TIL226" s="37"/>
      <c r="TIM226" s="37"/>
      <c r="TIN226" s="38"/>
      <c r="TIO226" s="38"/>
      <c r="TIP226" s="39"/>
      <c r="TIQ226" s="34"/>
      <c r="TIR226" s="34"/>
      <c r="TIS226" s="34"/>
      <c r="TIT226" s="35"/>
      <c r="TIU226" s="35"/>
      <c r="TIV226" s="35"/>
      <c r="TIW226" s="35"/>
      <c r="TIX226" s="35"/>
      <c r="TIY226" s="34"/>
      <c r="TIZ226" s="34"/>
      <c r="TJA226" s="36"/>
      <c r="TJB226" s="36"/>
      <c r="TJC226" s="37"/>
      <c r="TJD226" s="37"/>
      <c r="TJE226" s="38"/>
      <c r="TJF226" s="38"/>
      <c r="TJG226" s="39"/>
      <c r="TJH226" s="34"/>
      <c r="TJI226" s="34"/>
      <c r="TJJ226" s="34"/>
      <c r="TJK226" s="35"/>
      <c r="TJL226" s="35"/>
      <c r="TJM226" s="35"/>
      <c r="TJN226" s="35"/>
      <c r="TJO226" s="35"/>
      <c r="TJP226" s="34"/>
      <c r="TJQ226" s="34"/>
      <c r="TJR226" s="36"/>
      <c r="TJS226" s="36"/>
      <c r="TJT226" s="37"/>
      <c r="TJU226" s="37"/>
      <c r="TJV226" s="38"/>
      <c r="TJW226" s="38"/>
      <c r="TJX226" s="39"/>
      <c r="TJY226" s="34"/>
      <c r="TJZ226" s="34"/>
      <c r="TKA226" s="34"/>
      <c r="TKB226" s="35"/>
      <c r="TKC226" s="35"/>
      <c r="TKD226" s="35"/>
      <c r="TKE226" s="35"/>
      <c r="TKF226" s="35"/>
      <c r="TKG226" s="34"/>
      <c r="TKH226" s="34"/>
      <c r="TKI226" s="36"/>
      <c r="TKJ226" s="36"/>
      <c r="TKK226" s="37"/>
      <c r="TKL226" s="37"/>
      <c r="TKM226" s="38"/>
      <c r="TKN226" s="38"/>
      <c r="TKO226" s="39"/>
      <c r="TKP226" s="34"/>
      <c r="TKQ226" s="34"/>
      <c r="TKR226" s="34"/>
      <c r="TKS226" s="35"/>
      <c r="TKT226" s="35"/>
      <c r="TKU226" s="35"/>
      <c r="TKV226" s="35"/>
      <c r="TKW226" s="35"/>
      <c r="TKX226" s="34"/>
      <c r="TKY226" s="34"/>
      <c r="TKZ226" s="36"/>
      <c r="TLA226" s="36"/>
      <c r="TLB226" s="37"/>
      <c r="TLC226" s="37"/>
      <c r="TLD226" s="38"/>
      <c r="TLE226" s="38"/>
      <c r="TLF226" s="39"/>
      <c r="TLG226" s="34"/>
      <c r="TLH226" s="34"/>
      <c r="TLI226" s="34"/>
      <c r="TLJ226" s="35"/>
      <c r="TLK226" s="35"/>
      <c r="TLL226" s="35"/>
      <c r="TLM226" s="35"/>
      <c r="TLN226" s="35"/>
      <c r="TLO226" s="34"/>
      <c r="TLP226" s="34"/>
      <c r="TLQ226" s="36"/>
      <c r="TLR226" s="36"/>
      <c r="TLS226" s="37"/>
      <c r="TLT226" s="37"/>
      <c r="TLU226" s="38"/>
      <c r="TLV226" s="38"/>
      <c r="TLW226" s="39"/>
      <c r="TLX226" s="34"/>
      <c r="TLY226" s="34"/>
      <c r="TLZ226" s="34"/>
      <c r="TMA226" s="35"/>
      <c r="TMB226" s="35"/>
      <c r="TMC226" s="35"/>
      <c r="TMD226" s="35"/>
      <c r="TME226" s="35"/>
      <c r="TMF226" s="34"/>
      <c r="TMG226" s="34"/>
      <c r="TMH226" s="36"/>
      <c r="TMI226" s="36"/>
      <c r="TMJ226" s="37"/>
      <c r="TMK226" s="37"/>
      <c r="TML226" s="38"/>
      <c r="TMM226" s="38"/>
      <c r="TMN226" s="39"/>
      <c r="TMO226" s="34"/>
      <c r="TMP226" s="34"/>
      <c r="TMQ226" s="34"/>
      <c r="TMR226" s="35"/>
      <c r="TMS226" s="35"/>
      <c r="TMT226" s="35"/>
      <c r="TMU226" s="35"/>
      <c r="TMV226" s="35"/>
      <c r="TMW226" s="34"/>
      <c r="TMX226" s="34"/>
      <c r="TMY226" s="36"/>
      <c r="TMZ226" s="36"/>
      <c r="TNA226" s="37"/>
      <c r="TNB226" s="37"/>
      <c r="TNC226" s="38"/>
      <c r="TND226" s="38"/>
      <c r="TNE226" s="39"/>
      <c r="TNF226" s="34"/>
      <c r="TNG226" s="34"/>
      <c r="TNH226" s="34"/>
      <c r="TNI226" s="35"/>
      <c r="TNJ226" s="35"/>
      <c r="TNK226" s="35"/>
      <c r="TNL226" s="35"/>
      <c r="TNM226" s="35"/>
      <c r="TNN226" s="34"/>
      <c r="TNO226" s="34"/>
      <c r="TNP226" s="36"/>
      <c r="TNQ226" s="36"/>
      <c r="TNR226" s="37"/>
      <c r="TNS226" s="37"/>
      <c r="TNT226" s="38"/>
      <c r="TNU226" s="38"/>
      <c r="TNV226" s="39"/>
      <c r="TNW226" s="34"/>
      <c r="TNX226" s="34"/>
      <c r="TNY226" s="34"/>
      <c r="TNZ226" s="35"/>
      <c r="TOA226" s="35"/>
      <c r="TOB226" s="35"/>
      <c r="TOC226" s="35"/>
      <c r="TOD226" s="35"/>
      <c r="TOE226" s="34"/>
      <c r="TOF226" s="34"/>
      <c r="TOG226" s="36"/>
      <c r="TOH226" s="36"/>
      <c r="TOI226" s="37"/>
      <c r="TOJ226" s="37"/>
      <c r="TOK226" s="38"/>
      <c r="TOL226" s="38"/>
      <c r="TOM226" s="39"/>
      <c r="TON226" s="34"/>
      <c r="TOO226" s="34"/>
      <c r="TOP226" s="34"/>
      <c r="TOQ226" s="35"/>
      <c r="TOR226" s="35"/>
      <c r="TOS226" s="35"/>
      <c r="TOT226" s="35"/>
      <c r="TOU226" s="35"/>
      <c r="TOV226" s="34"/>
      <c r="TOW226" s="34"/>
      <c r="TOX226" s="36"/>
      <c r="TOY226" s="36"/>
      <c r="TOZ226" s="37"/>
      <c r="TPA226" s="37"/>
      <c r="TPB226" s="38"/>
      <c r="TPC226" s="38"/>
      <c r="TPD226" s="39"/>
      <c r="TPE226" s="34"/>
      <c r="TPF226" s="34"/>
      <c r="TPG226" s="34"/>
      <c r="TPH226" s="35"/>
      <c r="TPI226" s="35"/>
      <c r="TPJ226" s="35"/>
      <c r="TPK226" s="35"/>
      <c r="TPL226" s="35"/>
      <c r="TPM226" s="34"/>
      <c r="TPN226" s="34"/>
      <c r="TPO226" s="36"/>
      <c r="TPP226" s="36"/>
      <c r="TPQ226" s="37"/>
      <c r="TPR226" s="37"/>
      <c r="TPS226" s="38"/>
      <c r="TPT226" s="38"/>
      <c r="TPU226" s="39"/>
      <c r="TPV226" s="34"/>
      <c r="TPW226" s="34"/>
      <c r="TPX226" s="34"/>
      <c r="TPY226" s="35"/>
      <c r="TPZ226" s="35"/>
      <c r="TQA226" s="35"/>
      <c r="TQB226" s="35"/>
      <c r="TQC226" s="35"/>
      <c r="TQD226" s="34"/>
      <c r="TQE226" s="34"/>
      <c r="TQF226" s="36"/>
      <c r="TQG226" s="36"/>
      <c r="TQH226" s="37"/>
      <c r="TQI226" s="37"/>
      <c r="TQJ226" s="38"/>
      <c r="TQK226" s="38"/>
      <c r="TQL226" s="39"/>
      <c r="TQM226" s="34"/>
      <c r="TQN226" s="34"/>
      <c r="TQO226" s="34"/>
      <c r="TQP226" s="35"/>
      <c r="TQQ226" s="35"/>
      <c r="TQR226" s="35"/>
      <c r="TQS226" s="35"/>
      <c r="TQT226" s="35"/>
      <c r="TQU226" s="34"/>
      <c r="TQV226" s="34"/>
      <c r="TQW226" s="36"/>
      <c r="TQX226" s="36"/>
      <c r="TQY226" s="37"/>
      <c r="TQZ226" s="37"/>
      <c r="TRA226" s="38"/>
      <c r="TRB226" s="38"/>
      <c r="TRC226" s="39"/>
      <c r="TRD226" s="34"/>
      <c r="TRE226" s="34"/>
      <c r="TRF226" s="34"/>
      <c r="TRG226" s="35"/>
      <c r="TRH226" s="35"/>
      <c r="TRI226" s="35"/>
      <c r="TRJ226" s="35"/>
      <c r="TRK226" s="35"/>
      <c r="TRL226" s="34"/>
      <c r="TRM226" s="34"/>
      <c r="TRN226" s="36"/>
      <c r="TRO226" s="36"/>
      <c r="TRP226" s="37"/>
      <c r="TRQ226" s="37"/>
      <c r="TRR226" s="38"/>
      <c r="TRS226" s="38"/>
      <c r="TRT226" s="39"/>
      <c r="TRU226" s="34"/>
      <c r="TRV226" s="34"/>
      <c r="TRW226" s="34"/>
      <c r="TRX226" s="35"/>
      <c r="TRY226" s="35"/>
      <c r="TRZ226" s="35"/>
      <c r="TSA226" s="35"/>
      <c r="TSB226" s="35"/>
      <c r="TSC226" s="34"/>
      <c r="TSD226" s="34"/>
      <c r="TSE226" s="36"/>
      <c r="TSF226" s="36"/>
      <c r="TSG226" s="37"/>
      <c r="TSH226" s="37"/>
      <c r="TSI226" s="38"/>
      <c r="TSJ226" s="38"/>
      <c r="TSK226" s="39"/>
      <c r="TSL226" s="34"/>
      <c r="TSM226" s="34"/>
      <c r="TSN226" s="34"/>
      <c r="TSO226" s="35"/>
      <c r="TSP226" s="35"/>
      <c r="TSQ226" s="35"/>
      <c r="TSR226" s="35"/>
      <c r="TSS226" s="35"/>
      <c r="TST226" s="34"/>
      <c r="TSU226" s="34"/>
      <c r="TSV226" s="36"/>
      <c r="TSW226" s="36"/>
      <c r="TSX226" s="37"/>
      <c r="TSY226" s="37"/>
      <c r="TSZ226" s="38"/>
      <c r="TTA226" s="38"/>
      <c r="TTB226" s="39"/>
      <c r="TTC226" s="34"/>
      <c r="TTD226" s="34"/>
      <c r="TTE226" s="34"/>
      <c r="TTF226" s="35"/>
      <c r="TTG226" s="35"/>
      <c r="TTH226" s="35"/>
      <c r="TTI226" s="35"/>
      <c r="TTJ226" s="35"/>
      <c r="TTK226" s="34"/>
      <c r="TTL226" s="34"/>
      <c r="TTM226" s="36"/>
      <c r="TTN226" s="36"/>
      <c r="TTO226" s="37"/>
      <c r="TTP226" s="37"/>
      <c r="TTQ226" s="38"/>
      <c r="TTR226" s="38"/>
      <c r="TTS226" s="39"/>
      <c r="TTT226" s="34"/>
      <c r="TTU226" s="34"/>
      <c r="TTV226" s="34"/>
      <c r="TTW226" s="35"/>
      <c r="TTX226" s="35"/>
      <c r="TTY226" s="35"/>
      <c r="TTZ226" s="35"/>
      <c r="TUA226" s="35"/>
      <c r="TUB226" s="34"/>
      <c r="TUC226" s="34"/>
      <c r="TUD226" s="36"/>
      <c r="TUE226" s="36"/>
      <c r="TUF226" s="37"/>
      <c r="TUG226" s="37"/>
      <c r="TUH226" s="38"/>
      <c r="TUI226" s="38"/>
      <c r="TUJ226" s="39"/>
      <c r="TUK226" s="34"/>
      <c r="TUL226" s="34"/>
      <c r="TUM226" s="34"/>
      <c r="TUN226" s="35"/>
      <c r="TUO226" s="35"/>
      <c r="TUP226" s="35"/>
      <c r="TUQ226" s="35"/>
      <c r="TUR226" s="35"/>
      <c r="TUS226" s="34"/>
      <c r="TUT226" s="34"/>
      <c r="TUU226" s="36"/>
      <c r="TUV226" s="36"/>
      <c r="TUW226" s="37"/>
      <c r="TUX226" s="37"/>
      <c r="TUY226" s="38"/>
      <c r="TUZ226" s="38"/>
      <c r="TVA226" s="39"/>
      <c r="TVB226" s="34"/>
      <c r="TVC226" s="34"/>
      <c r="TVD226" s="34"/>
      <c r="TVE226" s="35"/>
      <c r="TVF226" s="35"/>
      <c r="TVG226" s="35"/>
      <c r="TVH226" s="35"/>
      <c r="TVI226" s="35"/>
      <c r="TVJ226" s="34"/>
      <c r="TVK226" s="34"/>
      <c r="TVL226" s="36"/>
      <c r="TVM226" s="36"/>
      <c r="TVN226" s="37"/>
      <c r="TVO226" s="37"/>
      <c r="TVP226" s="38"/>
      <c r="TVQ226" s="38"/>
      <c r="TVR226" s="39"/>
      <c r="TVS226" s="34"/>
      <c r="TVT226" s="34"/>
      <c r="TVU226" s="34"/>
      <c r="TVV226" s="35"/>
      <c r="TVW226" s="35"/>
      <c r="TVX226" s="35"/>
      <c r="TVY226" s="35"/>
      <c r="TVZ226" s="35"/>
      <c r="TWA226" s="34"/>
      <c r="TWB226" s="34"/>
      <c r="TWC226" s="36"/>
      <c r="TWD226" s="36"/>
      <c r="TWE226" s="37"/>
      <c r="TWF226" s="37"/>
      <c r="TWG226" s="38"/>
      <c r="TWH226" s="38"/>
      <c r="TWI226" s="39"/>
      <c r="TWJ226" s="34"/>
      <c r="TWK226" s="34"/>
      <c r="TWL226" s="34"/>
      <c r="TWM226" s="35"/>
      <c r="TWN226" s="35"/>
      <c r="TWO226" s="35"/>
      <c r="TWP226" s="35"/>
      <c r="TWQ226" s="35"/>
      <c r="TWR226" s="34"/>
      <c r="TWS226" s="34"/>
      <c r="TWT226" s="36"/>
      <c r="TWU226" s="36"/>
      <c r="TWV226" s="37"/>
      <c r="TWW226" s="37"/>
      <c r="TWX226" s="38"/>
      <c r="TWY226" s="38"/>
      <c r="TWZ226" s="39"/>
      <c r="TXA226" s="34"/>
      <c r="TXB226" s="34"/>
      <c r="TXC226" s="34"/>
      <c r="TXD226" s="35"/>
      <c r="TXE226" s="35"/>
      <c r="TXF226" s="35"/>
      <c r="TXG226" s="35"/>
      <c r="TXH226" s="35"/>
      <c r="TXI226" s="34"/>
      <c r="TXJ226" s="34"/>
      <c r="TXK226" s="36"/>
      <c r="TXL226" s="36"/>
      <c r="TXM226" s="37"/>
      <c r="TXN226" s="37"/>
      <c r="TXO226" s="38"/>
      <c r="TXP226" s="38"/>
      <c r="TXQ226" s="39"/>
      <c r="TXR226" s="34"/>
      <c r="TXS226" s="34"/>
      <c r="TXT226" s="34"/>
      <c r="TXU226" s="35"/>
      <c r="TXV226" s="35"/>
      <c r="TXW226" s="35"/>
      <c r="TXX226" s="35"/>
      <c r="TXY226" s="35"/>
      <c r="TXZ226" s="34"/>
      <c r="TYA226" s="34"/>
      <c r="TYB226" s="36"/>
      <c r="TYC226" s="36"/>
      <c r="TYD226" s="37"/>
      <c r="TYE226" s="37"/>
      <c r="TYF226" s="38"/>
      <c r="TYG226" s="38"/>
      <c r="TYH226" s="39"/>
      <c r="TYI226" s="34"/>
      <c r="TYJ226" s="34"/>
      <c r="TYK226" s="34"/>
      <c r="TYL226" s="35"/>
      <c r="TYM226" s="35"/>
      <c r="TYN226" s="35"/>
      <c r="TYO226" s="35"/>
      <c r="TYP226" s="35"/>
      <c r="TYQ226" s="34"/>
      <c r="TYR226" s="34"/>
      <c r="TYS226" s="36"/>
      <c r="TYT226" s="36"/>
      <c r="TYU226" s="37"/>
      <c r="TYV226" s="37"/>
      <c r="TYW226" s="38"/>
      <c r="TYX226" s="38"/>
      <c r="TYY226" s="39"/>
      <c r="TYZ226" s="34"/>
      <c r="TZA226" s="34"/>
      <c r="TZB226" s="34"/>
      <c r="TZC226" s="35"/>
      <c r="TZD226" s="35"/>
      <c r="TZE226" s="35"/>
      <c r="TZF226" s="35"/>
      <c r="TZG226" s="35"/>
      <c r="TZH226" s="34"/>
      <c r="TZI226" s="34"/>
      <c r="TZJ226" s="36"/>
      <c r="TZK226" s="36"/>
      <c r="TZL226" s="37"/>
      <c r="TZM226" s="37"/>
      <c r="TZN226" s="38"/>
      <c r="TZO226" s="38"/>
      <c r="TZP226" s="39"/>
      <c r="TZQ226" s="34"/>
      <c r="TZR226" s="34"/>
      <c r="TZS226" s="34"/>
      <c r="TZT226" s="35"/>
      <c r="TZU226" s="35"/>
      <c r="TZV226" s="35"/>
      <c r="TZW226" s="35"/>
      <c r="TZX226" s="35"/>
      <c r="TZY226" s="34"/>
      <c r="TZZ226" s="34"/>
      <c r="UAA226" s="36"/>
      <c r="UAB226" s="36"/>
      <c r="UAC226" s="37"/>
      <c r="UAD226" s="37"/>
      <c r="UAE226" s="38"/>
      <c r="UAF226" s="38"/>
      <c r="UAG226" s="39"/>
      <c r="UAH226" s="34"/>
      <c r="UAI226" s="34"/>
      <c r="UAJ226" s="34"/>
      <c r="UAK226" s="35"/>
      <c r="UAL226" s="35"/>
      <c r="UAM226" s="35"/>
      <c r="UAN226" s="35"/>
      <c r="UAO226" s="35"/>
      <c r="UAP226" s="34"/>
      <c r="UAQ226" s="34"/>
      <c r="UAR226" s="36"/>
      <c r="UAS226" s="36"/>
      <c r="UAT226" s="37"/>
      <c r="UAU226" s="37"/>
      <c r="UAV226" s="38"/>
      <c r="UAW226" s="38"/>
      <c r="UAX226" s="39"/>
      <c r="UAY226" s="34"/>
      <c r="UAZ226" s="34"/>
      <c r="UBA226" s="34"/>
      <c r="UBB226" s="35"/>
      <c r="UBC226" s="35"/>
      <c r="UBD226" s="35"/>
      <c r="UBE226" s="35"/>
      <c r="UBF226" s="35"/>
      <c r="UBG226" s="34"/>
      <c r="UBH226" s="34"/>
      <c r="UBI226" s="36"/>
      <c r="UBJ226" s="36"/>
      <c r="UBK226" s="37"/>
      <c r="UBL226" s="37"/>
      <c r="UBM226" s="38"/>
      <c r="UBN226" s="38"/>
      <c r="UBO226" s="39"/>
      <c r="UBP226" s="34"/>
      <c r="UBQ226" s="34"/>
      <c r="UBR226" s="34"/>
      <c r="UBS226" s="35"/>
      <c r="UBT226" s="35"/>
      <c r="UBU226" s="35"/>
      <c r="UBV226" s="35"/>
      <c r="UBW226" s="35"/>
      <c r="UBX226" s="34"/>
      <c r="UBY226" s="34"/>
      <c r="UBZ226" s="36"/>
      <c r="UCA226" s="36"/>
      <c r="UCB226" s="37"/>
      <c r="UCC226" s="37"/>
      <c r="UCD226" s="38"/>
      <c r="UCE226" s="38"/>
      <c r="UCF226" s="39"/>
      <c r="UCG226" s="34"/>
      <c r="UCH226" s="34"/>
      <c r="UCI226" s="34"/>
      <c r="UCJ226" s="35"/>
      <c r="UCK226" s="35"/>
      <c r="UCL226" s="35"/>
      <c r="UCM226" s="35"/>
      <c r="UCN226" s="35"/>
      <c r="UCO226" s="34"/>
      <c r="UCP226" s="34"/>
      <c r="UCQ226" s="36"/>
      <c r="UCR226" s="36"/>
      <c r="UCS226" s="37"/>
      <c r="UCT226" s="37"/>
      <c r="UCU226" s="38"/>
      <c r="UCV226" s="38"/>
      <c r="UCW226" s="39"/>
      <c r="UCX226" s="34"/>
      <c r="UCY226" s="34"/>
      <c r="UCZ226" s="34"/>
      <c r="UDA226" s="35"/>
      <c r="UDB226" s="35"/>
      <c r="UDC226" s="35"/>
      <c r="UDD226" s="35"/>
      <c r="UDE226" s="35"/>
      <c r="UDF226" s="34"/>
      <c r="UDG226" s="34"/>
      <c r="UDH226" s="36"/>
      <c r="UDI226" s="36"/>
      <c r="UDJ226" s="37"/>
      <c r="UDK226" s="37"/>
      <c r="UDL226" s="38"/>
      <c r="UDM226" s="38"/>
      <c r="UDN226" s="39"/>
      <c r="UDO226" s="34"/>
      <c r="UDP226" s="34"/>
      <c r="UDQ226" s="34"/>
      <c r="UDR226" s="35"/>
      <c r="UDS226" s="35"/>
      <c r="UDT226" s="35"/>
      <c r="UDU226" s="35"/>
      <c r="UDV226" s="35"/>
      <c r="UDW226" s="34"/>
      <c r="UDX226" s="34"/>
      <c r="UDY226" s="36"/>
      <c r="UDZ226" s="36"/>
      <c r="UEA226" s="37"/>
      <c r="UEB226" s="37"/>
      <c r="UEC226" s="38"/>
      <c r="UED226" s="38"/>
      <c r="UEE226" s="39"/>
      <c r="UEF226" s="34"/>
      <c r="UEG226" s="34"/>
      <c r="UEH226" s="34"/>
      <c r="UEI226" s="35"/>
      <c r="UEJ226" s="35"/>
      <c r="UEK226" s="35"/>
      <c r="UEL226" s="35"/>
      <c r="UEM226" s="35"/>
      <c r="UEN226" s="34"/>
      <c r="UEO226" s="34"/>
      <c r="UEP226" s="36"/>
      <c r="UEQ226" s="36"/>
      <c r="UER226" s="37"/>
      <c r="UES226" s="37"/>
      <c r="UET226" s="38"/>
      <c r="UEU226" s="38"/>
      <c r="UEV226" s="39"/>
      <c r="UEW226" s="34"/>
      <c r="UEX226" s="34"/>
      <c r="UEY226" s="34"/>
      <c r="UEZ226" s="35"/>
      <c r="UFA226" s="35"/>
      <c r="UFB226" s="35"/>
      <c r="UFC226" s="35"/>
      <c r="UFD226" s="35"/>
      <c r="UFE226" s="34"/>
      <c r="UFF226" s="34"/>
      <c r="UFG226" s="36"/>
      <c r="UFH226" s="36"/>
      <c r="UFI226" s="37"/>
      <c r="UFJ226" s="37"/>
      <c r="UFK226" s="38"/>
      <c r="UFL226" s="38"/>
      <c r="UFM226" s="39"/>
      <c r="UFN226" s="34"/>
      <c r="UFO226" s="34"/>
      <c r="UFP226" s="34"/>
      <c r="UFQ226" s="35"/>
      <c r="UFR226" s="35"/>
      <c r="UFS226" s="35"/>
      <c r="UFT226" s="35"/>
      <c r="UFU226" s="35"/>
      <c r="UFV226" s="34"/>
      <c r="UFW226" s="34"/>
      <c r="UFX226" s="36"/>
      <c r="UFY226" s="36"/>
      <c r="UFZ226" s="37"/>
      <c r="UGA226" s="37"/>
      <c r="UGB226" s="38"/>
      <c r="UGC226" s="38"/>
      <c r="UGD226" s="39"/>
      <c r="UGE226" s="34"/>
      <c r="UGF226" s="34"/>
      <c r="UGG226" s="34"/>
      <c r="UGH226" s="35"/>
      <c r="UGI226" s="35"/>
      <c r="UGJ226" s="35"/>
      <c r="UGK226" s="35"/>
      <c r="UGL226" s="35"/>
      <c r="UGM226" s="34"/>
      <c r="UGN226" s="34"/>
      <c r="UGO226" s="36"/>
      <c r="UGP226" s="36"/>
      <c r="UGQ226" s="37"/>
      <c r="UGR226" s="37"/>
      <c r="UGS226" s="38"/>
      <c r="UGT226" s="38"/>
      <c r="UGU226" s="39"/>
      <c r="UGV226" s="34"/>
      <c r="UGW226" s="34"/>
      <c r="UGX226" s="34"/>
      <c r="UGY226" s="35"/>
      <c r="UGZ226" s="35"/>
      <c r="UHA226" s="35"/>
      <c r="UHB226" s="35"/>
      <c r="UHC226" s="35"/>
      <c r="UHD226" s="34"/>
      <c r="UHE226" s="34"/>
      <c r="UHF226" s="36"/>
      <c r="UHG226" s="36"/>
      <c r="UHH226" s="37"/>
      <c r="UHI226" s="37"/>
      <c r="UHJ226" s="38"/>
      <c r="UHK226" s="38"/>
      <c r="UHL226" s="39"/>
      <c r="UHM226" s="34"/>
      <c r="UHN226" s="34"/>
      <c r="UHO226" s="34"/>
      <c r="UHP226" s="35"/>
      <c r="UHQ226" s="35"/>
      <c r="UHR226" s="35"/>
      <c r="UHS226" s="35"/>
      <c r="UHT226" s="35"/>
      <c r="UHU226" s="34"/>
      <c r="UHV226" s="34"/>
      <c r="UHW226" s="36"/>
      <c r="UHX226" s="36"/>
      <c r="UHY226" s="37"/>
      <c r="UHZ226" s="37"/>
      <c r="UIA226" s="38"/>
      <c r="UIB226" s="38"/>
      <c r="UIC226" s="39"/>
      <c r="UID226" s="34"/>
      <c r="UIE226" s="34"/>
      <c r="UIF226" s="34"/>
      <c r="UIG226" s="35"/>
      <c r="UIH226" s="35"/>
      <c r="UII226" s="35"/>
      <c r="UIJ226" s="35"/>
      <c r="UIK226" s="35"/>
      <c r="UIL226" s="34"/>
      <c r="UIM226" s="34"/>
      <c r="UIN226" s="36"/>
      <c r="UIO226" s="36"/>
      <c r="UIP226" s="37"/>
      <c r="UIQ226" s="37"/>
      <c r="UIR226" s="38"/>
      <c r="UIS226" s="38"/>
      <c r="UIT226" s="39"/>
      <c r="UIU226" s="34"/>
      <c r="UIV226" s="34"/>
      <c r="UIW226" s="34"/>
      <c r="UIX226" s="35"/>
      <c r="UIY226" s="35"/>
      <c r="UIZ226" s="35"/>
      <c r="UJA226" s="35"/>
      <c r="UJB226" s="35"/>
      <c r="UJC226" s="34"/>
      <c r="UJD226" s="34"/>
      <c r="UJE226" s="36"/>
      <c r="UJF226" s="36"/>
      <c r="UJG226" s="37"/>
      <c r="UJH226" s="37"/>
      <c r="UJI226" s="38"/>
      <c r="UJJ226" s="38"/>
      <c r="UJK226" s="39"/>
      <c r="UJL226" s="34"/>
      <c r="UJM226" s="34"/>
      <c r="UJN226" s="34"/>
      <c r="UJO226" s="35"/>
      <c r="UJP226" s="35"/>
      <c r="UJQ226" s="35"/>
      <c r="UJR226" s="35"/>
      <c r="UJS226" s="35"/>
      <c r="UJT226" s="34"/>
      <c r="UJU226" s="34"/>
      <c r="UJV226" s="36"/>
      <c r="UJW226" s="36"/>
      <c r="UJX226" s="37"/>
      <c r="UJY226" s="37"/>
      <c r="UJZ226" s="38"/>
      <c r="UKA226" s="38"/>
      <c r="UKB226" s="39"/>
      <c r="UKC226" s="34"/>
      <c r="UKD226" s="34"/>
      <c r="UKE226" s="34"/>
      <c r="UKF226" s="35"/>
      <c r="UKG226" s="35"/>
      <c r="UKH226" s="35"/>
      <c r="UKI226" s="35"/>
      <c r="UKJ226" s="35"/>
      <c r="UKK226" s="34"/>
      <c r="UKL226" s="34"/>
      <c r="UKM226" s="36"/>
      <c r="UKN226" s="36"/>
      <c r="UKO226" s="37"/>
      <c r="UKP226" s="37"/>
      <c r="UKQ226" s="38"/>
      <c r="UKR226" s="38"/>
      <c r="UKS226" s="39"/>
      <c r="UKT226" s="34"/>
      <c r="UKU226" s="34"/>
      <c r="UKV226" s="34"/>
      <c r="UKW226" s="35"/>
      <c r="UKX226" s="35"/>
      <c r="UKY226" s="35"/>
      <c r="UKZ226" s="35"/>
      <c r="ULA226" s="35"/>
      <c r="ULB226" s="34"/>
      <c r="ULC226" s="34"/>
      <c r="ULD226" s="36"/>
      <c r="ULE226" s="36"/>
      <c r="ULF226" s="37"/>
      <c r="ULG226" s="37"/>
      <c r="ULH226" s="38"/>
      <c r="ULI226" s="38"/>
      <c r="ULJ226" s="39"/>
      <c r="ULK226" s="34"/>
      <c r="ULL226" s="34"/>
      <c r="ULM226" s="34"/>
      <c r="ULN226" s="35"/>
      <c r="ULO226" s="35"/>
      <c r="ULP226" s="35"/>
      <c r="ULQ226" s="35"/>
      <c r="ULR226" s="35"/>
      <c r="ULS226" s="34"/>
      <c r="ULT226" s="34"/>
      <c r="ULU226" s="36"/>
      <c r="ULV226" s="36"/>
      <c r="ULW226" s="37"/>
      <c r="ULX226" s="37"/>
      <c r="ULY226" s="38"/>
      <c r="ULZ226" s="38"/>
      <c r="UMA226" s="39"/>
      <c r="UMB226" s="34"/>
      <c r="UMC226" s="34"/>
      <c r="UMD226" s="34"/>
      <c r="UME226" s="35"/>
      <c r="UMF226" s="35"/>
      <c r="UMG226" s="35"/>
      <c r="UMH226" s="35"/>
      <c r="UMI226" s="35"/>
      <c r="UMJ226" s="34"/>
      <c r="UMK226" s="34"/>
      <c r="UML226" s="36"/>
      <c r="UMM226" s="36"/>
      <c r="UMN226" s="37"/>
      <c r="UMO226" s="37"/>
      <c r="UMP226" s="38"/>
      <c r="UMQ226" s="38"/>
      <c r="UMR226" s="39"/>
      <c r="UMS226" s="34"/>
      <c r="UMT226" s="34"/>
      <c r="UMU226" s="34"/>
      <c r="UMV226" s="35"/>
      <c r="UMW226" s="35"/>
      <c r="UMX226" s="35"/>
      <c r="UMY226" s="35"/>
      <c r="UMZ226" s="35"/>
      <c r="UNA226" s="34"/>
      <c r="UNB226" s="34"/>
      <c r="UNC226" s="36"/>
      <c r="UND226" s="36"/>
      <c r="UNE226" s="37"/>
      <c r="UNF226" s="37"/>
      <c r="UNG226" s="38"/>
      <c r="UNH226" s="38"/>
      <c r="UNI226" s="39"/>
      <c r="UNJ226" s="34"/>
      <c r="UNK226" s="34"/>
      <c r="UNL226" s="34"/>
      <c r="UNM226" s="35"/>
      <c r="UNN226" s="35"/>
      <c r="UNO226" s="35"/>
      <c r="UNP226" s="35"/>
      <c r="UNQ226" s="35"/>
      <c r="UNR226" s="34"/>
      <c r="UNS226" s="34"/>
      <c r="UNT226" s="36"/>
      <c r="UNU226" s="36"/>
      <c r="UNV226" s="37"/>
      <c r="UNW226" s="37"/>
      <c r="UNX226" s="38"/>
      <c r="UNY226" s="38"/>
      <c r="UNZ226" s="39"/>
      <c r="UOA226" s="34"/>
      <c r="UOB226" s="34"/>
      <c r="UOC226" s="34"/>
      <c r="UOD226" s="35"/>
      <c r="UOE226" s="35"/>
      <c r="UOF226" s="35"/>
      <c r="UOG226" s="35"/>
      <c r="UOH226" s="35"/>
      <c r="UOI226" s="34"/>
      <c r="UOJ226" s="34"/>
      <c r="UOK226" s="36"/>
      <c r="UOL226" s="36"/>
      <c r="UOM226" s="37"/>
      <c r="UON226" s="37"/>
      <c r="UOO226" s="38"/>
      <c r="UOP226" s="38"/>
      <c r="UOQ226" s="39"/>
      <c r="UOR226" s="34"/>
      <c r="UOS226" s="34"/>
      <c r="UOT226" s="34"/>
      <c r="UOU226" s="35"/>
      <c r="UOV226" s="35"/>
      <c r="UOW226" s="35"/>
      <c r="UOX226" s="35"/>
      <c r="UOY226" s="35"/>
      <c r="UOZ226" s="34"/>
      <c r="UPA226" s="34"/>
      <c r="UPB226" s="36"/>
      <c r="UPC226" s="36"/>
      <c r="UPD226" s="37"/>
      <c r="UPE226" s="37"/>
      <c r="UPF226" s="38"/>
      <c r="UPG226" s="38"/>
      <c r="UPH226" s="39"/>
      <c r="UPI226" s="34"/>
      <c r="UPJ226" s="34"/>
      <c r="UPK226" s="34"/>
      <c r="UPL226" s="35"/>
      <c r="UPM226" s="35"/>
      <c r="UPN226" s="35"/>
      <c r="UPO226" s="35"/>
      <c r="UPP226" s="35"/>
      <c r="UPQ226" s="34"/>
      <c r="UPR226" s="34"/>
      <c r="UPS226" s="36"/>
      <c r="UPT226" s="36"/>
      <c r="UPU226" s="37"/>
      <c r="UPV226" s="37"/>
      <c r="UPW226" s="38"/>
      <c r="UPX226" s="38"/>
      <c r="UPY226" s="39"/>
      <c r="UPZ226" s="34"/>
      <c r="UQA226" s="34"/>
      <c r="UQB226" s="34"/>
      <c r="UQC226" s="35"/>
      <c r="UQD226" s="35"/>
      <c r="UQE226" s="35"/>
      <c r="UQF226" s="35"/>
      <c r="UQG226" s="35"/>
      <c r="UQH226" s="34"/>
      <c r="UQI226" s="34"/>
      <c r="UQJ226" s="36"/>
      <c r="UQK226" s="36"/>
      <c r="UQL226" s="37"/>
      <c r="UQM226" s="37"/>
      <c r="UQN226" s="38"/>
      <c r="UQO226" s="38"/>
      <c r="UQP226" s="39"/>
      <c r="UQQ226" s="34"/>
      <c r="UQR226" s="34"/>
      <c r="UQS226" s="34"/>
      <c r="UQT226" s="35"/>
      <c r="UQU226" s="35"/>
      <c r="UQV226" s="35"/>
      <c r="UQW226" s="35"/>
      <c r="UQX226" s="35"/>
      <c r="UQY226" s="34"/>
      <c r="UQZ226" s="34"/>
      <c r="URA226" s="36"/>
      <c r="URB226" s="36"/>
      <c r="URC226" s="37"/>
      <c r="URD226" s="37"/>
      <c r="URE226" s="38"/>
      <c r="URF226" s="38"/>
      <c r="URG226" s="39"/>
      <c r="URH226" s="34"/>
      <c r="URI226" s="34"/>
      <c r="URJ226" s="34"/>
      <c r="URK226" s="35"/>
      <c r="URL226" s="35"/>
      <c r="URM226" s="35"/>
      <c r="URN226" s="35"/>
      <c r="URO226" s="35"/>
      <c r="URP226" s="34"/>
      <c r="URQ226" s="34"/>
      <c r="URR226" s="36"/>
      <c r="URS226" s="36"/>
      <c r="URT226" s="37"/>
      <c r="URU226" s="37"/>
      <c r="URV226" s="38"/>
      <c r="URW226" s="38"/>
      <c r="URX226" s="39"/>
      <c r="URY226" s="34"/>
      <c r="URZ226" s="34"/>
      <c r="USA226" s="34"/>
      <c r="USB226" s="35"/>
      <c r="USC226" s="35"/>
      <c r="USD226" s="35"/>
      <c r="USE226" s="35"/>
      <c r="USF226" s="35"/>
      <c r="USG226" s="34"/>
      <c r="USH226" s="34"/>
      <c r="USI226" s="36"/>
      <c r="USJ226" s="36"/>
      <c r="USK226" s="37"/>
      <c r="USL226" s="37"/>
      <c r="USM226" s="38"/>
      <c r="USN226" s="38"/>
      <c r="USO226" s="39"/>
      <c r="USP226" s="34"/>
      <c r="USQ226" s="34"/>
      <c r="USR226" s="34"/>
      <c r="USS226" s="35"/>
      <c r="UST226" s="35"/>
      <c r="USU226" s="35"/>
      <c r="USV226" s="35"/>
      <c r="USW226" s="35"/>
      <c r="USX226" s="34"/>
      <c r="USY226" s="34"/>
      <c r="USZ226" s="36"/>
      <c r="UTA226" s="36"/>
      <c r="UTB226" s="37"/>
      <c r="UTC226" s="37"/>
      <c r="UTD226" s="38"/>
      <c r="UTE226" s="38"/>
      <c r="UTF226" s="39"/>
      <c r="UTG226" s="34"/>
      <c r="UTH226" s="34"/>
      <c r="UTI226" s="34"/>
      <c r="UTJ226" s="35"/>
      <c r="UTK226" s="35"/>
      <c r="UTL226" s="35"/>
      <c r="UTM226" s="35"/>
      <c r="UTN226" s="35"/>
      <c r="UTO226" s="34"/>
      <c r="UTP226" s="34"/>
      <c r="UTQ226" s="36"/>
      <c r="UTR226" s="36"/>
      <c r="UTS226" s="37"/>
      <c r="UTT226" s="37"/>
      <c r="UTU226" s="38"/>
      <c r="UTV226" s="38"/>
      <c r="UTW226" s="39"/>
      <c r="UTX226" s="34"/>
      <c r="UTY226" s="34"/>
      <c r="UTZ226" s="34"/>
      <c r="UUA226" s="35"/>
      <c r="UUB226" s="35"/>
      <c r="UUC226" s="35"/>
      <c r="UUD226" s="35"/>
      <c r="UUE226" s="35"/>
      <c r="UUF226" s="34"/>
      <c r="UUG226" s="34"/>
      <c r="UUH226" s="36"/>
      <c r="UUI226" s="36"/>
      <c r="UUJ226" s="37"/>
      <c r="UUK226" s="37"/>
      <c r="UUL226" s="38"/>
      <c r="UUM226" s="38"/>
      <c r="UUN226" s="39"/>
      <c r="UUO226" s="34"/>
      <c r="UUP226" s="34"/>
      <c r="UUQ226" s="34"/>
      <c r="UUR226" s="35"/>
      <c r="UUS226" s="35"/>
      <c r="UUT226" s="35"/>
      <c r="UUU226" s="35"/>
      <c r="UUV226" s="35"/>
      <c r="UUW226" s="34"/>
      <c r="UUX226" s="34"/>
      <c r="UUY226" s="36"/>
      <c r="UUZ226" s="36"/>
      <c r="UVA226" s="37"/>
      <c r="UVB226" s="37"/>
      <c r="UVC226" s="38"/>
      <c r="UVD226" s="38"/>
      <c r="UVE226" s="39"/>
      <c r="UVF226" s="34"/>
      <c r="UVG226" s="34"/>
      <c r="UVH226" s="34"/>
      <c r="UVI226" s="35"/>
      <c r="UVJ226" s="35"/>
      <c r="UVK226" s="35"/>
      <c r="UVL226" s="35"/>
      <c r="UVM226" s="35"/>
      <c r="UVN226" s="34"/>
      <c r="UVO226" s="34"/>
      <c r="UVP226" s="36"/>
      <c r="UVQ226" s="36"/>
      <c r="UVR226" s="37"/>
      <c r="UVS226" s="37"/>
      <c r="UVT226" s="38"/>
      <c r="UVU226" s="38"/>
      <c r="UVV226" s="39"/>
      <c r="UVW226" s="34"/>
      <c r="UVX226" s="34"/>
      <c r="UVY226" s="34"/>
      <c r="UVZ226" s="35"/>
      <c r="UWA226" s="35"/>
      <c r="UWB226" s="35"/>
      <c r="UWC226" s="35"/>
      <c r="UWD226" s="35"/>
      <c r="UWE226" s="34"/>
      <c r="UWF226" s="34"/>
      <c r="UWG226" s="36"/>
      <c r="UWH226" s="36"/>
      <c r="UWI226" s="37"/>
      <c r="UWJ226" s="37"/>
      <c r="UWK226" s="38"/>
      <c r="UWL226" s="38"/>
      <c r="UWM226" s="39"/>
      <c r="UWN226" s="34"/>
      <c r="UWO226" s="34"/>
      <c r="UWP226" s="34"/>
      <c r="UWQ226" s="35"/>
      <c r="UWR226" s="35"/>
      <c r="UWS226" s="35"/>
      <c r="UWT226" s="35"/>
      <c r="UWU226" s="35"/>
      <c r="UWV226" s="34"/>
      <c r="UWW226" s="34"/>
      <c r="UWX226" s="36"/>
      <c r="UWY226" s="36"/>
      <c r="UWZ226" s="37"/>
      <c r="UXA226" s="37"/>
      <c r="UXB226" s="38"/>
      <c r="UXC226" s="38"/>
      <c r="UXD226" s="39"/>
      <c r="UXE226" s="34"/>
      <c r="UXF226" s="34"/>
      <c r="UXG226" s="34"/>
      <c r="UXH226" s="35"/>
      <c r="UXI226" s="35"/>
      <c r="UXJ226" s="35"/>
      <c r="UXK226" s="35"/>
      <c r="UXL226" s="35"/>
      <c r="UXM226" s="34"/>
      <c r="UXN226" s="34"/>
      <c r="UXO226" s="36"/>
      <c r="UXP226" s="36"/>
      <c r="UXQ226" s="37"/>
      <c r="UXR226" s="37"/>
      <c r="UXS226" s="38"/>
      <c r="UXT226" s="38"/>
      <c r="UXU226" s="39"/>
      <c r="UXV226" s="34"/>
      <c r="UXW226" s="34"/>
      <c r="UXX226" s="34"/>
      <c r="UXY226" s="35"/>
      <c r="UXZ226" s="35"/>
      <c r="UYA226" s="35"/>
      <c r="UYB226" s="35"/>
      <c r="UYC226" s="35"/>
      <c r="UYD226" s="34"/>
      <c r="UYE226" s="34"/>
      <c r="UYF226" s="36"/>
      <c r="UYG226" s="36"/>
      <c r="UYH226" s="37"/>
      <c r="UYI226" s="37"/>
      <c r="UYJ226" s="38"/>
      <c r="UYK226" s="38"/>
      <c r="UYL226" s="39"/>
      <c r="UYM226" s="34"/>
      <c r="UYN226" s="34"/>
      <c r="UYO226" s="34"/>
      <c r="UYP226" s="35"/>
      <c r="UYQ226" s="35"/>
      <c r="UYR226" s="35"/>
      <c r="UYS226" s="35"/>
      <c r="UYT226" s="35"/>
      <c r="UYU226" s="34"/>
      <c r="UYV226" s="34"/>
      <c r="UYW226" s="36"/>
      <c r="UYX226" s="36"/>
      <c r="UYY226" s="37"/>
      <c r="UYZ226" s="37"/>
      <c r="UZA226" s="38"/>
      <c r="UZB226" s="38"/>
      <c r="UZC226" s="39"/>
      <c r="UZD226" s="34"/>
      <c r="UZE226" s="34"/>
      <c r="UZF226" s="34"/>
      <c r="UZG226" s="35"/>
      <c r="UZH226" s="35"/>
      <c r="UZI226" s="35"/>
      <c r="UZJ226" s="35"/>
      <c r="UZK226" s="35"/>
      <c r="UZL226" s="34"/>
      <c r="UZM226" s="34"/>
      <c r="UZN226" s="36"/>
      <c r="UZO226" s="36"/>
      <c r="UZP226" s="37"/>
      <c r="UZQ226" s="37"/>
      <c r="UZR226" s="38"/>
      <c r="UZS226" s="38"/>
      <c r="UZT226" s="39"/>
      <c r="UZU226" s="34"/>
      <c r="UZV226" s="34"/>
      <c r="UZW226" s="34"/>
      <c r="UZX226" s="35"/>
      <c r="UZY226" s="35"/>
      <c r="UZZ226" s="35"/>
      <c r="VAA226" s="35"/>
      <c r="VAB226" s="35"/>
      <c r="VAC226" s="34"/>
      <c r="VAD226" s="34"/>
      <c r="VAE226" s="36"/>
      <c r="VAF226" s="36"/>
      <c r="VAG226" s="37"/>
      <c r="VAH226" s="37"/>
      <c r="VAI226" s="38"/>
      <c r="VAJ226" s="38"/>
      <c r="VAK226" s="39"/>
      <c r="VAL226" s="34"/>
      <c r="VAM226" s="34"/>
      <c r="VAN226" s="34"/>
      <c r="VAO226" s="35"/>
      <c r="VAP226" s="35"/>
      <c r="VAQ226" s="35"/>
      <c r="VAR226" s="35"/>
      <c r="VAS226" s="35"/>
      <c r="VAT226" s="34"/>
      <c r="VAU226" s="34"/>
      <c r="VAV226" s="36"/>
      <c r="VAW226" s="36"/>
      <c r="VAX226" s="37"/>
      <c r="VAY226" s="37"/>
      <c r="VAZ226" s="38"/>
      <c r="VBA226" s="38"/>
      <c r="VBB226" s="39"/>
      <c r="VBC226" s="34"/>
      <c r="VBD226" s="34"/>
      <c r="VBE226" s="34"/>
      <c r="VBF226" s="35"/>
      <c r="VBG226" s="35"/>
      <c r="VBH226" s="35"/>
      <c r="VBI226" s="35"/>
      <c r="VBJ226" s="35"/>
      <c r="VBK226" s="34"/>
      <c r="VBL226" s="34"/>
      <c r="VBM226" s="36"/>
      <c r="VBN226" s="36"/>
      <c r="VBO226" s="37"/>
      <c r="VBP226" s="37"/>
      <c r="VBQ226" s="38"/>
      <c r="VBR226" s="38"/>
      <c r="VBS226" s="39"/>
      <c r="VBT226" s="34"/>
      <c r="VBU226" s="34"/>
      <c r="VBV226" s="34"/>
      <c r="VBW226" s="35"/>
      <c r="VBX226" s="35"/>
      <c r="VBY226" s="35"/>
      <c r="VBZ226" s="35"/>
      <c r="VCA226" s="35"/>
      <c r="VCB226" s="34"/>
      <c r="VCC226" s="34"/>
      <c r="VCD226" s="36"/>
      <c r="VCE226" s="36"/>
      <c r="VCF226" s="37"/>
      <c r="VCG226" s="37"/>
      <c r="VCH226" s="38"/>
      <c r="VCI226" s="38"/>
      <c r="VCJ226" s="39"/>
      <c r="VCK226" s="34"/>
      <c r="VCL226" s="34"/>
      <c r="VCM226" s="34"/>
      <c r="VCN226" s="35"/>
      <c r="VCO226" s="35"/>
      <c r="VCP226" s="35"/>
      <c r="VCQ226" s="35"/>
      <c r="VCR226" s="35"/>
      <c r="VCS226" s="34"/>
      <c r="VCT226" s="34"/>
      <c r="VCU226" s="36"/>
      <c r="VCV226" s="36"/>
      <c r="VCW226" s="37"/>
      <c r="VCX226" s="37"/>
      <c r="VCY226" s="38"/>
      <c r="VCZ226" s="38"/>
      <c r="VDA226" s="39"/>
      <c r="VDB226" s="34"/>
      <c r="VDC226" s="34"/>
      <c r="VDD226" s="34"/>
      <c r="VDE226" s="35"/>
      <c r="VDF226" s="35"/>
      <c r="VDG226" s="35"/>
      <c r="VDH226" s="35"/>
      <c r="VDI226" s="35"/>
      <c r="VDJ226" s="34"/>
      <c r="VDK226" s="34"/>
      <c r="VDL226" s="36"/>
      <c r="VDM226" s="36"/>
      <c r="VDN226" s="37"/>
      <c r="VDO226" s="37"/>
      <c r="VDP226" s="38"/>
      <c r="VDQ226" s="38"/>
      <c r="VDR226" s="39"/>
      <c r="VDS226" s="34"/>
      <c r="VDT226" s="34"/>
      <c r="VDU226" s="34"/>
      <c r="VDV226" s="35"/>
      <c r="VDW226" s="35"/>
      <c r="VDX226" s="35"/>
      <c r="VDY226" s="35"/>
      <c r="VDZ226" s="35"/>
      <c r="VEA226" s="34"/>
      <c r="VEB226" s="34"/>
      <c r="VEC226" s="36"/>
      <c r="VED226" s="36"/>
      <c r="VEE226" s="37"/>
      <c r="VEF226" s="37"/>
      <c r="VEG226" s="38"/>
      <c r="VEH226" s="38"/>
      <c r="VEI226" s="39"/>
      <c r="VEJ226" s="34"/>
      <c r="VEK226" s="34"/>
      <c r="VEL226" s="34"/>
      <c r="VEM226" s="35"/>
      <c r="VEN226" s="35"/>
      <c r="VEO226" s="35"/>
      <c r="VEP226" s="35"/>
      <c r="VEQ226" s="35"/>
      <c r="VER226" s="34"/>
      <c r="VES226" s="34"/>
      <c r="VET226" s="36"/>
      <c r="VEU226" s="36"/>
      <c r="VEV226" s="37"/>
      <c r="VEW226" s="37"/>
      <c r="VEX226" s="38"/>
      <c r="VEY226" s="38"/>
      <c r="VEZ226" s="39"/>
      <c r="VFA226" s="34"/>
      <c r="VFB226" s="34"/>
      <c r="VFC226" s="34"/>
      <c r="VFD226" s="35"/>
      <c r="VFE226" s="35"/>
      <c r="VFF226" s="35"/>
      <c r="VFG226" s="35"/>
      <c r="VFH226" s="35"/>
      <c r="VFI226" s="34"/>
      <c r="VFJ226" s="34"/>
      <c r="VFK226" s="36"/>
      <c r="VFL226" s="36"/>
      <c r="VFM226" s="37"/>
      <c r="VFN226" s="37"/>
      <c r="VFO226" s="38"/>
      <c r="VFP226" s="38"/>
      <c r="VFQ226" s="39"/>
      <c r="VFR226" s="34"/>
      <c r="VFS226" s="34"/>
      <c r="VFT226" s="34"/>
      <c r="VFU226" s="35"/>
      <c r="VFV226" s="35"/>
      <c r="VFW226" s="35"/>
      <c r="VFX226" s="35"/>
      <c r="VFY226" s="35"/>
      <c r="VFZ226" s="34"/>
      <c r="VGA226" s="34"/>
      <c r="VGB226" s="36"/>
      <c r="VGC226" s="36"/>
      <c r="VGD226" s="37"/>
      <c r="VGE226" s="37"/>
      <c r="VGF226" s="38"/>
      <c r="VGG226" s="38"/>
      <c r="VGH226" s="39"/>
      <c r="VGI226" s="34"/>
      <c r="VGJ226" s="34"/>
      <c r="VGK226" s="34"/>
      <c r="VGL226" s="35"/>
      <c r="VGM226" s="35"/>
      <c r="VGN226" s="35"/>
      <c r="VGO226" s="35"/>
      <c r="VGP226" s="35"/>
      <c r="VGQ226" s="34"/>
      <c r="VGR226" s="34"/>
      <c r="VGS226" s="36"/>
      <c r="VGT226" s="36"/>
      <c r="VGU226" s="37"/>
      <c r="VGV226" s="37"/>
      <c r="VGW226" s="38"/>
      <c r="VGX226" s="38"/>
      <c r="VGY226" s="39"/>
      <c r="VGZ226" s="34"/>
      <c r="VHA226" s="34"/>
      <c r="VHB226" s="34"/>
      <c r="VHC226" s="35"/>
      <c r="VHD226" s="35"/>
      <c r="VHE226" s="35"/>
      <c r="VHF226" s="35"/>
      <c r="VHG226" s="35"/>
      <c r="VHH226" s="34"/>
      <c r="VHI226" s="34"/>
      <c r="VHJ226" s="36"/>
      <c r="VHK226" s="36"/>
      <c r="VHL226" s="37"/>
      <c r="VHM226" s="37"/>
      <c r="VHN226" s="38"/>
      <c r="VHO226" s="38"/>
      <c r="VHP226" s="39"/>
      <c r="VHQ226" s="34"/>
      <c r="VHR226" s="34"/>
      <c r="VHS226" s="34"/>
      <c r="VHT226" s="35"/>
      <c r="VHU226" s="35"/>
      <c r="VHV226" s="35"/>
      <c r="VHW226" s="35"/>
      <c r="VHX226" s="35"/>
      <c r="VHY226" s="34"/>
      <c r="VHZ226" s="34"/>
      <c r="VIA226" s="36"/>
      <c r="VIB226" s="36"/>
      <c r="VIC226" s="37"/>
      <c r="VID226" s="37"/>
      <c r="VIE226" s="38"/>
      <c r="VIF226" s="38"/>
      <c r="VIG226" s="39"/>
      <c r="VIH226" s="34"/>
      <c r="VII226" s="34"/>
      <c r="VIJ226" s="34"/>
      <c r="VIK226" s="35"/>
      <c r="VIL226" s="35"/>
      <c r="VIM226" s="35"/>
      <c r="VIN226" s="35"/>
      <c r="VIO226" s="35"/>
      <c r="VIP226" s="34"/>
      <c r="VIQ226" s="34"/>
      <c r="VIR226" s="36"/>
      <c r="VIS226" s="36"/>
      <c r="VIT226" s="37"/>
      <c r="VIU226" s="37"/>
      <c r="VIV226" s="38"/>
      <c r="VIW226" s="38"/>
      <c r="VIX226" s="39"/>
      <c r="VIY226" s="34"/>
      <c r="VIZ226" s="34"/>
      <c r="VJA226" s="34"/>
      <c r="VJB226" s="35"/>
      <c r="VJC226" s="35"/>
      <c r="VJD226" s="35"/>
      <c r="VJE226" s="35"/>
      <c r="VJF226" s="35"/>
      <c r="VJG226" s="34"/>
      <c r="VJH226" s="34"/>
      <c r="VJI226" s="36"/>
      <c r="VJJ226" s="36"/>
      <c r="VJK226" s="37"/>
      <c r="VJL226" s="37"/>
      <c r="VJM226" s="38"/>
      <c r="VJN226" s="38"/>
      <c r="VJO226" s="39"/>
      <c r="VJP226" s="34"/>
      <c r="VJQ226" s="34"/>
      <c r="VJR226" s="34"/>
      <c r="VJS226" s="35"/>
      <c r="VJT226" s="35"/>
      <c r="VJU226" s="35"/>
      <c r="VJV226" s="35"/>
      <c r="VJW226" s="35"/>
      <c r="VJX226" s="34"/>
      <c r="VJY226" s="34"/>
      <c r="VJZ226" s="36"/>
      <c r="VKA226" s="36"/>
      <c r="VKB226" s="37"/>
      <c r="VKC226" s="37"/>
      <c r="VKD226" s="38"/>
      <c r="VKE226" s="38"/>
      <c r="VKF226" s="39"/>
      <c r="VKG226" s="34"/>
      <c r="VKH226" s="34"/>
      <c r="VKI226" s="34"/>
      <c r="VKJ226" s="35"/>
      <c r="VKK226" s="35"/>
      <c r="VKL226" s="35"/>
      <c r="VKM226" s="35"/>
      <c r="VKN226" s="35"/>
      <c r="VKO226" s="34"/>
      <c r="VKP226" s="34"/>
      <c r="VKQ226" s="36"/>
      <c r="VKR226" s="36"/>
      <c r="VKS226" s="37"/>
      <c r="VKT226" s="37"/>
      <c r="VKU226" s="38"/>
      <c r="VKV226" s="38"/>
      <c r="VKW226" s="39"/>
      <c r="VKX226" s="34"/>
      <c r="VKY226" s="34"/>
      <c r="VKZ226" s="34"/>
      <c r="VLA226" s="35"/>
      <c r="VLB226" s="35"/>
      <c r="VLC226" s="35"/>
      <c r="VLD226" s="35"/>
      <c r="VLE226" s="35"/>
      <c r="VLF226" s="34"/>
      <c r="VLG226" s="34"/>
      <c r="VLH226" s="36"/>
      <c r="VLI226" s="36"/>
      <c r="VLJ226" s="37"/>
      <c r="VLK226" s="37"/>
      <c r="VLL226" s="38"/>
      <c r="VLM226" s="38"/>
      <c r="VLN226" s="39"/>
      <c r="VLO226" s="34"/>
      <c r="VLP226" s="34"/>
      <c r="VLQ226" s="34"/>
      <c r="VLR226" s="35"/>
      <c r="VLS226" s="35"/>
      <c r="VLT226" s="35"/>
      <c r="VLU226" s="35"/>
      <c r="VLV226" s="35"/>
      <c r="VLW226" s="34"/>
      <c r="VLX226" s="34"/>
      <c r="VLY226" s="36"/>
      <c r="VLZ226" s="36"/>
      <c r="VMA226" s="37"/>
      <c r="VMB226" s="37"/>
      <c r="VMC226" s="38"/>
      <c r="VMD226" s="38"/>
      <c r="VME226" s="39"/>
      <c r="VMF226" s="34"/>
      <c r="VMG226" s="34"/>
      <c r="VMH226" s="34"/>
      <c r="VMI226" s="35"/>
      <c r="VMJ226" s="35"/>
      <c r="VMK226" s="35"/>
      <c r="VML226" s="35"/>
      <c r="VMM226" s="35"/>
      <c r="VMN226" s="34"/>
      <c r="VMO226" s="34"/>
      <c r="VMP226" s="36"/>
      <c r="VMQ226" s="36"/>
      <c r="VMR226" s="37"/>
      <c r="VMS226" s="37"/>
      <c r="VMT226" s="38"/>
      <c r="VMU226" s="38"/>
      <c r="VMV226" s="39"/>
      <c r="VMW226" s="34"/>
      <c r="VMX226" s="34"/>
      <c r="VMY226" s="34"/>
      <c r="VMZ226" s="35"/>
      <c r="VNA226" s="35"/>
      <c r="VNB226" s="35"/>
      <c r="VNC226" s="35"/>
      <c r="VND226" s="35"/>
      <c r="VNE226" s="34"/>
      <c r="VNF226" s="34"/>
      <c r="VNG226" s="36"/>
      <c r="VNH226" s="36"/>
      <c r="VNI226" s="37"/>
      <c r="VNJ226" s="37"/>
      <c r="VNK226" s="38"/>
      <c r="VNL226" s="38"/>
      <c r="VNM226" s="39"/>
      <c r="VNN226" s="34"/>
      <c r="VNO226" s="34"/>
      <c r="VNP226" s="34"/>
      <c r="VNQ226" s="35"/>
      <c r="VNR226" s="35"/>
      <c r="VNS226" s="35"/>
      <c r="VNT226" s="35"/>
      <c r="VNU226" s="35"/>
      <c r="VNV226" s="34"/>
      <c r="VNW226" s="34"/>
      <c r="VNX226" s="36"/>
      <c r="VNY226" s="36"/>
      <c r="VNZ226" s="37"/>
      <c r="VOA226" s="37"/>
      <c r="VOB226" s="38"/>
      <c r="VOC226" s="38"/>
      <c r="VOD226" s="39"/>
      <c r="VOE226" s="34"/>
      <c r="VOF226" s="34"/>
      <c r="VOG226" s="34"/>
      <c r="VOH226" s="35"/>
      <c r="VOI226" s="35"/>
      <c r="VOJ226" s="35"/>
      <c r="VOK226" s="35"/>
      <c r="VOL226" s="35"/>
      <c r="VOM226" s="34"/>
      <c r="VON226" s="34"/>
      <c r="VOO226" s="36"/>
      <c r="VOP226" s="36"/>
      <c r="VOQ226" s="37"/>
      <c r="VOR226" s="37"/>
      <c r="VOS226" s="38"/>
      <c r="VOT226" s="38"/>
      <c r="VOU226" s="39"/>
      <c r="VOV226" s="34"/>
      <c r="VOW226" s="34"/>
      <c r="VOX226" s="34"/>
      <c r="VOY226" s="35"/>
      <c r="VOZ226" s="35"/>
      <c r="VPA226" s="35"/>
      <c r="VPB226" s="35"/>
      <c r="VPC226" s="35"/>
      <c r="VPD226" s="34"/>
      <c r="VPE226" s="34"/>
      <c r="VPF226" s="36"/>
      <c r="VPG226" s="36"/>
      <c r="VPH226" s="37"/>
      <c r="VPI226" s="37"/>
      <c r="VPJ226" s="38"/>
      <c r="VPK226" s="38"/>
      <c r="VPL226" s="39"/>
      <c r="VPM226" s="34"/>
      <c r="VPN226" s="34"/>
      <c r="VPO226" s="34"/>
      <c r="VPP226" s="35"/>
      <c r="VPQ226" s="35"/>
      <c r="VPR226" s="35"/>
      <c r="VPS226" s="35"/>
      <c r="VPT226" s="35"/>
      <c r="VPU226" s="34"/>
      <c r="VPV226" s="34"/>
      <c r="VPW226" s="36"/>
      <c r="VPX226" s="36"/>
      <c r="VPY226" s="37"/>
      <c r="VPZ226" s="37"/>
      <c r="VQA226" s="38"/>
      <c r="VQB226" s="38"/>
      <c r="VQC226" s="39"/>
      <c r="VQD226" s="34"/>
      <c r="VQE226" s="34"/>
      <c r="VQF226" s="34"/>
      <c r="VQG226" s="35"/>
      <c r="VQH226" s="35"/>
      <c r="VQI226" s="35"/>
      <c r="VQJ226" s="35"/>
      <c r="VQK226" s="35"/>
      <c r="VQL226" s="34"/>
      <c r="VQM226" s="34"/>
      <c r="VQN226" s="36"/>
      <c r="VQO226" s="36"/>
      <c r="VQP226" s="37"/>
      <c r="VQQ226" s="37"/>
      <c r="VQR226" s="38"/>
      <c r="VQS226" s="38"/>
      <c r="VQT226" s="39"/>
      <c r="VQU226" s="34"/>
      <c r="VQV226" s="34"/>
      <c r="VQW226" s="34"/>
      <c r="VQX226" s="35"/>
      <c r="VQY226" s="35"/>
      <c r="VQZ226" s="35"/>
      <c r="VRA226" s="35"/>
      <c r="VRB226" s="35"/>
      <c r="VRC226" s="34"/>
      <c r="VRD226" s="34"/>
      <c r="VRE226" s="36"/>
      <c r="VRF226" s="36"/>
      <c r="VRG226" s="37"/>
      <c r="VRH226" s="37"/>
      <c r="VRI226" s="38"/>
      <c r="VRJ226" s="38"/>
      <c r="VRK226" s="39"/>
      <c r="VRL226" s="34"/>
      <c r="VRM226" s="34"/>
      <c r="VRN226" s="34"/>
      <c r="VRO226" s="35"/>
      <c r="VRP226" s="35"/>
      <c r="VRQ226" s="35"/>
      <c r="VRR226" s="35"/>
      <c r="VRS226" s="35"/>
      <c r="VRT226" s="34"/>
      <c r="VRU226" s="34"/>
      <c r="VRV226" s="36"/>
      <c r="VRW226" s="36"/>
      <c r="VRX226" s="37"/>
      <c r="VRY226" s="37"/>
      <c r="VRZ226" s="38"/>
      <c r="VSA226" s="38"/>
      <c r="VSB226" s="39"/>
      <c r="VSC226" s="34"/>
      <c r="VSD226" s="34"/>
      <c r="VSE226" s="34"/>
      <c r="VSF226" s="35"/>
      <c r="VSG226" s="35"/>
      <c r="VSH226" s="35"/>
      <c r="VSI226" s="35"/>
      <c r="VSJ226" s="35"/>
      <c r="VSK226" s="34"/>
      <c r="VSL226" s="34"/>
      <c r="VSM226" s="36"/>
      <c r="VSN226" s="36"/>
      <c r="VSO226" s="37"/>
      <c r="VSP226" s="37"/>
      <c r="VSQ226" s="38"/>
      <c r="VSR226" s="38"/>
      <c r="VSS226" s="39"/>
      <c r="VST226" s="34"/>
      <c r="VSU226" s="34"/>
      <c r="VSV226" s="34"/>
      <c r="VSW226" s="35"/>
      <c r="VSX226" s="35"/>
      <c r="VSY226" s="35"/>
      <c r="VSZ226" s="35"/>
      <c r="VTA226" s="35"/>
      <c r="VTB226" s="34"/>
      <c r="VTC226" s="34"/>
      <c r="VTD226" s="36"/>
      <c r="VTE226" s="36"/>
      <c r="VTF226" s="37"/>
      <c r="VTG226" s="37"/>
      <c r="VTH226" s="38"/>
      <c r="VTI226" s="38"/>
      <c r="VTJ226" s="39"/>
      <c r="VTK226" s="34"/>
      <c r="VTL226" s="34"/>
      <c r="VTM226" s="34"/>
      <c r="VTN226" s="35"/>
      <c r="VTO226" s="35"/>
      <c r="VTP226" s="35"/>
      <c r="VTQ226" s="35"/>
      <c r="VTR226" s="35"/>
      <c r="VTS226" s="34"/>
      <c r="VTT226" s="34"/>
      <c r="VTU226" s="36"/>
      <c r="VTV226" s="36"/>
      <c r="VTW226" s="37"/>
      <c r="VTX226" s="37"/>
      <c r="VTY226" s="38"/>
      <c r="VTZ226" s="38"/>
      <c r="VUA226" s="39"/>
      <c r="VUB226" s="34"/>
      <c r="VUC226" s="34"/>
      <c r="VUD226" s="34"/>
      <c r="VUE226" s="35"/>
      <c r="VUF226" s="35"/>
      <c r="VUG226" s="35"/>
      <c r="VUH226" s="35"/>
      <c r="VUI226" s="35"/>
      <c r="VUJ226" s="34"/>
      <c r="VUK226" s="34"/>
      <c r="VUL226" s="36"/>
      <c r="VUM226" s="36"/>
      <c r="VUN226" s="37"/>
      <c r="VUO226" s="37"/>
      <c r="VUP226" s="38"/>
      <c r="VUQ226" s="38"/>
      <c r="VUR226" s="39"/>
      <c r="VUS226" s="34"/>
      <c r="VUT226" s="34"/>
      <c r="VUU226" s="34"/>
      <c r="VUV226" s="35"/>
      <c r="VUW226" s="35"/>
      <c r="VUX226" s="35"/>
      <c r="VUY226" s="35"/>
      <c r="VUZ226" s="35"/>
      <c r="VVA226" s="34"/>
      <c r="VVB226" s="34"/>
      <c r="VVC226" s="36"/>
      <c r="VVD226" s="36"/>
      <c r="VVE226" s="37"/>
      <c r="VVF226" s="37"/>
      <c r="VVG226" s="38"/>
      <c r="VVH226" s="38"/>
      <c r="VVI226" s="39"/>
      <c r="VVJ226" s="34"/>
      <c r="VVK226" s="34"/>
      <c r="VVL226" s="34"/>
      <c r="VVM226" s="35"/>
      <c r="VVN226" s="35"/>
      <c r="VVO226" s="35"/>
      <c r="VVP226" s="35"/>
      <c r="VVQ226" s="35"/>
      <c r="VVR226" s="34"/>
      <c r="VVS226" s="34"/>
      <c r="VVT226" s="36"/>
      <c r="VVU226" s="36"/>
      <c r="VVV226" s="37"/>
      <c r="VVW226" s="37"/>
      <c r="VVX226" s="38"/>
      <c r="VVY226" s="38"/>
      <c r="VVZ226" s="39"/>
      <c r="VWA226" s="34"/>
      <c r="VWB226" s="34"/>
      <c r="VWC226" s="34"/>
      <c r="VWD226" s="35"/>
      <c r="VWE226" s="35"/>
      <c r="VWF226" s="35"/>
      <c r="VWG226" s="35"/>
      <c r="VWH226" s="35"/>
      <c r="VWI226" s="34"/>
      <c r="VWJ226" s="34"/>
      <c r="VWK226" s="36"/>
      <c r="VWL226" s="36"/>
      <c r="VWM226" s="37"/>
      <c r="VWN226" s="37"/>
      <c r="VWO226" s="38"/>
      <c r="VWP226" s="38"/>
      <c r="VWQ226" s="39"/>
      <c r="VWR226" s="34"/>
      <c r="VWS226" s="34"/>
      <c r="VWT226" s="34"/>
      <c r="VWU226" s="35"/>
      <c r="VWV226" s="35"/>
      <c r="VWW226" s="35"/>
      <c r="VWX226" s="35"/>
      <c r="VWY226" s="35"/>
      <c r="VWZ226" s="34"/>
      <c r="VXA226" s="34"/>
      <c r="VXB226" s="36"/>
      <c r="VXC226" s="36"/>
      <c r="VXD226" s="37"/>
      <c r="VXE226" s="37"/>
      <c r="VXF226" s="38"/>
      <c r="VXG226" s="38"/>
      <c r="VXH226" s="39"/>
      <c r="VXI226" s="34"/>
      <c r="VXJ226" s="34"/>
      <c r="VXK226" s="34"/>
      <c r="VXL226" s="35"/>
      <c r="VXM226" s="35"/>
      <c r="VXN226" s="35"/>
      <c r="VXO226" s="35"/>
      <c r="VXP226" s="35"/>
      <c r="VXQ226" s="34"/>
      <c r="VXR226" s="34"/>
      <c r="VXS226" s="36"/>
      <c r="VXT226" s="36"/>
      <c r="VXU226" s="37"/>
      <c r="VXV226" s="37"/>
      <c r="VXW226" s="38"/>
      <c r="VXX226" s="38"/>
      <c r="VXY226" s="39"/>
      <c r="VXZ226" s="34"/>
      <c r="VYA226" s="34"/>
      <c r="VYB226" s="34"/>
      <c r="VYC226" s="35"/>
      <c r="VYD226" s="35"/>
      <c r="VYE226" s="35"/>
      <c r="VYF226" s="35"/>
      <c r="VYG226" s="35"/>
      <c r="VYH226" s="34"/>
      <c r="VYI226" s="34"/>
      <c r="VYJ226" s="36"/>
      <c r="VYK226" s="36"/>
      <c r="VYL226" s="37"/>
      <c r="VYM226" s="37"/>
      <c r="VYN226" s="38"/>
      <c r="VYO226" s="38"/>
      <c r="VYP226" s="39"/>
      <c r="VYQ226" s="34"/>
      <c r="VYR226" s="34"/>
      <c r="VYS226" s="34"/>
      <c r="VYT226" s="35"/>
      <c r="VYU226" s="35"/>
      <c r="VYV226" s="35"/>
      <c r="VYW226" s="35"/>
      <c r="VYX226" s="35"/>
      <c r="VYY226" s="34"/>
      <c r="VYZ226" s="34"/>
      <c r="VZA226" s="36"/>
      <c r="VZB226" s="36"/>
      <c r="VZC226" s="37"/>
      <c r="VZD226" s="37"/>
      <c r="VZE226" s="38"/>
      <c r="VZF226" s="38"/>
      <c r="VZG226" s="39"/>
      <c r="VZH226" s="34"/>
      <c r="VZI226" s="34"/>
      <c r="VZJ226" s="34"/>
      <c r="VZK226" s="35"/>
      <c r="VZL226" s="35"/>
      <c r="VZM226" s="35"/>
      <c r="VZN226" s="35"/>
      <c r="VZO226" s="35"/>
      <c r="VZP226" s="34"/>
      <c r="VZQ226" s="34"/>
      <c r="VZR226" s="36"/>
      <c r="VZS226" s="36"/>
      <c r="VZT226" s="37"/>
      <c r="VZU226" s="37"/>
      <c r="VZV226" s="38"/>
      <c r="VZW226" s="38"/>
      <c r="VZX226" s="39"/>
      <c r="VZY226" s="34"/>
      <c r="VZZ226" s="34"/>
      <c r="WAA226" s="34"/>
      <c r="WAB226" s="35"/>
      <c r="WAC226" s="35"/>
      <c r="WAD226" s="35"/>
      <c r="WAE226" s="35"/>
      <c r="WAF226" s="35"/>
      <c r="WAG226" s="34"/>
      <c r="WAH226" s="34"/>
      <c r="WAI226" s="36"/>
      <c r="WAJ226" s="36"/>
      <c r="WAK226" s="37"/>
      <c r="WAL226" s="37"/>
      <c r="WAM226" s="38"/>
      <c r="WAN226" s="38"/>
      <c r="WAO226" s="39"/>
      <c r="WAP226" s="34"/>
      <c r="WAQ226" s="34"/>
      <c r="WAR226" s="34"/>
      <c r="WAS226" s="35"/>
      <c r="WAT226" s="35"/>
      <c r="WAU226" s="35"/>
      <c r="WAV226" s="35"/>
      <c r="WAW226" s="35"/>
      <c r="WAX226" s="34"/>
      <c r="WAY226" s="34"/>
      <c r="WAZ226" s="36"/>
      <c r="WBA226" s="36"/>
      <c r="WBB226" s="37"/>
      <c r="WBC226" s="37"/>
      <c r="WBD226" s="38"/>
      <c r="WBE226" s="38"/>
      <c r="WBF226" s="39"/>
      <c r="WBG226" s="34"/>
      <c r="WBH226" s="34"/>
      <c r="WBI226" s="34"/>
      <c r="WBJ226" s="35"/>
      <c r="WBK226" s="35"/>
      <c r="WBL226" s="35"/>
      <c r="WBM226" s="35"/>
      <c r="WBN226" s="35"/>
      <c r="WBO226" s="34"/>
      <c r="WBP226" s="34"/>
      <c r="WBQ226" s="36"/>
      <c r="WBR226" s="36"/>
      <c r="WBS226" s="37"/>
      <c r="WBT226" s="37"/>
      <c r="WBU226" s="38"/>
      <c r="WBV226" s="38"/>
      <c r="WBW226" s="39"/>
      <c r="WBX226" s="34"/>
      <c r="WBY226" s="34"/>
      <c r="WBZ226" s="34"/>
      <c r="WCA226" s="35"/>
      <c r="WCB226" s="35"/>
      <c r="WCC226" s="35"/>
      <c r="WCD226" s="35"/>
      <c r="WCE226" s="35"/>
      <c r="WCF226" s="34"/>
      <c r="WCG226" s="34"/>
      <c r="WCH226" s="36"/>
      <c r="WCI226" s="36"/>
      <c r="WCJ226" s="37"/>
      <c r="WCK226" s="37"/>
      <c r="WCL226" s="38"/>
      <c r="WCM226" s="38"/>
      <c r="WCN226" s="39"/>
      <c r="WCO226" s="34"/>
      <c r="WCP226" s="34"/>
      <c r="WCQ226" s="34"/>
      <c r="WCR226" s="35"/>
      <c r="WCS226" s="35"/>
      <c r="WCT226" s="35"/>
      <c r="WCU226" s="35"/>
      <c r="WCV226" s="35"/>
      <c r="WCW226" s="34"/>
      <c r="WCX226" s="34"/>
      <c r="WCY226" s="36"/>
      <c r="WCZ226" s="36"/>
      <c r="WDA226" s="37"/>
      <c r="WDB226" s="37"/>
      <c r="WDC226" s="38"/>
      <c r="WDD226" s="38"/>
      <c r="WDE226" s="39"/>
      <c r="WDF226" s="34"/>
      <c r="WDG226" s="34"/>
      <c r="WDH226" s="34"/>
      <c r="WDI226" s="35"/>
      <c r="WDJ226" s="35"/>
      <c r="WDK226" s="35"/>
      <c r="WDL226" s="35"/>
      <c r="WDM226" s="35"/>
      <c r="WDN226" s="34"/>
      <c r="WDO226" s="34"/>
      <c r="WDP226" s="36"/>
      <c r="WDQ226" s="36"/>
      <c r="WDR226" s="37"/>
      <c r="WDS226" s="37"/>
      <c r="WDT226" s="38"/>
      <c r="WDU226" s="38"/>
      <c r="WDV226" s="39"/>
      <c r="WDW226" s="34"/>
      <c r="WDX226" s="34"/>
      <c r="WDY226" s="34"/>
      <c r="WDZ226" s="35"/>
      <c r="WEA226" s="35"/>
      <c r="WEB226" s="35"/>
      <c r="WEC226" s="35"/>
      <c r="WED226" s="35"/>
      <c r="WEE226" s="34"/>
      <c r="WEF226" s="34"/>
      <c r="WEG226" s="36"/>
      <c r="WEH226" s="36"/>
      <c r="WEI226" s="37"/>
      <c r="WEJ226" s="37"/>
      <c r="WEK226" s="38"/>
      <c r="WEL226" s="38"/>
      <c r="WEM226" s="39"/>
      <c r="WEN226" s="34"/>
      <c r="WEO226" s="34"/>
      <c r="WEP226" s="34"/>
      <c r="WEQ226" s="35"/>
      <c r="WER226" s="35"/>
      <c r="WES226" s="35"/>
      <c r="WET226" s="35"/>
      <c r="WEU226" s="35"/>
      <c r="WEV226" s="34"/>
      <c r="WEW226" s="34"/>
      <c r="WEX226" s="36"/>
      <c r="WEY226" s="36"/>
      <c r="WEZ226" s="37"/>
      <c r="WFA226" s="37"/>
      <c r="WFB226" s="38"/>
      <c r="WFC226" s="38"/>
      <c r="WFD226" s="39"/>
      <c r="WFE226" s="34"/>
      <c r="WFF226" s="34"/>
      <c r="WFG226" s="34"/>
      <c r="WFH226" s="35"/>
      <c r="WFI226" s="35"/>
      <c r="WFJ226" s="35"/>
      <c r="WFK226" s="35"/>
      <c r="WFL226" s="35"/>
      <c r="WFM226" s="34"/>
      <c r="WFN226" s="34"/>
      <c r="WFO226" s="36"/>
      <c r="WFP226" s="36"/>
      <c r="WFQ226" s="37"/>
      <c r="WFR226" s="37"/>
      <c r="WFS226" s="38"/>
      <c r="WFT226" s="38"/>
      <c r="WFU226" s="39"/>
      <c r="WFV226" s="34"/>
      <c r="WFW226" s="34"/>
      <c r="WFX226" s="34"/>
      <c r="WFY226" s="35"/>
      <c r="WFZ226" s="35"/>
      <c r="WGA226" s="35"/>
      <c r="WGB226" s="35"/>
      <c r="WGC226" s="35"/>
      <c r="WGD226" s="34"/>
      <c r="WGE226" s="34"/>
      <c r="WGF226" s="36"/>
      <c r="WGG226" s="36"/>
      <c r="WGH226" s="37"/>
      <c r="WGI226" s="37"/>
      <c r="WGJ226" s="38"/>
      <c r="WGK226" s="38"/>
      <c r="WGL226" s="39"/>
      <c r="WGM226" s="34"/>
      <c r="WGN226" s="34"/>
      <c r="WGO226" s="34"/>
      <c r="WGP226" s="35"/>
      <c r="WGQ226" s="35"/>
      <c r="WGR226" s="35"/>
      <c r="WGS226" s="35"/>
      <c r="WGT226" s="35"/>
      <c r="WGU226" s="34"/>
      <c r="WGV226" s="34"/>
      <c r="WGW226" s="36"/>
      <c r="WGX226" s="36"/>
      <c r="WGY226" s="37"/>
      <c r="WGZ226" s="37"/>
      <c r="WHA226" s="38"/>
      <c r="WHB226" s="38"/>
      <c r="WHC226" s="39"/>
      <c r="WHD226" s="34"/>
      <c r="WHE226" s="34"/>
      <c r="WHF226" s="34"/>
      <c r="WHG226" s="35"/>
      <c r="WHH226" s="35"/>
      <c r="WHI226" s="35"/>
      <c r="WHJ226" s="35"/>
      <c r="WHK226" s="35"/>
      <c r="WHL226" s="34"/>
      <c r="WHM226" s="34"/>
      <c r="WHN226" s="36"/>
      <c r="WHO226" s="36"/>
      <c r="WHP226" s="37"/>
      <c r="WHQ226" s="37"/>
      <c r="WHR226" s="38"/>
      <c r="WHS226" s="38"/>
      <c r="WHT226" s="39"/>
      <c r="WHU226" s="34"/>
      <c r="WHV226" s="34"/>
      <c r="WHW226" s="34"/>
      <c r="WHX226" s="35"/>
      <c r="WHY226" s="35"/>
      <c r="WHZ226" s="35"/>
      <c r="WIA226" s="35"/>
      <c r="WIB226" s="35"/>
      <c r="WIC226" s="34"/>
      <c r="WID226" s="34"/>
      <c r="WIE226" s="36"/>
      <c r="WIF226" s="36"/>
      <c r="WIG226" s="37"/>
      <c r="WIH226" s="37"/>
      <c r="WII226" s="38"/>
      <c r="WIJ226" s="38"/>
      <c r="WIK226" s="39"/>
      <c r="WIL226" s="34"/>
      <c r="WIM226" s="34"/>
      <c r="WIN226" s="34"/>
      <c r="WIO226" s="35"/>
      <c r="WIP226" s="35"/>
      <c r="WIQ226" s="35"/>
      <c r="WIR226" s="35"/>
      <c r="WIS226" s="35"/>
      <c r="WIT226" s="34"/>
      <c r="WIU226" s="34"/>
      <c r="WIV226" s="36"/>
      <c r="WIW226" s="36"/>
      <c r="WIX226" s="37"/>
      <c r="WIY226" s="37"/>
      <c r="WIZ226" s="38"/>
      <c r="WJA226" s="38"/>
      <c r="WJB226" s="39"/>
      <c r="WJC226" s="34"/>
      <c r="WJD226" s="34"/>
      <c r="WJE226" s="34"/>
      <c r="WJF226" s="35"/>
      <c r="WJG226" s="35"/>
      <c r="WJH226" s="35"/>
      <c r="WJI226" s="35"/>
      <c r="WJJ226" s="35"/>
      <c r="WJK226" s="34"/>
      <c r="WJL226" s="34"/>
      <c r="WJM226" s="36"/>
      <c r="WJN226" s="36"/>
      <c r="WJO226" s="37"/>
      <c r="WJP226" s="37"/>
      <c r="WJQ226" s="38"/>
      <c r="WJR226" s="38"/>
      <c r="WJS226" s="39"/>
      <c r="WJT226" s="34"/>
      <c r="WJU226" s="34"/>
      <c r="WJV226" s="34"/>
      <c r="WJW226" s="35"/>
      <c r="WJX226" s="35"/>
      <c r="WJY226" s="35"/>
      <c r="WJZ226" s="35"/>
      <c r="WKA226" s="35"/>
      <c r="WKB226" s="34"/>
      <c r="WKC226" s="34"/>
      <c r="WKD226" s="36"/>
      <c r="WKE226" s="36"/>
      <c r="WKF226" s="37"/>
      <c r="WKG226" s="37"/>
      <c r="WKH226" s="38"/>
      <c r="WKI226" s="38"/>
      <c r="WKJ226" s="39"/>
      <c r="WKK226" s="34"/>
      <c r="WKL226" s="34"/>
      <c r="WKM226" s="34"/>
      <c r="WKN226" s="35"/>
      <c r="WKO226" s="35"/>
      <c r="WKP226" s="35"/>
      <c r="WKQ226" s="35"/>
      <c r="WKR226" s="35"/>
      <c r="WKS226" s="34"/>
      <c r="WKT226" s="34"/>
      <c r="WKU226" s="36"/>
      <c r="WKV226" s="36"/>
      <c r="WKW226" s="37"/>
      <c r="WKX226" s="37"/>
      <c r="WKY226" s="38"/>
      <c r="WKZ226" s="38"/>
      <c r="WLA226" s="39"/>
      <c r="WLB226" s="34"/>
      <c r="WLC226" s="34"/>
      <c r="WLD226" s="34"/>
      <c r="WLE226" s="35"/>
      <c r="WLF226" s="35"/>
      <c r="WLG226" s="35"/>
      <c r="WLH226" s="35"/>
      <c r="WLI226" s="35"/>
      <c r="WLJ226" s="34"/>
      <c r="WLK226" s="34"/>
      <c r="WLL226" s="36"/>
      <c r="WLM226" s="36"/>
      <c r="WLN226" s="37"/>
      <c r="WLO226" s="37"/>
      <c r="WLP226" s="38"/>
      <c r="WLQ226" s="38"/>
      <c r="WLR226" s="39"/>
      <c r="WLS226" s="34"/>
      <c r="WLT226" s="34"/>
      <c r="WLU226" s="34"/>
      <c r="WLV226" s="35"/>
      <c r="WLW226" s="35"/>
      <c r="WLX226" s="35"/>
      <c r="WLY226" s="35"/>
      <c r="WLZ226" s="35"/>
      <c r="WMA226" s="34"/>
      <c r="WMB226" s="34"/>
      <c r="WMC226" s="36"/>
      <c r="WMD226" s="36"/>
      <c r="WME226" s="37"/>
      <c r="WMF226" s="37"/>
      <c r="WMG226" s="38"/>
      <c r="WMH226" s="38"/>
      <c r="WMI226" s="39"/>
      <c r="WMJ226" s="34"/>
      <c r="WMK226" s="34"/>
      <c r="WML226" s="34"/>
      <c r="WMM226" s="35"/>
      <c r="WMN226" s="35"/>
      <c r="WMO226" s="35"/>
      <c r="WMP226" s="35"/>
      <c r="WMQ226" s="35"/>
      <c r="WMR226" s="34"/>
      <c r="WMS226" s="34"/>
      <c r="WMT226" s="36"/>
      <c r="WMU226" s="36"/>
      <c r="WMV226" s="37"/>
      <c r="WMW226" s="37"/>
      <c r="WMX226" s="38"/>
      <c r="WMY226" s="38"/>
      <c r="WMZ226" s="39"/>
      <c r="WNA226" s="34"/>
      <c r="WNB226" s="34"/>
      <c r="WNC226" s="34"/>
      <c r="WND226" s="35"/>
      <c r="WNE226" s="35"/>
      <c r="WNF226" s="35"/>
      <c r="WNG226" s="35"/>
      <c r="WNH226" s="35"/>
      <c r="WNI226" s="34"/>
      <c r="WNJ226" s="34"/>
      <c r="WNK226" s="36"/>
      <c r="WNL226" s="36"/>
      <c r="WNM226" s="37"/>
      <c r="WNN226" s="37"/>
      <c r="WNO226" s="38"/>
      <c r="WNP226" s="38"/>
      <c r="WNQ226" s="39"/>
      <c r="WNR226" s="34"/>
      <c r="WNS226" s="34"/>
      <c r="WNT226" s="34"/>
      <c r="WNU226" s="35"/>
      <c r="WNV226" s="35"/>
      <c r="WNW226" s="35"/>
      <c r="WNX226" s="35"/>
      <c r="WNY226" s="35"/>
      <c r="WNZ226" s="34"/>
      <c r="WOA226" s="34"/>
      <c r="WOB226" s="36"/>
      <c r="WOC226" s="36"/>
      <c r="WOD226" s="37"/>
      <c r="WOE226" s="37"/>
      <c r="WOF226" s="38"/>
      <c r="WOG226" s="38"/>
      <c r="WOH226" s="39"/>
      <c r="WOI226" s="34"/>
      <c r="WOJ226" s="34"/>
      <c r="WOK226" s="34"/>
      <c r="WOL226" s="35"/>
      <c r="WOM226" s="35"/>
      <c r="WON226" s="35"/>
      <c r="WOO226" s="35"/>
      <c r="WOP226" s="35"/>
      <c r="WOQ226" s="34"/>
      <c r="WOR226" s="34"/>
      <c r="WOS226" s="36"/>
      <c r="WOT226" s="36"/>
      <c r="WOU226" s="37"/>
      <c r="WOV226" s="37"/>
      <c r="WOW226" s="38"/>
      <c r="WOX226" s="38"/>
      <c r="WOY226" s="39"/>
      <c r="WOZ226" s="34"/>
      <c r="WPA226" s="34"/>
      <c r="WPB226" s="34"/>
      <c r="WPC226" s="35"/>
      <c r="WPD226" s="35"/>
      <c r="WPE226" s="35"/>
      <c r="WPF226" s="35"/>
      <c r="WPG226" s="35"/>
      <c r="WPH226" s="34"/>
      <c r="WPI226" s="34"/>
      <c r="WPJ226" s="36"/>
      <c r="WPK226" s="36"/>
      <c r="WPL226" s="37"/>
      <c r="WPM226" s="37"/>
      <c r="WPN226" s="38"/>
      <c r="WPO226" s="38"/>
      <c r="WPP226" s="39"/>
      <c r="WPQ226" s="34"/>
      <c r="WPR226" s="34"/>
      <c r="WPS226" s="34"/>
      <c r="WPT226" s="35"/>
      <c r="WPU226" s="35"/>
      <c r="WPV226" s="35"/>
      <c r="WPW226" s="35"/>
      <c r="WPX226" s="35"/>
      <c r="WPY226" s="34"/>
      <c r="WPZ226" s="34"/>
      <c r="WQA226" s="36"/>
      <c r="WQB226" s="36"/>
      <c r="WQC226" s="37"/>
      <c r="WQD226" s="37"/>
      <c r="WQE226" s="38"/>
      <c r="WQF226" s="38"/>
      <c r="WQG226" s="39"/>
      <c r="WQH226" s="34"/>
      <c r="WQI226" s="34"/>
      <c r="WQJ226" s="34"/>
      <c r="WQK226" s="35"/>
      <c r="WQL226" s="35"/>
      <c r="WQM226" s="35"/>
      <c r="WQN226" s="35"/>
      <c r="WQO226" s="35"/>
      <c r="WQP226" s="34"/>
      <c r="WQQ226" s="34"/>
      <c r="WQR226" s="36"/>
      <c r="WQS226" s="36"/>
      <c r="WQT226" s="37"/>
      <c r="WQU226" s="37"/>
      <c r="WQV226" s="38"/>
      <c r="WQW226" s="38"/>
      <c r="WQX226" s="39"/>
      <c r="WQY226" s="34"/>
      <c r="WQZ226" s="34"/>
      <c r="WRA226" s="34"/>
      <c r="WRB226" s="35"/>
      <c r="WRC226" s="35"/>
      <c r="WRD226" s="35"/>
      <c r="WRE226" s="35"/>
      <c r="WRF226" s="35"/>
      <c r="WRG226" s="34"/>
      <c r="WRH226" s="34"/>
      <c r="WRI226" s="36"/>
      <c r="WRJ226" s="36"/>
      <c r="WRK226" s="37"/>
      <c r="WRL226" s="37"/>
      <c r="WRM226" s="38"/>
      <c r="WRN226" s="38"/>
      <c r="WRO226" s="39"/>
      <c r="WRP226" s="34"/>
      <c r="WRQ226" s="34"/>
      <c r="WRR226" s="34"/>
      <c r="WRS226" s="35"/>
      <c r="WRT226" s="35"/>
      <c r="WRU226" s="35"/>
      <c r="WRV226" s="35"/>
      <c r="WRW226" s="35"/>
      <c r="WRX226" s="34"/>
      <c r="WRY226" s="34"/>
      <c r="WRZ226" s="36"/>
      <c r="WSA226" s="36"/>
      <c r="WSB226" s="37"/>
      <c r="WSC226" s="37"/>
      <c r="WSD226" s="38"/>
      <c r="WSE226" s="38"/>
      <c r="WSF226" s="39"/>
      <c r="WSG226" s="34"/>
      <c r="WSH226" s="34"/>
      <c r="WSI226" s="34"/>
      <c r="WSJ226" s="35"/>
      <c r="WSK226" s="35"/>
      <c r="WSL226" s="35"/>
      <c r="WSM226" s="35"/>
      <c r="WSN226" s="35"/>
      <c r="WSO226" s="34"/>
      <c r="WSP226" s="34"/>
      <c r="WSQ226" s="36"/>
      <c r="WSR226" s="36"/>
      <c r="WSS226" s="37"/>
      <c r="WST226" s="37"/>
      <c r="WSU226" s="38"/>
      <c r="WSV226" s="38"/>
      <c r="WSW226" s="39"/>
      <c r="WSX226" s="34"/>
      <c r="WSY226" s="34"/>
      <c r="WSZ226" s="34"/>
      <c r="WTA226" s="35"/>
      <c r="WTB226" s="35"/>
      <c r="WTC226" s="35"/>
      <c r="WTD226" s="35"/>
      <c r="WTE226" s="35"/>
      <c r="WTF226" s="34"/>
      <c r="WTG226" s="34"/>
      <c r="WTH226" s="36"/>
      <c r="WTI226" s="36"/>
      <c r="WTJ226" s="37"/>
      <c r="WTK226" s="37"/>
      <c r="WTL226" s="38"/>
      <c r="WTM226" s="38"/>
      <c r="WTN226" s="39"/>
      <c r="WTO226" s="34"/>
      <c r="WTP226" s="34"/>
      <c r="WTQ226" s="34"/>
      <c r="WTR226" s="35"/>
      <c r="WTS226" s="35"/>
      <c r="WTT226" s="35"/>
      <c r="WTU226" s="35"/>
      <c r="WTV226" s="35"/>
      <c r="WTW226" s="34"/>
      <c r="WTX226" s="34"/>
      <c r="WTY226" s="36"/>
      <c r="WTZ226" s="36"/>
      <c r="WUA226" s="37"/>
      <c r="WUB226" s="37"/>
      <c r="WUC226" s="38"/>
      <c r="WUD226" s="38"/>
      <c r="WUE226" s="39"/>
      <c r="WUF226" s="34"/>
      <c r="WUG226" s="34"/>
      <c r="WUH226" s="34"/>
      <c r="WUI226" s="35"/>
      <c r="WUJ226" s="35"/>
      <c r="WUK226" s="35"/>
      <c r="WUL226" s="35"/>
      <c r="WUM226" s="35"/>
      <c r="WUN226" s="34"/>
      <c r="WUO226" s="34"/>
      <c r="WUP226" s="36"/>
      <c r="WUQ226" s="36"/>
      <c r="WUR226" s="37"/>
      <c r="WUS226" s="37"/>
      <c r="WUT226" s="38"/>
      <c r="WUU226" s="38"/>
      <c r="WUV226" s="39"/>
      <c r="WUW226" s="34"/>
      <c r="WUX226" s="34"/>
      <c r="WUY226" s="34"/>
      <c r="WUZ226" s="35"/>
      <c r="WVA226" s="35"/>
      <c r="WVB226" s="35"/>
      <c r="WVC226" s="35"/>
      <c r="WVD226" s="35"/>
      <c r="WVE226" s="34"/>
      <c r="WVF226" s="34"/>
      <c r="WVG226" s="36"/>
      <c r="WVH226" s="36"/>
      <c r="WVI226" s="37"/>
      <c r="WVJ226" s="37"/>
      <c r="WVK226" s="38"/>
      <c r="WVL226" s="38"/>
      <c r="WVM226" s="39"/>
      <c r="WVN226" s="34"/>
      <c r="WVO226" s="34"/>
      <c r="WVP226" s="34"/>
      <c r="WVQ226" s="35"/>
      <c r="WVR226" s="35"/>
      <c r="WVS226" s="35"/>
      <c r="WVT226" s="35"/>
      <c r="WVU226" s="35"/>
      <c r="WVV226" s="34"/>
      <c r="WVW226" s="34"/>
      <c r="WVX226" s="36"/>
      <c r="WVY226" s="36"/>
      <c r="WVZ226" s="37"/>
      <c r="WWA226" s="37"/>
      <c r="WWB226" s="38"/>
      <c r="WWC226" s="38"/>
      <c r="WWD226" s="39"/>
      <c r="WWE226" s="34"/>
      <c r="WWF226" s="34"/>
      <c r="WWG226" s="34"/>
      <c r="WWH226" s="35"/>
      <c r="WWI226" s="35"/>
      <c r="WWJ226" s="35"/>
      <c r="WWK226" s="35"/>
      <c r="WWL226" s="35"/>
      <c r="WWM226" s="34"/>
      <c r="WWN226" s="34"/>
      <c r="WWO226" s="36"/>
      <c r="WWP226" s="36"/>
      <c r="WWQ226" s="37"/>
      <c r="WWR226" s="37"/>
      <c r="WWS226" s="38"/>
      <c r="WWT226" s="38"/>
      <c r="WWU226" s="39"/>
      <c r="WWV226" s="34"/>
      <c r="WWW226" s="34"/>
      <c r="WWX226" s="34"/>
      <c r="WWY226" s="35"/>
      <c r="WWZ226" s="35"/>
      <c r="WXA226" s="35"/>
      <c r="WXB226" s="35"/>
      <c r="WXC226" s="35"/>
      <c r="WXD226" s="34"/>
      <c r="WXE226" s="34"/>
      <c r="WXF226" s="36"/>
      <c r="WXG226" s="36"/>
      <c r="WXH226" s="37"/>
      <c r="WXI226" s="37"/>
      <c r="WXJ226" s="38"/>
      <c r="WXK226" s="38"/>
      <c r="WXL226" s="39"/>
      <c r="WXM226" s="34"/>
      <c r="WXN226" s="34"/>
      <c r="WXO226" s="34"/>
      <c r="WXP226" s="35"/>
      <c r="WXQ226" s="35"/>
      <c r="WXR226" s="35"/>
      <c r="WXS226" s="35"/>
      <c r="WXT226" s="35"/>
      <c r="WXU226" s="34"/>
      <c r="WXV226" s="34"/>
      <c r="WXW226" s="36"/>
      <c r="WXX226" s="36"/>
      <c r="WXY226" s="37"/>
      <c r="WXZ226" s="37"/>
      <c r="WYA226" s="38"/>
      <c r="WYB226" s="38"/>
      <c r="WYC226" s="39"/>
      <c r="WYD226" s="34"/>
      <c r="WYE226" s="34"/>
      <c r="WYF226" s="34"/>
      <c r="WYG226" s="35"/>
      <c r="WYH226" s="35"/>
      <c r="WYI226" s="35"/>
      <c r="WYJ226" s="35"/>
      <c r="WYK226" s="35"/>
      <c r="WYL226" s="34"/>
      <c r="WYM226" s="34"/>
      <c r="WYN226" s="36"/>
      <c r="WYO226" s="36"/>
      <c r="WYP226" s="37"/>
      <c r="WYQ226" s="37"/>
      <c r="WYR226" s="38"/>
      <c r="WYS226" s="38"/>
      <c r="WYT226" s="39"/>
      <c r="WYU226" s="34"/>
      <c r="WYV226" s="34"/>
      <c r="WYW226" s="34"/>
      <c r="WYX226" s="35"/>
      <c r="WYY226" s="35"/>
      <c r="WYZ226" s="35"/>
      <c r="WZA226" s="35"/>
      <c r="WZB226" s="35"/>
      <c r="WZC226" s="34"/>
      <c r="WZD226" s="34"/>
      <c r="WZE226" s="36"/>
      <c r="WZF226" s="36"/>
      <c r="WZG226" s="37"/>
      <c r="WZH226" s="37"/>
      <c r="WZI226" s="38"/>
      <c r="WZJ226" s="38"/>
      <c r="WZK226" s="39"/>
      <c r="WZL226" s="34"/>
      <c r="WZM226" s="34"/>
      <c r="WZN226" s="34"/>
      <c r="WZO226" s="35"/>
      <c r="WZP226" s="35"/>
      <c r="WZQ226" s="35"/>
      <c r="WZR226" s="35"/>
      <c r="WZS226" s="35"/>
      <c r="WZT226" s="34"/>
      <c r="WZU226" s="34"/>
      <c r="WZV226" s="36"/>
      <c r="WZW226" s="36"/>
      <c r="WZX226" s="37"/>
      <c r="WZY226" s="37"/>
      <c r="WZZ226" s="38"/>
      <c r="XAA226" s="38"/>
      <c r="XAB226" s="39"/>
      <c r="XAC226" s="34"/>
      <c r="XAD226" s="34"/>
      <c r="XAE226" s="34"/>
      <c r="XAF226" s="35"/>
      <c r="XAG226" s="35"/>
      <c r="XAH226" s="35"/>
      <c r="XAI226" s="35"/>
      <c r="XAJ226" s="35"/>
      <c r="XAK226" s="34"/>
      <c r="XAL226" s="34"/>
      <c r="XAM226" s="36"/>
      <c r="XAN226" s="36"/>
      <c r="XAO226" s="37"/>
      <c r="XAP226" s="37"/>
      <c r="XAQ226" s="38"/>
      <c r="XAR226" s="38"/>
      <c r="XAS226" s="39"/>
      <c r="XAT226" s="34"/>
      <c r="XAU226" s="34"/>
      <c r="XAV226" s="34"/>
      <c r="XAW226" s="35"/>
      <c r="XAX226" s="35"/>
      <c r="XAY226" s="35"/>
      <c r="XAZ226" s="35"/>
      <c r="XBA226" s="35"/>
      <c r="XBB226" s="34"/>
      <c r="XBC226" s="34"/>
      <c r="XBD226" s="36"/>
      <c r="XBE226" s="36"/>
      <c r="XBF226" s="37"/>
      <c r="XBG226" s="37"/>
      <c r="XBH226" s="38"/>
      <c r="XBI226" s="38"/>
      <c r="XBJ226" s="39"/>
      <c r="XBK226" s="34"/>
      <c r="XBL226" s="34"/>
      <c r="XBM226" s="34"/>
      <c r="XBN226" s="35"/>
      <c r="XBO226" s="35"/>
      <c r="XBP226" s="35"/>
      <c r="XBQ226" s="35"/>
      <c r="XBR226" s="35"/>
      <c r="XBS226" s="34"/>
      <c r="XBT226" s="34"/>
      <c r="XBU226" s="36"/>
      <c r="XBV226" s="36"/>
      <c r="XBW226" s="37"/>
      <c r="XBX226" s="37"/>
      <c r="XBY226" s="38"/>
      <c r="XBZ226" s="38"/>
      <c r="XCA226" s="39"/>
      <c r="XCB226" s="34"/>
      <c r="XCC226" s="34"/>
      <c r="XCD226" s="34"/>
      <c r="XCE226" s="35"/>
      <c r="XCF226" s="35"/>
      <c r="XCG226" s="35"/>
      <c r="XCH226" s="35"/>
      <c r="XCI226" s="35"/>
      <c r="XCJ226" s="34"/>
      <c r="XCK226" s="34"/>
      <c r="XCL226" s="36"/>
      <c r="XCM226" s="36"/>
      <c r="XCN226" s="37"/>
      <c r="XCO226" s="37"/>
      <c r="XCP226" s="38"/>
      <c r="XCQ226" s="38"/>
      <c r="XCR226" s="39"/>
      <c r="XCS226" s="34"/>
      <c r="XCT226" s="34"/>
      <c r="XCU226" s="34"/>
      <c r="XCV226" s="35"/>
      <c r="XCW226" s="35"/>
      <c r="XCX226" s="35"/>
      <c r="XCY226" s="35"/>
      <c r="XCZ226" s="35"/>
      <c r="XDA226" s="34"/>
      <c r="XDB226" s="34"/>
      <c r="XDC226" s="36"/>
      <c r="XDD226" s="36"/>
      <c r="XDE226" s="37"/>
      <c r="XDF226" s="37"/>
      <c r="XDG226" s="38"/>
      <c r="XDH226" s="38"/>
      <c r="XDI226" s="39"/>
      <c r="XDJ226" s="34"/>
      <c r="XDK226" s="34"/>
      <c r="XDL226" s="34"/>
      <c r="XDM226" s="35"/>
      <c r="XDN226" s="35"/>
      <c r="XDO226" s="35"/>
      <c r="XDP226" s="35"/>
      <c r="XDQ226" s="35"/>
      <c r="XDR226" s="34"/>
      <c r="XDS226" s="34"/>
      <c r="XDT226" s="36"/>
      <c r="XDU226" s="36"/>
      <c r="XDV226" s="37"/>
      <c r="XDW226" s="37"/>
      <c r="XDX226" s="38"/>
      <c r="XDY226" s="38"/>
      <c r="XDZ226" s="39"/>
      <c r="XEA226" s="34"/>
      <c r="XEB226" s="34"/>
      <c r="XEC226" s="34"/>
      <c r="XED226" s="35"/>
      <c r="XEE226" s="35"/>
      <c r="XEF226" s="35"/>
      <c r="XEG226" s="35"/>
      <c r="XEH226" s="35"/>
      <c r="XEI226" s="34"/>
      <c r="XEJ226" s="34"/>
      <c r="XEK226" s="36"/>
      <c r="XEL226" s="36"/>
      <c r="XEM226" s="37"/>
      <c r="XEN226" s="37"/>
      <c r="XEO226" s="38"/>
      <c r="XEP226" s="38"/>
      <c r="XEQ226" s="39"/>
      <c r="XER226" s="34"/>
      <c r="XES226" s="34"/>
      <c r="XET226" s="34"/>
      <c r="XEU226" s="35"/>
      <c r="XEV226" s="35"/>
      <c r="XEW226" s="35"/>
      <c r="XEX226" s="35"/>
      <c r="XEY226" s="35"/>
      <c r="XEZ226" s="34"/>
      <c r="XFA226" s="34"/>
      <c r="XFB226" s="36"/>
      <c r="XFC226" s="36"/>
      <c r="XFD226" s="37"/>
    </row>
    <row r="227" spans="1:16384" ht="14.25" customHeight="1" x14ac:dyDescent="0.25">
      <c r="A227" s="34">
        <v>0</v>
      </c>
      <c r="B227" s="34">
        <v>1</v>
      </c>
      <c r="C227" s="34">
        <v>6</v>
      </c>
      <c r="D227" s="35" t="s">
        <v>978</v>
      </c>
      <c r="E227" s="35" t="s">
        <v>165</v>
      </c>
      <c r="F227" s="35" t="s">
        <v>976</v>
      </c>
      <c r="G227" s="35" t="s">
        <v>1105</v>
      </c>
      <c r="H227" s="35" t="s">
        <v>354</v>
      </c>
      <c r="I227" s="34" t="s">
        <v>977</v>
      </c>
      <c r="J227" s="34">
        <v>1</v>
      </c>
      <c r="K227" s="36" t="s">
        <v>956</v>
      </c>
      <c r="L227" s="36" t="s">
        <v>689</v>
      </c>
      <c r="M227" s="37" t="s">
        <v>1402</v>
      </c>
      <c r="N227" s="37" t="s">
        <v>1748</v>
      </c>
      <c r="O227" s="38">
        <v>1</v>
      </c>
      <c r="P227" s="38"/>
      <c r="Q227" s="35"/>
      <c r="S227" s="1">
        <f t="shared" si="123"/>
        <v>1</v>
      </c>
      <c r="T227" s="1">
        <f t="shared" si="124"/>
        <v>0</v>
      </c>
      <c r="U227" s="1">
        <f t="shared" si="125"/>
        <v>0</v>
      </c>
      <c r="V227" s="1">
        <f t="shared" si="126"/>
        <v>0</v>
      </c>
      <c r="W227" s="1">
        <f t="shared" si="127"/>
        <v>0</v>
      </c>
      <c r="X227" s="1">
        <f t="shared" si="128"/>
        <v>0</v>
      </c>
      <c r="Y227" s="1">
        <f t="shared" si="129"/>
        <v>0</v>
      </c>
      <c r="Z227" s="1">
        <f t="shared" si="130"/>
        <v>0</v>
      </c>
      <c r="AA227" s="1">
        <f t="shared" si="131"/>
        <v>0</v>
      </c>
      <c r="AB227" s="1">
        <f t="shared" si="132"/>
        <v>0</v>
      </c>
      <c r="AD227" s="1">
        <f t="shared" si="133"/>
        <v>0</v>
      </c>
      <c r="AE227" s="1">
        <f t="shared" si="134"/>
        <v>1</v>
      </c>
      <c r="AF227" s="1">
        <f t="shared" si="119"/>
        <v>0</v>
      </c>
      <c r="AG227" s="1">
        <f t="shared" si="120"/>
        <v>1</v>
      </c>
      <c r="AH227" s="1">
        <f t="shared" si="121"/>
        <v>0</v>
      </c>
      <c r="AI227" s="1">
        <f t="shared" si="122"/>
        <v>1</v>
      </c>
    </row>
    <row r="228" spans="1:16384" ht="14.25" customHeight="1" x14ac:dyDescent="0.25">
      <c r="A228" s="34">
        <v>0</v>
      </c>
      <c r="B228" s="34">
        <v>1</v>
      </c>
      <c r="C228" s="34">
        <v>6</v>
      </c>
      <c r="D228" s="35" t="s">
        <v>521</v>
      </c>
      <c r="E228" s="35" t="s">
        <v>167</v>
      </c>
      <c r="F228" s="35" t="s">
        <v>522</v>
      </c>
      <c r="G228" s="35" t="s">
        <v>523</v>
      </c>
      <c r="H228" s="35" t="s">
        <v>354</v>
      </c>
      <c r="I228" s="34" t="s">
        <v>524</v>
      </c>
      <c r="J228" s="34">
        <v>99</v>
      </c>
      <c r="K228" s="36" t="s">
        <v>702</v>
      </c>
      <c r="L228" s="36">
        <v>40</v>
      </c>
      <c r="M228" s="37" t="s">
        <v>972</v>
      </c>
      <c r="N228" s="37" t="s">
        <v>1849</v>
      </c>
      <c r="O228" s="38">
        <v>1</v>
      </c>
      <c r="P228" s="38"/>
      <c r="Q228" s="35"/>
      <c r="S228" s="1">
        <f t="shared" si="123"/>
        <v>0</v>
      </c>
      <c r="T228" s="1">
        <f t="shared" si="124"/>
        <v>0</v>
      </c>
      <c r="U228" s="1">
        <f t="shared" si="125"/>
        <v>0</v>
      </c>
      <c r="V228" s="1">
        <f t="shared" si="126"/>
        <v>0</v>
      </c>
      <c r="W228" s="1">
        <f t="shared" si="127"/>
        <v>0</v>
      </c>
      <c r="X228" s="1">
        <f t="shared" si="128"/>
        <v>0</v>
      </c>
      <c r="Y228" s="1">
        <f t="shared" si="129"/>
        <v>0</v>
      </c>
      <c r="Z228" s="1">
        <f t="shared" si="130"/>
        <v>0</v>
      </c>
      <c r="AA228" s="1">
        <f t="shared" si="131"/>
        <v>0</v>
      </c>
      <c r="AB228" s="1">
        <f t="shared" si="132"/>
        <v>0</v>
      </c>
      <c r="AD228" s="1">
        <f t="shared" si="133"/>
        <v>0</v>
      </c>
      <c r="AE228" s="1">
        <f t="shared" si="134"/>
        <v>1</v>
      </c>
      <c r="AF228" s="1">
        <f t="shared" si="119"/>
        <v>0</v>
      </c>
      <c r="AG228" s="1">
        <f t="shared" si="120"/>
        <v>1</v>
      </c>
      <c r="AH228" s="1">
        <f t="shared" si="121"/>
        <v>0</v>
      </c>
      <c r="AI228" s="1">
        <f t="shared" si="122"/>
        <v>1</v>
      </c>
    </row>
    <row r="229" spans="1:16384" ht="14.25" customHeight="1" x14ac:dyDescent="0.25">
      <c r="A229" s="41">
        <v>0</v>
      </c>
      <c r="B229" s="41">
        <v>1</v>
      </c>
      <c r="C229" s="41">
        <v>6</v>
      </c>
      <c r="D229" s="42" t="s">
        <v>1837</v>
      </c>
      <c r="E229" s="42" t="s">
        <v>1838</v>
      </c>
      <c r="F229" s="42" t="s">
        <v>1839</v>
      </c>
      <c r="G229" s="42"/>
      <c r="H229" s="42" t="s">
        <v>354</v>
      </c>
      <c r="I229" s="41" t="s">
        <v>1840</v>
      </c>
      <c r="J229" s="41"/>
      <c r="K229" s="43" t="s">
        <v>703</v>
      </c>
      <c r="L229" s="43"/>
      <c r="M229" s="44"/>
      <c r="N229" s="45"/>
      <c r="O229" s="46"/>
      <c r="P229" s="46">
        <v>1</v>
      </c>
      <c r="Q229" s="42"/>
      <c r="S229" s="1">
        <f t="shared" si="123"/>
        <v>0</v>
      </c>
      <c r="T229" s="1">
        <f t="shared" si="124"/>
        <v>0</v>
      </c>
      <c r="U229" s="1">
        <f t="shared" si="125"/>
        <v>0</v>
      </c>
      <c r="V229" s="1">
        <f t="shared" si="126"/>
        <v>0</v>
      </c>
      <c r="W229" s="1">
        <f t="shared" si="127"/>
        <v>0</v>
      </c>
      <c r="X229" s="1">
        <f t="shared" si="128"/>
        <v>0</v>
      </c>
      <c r="Y229" s="1">
        <f t="shared" si="129"/>
        <v>0</v>
      </c>
      <c r="Z229" s="1">
        <f t="shared" si="130"/>
        <v>0</v>
      </c>
      <c r="AA229" s="1">
        <f t="shared" si="131"/>
        <v>0</v>
      </c>
      <c r="AB229" s="1">
        <f t="shared" si="132"/>
        <v>0</v>
      </c>
      <c r="AD229" s="1">
        <f t="shared" si="133"/>
        <v>0</v>
      </c>
      <c r="AE229" s="1">
        <f t="shared" si="134"/>
        <v>0</v>
      </c>
      <c r="AF229" s="1">
        <f t="shared" si="119"/>
        <v>0</v>
      </c>
      <c r="AG229" s="1">
        <f t="shared" si="120"/>
        <v>0</v>
      </c>
      <c r="AH229" s="1">
        <f t="shared" si="121"/>
        <v>1</v>
      </c>
      <c r="AI229" s="1">
        <f t="shared" si="122"/>
        <v>0</v>
      </c>
    </row>
    <row r="230" spans="1:16384" ht="14.25" customHeight="1" x14ac:dyDescent="0.25">
      <c r="A230" s="47">
        <v>0</v>
      </c>
      <c r="B230" s="47">
        <v>1</v>
      </c>
      <c r="C230" s="47">
        <v>6</v>
      </c>
      <c r="D230" s="48" t="s">
        <v>1480</v>
      </c>
      <c r="E230" s="48" t="s">
        <v>167</v>
      </c>
      <c r="F230" s="48" t="s">
        <v>1482</v>
      </c>
      <c r="G230" s="48" t="s">
        <v>1483</v>
      </c>
      <c r="H230" s="48" t="s">
        <v>354</v>
      </c>
      <c r="I230" s="47" t="s">
        <v>1481</v>
      </c>
      <c r="J230" s="47">
        <v>99</v>
      </c>
      <c r="K230" s="49" t="s">
        <v>703</v>
      </c>
      <c r="L230" s="49">
        <v>62</v>
      </c>
      <c r="M230" s="50"/>
      <c r="N230" s="50" t="s">
        <v>1734</v>
      </c>
      <c r="O230" s="51"/>
      <c r="P230" s="51"/>
      <c r="Q230" s="48"/>
      <c r="S230" s="1">
        <f t="shared" si="123"/>
        <v>0</v>
      </c>
      <c r="T230" s="1">
        <f t="shared" si="124"/>
        <v>0</v>
      </c>
      <c r="U230" s="1">
        <f t="shared" si="125"/>
        <v>0</v>
      </c>
      <c r="V230" s="1">
        <f t="shared" si="126"/>
        <v>0</v>
      </c>
      <c r="W230" s="1">
        <f t="shared" si="127"/>
        <v>0</v>
      </c>
      <c r="X230" s="1">
        <f t="shared" si="128"/>
        <v>0</v>
      </c>
      <c r="Y230" s="1">
        <f t="shared" si="129"/>
        <v>0</v>
      </c>
      <c r="Z230" s="1">
        <f t="shared" si="130"/>
        <v>0</v>
      </c>
      <c r="AA230" s="1">
        <f t="shared" si="131"/>
        <v>0</v>
      </c>
      <c r="AB230" s="1">
        <f t="shared" si="132"/>
        <v>0</v>
      </c>
      <c r="AD230" s="1">
        <f t="shared" si="133"/>
        <v>0</v>
      </c>
      <c r="AE230" s="1">
        <f t="shared" si="134"/>
        <v>0</v>
      </c>
      <c r="AF230" s="1">
        <f t="shared" si="119"/>
        <v>0</v>
      </c>
      <c r="AG230" s="1">
        <f t="shared" si="120"/>
        <v>0</v>
      </c>
      <c r="AH230" s="1">
        <f t="shared" si="121"/>
        <v>0</v>
      </c>
      <c r="AI230" s="1">
        <f t="shared" si="122"/>
        <v>1</v>
      </c>
    </row>
    <row r="231" spans="1:16384" ht="14.25" customHeight="1" x14ac:dyDescent="0.25">
      <c r="A231" s="34">
        <v>0</v>
      </c>
      <c r="B231" s="34">
        <v>1</v>
      </c>
      <c r="C231" s="34">
        <v>6</v>
      </c>
      <c r="D231" s="35" t="s">
        <v>1196</v>
      </c>
      <c r="E231" s="35" t="s">
        <v>165</v>
      </c>
      <c r="F231" s="35" t="s">
        <v>1670</v>
      </c>
      <c r="G231" s="35" t="s">
        <v>213</v>
      </c>
      <c r="H231" s="35" t="s">
        <v>354</v>
      </c>
      <c r="I231" s="34" t="s">
        <v>1197</v>
      </c>
      <c r="J231" s="34">
        <v>1</v>
      </c>
      <c r="K231" s="36" t="s">
        <v>962</v>
      </c>
      <c r="L231" s="36" t="s">
        <v>687</v>
      </c>
      <c r="M231" s="37" t="s">
        <v>1572</v>
      </c>
      <c r="N231" s="37" t="s">
        <v>1755</v>
      </c>
      <c r="O231" s="38">
        <v>1</v>
      </c>
      <c r="P231" s="38"/>
      <c r="Q231" s="35"/>
      <c r="S231" s="1">
        <f t="shared" si="123"/>
        <v>1</v>
      </c>
      <c r="T231" s="1">
        <f t="shared" si="124"/>
        <v>0</v>
      </c>
      <c r="U231" s="1">
        <f t="shared" si="125"/>
        <v>0</v>
      </c>
      <c r="V231" s="1">
        <f t="shared" si="126"/>
        <v>0</v>
      </c>
      <c r="W231" s="1">
        <f t="shared" si="127"/>
        <v>0</v>
      </c>
      <c r="X231" s="1">
        <f t="shared" si="128"/>
        <v>0</v>
      </c>
      <c r="Y231" s="1">
        <f t="shared" si="129"/>
        <v>0</v>
      </c>
      <c r="Z231" s="1">
        <f t="shared" si="130"/>
        <v>0</v>
      </c>
      <c r="AA231" s="1">
        <f t="shared" si="131"/>
        <v>0</v>
      </c>
      <c r="AB231" s="1">
        <f t="shared" si="132"/>
        <v>0</v>
      </c>
      <c r="AD231" s="1">
        <f t="shared" si="133"/>
        <v>0</v>
      </c>
      <c r="AE231" s="1">
        <f t="shared" si="134"/>
        <v>1</v>
      </c>
      <c r="AF231" s="1">
        <f t="shared" si="119"/>
        <v>0</v>
      </c>
      <c r="AG231" s="1">
        <f t="shared" si="120"/>
        <v>1</v>
      </c>
      <c r="AH231" s="1">
        <f t="shared" si="121"/>
        <v>0</v>
      </c>
      <c r="AI231" s="1">
        <f t="shared" si="122"/>
        <v>1</v>
      </c>
    </row>
    <row r="232" spans="1:16384" ht="14.25" customHeight="1" x14ac:dyDescent="0.25">
      <c r="A232" s="34">
        <v>0</v>
      </c>
      <c r="B232" s="34">
        <v>1</v>
      </c>
      <c r="C232" s="34">
        <v>6</v>
      </c>
      <c r="D232" s="35" t="s">
        <v>98</v>
      </c>
      <c r="E232" s="35" t="s">
        <v>167</v>
      </c>
      <c r="F232" s="35" t="s">
        <v>296</v>
      </c>
      <c r="G232" s="35" t="s">
        <v>285</v>
      </c>
      <c r="H232" s="35" t="s">
        <v>354</v>
      </c>
      <c r="I232" s="34" t="s">
        <v>1118</v>
      </c>
      <c r="J232" s="34">
        <v>10</v>
      </c>
      <c r="K232" s="36" t="s">
        <v>956</v>
      </c>
      <c r="L232" s="36" t="s">
        <v>694</v>
      </c>
      <c r="M232" s="37" t="s">
        <v>705</v>
      </c>
      <c r="N232" s="37" t="s">
        <v>1749</v>
      </c>
      <c r="O232" s="38">
        <v>1</v>
      </c>
      <c r="P232" s="38"/>
      <c r="Q232" s="35"/>
      <c r="S232" s="1">
        <f t="shared" si="123"/>
        <v>0</v>
      </c>
      <c r="T232" s="1">
        <f t="shared" si="124"/>
        <v>0</v>
      </c>
      <c r="U232" s="1">
        <f t="shared" si="125"/>
        <v>0</v>
      </c>
      <c r="V232" s="1">
        <f t="shared" si="126"/>
        <v>0</v>
      </c>
      <c r="W232" s="1">
        <f t="shared" si="127"/>
        <v>0</v>
      </c>
      <c r="X232" s="1">
        <f t="shared" si="128"/>
        <v>0</v>
      </c>
      <c r="Y232" s="1">
        <f t="shared" si="129"/>
        <v>0</v>
      </c>
      <c r="Z232" s="1">
        <f t="shared" si="130"/>
        <v>0</v>
      </c>
      <c r="AA232" s="1">
        <f t="shared" si="131"/>
        <v>0</v>
      </c>
      <c r="AB232" s="1">
        <f t="shared" si="132"/>
        <v>1</v>
      </c>
      <c r="AD232" s="1">
        <f t="shared" si="133"/>
        <v>0</v>
      </c>
      <c r="AE232" s="1">
        <f t="shared" si="134"/>
        <v>1</v>
      </c>
      <c r="AF232" s="1">
        <f t="shared" si="119"/>
        <v>0</v>
      </c>
      <c r="AG232" s="1">
        <f t="shared" si="120"/>
        <v>1</v>
      </c>
      <c r="AH232" s="1">
        <f t="shared" si="121"/>
        <v>0</v>
      </c>
      <c r="AI232" s="1">
        <f t="shared" si="122"/>
        <v>1</v>
      </c>
    </row>
    <row r="233" spans="1:16384" ht="14.25" customHeight="1" x14ac:dyDescent="0.25">
      <c r="A233" s="34">
        <v>0</v>
      </c>
      <c r="B233" s="34">
        <v>1</v>
      </c>
      <c r="C233" s="34">
        <v>6</v>
      </c>
      <c r="D233" s="35" t="s">
        <v>603</v>
      </c>
      <c r="E233" s="35" t="s">
        <v>165</v>
      </c>
      <c r="F233" s="35" t="s">
        <v>605</v>
      </c>
      <c r="G233" s="35" t="s">
        <v>39</v>
      </c>
      <c r="H233" s="35" t="s">
        <v>354</v>
      </c>
      <c r="I233" s="34" t="s">
        <v>604</v>
      </c>
      <c r="J233" s="34">
        <v>99</v>
      </c>
      <c r="K233" s="36" t="s">
        <v>956</v>
      </c>
      <c r="L233" s="36" t="s">
        <v>693</v>
      </c>
      <c r="M233" s="37" t="s">
        <v>970</v>
      </c>
      <c r="N233" s="37" t="s">
        <v>1749</v>
      </c>
      <c r="O233" s="38">
        <v>1</v>
      </c>
      <c r="P233" s="38"/>
      <c r="Q233" s="35"/>
      <c r="S233" s="1">
        <f t="shared" si="123"/>
        <v>0</v>
      </c>
      <c r="T233" s="1">
        <f t="shared" si="124"/>
        <v>0</v>
      </c>
      <c r="U233" s="1">
        <f t="shared" si="125"/>
        <v>0</v>
      </c>
      <c r="V233" s="1">
        <f t="shared" si="126"/>
        <v>0</v>
      </c>
      <c r="W233" s="1">
        <f t="shared" si="127"/>
        <v>0</v>
      </c>
      <c r="X233" s="1">
        <f t="shared" si="128"/>
        <v>0</v>
      </c>
      <c r="Y233" s="1">
        <f t="shared" si="129"/>
        <v>0</v>
      </c>
      <c r="Z233" s="1">
        <f t="shared" si="130"/>
        <v>0</v>
      </c>
      <c r="AA233" s="1">
        <f t="shared" si="131"/>
        <v>0</v>
      </c>
      <c r="AB233" s="1">
        <f t="shared" si="132"/>
        <v>0</v>
      </c>
      <c r="AD233" s="1">
        <f t="shared" si="133"/>
        <v>0</v>
      </c>
      <c r="AE233" s="1">
        <f t="shared" si="134"/>
        <v>1</v>
      </c>
      <c r="AF233" s="1">
        <f t="shared" si="119"/>
        <v>0</v>
      </c>
      <c r="AG233" s="1">
        <f t="shared" si="120"/>
        <v>1</v>
      </c>
      <c r="AH233" s="1">
        <f t="shared" si="121"/>
        <v>0</v>
      </c>
      <c r="AI233" s="1">
        <f t="shared" si="122"/>
        <v>1</v>
      </c>
    </row>
    <row r="234" spans="1:16384" ht="14.25" customHeight="1" x14ac:dyDescent="0.25">
      <c r="A234" s="34">
        <v>0</v>
      </c>
      <c r="B234" s="34">
        <v>1</v>
      </c>
      <c r="C234" s="34">
        <v>6</v>
      </c>
      <c r="D234" s="35" t="s">
        <v>1162</v>
      </c>
      <c r="E234" s="35" t="s">
        <v>165</v>
      </c>
      <c r="F234" s="35" t="s">
        <v>1164</v>
      </c>
      <c r="G234" s="35" t="s">
        <v>220</v>
      </c>
      <c r="H234" s="35" t="s">
        <v>354</v>
      </c>
      <c r="I234" s="34" t="s">
        <v>1163</v>
      </c>
      <c r="J234" s="34">
        <v>8</v>
      </c>
      <c r="K234" s="36" t="s">
        <v>702</v>
      </c>
      <c r="L234" s="36" t="s">
        <v>1713</v>
      </c>
      <c r="M234" s="37" t="s">
        <v>1403</v>
      </c>
      <c r="N234" s="37" t="s">
        <v>1748</v>
      </c>
      <c r="O234" s="38">
        <v>1</v>
      </c>
      <c r="P234" s="38"/>
      <c r="Q234" s="35"/>
      <c r="S234" s="1">
        <f t="shared" si="123"/>
        <v>0</v>
      </c>
      <c r="T234" s="1">
        <f t="shared" si="124"/>
        <v>0</v>
      </c>
      <c r="U234" s="1">
        <f t="shared" si="125"/>
        <v>0</v>
      </c>
      <c r="V234" s="1">
        <f t="shared" si="126"/>
        <v>0</v>
      </c>
      <c r="W234" s="1">
        <f t="shared" si="127"/>
        <v>0</v>
      </c>
      <c r="X234" s="1">
        <f t="shared" si="128"/>
        <v>0</v>
      </c>
      <c r="Y234" s="1">
        <f t="shared" si="129"/>
        <v>0</v>
      </c>
      <c r="Z234" s="1">
        <f t="shared" si="130"/>
        <v>1</v>
      </c>
      <c r="AA234" s="1">
        <f t="shared" si="131"/>
        <v>0</v>
      </c>
      <c r="AB234" s="1">
        <f t="shared" si="132"/>
        <v>0</v>
      </c>
      <c r="AD234" s="1">
        <f t="shared" si="133"/>
        <v>0</v>
      </c>
      <c r="AE234" s="1">
        <f t="shared" si="134"/>
        <v>1</v>
      </c>
      <c r="AF234" s="1">
        <f t="shared" si="119"/>
        <v>0</v>
      </c>
      <c r="AG234" s="1">
        <f t="shared" si="120"/>
        <v>1</v>
      </c>
      <c r="AH234" s="1">
        <f t="shared" si="121"/>
        <v>0</v>
      </c>
      <c r="AI234" s="1">
        <f t="shared" si="122"/>
        <v>1</v>
      </c>
    </row>
    <row r="235" spans="1:16384" ht="14.25" customHeight="1" x14ac:dyDescent="0.25">
      <c r="A235" s="34">
        <v>0</v>
      </c>
      <c r="B235" s="34">
        <v>1</v>
      </c>
      <c r="C235" s="34">
        <v>6</v>
      </c>
      <c r="D235" s="35" t="s">
        <v>564</v>
      </c>
      <c r="E235" s="35" t="s">
        <v>167</v>
      </c>
      <c r="F235" s="35" t="s">
        <v>661</v>
      </c>
      <c r="G235" s="35" t="s">
        <v>202</v>
      </c>
      <c r="H235" s="35" t="s">
        <v>354</v>
      </c>
      <c r="I235" s="34" t="s">
        <v>583</v>
      </c>
      <c r="J235" s="34">
        <v>10</v>
      </c>
      <c r="K235" s="36" t="s">
        <v>962</v>
      </c>
      <c r="L235" s="36" t="s">
        <v>693</v>
      </c>
      <c r="M235" s="37" t="s">
        <v>705</v>
      </c>
      <c r="N235" s="37" t="s">
        <v>1748</v>
      </c>
      <c r="O235" s="38">
        <v>1</v>
      </c>
      <c r="P235" s="38"/>
      <c r="Q235" s="39"/>
      <c r="S235" s="1">
        <f t="shared" si="123"/>
        <v>0</v>
      </c>
      <c r="T235" s="1">
        <f t="shared" si="124"/>
        <v>0</v>
      </c>
      <c r="U235" s="1">
        <f t="shared" si="125"/>
        <v>0</v>
      </c>
      <c r="V235" s="1">
        <f t="shared" si="126"/>
        <v>0</v>
      </c>
      <c r="W235" s="1">
        <f t="shared" si="127"/>
        <v>0</v>
      </c>
      <c r="X235" s="1">
        <f t="shared" si="128"/>
        <v>0</v>
      </c>
      <c r="Y235" s="1">
        <f t="shared" si="129"/>
        <v>0</v>
      </c>
      <c r="Z235" s="1">
        <f t="shared" si="130"/>
        <v>0</v>
      </c>
      <c r="AA235" s="1">
        <f t="shared" si="131"/>
        <v>0</v>
      </c>
      <c r="AB235" s="1">
        <f t="shared" si="132"/>
        <v>1</v>
      </c>
      <c r="AD235" s="1">
        <f t="shared" si="133"/>
        <v>0</v>
      </c>
      <c r="AE235" s="1">
        <f t="shared" si="134"/>
        <v>1</v>
      </c>
      <c r="AF235" s="1">
        <f t="shared" si="119"/>
        <v>0</v>
      </c>
      <c r="AG235" s="1">
        <f t="shared" si="120"/>
        <v>1</v>
      </c>
      <c r="AH235" s="1">
        <f t="shared" si="121"/>
        <v>0</v>
      </c>
      <c r="AI235" s="1">
        <f t="shared" si="122"/>
        <v>1</v>
      </c>
    </row>
    <row r="236" spans="1:16384" ht="14.25" customHeight="1" x14ac:dyDescent="0.25">
      <c r="A236" s="47">
        <v>0</v>
      </c>
      <c r="B236" s="47">
        <v>1</v>
      </c>
      <c r="C236" s="47">
        <v>6</v>
      </c>
      <c r="D236" s="48" t="s">
        <v>897</v>
      </c>
      <c r="E236" s="48" t="s">
        <v>167</v>
      </c>
      <c r="F236" s="48" t="s">
        <v>938</v>
      </c>
      <c r="G236" s="48" t="s">
        <v>939</v>
      </c>
      <c r="H236" s="48" t="s">
        <v>354</v>
      </c>
      <c r="I236" s="47" t="s">
        <v>953</v>
      </c>
      <c r="J236" s="47">
        <v>99</v>
      </c>
      <c r="K236" s="49" t="s">
        <v>702</v>
      </c>
      <c r="L236" s="49" t="s">
        <v>689</v>
      </c>
      <c r="M236" s="50" t="s">
        <v>1404</v>
      </c>
      <c r="N236" s="50" t="s">
        <v>1738</v>
      </c>
      <c r="O236" s="51"/>
      <c r="P236" s="51"/>
      <c r="Q236" s="48"/>
      <c r="S236" s="1">
        <f t="shared" si="123"/>
        <v>0</v>
      </c>
      <c r="T236" s="1">
        <f t="shared" si="124"/>
        <v>0</v>
      </c>
      <c r="U236" s="1">
        <f t="shared" si="125"/>
        <v>0</v>
      </c>
      <c r="V236" s="1">
        <f t="shared" si="126"/>
        <v>0</v>
      </c>
      <c r="W236" s="1">
        <f t="shared" si="127"/>
        <v>0</v>
      </c>
      <c r="X236" s="1">
        <f t="shared" si="128"/>
        <v>0</v>
      </c>
      <c r="Y236" s="1">
        <f t="shared" si="129"/>
        <v>0</v>
      </c>
      <c r="Z236" s="1">
        <f t="shared" si="130"/>
        <v>0</v>
      </c>
      <c r="AA236" s="1">
        <f t="shared" si="131"/>
        <v>0</v>
      </c>
      <c r="AB236" s="1">
        <f t="shared" si="132"/>
        <v>0</v>
      </c>
      <c r="AD236" s="1">
        <f t="shared" si="133"/>
        <v>0</v>
      </c>
      <c r="AE236" s="1">
        <f t="shared" si="134"/>
        <v>0</v>
      </c>
      <c r="AF236" s="1">
        <f t="shared" si="119"/>
        <v>0</v>
      </c>
      <c r="AG236" s="1">
        <f t="shared" si="120"/>
        <v>0</v>
      </c>
      <c r="AH236" s="1">
        <f t="shared" si="121"/>
        <v>0</v>
      </c>
      <c r="AI236" s="1">
        <f t="shared" si="122"/>
        <v>1</v>
      </c>
    </row>
    <row r="237" spans="1:16384" ht="14.25" customHeight="1" x14ac:dyDescent="0.25">
      <c r="A237" s="34">
        <v>0</v>
      </c>
      <c r="B237" s="34">
        <v>1</v>
      </c>
      <c r="C237" s="34">
        <v>6</v>
      </c>
      <c r="D237" s="35" t="s">
        <v>100</v>
      </c>
      <c r="E237" s="35" t="s">
        <v>167</v>
      </c>
      <c r="F237" s="35" t="s">
        <v>662</v>
      </c>
      <c r="G237" s="35" t="s">
        <v>664</v>
      </c>
      <c r="H237" s="35" t="s">
        <v>354</v>
      </c>
      <c r="I237" s="34" t="s">
        <v>447</v>
      </c>
      <c r="J237" s="34">
        <v>99</v>
      </c>
      <c r="K237" s="36" t="s">
        <v>722</v>
      </c>
      <c r="L237" s="36" t="s">
        <v>696</v>
      </c>
      <c r="M237" s="37" t="s">
        <v>707</v>
      </c>
      <c r="N237" s="37" t="s">
        <v>1749</v>
      </c>
      <c r="O237" s="38">
        <v>1</v>
      </c>
      <c r="P237" s="38"/>
      <c r="Q237" s="35"/>
      <c r="S237" s="1">
        <f t="shared" si="123"/>
        <v>0</v>
      </c>
      <c r="T237" s="1">
        <f t="shared" si="124"/>
        <v>0</v>
      </c>
      <c r="U237" s="1">
        <f t="shared" si="125"/>
        <v>0</v>
      </c>
      <c r="V237" s="1">
        <f t="shared" si="126"/>
        <v>0</v>
      </c>
      <c r="W237" s="1">
        <f t="shared" si="127"/>
        <v>0</v>
      </c>
      <c r="X237" s="1">
        <f t="shared" si="128"/>
        <v>0</v>
      </c>
      <c r="Y237" s="1">
        <f t="shared" si="129"/>
        <v>0</v>
      </c>
      <c r="Z237" s="1">
        <f t="shared" si="130"/>
        <v>0</v>
      </c>
      <c r="AA237" s="1">
        <f t="shared" si="131"/>
        <v>0</v>
      </c>
      <c r="AB237" s="1">
        <f t="shared" si="132"/>
        <v>0</v>
      </c>
      <c r="AD237" s="1">
        <f t="shared" si="133"/>
        <v>0</v>
      </c>
      <c r="AE237" s="1">
        <f t="shared" si="134"/>
        <v>1</v>
      </c>
      <c r="AF237" s="1">
        <f t="shared" si="119"/>
        <v>0</v>
      </c>
      <c r="AG237" s="1">
        <f t="shared" si="120"/>
        <v>1</v>
      </c>
      <c r="AH237" s="1">
        <f t="shared" si="121"/>
        <v>0</v>
      </c>
      <c r="AI237" s="1">
        <f t="shared" si="122"/>
        <v>1</v>
      </c>
    </row>
    <row r="238" spans="1:16384" ht="14.25" customHeight="1" x14ac:dyDescent="0.25">
      <c r="A238" s="41">
        <v>0</v>
      </c>
      <c r="B238" s="41">
        <v>1</v>
      </c>
      <c r="C238" s="41">
        <v>7</v>
      </c>
      <c r="D238" s="42" t="s">
        <v>86</v>
      </c>
      <c r="E238" s="42" t="s">
        <v>29</v>
      </c>
      <c r="F238" s="42" t="s">
        <v>663</v>
      </c>
      <c r="G238" s="42" t="s">
        <v>664</v>
      </c>
      <c r="H238" s="42" t="s">
        <v>354</v>
      </c>
      <c r="I238" s="41" t="s">
        <v>631</v>
      </c>
      <c r="J238" s="41">
        <v>99</v>
      </c>
      <c r="K238" s="43" t="s">
        <v>954</v>
      </c>
      <c r="L238" s="43" t="s">
        <v>693</v>
      </c>
      <c r="M238" s="44" t="s">
        <v>1405</v>
      </c>
      <c r="N238" s="45"/>
      <c r="O238" s="46"/>
      <c r="P238" s="46">
        <v>1</v>
      </c>
      <c r="Q238" s="42"/>
      <c r="S238" s="1">
        <f t="shared" si="123"/>
        <v>0</v>
      </c>
      <c r="T238" s="1">
        <f t="shared" si="124"/>
        <v>0</v>
      </c>
      <c r="U238" s="1">
        <f t="shared" si="125"/>
        <v>0</v>
      </c>
      <c r="V238" s="1">
        <f t="shared" si="126"/>
        <v>0</v>
      </c>
      <c r="W238" s="1">
        <f t="shared" si="127"/>
        <v>0</v>
      </c>
      <c r="X238" s="1">
        <f t="shared" si="128"/>
        <v>0</v>
      </c>
      <c r="Y238" s="1">
        <f t="shared" si="129"/>
        <v>0</v>
      </c>
      <c r="Z238" s="1">
        <f t="shared" si="130"/>
        <v>0</v>
      </c>
      <c r="AA238" s="1">
        <f t="shared" si="131"/>
        <v>0</v>
      </c>
      <c r="AB238" s="1">
        <f t="shared" si="132"/>
        <v>0</v>
      </c>
      <c r="AD238" s="1">
        <f t="shared" si="133"/>
        <v>0</v>
      </c>
      <c r="AE238" s="1">
        <f t="shared" si="134"/>
        <v>0</v>
      </c>
      <c r="AF238" s="1">
        <f t="shared" si="119"/>
        <v>0</v>
      </c>
      <c r="AG238" s="1">
        <f t="shared" si="120"/>
        <v>0</v>
      </c>
      <c r="AH238" s="1">
        <f t="shared" si="121"/>
        <v>1</v>
      </c>
      <c r="AI238" s="1">
        <f t="shared" si="122"/>
        <v>0</v>
      </c>
    </row>
    <row r="239" spans="1:16384" ht="14.25" customHeight="1" x14ac:dyDescent="0.25">
      <c r="A239" s="34">
        <v>0</v>
      </c>
      <c r="B239" s="34">
        <v>1</v>
      </c>
      <c r="C239" s="34">
        <v>7</v>
      </c>
      <c r="D239" s="35" t="s">
        <v>650</v>
      </c>
      <c r="E239" s="35" t="s">
        <v>29</v>
      </c>
      <c r="F239" s="35" t="s">
        <v>626</v>
      </c>
      <c r="G239" s="35" t="s">
        <v>232</v>
      </c>
      <c r="H239" s="35" t="s">
        <v>354</v>
      </c>
      <c r="I239" s="34" t="s">
        <v>627</v>
      </c>
      <c r="J239" s="34">
        <v>99</v>
      </c>
      <c r="K239" s="36" t="s">
        <v>713</v>
      </c>
      <c r="L239" s="36" t="s">
        <v>696</v>
      </c>
      <c r="M239" s="37" t="s">
        <v>973</v>
      </c>
      <c r="N239" s="37" t="s">
        <v>1849</v>
      </c>
      <c r="O239" s="38">
        <v>1</v>
      </c>
      <c r="P239" s="38"/>
      <c r="Q239" s="35"/>
      <c r="S239" s="1">
        <f t="shared" si="123"/>
        <v>0</v>
      </c>
      <c r="T239" s="1">
        <f t="shared" si="124"/>
        <v>0</v>
      </c>
      <c r="U239" s="1">
        <f t="shared" si="125"/>
        <v>0</v>
      </c>
      <c r="V239" s="1">
        <f t="shared" si="126"/>
        <v>0</v>
      </c>
      <c r="W239" s="1">
        <f t="shared" si="127"/>
        <v>0</v>
      </c>
      <c r="X239" s="1">
        <f t="shared" si="128"/>
        <v>0</v>
      </c>
      <c r="Y239" s="1">
        <f t="shared" si="129"/>
        <v>0</v>
      </c>
      <c r="Z239" s="1">
        <f t="shared" si="130"/>
        <v>0</v>
      </c>
      <c r="AA239" s="1">
        <f t="shared" si="131"/>
        <v>0</v>
      </c>
      <c r="AB239" s="1">
        <f t="shared" si="132"/>
        <v>0</v>
      </c>
      <c r="AD239" s="1">
        <f t="shared" si="133"/>
        <v>0</v>
      </c>
      <c r="AE239" s="1">
        <f t="shared" si="134"/>
        <v>1</v>
      </c>
      <c r="AF239" s="1">
        <f t="shared" si="119"/>
        <v>0</v>
      </c>
      <c r="AG239" s="1">
        <f t="shared" si="120"/>
        <v>1</v>
      </c>
      <c r="AH239" s="1">
        <f t="shared" si="121"/>
        <v>0</v>
      </c>
      <c r="AI239" s="1">
        <f t="shared" si="122"/>
        <v>1</v>
      </c>
    </row>
    <row r="240" spans="1:16384" ht="14.25" customHeight="1" x14ac:dyDescent="0.25">
      <c r="A240" s="15">
        <v>0</v>
      </c>
      <c r="B240" s="15">
        <v>1</v>
      </c>
      <c r="C240" s="15">
        <v>7</v>
      </c>
      <c r="D240" s="16" t="s">
        <v>983</v>
      </c>
      <c r="E240" s="16" t="s">
        <v>29</v>
      </c>
      <c r="F240" s="16" t="s">
        <v>984</v>
      </c>
      <c r="G240" s="16" t="s">
        <v>985</v>
      </c>
      <c r="H240" s="16" t="s">
        <v>354</v>
      </c>
      <c r="I240" s="15" t="s">
        <v>982</v>
      </c>
      <c r="J240" s="15">
        <v>99</v>
      </c>
      <c r="K240" s="10" t="s">
        <v>703</v>
      </c>
      <c r="L240" s="10">
        <v>20</v>
      </c>
      <c r="M240" s="19" t="s">
        <v>973</v>
      </c>
      <c r="N240" s="19"/>
      <c r="Q240" s="16"/>
      <c r="S240" s="1">
        <f t="shared" si="123"/>
        <v>0</v>
      </c>
      <c r="T240" s="1">
        <f t="shared" si="124"/>
        <v>0</v>
      </c>
      <c r="U240" s="1">
        <f t="shared" si="125"/>
        <v>0</v>
      </c>
      <c r="V240" s="1">
        <f t="shared" si="126"/>
        <v>0</v>
      </c>
      <c r="W240" s="1">
        <f t="shared" si="127"/>
        <v>0</v>
      </c>
      <c r="X240" s="1">
        <f t="shared" si="128"/>
        <v>0</v>
      </c>
      <c r="Y240" s="1">
        <f t="shared" si="129"/>
        <v>0</v>
      </c>
      <c r="Z240" s="1">
        <f t="shared" si="130"/>
        <v>0</v>
      </c>
      <c r="AA240" s="1">
        <f t="shared" si="131"/>
        <v>0</v>
      </c>
      <c r="AB240" s="1">
        <f t="shared" si="132"/>
        <v>0</v>
      </c>
      <c r="AD240" s="1">
        <f t="shared" si="133"/>
        <v>0</v>
      </c>
      <c r="AE240" s="1">
        <f t="shared" si="134"/>
        <v>0</v>
      </c>
      <c r="AF240" s="1">
        <f t="shared" si="119"/>
        <v>0</v>
      </c>
      <c r="AG240" s="1">
        <f t="shared" si="120"/>
        <v>0</v>
      </c>
      <c r="AH240" s="1">
        <f t="shared" si="121"/>
        <v>0</v>
      </c>
      <c r="AI240" s="1">
        <f t="shared" si="122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591</v>
      </c>
      <c r="E241" s="42" t="s">
        <v>29</v>
      </c>
      <c r="F241" s="42" t="s">
        <v>592</v>
      </c>
      <c r="G241" s="42" t="s">
        <v>1073</v>
      </c>
      <c r="H241" s="42" t="s">
        <v>354</v>
      </c>
      <c r="I241" s="41" t="s">
        <v>593</v>
      </c>
      <c r="J241" s="41">
        <v>99</v>
      </c>
      <c r="K241" s="43" t="s">
        <v>703</v>
      </c>
      <c r="L241" s="43">
        <v>35</v>
      </c>
      <c r="M241" s="44" t="s">
        <v>1405</v>
      </c>
      <c r="N241" s="44"/>
      <c r="O241" s="46"/>
      <c r="P241" s="46">
        <v>1</v>
      </c>
      <c r="Q241" s="42"/>
      <c r="S241" s="1">
        <f t="shared" si="123"/>
        <v>0</v>
      </c>
      <c r="T241" s="1">
        <f t="shared" si="124"/>
        <v>0</v>
      </c>
      <c r="U241" s="1">
        <f t="shared" si="125"/>
        <v>0</v>
      </c>
      <c r="V241" s="1">
        <f t="shared" si="126"/>
        <v>0</v>
      </c>
      <c r="W241" s="1">
        <f t="shared" si="127"/>
        <v>0</v>
      </c>
      <c r="X241" s="1">
        <f t="shared" si="128"/>
        <v>0</v>
      </c>
      <c r="Y241" s="1">
        <f t="shared" si="129"/>
        <v>0</v>
      </c>
      <c r="Z241" s="1">
        <f t="shared" si="130"/>
        <v>0</v>
      </c>
      <c r="AA241" s="1">
        <f t="shared" si="131"/>
        <v>0</v>
      </c>
      <c r="AB241" s="1">
        <f t="shared" si="132"/>
        <v>0</v>
      </c>
      <c r="AD241" s="1">
        <f t="shared" si="133"/>
        <v>0</v>
      </c>
      <c r="AE241" s="1">
        <f t="shared" si="134"/>
        <v>0</v>
      </c>
      <c r="AF241" s="1">
        <f t="shared" si="119"/>
        <v>0</v>
      </c>
      <c r="AG241" s="1">
        <f t="shared" si="120"/>
        <v>0</v>
      </c>
      <c r="AH241" s="1">
        <f t="shared" si="121"/>
        <v>1</v>
      </c>
      <c r="AI241" s="1">
        <f t="shared" si="122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1627</v>
      </c>
      <c r="E242" s="35" t="s">
        <v>29</v>
      </c>
      <c r="F242" s="35" t="s">
        <v>1682</v>
      </c>
      <c r="G242" s="35" t="s">
        <v>312</v>
      </c>
      <c r="H242" s="35" t="s">
        <v>354</v>
      </c>
      <c r="I242" s="34" t="s">
        <v>1628</v>
      </c>
      <c r="J242" s="34"/>
      <c r="K242" s="36" t="s">
        <v>713</v>
      </c>
      <c r="L242" s="36">
        <v>45</v>
      </c>
      <c r="M242" s="37" t="s">
        <v>1800</v>
      </c>
      <c r="N242" s="37" t="s">
        <v>1733</v>
      </c>
      <c r="O242" s="38">
        <v>1</v>
      </c>
      <c r="P242" s="38">
        <v>1</v>
      </c>
      <c r="Q242" s="35"/>
      <c r="S242" s="1">
        <f t="shared" si="123"/>
        <v>0</v>
      </c>
      <c r="T242" s="1">
        <f t="shared" si="124"/>
        <v>0</v>
      </c>
      <c r="U242" s="1">
        <f t="shared" si="125"/>
        <v>0</v>
      </c>
      <c r="V242" s="1">
        <f t="shared" si="126"/>
        <v>0</v>
      </c>
      <c r="W242" s="1">
        <f t="shared" si="127"/>
        <v>0</v>
      </c>
      <c r="X242" s="1">
        <f t="shared" si="128"/>
        <v>0</v>
      </c>
      <c r="Y242" s="1">
        <f t="shared" si="129"/>
        <v>0</v>
      </c>
      <c r="Z242" s="1">
        <f t="shared" si="130"/>
        <v>0</v>
      </c>
      <c r="AA242" s="1">
        <f t="shared" si="131"/>
        <v>0</v>
      </c>
      <c r="AB242" s="1">
        <f t="shared" si="132"/>
        <v>0</v>
      </c>
      <c r="AD242" s="1">
        <f t="shared" si="133"/>
        <v>1</v>
      </c>
      <c r="AE242" s="1">
        <f t="shared" si="134"/>
        <v>0</v>
      </c>
      <c r="AF242" s="1">
        <f t="shared" si="119"/>
        <v>1</v>
      </c>
      <c r="AG242" s="1">
        <f t="shared" si="120"/>
        <v>0</v>
      </c>
      <c r="AH242" s="1">
        <f t="shared" si="121"/>
        <v>1</v>
      </c>
      <c r="AI242" s="1">
        <f t="shared" si="122"/>
        <v>0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859</v>
      </c>
      <c r="E243" s="35" t="s">
        <v>29</v>
      </c>
      <c r="F243" s="35" t="s">
        <v>860</v>
      </c>
      <c r="G243" s="35" t="s">
        <v>202</v>
      </c>
      <c r="H243" s="35" t="s">
        <v>354</v>
      </c>
      <c r="I243" s="34" t="s">
        <v>861</v>
      </c>
      <c r="J243" s="34">
        <v>10</v>
      </c>
      <c r="K243" s="36" t="s">
        <v>713</v>
      </c>
      <c r="L243" s="36" t="s">
        <v>693</v>
      </c>
      <c r="M243" s="37" t="s">
        <v>1405</v>
      </c>
      <c r="N243" s="37" t="s">
        <v>1755</v>
      </c>
      <c r="O243" s="38">
        <v>1</v>
      </c>
      <c r="P243" s="38"/>
      <c r="Q243" s="35"/>
      <c r="S243" s="1">
        <f t="shared" si="123"/>
        <v>0</v>
      </c>
      <c r="T243" s="1">
        <f t="shared" si="124"/>
        <v>0</v>
      </c>
      <c r="U243" s="1">
        <f t="shared" si="125"/>
        <v>0</v>
      </c>
      <c r="V243" s="1">
        <f t="shared" si="126"/>
        <v>0</v>
      </c>
      <c r="W243" s="1">
        <f t="shared" si="127"/>
        <v>0</v>
      </c>
      <c r="X243" s="1">
        <f t="shared" si="128"/>
        <v>0</v>
      </c>
      <c r="Y243" s="1">
        <f t="shared" si="129"/>
        <v>0</v>
      </c>
      <c r="Z243" s="1">
        <f t="shared" si="130"/>
        <v>0</v>
      </c>
      <c r="AA243" s="1">
        <f t="shared" si="131"/>
        <v>0</v>
      </c>
      <c r="AB243" s="1">
        <f t="shared" si="132"/>
        <v>1</v>
      </c>
      <c r="AD243" s="1">
        <f t="shared" si="133"/>
        <v>0</v>
      </c>
      <c r="AE243" s="1">
        <f t="shared" si="134"/>
        <v>1</v>
      </c>
      <c r="AF243" s="1">
        <f t="shared" si="119"/>
        <v>0</v>
      </c>
      <c r="AG243" s="1">
        <f t="shared" si="120"/>
        <v>1</v>
      </c>
      <c r="AH243" s="1">
        <f t="shared" si="121"/>
        <v>0</v>
      </c>
      <c r="AI243" s="1">
        <f t="shared" si="122"/>
        <v>1</v>
      </c>
    </row>
    <row r="244" spans="1:35" ht="14.25" customHeight="1" x14ac:dyDescent="0.25">
      <c r="A244" s="34">
        <v>0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280</v>
      </c>
      <c r="G244" s="35" t="s">
        <v>230</v>
      </c>
      <c r="H244" s="35" t="s">
        <v>354</v>
      </c>
      <c r="I244" s="34" t="s">
        <v>435</v>
      </c>
      <c r="J244" s="34">
        <v>7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23"/>
        <v>0</v>
      </c>
      <c r="T244" s="1">
        <f t="shared" si="124"/>
        <v>0</v>
      </c>
      <c r="U244" s="1">
        <f t="shared" si="125"/>
        <v>0</v>
      </c>
      <c r="V244" s="1">
        <f t="shared" si="126"/>
        <v>0</v>
      </c>
      <c r="W244" s="1">
        <f t="shared" si="127"/>
        <v>0</v>
      </c>
      <c r="X244" s="1">
        <f t="shared" si="128"/>
        <v>0</v>
      </c>
      <c r="Y244" s="1">
        <f t="shared" si="129"/>
        <v>1</v>
      </c>
      <c r="Z244" s="1">
        <f t="shared" si="130"/>
        <v>0</v>
      </c>
      <c r="AA244" s="1">
        <f t="shared" si="131"/>
        <v>0</v>
      </c>
      <c r="AB244" s="1">
        <f t="shared" si="132"/>
        <v>0</v>
      </c>
      <c r="AD244" s="1">
        <f t="shared" si="133"/>
        <v>1</v>
      </c>
      <c r="AE244" s="1">
        <f t="shared" si="134"/>
        <v>0</v>
      </c>
      <c r="AF244" s="1">
        <f t="shared" si="119"/>
        <v>1</v>
      </c>
      <c r="AG244" s="1">
        <f t="shared" si="120"/>
        <v>0</v>
      </c>
      <c r="AH244" s="1">
        <f t="shared" si="121"/>
        <v>1</v>
      </c>
      <c r="AI244" s="1">
        <f t="shared" si="122"/>
        <v>0</v>
      </c>
    </row>
    <row r="245" spans="1:35" ht="14.25" customHeight="1" x14ac:dyDescent="0.25">
      <c r="A245" s="34">
        <v>1</v>
      </c>
      <c r="B245" s="34">
        <v>1</v>
      </c>
      <c r="C245" s="34">
        <v>7</v>
      </c>
      <c r="D245" s="35" t="s">
        <v>40</v>
      </c>
      <c r="E245" s="35" t="s">
        <v>29</v>
      </c>
      <c r="F245" s="35" t="s">
        <v>1601</v>
      </c>
      <c r="G245" s="35" t="s">
        <v>39</v>
      </c>
      <c r="H245" s="35" t="s">
        <v>354</v>
      </c>
      <c r="I245" s="34" t="s">
        <v>1602</v>
      </c>
      <c r="J245" s="34">
        <v>99</v>
      </c>
      <c r="K245" s="36" t="s">
        <v>713</v>
      </c>
      <c r="L245" s="36" t="s">
        <v>696</v>
      </c>
      <c r="M245" s="37" t="s">
        <v>973</v>
      </c>
      <c r="N245" s="37" t="s">
        <v>1727</v>
      </c>
      <c r="O245" s="38">
        <v>1</v>
      </c>
      <c r="P245" s="38">
        <v>1</v>
      </c>
      <c r="Q245" s="35"/>
      <c r="S245" s="1">
        <f t="shared" si="123"/>
        <v>0</v>
      </c>
      <c r="T245" s="1">
        <f t="shared" si="124"/>
        <v>0</v>
      </c>
      <c r="U245" s="1">
        <f t="shared" si="125"/>
        <v>0</v>
      </c>
      <c r="V245" s="1">
        <f t="shared" si="126"/>
        <v>0</v>
      </c>
      <c r="W245" s="1">
        <f t="shared" si="127"/>
        <v>0</v>
      </c>
      <c r="X245" s="1">
        <f t="shared" si="128"/>
        <v>0</v>
      </c>
      <c r="Y245" s="1">
        <f t="shared" si="129"/>
        <v>0</v>
      </c>
      <c r="Z245" s="1">
        <f t="shared" si="130"/>
        <v>0</v>
      </c>
      <c r="AA245" s="1">
        <f t="shared" si="131"/>
        <v>0</v>
      </c>
      <c r="AB245" s="1">
        <f t="shared" si="132"/>
        <v>0</v>
      </c>
      <c r="AD245" s="1">
        <f t="shared" si="133"/>
        <v>1</v>
      </c>
      <c r="AE245" s="1">
        <f t="shared" si="134"/>
        <v>0</v>
      </c>
      <c r="AF245" s="1">
        <f t="shared" si="119"/>
        <v>0</v>
      </c>
      <c r="AG245" s="1">
        <f t="shared" si="120"/>
        <v>0</v>
      </c>
      <c r="AH245" s="1">
        <f t="shared" si="121"/>
        <v>0</v>
      </c>
      <c r="AI245" s="1">
        <f t="shared" si="122"/>
        <v>0</v>
      </c>
    </row>
    <row r="246" spans="1:35" ht="14.25" customHeight="1" x14ac:dyDescent="0.25">
      <c r="A246" s="52">
        <v>0</v>
      </c>
      <c r="B246" s="52">
        <v>1</v>
      </c>
      <c r="C246" s="52">
        <v>7</v>
      </c>
      <c r="D246" s="58" t="s">
        <v>1484</v>
      </c>
      <c r="E246" s="53" t="s">
        <v>29</v>
      </c>
      <c r="F246" s="58" t="s">
        <v>1004</v>
      </c>
      <c r="G246" s="58" t="s">
        <v>1102</v>
      </c>
      <c r="H246" s="58" t="s">
        <v>354</v>
      </c>
      <c r="I246" s="66" t="s">
        <v>1110</v>
      </c>
      <c r="J246" s="52">
        <v>10</v>
      </c>
      <c r="K246" s="54" t="s">
        <v>713</v>
      </c>
      <c r="L246" s="54" t="s">
        <v>694</v>
      </c>
      <c r="M246" s="55" t="s">
        <v>973</v>
      </c>
      <c r="N246" s="55" t="s">
        <v>1743</v>
      </c>
      <c r="O246" s="56">
        <v>1</v>
      </c>
      <c r="P246" s="56"/>
      <c r="Q246" s="58"/>
      <c r="S246" s="1">
        <f t="shared" si="123"/>
        <v>0</v>
      </c>
      <c r="T246" s="1">
        <f t="shared" si="124"/>
        <v>0</v>
      </c>
      <c r="U246" s="1">
        <f t="shared" si="125"/>
        <v>0</v>
      </c>
      <c r="V246" s="1">
        <f t="shared" si="126"/>
        <v>0</v>
      </c>
      <c r="W246" s="1">
        <f t="shared" si="127"/>
        <v>0</v>
      </c>
      <c r="X246" s="1">
        <f t="shared" si="128"/>
        <v>0</v>
      </c>
      <c r="Y246" s="1">
        <f t="shared" si="129"/>
        <v>0</v>
      </c>
      <c r="Z246" s="1">
        <f t="shared" si="130"/>
        <v>0</v>
      </c>
      <c r="AA246" s="1">
        <f t="shared" si="131"/>
        <v>0</v>
      </c>
      <c r="AB246" s="1">
        <f t="shared" si="132"/>
        <v>1</v>
      </c>
      <c r="AD246" s="1">
        <f t="shared" si="133"/>
        <v>0</v>
      </c>
      <c r="AE246" s="1">
        <f t="shared" si="134"/>
        <v>1</v>
      </c>
      <c r="AF246" s="1">
        <f t="shared" si="119"/>
        <v>0</v>
      </c>
      <c r="AG246" s="1">
        <f t="shared" si="120"/>
        <v>1</v>
      </c>
      <c r="AH246" s="1">
        <f t="shared" si="121"/>
        <v>0</v>
      </c>
      <c r="AI246" s="1">
        <f t="shared" si="122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1485</v>
      </c>
      <c r="E247" s="35" t="s">
        <v>29</v>
      </c>
      <c r="F247" s="39" t="s">
        <v>1002</v>
      </c>
      <c r="G247" s="39" t="s">
        <v>240</v>
      </c>
      <c r="H247" s="39" t="s">
        <v>354</v>
      </c>
      <c r="I247" s="40" t="s">
        <v>1003</v>
      </c>
      <c r="J247" s="34">
        <v>1</v>
      </c>
      <c r="K247" s="36" t="s">
        <v>961</v>
      </c>
      <c r="L247" s="36" t="s">
        <v>694</v>
      </c>
      <c r="M247" s="37" t="s">
        <v>973</v>
      </c>
      <c r="N247" s="37" t="s">
        <v>1801</v>
      </c>
      <c r="O247" s="38">
        <v>1</v>
      </c>
      <c r="P247" s="38"/>
      <c r="Q247" s="39"/>
      <c r="S247" s="1">
        <f t="shared" si="123"/>
        <v>1</v>
      </c>
      <c r="T247" s="1">
        <f t="shared" si="124"/>
        <v>0</v>
      </c>
      <c r="U247" s="1">
        <f t="shared" si="125"/>
        <v>0</v>
      </c>
      <c r="V247" s="1">
        <f t="shared" si="126"/>
        <v>0</v>
      </c>
      <c r="W247" s="1">
        <f t="shared" si="127"/>
        <v>0</v>
      </c>
      <c r="X247" s="1">
        <f t="shared" si="128"/>
        <v>0</v>
      </c>
      <c r="Y247" s="1">
        <f t="shared" si="129"/>
        <v>0</v>
      </c>
      <c r="Z247" s="1">
        <f t="shared" si="130"/>
        <v>0</v>
      </c>
      <c r="AA247" s="1">
        <f t="shared" si="131"/>
        <v>0</v>
      </c>
      <c r="AB247" s="1">
        <f t="shared" si="132"/>
        <v>0</v>
      </c>
      <c r="AD247" s="1">
        <f t="shared" si="133"/>
        <v>0</v>
      </c>
      <c r="AE247" s="1">
        <f t="shared" si="134"/>
        <v>1</v>
      </c>
      <c r="AF247" s="1">
        <f t="shared" si="119"/>
        <v>0</v>
      </c>
      <c r="AG247" s="1">
        <f t="shared" si="120"/>
        <v>1</v>
      </c>
      <c r="AH247" s="1">
        <f t="shared" si="121"/>
        <v>0</v>
      </c>
      <c r="AI247" s="1">
        <f t="shared" si="122"/>
        <v>1</v>
      </c>
    </row>
    <row r="248" spans="1:35" ht="14.25" customHeight="1" x14ac:dyDescent="0.25">
      <c r="A248" s="47">
        <v>0</v>
      </c>
      <c r="B248" s="47">
        <v>1</v>
      </c>
      <c r="C248" s="47">
        <v>7</v>
      </c>
      <c r="D248" s="48" t="s">
        <v>898</v>
      </c>
      <c r="E248" s="48" t="s">
        <v>29</v>
      </c>
      <c r="F248" s="48" t="s">
        <v>899</v>
      </c>
      <c r="G248" s="48" t="s">
        <v>39</v>
      </c>
      <c r="H248" s="48" t="s">
        <v>355</v>
      </c>
      <c r="I248" s="47" t="s">
        <v>900</v>
      </c>
      <c r="J248" s="47">
        <v>11</v>
      </c>
      <c r="K248" s="49" t="s">
        <v>703</v>
      </c>
      <c r="L248" s="49">
        <v>35</v>
      </c>
      <c r="M248" s="50" t="s">
        <v>1405</v>
      </c>
      <c r="N248" s="50" t="s">
        <v>1747</v>
      </c>
      <c r="O248" s="51"/>
      <c r="P248" s="51"/>
      <c r="Q248" s="68" t="s">
        <v>1903</v>
      </c>
      <c r="S248" s="1">
        <f t="shared" si="123"/>
        <v>0</v>
      </c>
      <c r="T248" s="1">
        <f t="shared" si="124"/>
        <v>0</v>
      </c>
      <c r="U248" s="1">
        <f t="shared" si="125"/>
        <v>0</v>
      </c>
      <c r="V248" s="1">
        <f t="shared" si="126"/>
        <v>0</v>
      </c>
      <c r="W248" s="1">
        <f t="shared" si="127"/>
        <v>0</v>
      </c>
      <c r="X248" s="1">
        <f t="shared" si="128"/>
        <v>0</v>
      </c>
      <c r="Y248" s="1">
        <f t="shared" si="129"/>
        <v>0</v>
      </c>
      <c r="Z248" s="1">
        <f t="shared" si="130"/>
        <v>0</v>
      </c>
      <c r="AA248" s="1">
        <f t="shared" si="131"/>
        <v>0</v>
      </c>
      <c r="AB248" s="1">
        <f t="shared" si="132"/>
        <v>0</v>
      </c>
      <c r="AD248" s="1">
        <f t="shared" si="133"/>
        <v>0</v>
      </c>
      <c r="AE248" s="1">
        <f t="shared" si="134"/>
        <v>0</v>
      </c>
      <c r="AF248" s="1">
        <f t="shared" si="119"/>
        <v>0</v>
      </c>
      <c r="AG248" s="1">
        <f t="shared" si="120"/>
        <v>0</v>
      </c>
      <c r="AH248" s="1">
        <f t="shared" si="121"/>
        <v>0</v>
      </c>
      <c r="AI248" s="1">
        <f t="shared" si="122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1084</v>
      </c>
      <c r="E249" s="35" t="s">
        <v>29</v>
      </c>
      <c r="F249" s="39" t="s">
        <v>986</v>
      </c>
      <c r="G249" s="39" t="s">
        <v>203</v>
      </c>
      <c r="H249" s="39" t="s">
        <v>354</v>
      </c>
      <c r="I249" s="40" t="s">
        <v>987</v>
      </c>
      <c r="J249" s="34">
        <v>99</v>
      </c>
      <c r="K249" s="36" t="s">
        <v>713</v>
      </c>
      <c r="L249" s="36" t="s">
        <v>694</v>
      </c>
      <c r="M249" s="37" t="s">
        <v>1442</v>
      </c>
      <c r="N249" s="37" t="s">
        <v>1727</v>
      </c>
      <c r="O249" s="38">
        <v>1</v>
      </c>
      <c r="P249" s="38">
        <v>1</v>
      </c>
      <c r="Q249" s="39"/>
      <c r="S249" s="1">
        <f t="shared" si="123"/>
        <v>0</v>
      </c>
      <c r="T249" s="1">
        <f t="shared" si="124"/>
        <v>0</v>
      </c>
      <c r="U249" s="1">
        <f t="shared" si="125"/>
        <v>0</v>
      </c>
      <c r="V249" s="1">
        <f t="shared" si="126"/>
        <v>0</v>
      </c>
      <c r="W249" s="1">
        <f t="shared" si="127"/>
        <v>0</v>
      </c>
      <c r="X249" s="1">
        <f t="shared" si="128"/>
        <v>0</v>
      </c>
      <c r="Y249" s="1">
        <f t="shared" si="129"/>
        <v>0</v>
      </c>
      <c r="Z249" s="1">
        <f t="shared" si="130"/>
        <v>0</v>
      </c>
      <c r="AA249" s="1">
        <f t="shared" si="131"/>
        <v>0</v>
      </c>
      <c r="AB249" s="1">
        <f t="shared" si="132"/>
        <v>0</v>
      </c>
      <c r="AD249" s="1">
        <f t="shared" si="133"/>
        <v>1</v>
      </c>
      <c r="AE249" s="1">
        <f t="shared" si="134"/>
        <v>0</v>
      </c>
      <c r="AF249" s="1">
        <f t="shared" si="119"/>
        <v>1</v>
      </c>
      <c r="AG249" s="1">
        <f t="shared" si="120"/>
        <v>0</v>
      </c>
      <c r="AH249" s="1">
        <f t="shared" si="121"/>
        <v>1</v>
      </c>
      <c r="AI249" s="1">
        <f t="shared" si="122"/>
        <v>0</v>
      </c>
    </row>
    <row r="250" spans="1:35" ht="14.25" customHeight="1" x14ac:dyDescent="0.25">
      <c r="A250" s="15">
        <v>0</v>
      </c>
      <c r="B250" s="15">
        <v>1</v>
      </c>
      <c r="C250" s="15">
        <v>7</v>
      </c>
      <c r="D250" s="16" t="s">
        <v>751</v>
      </c>
      <c r="E250" s="16" t="s">
        <v>29</v>
      </c>
      <c r="F250" s="16" t="s">
        <v>752</v>
      </c>
      <c r="G250" s="16" t="s">
        <v>753</v>
      </c>
      <c r="H250" s="16" t="s">
        <v>354</v>
      </c>
      <c r="I250" s="15" t="s">
        <v>754</v>
      </c>
      <c r="J250" s="15">
        <v>99</v>
      </c>
      <c r="K250" s="10" t="s">
        <v>703</v>
      </c>
      <c r="L250" s="10">
        <v>20</v>
      </c>
      <c r="M250" s="19" t="s">
        <v>1120</v>
      </c>
      <c r="N250" s="17"/>
      <c r="Q250" s="16"/>
      <c r="S250" s="1">
        <f t="shared" si="123"/>
        <v>0</v>
      </c>
      <c r="T250" s="1">
        <f t="shared" si="124"/>
        <v>0</v>
      </c>
      <c r="U250" s="1">
        <f t="shared" si="125"/>
        <v>0</v>
      </c>
      <c r="V250" s="1">
        <f t="shared" si="126"/>
        <v>0</v>
      </c>
      <c r="W250" s="1">
        <f t="shared" si="127"/>
        <v>0</v>
      </c>
      <c r="X250" s="1">
        <f t="shared" si="128"/>
        <v>0</v>
      </c>
      <c r="Y250" s="1">
        <f t="shared" si="129"/>
        <v>0</v>
      </c>
      <c r="Z250" s="1">
        <f t="shared" si="130"/>
        <v>0</v>
      </c>
      <c r="AA250" s="1">
        <f t="shared" si="131"/>
        <v>0</v>
      </c>
      <c r="AB250" s="1">
        <f t="shared" si="132"/>
        <v>0</v>
      </c>
      <c r="AD250" s="1">
        <f t="shared" si="133"/>
        <v>0</v>
      </c>
      <c r="AE250" s="1">
        <f t="shared" si="134"/>
        <v>0</v>
      </c>
      <c r="AF250" s="1">
        <f t="shared" si="119"/>
        <v>0</v>
      </c>
      <c r="AG250" s="1">
        <f t="shared" si="120"/>
        <v>0</v>
      </c>
      <c r="AH250" s="1">
        <f t="shared" si="121"/>
        <v>0</v>
      </c>
      <c r="AI250" s="1">
        <f t="shared" si="122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828</v>
      </c>
      <c r="E251" s="35" t="s">
        <v>29</v>
      </c>
      <c r="F251" s="39" t="s">
        <v>829</v>
      </c>
      <c r="G251" s="39" t="s">
        <v>928</v>
      </c>
      <c r="H251" s="39" t="s">
        <v>354</v>
      </c>
      <c r="I251" s="40" t="s">
        <v>830</v>
      </c>
      <c r="J251" s="34">
        <v>99</v>
      </c>
      <c r="K251" s="36" t="s">
        <v>955</v>
      </c>
      <c r="L251" s="36" t="s">
        <v>694</v>
      </c>
      <c r="M251" s="37" t="s">
        <v>973</v>
      </c>
      <c r="N251" s="37" t="s">
        <v>1825</v>
      </c>
      <c r="O251" s="38">
        <v>1</v>
      </c>
      <c r="P251" s="38"/>
      <c r="Q251" s="39"/>
      <c r="S251" s="1">
        <f t="shared" si="123"/>
        <v>0</v>
      </c>
      <c r="T251" s="1">
        <f t="shared" si="124"/>
        <v>0</v>
      </c>
      <c r="U251" s="1">
        <f t="shared" si="125"/>
        <v>0</v>
      </c>
      <c r="V251" s="1">
        <f t="shared" si="126"/>
        <v>0</v>
      </c>
      <c r="W251" s="1">
        <f t="shared" si="127"/>
        <v>0</v>
      </c>
      <c r="X251" s="1">
        <f t="shared" si="128"/>
        <v>0</v>
      </c>
      <c r="Y251" s="1">
        <f t="shared" si="129"/>
        <v>0</v>
      </c>
      <c r="Z251" s="1">
        <f t="shared" si="130"/>
        <v>0</v>
      </c>
      <c r="AA251" s="1">
        <f t="shared" si="131"/>
        <v>0</v>
      </c>
      <c r="AB251" s="1">
        <f t="shared" si="132"/>
        <v>0</v>
      </c>
      <c r="AD251" s="1">
        <f t="shared" si="133"/>
        <v>0</v>
      </c>
      <c r="AE251" s="1">
        <f t="shared" si="134"/>
        <v>1</v>
      </c>
      <c r="AF251" s="1">
        <f t="shared" si="119"/>
        <v>0</v>
      </c>
      <c r="AG251" s="1">
        <f t="shared" si="120"/>
        <v>1</v>
      </c>
      <c r="AH251" s="1">
        <f t="shared" si="121"/>
        <v>0</v>
      </c>
      <c r="AI251" s="1">
        <f t="shared" si="122"/>
        <v>1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9" t="s">
        <v>1720</v>
      </c>
      <c r="E252" s="35" t="s">
        <v>29</v>
      </c>
      <c r="F252" s="39" t="s">
        <v>1721</v>
      </c>
      <c r="G252" s="39" t="s">
        <v>249</v>
      </c>
      <c r="H252" s="39" t="s">
        <v>354</v>
      </c>
      <c r="I252" s="40" t="s">
        <v>1722</v>
      </c>
      <c r="J252" s="34"/>
      <c r="K252" s="36" t="s">
        <v>703</v>
      </c>
      <c r="L252" s="36"/>
      <c r="M252" s="37"/>
      <c r="N252" s="37" t="s">
        <v>1727</v>
      </c>
      <c r="O252" s="38">
        <v>1</v>
      </c>
      <c r="P252" s="38">
        <v>1</v>
      </c>
      <c r="Q252" s="39"/>
      <c r="S252" s="1">
        <f t="shared" si="123"/>
        <v>0</v>
      </c>
      <c r="T252" s="1">
        <f t="shared" si="124"/>
        <v>0</v>
      </c>
      <c r="U252" s="1">
        <f t="shared" si="125"/>
        <v>0</v>
      </c>
      <c r="V252" s="1">
        <f t="shared" si="126"/>
        <v>0</v>
      </c>
      <c r="W252" s="1">
        <f t="shared" si="127"/>
        <v>0</v>
      </c>
      <c r="X252" s="1">
        <f t="shared" si="128"/>
        <v>0</v>
      </c>
      <c r="Y252" s="1">
        <f t="shared" si="129"/>
        <v>0</v>
      </c>
      <c r="Z252" s="1">
        <f t="shared" si="130"/>
        <v>0</v>
      </c>
      <c r="AA252" s="1">
        <f t="shared" si="131"/>
        <v>0</v>
      </c>
      <c r="AB252" s="1">
        <f t="shared" si="132"/>
        <v>0</v>
      </c>
      <c r="AD252" s="1">
        <f t="shared" si="133"/>
        <v>1</v>
      </c>
      <c r="AE252" s="1">
        <f t="shared" si="134"/>
        <v>0</v>
      </c>
      <c r="AF252" s="1">
        <f t="shared" si="119"/>
        <v>1</v>
      </c>
      <c r="AG252" s="1">
        <f t="shared" si="120"/>
        <v>0</v>
      </c>
      <c r="AH252" s="1">
        <f t="shared" si="121"/>
        <v>1</v>
      </c>
      <c r="AI252" s="1">
        <f t="shared" si="122"/>
        <v>0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901</v>
      </c>
      <c r="E253" s="35" t="s">
        <v>29</v>
      </c>
      <c r="F253" s="35" t="s">
        <v>902</v>
      </c>
      <c r="G253" s="35" t="s">
        <v>228</v>
      </c>
      <c r="H253" s="35" t="s">
        <v>354</v>
      </c>
      <c r="I253" s="34" t="s">
        <v>903</v>
      </c>
      <c r="J253" s="34">
        <v>99</v>
      </c>
      <c r="K253" s="36" t="s">
        <v>713</v>
      </c>
      <c r="L253" s="36" t="s">
        <v>694</v>
      </c>
      <c r="M253" s="37" t="s">
        <v>1406</v>
      </c>
      <c r="N253" s="37" t="s">
        <v>1748</v>
      </c>
      <c r="O253" s="38">
        <v>1</v>
      </c>
      <c r="P253" s="38"/>
      <c r="Q253" s="35"/>
      <c r="S253" s="1">
        <f t="shared" si="123"/>
        <v>0</v>
      </c>
      <c r="T253" s="1">
        <f t="shared" si="124"/>
        <v>0</v>
      </c>
      <c r="U253" s="1">
        <f t="shared" si="125"/>
        <v>0</v>
      </c>
      <c r="V253" s="1">
        <f t="shared" si="126"/>
        <v>0</v>
      </c>
      <c r="W253" s="1">
        <f t="shared" si="127"/>
        <v>0</v>
      </c>
      <c r="X253" s="1">
        <f t="shared" si="128"/>
        <v>0</v>
      </c>
      <c r="Y253" s="1">
        <f t="shared" si="129"/>
        <v>0</v>
      </c>
      <c r="Z253" s="1">
        <f t="shared" si="130"/>
        <v>0</v>
      </c>
      <c r="AA253" s="1">
        <f t="shared" si="131"/>
        <v>0</v>
      </c>
      <c r="AB253" s="1">
        <f t="shared" si="132"/>
        <v>0</v>
      </c>
      <c r="AD253" s="1">
        <f t="shared" si="133"/>
        <v>0</v>
      </c>
      <c r="AE253" s="1">
        <f t="shared" si="134"/>
        <v>1</v>
      </c>
      <c r="AF253" s="1">
        <f t="shared" si="119"/>
        <v>0</v>
      </c>
      <c r="AG253" s="1">
        <f t="shared" si="120"/>
        <v>1</v>
      </c>
      <c r="AH253" s="1">
        <f t="shared" si="121"/>
        <v>0</v>
      </c>
      <c r="AI253" s="1">
        <f t="shared" si="122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5" t="s">
        <v>88</v>
      </c>
      <c r="E254" s="35" t="s">
        <v>29</v>
      </c>
      <c r="F254" s="35" t="s">
        <v>281</v>
      </c>
      <c r="G254" s="35" t="s">
        <v>238</v>
      </c>
      <c r="H254" s="35" t="s">
        <v>354</v>
      </c>
      <c r="I254" s="34" t="s">
        <v>437</v>
      </c>
      <c r="J254" s="34">
        <v>4</v>
      </c>
      <c r="K254" s="36" t="s">
        <v>954</v>
      </c>
      <c r="L254" s="36" t="s">
        <v>39</v>
      </c>
      <c r="M254" s="37" t="s">
        <v>39</v>
      </c>
      <c r="N254" s="37" t="s">
        <v>1727</v>
      </c>
      <c r="O254" s="38">
        <v>1</v>
      </c>
      <c r="P254" s="38">
        <v>1</v>
      </c>
      <c r="Q254" s="35"/>
      <c r="S254" s="1">
        <f t="shared" si="123"/>
        <v>0</v>
      </c>
      <c r="T254" s="1">
        <f t="shared" si="124"/>
        <v>0</v>
      </c>
      <c r="U254" s="1">
        <f t="shared" si="125"/>
        <v>0</v>
      </c>
      <c r="V254" s="1">
        <f t="shared" si="126"/>
        <v>1</v>
      </c>
      <c r="W254" s="1">
        <f t="shared" si="127"/>
        <v>0</v>
      </c>
      <c r="X254" s="1">
        <f t="shared" si="128"/>
        <v>0</v>
      </c>
      <c r="Y254" s="1">
        <f t="shared" si="129"/>
        <v>0</v>
      </c>
      <c r="Z254" s="1">
        <f t="shared" si="130"/>
        <v>0</v>
      </c>
      <c r="AA254" s="1">
        <f t="shared" si="131"/>
        <v>0</v>
      </c>
      <c r="AB254" s="1">
        <f t="shared" si="132"/>
        <v>0</v>
      </c>
      <c r="AD254" s="1">
        <f t="shared" si="133"/>
        <v>1</v>
      </c>
      <c r="AE254" s="1">
        <f t="shared" si="134"/>
        <v>0</v>
      </c>
      <c r="AF254" s="1">
        <f t="shared" si="119"/>
        <v>1</v>
      </c>
      <c r="AG254" s="1">
        <f t="shared" si="120"/>
        <v>0</v>
      </c>
      <c r="AH254" s="1">
        <f t="shared" si="121"/>
        <v>1</v>
      </c>
      <c r="AI254" s="1">
        <f t="shared" si="122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89</v>
      </c>
      <c r="E255" s="48" t="s">
        <v>29</v>
      </c>
      <c r="F255" s="48" t="s">
        <v>282</v>
      </c>
      <c r="G255" s="48" t="s">
        <v>283</v>
      </c>
      <c r="H255" s="48" t="s">
        <v>354</v>
      </c>
      <c r="I255" s="47" t="s">
        <v>943</v>
      </c>
      <c r="J255" s="47">
        <v>99</v>
      </c>
      <c r="K255" s="49" t="s">
        <v>955</v>
      </c>
      <c r="L255" s="49" t="s">
        <v>694</v>
      </c>
      <c r="M255" s="50" t="s">
        <v>973</v>
      </c>
      <c r="N255" s="50" t="s">
        <v>1809</v>
      </c>
      <c r="O255" s="51"/>
      <c r="P255" s="51"/>
      <c r="Q255" s="48"/>
      <c r="S255" s="1">
        <f t="shared" si="123"/>
        <v>0</v>
      </c>
      <c r="T255" s="1">
        <f t="shared" si="124"/>
        <v>0</v>
      </c>
      <c r="U255" s="1">
        <f t="shared" si="125"/>
        <v>0</v>
      </c>
      <c r="V255" s="1">
        <f t="shared" si="126"/>
        <v>0</v>
      </c>
      <c r="W255" s="1">
        <f t="shared" si="127"/>
        <v>0</v>
      </c>
      <c r="X255" s="1">
        <f t="shared" si="128"/>
        <v>0</v>
      </c>
      <c r="Y255" s="1">
        <f t="shared" si="129"/>
        <v>0</v>
      </c>
      <c r="Z255" s="1">
        <f t="shared" si="130"/>
        <v>0</v>
      </c>
      <c r="AA255" s="1">
        <f t="shared" si="131"/>
        <v>0</v>
      </c>
      <c r="AB255" s="1">
        <f t="shared" si="132"/>
        <v>0</v>
      </c>
      <c r="AD255" s="1">
        <f t="shared" si="133"/>
        <v>0</v>
      </c>
      <c r="AE255" s="1">
        <f t="shared" si="134"/>
        <v>0</v>
      </c>
      <c r="AF255" s="1">
        <f t="shared" si="119"/>
        <v>0</v>
      </c>
      <c r="AG255" s="1">
        <f t="shared" si="120"/>
        <v>0</v>
      </c>
      <c r="AH255" s="1">
        <f t="shared" si="121"/>
        <v>0</v>
      </c>
      <c r="AI255" s="1">
        <f t="shared" si="122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1636</v>
      </c>
      <c r="E256" s="35" t="s">
        <v>29</v>
      </c>
      <c r="F256" s="39" t="s">
        <v>1535</v>
      </c>
      <c r="G256" s="39" t="s">
        <v>39</v>
      </c>
      <c r="H256" s="39" t="s">
        <v>886</v>
      </c>
      <c r="I256" s="40" t="s">
        <v>1536</v>
      </c>
      <c r="J256" s="34">
        <v>17</v>
      </c>
      <c r="K256" s="36" t="s">
        <v>713</v>
      </c>
      <c r="L256" s="36" t="s">
        <v>697</v>
      </c>
      <c r="M256" s="37" t="s">
        <v>1457</v>
      </c>
      <c r="N256" s="37" t="s">
        <v>1727</v>
      </c>
      <c r="O256" s="38">
        <v>1</v>
      </c>
      <c r="P256" s="38">
        <v>1</v>
      </c>
      <c r="Q256" s="39"/>
      <c r="S256" s="1">
        <f t="shared" si="123"/>
        <v>0</v>
      </c>
      <c r="T256" s="1">
        <f t="shared" si="124"/>
        <v>0</v>
      </c>
      <c r="U256" s="1">
        <f t="shared" si="125"/>
        <v>0</v>
      </c>
      <c r="V256" s="1">
        <f t="shared" si="126"/>
        <v>0</v>
      </c>
      <c r="W256" s="1">
        <f t="shared" si="127"/>
        <v>0</v>
      </c>
      <c r="X256" s="1">
        <f t="shared" si="128"/>
        <v>0</v>
      </c>
      <c r="Y256" s="1">
        <f t="shared" si="129"/>
        <v>0</v>
      </c>
      <c r="Z256" s="1">
        <f t="shared" si="130"/>
        <v>0</v>
      </c>
      <c r="AA256" s="1">
        <f t="shared" si="131"/>
        <v>0</v>
      </c>
      <c r="AB256" s="1">
        <f t="shared" si="132"/>
        <v>0</v>
      </c>
      <c r="AD256" s="1">
        <f t="shared" si="133"/>
        <v>1</v>
      </c>
      <c r="AE256" s="1">
        <f t="shared" si="134"/>
        <v>0</v>
      </c>
      <c r="AF256" s="1">
        <f t="shared" si="119"/>
        <v>1</v>
      </c>
      <c r="AG256" s="1">
        <f t="shared" si="120"/>
        <v>0</v>
      </c>
      <c r="AH256" s="1">
        <f t="shared" si="121"/>
        <v>1</v>
      </c>
      <c r="AI256" s="1">
        <f t="shared" si="122"/>
        <v>0</v>
      </c>
    </row>
    <row r="257" spans="1:35" ht="14.25" customHeight="1" x14ac:dyDescent="0.25">
      <c r="A257" s="47">
        <v>0</v>
      </c>
      <c r="B257" s="47">
        <v>1</v>
      </c>
      <c r="C257" s="47">
        <v>7</v>
      </c>
      <c r="D257" s="48" t="s">
        <v>1454</v>
      </c>
      <c r="E257" s="48" t="s">
        <v>29</v>
      </c>
      <c r="F257" s="48" t="s">
        <v>1455</v>
      </c>
      <c r="G257" s="48" t="s">
        <v>321</v>
      </c>
      <c r="H257" s="48" t="s">
        <v>354</v>
      </c>
      <c r="I257" s="47" t="s">
        <v>1456</v>
      </c>
      <c r="J257" s="47">
        <v>99</v>
      </c>
      <c r="K257" s="49" t="s">
        <v>703</v>
      </c>
      <c r="L257" s="49">
        <v>30</v>
      </c>
      <c r="M257" s="50" t="s">
        <v>1457</v>
      </c>
      <c r="N257" s="50" t="s">
        <v>1802</v>
      </c>
      <c r="O257" s="51"/>
      <c r="P257" s="51"/>
      <c r="Q257" s="48"/>
      <c r="S257" s="1">
        <f t="shared" si="123"/>
        <v>0</v>
      </c>
      <c r="T257" s="1">
        <f t="shared" si="124"/>
        <v>0</v>
      </c>
      <c r="U257" s="1">
        <f t="shared" si="125"/>
        <v>0</v>
      </c>
      <c r="V257" s="1">
        <f t="shared" si="126"/>
        <v>0</v>
      </c>
      <c r="W257" s="1">
        <f t="shared" si="127"/>
        <v>0</v>
      </c>
      <c r="X257" s="1">
        <f t="shared" si="128"/>
        <v>0</v>
      </c>
      <c r="Y257" s="1">
        <f t="shared" si="129"/>
        <v>0</v>
      </c>
      <c r="Z257" s="1">
        <f t="shared" si="130"/>
        <v>0</v>
      </c>
      <c r="AA257" s="1">
        <f t="shared" si="131"/>
        <v>0</v>
      </c>
      <c r="AB257" s="1">
        <f t="shared" si="132"/>
        <v>0</v>
      </c>
      <c r="AD257" s="1">
        <f t="shared" si="133"/>
        <v>0</v>
      </c>
      <c r="AE257" s="1">
        <f t="shared" si="134"/>
        <v>0</v>
      </c>
      <c r="AF257" s="1">
        <f t="shared" si="119"/>
        <v>0</v>
      </c>
      <c r="AG257" s="1">
        <f t="shared" si="120"/>
        <v>0</v>
      </c>
      <c r="AH257" s="1">
        <f t="shared" si="121"/>
        <v>0</v>
      </c>
      <c r="AI257" s="1">
        <f t="shared" si="122"/>
        <v>1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847</v>
      </c>
      <c r="G258" s="39" t="s">
        <v>222</v>
      </c>
      <c r="H258" s="39" t="s">
        <v>354</v>
      </c>
      <c r="I258" s="40" t="s">
        <v>848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23"/>
        <v>0</v>
      </c>
      <c r="T258" s="1">
        <f t="shared" si="124"/>
        <v>0</v>
      </c>
      <c r="U258" s="1">
        <f t="shared" si="125"/>
        <v>0</v>
      </c>
      <c r="V258" s="1">
        <f t="shared" si="126"/>
        <v>0</v>
      </c>
      <c r="W258" s="1">
        <f t="shared" si="127"/>
        <v>0</v>
      </c>
      <c r="X258" s="1">
        <f t="shared" si="128"/>
        <v>0</v>
      </c>
      <c r="Y258" s="1">
        <f t="shared" si="129"/>
        <v>0</v>
      </c>
      <c r="Z258" s="1">
        <f t="shared" si="130"/>
        <v>0</v>
      </c>
      <c r="AA258" s="1">
        <f t="shared" si="131"/>
        <v>0</v>
      </c>
      <c r="AB258" s="1">
        <f t="shared" si="132"/>
        <v>0</v>
      </c>
      <c r="AD258" s="1">
        <f t="shared" si="133"/>
        <v>0</v>
      </c>
      <c r="AE258" s="1">
        <f t="shared" si="134"/>
        <v>1</v>
      </c>
      <c r="AF258" s="1">
        <f t="shared" si="119"/>
        <v>0</v>
      </c>
      <c r="AG258" s="1">
        <f t="shared" si="120"/>
        <v>1</v>
      </c>
      <c r="AH258" s="1">
        <f t="shared" si="121"/>
        <v>0</v>
      </c>
      <c r="AI258" s="1">
        <f t="shared" si="122"/>
        <v>1</v>
      </c>
    </row>
    <row r="259" spans="1:35" ht="14.25" customHeight="1" x14ac:dyDescent="0.25">
      <c r="A259" s="34">
        <v>1</v>
      </c>
      <c r="B259" s="34">
        <v>1</v>
      </c>
      <c r="C259" s="34">
        <v>7</v>
      </c>
      <c r="D259" s="39" t="s">
        <v>846</v>
      </c>
      <c r="E259" s="35" t="s">
        <v>29</v>
      </c>
      <c r="F259" s="39" t="s">
        <v>930</v>
      </c>
      <c r="G259" s="39" t="s">
        <v>279</v>
      </c>
      <c r="H259" s="39" t="s">
        <v>354</v>
      </c>
      <c r="I259" s="40" t="s">
        <v>849</v>
      </c>
      <c r="J259" s="34">
        <v>99</v>
      </c>
      <c r="K259" s="36" t="s">
        <v>955</v>
      </c>
      <c r="L259" s="36" t="s">
        <v>694</v>
      </c>
      <c r="M259" s="37" t="s">
        <v>973</v>
      </c>
      <c r="N259" s="37" t="s">
        <v>1849</v>
      </c>
      <c r="O259" s="38">
        <v>1</v>
      </c>
      <c r="P259" s="38"/>
      <c r="Q259" s="39"/>
      <c r="S259" s="1">
        <f t="shared" si="123"/>
        <v>0</v>
      </c>
      <c r="T259" s="1">
        <f t="shared" si="124"/>
        <v>0</v>
      </c>
      <c r="U259" s="1">
        <f t="shared" si="125"/>
        <v>0</v>
      </c>
      <c r="V259" s="1">
        <f t="shared" si="126"/>
        <v>0</v>
      </c>
      <c r="W259" s="1">
        <f t="shared" si="127"/>
        <v>0</v>
      </c>
      <c r="X259" s="1">
        <f t="shared" si="128"/>
        <v>0</v>
      </c>
      <c r="Y259" s="1">
        <f t="shared" si="129"/>
        <v>0</v>
      </c>
      <c r="Z259" s="1">
        <f t="shared" si="130"/>
        <v>0</v>
      </c>
      <c r="AA259" s="1">
        <f t="shared" si="131"/>
        <v>0</v>
      </c>
      <c r="AB259" s="1">
        <f t="shared" si="132"/>
        <v>0</v>
      </c>
      <c r="AD259" s="1">
        <f t="shared" si="133"/>
        <v>0</v>
      </c>
      <c r="AE259" s="1">
        <f t="shared" si="134"/>
        <v>1</v>
      </c>
      <c r="AF259" s="1">
        <f t="shared" si="119"/>
        <v>0</v>
      </c>
      <c r="AG259" s="1">
        <f t="shared" si="120"/>
        <v>0</v>
      </c>
      <c r="AH259" s="1">
        <f t="shared" si="121"/>
        <v>0</v>
      </c>
      <c r="AI259" s="1">
        <f t="shared" si="122"/>
        <v>0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5" t="s">
        <v>1216</v>
      </c>
      <c r="E260" s="35" t="s">
        <v>29</v>
      </c>
      <c r="F260" s="35" t="s">
        <v>1217</v>
      </c>
      <c r="G260" s="35" t="s">
        <v>238</v>
      </c>
      <c r="H260" s="35" t="s">
        <v>354</v>
      </c>
      <c r="I260" s="34" t="s">
        <v>1361</v>
      </c>
      <c r="J260" s="34">
        <v>99</v>
      </c>
      <c r="K260" s="36" t="s">
        <v>713</v>
      </c>
      <c r="L260" s="36" t="s">
        <v>694</v>
      </c>
      <c r="M260" s="37" t="s">
        <v>1407</v>
      </c>
      <c r="N260" s="37" t="s">
        <v>1755</v>
      </c>
      <c r="O260" s="38">
        <v>1</v>
      </c>
      <c r="P260" s="38"/>
      <c r="Q260" s="35"/>
      <c r="S260" s="1">
        <f t="shared" si="123"/>
        <v>0</v>
      </c>
      <c r="T260" s="1">
        <f t="shared" si="124"/>
        <v>0</v>
      </c>
      <c r="U260" s="1">
        <f t="shared" si="125"/>
        <v>0</v>
      </c>
      <c r="V260" s="1">
        <f t="shared" si="126"/>
        <v>0</v>
      </c>
      <c r="W260" s="1">
        <f t="shared" si="127"/>
        <v>0</v>
      </c>
      <c r="X260" s="1">
        <f t="shared" si="128"/>
        <v>0</v>
      </c>
      <c r="Y260" s="1">
        <f t="shared" si="129"/>
        <v>0</v>
      </c>
      <c r="Z260" s="1">
        <f t="shared" si="130"/>
        <v>0</v>
      </c>
      <c r="AA260" s="1">
        <f t="shared" si="131"/>
        <v>0</v>
      </c>
      <c r="AB260" s="1">
        <f t="shared" si="132"/>
        <v>0</v>
      </c>
      <c r="AD260" s="1">
        <f t="shared" ref="AD260:AD261" si="135">+O260*P260</f>
        <v>0</v>
      </c>
      <c r="AE260" s="1">
        <f t="shared" ref="AE260:AE261" si="136">O260*(1-P260)</f>
        <v>1</v>
      </c>
      <c r="AF260" s="1">
        <f t="shared" ref="AF260:AF261" si="137">+O260*P260*(1-A260)</f>
        <v>0</v>
      </c>
      <c r="AG260" s="1">
        <f t="shared" ref="AG260:AG261" si="138">O260*(1-P260)*(1-A260)</f>
        <v>1</v>
      </c>
      <c r="AH260" s="1">
        <f t="shared" ref="AH260:AH261" si="139">+P260*(1-A260)</f>
        <v>0</v>
      </c>
      <c r="AI260" s="1">
        <f t="shared" ref="AI260:AI261" si="140">+(1-A260)*(1-P260)</f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1233</v>
      </c>
      <c r="E261" s="35" t="s">
        <v>29</v>
      </c>
      <c r="F261" s="39" t="s">
        <v>1234</v>
      </c>
      <c r="G261" s="39" t="s">
        <v>238</v>
      </c>
      <c r="H261" s="39" t="s">
        <v>354</v>
      </c>
      <c r="I261" s="40" t="s">
        <v>1235</v>
      </c>
      <c r="J261" s="34">
        <v>99</v>
      </c>
      <c r="K261" s="36" t="s">
        <v>713</v>
      </c>
      <c r="L261" s="36" t="s">
        <v>693</v>
      </c>
      <c r="M261" s="37" t="s">
        <v>1407</v>
      </c>
      <c r="N261" s="37" t="s">
        <v>1825</v>
      </c>
      <c r="O261" s="38">
        <v>1</v>
      </c>
      <c r="P261" s="38"/>
      <c r="Q261" s="39"/>
      <c r="S261" s="1">
        <f t="shared" si="123"/>
        <v>0</v>
      </c>
      <c r="T261" s="1">
        <f t="shared" si="124"/>
        <v>0</v>
      </c>
      <c r="U261" s="1">
        <f t="shared" si="125"/>
        <v>0</v>
      </c>
      <c r="V261" s="1">
        <f t="shared" si="126"/>
        <v>0</v>
      </c>
      <c r="W261" s="1">
        <f t="shared" si="127"/>
        <v>0</v>
      </c>
      <c r="X261" s="1">
        <f t="shared" si="128"/>
        <v>0</v>
      </c>
      <c r="Y261" s="1">
        <f t="shared" si="129"/>
        <v>0</v>
      </c>
      <c r="Z261" s="1">
        <f t="shared" si="130"/>
        <v>0</v>
      </c>
      <c r="AA261" s="1">
        <f t="shared" si="131"/>
        <v>0</v>
      </c>
      <c r="AB261" s="1">
        <f t="shared" si="132"/>
        <v>0</v>
      </c>
      <c r="AD261" s="1">
        <f t="shared" si="135"/>
        <v>0</v>
      </c>
      <c r="AE261" s="1">
        <f t="shared" si="136"/>
        <v>1</v>
      </c>
      <c r="AF261" s="1">
        <f t="shared" si="137"/>
        <v>0</v>
      </c>
      <c r="AG261" s="1">
        <f t="shared" si="138"/>
        <v>1</v>
      </c>
      <c r="AH261" s="1">
        <f t="shared" si="139"/>
        <v>0</v>
      </c>
      <c r="AI261" s="1">
        <f t="shared" si="140"/>
        <v>1</v>
      </c>
    </row>
    <row r="262" spans="1:35" ht="14.25" customHeight="1" x14ac:dyDescent="0.25">
      <c r="A262" s="34">
        <v>0</v>
      </c>
      <c r="B262" s="34">
        <v>1</v>
      </c>
      <c r="C262" s="34">
        <v>7</v>
      </c>
      <c r="D262" s="39" t="s">
        <v>93</v>
      </c>
      <c r="E262" s="35" t="s">
        <v>29</v>
      </c>
      <c r="F262" s="39" t="s">
        <v>288</v>
      </c>
      <c r="G262" s="39" t="s">
        <v>190</v>
      </c>
      <c r="H262" s="39" t="s">
        <v>354</v>
      </c>
      <c r="I262" s="40" t="s">
        <v>441</v>
      </c>
      <c r="J262" s="34">
        <v>99</v>
      </c>
      <c r="K262" s="36" t="s">
        <v>713</v>
      </c>
      <c r="L262" s="36" t="s">
        <v>694</v>
      </c>
      <c r="M262" s="37" t="s">
        <v>1408</v>
      </c>
      <c r="N262" s="37" t="s">
        <v>1750</v>
      </c>
      <c r="O262" s="38">
        <v>1</v>
      </c>
      <c r="P262" s="38"/>
      <c r="Q262" s="39"/>
      <c r="S262" s="1">
        <f t="shared" si="123"/>
        <v>0</v>
      </c>
      <c r="T262" s="1">
        <f t="shared" si="124"/>
        <v>0</v>
      </c>
      <c r="U262" s="1">
        <f t="shared" si="125"/>
        <v>0</v>
      </c>
      <c r="V262" s="1">
        <f t="shared" si="126"/>
        <v>0</v>
      </c>
      <c r="W262" s="1">
        <f t="shared" si="127"/>
        <v>0</v>
      </c>
      <c r="X262" s="1">
        <f t="shared" si="128"/>
        <v>0</v>
      </c>
      <c r="Y262" s="1">
        <f t="shared" si="129"/>
        <v>0</v>
      </c>
      <c r="Z262" s="1">
        <f t="shared" si="130"/>
        <v>0</v>
      </c>
      <c r="AA262" s="1">
        <f t="shared" si="131"/>
        <v>0</v>
      </c>
      <c r="AB262" s="1">
        <f t="shared" si="132"/>
        <v>0</v>
      </c>
      <c r="AD262" s="1">
        <f t="shared" si="133"/>
        <v>0</v>
      </c>
      <c r="AE262" s="1">
        <f t="shared" si="134"/>
        <v>1</v>
      </c>
      <c r="AF262" s="1">
        <f t="shared" si="119"/>
        <v>0</v>
      </c>
      <c r="AG262" s="1">
        <f t="shared" si="120"/>
        <v>1</v>
      </c>
      <c r="AH262" s="1">
        <f t="shared" si="121"/>
        <v>0</v>
      </c>
      <c r="AI262" s="1">
        <f t="shared" si="122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871</v>
      </c>
      <c r="G263" s="48" t="s">
        <v>194</v>
      </c>
      <c r="H263" s="48" t="s">
        <v>354</v>
      </c>
      <c r="I263" s="47" t="s">
        <v>872</v>
      </c>
      <c r="J263" s="47">
        <v>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23"/>
        <v>0</v>
      </c>
      <c r="T263" s="1">
        <f t="shared" si="124"/>
        <v>0</v>
      </c>
      <c r="U263" s="1">
        <f t="shared" si="125"/>
        <v>0</v>
      </c>
      <c r="V263" s="1">
        <f t="shared" si="126"/>
        <v>0</v>
      </c>
      <c r="W263" s="1">
        <f t="shared" si="127"/>
        <v>0</v>
      </c>
      <c r="X263" s="1">
        <f t="shared" si="128"/>
        <v>0</v>
      </c>
      <c r="Y263" s="1">
        <f t="shared" si="129"/>
        <v>0</v>
      </c>
      <c r="Z263" s="1">
        <f t="shared" si="130"/>
        <v>0</v>
      </c>
      <c r="AA263" s="1">
        <f t="shared" si="131"/>
        <v>1</v>
      </c>
      <c r="AB263" s="1">
        <f t="shared" si="132"/>
        <v>0</v>
      </c>
      <c r="AD263" s="1">
        <f t="shared" si="133"/>
        <v>0</v>
      </c>
      <c r="AE263" s="1">
        <f t="shared" si="134"/>
        <v>0</v>
      </c>
      <c r="AF263" s="1">
        <f t="shared" si="119"/>
        <v>0</v>
      </c>
      <c r="AG263" s="1">
        <f t="shared" si="120"/>
        <v>0</v>
      </c>
      <c r="AH263" s="1">
        <f t="shared" si="121"/>
        <v>0</v>
      </c>
      <c r="AI263" s="1">
        <f t="shared" si="122"/>
        <v>1</v>
      </c>
    </row>
    <row r="264" spans="1:35" ht="14.25" customHeight="1" x14ac:dyDescent="0.25">
      <c r="A264" s="47">
        <v>1</v>
      </c>
      <c r="B264" s="47">
        <v>1</v>
      </c>
      <c r="C264" s="47">
        <v>7</v>
      </c>
      <c r="D264" s="48" t="s">
        <v>870</v>
      </c>
      <c r="E264" s="48" t="s">
        <v>29</v>
      </c>
      <c r="F264" s="48" t="s">
        <v>1068</v>
      </c>
      <c r="G264" s="48" t="s">
        <v>321</v>
      </c>
      <c r="H264" s="48" t="s">
        <v>354</v>
      </c>
      <c r="I264" s="47" t="s">
        <v>1069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1735</v>
      </c>
      <c r="O264" s="51"/>
      <c r="P264" s="51"/>
      <c r="Q264" s="48"/>
      <c r="S264" s="1">
        <f t="shared" si="123"/>
        <v>0</v>
      </c>
      <c r="T264" s="1">
        <f t="shared" si="124"/>
        <v>0</v>
      </c>
      <c r="U264" s="1">
        <f t="shared" si="125"/>
        <v>0</v>
      </c>
      <c r="V264" s="1">
        <f t="shared" si="126"/>
        <v>0</v>
      </c>
      <c r="W264" s="1">
        <f t="shared" si="127"/>
        <v>0</v>
      </c>
      <c r="X264" s="1">
        <f t="shared" si="128"/>
        <v>0</v>
      </c>
      <c r="Y264" s="1">
        <f t="shared" si="129"/>
        <v>0</v>
      </c>
      <c r="Z264" s="1">
        <f t="shared" si="130"/>
        <v>0</v>
      </c>
      <c r="AA264" s="1">
        <f t="shared" si="131"/>
        <v>0</v>
      </c>
      <c r="AB264" s="1">
        <f t="shared" si="132"/>
        <v>0</v>
      </c>
      <c r="AD264" s="1">
        <f t="shared" si="133"/>
        <v>0</v>
      </c>
      <c r="AE264" s="1">
        <f t="shared" si="134"/>
        <v>0</v>
      </c>
      <c r="AF264" s="1">
        <f t="shared" si="119"/>
        <v>0</v>
      </c>
      <c r="AG264" s="1">
        <f t="shared" si="120"/>
        <v>0</v>
      </c>
      <c r="AH264" s="1">
        <f t="shared" si="121"/>
        <v>0</v>
      </c>
      <c r="AI264" s="1">
        <f t="shared" si="122"/>
        <v>0</v>
      </c>
    </row>
    <row r="265" spans="1:35" ht="14.25" customHeight="1" x14ac:dyDescent="0.25">
      <c r="A265" s="47">
        <v>1</v>
      </c>
      <c r="B265" s="47">
        <v>1</v>
      </c>
      <c r="C265" s="47">
        <v>7</v>
      </c>
      <c r="D265" s="48" t="s">
        <v>870</v>
      </c>
      <c r="E265" s="48" t="s">
        <v>29</v>
      </c>
      <c r="F265" s="68" t="s">
        <v>2026</v>
      </c>
      <c r="G265" s="68" t="s">
        <v>194</v>
      </c>
      <c r="H265" s="48" t="s">
        <v>354</v>
      </c>
      <c r="I265" s="67" t="s">
        <v>872</v>
      </c>
      <c r="J265" s="47">
        <v>9</v>
      </c>
      <c r="K265" s="49" t="s">
        <v>713</v>
      </c>
      <c r="L265" s="49" t="s">
        <v>696</v>
      </c>
      <c r="M265" s="50" t="s">
        <v>708</v>
      </c>
      <c r="N265" s="50" t="s">
        <v>1735</v>
      </c>
      <c r="O265" s="51"/>
      <c r="P265" s="51"/>
      <c r="Q265" s="48"/>
      <c r="S265" s="1">
        <f t="shared" ref="S265:S266" si="141">IF(J265=$S$7,1,0)</f>
        <v>0</v>
      </c>
      <c r="T265" s="1">
        <f t="shared" ref="T265:T266" si="142">IF(J265=$T$7,1,0)</f>
        <v>0</v>
      </c>
      <c r="U265" s="1">
        <f t="shared" ref="U265:U266" si="143">IF(J265=$U$7,1,0)</f>
        <v>0</v>
      </c>
      <c r="V265" s="1">
        <f t="shared" ref="V265:V266" si="144">IF(J265=$V$7,1,0)</f>
        <v>0</v>
      </c>
      <c r="W265" s="1">
        <f t="shared" ref="W265:W266" si="145">IF(J265=$W$7,1,0)</f>
        <v>0</v>
      </c>
      <c r="X265" s="1">
        <f t="shared" ref="X265:X266" si="146">IF(J265=$X$7,1,0)</f>
        <v>0</v>
      </c>
      <c r="Y265" s="1">
        <f t="shared" ref="Y265:Y266" si="147">IF(J265=$Y$7,1,0)</f>
        <v>0</v>
      </c>
      <c r="Z265" s="1">
        <f t="shared" ref="Z265:Z266" si="148">IF(J265=$Z$7,1,0)</f>
        <v>0</v>
      </c>
      <c r="AA265" s="1">
        <f t="shared" ref="AA265:AA266" si="149">IF(J265=$AA$7,1,0)</f>
        <v>1</v>
      </c>
      <c r="AB265" s="1">
        <f t="shared" ref="AB265:AB266" si="150">IF(J265=$AB$7,1,0)</f>
        <v>0</v>
      </c>
      <c r="AD265" s="1">
        <f t="shared" ref="AD265:AD266" si="151">+O265*P265</f>
        <v>0</v>
      </c>
      <c r="AE265" s="1">
        <f t="shared" ref="AE265:AE266" si="152">O265*(1-P265)</f>
        <v>0</v>
      </c>
      <c r="AF265" s="1">
        <f t="shared" ref="AF265:AF266" si="153">+O265*P265*(1-A265)</f>
        <v>0</v>
      </c>
      <c r="AG265" s="1">
        <f t="shared" ref="AG265:AG266" si="154">O265*(1-P265)*(1-A265)</f>
        <v>0</v>
      </c>
      <c r="AH265" s="1">
        <f t="shared" ref="AH265:AH266" si="155">+P265*(1-A265)</f>
        <v>0</v>
      </c>
      <c r="AI265" s="1">
        <f t="shared" ref="AI265:AI266" si="156">+(1-A265)*(1-P265)</f>
        <v>0</v>
      </c>
    </row>
    <row r="266" spans="1:35" ht="14.25" customHeight="1" x14ac:dyDescent="0.25">
      <c r="A266" s="47">
        <v>1</v>
      </c>
      <c r="B266" s="47">
        <v>1</v>
      </c>
      <c r="C266" s="47">
        <v>7</v>
      </c>
      <c r="D266" s="48" t="s">
        <v>870</v>
      </c>
      <c r="E266" s="48" t="s">
        <v>29</v>
      </c>
      <c r="F266" s="68" t="s">
        <v>2028</v>
      </c>
      <c r="G266" s="68" t="s">
        <v>209</v>
      </c>
      <c r="H266" s="48" t="s">
        <v>354</v>
      </c>
      <c r="I266" s="67" t="s">
        <v>2027</v>
      </c>
      <c r="J266" s="47">
        <v>99</v>
      </c>
      <c r="K266" s="49" t="s">
        <v>713</v>
      </c>
      <c r="L266" s="49" t="s">
        <v>696</v>
      </c>
      <c r="M266" s="50" t="s">
        <v>708</v>
      </c>
      <c r="N266" s="50" t="s">
        <v>1735</v>
      </c>
      <c r="O266" s="51"/>
      <c r="P266" s="51"/>
      <c r="Q266" s="48"/>
      <c r="S266" s="1">
        <f t="shared" si="141"/>
        <v>0</v>
      </c>
      <c r="T266" s="1">
        <f t="shared" si="142"/>
        <v>0</v>
      </c>
      <c r="U266" s="1">
        <f t="shared" si="143"/>
        <v>0</v>
      </c>
      <c r="V266" s="1">
        <f t="shared" si="144"/>
        <v>0</v>
      </c>
      <c r="W266" s="1">
        <f t="shared" si="145"/>
        <v>0</v>
      </c>
      <c r="X266" s="1">
        <f t="shared" si="146"/>
        <v>0</v>
      </c>
      <c r="Y266" s="1">
        <f t="shared" si="147"/>
        <v>0</v>
      </c>
      <c r="Z266" s="1">
        <f t="shared" si="148"/>
        <v>0</v>
      </c>
      <c r="AA266" s="1">
        <f t="shared" si="149"/>
        <v>0</v>
      </c>
      <c r="AB266" s="1">
        <f t="shared" si="150"/>
        <v>0</v>
      </c>
      <c r="AD266" s="1">
        <f t="shared" si="151"/>
        <v>0</v>
      </c>
      <c r="AE266" s="1">
        <f t="shared" si="152"/>
        <v>0</v>
      </c>
      <c r="AF266" s="1">
        <f t="shared" si="153"/>
        <v>0</v>
      </c>
      <c r="AG266" s="1">
        <f t="shared" si="154"/>
        <v>0</v>
      </c>
      <c r="AH266" s="1">
        <f t="shared" si="155"/>
        <v>0</v>
      </c>
      <c r="AI266" s="1">
        <f t="shared" si="156"/>
        <v>0</v>
      </c>
    </row>
    <row r="267" spans="1:35" ht="14.25" customHeight="1" x14ac:dyDescent="0.25">
      <c r="A267" s="34">
        <v>0</v>
      </c>
      <c r="B267" s="34">
        <v>1</v>
      </c>
      <c r="C267" s="34">
        <v>7</v>
      </c>
      <c r="D267" s="39" t="s">
        <v>96</v>
      </c>
      <c r="E267" s="35" t="s">
        <v>29</v>
      </c>
      <c r="F267" s="39" t="s">
        <v>292</v>
      </c>
      <c r="G267" s="39" t="s">
        <v>293</v>
      </c>
      <c r="H267" s="39" t="s">
        <v>354</v>
      </c>
      <c r="I267" s="40" t="s">
        <v>1117</v>
      </c>
      <c r="J267" s="34">
        <v>99</v>
      </c>
      <c r="K267" s="36" t="s">
        <v>713</v>
      </c>
      <c r="L267" s="36" t="s">
        <v>696</v>
      </c>
      <c r="M267" s="37" t="s">
        <v>708</v>
      </c>
      <c r="N267" s="37" t="s">
        <v>1748</v>
      </c>
      <c r="O267" s="38">
        <v>1</v>
      </c>
      <c r="P267" s="38"/>
      <c r="Q267" s="39"/>
      <c r="S267" s="1">
        <f t="shared" si="123"/>
        <v>0</v>
      </c>
      <c r="T267" s="1">
        <f t="shared" si="124"/>
        <v>0</v>
      </c>
      <c r="U267" s="1">
        <f t="shared" si="125"/>
        <v>0</v>
      </c>
      <c r="V267" s="1">
        <f t="shared" si="126"/>
        <v>0</v>
      </c>
      <c r="W267" s="1">
        <f t="shared" si="127"/>
        <v>0</v>
      </c>
      <c r="X267" s="1">
        <f t="shared" si="128"/>
        <v>0</v>
      </c>
      <c r="Y267" s="1">
        <f t="shared" si="129"/>
        <v>0</v>
      </c>
      <c r="Z267" s="1">
        <f t="shared" si="130"/>
        <v>0</v>
      </c>
      <c r="AA267" s="1">
        <f t="shared" si="131"/>
        <v>0</v>
      </c>
      <c r="AB267" s="1">
        <f t="shared" si="132"/>
        <v>0</v>
      </c>
      <c r="AD267" s="1">
        <f t="shared" si="133"/>
        <v>0</v>
      </c>
      <c r="AE267" s="1">
        <f t="shared" si="134"/>
        <v>1</v>
      </c>
      <c r="AF267" s="1">
        <f t="shared" si="119"/>
        <v>0</v>
      </c>
      <c r="AG267" s="1">
        <f t="shared" si="120"/>
        <v>1</v>
      </c>
      <c r="AH267" s="1">
        <f t="shared" si="121"/>
        <v>0</v>
      </c>
      <c r="AI267" s="1">
        <f t="shared" si="122"/>
        <v>1</v>
      </c>
    </row>
    <row r="268" spans="1:35" ht="14.25" customHeight="1" x14ac:dyDescent="0.25">
      <c r="A268" s="47">
        <v>0</v>
      </c>
      <c r="B268" s="47">
        <v>1</v>
      </c>
      <c r="C268" s="47">
        <v>7</v>
      </c>
      <c r="D268" s="48" t="s">
        <v>532</v>
      </c>
      <c r="E268" s="48" t="s">
        <v>29</v>
      </c>
      <c r="F268" s="48" t="s">
        <v>665</v>
      </c>
      <c r="G268" s="48" t="s">
        <v>39</v>
      </c>
      <c r="H268" s="48" t="s">
        <v>533</v>
      </c>
      <c r="I268" s="47" t="s">
        <v>1690</v>
      </c>
      <c r="J268" s="47">
        <v>14</v>
      </c>
      <c r="K268" s="49" t="s">
        <v>954</v>
      </c>
      <c r="L268" s="49">
        <v>40</v>
      </c>
      <c r="M268" s="50" t="s">
        <v>708</v>
      </c>
      <c r="N268" s="50" t="s">
        <v>1735</v>
      </c>
      <c r="O268" s="51"/>
      <c r="P268" s="51"/>
      <c r="Q268" s="48"/>
      <c r="S268" s="1">
        <f t="shared" si="123"/>
        <v>0</v>
      </c>
      <c r="T268" s="1">
        <f t="shared" si="124"/>
        <v>0</v>
      </c>
      <c r="U268" s="1">
        <f t="shared" si="125"/>
        <v>0</v>
      </c>
      <c r="V268" s="1">
        <f t="shared" si="126"/>
        <v>0</v>
      </c>
      <c r="W268" s="1">
        <f t="shared" si="127"/>
        <v>0</v>
      </c>
      <c r="X268" s="1">
        <f t="shared" si="128"/>
        <v>0</v>
      </c>
      <c r="Y268" s="1">
        <f t="shared" si="129"/>
        <v>0</v>
      </c>
      <c r="Z268" s="1">
        <f t="shared" si="130"/>
        <v>0</v>
      </c>
      <c r="AA268" s="1">
        <f t="shared" si="131"/>
        <v>0</v>
      </c>
      <c r="AB268" s="1">
        <f t="shared" si="132"/>
        <v>0</v>
      </c>
      <c r="AD268" s="1">
        <f t="shared" si="133"/>
        <v>0</v>
      </c>
      <c r="AE268" s="1">
        <f t="shared" si="134"/>
        <v>0</v>
      </c>
      <c r="AF268" s="1">
        <f t="shared" si="119"/>
        <v>0</v>
      </c>
      <c r="AG268" s="1">
        <f t="shared" si="120"/>
        <v>0</v>
      </c>
      <c r="AH268" s="1">
        <f t="shared" si="121"/>
        <v>0</v>
      </c>
      <c r="AI268" s="1">
        <f t="shared" si="122"/>
        <v>1</v>
      </c>
    </row>
    <row r="269" spans="1:35" ht="14.25" customHeight="1" x14ac:dyDescent="0.25">
      <c r="A269" s="34">
        <v>0</v>
      </c>
      <c r="B269" s="34">
        <v>1</v>
      </c>
      <c r="C269" s="34">
        <v>7</v>
      </c>
      <c r="D269" s="39" t="s">
        <v>1321</v>
      </c>
      <c r="E269" s="35" t="s">
        <v>29</v>
      </c>
      <c r="F269" s="39" t="s">
        <v>1345</v>
      </c>
      <c r="G269" s="39" t="s">
        <v>39</v>
      </c>
      <c r="H269" s="39" t="s">
        <v>354</v>
      </c>
      <c r="I269" s="40" t="s">
        <v>1150</v>
      </c>
      <c r="J269" s="34">
        <v>99</v>
      </c>
      <c r="K269" s="36" t="s">
        <v>713</v>
      </c>
      <c r="L269" s="36" t="s">
        <v>693</v>
      </c>
      <c r="M269" s="37" t="s">
        <v>1409</v>
      </c>
      <c r="N269" s="37" t="s">
        <v>1733</v>
      </c>
      <c r="O269" s="38">
        <v>1</v>
      </c>
      <c r="P269" s="38">
        <v>1</v>
      </c>
      <c r="Q269" s="39"/>
      <c r="S269" s="1">
        <f t="shared" si="123"/>
        <v>0</v>
      </c>
      <c r="T269" s="1">
        <f t="shared" si="124"/>
        <v>0</v>
      </c>
      <c r="U269" s="1">
        <f t="shared" si="125"/>
        <v>0</v>
      </c>
      <c r="V269" s="1">
        <f t="shared" si="126"/>
        <v>0</v>
      </c>
      <c r="W269" s="1">
        <f t="shared" si="127"/>
        <v>0</v>
      </c>
      <c r="X269" s="1">
        <f t="shared" si="128"/>
        <v>0</v>
      </c>
      <c r="Y269" s="1">
        <f t="shared" si="129"/>
        <v>0</v>
      </c>
      <c r="Z269" s="1">
        <f t="shared" si="130"/>
        <v>0</v>
      </c>
      <c r="AA269" s="1">
        <f t="shared" si="131"/>
        <v>0</v>
      </c>
      <c r="AB269" s="1">
        <f t="shared" si="132"/>
        <v>0</v>
      </c>
      <c r="AD269" s="1">
        <f t="shared" si="133"/>
        <v>1</v>
      </c>
      <c r="AE269" s="1">
        <f t="shared" si="134"/>
        <v>0</v>
      </c>
      <c r="AF269" s="1">
        <f t="shared" si="119"/>
        <v>1</v>
      </c>
      <c r="AG269" s="1">
        <f t="shared" si="120"/>
        <v>0</v>
      </c>
      <c r="AH269" s="1">
        <f t="shared" si="121"/>
        <v>1</v>
      </c>
      <c r="AI269" s="1">
        <f t="shared" si="122"/>
        <v>0</v>
      </c>
    </row>
    <row r="270" spans="1:35" ht="14.25" customHeight="1" x14ac:dyDescent="0.25">
      <c r="A270" s="47">
        <v>0</v>
      </c>
      <c r="B270" s="47">
        <v>1</v>
      </c>
      <c r="C270" s="47">
        <v>7</v>
      </c>
      <c r="D270" s="48" t="s">
        <v>97</v>
      </c>
      <c r="E270" s="48" t="s">
        <v>29</v>
      </c>
      <c r="F270" s="48" t="s">
        <v>295</v>
      </c>
      <c r="G270" s="48" t="s">
        <v>263</v>
      </c>
      <c r="H270" s="48" t="s">
        <v>354</v>
      </c>
      <c r="I270" s="47" t="s">
        <v>445</v>
      </c>
      <c r="J270" s="47">
        <v>1</v>
      </c>
      <c r="K270" s="49" t="s">
        <v>713</v>
      </c>
      <c r="L270" s="49" t="s">
        <v>694</v>
      </c>
      <c r="M270" s="50" t="s">
        <v>708</v>
      </c>
      <c r="N270" s="50" t="s">
        <v>1735</v>
      </c>
      <c r="O270" s="51"/>
      <c r="P270" s="51"/>
      <c r="Q270" s="48"/>
      <c r="S270" s="1">
        <f t="shared" si="123"/>
        <v>1</v>
      </c>
      <c r="T270" s="1">
        <f t="shared" si="124"/>
        <v>0</v>
      </c>
      <c r="U270" s="1">
        <f t="shared" si="125"/>
        <v>0</v>
      </c>
      <c r="V270" s="1">
        <f t="shared" si="126"/>
        <v>0</v>
      </c>
      <c r="W270" s="1">
        <f t="shared" si="127"/>
        <v>0</v>
      </c>
      <c r="X270" s="1">
        <f t="shared" si="128"/>
        <v>0</v>
      </c>
      <c r="Y270" s="1">
        <f t="shared" si="129"/>
        <v>0</v>
      </c>
      <c r="Z270" s="1">
        <f t="shared" si="130"/>
        <v>0</v>
      </c>
      <c r="AA270" s="1">
        <f t="shared" si="131"/>
        <v>0</v>
      </c>
      <c r="AB270" s="1">
        <f t="shared" si="132"/>
        <v>0</v>
      </c>
      <c r="AD270" s="1">
        <f t="shared" si="133"/>
        <v>0</v>
      </c>
      <c r="AE270" s="1">
        <f t="shared" si="134"/>
        <v>0</v>
      </c>
      <c r="AF270" s="1">
        <f t="shared" ref="AF270:AF334" si="157">+O270*P270*(1-A270)</f>
        <v>0</v>
      </c>
      <c r="AG270" s="1">
        <f t="shared" ref="AG270:AG334" si="158">O270*(1-P270)*(1-A270)</f>
        <v>0</v>
      </c>
      <c r="AH270" s="1">
        <f t="shared" ref="AH270:AH334" si="159">+P270*(1-A270)</f>
        <v>0</v>
      </c>
      <c r="AI270" s="1">
        <f t="shared" ref="AI270:AI334" si="160">+(1-A270)*(1-P270)</f>
        <v>1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755</v>
      </c>
      <c r="E271" s="16" t="s">
        <v>29</v>
      </c>
      <c r="F271" s="16" t="s">
        <v>756</v>
      </c>
      <c r="G271" s="16" t="s">
        <v>39</v>
      </c>
      <c r="H271" s="16" t="s">
        <v>757</v>
      </c>
      <c r="I271" s="15" t="s">
        <v>758</v>
      </c>
      <c r="J271" s="15">
        <v>18</v>
      </c>
      <c r="K271" s="10" t="s">
        <v>703</v>
      </c>
      <c r="L271" s="10" t="s">
        <v>697</v>
      </c>
      <c r="M271" s="19" t="s">
        <v>708</v>
      </c>
      <c r="N271" s="17"/>
      <c r="Q271" s="16"/>
      <c r="S271" s="1">
        <f t="shared" si="123"/>
        <v>0</v>
      </c>
      <c r="T271" s="1">
        <f t="shared" si="124"/>
        <v>0</v>
      </c>
      <c r="U271" s="1">
        <f t="shared" si="125"/>
        <v>0</v>
      </c>
      <c r="V271" s="1">
        <f t="shared" si="126"/>
        <v>0</v>
      </c>
      <c r="W271" s="1">
        <f t="shared" si="127"/>
        <v>0</v>
      </c>
      <c r="X271" s="1">
        <f t="shared" si="128"/>
        <v>0</v>
      </c>
      <c r="Y271" s="1">
        <f t="shared" si="129"/>
        <v>0</v>
      </c>
      <c r="Z271" s="1">
        <f t="shared" si="130"/>
        <v>0</v>
      </c>
      <c r="AA271" s="1">
        <f t="shared" si="131"/>
        <v>0</v>
      </c>
      <c r="AB271" s="1">
        <f t="shared" si="132"/>
        <v>0</v>
      </c>
      <c r="AD271" s="1">
        <f t="shared" si="133"/>
        <v>0</v>
      </c>
      <c r="AE271" s="1">
        <f t="shared" si="134"/>
        <v>0</v>
      </c>
      <c r="AF271" s="1">
        <f t="shared" si="157"/>
        <v>0</v>
      </c>
      <c r="AG271" s="1">
        <f t="shared" si="158"/>
        <v>0</v>
      </c>
      <c r="AH271" s="1">
        <f t="shared" si="159"/>
        <v>0</v>
      </c>
      <c r="AI271" s="1">
        <f t="shared" si="160"/>
        <v>1</v>
      </c>
    </row>
    <row r="272" spans="1:35" ht="14.25" customHeight="1" x14ac:dyDescent="0.25">
      <c r="A272" s="15">
        <v>1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759</v>
      </c>
      <c r="G272" s="16" t="s">
        <v>39</v>
      </c>
      <c r="H272" s="16" t="s">
        <v>745</v>
      </c>
      <c r="I272" s="15" t="s">
        <v>760</v>
      </c>
      <c r="J272" s="15">
        <v>17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23"/>
        <v>0</v>
      </c>
      <c r="T272" s="1">
        <f t="shared" si="124"/>
        <v>0</v>
      </c>
      <c r="U272" s="1">
        <f t="shared" si="125"/>
        <v>0</v>
      </c>
      <c r="V272" s="1">
        <f t="shared" si="126"/>
        <v>0</v>
      </c>
      <c r="W272" s="1">
        <f t="shared" si="127"/>
        <v>0</v>
      </c>
      <c r="X272" s="1">
        <f t="shared" si="128"/>
        <v>0</v>
      </c>
      <c r="Y272" s="1">
        <f t="shared" si="129"/>
        <v>0</v>
      </c>
      <c r="Z272" s="1">
        <f t="shared" si="130"/>
        <v>0</v>
      </c>
      <c r="AA272" s="1">
        <f t="shared" si="131"/>
        <v>0</v>
      </c>
      <c r="AB272" s="1">
        <f t="shared" si="132"/>
        <v>0</v>
      </c>
      <c r="AD272" s="1">
        <f t="shared" si="133"/>
        <v>0</v>
      </c>
      <c r="AE272" s="1">
        <f t="shared" si="134"/>
        <v>0</v>
      </c>
      <c r="AF272" s="1">
        <f t="shared" si="157"/>
        <v>0</v>
      </c>
      <c r="AG272" s="1">
        <f t="shared" si="158"/>
        <v>0</v>
      </c>
      <c r="AH272" s="1">
        <f t="shared" si="159"/>
        <v>0</v>
      </c>
      <c r="AI272" s="1">
        <f t="shared" si="160"/>
        <v>0</v>
      </c>
    </row>
    <row r="273" spans="1:35" ht="14.25" customHeight="1" x14ac:dyDescent="0.25">
      <c r="A273" s="34">
        <v>0</v>
      </c>
      <c r="B273" s="34">
        <v>1</v>
      </c>
      <c r="C273" s="34">
        <v>7</v>
      </c>
      <c r="D273" s="39" t="s">
        <v>1518</v>
      </c>
      <c r="E273" s="35" t="s">
        <v>29</v>
      </c>
      <c r="F273" s="39" t="s">
        <v>1671</v>
      </c>
      <c r="G273" s="39" t="s">
        <v>1672</v>
      </c>
      <c r="H273" s="39" t="s">
        <v>354</v>
      </c>
      <c r="I273" s="40" t="s">
        <v>1519</v>
      </c>
      <c r="J273" s="34">
        <v>99</v>
      </c>
      <c r="K273" s="36" t="s">
        <v>713</v>
      </c>
      <c r="L273" s="36" t="s">
        <v>39</v>
      </c>
      <c r="M273" s="37" t="s">
        <v>39</v>
      </c>
      <c r="N273" s="37" t="s">
        <v>1727</v>
      </c>
      <c r="O273" s="38">
        <v>1</v>
      </c>
      <c r="P273" s="38">
        <v>1</v>
      </c>
      <c r="Q273" s="39"/>
      <c r="S273" s="1">
        <f t="shared" si="123"/>
        <v>0</v>
      </c>
      <c r="T273" s="1">
        <f t="shared" si="124"/>
        <v>0</v>
      </c>
      <c r="U273" s="1">
        <f t="shared" si="125"/>
        <v>0</v>
      </c>
      <c r="V273" s="1">
        <f t="shared" si="126"/>
        <v>0</v>
      </c>
      <c r="W273" s="1">
        <f t="shared" si="127"/>
        <v>0</v>
      </c>
      <c r="X273" s="1">
        <f t="shared" si="128"/>
        <v>0</v>
      </c>
      <c r="Y273" s="1">
        <f t="shared" si="129"/>
        <v>0</v>
      </c>
      <c r="Z273" s="1">
        <f t="shared" si="130"/>
        <v>0</v>
      </c>
      <c r="AA273" s="1">
        <f t="shared" si="131"/>
        <v>0</v>
      </c>
      <c r="AB273" s="1">
        <f t="shared" si="132"/>
        <v>0</v>
      </c>
      <c r="AD273" s="1">
        <f t="shared" si="133"/>
        <v>1</v>
      </c>
      <c r="AE273" s="1">
        <f t="shared" si="134"/>
        <v>0</v>
      </c>
      <c r="AF273" s="1">
        <f t="shared" si="157"/>
        <v>1</v>
      </c>
      <c r="AG273" s="1">
        <f t="shared" si="158"/>
        <v>0</v>
      </c>
      <c r="AH273" s="1">
        <f t="shared" si="159"/>
        <v>1</v>
      </c>
      <c r="AI273" s="1">
        <f t="shared" si="160"/>
        <v>0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1144</v>
      </c>
      <c r="E274" s="16" t="s">
        <v>29</v>
      </c>
      <c r="F274" s="16" t="s">
        <v>1145</v>
      </c>
      <c r="G274" s="16" t="s">
        <v>1147</v>
      </c>
      <c r="H274" s="16" t="s">
        <v>354</v>
      </c>
      <c r="I274" s="15" t="s">
        <v>1146</v>
      </c>
      <c r="J274" s="15">
        <v>99</v>
      </c>
      <c r="K274" s="10" t="s">
        <v>703</v>
      </c>
      <c r="L274" s="10">
        <v>30</v>
      </c>
      <c r="M274" s="19" t="s">
        <v>1410</v>
      </c>
      <c r="N274" s="19"/>
      <c r="Q274" s="16"/>
      <c r="S274" s="1">
        <f t="shared" ref="S274:S338" si="161">IF(J274=$S$7,1,0)</f>
        <v>0</v>
      </c>
      <c r="T274" s="1">
        <f t="shared" ref="T274:T338" si="162">IF(J274=$T$7,1,0)</f>
        <v>0</v>
      </c>
      <c r="U274" s="1">
        <f t="shared" ref="U274:U338" si="163">IF(J274=$U$7,1,0)</f>
        <v>0</v>
      </c>
      <c r="V274" s="1">
        <f t="shared" ref="V274:V338" si="164">IF(J274=$V$7,1,0)</f>
        <v>0</v>
      </c>
      <c r="W274" s="1">
        <f t="shared" ref="W274:W338" si="165">IF(J274=$W$7,1,0)</f>
        <v>0</v>
      </c>
      <c r="X274" s="1">
        <f t="shared" ref="X274:X338" si="166">IF(J274=$X$7,1,0)</f>
        <v>0</v>
      </c>
      <c r="Y274" s="1">
        <f t="shared" ref="Y274:Y338" si="167">IF(J274=$Y$7,1,0)</f>
        <v>0</v>
      </c>
      <c r="Z274" s="1">
        <f t="shared" ref="Z274:Z338" si="168">IF(J274=$Z$7,1,0)</f>
        <v>0</v>
      </c>
      <c r="AA274" s="1">
        <f t="shared" ref="AA274:AA338" si="169">IF(J274=$AA$7,1,0)</f>
        <v>0</v>
      </c>
      <c r="AB274" s="1">
        <f t="shared" ref="AB274:AB338" si="170">IF(J274=$AB$7,1,0)</f>
        <v>0</v>
      </c>
      <c r="AD274" s="1">
        <f t="shared" ref="AD274:AD338" si="171">+O274*P274</f>
        <v>0</v>
      </c>
      <c r="AE274" s="1">
        <f t="shared" ref="AE274:AE338" si="172">O274*(1-P274)</f>
        <v>0</v>
      </c>
      <c r="AF274" s="1">
        <f t="shared" si="157"/>
        <v>0</v>
      </c>
      <c r="AG274" s="1">
        <f t="shared" si="158"/>
        <v>0</v>
      </c>
      <c r="AH274" s="1">
        <f t="shared" si="159"/>
        <v>0</v>
      </c>
      <c r="AI274" s="1">
        <f t="shared" si="160"/>
        <v>1</v>
      </c>
    </row>
    <row r="275" spans="1:35" ht="14.25" customHeight="1" x14ac:dyDescent="0.25">
      <c r="A275" s="47">
        <v>0</v>
      </c>
      <c r="B275" s="47">
        <v>1</v>
      </c>
      <c r="C275" s="47">
        <v>7</v>
      </c>
      <c r="D275" s="48" t="s">
        <v>99</v>
      </c>
      <c r="E275" s="48" t="s">
        <v>29</v>
      </c>
      <c r="F275" s="48" t="s">
        <v>297</v>
      </c>
      <c r="G275" s="48" t="s">
        <v>197</v>
      </c>
      <c r="H275" s="48" t="s">
        <v>354</v>
      </c>
      <c r="I275" s="47" t="s">
        <v>446</v>
      </c>
      <c r="J275" s="47">
        <v>9</v>
      </c>
      <c r="K275" s="49" t="s">
        <v>703</v>
      </c>
      <c r="L275" s="49">
        <v>30</v>
      </c>
      <c r="M275" s="50" t="s">
        <v>708</v>
      </c>
      <c r="N275" s="50" t="s">
        <v>1735</v>
      </c>
      <c r="O275" s="51"/>
      <c r="P275" s="51"/>
      <c r="Q275" s="48"/>
      <c r="S275" s="1">
        <f t="shared" si="161"/>
        <v>0</v>
      </c>
      <c r="T275" s="1">
        <f t="shared" si="162"/>
        <v>0</v>
      </c>
      <c r="U275" s="1">
        <f t="shared" si="163"/>
        <v>0</v>
      </c>
      <c r="V275" s="1">
        <f t="shared" si="164"/>
        <v>0</v>
      </c>
      <c r="W275" s="1">
        <f t="shared" si="165"/>
        <v>0</v>
      </c>
      <c r="X275" s="1">
        <f t="shared" si="166"/>
        <v>0</v>
      </c>
      <c r="Y275" s="1">
        <f t="shared" si="167"/>
        <v>0</v>
      </c>
      <c r="Z275" s="1">
        <f t="shared" si="168"/>
        <v>0</v>
      </c>
      <c r="AA275" s="1">
        <f t="shared" si="169"/>
        <v>1</v>
      </c>
      <c r="AB275" s="1">
        <f t="shared" si="170"/>
        <v>0</v>
      </c>
      <c r="AD275" s="1">
        <f t="shared" si="171"/>
        <v>0</v>
      </c>
      <c r="AE275" s="1">
        <f t="shared" si="172"/>
        <v>0</v>
      </c>
      <c r="AF275" s="1">
        <f t="shared" si="157"/>
        <v>0</v>
      </c>
      <c r="AG275" s="1">
        <f t="shared" si="158"/>
        <v>0</v>
      </c>
      <c r="AH275" s="1">
        <f t="shared" si="159"/>
        <v>0</v>
      </c>
      <c r="AI275" s="1">
        <f t="shared" si="160"/>
        <v>1</v>
      </c>
    </row>
    <row r="276" spans="1:35" ht="14.25" customHeight="1" x14ac:dyDescent="0.25">
      <c r="A276" s="47">
        <v>0</v>
      </c>
      <c r="B276" s="47">
        <v>1</v>
      </c>
      <c r="C276" s="47">
        <v>7</v>
      </c>
      <c r="D276" s="48" t="s">
        <v>803</v>
      </c>
      <c r="E276" s="48" t="s">
        <v>29</v>
      </c>
      <c r="F276" s="48" t="s">
        <v>782</v>
      </c>
      <c r="G276" s="48" t="s">
        <v>804</v>
      </c>
      <c r="H276" s="48" t="s">
        <v>354</v>
      </c>
      <c r="I276" s="47" t="s">
        <v>952</v>
      </c>
      <c r="J276" s="47">
        <v>99</v>
      </c>
      <c r="K276" s="49" t="s">
        <v>713</v>
      </c>
      <c r="L276" s="49" t="s">
        <v>694</v>
      </c>
      <c r="M276" s="50" t="s">
        <v>708</v>
      </c>
      <c r="N276" s="50" t="s">
        <v>1802</v>
      </c>
      <c r="O276" s="51"/>
      <c r="P276" s="51"/>
      <c r="Q276" s="48"/>
      <c r="S276" s="1">
        <f t="shared" si="161"/>
        <v>0</v>
      </c>
      <c r="T276" s="1">
        <f t="shared" si="162"/>
        <v>0</v>
      </c>
      <c r="U276" s="1">
        <f t="shared" si="163"/>
        <v>0</v>
      </c>
      <c r="V276" s="1">
        <f t="shared" si="164"/>
        <v>0</v>
      </c>
      <c r="W276" s="1">
        <f t="shared" si="165"/>
        <v>0</v>
      </c>
      <c r="X276" s="1">
        <f t="shared" si="166"/>
        <v>0</v>
      </c>
      <c r="Y276" s="1">
        <f t="shared" si="167"/>
        <v>0</v>
      </c>
      <c r="Z276" s="1">
        <f t="shared" si="168"/>
        <v>0</v>
      </c>
      <c r="AA276" s="1">
        <f t="shared" si="169"/>
        <v>0</v>
      </c>
      <c r="AB276" s="1">
        <f t="shared" si="170"/>
        <v>0</v>
      </c>
      <c r="AD276" s="1">
        <f t="shared" si="171"/>
        <v>0</v>
      </c>
      <c r="AE276" s="1">
        <f t="shared" si="172"/>
        <v>0</v>
      </c>
      <c r="AF276" s="1">
        <f t="shared" si="157"/>
        <v>0</v>
      </c>
      <c r="AG276" s="1">
        <f t="shared" si="158"/>
        <v>0</v>
      </c>
      <c r="AH276" s="1">
        <f t="shared" si="159"/>
        <v>0</v>
      </c>
      <c r="AI276" s="1">
        <f t="shared" si="160"/>
        <v>1</v>
      </c>
    </row>
    <row r="277" spans="1:35" ht="14.25" customHeight="1" x14ac:dyDescent="0.25">
      <c r="A277" s="47">
        <v>0</v>
      </c>
      <c r="B277" s="47">
        <v>1</v>
      </c>
      <c r="C277" s="47">
        <v>7</v>
      </c>
      <c r="D277" s="48" t="s">
        <v>1324</v>
      </c>
      <c r="E277" s="48" t="s">
        <v>29</v>
      </c>
      <c r="F277" s="48" t="s">
        <v>1347</v>
      </c>
      <c r="G277" s="48" t="s">
        <v>1181</v>
      </c>
      <c r="H277" s="48" t="s">
        <v>354</v>
      </c>
      <c r="I277" s="47" t="s">
        <v>1692</v>
      </c>
      <c r="J277" s="47">
        <v>99</v>
      </c>
      <c r="K277" s="49" t="s">
        <v>713</v>
      </c>
      <c r="L277" s="49" t="s">
        <v>694</v>
      </c>
      <c r="M277" s="50" t="s">
        <v>1411</v>
      </c>
      <c r="N277" s="50" t="s">
        <v>1738</v>
      </c>
      <c r="O277" s="51"/>
      <c r="P277" s="51"/>
      <c r="Q277" s="48"/>
      <c r="S277" s="1">
        <f t="shared" si="161"/>
        <v>0</v>
      </c>
      <c r="T277" s="1">
        <f t="shared" si="162"/>
        <v>0</v>
      </c>
      <c r="U277" s="1">
        <f t="shared" si="163"/>
        <v>0</v>
      </c>
      <c r="V277" s="1">
        <f t="shared" si="164"/>
        <v>0</v>
      </c>
      <c r="W277" s="1">
        <f t="shared" si="165"/>
        <v>0</v>
      </c>
      <c r="X277" s="1">
        <f t="shared" si="166"/>
        <v>0</v>
      </c>
      <c r="Y277" s="1">
        <f t="shared" si="167"/>
        <v>0</v>
      </c>
      <c r="Z277" s="1">
        <f t="shared" si="168"/>
        <v>0</v>
      </c>
      <c r="AA277" s="1">
        <f t="shared" si="169"/>
        <v>0</v>
      </c>
      <c r="AB277" s="1">
        <f t="shared" si="170"/>
        <v>0</v>
      </c>
      <c r="AD277" s="1">
        <f t="shared" si="171"/>
        <v>0</v>
      </c>
      <c r="AE277" s="1">
        <f t="shared" si="172"/>
        <v>0</v>
      </c>
      <c r="AF277" s="1">
        <f t="shared" si="157"/>
        <v>0</v>
      </c>
      <c r="AG277" s="1">
        <f t="shared" si="158"/>
        <v>0</v>
      </c>
      <c r="AH277" s="1">
        <f t="shared" si="159"/>
        <v>0</v>
      </c>
      <c r="AI277" s="1">
        <f t="shared" si="160"/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1279</v>
      </c>
      <c r="E278" s="16" t="s">
        <v>29</v>
      </c>
      <c r="F278" s="16" t="s">
        <v>1280</v>
      </c>
      <c r="G278" s="16" t="s">
        <v>1281</v>
      </c>
      <c r="H278" s="16" t="s">
        <v>354</v>
      </c>
      <c r="I278" s="15" t="s">
        <v>1282</v>
      </c>
      <c r="J278" s="15">
        <v>99</v>
      </c>
      <c r="K278" s="10" t="s">
        <v>713</v>
      </c>
      <c r="L278" s="10" t="s">
        <v>694</v>
      </c>
      <c r="M278" s="19" t="s">
        <v>708</v>
      </c>
      <c r="N278" s="17"/>
      <c r="Q278" s="16"/>
      <c r="S278" s="1">
        <f t="shared" si="161"/>
        <v>0</v>
      </c>
      <c r="T278" s="1">
        <f t="shared" si="162"/>
        <v>0</v>
      </c>
      <c r="U278" s="1">
        <f t="shared" si="163"/>
        <v>0</v>
      </c>
      <c r="V278" s="1">
        <f t="shared" si="164"/>
        <v>0</v>
      </c>
      <c r="W278" s="1">
        <f t="shared" si="165"/>
        <v>0</v>
      </c>
      <c r="X278" s="1">
        <f t="shared" si="166"/>
        <v>0</v>
      </c>
      <c r="Y278" s="1">
        <f t="shared" si="167"/>
        <v>0</v>
      </c>
      <c r="Z278" s="1">
        <f t="shared" si="168"/>
        <v>0</v>
      </c>
      <c r="AA278" s="1">
        <f t="shared" si="169"/>
        <v>0</v>
      </c>
      <c r="AB278" s="1">
        <f t="shared" si="170"/>
        <v>0</v>
      </c>
      <c r="AD278" s="1">
        <f t="shared" si="171"/>
        <v>0</v>
      </c>
      <c r="AE278" s="1">
        <f t="shared" si="172"/>
        <v>0</v>
      </c>
      <c r="AF278" s="1">
        <f t="shared" si="157"/>
        <v>0</v>
      </c>
      <c r="AG278" s="1">
        <f t="shared" si="158"/>
        <v>0</v>
      </c>
      <c r="AH278" s="1">
        <f t="shared" si="159"/>
        <v>0</v>
      </c>
      <c r="AI278" s="1">
        <f t="shared" si="160"/>
        <v>1</v>
      </c>
    </row>
    <row r="279" spans="1:35" ht="14.25" customHeight="1" x14ac:dyDescent="0.25">
      <c r="A279" s="34">
        <v>0</v>
      </c>
      <c r="B279" s="34">
        <v>1</v>
      </c>
      <c r="C279" s="34">
        <v>7</v>
      </c>
      <c r="D279" s="35" t="s">
        <v>709</v>
      </c>
      <c r="E279" s="35" t="s">
        <v>29</v>
      </c>
      <c r="F279" s="35" t="s">
        <v>710</v>
      </c>
      <c r="G279" s="35" t="s">
        <v>184</v>
      </c>
      <c r="H279" s="35" t="s">
        <v>354</v>
      </c>
      <c r="I279" s="34" t="s">
        <v>711</v>
      </c>
      <c r="J279" s="34">
        <v>99</v>
      </c>
      <c r="K279" s="36" t="s">
        <v>955</v>
      </c>
      <c r="L279" s="36" t="s">
        <v>39</v>
      </c>
      <c r="M279" s="37" t="s">
        <v>39</v>
      </c>
      <c r="N279" s="37" t="s">
        <v>1733</v>
      </c>
      <c r="O279" s="38">
        <v>1</v>
      </c>
      <c r="P279" s="38">
        <v>1</v>
      </c>
      <c r="Q279" s="35"/>
      <c r="S279" s="1">
        <f t="shared" si="161"/>
        <v>0</v>
      </c>
      <c r="T279" s="1">
        <f t="shared" si="162"/>
        <v>0</v>
      </c>
      <c r="U279" s="1">
        <f t="shared" si="163"/>
        <v>0</v>
      </c>
      <c r="V279" s="1">
        <f t="shared" si="164"/>
        <v>0</v>
      </c>
      <c r="W279" s="1">
        <f t="shared" si="165"/>
        <v>0</v>
      </c>
      <c r="X279" s="1">
        <f t="shared" si="166"/>
        <v>0</v>
      </c>
      <c r="Y279" s="1">
        <f t="shared" si="167"/>
        <v>0</v>
      </c>
      <c r="Z279" s="1">
        <f t="shared" si="168"/>
        <v>0</v>
      </c>
      <c r="AA279" s="1">
        <f t="shared" si="169"/>
        <v>0</v>
      </c>
      <c r="AB279" s="1">
        <f t="shared" si="170"/>
        <v>0</v>
      </c>
      <c r="AD279" s="1">
        <f t="shared" si="171"/>
        <v>1</v>
      </c>
      <c r="AE279" s="1">
        <f t="shared" si="172"/>
        <v>0</v>
      </c>
      <c r="AF279" s="1">
        <f t="shared" si="157"/>
        <v>1</v>
      </c>
      <c r="AG279" s="1">
        <f t="shared" si="158"/>
        <v>0</v>
      </c>
      <c r="AH279" s="1">
        <f t="shared" si="159"/>
        <v>1</v>
      </c>
      <c r="AI279" s="1">
        <f t="shared" si="160"/>
        <v>0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536</v>
      </c>
      <c r="E280" s="35" t="s">
        <v>34</v>
      </c>
      <c r="F280" s="35" t="s">
        <v>537</v>
      </c>
      <c r="G280" s="35" t="s">
        <v>220</v>
      </c>
      <c r="H280" s="35" t="s">
        <v>354</v>
      </c>
      <c r="I280" s="34" t="s">
        <v>538</v>
      </c>
      <c r="J280" s="34">
        <v>8</v>
      </c>
      <c r="K280" s="36" t="s">
        <v>713</v>
      </c>
      <c r="L280" s="36" t="s">
        <v>713</v>
      </c>
      <c r="M280" s="37" t="s">
        <v>714</v>
      </c>
      <c r="N280" s="37" t="s">
        <v>1748</v>
      </c>
      <c r="O280" s="38">
        <v>1</v>
      </c>
      <c r="P280" s="38"/>
      <c r="Q280" s="35"/>
      <c r="S280" s="1">
        <f t="shared" si="161"/>
        <v>0</v>
      </c>
      <c r="T280" s="1">
        <f t="shared" si="162"/>
        <v>0</v>
      </c>
      <c r="U280" s="1">
        <f t="shared" si="163"/>
        <v>0</v>
      </c>
      <c r="V280" s="1">
        <f t="shared" si="164"/>
        <v>0</v>
      </c>
      <c r="W280" s="1">
        <f t="shared" si="165"/>
        <v>0</v>
      </c>
      <c r="X280" s="1">
        <f t="shared" si="166"/>
        <v>0</v>
      </c>
      <c r="Y280" s="1">
        <f t="shared" si="167"/>
        <v>0</v>
      </c>
      <c r="Z280" s="1">
        <f t="shared" si="168"/>
        <v>1</v>
      </c>
      <c r="AA280" s="1">
        <f t="shared" si="169"/>
        <v>0</v>
      </c>
      <c r="AB280" s="1">
        <f t="shared" si="170"/>
        <v>0</v>
      </c>
      <c r="AD280" s="1">
        <f t="shared" si="171"/>
        <v>0</v>
      </c>
      <c r="AE280" s="1">
        <f t="shared" si="172"/>
        <v>1</v>
      </c>
      <c r="AF280" s="1">
        <f t="shared" si="157"/>
        <v>0</v>
      </c>
      <c r="AG280" s="1">
        <f t="shared" si="158"/>
        <v>1</v>
      </c>
      <c r="AH280" s="1">
        <f t="shared" si="159"/>
        <v>0</v>
      </c>
      <c r="AI280" s="1">
        <f t="shared" si="160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1290</v>
      </c>
      <c r="E281" s="35" t="s">
        <v>561</v>
      </c>
      <c r="F281" s="35" t="s">
        <v>1291</v>
      </c>
      <c r="G281" s="35" t="s">
        <v>230</v>
      </c>
      <c r="H281" s="35" t="s">
        <v>354</v>
      </c>
      <c r="I281" s="34" t="s">
        <v>1292</v>
      </c>
      <c r="J281" s="34">
        <v>7</v>
      </c>
      <c r="K281" s="36" t="s">
        <v>713</v>
      </c>
      <c r="L281" s="36" t="s">
        <v>713</v>
      </c>
      <c r="M281" s="37" t="s">
        <v>714</v>
      </c>
      <c r="N281" s="37" t="s">
        <v>1756</v>
      </c>
      <c r="O281" s="38">
        <v>1</v>
      </c>
      <c r="P281" s="38"/>
      <c r="Q281" s="35"/>
      <c r="S281" s="1">
        <f t="shared" si="161"/>
        <v>0</v>
      </c>
      <c r="T281" s="1">
        <f t="shared" si="162"/>
        <v>0</v>
      </c>
      <c r="U281" s="1">
        <f t="shared" si="163"/>
        <v>0</v>
      </c>
      <c r="V281" s="1">
        <f t="shared" si="164"/>
        <v>0</v>
      </c>
      <c r="W281" s="1">
        <f t="shared" si="165"/>
        <v>0</v>
      </c>
      <c r="X281" s="1">
        <f t="shared" si="166"/>
        <v>0</v>
      </c>
      <c r="Y281" s="1">
        <f t="shared" si="167"/>
        <v>1</v>
      </c>
      <c r="Z281" s="1">
        <f t="shared" si="168"/>
        <v>0</v>
      </c>
      <c r="AA281" s="1">
        <f t="shared" si="169"/>
        <v>0</v>
      </c>
      <c r="AB281" s="1">
        <f t="shared" si="170"/>
        <v>0</v>
      </c>
      <c r="AD281" s="1">
        <f t="shared" si="171"/>
        <v>0</v>
      </c>
      <c r="AE281" s="1">
        <f t="shared" si="172"/>
        <v>1</v>
      </c>
      <c r="AF281" s="1">
        <f t="shared" si="157"/>
        <v>0</v>
      </c>
      <c r="AG281" s="1">
        <f t="shared" si="158"/>
        <v>1</v>
      </c>
      <c r="AH281" s="1">
        <f t="shared" si="159"/>
        <v>0</v>
      </c>
      <c r="AI281" s="1">
        <f t="shared" si="160"/>
        <v>1</v>
      </c>
    </row>
    <row r="282" spans="1:35" ht="14.25" customHeight="1" x14ac:dyDescent="0.25">
      <c r="A282" s="34">
        <v>0</v>
      </c>
      <c r="B282" s="34">
        <v>2</v>
      </c>
      <c r="C282" s="34">
        <v>1</v>
      </c>
      <c r="D282" s="35" t="s">
        <v>1326</v>
      </c>
      <c r="E282" s="35" t="s">
        <v>561</v>
      </c>
      <c r="F282" s="35" t="s">
        <v>1988</v>
      </c>
      <c r="G282" s="35" t="s">
        <v>213</v>
      </c>
      <c r="H282" s="35" t="s">
        <v>354</v>
      </c>
      <c r="I282" s="34" t="s">
        <v>1156</v>
      </c>
      <c r="J282" s="34">
        <v>1</v>
      </c>
      <c r="K282" s="36" t="s">
        <v>954</v>
      </c>
      <c r="L282" s="36" t="s">
        <v>713</v>
      </c>
      <c r="M282" s="37" t="s">
        <v>714</v>
      </c>
      <c r="N282" s="37" t="s">
        <v>1761</v>
      </c>
      <c r="O282" s="38">
        <v>1</v>
      </c>
      <c r="P282" s="38"/>
      <c r="Q282" s="35"/>
      <c r="S282" s="1">
        <f t="shared" si="161"/>
        <v>1</v>
      </c>
      <c r="T282" s="1">
        <f t="shared" si="162"/>
        <v>0</v>
      </c>
      <c r="U282" s="1">
        <f t="shared" si="163"/>
        <v>0</v>
      </c>
      <c r="V282" s="1">
        <f t="shared" si="164"/>
        <v>0</v>
      </c>
      <c r="W282" s="1">
        <f t="shared" si="165"/>
        <v>0</v>
      </c>
      <c r="X282" s="1">
        <f t="shared" si="166"/>
        <v>0</v>
      </c>
      <c r="Y282" s="1">
        <f t="shared" si="167"/>
        <v>0</v>
      </c>
      <c r="Z282" s="1">
        <f t="shared" si="168"/>
        <v>0</v>
      </c>
      <c r="AA282" s="1">
        <f t="shared" si="169"/>
        <v>0</v>
      </c>
      <c r="AB282" s="1">
        <f t="shared" si="170"/>
        <v>0</v>
      </c>
      <c r="AD282" s="1">
        <f t="shared" si="171"/>
        <v>0</v>
      </c>
      <c r="AE282" s="1">
        <f t="shared" si="172"/>
        <v>1</v>
      </c>
      <c r="AF282" s="1">
        <f t="shared" si="157"/>
        <v>0</v>
      </c>
      <c r="AG282" s="1">
        <f t="shared" si="158"/>
        <v>1</v>
      </c>
      <c r="AH282" s="1">
        <f t="shared" si="159"/>
        <v>0</v>
      </c>
      <c r="AI282" s="1">
        <f t="shared" si="160"/>
        <v>1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1327</v>
      </c>
      <c r="E283" s="35" t="s">
        <v>561</v>
      </c>
      <c r="F283" s="35" t="s">
        <v>1151</v>
      </c>
      <c r="G283" s="35" t="s">
        <v>285</v>
      </c>
      <c r="H283" s="35" t="s">
        <v>354</v>
      </c>
      <c r="I283" s="34" t="s">
        <v>1152</v>
      </c>
      <c r="J283" s="34">
        <v>10</v>
      </c>
      <c r="K283" s="36" t="s">
        <v>954</v>
      </c>
      <c r="L283" s="36" t="s">
        <v>713</v>
      </c>
      <c r="M283" s="37" t="s">
        <v>714</v>
      </c>
      <c r="N283" s="37" t="s">
        <v>1761</v>
      </c>
      <c r="O283" s="38">
        <v>1</v>
      </c>
      <c r="P283" s="38"/>
      <c r="Q283" s="35"/>
      <c r="S283" s="1">
        <f t="shared" si="161"/>
        <v>0</v>
      </c>
      <c r="T283" s="1">
        <f t="shared" si="162"/>
        <v>0</v>
      </c>
      <c r="U283" s="1">
        <f t="shared" si="163"/>
        <v>0</v>
      </c>
      <c r="V283" s="1">
        <f t="shared" si="164"/>
        <v>0</v>
      </c>
      <c r="W283" s="1">
        <f t="shared" si="165"/>
        <v>0</v>
      </c>
      <c r="X283" s="1">
        <f t="shared" si="166"/>
        <v>0</v>
      </c>
      <c r="Y283" s="1">
        <f t="shared" si="167"/>
        <v>0</v>
      </c>
      <c r="Z283" s="1">
        <f t="shared" si="168"/>
        <v>0</v>
      </c>
      <c r="AA283" s="1">
        <f t="shared" si="169"/>
        <v>0</v>
      </c>
      <c r="AB283" s="1">
        <f t="shared" si="170"/>
        <v>1</v>
      </c>
      <c r="AD283" s="1">
        <f t="shared" si="171"/>
        <v>0</v>
      </c>
      <c r="AE283" s="1">
        <f t="shared" si="172"/>
        <v>1</v>
      </c>
      <c r="AF283" s="1">
        <f t="shared" si="157"/>
        <v>0</v>
      </c>
      <c r="AG283" s="1">
        <f t="shared" si="158"/>
        <v>1</v>
      </c>
      <c r="AH283" s="1">
        <f t="shared" si="159"/>
        <v>0</v>
      </c>
      <c r="AI283" s="1">
        <f t="shared" si="160"/>
        <v>1</v>
      </c>
    </row>
    <row r="284" spans="1:35" ht="14.25" customHeight="1" x14ac:dyDescent="0.25">
      <c r="A284" s="15">
        <v>0</v>
      </c>
      <c r="B284" s="15">
        <v>2</v>
      </c>
      <c r="C284" s="15">
        <v>1</v>
      </c>
      <c r="D284" s="16" t="s">
        <v>512</v>
      </c>
      <c r="E284" s="16" t="s">
        <v>34</v>
      </c>
      <c r="F284" s="16" t="s">
        <v>511</v>
      </c>
      <c r="G284" s="16" t="s">
        <v>546</v>
      </c>
      <c r="H284" s="16" t="s">
        <v>354</v>
      </c>
      <c r="I284" s="15" t="s">
        <v>1364</v>
      </c>
      <c r="J284" s="15">
        <v>99</v>
      </c>
      <c r="K284" s="10" t="s">
        <v>955</v>
      </c>
      <c r="L284" s="10" t="s">
        <v>713</v>
      </c>
      <c r="M284" s="19" t="s">
        <v>714</v>
      </c>
      <c r="N284" s="19"/>
      <c r="Q284" s="20" t="s">
        <v>2013</v>
      </c>
      <c r="S284" s="1">
        <f t="shared" si="161"/>
        <v>0</v>
      </c>
      <c r="T284" s="1">
        <f t="shared" si="162"/>
        <v>0</v>
      </c>
      <c r="U284" s="1">
        <f t="shared" si="163"/>
        <v>0</v>
      </c>
      <c r="V284" s="1">
        <f t="shared" si="164"/>
        <v>0</v>
      </c>
      <c r="W284" s="1">
        <f t="shared" si="165"/>
        <v>0</v>
      </c>
      <c r="X284" s="1">
        <f t="shared" si="166"/>
        <v>0</v>
      </c>
      <c r="Y284" s="1">
        <f t="shared" si="167"/>
        <v>0</v>
      </c>
      <c r="Z284" s="1">
        <f t="shared" si="168"/>
        <v>0</v>
      </c>
      <c r="AA284" s="1">
        <f t="shared" si="169"/>
        <v>0</v>
      </c>
      <c r="AB284" s="1">
        <f t="shared" si="170"/>
        <v>0</v>
      </c>
      <c r="AD284" s="1">
        <f t="shared" si="171"/>
        <v>0</v>
      </c>
      <c r="AE284" s="1">
        <f t="shared" si="172"/>
        <v>0</v>
      </c>
      <c r="AF284" s="1">
        <f t="shared" si="157"/>
        <v>0</v>
      </c>
      <c r="AG284" s="1">
        <f t="shared" si="158"/>
        <v>0</v>
      </c>
      <c r="AH284" s="1">
        <f t="shared" si="159"/>
        <v>0</v>
      </c>
      <c r="AI284" s="1">
        <f t="shared" si="160"/>
        <v>1</v>
      </c>
    </row>
    <row r="285" spans="1:35" ht="14.25" customHeight="1" x14ac:dyDescent="0.25">
      <c r="A285" s="41">
        <v>0</v>
      </c>
      <c r="B285" s="41">
        <v>2</v>
      </c>
      <c r="C285" s="41">
        <v>1</v>
      </c>
      <c r="D285" s="42" t="s">
        <v>1042</v>
      </c>
      <c r="E285" s="42" t="s">
        <v>36</v>
      </c>
      <c r="F285" s="42" t="s">
        <v>1659</v>
      </c>
      <c r="G285" s="42" t="s">
        <v>628</v>
      </c>
      <c r="H285" s="42" t="s">
        <v>354</v>
      </c>
      <c r="I285" s="41" t="s">
        <v>1043</v>
      </c>
      <c r="J285" s="41">
        <v>99</v>
      </c>
      <c r="K285" s="43" t="s">
        <v>959</v>
      </c>
      <c r="L285" s="43" t="s">
        <v>713</v>
      </c>
      <c r="M285" s="44" t="s">
        <v>714</v>
      </c>
      <c r="N285" s="45"/>
      <c r="O285" s="46"/>
      <c r="P285" s="46">
        <v>1</v>
      </c>
      <c r="Q285" s="57" t="s">
        <v>1899</v>
      </c>
      <c r="S285" s="1">
        <f t="shared" si="161"/>
        <v>0</v>
      </c>
      <c r="T285" s="1">
        <f t="shared" si="162"/>
        <v>0</v>
      </c>
      <c r="U285" s="1">
        <f t="shared" si="163"/>
        <v>0</v>
      </c>
      <c r="V285" s="1">
        <f t="shared" si="164"/>
        <v>0</v>
      </c>
      <c r="W285" s="1">
        <f t="shared" si="165"/>
        <v>0</v>
      </c>
      <c r="X285" s="1">
        <f t="shared" si="166"/>
        <v>0</v>
      </c>
      <c r="Y285" s="1">
        <f t="shared" si="167"/>
        <v>0</v>
      </c>
      <c r="Z285" s="1">
        <f t="shared" si="168"/>
        <v>0</v>
      </c>
      <c r="AA285" s="1">
        <f t="shared" si="169"/>
        <v>0</v>
      </c>
      <c r="AB285" s="1">
        <f t="shared" si="170"/>
        <v>0</v>
      </c>
      <c r="AD285" s="1">
        <f t="shared" si="171"/>
        <v>0</v>
      </c>
      <c r="AE285" s="1">
        <f t="shared" si="172"/>
        <v>0</v>
      </c>
      <c r="AF285" s="1">
        <f t="shared" si="157"/>
        <v>0</v>
      </c>
      <c r="AG285" s="1">
        <f t="shared" si="158"/>
        <v>0</v>
      </c>
      <c r="AH285" s="1">
        <f t="shared" si="159"/>
        <v>1</v>
      </c>
      <c r="AI285" s="1">
        <f t="shared" si="160"/>
        <v>0</v>
      </c>
    </row>
    <row r="286" spans="1:35" ht="14.25" customHeight="1" x14ac:dyDescent="0.25">
      <c r="A286" s="34">
        <v>1</v>
      </c>
      <c r="B286" s="34">
        <v>2</v>
      </c>
      <c r="C286" s="34">
        <v>1</v>
      </c>
      <c r="D286" s="35" t="s">
        <v>49</v>
      </c>
      <c r="E286" s="35" t="s">
        <v>1314</v>
      </c>
      <c r="F286" s="35" t="s">
        <v>191</v>
      </c>
      <c r="G286" s="35" t="s">
        <v>192</v>
      </c>
      <c r="H286" s="35" t="s">
        <v>354</v>
      </c>
      <c r="I286" s="34" t="s">
        <v>386</v>
      </c>
      <c r="J286" s="34">
        <v>99</v>
      </c>
      <c r="K286" s="36" t="s">
        <v>712</v>
      </c>
      <c r="L286" s="36" t="s">
        <v>713</v>
      </c>
      <c r="M286" s="37" t="s">
        <v>714</v>
      </c>
      <c r="N286" s="37" t="s">
        <v>1756</v>
      </c>
      <c r="O286" s="38">
        <v>1</v>
      </c>
      <c r="P286" s="38"/>
      <c r="Q286" s="35"/>
      <c r="S286" s="1">
        <f t="shared" si="161"/>
        <v>0</v>
      </c>
      <c r="T286" s="1">
        <f t="shared" si="162"/>
        <v>0</v>
      </c>
      <c r="U286" s="1">
        <f t="shared" si="163"/>
        <v>0</v>
      </c>
      <c r="V286" s="1">
        <f t="shared" si="164"/>
        <v>0</v>
      </c>
      <c r="W286" s="1">
        <f t="shared" si="165"/>
        <v>0</v>
      </c>
      <c r="X286" s="1">
        <f t="shared" si="166"/>
        <v>0</v>
      </c>
      <c r="Y286" s="1">
        <f t="shared" si="167"/>
        <v>0</v>
      </c>
      <c r="Z286" s="1">
        <f t="shared" si="168"/>
        <v>0</v>
      </c>
      <c r="AA286" s="1">
        <f t="shared" si="169"/>
        <v>0</v>
      </c>
      <c r="AB286" s="1">
        <f t="shared" si="170"/>
        <v>0</v>
      </c>
      <c r="AD286" s="1">
        <f t="shared" si="171"/>
        <v>0</v>
      </c>
      <c r="AE286" s="1">
        <f t="shared" si="172"/>
        <v>1</v>
      </c>
      <c r="AF286" s="1">
        <f t="shared" si="157"/>
        <v>0</v>
      </c>
      <c r="AG286" s="1">
        <f t="shared" si="158"/>
        <v>0</v>
      </c>
      <c r="AH286" s="1">
        <f t="shared" si="159"/>
        <v>0</v>
      </c>
      <c r="AI286" s="1">
        <f t="shared" si="160"/>
        <v>0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1074</v>
      </c>
      <c r="E287" s="35" t="s">
        <v>1314</v>
      </c>
      <c r="F287" s="35" t="s">
        <v>1089</v>
      </c>
      <c r="G287" s="35" t="s">
        <v>202</v>
      </c>
      <c r="H287" s="35" t="s">
        <v>354</v>
      </c>
      <c r="I287" s="34" t="s">
        <v>386</v>
      </c>
      <c r="J287" s="34">
        <v>10</v>
      </c>
      <c r="K287" s="36" t="s">
        <v>712</v>
      </c>
      <c r="L287" s="36" t="s">
        <v>713</v>
      </c>
      <c r="M287" s="37" t="s">
        <v>714</v>
      </c>
      <c r="N287" s="37" t="s">
        <v>1756</v>
      </c>
      <c r="O287" s="38">
        <v>1</v>
      </c>
      <c r="P287" s="38"/>
      <c r="Q287" s="35"/>
      <c r="S287" s="1">
        <f t="shared" si="161"/>
        <v>0</v>
      </c>
      <c r="T287" s="1">
        <f t="shared" si="162"/>
        <v>0</v>
      </c>
      <c r="U287" s="1">
        <f t="shared" si="163"/>
        <v>0</v>
      </c>
      <c r="V287" s="1">
        <f t="shared" si="164"/>
        <v>0</v>
      </c>
      <c r="W287" s="1">
        <f t="shared" si="165"/>
        <v>0</v>
      </c>
      <c r="X287" s="1">
        <f t="shared" si="166"/>
        <v>0</v>
      </c>
      <c r="Y287" s="1">
        <f t="shared" si="167"/>
        <v>0</v>
      </c>
      <c r="Z287" s="1">
        <f t="shared" si="168"/>
        <v>0</v>
      </c>
      <c r="AA287" s="1">
        <f t="shared" si="169"/>
        <v>0</v>
      </c>
      <c r="AB287" s="1">
        <f t="shared" si="170"/>
        <v>1</v>
      </c>
      <c r="AD287" s="1">
        <f t="shared" si="171"/>
        <v>0</v>
      </c>
      <c r="AE287" s="1">
        <f t="shared" si="172"/>
        <v>1</v>
      </c>
      <c r="AF287" s="1">
        <f t="shared" si="157"/>
        <v>0</v>
      </c>
      <c r="AG287" s="1">
        <f t="shared" si="158"/>
        <v>1</v>
      </c>
      <c r="AH287" s="1">
        <f t="shared" si="159"/>
        <v>0</v>
      </c>
      <c r="AI287" s="1">
        <f t="shared" si="160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1273</v>
      </c>
      <c r="E288" s="35" t="s">
        <v>561</v>
      </c>
      <c r="F288" s="35" t="s">
        <v>1274</v>
      </c>
      <c r="G288" s="35" t="s">
        <v>258</v>
      </c>
      <c r="H288" s="35" t="s">
        <v>354</v>
      </c>
      <c r="I288" s="34" t="s">
        <v>1275</v>
      </c>
      <c r="J288" s="34">
        <v>8</v>
      </c>
      <c r="K288" s="36" t="s">
        <v>954</v>
      </c>
      <c r="L288" s="36" t="s">
        <v>713</v>
      </c>
      <c r="M288" s="37" t="s">
        <v>714</v>
      </c>
      <c r="N288" s="37" t="s">
        <v>1748</v>
      </c>
      <c r="O288" s="38">
        <v>1</v>
      </c>
      <c r="P288" s="38"/>
      <c r="Q288" s="35"/>
      <c r="S288" s="1">
        <f t="shared" si="161"/>
        <v>0</v>
      </c>
      <c r="T288" s="1">
        <f t="shared" si="162"/>
        <v>0</v>
      </c>
      <c r="U288" s="1">
        <f t="shared" si="163"/>
        <v>0</v>
      </c>
      <c r="V288" s="1">
        <f t="shared" si="164"/>
        <v>0</v>
      </c>
      <c r="W288" s="1">
        <f t="shared" si="165"/>
        <v>0</v>
      </c>
      <c r="X288" s="1">
        <f t="shared" si="166"/>
        <v>0</v>
      </c>
      <c r="Y288" s="1">
        <f t="shared" si="167"/>
        <v>0</v>
      </c>
      <c r="Z288" s="1">
        <f t="shared" si="168"/>
        <v>1</v>
      </c>
      <c r="AA288" s="1">
        <f t="shared" si="169"/>
        <v>0</v>
      </c>
      <c r="AB288" s="1">
        <f t="shared" si="170"/>
        <v>0</v>
      </c>
      <c r="AD288" s="1">
        <f t="shared" si="171"/>
        <v>0</v>
      </c>
      <c r="AE288" s="1">
        <f t="shared" si="172"/>
        <v>1</v>
      </c>
      <c r="AF288" s="1">
        <f t="shared" si="157"/>
        <v>0</v>
      </c>
      <c r="AG288" s="1">
        <f t="shared" si="158"/>
        <v>1</v>
      </c>
      <c r="AH288" s="1">
        <f t="shared" si="159"/>
        <v>0</v>
      </c>
      <c r="AI288" s="1">
        <f t="shared" si="160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48</v>
      </c>
      <c r="E289" s="48" t="s">
        <v>578</v>
      </c>
      <c r="F289" s="48" t="s">
        <v>189</v>
      </c>
      <c r="G289" s="48" t="s">
        <v>300</v>
      </c>
      <c r="H289" s="48" t="s">
        <v>354</v>
      </c>
      <c r="I289" s="47" t="s">
        <v>385</v>
      </c>
      <c r="J289" s="47">
        <v>99</v>
      </c>
      <c r="K289" s="49" t="s">
        <v>713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61"/>
        <v>0</v>
      </c>
      <c r="T289" s="1">
        <f t="shared" si="162"/>
        <v>0</v>
      </c>
      <c r="U289" s="1">
        <f t="shared" si="163"/>
        <v>0</v>
      </c>
      <c r="V289" s="1">
        <f t="shared" si="164"/>
        <v>0</v>
      </c>
      <c r="W289" s="1">
        <f t="shared" si="165"/>
        <v>0</v>
      </c>
      <c r="X289" s="1">
        <f t="shared" si="166"/>
        <v>0</v>
      </c>
      <c r="Y289" s="1">
        <f t="shared" si="167"/>
        <v>0</v>
      </c>
      <c r="Z289" s="1">
        <f t="shared" si="168"/>
        <v>0</v>
      </c>
      <c r="AA289" s="1">
        <f t="shared" si="169"/>
        <v>0</v>
      </c>
      <c r="AB289" s="1">
        <f t="shared" si="170"/>
        <v>0</v>
      </c>
      <c r="AD289" s="1">
        <f t="shared" si="171"/>
        <v>0</v>
      </c>
      <c r="AE289" s="1">
        <f t="shared" si="172"/>
        <v>0</v>
      </c>
      <c r="AF289" s="1">
        <f t="shared" si="157"/>
        <v>0</v>
      </c>
      <c r="AG289" s="1">
        <f t="shared" si="158"/>
        <v>0</v>
      </c>
      <c r="AH289" s="1">
        <f t="shared" si="159"/>
        <v>0</v>
      </c>
      <c r="AI289" s="1">
        <f t="shared" si="160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16" t="s">
        <v>57</v>
      </c>
      <c r="E290" s="16" t="s">
        <v>162</v>
      </c>
      <c r="F290" s="16" t="s">
        <v>666</v>
      </c>
      <c r="G290" s="16" t="s">
        <v>221</v>
      </c>
      <c r="H290" s="16" t="s">
        <v>354</v>
      </c>
      <c r="I290" s="15" t="s">
        <v>396</v>
      </c>
      <c r="J290" s="15">
        <v>99</v>
      </c>
      <c r="K290" s="10" t="s">
        <v>961</v>
      </c>
      <c r="L290" s="10" t="s">
        <v>713</v>
      </c>
      <c r="M290" s="19" t="s">
        <v>714</v>
      </c>
      <c r="N290" s="19"/>
      <c r="Q290" s="16"/>
      <c r="S290" s="1">
        <f t="shared" si="161"/>
        <v>0</v>
      </c>
      <c r="T290" s="1">
        <f t="shared" si="162"/>
        <v>0</v>
      </c>
      <c r="U290" s="1">
        <f t="shared" si="163"/>
        <v>0</v>
      </c>
      <c r="V290" s="1">
        <f t="shared" si="164"/>
        <v>0</v>
      </c>
      <c r="W290" s="1">
        <f t="shared" si="165"/>
        <v>0</v>
      </c>
      <c r="X290" s="1">
        <f t="shared" si="166"/>
        <v>0</v>
      </c>
      <c r="Y290" s="1">
        <f t="shared" si="167"/>
        <v>0</v>
      </c>
      <c r="Z290" s="1">
        <f t="shared" si="168"/>
        <v>0</v>
      </c>
      <c r="AA290" s="1">
        <f t="shared" si="169"/>
        <v>0</v>
      </c>
      <c r="AB290" s="1">
        <f t="shared" si="170"/>
        <v>0</v>
      </c>
      <c r="AD290" s="1">
        <f t="shared" si="171"/>
        <v>0</v>
      </c>
      <c r="AE290" s="1">
        <f t="shared" si="172"/>
        <v>0</v>
      </c>
      <c r="AF290" s="1">
        <f t="shared" si="157"/>
        <v>0</v>
      </c>
      <c r="AG290" s="1">
        <f t="shared" si="158"/>
        <v>0</v>
      </c>
      <c r="AH290" s="1">
        <f t="shared" si="159"/>
        <v>0</v>
      </c>
      <c r="AI290" s="1">
        <f t="shared" si="160"/>
        <v>1</v>
      </c>
    </row>
    <row r="291" spans="1:35" ht="14.25" customHeight="1" x14ac:dyDescent="0.25">
      <c r="A291" s="34">
        <v>0</v>
      </c>
      <c r="B291" s="34">
        <v>2</v>
      </c>
      <c r="C291" s="34">
        <v>1</v>
      </c>
      <c r="D291" s="35" t="s">
        <v>515</v>
      </c>
      <c r="E291" s="35" t="s">
        <v>561</v>
      </c>
      <c r="F291" s="35" t="s">
        <v>229</v>
      </c>
      <c r="G291" s="35" t="s">
        <v>230</v>
      </c>
      <c r="H291" s="35" t="s">
        <v>354</v>
      </c>
      <c r="I291" s="34" t="s">
        <v>400</v>
      </c>
      <c r="J291" s="34">
        <v>7</v>
      </c>
      <c r="K291" s="36" t="s">
        <v>954</v>
      </c>
      <c r="L291" s="36" t="s">
        <v>713</v>
      </c>
      <c r="M291" s="37" t="s">
        <v>714</v>
      </c>
      <c r="N291" s="37" t="s">
        <v>1749</v>
      </c>
      <c r="O291" s="38">
        <v>1</v>
      </c>
      <c r="P291" s="38"/>
      <c r="Q291" s="35"/>
      <c r="S291" s="1">
        <f t="shared" si="161"/>
        <v>0</v>
      </c>
      <c r="T291" s="1">
        <f t="shared" si="162"/>
        <v>0</v>
      </c>
      <c r="U291" s="1">
        <f t="shared" si="163"/>
        <v>0</v>
      </c>
      <c r="V291" s="1">
        <f t="shared" si="164"/>
        <v>0</v>
      </c>
      <c r="W291" s="1">
        <f t="shared" si="165"/>
        <v>0</v>
      </c>
      <c r="X291" s="1">
        <f t="shared" si="166"/>
        <v>0</v>
      </c>
      <c r="Y291" s="1">
        <f t="shared" si="167"/>
        <v>1</v>
      </c>
      <c r="Z291" s="1">
        <f t="shared" si="168"/>
        <v>0</v>
      </c>
      <c r="AA291" s="1">
        <f t="shared" si="169"/>
        <v>0</v>
      </c>
      <c r="AB291" s="1">
        <f t="shared" si="170"/>
        <v>0</v>
      </c>
      <c r="AD291" s="1">
        <f t="shared" si="171"/>
        <v>0</v>
      </c>
      <c r="AE291" s="1">
        <f t="shared" si="172"/>
        <v>1</v>
      </c>
      <c r="AF291" s="1">
        <f t="shared" si="157"/>
        <v>0</v>
      </c>
      <c r="AG291" s="1">
        <f t="shared" si="158"/>
        <v>1</v>
      </c>
      <c r="AH291" s="1">
        <f t="shared" si="159"/>
        <v>0</v>
      </c>
      <c r="AI291" s="1">
        <f t="shared" si="160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560</v>
      </c>
      <c r="E292" s="48" t="s">
        <v>561</v>
      </c>
      <c r="F292" s="48" t="s">
        <v>562</v>
      </c>
      <c r="G292" s="48" t="s">
        <v>208</v>
      </c>
      <c r="H292" s="48" t="s">
        <v>354</v>
      </c>
      <c r="I292" s="47" t="s">
        <v>563</v>
      </c>
      <c r="J292" s="47">
        <v>3</v>
      </c>
      <c r="K292" s="49" t="s">
        <v>712</v>
      </c>
      <c r="L292" s="49" t="s">
        <v>713</v>
      </c>
      <c r="M292" s="50" t="s">
        <v>714</v>
      </c>
      <c r="N292" s="50" t="s">
        <v>1747</v>
      </c>
      <c r="O292" s="51"/>
      <c r="P292" s="51"/>
      <c r="Q292" s="48"/>
      <c r="S292" s="1">
        <f t="shared" si="161"/>
        <v>0</v>
      </c>
      <c r="T292" s="1">
        <f t="shared" si="162"/>
        <v>0</v>
      </c>
      <c r="U292" s="1">
        <f t="shared" si="163"/>
        <v>1</v>
      </c>
      <c r="V292" s="1">
        <f t="shared" si="164"/>
        <v>0</v>
      </c>
      <c r="W292" s="1">
        <f t="shared" si="165"/>
        <v>0</v>
      </c>
      <c r="X292" s="1">
        <f t="shared" si="166"/>
        <v>0</v>
      </c>
      <c r="Y292" s="1">
        <f t="shared" si="167"/>
        <v>0</v>
      </c>
      <c r="Z292" s="1">
        <f t="shared" si="168"/>
        <v>0</v>
      </c>
      <c r="AA292" s="1">
        <f t="shared" si="169"/>
        <v>0</v>
      </c>
      <c r="AB292" s="1">
        <f t="shared" si="170"/>
        <v>0</v>
      </c>
      <c r="AD292" s="1">
        <f t="shared" si="171"/>
        <v>0</v>
      </c>
      <c r="AE292" s="1">
        <f t="shared" si="172"/>
        <v>0</v>
      </c>
      <c r="AF292" s="1">
        <f t="shared" si="157"/>
        <v>0</v>
      </c>
      <c r="AG292" s="1">
        <f t="shared" si="158"/>
        <v>0</v>
      </c>
      <c r="AH292" s="1">
        <f t="shared" si="159"/>
        <v>0</v>
      </c>
      <c r="AI292" s="1">
        <f t="shared" si="160"/>
        <v>1</v>
      </c>
    </row>
    <row r="293" spans="1:35" ht="14.25" customHeight="1" x14ac:dyDescent="0.25">
      <c r="A293" s="40">
        <v>0</v>
      </c>
      <c r="B293" s="40">
        <v>2</v>
      </c>
      <c r="C293" s="40">
        <v>1</v>
      </c>
      <c r="D293" s="39" t="s">
        <v>1053</v>
      </c>
      <c r="E293" s="39" t="s">
        <v>32</v>
      </c>
      <c r="F293" s="39" t="s">
        <v>1277</v>
      </c>
      <c r="G293" s="39" t="s">
        <v>535</v>
      </c>
      <c r="H293" s="39" t="s">
        <v>354</v>
      </c>
      <c r="I293" s="40" t="s">
        <v>1278</v>
      </c>
      <c r="J293" s="40">
        <v>6</v>
      </c>
      <c r="K293" s="59" t="s">
        <v>713</v>
      </c>
      <c r="L293" s="36" t="s">
        <v>713</v>
      </c>
      <c r="M293" s="37" t="s">
        <v>714</v>
      </c>
      <c r="N293" s="37" t="s">
        <v>1748</v>
      </c>
      <c r="O293" s="38">
        <v>1</v>
      </c>
      <c r="P293" s="38"/>
      <c r="Q293" s="39"/>
      <c r="S293" s="1">
        <f t="shared" si="161"/>
        <v>0</v>
      </c>
      <c r="T293" s="1">
        <f t="shared" si="162"/>
        <v>0</v>
      </c>
      <c r="U293" s="1">
        <f t="shared" si="163"/>
        <v>0</v>
      </c>
      <c r="V293" s="1">
        <f t="shared" si="164"/>
        <v>0</v>
      </c>
      <c r="W293" s="1">
        <f t="shared" si="165"/>
        <v>0</v>
      </c>
      <c r="X293" s="1">
        <f t="shared" si="166"/>
        <v>1</v>
      </c>
      <c r="Y293" s="1">
        <f t="shared" si="167"/>
        <v>0</v>
      </c>
      <c r="Z293" s="1">
        <f t="shared" si="168"/>
        <v>0</v>
      </c>
      <c r="AA293" s="1">
        <f t="shared" si="169"/>
        <v>0</v>
      </c>
      <c r="AB293" s="1">
        <f t="shared" si="170"/>
        <v>0</v>
      </c>
      <c r="AD293" s="1">
        <f t="shared" si="171"/>
        <v>0</v>
      </c>
      <c r="AE293" s="1">
        <f t="shared" si="172"/>
        <v>1</v>
      </c>
      <c r="AF293" s="1">
        <f t="shared" si="157"/>
        <v>0</v>
      </c>
      <c r="AG293" s="1">
        <f t="shared" si="158"/>
        <v>1</v>
      </c>
      <c r="AH293" s="1">
        <f t="shared" si="159"/>
        <v>0</v>
      </c>
      <c r="AI293" s="1">
        <f t="shared" si="160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917</v>
      </c>
      <c r="E294" s="48" t="s">
        <v>1333</v>
      </c>
      <c r="F294" s="48" t="s">
        <v>789</v>
      </c>
      <c r="G294" s="48" t="s">
        <v>257</v>
      </c>
      <c r="H294" s="48" t="s">
        <v>354</v>
      </c>
      <c r="I294" s="47" t="s">
        <v>944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1734</v>
      </c>
      <c r="O294" s="51"/>
      <c r="P294" s="51"/>
      <c r="Q294" s="48"/>
      <c r="S294" s="1">
        <f t="shared" si="161"/>
        <v>0</v>
      </c>
      <c r="T294" s="1">
        <f t="shared" si="162"/>
        <v>0</v>
      </c>
      <c r="U294" s="1">
        <f t="shared" si="163"/>
        <v>0</v>
      </c>
      <c r="V294" s="1">
        <f t="shared" si="164"/>
        <v>0</v>
      </c>
      <c r="W294" s="1">
        <f t="shared" si="165"/>
        <v>0</v>
      </c>
      <c r="X294" s="1">
        <f t="shared" si="166"/>
        <v>0</v>
      </c>
      <c r="Y294" s="1">
        <f t="shared" si="167"/>
        <v>0</v>
      </c>
      <c r="Z294" s="1">
        <f t="shared" si="168"/>
        <v>0</v>
      </c>
      <c r="AA294" s="1">
        <f t="shared" si="169"/>
        <v>0</v>
      </c>
      <c r="AB294" s="1">
        <f t="shared" si="170"/>
        <v>0</v>
      </c>
      <c r="AD294" s="1">
        <f t="shared" si="171"/>
        <v>0</v>
      </c>
      <c r="AE294" s="1">
        <f t="shared" si="172"/>
        <v>0</v>
      </c>
      <c r="AF294" s="1">
        <f t="shared" si="157"/>
        <v>0</v>
      </c>
      <c r="AG294" s="1">
        <f t="shared" si="158"/>
        <v>0</v>
      </c>
      <c r="AH294" s="1">
        <f t="shared" si="159"/>
        <v>0</v>
      </c>
      <c r="AI294" s="1">
        <f t="shared" si="160"/>
        <v>1</v>
      </c>
    </row>
    <row r="295" spans="1:35" ht="14.25" customHeight="1" x14ac:dyDescent="0.25">
      <c r="A295" s="40">
        <v>0</v>
      </c>
      <c r="B295" s="40">
        <v>2</v>
      </c>
      <c r="C295" s="40">
        <v>1</v>
      </c>
      <c r="D295" s="39" t="s">
        <v>1771</v>
      </c>
      <c r="E295" s="39" t="s">
        <v>1772</v>
      </c>
      <c r="F295" s="39" t="s">
        <v>1773</v>
      </c>
      <c r="G295" s="39" t="s">
        <v>180</v>
      </c>
      <c r="H295" s="39" t="s">
        <v>354</v>
      </c>
      <c r="I295" s="40" t="s">
        <v>1774</v>
      </c>
      <c r="J295" s="40"/>
      <c r="K295" s="59" t="s">
        <v>703</v>
      </c>
      <c r="L295" s="36">
        <v>4</v>
      </c>
      <c r="M295" s="37" t="s">
        <v>714</v>
      </c>
      <c r="N295" s="37" t="s">
        <v>1743</v>
      </c>
      <c r="O295" s="38">
        <v>1</v>
      </c>
      <c r="P295" s="38"/>
      <c r="Q295" s="39"/>
      <c r="S295" s="1">
        <f t="shared" si="161"/>
        <v>0</v>
      </c>
      <c r="T295" s="1">
        <f t="shared" si="162"/>
        <v>0</v>
      </c>
      <c r="U295" s="1">
        <f t="shared" si="163"/>
        <v>0</v>
      </c>
      <c r="V295" s="1">
        <f t="shared" si="164"/>
        <v>0</v>
      </c>
      <c r="W295" s="1">
        <f t="shared" si="165"/>
        <v>0</v>
      </c>
      <c r="X295" s="1">
        <f t="shared" si="166"/>
        <v>0</v>
      </c>
      <c r="Y295" s="1">
        <f t="shared" si="167"/>
        <v>0</v>
      </c>
      <c r="Z295" s="1">
        <f t="shared" si="168"/>
        <v>0</v>
      </c>
      <c r="AA295" s="1">
        <f t="shared" si="169"/>
        <v>0</v>
      </c>
      <c r="AB295" s="1">
        <f t="shared" si="170"/>
        <v>0</v>
      </c>
      <c r="AD295" s="1">
        <f t="shared" si="171"/>
        <v>0</v>
      </c>
      <c r="AE295" s="1">
        <f t="shared" si="172"/>
        <v>1</v>
      </c>
      <c r="AF295" s="1">
        <f t="shared" si="157"/>
        <v>0</v>
      </c>
      <c r="AG295" s="1">
        <f t="shared" si="158"/>
        <v>1</v>
      </c>
      <c r="AH295" s="1">
        <f t="shared" si="159"/>
        <v>0</v>
      </c>
      <c r="AI295" s="1">
        <f t="shared" si="160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619</v>
      </c>
      <c r="E296" s="35" t="s">
        <v>620</v>
      </c>
      <c r="F296" s="35" t="s">
        <v>621</v>
      </c>
      <c r="G296" s="35" t="s">
        <v>622</v>
      </c>
      <c r="H296" s="35" t="s">
        <v>354</v>
      </c>
      <c r="I296" s="34" t="s">
        <v>623</v>
      </c>
      <c r="J296" s="34">
        <v>99</v>
      </c>
      <c r="K296" s="36" t="s">
        <v>712</v>
      </c>
      <c r="L296" s="36" t="s">
        <v>713</v>
      </c>
      <c r="M296" s="37" t="s">
        <v>714</v>
      </c>
      <c r="N296" s="37" t="s">
        <v>1756</v>
      </c>
      <c r="O296" s="38">
        <v>1</v>
      </c>
      <c r="P296" s="38"/>
      <c r="Q296" s="35"/>
      <c r="S296" s="1">
        <f t="shared" si="161"/>
        <v>0</v>
      </c>
      <c r="T296" s="1">
        <f t="shared" si="162"/>
        <v>0</v>
      </c>
      <c r="U296" s="1">
        <f t="shared" si="163"/>
        <v>0</v>
      </c>
      <c r="V296" s="1">
        <f t="shared" si="164"/>
        <v>0</v>
      </c>
      <c r="W296" s="1">
        <f t="shared" si="165"/>
        <v>0</v>
      </c>
      <c r="X296" s="1">
        <f t="shared" si="166"/>
        <v>0</v>
      </c>
      <c r="Y296" s="1">
        <f t="shared" si="167"/>
        <v>0</v>
      </c>
      <c r="Z296" s="1">
        <f t="shared" si="168"/>
        <v>0</v>
      </c>
      <c r="AA296" s="1">
        <f t="shared" si="169"/>
        <v>0</v>
      </c>
      <c r="AB296" s="1">
        <f t="shared" si="170"/>
        <v>0</v>
      </c>
      <c r="AD296" s="1">
        <f t="shared" si="171"/>
        <v>0</v>
      </c>
      <c r="AE296" s="1">
        <f t="shared" si="172"/>
        <v>1</v>
      </c>
      <c r="AF296" s="1">
        <f t="shared" si="157"/>
        <v>0</v>
      </c>
      <c r="AG296" s="1">
        <f t="shared" si="158"/>
        <v>1</v>
      </c>
      <c r="AH296" s="1">
        <f t="shared" si="159"/>
        <v>0</v>
      </c>
      <c r="AI296" s="1">
        <f t="shared" si="160"/>
        <v>1</v>
      </c>
    </row>
    <row r="297" spans="1:35" ht="14.25" customHeight="1" x14ac:dyDescent="0.25">
      <c r="A297" s="47">
        <v>0</v>
      </c>
      <c r="B297" s="47">
        <v>2</v>
      </c>
      <c r="C297" s="47">
        <v>1</v>
      </c>
      <c r="D297" s="48" t="s">
        <v>1080</v>
      </c>
      <c r="E297" s="48" t="s">
        <v>1334</v>
      </c>
      <c r="F297" s="48" t="s">
        <v>1663</v>
      </c>
      <c r="G297" s="48" t="s">
        <v>190</v>
      </c>
      <c r="H297" s="48" t="s">
        <v>354</v>
      </c>
      <c r="I297" s="67" t="s">
        <v>1861</v>
      </c>
      <c r="J297" s="47">
        <v>99</v>
      </c>
      <c r="K297" s="49" t="s">
        <v>712</v>
      </c>
      <c r="L297" s="49" t="s">
        <v>713</v>
      </c>
      <c r="M297" s="50" t="s">
        <v>714</v>
      </c>
      <c r="N297" s="50" t="s">
        <v>1735</v>
      </c>
      <c r="O297" s="51"/>
      <c r="P297" s="51"/>
      <c r="Q297" s="48"/>
      <c r="S297" s="1">
        <f t="shared" si="161"/>
        <v>0</v>
      </c>
      <c r="T297" s="1">
        <f t="shared" si="162"/>
        <v>0</v>
      </c>
      <c r="U297" s="1">
        <f t="shared" si="163"/>
        <v>0</v>
      </c>
      <c r="V297" s="1">
        <f t="shared" si="164"/>
        <v>0</v>
      </c>
      <c r="W297" s="1">
        <f t="shared" si="165"/>
        <v>0</v>
      </c>
      <c r="X297" s="1">
        <f t="shared" si="166"/>
        <v>0</v>
      </c>
      <c r="Y297" s="1">
        <f t="shared" si="167"/>
        <v>0</v>
      </c>
      <c r="Z297" s="1">
        <f t="shared" si="168"/>
        <v>0</v>
      </c>
      <c r="AA297" s="1">
        <f t="shared" si="169"/>
        <v>0</v>
      </c>
      <c r="AB297" s="1">
        <f t="shared" si="170"/>
        <v>0</v>
      </c>
      <c r="AD297" s="1">
        <f t="shared" si="171"/>
        <v>0</v>
      </c>
      <c r="AE297" s="1">
        <f t="shared" si="172"/>
        <v>0</v>
      </c>
      <c r="AF297" s="1">
        <f t="shared" si="157"/>
        <v>0</v>
      </c>
      <c r="AG297" s="1">
        <f t="shared" si="158"/>
        <v>0</v>
      </c>
      <c r="AH297" s="1">
        <f t="shared" si="159"/>
        <v>0</v>
      </c>
      <c r="AI297" s="1">
        <f t="shared" si="160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651</v>
      </c>
      <c r="E298" s="16" t="s">
        <v>36</v>
      </c>
      <c r="F298" s="16" t="s">
        <v>667</v>
      </c>
      <c r="G298" s="16" t="s">
        <v>201</v>
      </c>
      <c r="H298" s="16" t="s">
        <v>354</v>
      </c>
      <c r="I298" s="15" t="s">
        <v>1005</v>
      </c>
      <c r="J298" s="15">
        <v>99</v>
      </c>
      <c r="K298" s="10" t="s">
        <v>703</v>
      </c>
      <c r="L298" s="10">
        <v>4</v>
      </c>
      <c r="M298" s="19" t="s">
        <v>714</v>
      </c>
      <c r="N298" s="17"/>
      <c r="Q298" s="16"/>
      <c r="S298" s="1">
        <f t="shared" si="161"/>
        <v>0</v>
      </c>
      <c r="T298" s="1">
        <f t="shared" si="162"/>
        <v>0</v>
      </c>
      <c r="U298" s="1">
        <f t="shared" si="163"/>
        <v>0</v>
      </c>
      <c r="V298" s="1">
        <f t="shared" si="164"/>
        <v>0</v>
      </c>
      <c r="W298" s="1">
        <f t="shared" si="165"/>
        <v>0</v>
      </c>
      <c r="X298" s="1">
        <f t="shared" si="166"/>
        <v>0</v>
      </c>
      <c r="Y298" s="1">
        <f t="shared" si="167"/>
        <v>0</v>
      </c>
      <c r="Z298" s="1">
        <f t="shared" si="168"/>
        <v>0</v>
      </c>
      <c r="AA298" s="1">
        <f t="shared" si="169"/>
        <v>0</v>
      </c>
      <c r="AB298" s="1">
        <f t="shared" si="170"/>
        <v>0</v>
      </c>
      <c r="AD298" s="1">
        <f t="shared" si="171"/>
        <v>0</v>
      </c>
      <c r="AE298" s="1">
        <f t="shared" si="172"/>
        <v>0</v>
      </c>
      <c r="AF298" s="1">
        <f t="shared" si="157"/>
        <v>0</v>
      </c>
      <c r="AG298" s="1">
        <f t="shared" si="158"/>
        <v>0</v>
      </c>
      <c r="AH298" s="1">
        <f t="shared" si="159"/>
        <v>0</v>
      </c>
      <c r="AI298" s="1">
        <f t="shared" si="160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1264</v>
      </c>
      <c r="E299" s="48" t="s">
        <v>1265</v>
      </c>
      <c r="F299" s="48" t="s">
        <v>1266</v>
      </c>
      <c r="G299" s="48" t="s">
        <v>1165</v>
      </c>
      <c r="H299" s="48" t="s">
        <v>354</v>
      </c>
      <c r="I299" s="47" t="s">
        <v>1267</v>
      </c>
      <c r="J299" s="47">
        <v>11</v>
      </c>
      <c r="K299" s="49" t="s">
        <v>703</v>
      </c>
      <c r="L299" s="49">
        <v>6</v>
      </c>
      <c r="M299" s="50" t="s">
        <v>1728</v>
      </c>
      <c r="N299" s="50" t="s">
        <v>1809</v>
      </c>
      <c r="O299" s="51"/>
      <c r="P299" s="51"/>
      <c r="Q299" s="48"/>
      <c r="S299" s="1">
        <f t="shared" si="161"/>
        <v>0</v>
      </c>
      <c r="T299" s="1">
        <f t="shared" si="162"/>
        <v>0</v>
      </c>
      <c r="U299" s="1">
        <f t="shared" si="163"/>
        <v>0</v>
      </c>
      <c r="V299" s="1">
        <f t="shared" si="164"/>
        <v>0</v>
      </c>
      <c r="W299" s="1">
        <f t="shared" si="165"/>
        <v>0</v>
      </c>
      <c r="X299" s="1">
        <f t="shared" si="166"/>
        <v>0</v>
      </c>
      <c r="Y299" s="1">
        <f t="shared" si="167"/>
        <v>0</v>
      </c>
      <c r="Z299" s="1">
        <f t="shared" si="168"/>
        <v>0</v>
      </c>
      <c r="AA299" s="1">
        <f t="shared" si="169"/>
        <v>0</v>
      </c>
      <c r="AB299" s="1">
        <f t="shared" si="170"/>
        <v>0</v>
      </c>
      <c r="AD299" s="1">
        <f t="shared" si="171"/>
        <v>0</v>
      </c>
      <c r="AE299" s="1">
        <f t="shared" si="172"/>
        <v>0</v>
      </c>
      <c r="AF299" s="1">
        <f t="shared" si="157"/>
        <v>0</v>
      </c>
      <c r="AG299" s="1">
        <f t="shared" si="158"/>
        <v>0</v>
      </c>
      <c r="AH299" s="1">
        <f t="shared" si="159"/>
        <v>0</v>
      </c>
      <c r="AI299" s="1">
        <f t="shared" si="160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1123</v>
      </c>
      <c r="E300" s="35" t="s">
        <v>1314</v>
      </c>
      <c r="F300" s="35" t="s">
        <v>1121</v>
      </c>
      <c r="G300" s="35" t="s">
        <v>230</v>
      </c>
      <c r="H300" s="35" t="s">
        <v>354</v>
      </c>
      <c r="I300" s="34" t="s">
        <v>1122</v>
      </c>
      <c r="J300" s="34">
        <v>7</v>
      </c>
      <c r="K300" s="36" t="s">
        <v>713</v>
      </c>
      <c r="L300" s="36" t="s">
        <v>1709</v>
      </c>
      <c r="M300" s="37" t="s">
        <v>714</v>
      </c>
      <c r="N300" s="37" t="s">
        <v>1756</v>
      </c>
      <c r="O300" s="38">
        <v>1</v>
      </c>
      <c r="P300" s="38"/>
      <c r="Q300" s="35"/>
      <c r="S300" s="1">
        <f t="shared" si="161"/>
        <v>0</v>
      </c>
      <c r="T300" s="1">
        <f t="shared" si="162"/>
        <v>0</v>
      </c>
      <c r="U300" s="1">
        <f t="shared" si="163"/>
        <v>0</v>
      </c>
      <c r="V300" s="1">
        <f t="shared" si="164"/>
        <v>0</v>
      </c>
      <c r="W300" s="1">
        <f t="shared" si="165"/>
        <v>0</v>
      </c>
      <c r="X300" s="1">
        <f t="shared" si="166"/>
        <v>0</v>
      </c>
      <c r="Y300" s="1">
        <f t="shared" si="167"/>
        <v>1</v>
      </c>
      <c r="Z300" s="1">
        <f t="shared" si="168"/>
        <v>0</v>
      </c>
      <c r="AA300" s="1">
        <f t="shared" si="169"/>
        <v>0</v>
      </c>
      <c r="AB300" s="1">
        <f t="shared" si="170"/>
        <v>0</v>
      </c>
      <c r="AD300" s="1">
        <f t="shared" si="171"/>
        <v>0</v>
      </c>
      <c r="AE300" s="1">
        <f t="shared" si="172"/>
        <v>1</v>
      </c>
      <c r="AF300" s="1">
        <f t="shared" si="157"/>
        <v>0</v>
      </c>
      <c r="AG300" s="1">
        <f t="shared" si="158"/>
        <v>1</v>
      </c>
      <c r="AH300" s="1">
        <f t="shared" si="159"/>
        <v>0</v>
      </c>
      <c r="AI300" s="1">
        <f t="shared" si="160"/>
        <v>1</v>
      </c>
    </row>
    <row r="301" spans="1:35" ht="14.25" customHeight="1" x14ac:dyDescent="0.25">
      <c r="A301" s="34">
        <v>0</v>
      </c>
      <c r="B301" s="34">
        <v>2</v>
      </c>
      <c r="C301" s="34">
        <v>1</v>
      </c>
      <c r="D301" s="35" t="s">
        <v>1008</v>
      </c>
      <c r="E301" s="35" t="s">
        <v>1336</v>
      </c>
      <c r="F301" s="35" t="s">
        <v>1009</v>
      </c>
      <c r="G301" s="35" t="s">
        <v>1100</v>
      </c>
      <c r="H301" s="35" t="s">
        <v>354</v>
      </c>
      <c r="I301" s="34" t="s">
        <v>408</v>
      </c>
      <c r="J301" s="34">
        <v>99</v>
      </c>
      <c r="K301" s="36" t="s">
        <v>713</v>
      </c>
      <c r="L301" s="36" t="s">
        <v>713</v>
      </c>
      <c r="M301" s="37" t="s">
        <v>714</v>
      </c>
      <c r="N301" s="37" t="s">
        <v>1743</v>
      </c>
      <c r="O301" s="38">
        <v>1</v>
      </c>
      <c r="P301" s="38"/>
      <c r="Q301" s="35"/>
      <c r="S301" s="1">
        <f t="shared" si="161"/>
        <v>0</v>
      </c>
      <c r="T301" s="1">
        <f t="shared" si="162"/>
        <v>0</v>
      </c>
      <c r="U301" s="1">
        <f t="shared" si="163"/>
        <v>0</v>
      </c>
      <c r="V301" s="1">
        <f t="shared" si="164"/>
        <v>0</v>
      </c>
      <c r="W301" s="1">
        <f t="shared" si="165"/>
        <v>0</v>
      </c>
      <c r="X301" s="1">
        <f t="shared" si="166"/>
        <v>0</v>
      </c>
      <c r="Y301" s="1">
        <f t="shared" si="167"/>
        <v>0</v>
      </c>
      <c r="Z301" s="1">
        <f t="shared" si="168"/>
        <v>0</v>
      </c>
      <c r="AA301" s="1">
        <f t="shared" si="169"/>
        <v>0</v>
      </c>
      <c r="AB301" s="1">
        <f t="shared" si="170"/>
        <v>0</v>
      </c>
      <c r="AD301" s="1">
        <f t="shared" si="171"/>
        <v>0</v>
      </c>
      <c r="AE301" s="1">
        <f t="shared" si="172"/>
        <v>1</v>
      </c>
      <c r="AF301" s="1">
        <f t="shared" si="157"/>
        <v>0</v>
      </c>
      <c r="AG301" s="1">
        <f t="shared" si="158"/>
        <v>1</v>
      </c>
      <c r="AH301" s="1">
        <f t="shared" si="159"/>
        <v>0</v>
      </c>
      <c r="AI301" s="1">
        <f t="shared" si="160"/>
        <v>1</v>
      </c>
    </row>
    <row r="302" spans="1:35" ht="14.25" customHeight="1" x14ac:dyDescent="0.25">
      <c r="A302" s="52">
        <v>0</v>
      </c>
      <c r="B302" s="52">
        <v>2</v>
      </c>
      <c r="C302" s="52">
        <v>1</v>
      </c>
      <c r="D302" s="53" t="s">
        <v>1130</v>
      </c>
      <c r="E302" s="53" t="s">
        <v>561</v>
      </c>
      <c r="F302" s="53" t="s">
        <v>1354</v>
      </c>
      <c r="G302" s="53" t="s">
        <v>265</v>
      </c>
      <c r="H302" s="53" t="s">
        <v>354</v>
      </c>
      <c r="I302" s="52" t="s">
        <v>1131</v>
      </c>
      <c r="J302" s="52">
        <v>8</v>
      </c>
      <c r="K302" s="54" t="s">
        <v>712</v>
      </c>
      <c r="L302" s="54" t="s">
        <v>1709</v>
      </c>
      <c r="M302" s="55" t="s">
        <v>714</v>
      </c>
      <c r="N302" s="55" t="s">
        <v>1748</v>
      </c>
      <c r="O302" s="56">
        <v>1</v>
      </c>
      <c r="P302" s="56"/>
      <c r="Q302" s="53"/>
      <c r="S302" s="1">
        <f t="shared" si="161"/>
        <v>0</v>
      </c>
      <c r="T302" s="1">
        <f t="shared" si="162"/>
        <v>0</v>
      </c>
      <c r="U302" s="1">
        <f t="shared" si="163"/>
        <v>0</v>
      </c>
      <c r="V302" s="1">
        <f t="shared" si="164"/>
        <v>0</v>
      </c>
      <c r="W302" s="1">
        <f t="shared" si="165"/>
        <v>0</v>
      </c>
      <c r="X302" s="1">
        <f t="shared" si="166"/>
        <v>0</v>
      </c>
      <c r="Y302" s="1">
        <f t="shared" si="167"/>
        <v>0</v>
      </c>
      <c r="Z302" s="1">
        <f t="shared" si="168"/>
        <v>1</v>
      </c>
      <c r="AA302" s="1">
        <f t="shared" si="169"/>
        <v>0</v>
      </c>
      <c r="AB302" s="1">
        <f t="shared" si="170"/>
        <v>0</v>
      </c>
      <c r="AD302" s="1">
        <f t="shared" si="171"/>
        <v>0</v>
      </c>
      <c r="AE302" s="1">
        <f t="shared" si="172"/>
        <v>1</v>
      </c>
      <c r="AF302" s="1">
        <f t="shared" si="157"/>
        <v>0</v>
      </c>
      <c r="AG302" s="1">
        <f t="shared" si="158"/>
        <v>1</v>
      </c>
      <c r="AH302" s="1">
        <f t="shared" si="159"/>
        <v>0</v>
      </c>
      <c r="AI302" s="1">
        <f t="shared" si="160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1286</v>
      </c>
      <c r="E303" s="35" t="s">
        <v>1334</v>
      </c>
      <c r="F303" s="35" t="s">
        <v>1283</v>
      </c>
      <c r="G303" s="35" t="s">
        <v>1284</v>
      </c>
      <c r="H303" s="35" t="s">
        <v>354</v>
      </c>
      <c r="I303" s="34" t="s">
        <v>1285</v>
      </c>
      <c r="J303" s="34">
        <v>1</v>
      </c>
      <c r="K303" s="36" t="s">
        <v>712</v>
      </c>
      <c r="L303" s="36" t="s">
        <v>713</v>
      </c>
      <c r="M303" s="37" t="s">
        <v>714</v>
      </c>
      <c r="N303" s="37" t="s">
        <v>1761</v>
      </c>
      <c r="O303" s="38">
        <v>1</v>
      </c>
      <c r="P303" s="38"/>
      <c r="Q303" s="35" t="s">
        <v>1902</v>
      </c>
      <c r="S303" s="1">
        <f t="shared" si="161"/>
        <v>1</v>
      </c>
      <c r="T303" s="1">
        <f t="shared" si="162"/>
        <v>0</v>
      </c>
      <c r="U303" s="1">
        <f t="shared" si="163"/>
        <v>0</v>
      </c>
      <c r="V303" s="1">
        <f t="shared" si="164"/>
        <v>0</v>
      </c>
      <c r="W303" s="1">
        <f t="shared" si="165"/>
        <v>0</v>
      </c>
      <c r="X303" s="1">
        <f t="shared" si="166"/>
        <v>0</v>
      </c>
      <c r="Y303" s="1">
        <f t="shared" si="167"/>
        <v>0</v>
      </c>
      <c r="Z303" s="1">
        <f t="shared" si="168"/>
        <v>0</v>
      </c>
      <c r="AA303" s="1">
        <f t="shared" si="169"/>
        <v>0</v>
      </c>
      <c r="AB303" s="1">
        <f t="shared" si="170"/>
        <v>0</v>
      </c>
      <c r="AD303" s="1">
        <f t="shared" si="171"/>
        <v>0</v>
      </c>
      <c r="AE303" s="1">
        <f t="shared" si="172"/>
        <v>1</v>
      </c>
      <c r="AF303" s="1">
        <f t="shared" si="157"/>
        <v>0</v>
      </c>
      <c r="AG303" s="1">
        <f t="shared" si="158"/>
        <v>1</v>
      </c>
      <c r="AH303" s="1">
        <f t="shared" si="159"/>
        <v>0</v>
      </c>
      <c r="AI303" s="1">
        <f t="shared" si="160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52</v>
      </c>
      <c r="E304" s="48" t="s">
        <v>32</v>
      </c>
      <c r="F304" s="48" t="s">
        <v>206</v>
      </c>
      <c r="G304" s="48" t="s">
        <v>207</v>
      </c>
      <c r="H304" s="48" t="s">
        <v>354</v>
      </c>
      <c r="I304" s="47" t="s">
        <v>391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1747</v>
      </c>
      <c r="O304" s="51"/>
      <c r="P304" s="51"/>
      <c r="Q304" s="48"/>
      <c r="S304" s="1">
        <f t="shared" si="161"/>
        <v>0</v>
      </c>
      <c r="T304" s="1">
        <f t="shared" si="162"/>
        <v>0</v>
      </c>
      <c r="U304" s="1">
        <f t="shared" si="163"/>
        <v>0</v>
      </c>
      <c r="V304" s="1">
        <f t="shared" si="164"/>
        <v>0</v>
      </c>
      <c r="W304" s="1">
        <f t="shared" si="165"/>
        <v>0</v>
      </c>
      <c r="X304" s="1">
        <f t="shared" si="166"/>
        <v>0</v>
      </c>
      <c r="Y304" s="1">
        <f t="shared" si="167"/>
        <v>0</v>
      </c>
      <c r="Z304" s="1">
        <f t="shared" si="168"/>
        <v>0</v>
      </c>
      <c r="AA304" s="1">
        <f t="shared" si="169"/>
        <v>0</v>
      </c>
      <c r="AB304" s="1">
        <f t="shared" si="170"/>
        <v>0</v>
      </c>
      <c r="AD304" s="1">
        <f t="shared" si="171"/>
        <v>0</v>
      </c>
      <c r="AE304" s="1">
        <f t="shared" si="172"/>
        <v>0</v>
      </c>
      <c r="AF304" s="1">
        <f t="shared" si="157"/>
        <v>0</v>
      </c>
      <c r="AG304" s="1">
        <f t="shared" si="158"/>
        <v>0</v>
      </c>
      <c r="AH304" s="1">
        <f t="shared" si="159"/>
        <v>0</v>
      </c>
      <c r="AI304" s="1">
        <f t="shared" si="160"/>
        <v>1</v>
      </c>
    </row>
    <row r="305" spans="1:35" ht="14.25" customHeight="1" x14ac:dyDescent="0.25">
      <c r="A305" s="47">
        <v>0</v>
      </c>
      <c r="B305" s="47">
        <v>2</v>
      </c>
      <c r="C305" s="47">
        <v>1</v>
      </c>
      <c r="D305" s="48" t="s">
        <v>73</v>
      </c>
      <c r="E305" s="48" t="s">
        <v>561</v>
      </c>
      <c r="F305" s="48" t="s">
        <v>1050</v>
      </c>
      <c r="G305" s="48" t="s">
        <v>190</v>
      </c>
      <c r="H305" s="48" t="s">
        <v>354</v>
      </c>
      <c r="I305" s="47" t="s">
        <v>421</v>
      </c>
      <c r="J305" s="47">
        <v>99</v>
      </c>
      <c r="K305" s="49" t="s">
        <v>954</v>
      </c>
      <c r="L305" s="49" t="s">
        <v>713</v>
      </c>
      <c r="M305" s="50" t="s">
        <v>714</v>
      </c>
      <c r="N305" s="50" t="s">
        <v>1735</v>
      </c>
      <c r="O305" s="51"/>
      <c r="P305" s="51"/>
      <c r="Q305" s="48"/>
      <c r="S305" s="1">
        <f t="shared" si="161"/>
        <v>0</v>
      </c>
      <c r="T305" s="1">
        <f t="shared" si="162"/>
        <v>0</v>
      </c>
      <c r="U305" s="1">
        <f t="shared" si="163"/>
        <v>0</v>
      </c>
      <c r="V305" s="1">
        <f t="shared" si="164"/>
        <v>0</v>
      </c>
      <c r="W305" s="1">
        <f t="shared" si="165"/>
        <v>0</v>
      </c>
      <c r="X305" s="1">
        <f t="shared" si="166"/>
        <v>0</v>
      </c>
      <c r="Y305" s="1">
        <f t="shared" si="167"/>
        <v>0</v>
      </c>
      <c r="Z305" s="1">
        <f t="shared" si="168"/>
        <v>0</v>
      </c>
      <c r="AA305" s="1">
        <f t="shared" si="169"/>
        <v>0</v>
      </c>
      <c r="AB305" s="1">
        <f t="shared" si="170"/>
        <v>0</v>
      </c>
      <c r="AD305" s="1">
        <f t="shared" si="171"/>
        <v>0</v>
      </c>
      <c r="AE305" s="1">
        <f t="shared" si="172"/>
        <v>0</v>
      </c>
      <c r="AF305" s="1">
        <f t="shared" si="157"/>
        <v>0</v>
      </c>
      <c r="AG305" s="1">
        <f t="shared" si="158"/>
        <v>0</v>
      </c>
      <c r="AH305" s="1">
        <f t="shared" si="159"/>
        <v>0</v>
      </c>
      <c r="AI305" s="1">
        <f t="shared" si="160"/>
        <v>1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47</v>
      </c>
      <c r="E306" s="35" t="s">
        <v>32</v>
      </c>
      <c r="F306" s="35" t="s">
        <v>187</v>
      </c>
      <c r="G306" s="35" t="s">
        <v>180</v>
      </c>
      <c r="H306" s="35" t="s">
        <v>354</v>
      </c>
      <c r="I306" s="34" t="s">
        <v>383</v>
      </c>
      <c r="J306" s="34">
        <v>10</v>
      </c>
      <c r="K306" s="36" t="s">
        <v>955</v>
      </c>
      <c r="L306" s="36" t="s">
        <v>713</v>
      </c>
      <c r="M306" s="37" t="s">
        <v>714</v>
      </c>
      <c r="N306" s="37" t="s">
        <v>1743</v>
      </c>
      <c r="O306" s="38">
        <v>1</v>
      </c>
      <c r="P306" s="38"/>
      <c r="Q306" s="35"/>
      <c r="S306" s="1">
        <f t="shared" si="161"/>
        <v>0</v>
      </c>
      <c r="T306" s="1">
        <f t="shared" si="162"/>
        <v>0</v>
      </c>
      <c r="U306" s="1">
        <f t="shared" si="163"/>
        <v>0</v>
      </c>
      <c r="V306" s="1">
        <f t="shared" si="164"/>
        <v>0</v>
      </c>
      <c r="W306" s="1">
        <f t="shared" si="165"/>
        <v>0</v>
      </c>
      <c r="X306" s="1">
        <f t="shared" si="166"/>
        <v>0</v>
      </c>
      <c r="Y306" s="1">
        <f t="shared" si="167"/>
        <v>0</v>
      </c>
      <c r="Z306" s="1">
        <f t="shared" si="168"/>
        <v>0</v>
      </c>
      <c r="AA306" s="1">
        <f t="shared" si="169"/>
        <v>0</v>
      </c>
      <c r="AB306" s="1">
        <f t="shared" si="170"/>
        <v>1</v>
      </c>
      <c r="AD306" s="1">
        <f t="shared" si="171"/>
        <v>0</v>
      </c>
      <c r="AE306" s="1">
        <f t="shared" si="172"/>
        <v>1</v>
      </c>
      <c r="AF306" s="1">
        <f t="shared" si="157"/>
        <v>0</v>
      </c>
      <c r="AG306" s="1">
        <f t="shared" si="158"/>
        <v>1</v>
      </c>
      <c r="AH306" s="1">
        <f t="shared" si="159"/>
        <v>0</v>
      </c>
      <c r="AI306" s="1">
        <f t="shared" si="160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652</v>
      </c>
      <c r="E307" s="48" t="s">
        <v>160</v>
      </c>
      <c r="F307" s="48" t="s">
        <v>188</v>
      </c>
      <c r="G307" s="48" t="s">
        <v>668</v>
      </c>
      <c r="H307" s="48" t="s">
        <v>354</v>
      </c>
      <c r="I307" s="47" t="s">
        <v>384</v>
      </c>
      <c r="J307" s="47">
        <v>99</v>
      </c>
      <c r="K307" s="49" t="s">
        <v>712</v>
      </c>
      <c r="L307" s="49" t="s">
        <v>713</v>
      </c>
      <c r="M307" s="50" t="s">
        <v>714</v>
      </c>
      <c r="N307" s="50" t="s">
        <v>1737</v>
      </c>
      <c r="O307" s="51"/>
      <c r="P307" s="51"/>
      <c r="Q307" s="48"/>
      <c r="S307" s="1">
        <f t="shared" si="161"/>
        <v>0</v>
      </c>
      <c r="T307" s="1">
        <f t="shared" si="162"/>
        <v>0</v>
      </c>
      <c r="U307" s="1">
        <f t="shared" si="163"/>
        <v>0</v>
      </c>
      <c r="V307" s="1">
        <f t="shared" si="164"/>
        <v>0</v>
      </c>
      <c r="W307" s="1">
        <f t="shared" si="165"/>
        <v>0</v>
      </c>
      <c r="X307" s="1">
        <f t="shared" si="166"/>
        <v>0</v>
      </c>
      <c r="Y307" s="1">
        <f t="shared" si="167"/>
        <v>0</v>
      </c>
      <c r="Z307" s="1">
        <f t="shared" si="168"/>
        <v>0</v>
      </c>
      <c r="AA307" s="1">
        <f t="shared" si="169"/>
        <v>0</v>
      </c>
      <c r="AB307" s="1">
        <f t="shared" si="170"/>
        <v>0</v>
      </c>
      <c r="AD307" s="1">
        <f t="shared" si="171"/>
        <v>0</v>
      </c>
      <c r="AE307" s="1">
        <f t="shared" si="172"/>
        <v>0</v>
      </c>
      <c r="AF307" s="1">
        <f t="shared" si="157"/>
        <v>0</v>
      </c>
      <c r="AG307" s="1">
        <f t="shared" si="158"/>
        <v>0</v>
      </c>
      <c r="AH307" s="1">
        <f t="shared" si="159"/>
        <v>0</v>
      </c>
      <c r="AI307" s="1">
        <f t="shared" si="160"/>
        <v>1</v>
      </c>
    </row>
    <row r="308" spans="1:35" ht="14.25" customHeight="1" x14ac:dyDescent="0.25">
      <c r="A308" s="41">
        <v>0</v>
      </c>
      <c r="B308" s="41">
        <v>2</v>
      </c>
      <c r="C308" s="41">
        <v>1</v>
      </c>
      <c r="D308" s="42" t="s">
        <v>1304</v>
      </c>
      <c r="E308" s="42" t="s">
        <v>36</v>
      </c>
      <c r="F308" s="42" t="s">
        <v>1305</v>
      </c>
      <c r="G308" s="42" t="s">
        <v>258</v>
      </c>
      <c r="H308" s="42" t="s">
        <v>354</v>
      </c>
      <c r="I308" s="41" t="s">
        <v>1306</v>
      </c>
      <c r="J308" s="41">
        <v>8</v>
      </c>
      <c r="K308" s="43" t="s">
        <v>959</v>
      </c>
      <c r="L308" s="43" t="s">
        <v>713</v>
      </c>
      <c r="M308" s="44" t="s">
        <v>714</v>
      </c>
      <c r="N308" s="45"/>
      <c r="O308" s="46"/>
      <c r="P308" s="46">
        <v>1</v>
      </c>
      <c r="Q308" s="42"/>
      <c r="S308" s="1">
        <f t="shared" si="161"/>
        <v>0</v>
      </c>
      <c r="T308" s="1">
        <f t="shared" si="162"/>
        <v>0</v>
      </c>
      <c r="U308" s="1">
        <f t="shared" si="163"/>
        <v>0</v>
      </c>
      <c r="V308" s="1">
        <f t="shared" si="164"/>
        <v>0</v>
      </c>
      <c r="W308" s="1">
        <f t="shared" si="165"/>
        <v>0</v>
      </c>
      <c r="X308" s="1">
        <f t="shared" si="166"/>
        <v>0</v>
      </c>
      <c r="Y308" s="1">
        <f t="shared" si="167"/>
        <v>0</v>
      </c>
      <c r="Z308" s="1">
        <f t="shared" si="168"/>
        <v>1</v>
      </c>
      <c r="AA308" s="1">
        <f t="shared" si="169"/>
        <v>0</v>
      </c>
      <c r="AB308" s="1">
        <f t="shared" si="170"/>
        <v>0</v>
      </c>
      <c r="AD308" s="1">
        <f t="shared" si="171"/>
        <v>0</v>
      </c>
      <c r="AE308" s="1">
        <f t="shared" si="172"/>
        <v>0</v>
      </c>
      <c r="AF308" s="1">
        <f t="shared" si="157"/>
        <v>0</v>
      </c>
      <c r="AG308" s="1">
        <f t="shared" si="158"/>
        <v>0</v>
      </c>
      <c r="AH308" s="1">
        <f t="shared" si="159"/>
        <v>1</v>
      </c>
      <c r="AI308" s="1">
        <f t="shared" si="160"/>
        <v>0</v>
      </c>
    </row>
    <row r="309" spans="1:35" ht="14.25" customHeight="1" x14ac:dyDescent="0.25">
      <c r="A309" s="34">
        <v>0</v>
      </c>
      <c r="B309" s="34">
        <v>2</v>
      </c>
      <c r="C309" s="34">
        <v>1</v>
      </c>
      <c r="D309" s="35" t="s">
        <v>54</v>
      </c>
      <c r="E309" s="35" t="s">
        <v>561</v>
      </c>
      <c r="F309" s="35" t="s">
        <v>212</v>
      </c>
      <c r="G309" s="35" t="s">
        <v>213</v>
      </c>
      <c r="H309" s="35" t="s">
        <v>354</v>
      </c>
      <c r="I309" s="34" t="s">
        <v>393</v>
      </c>
      <c r="J309" s="34">
        <v>1</v>
      </c>
      <c r="K309" s="36" t="s">
        <v>955</v>
      </c>
      <c r="L309" s="36" t="s">
        <v>713</v>
      </c>
      <c r="M309" s="37" t="s">
        <v>39</v>
      </c>
      <c r="N309" s="37" t="s">
        <v>1743</v>
      </c>
      <c r="O309" s="38">
        <v>1</v>
      </c>
      <c r="P309" s="38"/>
      <c r="Q309" s="35"/>
      <c r="S309" s="1">
        <f t="shared" si="161"/>
        <v>1</v>
      </c>
      <c r="T309" s="1">
        <f t="shared" si="162"/>
        <v>0</v>
      </c>
      <c r="U309" s="1">
        <f t="shared" si="163"/>
        <v>0</v>
      </c>
      <c r="V309" s="1">
        <f t="shared" si="164"/>
        <v>0</v>
      </c>
      <c r="W309" s="1">
        <f t="shared" si="165"/>
        <v>0</v>
      </c>
      <c r="X309" s="1">
        <f t="shared" si="166"/>
        <v>0</v>
      </c>
      <c r="Y309" s="1">
        <f t="shared" si="167"/>
        <v>0</v>
      </c>
      <c r="Z309" s="1">
        <f t="shared" si="168"/>
        <v>0</v>
      </c>
      <c r="AA309" s="1">
        <f t="shared" si="169"/>
        <v>0</v>
      </c>
      <c r="AB309" s="1">
        <f t="shared" si="170"/>
        <v>0</v>
      </c>
      <c r="AD309" s="1">
        <f t="shared" si="171"/>
        <v>0</v>
      </c>
      <c r="AE309" s="1">
        <f t="shared" si="172"/>
        <v>1</v>
      </c>
      <c r="AF309" s="1">
        <f t="shared" si="157"/>
        <v>0</v>
      </c>
      <c r="AG309" s="1">
        <f t="shared" si="158"/>
        <v>1</v>
      </c>
      <c r="AH309" s="1">
        <f t="shared" si="159"/>
        <v>0</v>
      </c>
      <c r="AI309" s="1">
        <f t="shared" si="160"/>
        <v>1</v>
      </c>
    </row>
    <row r="310" spans="1:35" ht="14.25" customHeight="1" x14ac:dyDescent="0.25">
      <c r="A310" s="47">
        <v>0</v>
      </c>
      <c r="B310" s="47">
        <v>2</v>
      </c>
      <c r="C310" s="47">
        <v>1</v>
      </c>
      <c r="D310" s="48" t="s">
        <v>61</v>
      </c>
      <c r="E310" s="48" t="s">
        <v>543</v>
      </c>
      <c r="F310" s="48" t="s">
        <v>233</v>
      </c>
      <c r="G310" s="48" t="s">
        <v>204</v>
      </c>
      <c r="H310" s="48" t="s">
        <v>354</v>
      </c>
      <c r="I310" s="47" t="s">
        <v>401</v>
      </c>
      <c r="J310" s="47">
        <v>7</v>
      </c>
      <c r="K310" s="49" t="s">
        <v>712</v>
      </c>
      <c r="L310" s="49" t="s">
        <v>713</v>
      </c>
      <c r="M310" s="50" t="s">
        <v>714</v>
      </c>
      <c r="N310" s="50" t="s">
        <v>1738</v>
      </c>
      <c r="O310" s="51"/>
      <c r="P310" s="51"/>
      <c r="Q310" s="48"/>
      <c r="S310" s="1">
        <f t="shared" si="161"/>
        <v>0</v>
      </c>
      <c r="T310" s="1">
        <f t="shared" si="162"/>
        <v>0</v>
      </c>
      <c r="U310" s="1">
        <f t="shared" si="163"/>
        <v>0</v>
      </c>
      <c r="V310" s="1">
        <f t="shared" si="164"/>
        <v>0</v>
      </c>
      <c r="W310" s="1">
        <f t="shared" si="165"/>
        <v>0</v>
      </c>
      <c r="X310" s="1">
        <f t="shared" si="166"/>
        <v>0</v>
      </c>
      <c r="Y310" s="1">
        <f t="shared" si="167"/>
        <v>1</v>
      </c>
      <c r="Z310" s="1">
        <f t="shared" si="168"/>
        <v>0</v>
      </c>
      <c r="AA310" s="1">
        <f t="shared" si="169"/>
        <v>0</v>
      </c>
      <c r="AB310" s="1">
        <f t="shared" si="170"/>
        <v>0</v>
      </c>
      <c r="AD310" s="1">
        <f t="shared" si="171"/>
        <v>0</v>
      </c>
      <c r="AE310" s="1">
        <f t="shared" si="172"/>
        <v>0</v>
      </c>
      <c r="AF310" s="1">
        <f t="shared" si="157"/>
        <v>0</v>
      </c>
      <c r="AG310" s="1">
        <f t="shared" si="158"/>
        <v>0</v>
      </c>
      <c r="AH310" s="1">
        <f t="shared" si="159"/>
        <v>0</v>
      </c>
      <c r="AI310" s="1">
        <f t="shared" si="160"/>
        <v>1</v>
      </c>
    </row>
    <row r="311" spans="1:35" ht="14.25" customHeight="1" x14ac:dyDescent="0.25">
      <c r="A311" s="52">
        <v>0</v>
      </c>
      <c r="B311" s="52">
        <v>2</v>
      </c>
      <c r="C311" s="52">
        <v>1</v>
      </c>
      <c r="D311" s="53" t="s">
        <v>1647</v>
      </c>
      <c r="E311" s="53" t="s">
        <v>561</v>
      </c>
      <c r="F311" s="53" t="s">
        <v>1358</v>
      </c>
      <c r="G311" s="53" t="s">
        <v>1284</v>
      </c>
      <c r="H311" s="53" t="s">
        <v>354</v>
      </c>
      <c r="I311" s="52" t="s">
        <v>1167</v>
      </c>
      <c r="J311" s="52">
        <v>99</v>
      </c>
      <c r="K311" s="54" t="s">
        <v>712</v>
      </c>
      <c r="L311" s="54" t="s">
        <v>713</v>
      </c>
      <c r="M311" s="55" t="s">
        <v>714</v>
      </c>
      <c r="N311" s="55" t="s">
        <v>1748</v>
      </c>
      <c r="O311" s="56">
        <v>1</v>
      </c>
      <c r="P311" s="56"/>
      <c r="Q311" s="58" t="s">
        <v>1901</v>
      </c>
      <c r="S311" s="1">
        <f t="shared" si="161"/>
        <v>0</v>
      </c>
      <c r="T311" s="1">
        <f t="shared" si="162"/>
        <v>0</v>
      </c>
      <c r="U311" s="1">
        <f t="shared" si="163"/>
        <v>0</v>
      </c>
      <c r="V311" s="1">
        <f t="shared" si="164"/>
        <v>0</v>
      </c>
      <c r="W311" s="1">
        <f t="shared" si="165"/>
        <v>0</v>
      </c>
      <c r="X311" s="1">
        <f t="shared" si="166"/>
        <v>0</v>
      </c>
      <c r="Y311" s="1">
        <f t="shared" si="167"/>
        <v>0</v>
      </c>
      <c r="Z311" s="1">
        <f t="shared" si="168"/>
        <v>0</v>
      </c>
      <c r="AA311" s="1">
        <f t="shared" si="169"/>
        <v>0</v>
      </c>
      <c r="AB311" s="1">
        <f t="shared" si="170"/>
        <v>0</v>
      </c>
      <c r="AD311" s="1">
        <f t="shared" si="171"/>
        <v>0</v>
      </c>
      <c r="AE311" s="1">
        <f t="shared" si="172"/>
        <v>1</v>
      </c>
      <c r="AF311" s="1">
        <f t="shared" si="157"/>
        <v>0</v>
      </c>
      <c r="AG311" s="1">
        <f t="shared" si="158"/>
        <v>1</v>
      </c>
      <c r="AH311" s="1">
        <f t="shared" si="159"/>
        <v>0</v>
      </c>
      <c r="AI311" s="1">
        <f t="shared" si="160"/>
        <v>1</v>
      </c>
    </row>
    <row r="312" spans="1:35" ht="14.25" customHeight="1" x14ac:dyDescent="0.25">
      <c r="A312" s="52">
        <v>0</v>
      </c>
      <c r="B312" s="52">
        <v>2</v>
      </c>
      <c r="C312" s="52">
        <v>1</v>
      </c>
      <c r="D312" s="53" t="s">
        <v>1782</v>
      </c>
      <c r="E312" s="53" t="s">
        <v>1783</v>
      </c>
      <c r="F312" s="53" t="s">
        <v>1784</v>
      </c>
      <c r="G312" s="53" t="s">
        <v>1785</v>
      </c>
      <c r="H312" s="53" t="s">
        <v>354</v>
      </c>
      <c r="I312" s="52"/>
      <c r="J312" s="52">
        <v>1</v>
      </c>
      <c r="K312" s="54" t="s">
        <v>703</v>
      </c>
      <c r="L312" s="54"/>
      <c r="M312" s="55"/>
      <c r="N312" s="55" t="s">
        <v>1743</v>
      </c>
      <c r="O312" s="56">
        <v>1</v>
      </c>
      <c r="P312" s="56"/>
      <c r="Q312" s="58" t="s">
        <v>1909</v>
      </c>
      <c r="S312" s="1">
        <f t="shared" si="161"/>
        <v>1</v>
      </c>
      <c r="T312" s="1">
        <f t="shared" si="162"/>
        <v>0</v>
      </c>
      <c r="U312" s="1">
        <f t="shared" si="163"/>
        <v>0</v>
      </c>
      <c r="V312" s="1">
        <f t="shared" si="164"/>
        <v>0</v>
      </c>
      <c r="W312" s="1">
        <f t="shared" si="165"/>
        <v>0</v>
      </c>
      <c r="X312" s="1">
        <f t="shared" si="166"/>
        <v>0</v>
      </c>
      <c r="Y312" s="1">
        <f t="shared" si="167"/>
        <v>0</v>
      </c>
      <c r="Z312" s="1">
        <f t="shared" si="168"/>
        <v>0</v>
      </c>
      <c r="AA312" s="1">
        <f t="shared" si="169"/>
        <v>0</v>
      </c>
      <c r="AB312" s="1">
        <f t="shared" si="170"/>
        <v>0</v>
      </c>
      <c r="AD312" s="1">
        <f t="shared" si="171"/>
        <v>0</v>
      </c>
      <c r="AE312" s="1">
        <f t="shared" si="172"/>
        <v>1</v>
      </c>
      <c r="AF312" s="1">
        <f t="shared" si="157"/>
        <v>0</v>
      </c>
      <c r="AG312" s="1">
        <f t="shared" si="158"/>
        <v>1</v>
      </c>
      <c r="AH312" s="1">
        <f t="shared" si="159"/>
        <v>0</v>
      </c>
      <c r="AI312" s="1">
        <f t="shared" si="160"/>
        <v>1</v>
      </c>
    </row>
    <row r="313" spans="1:35" ht="14.25" customHeight="1" x14ac:dyDescent="0.25">
      <c r="A313" s="34">
        <v>0</v>
      </c>
      <c r="B313" s="34">
        <v>2</v>
      </c>
      <c r="C313" s="34">
        <v>1</v>
      </c>
      <c r="D313" s="35" t="s">
        <v>1318</v>
      </c>
      <c r="E313" s="35" t="s">
        <v>1338</v>
      </c>
      <c r="F313" s="35" t="s">
        <v>1301</v>
      </c>
      <c r="G313" s="35" t="s">
        <v>1302</v>
      </c>
      <c r="H313" s="35" t="s">
        <v>354</v>
      </c>
      <c r="I313" s="34" t="s">
        <v>1303</v>
      </c>
      <c r="J313" s="34">
        <v>99</v>
      </c>
      <c r="K313" s="36" t="s">
        <v>955</v>
      </c>
      <c r="L313" s="36" t="s">
        <v>713</v>
      </c>
      <c r="M313" s="37" t="s">
        <v>714</v>
      </c>
      <c r="N313" s="37" t="s">
        <v>1919</v>
      </c>
      <c r="O313" s="38">
        <v>1</v>
      </c>
      <c r="P313" s="38"/>
      <c r="Q313" s="35"/>
      <c r="S313" s="1">
        <f t="shared" si="161"/>
        <v>0</v>
      </c>
      <c r="T313" s="1">
        <f t="shared" si="162"/>
        <v>0</v>
      </c>
      <c r="U313" s="1">
        <f t="shared" si="163"/>
        <v>0</v>
      </c>
      <c r="V313" s="1">
        <f t="shared" si="164"/>
        <v>0</v>
      </c>
      <c r="W313" s="1">
        <f t="shared" si="165"/>
        <v>0</v>
      </c>
      <c r="X313" s="1">
        <f t="shared" si="166"/>
        <v>0</v>
      </c>
      <c r="Y313" s="1">
        <f t="shared" si="167"/>
        <v>0</v>
      </c>
      <c r="Z313" s="1">
        <f t="shared" si="168"/>
        <v>0</v>
      </c>
      <c r="AA313" s="1">
        <f t="shared" si="169"/>
        <v>0</v>
      </c>
      <c r="AB313" s="1">
        <f t="shared" si="170"/>
        <v>0</v>
      </c>
      <c r="AD313" s="1">
        <f t="shared" si="171"/>
        <v>0</v>
      </c>
      <c r="AE313" s="1">
        <f t="shared" si="172"/>
        <v>1</v>
      </c>
      <c r="AF313" s="1">
        <f t="shared" si="157"/>
        <v>0</v>
      </c>
      <c r="AG313" s="1">
        <f t="shared" si="158"/>
        <v>1</v>
      </c>
      <c r="AH313" s="1">
        <f t="shared" si="159"/>
        <v>0</v>
      </c>
      <c r="AI313" s="1">
        <f t="shared" si="160"/>
        <v>1</v>
      </c>
    </row>
    <row r="314" spans="1:35" ht="14.25" customHeight="1" x14ac:dyDescent="0.25">
      <c r="A314" s="47">
        <v>0</v>
      </c>
      <c r="B314" s="47">
        <v>2</v>
      </c>
      <c r="C314" s="47">
        <v>1</v>
      </c>
      <c r="D314" s="48" t="s">
        <v>1313</v>
      </c>
      <c r="E314" s="48" t="s">
        <v>160</v>
      </c>
      <c r="F314" s="48" t="s">
        <v>1315</v>
      </c>
      <c r="G314" s="48" t="s">
        <v>1316</v>
      </c>
      <c r="H314" s="48" t="s">
        <v>354</v>
      </c>
      <c r="I314" s="47" t="s">
        <v>1317</v>
      </c>
      <c r="J314" s="47">
        <v>8</v>
      </c>
      <c r="K314" s="49" t="s">
        <v>713</v>
      </c>
      <c r="L314" s="49" t="s">
        <v>713</v>
      </c>
      <c r="M314" s="50" t="s">
        <v>714</v>
      </c>
      <c r="N314" s="50" t="s">
        <v>1747</v>
      </c>
      <c r="O314" s="51"/>
      <c r="P314" s="51"/>
      <c r="Q314" s="48"/>
      <c r="S314" s="1">
        <f t="shared" si="161"/>
        <v>0</v>
      </c>
      <c r="T314" s="1">
        <f t="shared" si="162"/>
        <v>0</v>
      </c>
      <c r="U314" s="1">
        <f t="shared" si="163"/>
        <v>0</v>
      </c>
      <c r="V314" s="1">
        <f t="shared" si="164"/>
        <v>0</v>
      </c>
      <c r="W314" s="1">
        <f t="shared" si="165"/>
        <v>0</v>
      </c>
      <c r="X314" s="1">
        <f t="shared" si="166"/>
        <v>0</v>
      </c>
      <c r="Y314" s="1">
        <f t="shared" si="167"/>
        <v>0</v>
      </c>
      <c r="Z314" s="1">
        <f t="shared" si="168"/>
        <v>1</v>
      </c>
      <c r="AA314" s="1">
        <f t="shared" si="169"/>
        <v>0</v>
      </c>
      <c r="AB314" s="1">
        <f t="shared" si="170"/>
        <v>0</v>
      </c>
      <c r="AD314" s="1">
        <f t="shared" si="171"/>
        <v>0</v>
      </c>
      <c r="AE314" s="1">
        <f t="shared" si="172"/>
        <v>0</v>
      </c>
      <c r="AF314" s="1">
        <f t="shared" si="157"/>
        <v>0</v>
      </c>
      <c r="AG314" s="1">
        <f t="shared" si="158"/>
        <v>0</v>
      </c>
      <c r="AH314" s="1">
        <f t="shared" si="159"/>
        <v>0</v>
      </c>
      <c r="AI314" s="1">
        <f t="shared" si="160"/>
        <v>1</v>
      </c>
    </row>
    <row r="315" spans="1:35" ht="14.25" customHeight="1" x14ac:dyDescent="0.25">
      <c r="A315" s="47">
        <v>0</v>
      </c>
      <c r="B315" s="47">
        <v>2</v>
      </c>
      <c r="C315" s="47">
        <v>2</v>
      </c>
      <c r="D315" s="48" t="s">
        <v>1646</v>
      </c>
      <c r="E315" s="48" t="s">
        <v>1168</v>
      </c>
      <c r="F315" s="48" t="s">
        <v>1680</v>
      </c>
      <c r="G315" s="48" t="s">
        <v>190</v>
      </c>
      <c r="H315" s="48" t="s">
        <v>354</v>
      </c>
      <c r="I315" s="47" t="s">
        <v>1607</v>
      </c>
      <c r="J315" s="47">
        <v>99</v>
      </c>
      <c r="K315" s="49" t="s">
        <v>713</v>
      </c>
      <c r="L315" s="49" t="s">
        <v>696</v>
      </c>
      <c r="M315" s="50" t="s">
        <v>1608</v>
      </c>
      <c r="N315" s="50" t="s">
        <v>1738</v>
      </c>
      <c r="O315" s="51"/>
      <c r="P315" s="51"/>
      <c r="Q315" s="48"/>
      <c r="S315" s="1">
        <f t="shared" si="161"/>
        <v>0</v>
      </c>
      <c r="T315" s="1">
        <f t="shared" si="162"/>
        <v>0</v>
      </c>
      <c r="U315" s="1">
        <f t="shared" si="163"/>
        <v>0</v>
      </c>
      <c r="V315" s="1">
        <f t="shared" si="164"/>
        <v>0</v>
      </c>
      <c r="W315" s="1">
        <f t="shared" si="165"/>
        <v>0</v>
      </c>
      <c r="X315" s="1">
        <f t="shared" si="166"/>
        <v>0</v>
      </c>
      <c r="Y315" s="1">
        <f t="shared" si="167"/>
        <v>0</v>
      </c>
      <c r="Z315" s="1">
        <f t="shared" si="168"/>
        <v>0</v>
      </c>
      <c r="AA315" s="1">
        <f t="shared" si="169"/>
        <v>0</v>
      </c>
      <c r="AB315" s="1">
        <f t="shared" si="170"/>
        <v>0</v>
      </c>
      <c r="AD315" s="1">
        <f t="shared" si="171"/>
        <v>0</v>
      </c>
      <c r="AE315" s="1">
        <f t="shared" si="172"/>
        <v>0</v>
      </c>
      <c r="AF315" s="1">
        <f t="shared" si="157"/>
        <v>0</v>
      </c>
      <c r="AG315" s="1">
        <f t="shared" si="158"/>
        <v>0</v>
      </c>
      <c r="AH315" s="1">
        <f t="shared" si="159"/>
        <v>0</v>
      </c>
      <c r="AI315" s="1">
        <f t="shared" si="160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65</v>
      </c>
      <c r="E316" s="53" t="s">
        <v>164</v>
      </c>
      <c r="F316" s="53" t="s">
        <v>243</v>
      </c>
      <c r="G316" s="53" t="s">
        <v>200</v>
      </c>
      <c r="H316" s="53" t="s">
        <v>354</v>
      </c>
      <c r="I316" s="52" t="s">
        <v>407</v>
      </c>
      <c r="J316" s="52">
        <v>2</v>
      </c>
      <c r="K316" s="54" t="s">
        <v>955</v>
      </c>
      <c r="L316" s="54" t="s">
        <v>696</v>
      </c>
      <c r="M316" s="55" t="s">
        <v>715</v>
      </c>
      <c r="N316" s="55" t="s">
        <v>1743</v>
      </c>
      <c r="O316" s="56">
        <v>1</v>
      </c>
      <c r="P316" s="56"/>
      <c r="Q316" s="53"/>
      <c r="S316" s="1">
        <f t="shared" si="161"/>
        <v>0</v>
      </c>
      <c r="T316" s="1">
        <f t="shared" si="162"/>
        <v>1</v>
      </c>
      <c r="U316" s="1">
        <f t="shared" si="163"/>
        <v>0</v>
      </c>
      <c r="V316" s="1">
        <f t="shared" si="164"/>
        <v>0</v>
      </c>
      <c r="W316" s="1">
        <f t="shared" si="165"/>
        <v>0</v>
      </c>
      <c r="X316" s="1">
        <f t="shared" si="166"/>
        <v>0</v>
      </c>
      <c r="Y316" s="1">
        <f t="shared" si="167"/>
        <v>0</v>
      </c>
      <c r="Z316" s="1">
        <f t="shared" si="168"/>
        <v>0</v>
      </c>
      <c r="AA316" s="1">
        <f t="shared" si="169"/>
        <v>0</v>
      </c>
      <c r="AB316" s="1">
        <f t="shared" si="170"/>
        <v>0</v>
      </c>
      <c r="AD316" s="1">
        <f t="shared" si="171"/>
        <v>0</v>
      </c>
      <c r="AE316" s="1">
        <f t="shared" si="172"/>
        <v>1</v>
      </c>
      <c r="AF316" s="1">
        <f t="shared" si="157"/>
        <v>0</v>
      </c>
      <c r="AG316" s="1">
        <f t="shared" si="158"/>
        <v>1</v>
      </c>
      <c r="AH316" s="1">
        <f t="shared" si="159"/>
        <v>0</v>
      </c>
      <c r="AI316" s="1">
        <f t="shared" si="160"/>
        <v>1</v>
      </c>
    </row>
    <row r="317" spans="1:35" ht="14.25" customHeight="1" x14ac:dyDescent="0.25">
      <c r="A317" s="47">
        <v>0</v>
      </c>
      <c r="B317" s="47">
        <v>2</v>
      </c>
      <c r="C317" s="47">
        <v>2</v>
      </c>
      <c r="D317" s="48" t="s">
        <v>1182</v>
      </c>
      <c r="E317" s="48" t="s">
        <v>1183</v>
      </c>
      <c r="F317" s="48" t="s">
        <v>1348</v>
      </c>
      <c r="G317" s="48" t="s">
        <v>1056</v>
      </c>
      <c r="H317" s="48" t="s">
        <v>354</v>
      </c>
      <c r="I317" s="47" t="s">
        <v>1184</v>
      </c>
      <c r="J317" s="47">
        <v>1</v>
      </c>
      <c r="K317" s="49" t="s">
        <v>712</v>
      </c>
      <c r="L317" s="49" t="s">
        <v>704</v>
      </c>
      <c r="M317" s="50" t="s">
        <v>1412</v>
      </c>
      <c r="N317" s="50" t="s">
        <v>1735</v>
      </c>
      <c r="O317" s="51"/>
      <c r="P317" s="51"/>
      <c r="Q317" s="48"/>
      <c r="S317" s="1">
        <f t="shared" si="161"/>
        <v>1</v>
      </c>
      <c r="T317" s="1">
        <f t="shared" si="162"/>
        <v>0</v>
      </c>
      <c r="U317" s="1">
        <f t="shared" si="163"/>
        <v>0</v>
      </c>
      <c r="V317" s="1">
        <f t="shared" si="164"/>
        <v>0</v>
      </c>
      <c r="W317" s="1">
        <f t="shared" si="165"/>
        <v>0</v>
      </c>
      <c r="X317" s="1">
        <f t="shared" si="166"/>
        <v>0</v>
      </c>
      <c r="Y317" s="1">
        <f t="shared" si="167"/>
        <v>0</v>
      </c>
      <c r="Z317" s="1">
        <f t="shared" si="168"/>
        <v>0</v>
      </c>
      <c r="AA317" s="1">
        <f t="shared" si="169"/>
        <v>0</v>
      </c>
      <c r="AB317" s="1">
        <f t="shared" si="170"/>
        <v>0</v>
      </c>
      <c r="AD317" s="1">
        <f t="shared" si="171"/>
        <v>0</v>
      </c>
      <c r="AE317" s="1">
        <f t="shared" si="172"/>
        <v>0</v>
      </c>
      <c r="AF317" s="1">
        <f t="shared" si="157"/>
        <v>0</v>
      </c>
      <c r="AG317" s="1">
        <f t="shared" si="158"/>
        <v>0</v>
      </c>
      <c r="AH317" s="1">
        <f t="shared" si="159"/>
        <v>0</v>
      </c>
      <c r="AI317" s="1">
        <f t="shared" si="160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1828</v>
      </c>
      <c r="E318" s="35" t="s">
        <v>1829</v>
      </c>
      <c r="F318" s="35" t="s">
        <v>1830</v>
      </c>
      <c r="G318" s="35" t="s">
        <v>196</v>
      </c>
      <c r="H318" s="35" t="s">
        <v>354</v>
      </c>
      <c r="I318" s="34" t="s">
        <v>1831</v>
      </c>
      <c r="J318" s="34"/>
      <c r="K318" s="36" t="s">
        <v>703</v>
      </c>
      <c r="L318" s="36">
        <v>20</v>
      </c>
      <c r="M318" s="37" t="s">
        <v>1832</v>
      </c>
      <c r="N318" s="37" t="s">
        <v>1748</v>
      </c>
      <c r="O318" s="38">
        <v>1</v>
      </c>
      <c r="P318" s="38"/>
      <c r="Q318" s="35"/>
      <c r="S318" s="1">
        <f t="shared" si="161"/>
        <v>0</v>
      </c>
      <c r="T318" s="1">
        <f t="shared" si="162"/>
        <v>0</v>
      </c>
      <c r="U318" s="1">
        <f t="shared" si="163"/>
        <v>0</v>
      </c>
      <c r="V318" s="1">
        <f t="shared" si="164"/>
        <v>0</v>
      </c>
      <c r="W318" s="1">
        <f t="shared" si="165"/>
        <v>0</v>
      </c>
      <c r="X318" s="1">
        <f t="shared" si="166"/>
        <v>0</v>
      </c>
      <c r="Y318" s="1">
        <f t="shared" si="167"/>
        <v>0</v>
      </c>
      <c r="Z318" s="1">
        <f t="shared" si="168"/>
        <v>0</v>
      </c>
      <c r="AA318" s="1">
        <f t="shared" si="169"/>
        <v>0</v>
      </c>
      <c r="AB318" s="1">
        <f t="shared" si="170"/>
        <v>0</v>
      </c>
      <c r="AD318" s="1">
        <f t="shared" si="171"/>
        <v>0</v>
      </c>
      <c r="AE318" s="1">
        <f t="shared" si="172"/>
        <v>1</v>
      </c>
      <c r="AF318" s="1">
        <f t="shared" si="157"/>
        <v>0</v>
      </c>
      <c r="AG318" s="1">
        <f t="shared" si="158"/>
        <v>1</v>
      </c>
      <c r="AH318" s="1">
        <f t="shared" si="159"/>
        <v>0</v>
      </c>
      <c r="AI318" s="1">
        <f t="shared" si="160"/>
        <v>1</v>
      </c>
    </row>
    <row r="319" spans="1:35" ht="14.25" customHeight="1" x14ac:dyDescent="0.25">
      <c r="A319" s="15">
        <v>0</v>
      </c>
      <c r="B319" s="15">
        <v>2</v>
      </c>
      <c r="C319" s="15">
        <v>2</v>
      </c>
      <c r="D319" s="16" t="s">
        <v>1576</v>
      </c>
      <c r="E319" s="16" t="s">
        <v>1577</v>
      </c>
      <c r="F319" s="16" t="s">
        <v>1579</v>
      </c>
      <c r="G319" s="16" t="s">
        <v>1580</v>
      </c>
      <c r="H319" s="16" t="s">
        <v>354</v>
      </c>
      <c r="I319" s="15" t="s">
        <v>1578</v>
      </c>
      <c r="J319" s="15">
        <v>99</v>
      </c>
      <c r="K319" s="10" t="s">
        <v>703</v>
      </c>
      <c r="L319" s="10">
        <v>18</v>
      </c>
      <c r="M319" s="19" t="s">
        <v>1581</v>
      </c>
      <c r="N319" s="17"/>
      <c r="Q319" s="16"/>
      <c r="S319" s="1">
        <f t="shared" si="161"/>
        <v>0</v>
      </c>
      <c r="T319" s="1">
        <f t="shared" si="162"/>
        <v>0</v>
      </c>
      <c r="U319" s="1">
        <f t="shared" si="163"/>
        <v>0</v>
      </c>
      <c r="V319" s="1">
        <f t="shared" si="164"/>
        <v>0</v>
      </c>
      <c r="W319" s="1">
        <f t="shared" si="165"/>
        <v>0</v>
      </c>
      <c r="X319" s="1">
        <f t="shared" si="166"/>
        <v>0</v>
      </c>
      <c r="Y319" s="1">
        <f t="shared" si="167"/>
        <v>0</v>
      </c>
      <c r="Z319" s="1">
        <f t="shared" si="168"/>
        <v>0</v>
      </c>
      <c r="AA319" s="1">
        <f t="shared" si="169"/>
        <v>0</v>
      </c>
      <c r="AB319" s="1">
        <f t="shared" si="170"/>
        <v>0</v>
      </c>
      <c r="AD319" s="1">
        <f t="shared" si="171"/>
        <v>0</v>
      </c>
      <c r="AE319" s="1">
        <f t="shared" si="172"/>
        <v>0</v>
      </c>
      <c r="AF319" s="1">
        <f t="shared" si="157"/>
        <v>0</v>
      </c>
      <c r="AG319" s="1">
        <f t="shared" si="158"/>
        <v>0</v>
      </c>
      <c r="AH319" s="1">
        <f t="shared" si="159"/>
        <v>0</v>
      </c>
      <c r="AI319" s="1">
        <f t="shared" si="160"/>
        <v>1</v>
      </c>
    </row>
    <row r="320" spans="1:35" ht="14.25" customHeight="1" x14ac:dyDescent="0.25">
      <c r="A320" s="52">
        <v>0</v>
      </c>
      <c r="B320" s="52">
        <v>2</v>
      </c>
      <c r="C320" s="52">
        <v>2</v>
      </c>
      <c r="D320" s="53" t="s">
        <v>64</v>
      </c>
      <c r="E320" s="53" t="s">
        <v>33</v>
      </c>
      <c r="F320" s="53" t="s">
        <v>241</v>
      </c>
      <c r="G320" s="53" t="s">
        <v>242</v>
      </c>
      <c r="H320" s="53" t="s">
        <v>354</v>
      </c>
      <c r="I320" s="52" t="s">
        <v>406</v>
      </c>
      <c r="J320" s="52">
        <v>1</v>
      </c>
      <c r="K320" s="54" t="s">
        <v>961</v>
      </c>
      <c r="L320" s="54" t="s">
        <v>716</v>
      </c>
      <c r="M320" s="55" t="s">
        <v>717</v>
      </c>
      <c r="N320" s="55" t="s">
        <v>1743</v>
      </c>
      <c r="O320" s="56">
        <v>1</v>
      </c>
      <c r="P320" s="56"/>
      <c r="Q320" s="53"/>
      <c r="S320" s="1">
        <f t="shared" si="161"/>
        <v>1</v>
      </c>
      <c r="T320" s="1">
        <f t="shared" si="162"/>
        <v>0</v>
      </c>
      <c r="U320" s="1">
        <f t="shared" si="163"/>
        <v>0</v>
      </c>
      <c r="V320" s="1">
        <f t="shared" si="164"/>
        <v>0</v>
      </c>
      <c r="W320" s="1">
        <f t="shared" si="165"/>
        <v>0</v>
      </c>
      <c r="X320" s="1">
        <f t="shared" si="166"/>
        <v>0</v>
      </c>
      <c r="Y320" s="1">
        <f t="shared" si="167"/>
        <v>0</v>
      </c>
      <c r="Z320" s="1">
        <f t="shared" si="168"/>
        <v>0</v>
      </c>
      <c r="AA320" s="1">
        <f t="shared" si="169"/>
        <v>0</v>
      </c>
      <c r="AB320" s="1">
        <f t="shared" si="170"/>
        <v>0</v>
      </c>
      <c r="AD320" s="1">
        <f t="shared" si="171"/>
        <v>0</v>
      </c>
      <c r="AE320" s="1">
        <f t="shared" si="172"/>
        <v>1</v>
      </c>
      <c r="AF320" s="1">
        <f t="shared" si="157"/>
        <v>0</v>
      </c>
      <c r="AG320" s="1">
        <f t="shared" si="158"/>
        <v>1</v>
      </c>
      <c r="AH320" s="1">
        <f t="shared" si="159"/>
        <v>0</v>
      </c>
      <c r="AI320" s="1">
        <f t="shared" si="160"/>
        <v>1</v>
      </c>
    </row>
    <row r="321" spans="1:35" ht="14.25" customHeight="1" x14ac:dyDescent="0.25">
      <c r="A321" s="52">
        <v>0</v>
      </c>
      <c r="B321" s="52">
        <v>2</v>
      </c>
      <c r="C321" s="52">
        <v>2</v>
      </c>
      <c r="D321" s="53" t="s">
        <v>62</v>
      </c>
      <c r="E321" s="53" t="s">
        <v>1086</v>
      </c>
      <c r="F321" s="53" t="s">
        <v>234</v>
      </c>
      <c r="G321" s="53" t="s">
        <v>235</v>
      </c>
      <c r="H321" s="53" t="s">
        <v>354</v>
      </c>
      <c r="I321" s="52" t="s">
        <v>1365</v>
      </c>
      <c r="J321" s="52">
        <v>99</v>
      </c>
      <c r="K321" s="54" t="s">
        <v>955</v>
      </c>
      <c r="L321" s="54" t="s">
        <v>716</v>
      </c>
      <c r="M321" s="55" t="s">
        <v>718</v>
      </c>
      <c r="N321" s="55" t="s">
        <v>1743</v>
      </c>
      <c r="O321" s="56">
        <v>1</v>
      </c>
      <c r="P321" s="56"/>
      <c r="Q321" s="53"/>
      <c r="S321" s="1">
        <f t="shared" si="161"/>
        <v>0</v>
      </c>
      <c r="T321" s="1">
        <f t="shared" si="162"/>
        <v>0</v>
      </c>
      <c r="U321" s="1">
        <f t="shared" si="163"/>
        <v>0</v>
      </c>
      <c r="V321" s="1">
        <f t="shared" si="164"/>
        <v>0</v>
      </c>
      <c r="W321" s="1">
        <f t="shared" si="165"/>
        <v>0</v>
      </c>
      <c r="X321" s="1">
        <f t="shared" si="166"/>
        <v>0</v>
      </c>
      <c r="Y321" s="1">
        <f t="shared" si="167"/>
        <v>0</v>
      </c>
      <c r="Z321" s="1">
        <f t="shared" si="168"/>
        <v>0</v>
      </c>
      <c r="AA321" s="1">
        <f t="shared" si="169"/>
        <v>0</v>
      </c>
      <c r="AB321" s="1">
        <f t="shared" si="170"/>
        <v>0</v>
      </c>
      <c r="AD321" s="1">
        <f t="shared" si="171"/>
        <v>0</v>
      </c>
      <c r="AE321" s="1">
        <f t="shared" si="172"/>
        <v>1</v>
      </c>
      <c r="AF321" s="1">
        <f t="shared" si="157"/>
        <v>0</v>
      </c>
      <c r="AG321" s="1">
        <f t="shared" si="158"/>
        <v>1</v>
      </c>
      <c r="AH321" s="1">
        <f t="shared" si="159"/>
        <v>0</v>
      </c>
      <c r="AI321" s="1">
        <f t="shared" si="160"/>
        <v>1</v>
      </c>
    </row>
    <row r="322" spans="1:35" ht="14.25" customHeight="1" x14ac:dyDescent="0.25">
      <c r="A322" s="34">
        <v>0</v>
      </c>
      <c r="B322" s="34">
        <v>2</v>
      </c>
      <c r="C322" s="34">
        <v>2</v>
      </c>
      <c r="D322" s="35" t="s">
        <v>1716</v>
      </c>
      <c r="E322" s="35" t="s">
        <v>1718</v>
      </c>
      <c r="F322" s="35" t="s">
        <v>1717</v>
      </c>
      <c r="G322" s="35"/>
      <c r="H322" s="35" t="s">
        <v>354</v>
      </c>
      <c r="I322" s="34" t="s">
        <v>1719</v>
      </c>
      <c r="J322" s="34"/>
      <c r="K322" s="36" t="s">
        <v>703</v>
      </c>
      <c r="L322" s="36"/>
      <c r="M322" s="37"/>
      <c r="N322" s="37" t="s">
        <v>1727</v>
      </c>
      <c r="O322" s="38">
        <v>1</v>
      </c>
      <c r="P322" s="38">
        <v>1</v>
      </c>
      <c r="Q322" s="35"/>
      <c r="S322" s="1">
        <f t="shared" si="161"/>
        <v>0</v>
      </c>
      <c r="T322" s="1">
        <f t="shared" si="162"/>
        <v>0</v>
      </c>
      <c r="U322" s="1">
        <f t="shared" si="163"/>
        <v>0</v>
      </c>
      <c r="V322" s="1">
        <f t="shared" si="164"/>
        <v>0</v>
      </c>
      <c r="W322" s="1">
        <f t="shared" si="165"/>
        <v>0</v>
      </c>
      <c r="X322" s="1">
        <f t="shared" si="166"/>
        <v>0</v>
      </c>
      <c r="Y322" s="1">
        <f t="shared" si="167"/>
        <v>0</v>
      </c>
      <c r="Z322" s="1">
        <f t="shared" si="168"/>
        <v>0</v>
      </c>
      <c r="AA322" s="1">
        <f t="shared" si="169"/>
        <v>0</v>
      </c>
      <c r="AB322" s="1">
        <f t="shared" si="170"/>
        <v>0</v>
      </c>
      <c r="AD322" s="1">
        <f t="shared" si="171"/>
        <v>1</v>
      </c>
      <c r="AE322" s="1">
        <f t="shared" si="172"/>
        <v>0</v>
      </c>
      <c r="AF322" s="1">
        <f t="shared" si="157"/>
        <v>1</v>
      </c>
      <c r="AG322" s="1">
        <f t="shared" si="158"/>
        <v>0</v>
      </c>
      <c r="AH322" s="1">
        <f t="shared" si="159"/>
        <v>1</v>
      </c>
      <c r="AI322" s="1">
        <f t="shared" si="160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787</v>
      </c>
      <c r="E323" s="48" t="s">
        <v>909</v>
      </c>
      <c r="F323" s="48" t="s">
        <v>1571</v>
      </c>
      <c r="G323" s="48" t="s">
        <v>230</v>
      </c>
      <c r="H323" s="48" t="s">
        <v>354</v>
      </c>
      <c r="I323" s="47" t="s">
        <v>1694</v>
      </c>
      <c r="J323" s="47">
        <v>7</v>
      </c>
      <c r="K323" s="49" t="s">
        <v>713</v>
      </c>
      <c r="L323" s="49">
        <v>20</v>
      </c>
      <c r="M323" s="50" t="s">
        <v>39</v>
      </c>
      <c r="N323" s="50" t="s">
        <v>1734</v>
      </c>
      <c r="O323" s="51"/>
      <c r="P323" s="51"/>
      <c r="Q323" s="48"/>
      <c r="S323" s="1">
        <f t="shared" si="161"/>
        <v>0</v>
      </c>
      <c r="T323" s="1">
        <f t="shared" si="162"/>
        <v>0</v>
      </c>
      <c r="U323" s="1">
        <f t="shared" si="163"/>
        <v>0</v>
      </c>
      <c r="V323" s="1">
        <f t="shared" si="164"/>
        <v>0</v>
      </c>
      <c r="W323" s="1">
        <f t="shared" si="165"/>
        <v>0</v>
      </c>
      <c r="X323" s="1">
        <f t="shared" si="166"/>
        <v>0</v>
      </c>
      <c r="Y323" s="1">
        <f t="shared" si="167"/>
        <v>1</v>
      </c>
      <c r="Z323" s="1">
        <f t="shared" si="168"/>
        <v>0</v>
      </c>
      <c r="AA323" s="1">
        <f t="shared" si="169"/>
        <v>0</v>
      </c>
      <c r="AB323" s="1">
        <f t="shared" si="170"/>
        <v>0</v>
      </c>
      <c r="AD323" s="1">
        <f t="shared" si="171"/>
        <v>0</v>
      </c>
      <c r="AE323" s="1">
        <f t="shared" si="172"/>
        <v>0</v>
      </c>
      <c r="AF323" s="1">
        <f t="shared" si="157"/>
        <v>0</v>
      </c>
      <c r="AG323" s="1">
        <f t="shared" si="158"/>
        <v>0</v>
      </c>
      <c r="AH323" s="1">
        <f t="shared" si="159"/>
        <v>0</v>
      </c>
      <c r="AI323" s="1">
        <f t="shared" si="160"/>
        <v>1</v>
      </c>
    </row>
    <row r="324" spans="1:35" ht="14.25" customHeight="1" x14ac:dyDescent="0.25">
      <c r="A324" s="34">
        <v>0</v>
      </c>
      <c r="B324" s="34">
        <v>2</v>
      </c>
      <c r="C324" s="34">
        <v>2</v>
      </c>
      <c r="D324" s="35" t="s">
        <v>852</v>
      </c>
      <c r="E324" s="35" t="s">
        <v>541</v>
      </c>
      <c r="F324" s="35" t="s">
        <v>854</v>
      </c>
      <c r="G324" s="35" t="s">
        <v>220</v>
      </c>
      <c r="H324" s="35" t="s">
        <v>354</v>
      </c>
      <c r="I324" s="34" t="s">
        <v>855</v>
      </c>
      <c r="J324" s="34">
        <v>8</v>
      </c>
      <c r="K324" s="36" t="s">
        <v>713</v>
      </c>
      <c r="L324" s="36" t="s">
        <v>716</v>
      </c>
      <c r="M324" s="37" t="s">
        <v>1413</v>
      </c>
      <c r="N324" s="37" t="s">
        <v>1743</v>
      </c>
      <c r="O324" s="38">
        <v>1</v>
      </c>
      <c r="P324" s="38"/>
      <c r="Q324" s="35"/>
      <c r="S324" s="1">
        <f t="shared" si="161"/>
        <v>0</v>
      </c>
      <c r="T324" s="1">
        <f t="shared" si="162"/>
        <v>0</v>
      </c>
      <c r="U324" s="1">
        <f t="shared" si="163"/>
        <v>0</v>
      </c>
      <c r="V324" s="1">
        <f t="shared" si="164"/>
        <v>0</v>
      </c>
      <c r="W324" s="1">
        <f t="shared" si="165"/>
        <v>0</v>
      </c>
      <c r="X324" s="1">
        <f t="shared" si="166"/>
        <v>0</v>
      </c>
      <c r="Y324" s="1">
        <f t="shared" si="167"/>
        <v>0</v>
      </c>
      <c r="Z324" s="1">
        <f t="shared" si="168"/>
        <v>1</v>
      </c>
      <c r="AA324" s="1">
        <f t="shared" si="169"/>
        <v>0</v>
      </c>
      <c r="AB324" s="1">
        <f t="shared" si="170"/>
        <v>0</v>
      </c>
      <c r="AD324" s="1">
        <f t="shared" si="171"/>
        <v>0</v>
      </c>
      <c r="AE324" s="1">
        <f t="shared" si="172"/>
        <v>1</v>
      </c>
      <c r="AF324" s="1">
        <f t="shared" si="157"/>
        <v>0</v>
      </c>
      <c r="AG324" s="1">
        <f t="shared" si="158"/>
        <v>1</v>
      </c>
      <c r="AH324" s="1">
        <f t="shared" si="159"/>
        <v>0</v>
      </c>
      <c r="AI324" s="1">
        <f t="shared" si="160"/>
        <v>1</v>
      </c>
    </row>
    <row r="325" spans="1:35" ht="14.25" customHeight="1" x14ac:dyDescent="0.25">
      <c r="A325" s="34">
        <v>1</v>
      </c>
      <c r="B325" s="34">
        <v>2</v>
      </c>
      <c r="C325" s="34">
        <v>2</v>
      </c>
      <c r="D325" s="35" t="s">
        <v>852</v>
      </c>
      <c r="E325" s="35" t="s">
        <v>541</v>
      </c>
      <c r="F325" s="35" t="s">
        <v>1353</v>
      </c>
      <c r="G325" s="35" t="s">
        <v>194</v>
      </c>
      <c r="H325" s="35" t="s">
        <v>354</v>
      </c>
      <c r="I325" s="34" t="s">
        <v>853</v>
      </c>
      <c r="J325" s="34">
        <v>9</v>
      </c>
      <c r="K325" s="36" t="s">
        <v>713</v>
      </c>
      <c r="L325" s="36" t="s">
        <v>716</v>
      </c>
      <c r="M325" s="37" t="s">
        <v>1413</v>
      </c>
      <c r="N325" s="37" t="s">
        <v>1743</v>
      </c>
      <c r="O325" s="38">
        <v>1</v>
      </c>
      <c r="P325" s="38"/>
      <c r="Q325" s="35"/>
      <c r="S325" s="1">
        <f t="shared" si="161"/>
        <v>0</v>
      </c>
      <c r="T325" s="1">
        <f t="shared" si="162"/>
        <v>0</v>
      </c>
      <c r="U325" s="1">
        <f t="shared" si="163"/>
        <v>0</v>
      </c>
      <c r="V325" s="1">
        <f t="shared" si="164"/>
        <v>0</v>
      </c>
      <c r="W325" s="1">
        <f t="shared" si="165"/>
        <v>0</v>
      </c>
      <c r="X325" s="1">
        <f t="shared" si="166"/>
        <v>0</v>
      </c>
      <c r="Y325" s="1">
        <f t="shared" si="167"/>
        <v>0</v>
      </c>
      <c r="Z325" s="1">
        <f t="shared" si="168"/>
        <v>0</v>
      </c>
      <c r="AA325" s="1">
        <f t="shared" si="169"/>
        <v>1</v>
      </c>
      <c r="AB325" s="1">
        <f t="shared" si="170"/>
        <v>0</v>
      </c>
      <c r="AD325" s="1">
        <f t="shared" si="171"/>
        <v>0</v>
      </c>
      <c r="AE325" s="1">
        <f t="shared" si="172"/>
        <v>1</v>
      </c>
      <c r="AF325" s="1">
        <f t="shared" si="157"/>
        <v>0</v>
      </c>
      <c r="AG325" s="1">
        <f t="shared" si="158"/>
        <v>0</v>
      </c>
      <c r="AH325" s="1">
        <f t="shared" si="159"/>
        <v>0</v>
      </c>
      <c r="AI325" s="1">
        <f t="shared" si="160"/>
        <v>0</v>
      </c>
    </row>
    <row r="326" spans="1:35" ht="14.25" customHeight="1" x14ac:dyDescent="0.25">
      <c r="A326" s="47">
        <v>0</v>
      </c>
      <c r="B326" s="47">
        <v>2</v>
      </c>
      <c r="C326" s="47">
        <v>2</v>
      </c>
      <c r="D326" s="48" t="s">
        <v>918</v>
      </c>
      <c r="E326" s="48" t="s">
        <v>785</v>
      </c>
      <c r="F326" s="48" t="s">
        <v>786</v>
      </c>
      <c r="G326" s="48" t="s">
        <v>230</v>
      </c>
      <c r="H326" s="48" t="s">
        <v>354</v>
      </c>
      <c r="I326" s="47" t="s">
        <v>788</v>
      </c>
      <c r="J326" s="47">
        <v>7</v>
      </c>
      <c r="K326" s="49" t="s">
        <v>712</v>
      </c>
      <c r="L326" s="49">
        <v>15</v>
      </c>
      <c r="M326" s="50" t="s">
        <v>39</v>
      </c>
      <c r="N326" s="50" t="s">
        <v>1735</v>
      </c>
      <c r="O326" s="51"/>
      <c r="P326" s="51"/>
      <c r="Q326" s="48"/>
      <c r="S326" s="1">
        <f t="shared" si="161"/>
        <v>0</v>
      </c>
      <c r="T326" s="1">
        <f t="shared" si="162"/>
        <v>0</v>
      </c>
      <c r="U326" s="1">
        <f t="shared" si="163"/>
        <v>0</v>
      </c>
      <c r="V326" s="1">
        <f t="shared" si="164"/>
        <v>0</v>
      </c>
      <c r="W326" s="1">
        <f t="shared" si="165"/>
        <v>0</v>
      </c>
      <c r="X326" s="1">
        <f t="shared" si="166"/>
        <v>0</v>
      </c>
      <c r="Y326" s="1">
        <f t="shared" si="167"/>
        <v>1</v>
      </c>
      <c r="Z326" s="1">
        <f t="shared" si="168"/>
        <v>0</v>
      </c>
      <c r="AA326" s="1">
        <f t="shared" si="169"/>
        <v>0</v>
      </c>
      <c r="AB326" s="1">
        <f t="shared" si="170"/>
        <v>0</v>
      </c>
      <c r="AD326" s="1">
        <f t="shared" si="171"/>
        <v>0</v>
      </c>
      <c r="AE326" s="1">
        <f t="shared" si="172"/>
        <v>0</v>
      </c>
      <c r="AF326" s="1">
        <f t="shared" si="157"/>
        <v>0</v>
      </c>
      <c r="AG326" s="1">
        <f t="shared" si="158"/>
        <v>0</v>
      </c>
      <c r="AH326" s="1">
        <f t="shared" si="159"/>
        <v>0</v>
      </c>
      <c r="AI326" s="1">
        <f t="shared" si="160"/>
        <v>1</v>
      </c>
    </row>
    <row r="327" spans="1:35" ht="14.25" customHeight="1" x14ac:dyDescent="0.25">
      <c r="A327" s="47">
        <v>0</v>
      </c>
      <c r="B327" s="47">
        <v>2</v>
      </c>
      <c r="C327" s="47">
        <v>2</v>
      </c>
      <c r="D327" s="48" t="s">
        <v>83</v>
      </c>
      <c r="E327" s="48" t="s">
        <v>157</v>
      </c>
      <c r="F327" s="68" t="s">
        <v>1872</v>
      </c>
      <c r="G327" s="48" t="s">
        <v>209</v>
      </c>
      <c r="H327" s="48" t="s">
        <v>354</v>
      </c>
      <c r="I327" s="47" t="s">
        <v>432</v>
      </c>
      <c r="J327" s="47">
        <v>99</v>
      </c>
      <c r="K327" s="49" t="s">
        <v>954</v>
      </c>
      <c r="L327" s="49" t="s">
        <v>704</v>
      </c>
      <c r="M327" s="50" t="s">
        <v>719</v>
      </c>
      <c r="N327" s="50" t="s">
        <v>1735</v>
      </c>
      <c r="O327" s="51"/>
      <c r="P327" s="51"/>
      <c r="Q327" s="48"/>
      <c r="S327" s="1">
        <f t="shared" si="161"/>
        <v>0</v>
      </c>
      <c r="T327" s="1">
        <f t="shared" si="162"/>
        <v>0</v>
      </c>
      <c r="U327" s="1">
        <f t="shared" si="163"/>
        <v>0</v>
      </c>
      <c r="V327" s="1">
        <f t="shared" si="164"/>
        <v>0</v>
      </c>
      <c r="W327" s="1">
        <f t="shared" si="165"/>
        <v>0</v>
      </c>
      <c r="X327" s="1">
        <f t="shared" si="166"/>
        <v>0</v>
      </c>
      <c r="Y327" s="1">
        <f t="shared" si="167"/>
        <v>0</v>
      </c>
      <c r="Z327" s="1">
        <f t="shared" si="168"/>
        <v>0</v>
      </c>
      <c r="AA327" s="1">
        <f t="shared" si="169"/>
        <v>0</v>
      </c>
      <c r="AB327" s="1">
        <f t="shared" si="170"/>
        <v>0</v>
      </c>
      <c r="AD327" s="1">
        <f t="shared" si="171"/>
        <v>0</v>
      </c>
      <c r="AE327" s="1">
        <f t="shared" si="172"/>
        <v>0</v>
      </c>
      <c r="AF327" s="1">
        <f t="shared" si="157"/>
        <v>0</v>
      </c>
      <c r="AG327" s="1">
        <f t="shared" si="158"/>
        <v>0</v>
      </c>
      <c r="AH327" s="1">
        <f t="shared" si="159"/>
        <v>0</v>
      </c>
      <c r="AI327" s="1">
        <f t="shared" si="160"/>
        <v>1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1564</v>
      </c>
      <c r="E328" s="35" t="s">
        <v>1334</v>
      </c>
      <c r="F328" s="35" t="s">
        <v>1565</v>
      </c>
      <c r="G328" s="35" t="s">
        <v>1166</v>
      </c>
      <c r="H328" s="35" t="s">
        <v>354</v>
      </c>
      <c r="I328" s="34" t="s">
        <v>1566</v>
      </c>
      <c r="J328" s="34">
        <v>1</v>
      </c>
      <c r="K328" s="36" t="s">
        <v>713</v>
      </c>
      <c r="L328" s="36" t="s">
        <v>39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61"/>
        <v>1</v>
      </c>
      <c r="T328" s="1">
        <f t="shared" si="162"/>
        <v>0</v>
      </c>
      <c r="U328" s="1">
        <f t="shared" si="163"/>
        <v>0</v>
      </c>
      <c r="V328" s="1">
        <f t="shared" si="164"/>
        <v>0</v>
      </c>
      <c r="W328" s="1">
        <f t="shared" si="165"/>
        <v>0</v>
      </c>
      <c r="X328" s="1">
        <f t="shared" si="166"/>
        <v>0</v>
      </c>
      <c r="Y328" s="1">
        <f t="shared" si="167"/>
        <v>0</v>
      </c>
      <c r="Z328" s="1">
        <f t="shared" si="168"/>
        <v>0</v>
      </c>
      <c r="AA328" s="1">
        <f t="shared" si="169"/>
        <v>0</v>
      </c>
      <c r="AB328" s="1">
        <f t="shared" si="170"/>
        <v>0</v>
      </c>
      <c r="AD328" s="1">
        <f t="shared" si="171"/>
        <v>1</v>
      </c>
      <c r="AE328" s="1">
        <f t="shared" si="172"/>
        <v>0</v>
      </c>
      <c r="AF328" s="1">
        <f t="shared" si="157"/>
        <v>1</v>
      </c>
      <c r="AG328" s="1">
        <f t="shared" si="158"/>
        <v>0</v>
      </c>
      <c r="AH328" s="1">
        <f t="shared" si="159"/>
        <v>1</v>
      </c>
      <c r="AI328" s="1">
        <f t="shared" si="160"/>
        <v>0</v>
      </c>
    </row>
    <row r="329" spans="1:35" ht="14.25" customHeight="1" x14ac:dyDescent="0.25">
      <c r="A329" s="34">
        <v>0</v>
      </c>
      <c r="B329" s="34">
        <v>2</v>
      </c>
      <c r="C329" s="34">
        <v>2</v>
      </c>
      <c r="D329" s="35" t="s">
        <v>1744</v>
      </c>
      <c r="E329" s="35" t="s">
        <v>27</v>
      </c>
      <c r="F329" s="35" t="s">
        <v>1044</v>
      </c>
      <c r="G329" s="35" t="s">
        <v>220</v>
      </c>
      <c r="H329" s="35" t="s">
        <v>354</v>
      </c>
      <c r="I329" s="34" t="s">
        <v>1045</v>
      </c>
      <c r="J329" s="34">
        <v>8</v>
      </c>
      <c r="K329" s="36" t="s">
        <v>713</v>
      </c>
      <c r="L329" s="36">
        <v>25</v>
      </c>
      <c r="M329" s="37" t="s">
        <v>1745</v>
      </c>
      <c r="N329" s="37" t="s">
        <v>1727</v>
      </c>
      <c r="O329" s="38">
        <v>1</v>
      </c>
      <c r="P329" s="38">
        <v>1</v>
      </c>
      <c r="Q329" s="35"/>
      <c r="S329" s="1">
        <f t="shared" si="161"/>
        <v>0</v>
      </c>
      <c r="T329" s="1">
        <f t="shared" si="162"/>
        <v>0</v>
      </c>
      <c r="U329" s="1">
        <f t="shared" si="163"/>
        <v>0</v>
      </c>
      <c r="V329" s="1">
        <f t="shared" si="164"/>
        <v>0</v>
      </c>
      <c r="W329" s="1">
        <f t="shared" si="165"/>
        <v>0</v>
      </c>
      <c r="X329" s="1">
        <f t="shared" si="166"/>
        <v>0</v>
      </c>
      <c r="Y329" s="1">
        <f t="shared" si="167"/>
        <v>0</v>
      </c>
      <c r="Z329" s="1">
        <f t="shared" si="168"/>
        <v>1</v>
      </c>
      <c r="AA329" s="1">
        <f t="shared" si="169"/>
        <v>0</v>
      </c>
      <c r="AB329" s="1">
        <f t="shared" si="170"/>
        <v>0</v>
      </c>
      <c r="AD329" s="1">
        <f t="shared" si="171"/>
        <v>1</v>
      </c>
      <c r="AE329" s="1">
        <f t="shared" si="172"/>
        <v>0</v>
      </c>
      <c r="AF329" s="1">
        <f t="shared" si="157"/>
        <v>1</v>
      </c>
      <c r="AG329" s="1">
        <f t="shared" si="158"/>
        <v>0</v>
      </c>
      <c r="AH329" s="1">
        <f t="shared" si="159"/>
        <v>1</v>
      </c>
      <c r="AI329" s="1">
        <f t="shared" si="160"/>
        <v>0</v>
      </c>
    </row>
    <row r="330" spans="1:35" ht="14.25" customHeight="1" x14ac:dyDescent="0.25">
      <c r="A330" s="34">
        <v>0</v>
      </c>
      <c r="B330" s="34">
        <v>2</v>
      </c>
      <c r="C330" s="34">
        <v>2</v>
      </c>
      <c r="D330" s="35" t="s">
        <v>45</v>
      </c>
      <c r="E330" s="35" t="s">
        <v>44</v>
      </c>
      <c r="F330" s="35" t="s">
        <v>669</v>
      </c>
      <c r="G330" s="35" t="s">
        <v>180</v>
      </c>
      <c r="H330" s="35" t="s">
        <v>354</v>
      </c>
      <c r="I330" s="34" t="s">
        <v>949</v>
      </c>
      <c r="J330" s="34">
        <v>10</v>
      </c>
      <c r="K330" s="36" t="s">
        <v>713</v>
      </c>
      <c r="L330" s="36" t="s">
        <v>720</v>
      </c>
      <c r="M330" s="37" t="s">
        <v>721</v>
      </c>
      <c r="N330" s="37" t="s">
        <v>1727</v>
      </c>
      <c r="O330" s="38">
        <v>1</v>
      </c>
      <c r="P330" s="38">
        <v>1</v>
      </c>
      <c r="Q330" s="35"/>
      <c r="S330" s="1">
        <f t="shared" si="161"/>
        <v>0</v>
      </c>
      <c r="T330" s="1">
        <f t="shared" si="162"/>
        <v>0</v>
      </c>
      <c r="U330" s="1">
        <f t="shared" si="163"/>
        <v>0</v>
      </c>
      <c r="V330" s="1">
        <f t="shared" si="164"/>
        <v>0</v>
      </c>
      <c r="W330" s="1">
        <f t="shared" si="165"/>
        <v>0</v>
      </c>
      <c r="X330" s="1">
        <f t="shared" si="166"/>
        <v>0</v>
      </c>
      <c r="Y330" s="1">
        <f t="shared" si="167"/>
        <v>0</v>
      </c>
      <c r="Z330" s="1">
        <f t="shared" si="168"/>
        <v>0</v>
      </c>
      <c r="AA330" s="1">
        <f t="shared" si="169"/>
        <v>0</v>
      </c>
      <c r="AB330" s="1">
        <f t="shared" si="170"/>
        <v>1</v>
      </c>
      <c r="AD330" s="1">
        <f t="shared" si="171"/>
        <v>1</v>
      </c>
      <c r="AE330" s="1">
        <f t="shared" si="172"/>
        <v>0</v>
      </c>
      <c r="AF330" s="1">
        <f t="shared" si="157"/>
        <v>1</v>
      </c>
      <c r="AG330" s="1">
        <f t="shared" si="158"/>
        <v>0</v>
      </c>
      <c r="AH330" s="1">
        <f t="shared" si="159"/>
        <v>1</v>
      </c>
      <c r="AI330" s="1">
        <f t="shared" si="160"/>
        <v>0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1448</v>
      </c>
      <c r="E331" s="35" t="s">
        <v>1653</v>
      </c>
      <c r="F331" s="35" t="s">
        <v>1668</v>
      </c>
      <c r="G331" s="35" t="s">
        <v>230</v>
      </c>
      <c r="H331" s="35" t="s">
        <v>354</v>
      </c>
      <c r="I331" s="34" t="s">
        <v>1449</v>
      </c>
      <c r="J331" s="34">
        <v>99</v>
      </c>
      <c r="K331" s="36" t="s">
        <v>955</v>
      </c>
      <c r="L331" s="36">
        <v>20</v>
      </c>
      <c r="M331" s="37" t="s">
        <v>39</v>
      </c>
      <c r="N331" s="37" t="s">
        <v>1727</v>
      </c>
      <c r="O331" s="38">
        <v>1</v>
      </c>
      <c r="P331" s="38">
        <v>1</v>
      </c>
      <c r="Q331" s="35"/>
      <c r="S331" s="1">
        <f t="shared" si="161"/>
        <v>0</v>
      </c>
      <c r="T331" s="1">
        <f t="shared" si="162"/>
        <v>0</v>
      </c>
      <c r="U331" s="1">
        <f t="shared" si="163"/>
        <v>0</v>
      </c>
      <c r="V331" s="1">
        <f t="shared" si="164"/>
        <v>0</v>
      </c>
      <c r="W331" s="1">
        <f t="shared" si="165"/>
        <v>0</v>
      </c>
      <c r="X331" s="1">
        <f t="shared" si="166"/>
        <v>0</v>
      </c>
      <c r="Y331" s="1">
        <f t="shared" si="167"/>
        <v>0</v>
      </c>
      <c r="Z331" s="1">
        <f t="shared" si="168"/>
        <v>0</v>
      </c>
      <c r="AA331" s="1">
        <f t="shared" si="169"/>
        <v>0</v>
      </c>
      <c r="AB331" s="1">
        <f t="shared" si="170"/>
        <v>0</v>
      </c>
      <c r="AD331" s="1">
        <f t="shared" si="171"/>
        <v>1</v>
      </c>
      <c r="AE331" s="1">
        <f t="shared" si="172"/>
        <v>0</v>
      </c>
      <c r="AF331" s="1">
        <f t="shared" si="157"/>
        <v>1</v>
      </c>
      <c r="AG331" s="1">
        <f t="shared" si="158"/>
        <v>0</v>
      </c>
      <c r="AH331" s="1">
        <f t="shared" si="159"/>
        <v>1</v>
      </c>
      <c r="AI331" s="1">
        <f t="shared" si="160"/>
        <v>0</v>
      </c>
    </row>
    <row r="332" spans="1:35" ht="14.25" customHeight="1" x14ac:dyDescent="0.25">
      <c r="A332" s="70">
        <v>0</v>
      </c>
      <c r="B332" s="70">
        <v>2</v>
      </c>
      <c r="C332" s="70">
        <v>2</v>
      </c>
      <c r="D332" s="57" t="s">
        <v>1993</v>
      </c>
      <c r="E332" s="57" t="s">
        <v>1994</v>
      </c>
      <c r="F332" s="57" t="s">
        <v>1995</v>
      </c>
      <c r="G332" s="57" t="s">
        <v>179</v>
      </c>
      <c r="H332" s="57" t="s">
        <v>354</v>
      </c>
      <c r="I332" s="70" t="s">
        <v>1996</v>
      </c>
      <c r="J332" s="70"/>
      <c r="K332" s="70" t="s">
        <v>703</v>
      </c>
      <c r="L332" s="70"/>
      <c r="M332" s="57"/>
      <c r="N332" s="57"/>
      <c r="O332" s="71"/>
      <c r="P332" s="71">
        <v>1</v>
      </c>
      <c r="Q332" s="57"/>
      <c r="S332" s="1">
        <f t="shared" si="161"/>
        <v>0</v>
      </c>
      <c r="T332" s="1">
        <f t="shared" si="162"/>
        <v>0</v>
      </c>
      <c r="U332" s="1">
        <f t="shared" si="163"/>
        <v>0</v>
      </c>
      <c r="V332" s="1">
        <f t="shared" si="164"/>
        <v>0</v>
      </c>
      <c r="W332" s="1">
        <f t="shared" si="165"/>
        <v>0</v>
      </c>
      <c r="X332" s="1">
        <f t="shared" si="166"/>
        <v>0</v>
      </c>
      <c r="Y332" s="1">
        <f t="shared" si="167"/>
        <v>0</v>
      </c>
      <c r="Z332" s="1">
        <f t="shared" si="168"/>
        <v>0</v>
      </c>
      <c r="AA332" s="1">
        <f t="shared" si="169"/>
        <v>0</v>
      </c>
      <c r="AB332" s="1">
        <f t="shared" si="170"/>
        <v>0</v>
      </c>
      <c r="AD332" s="1">
        <f t="shared" si="171"/>
        <v>0</v>
      </c>
      <c r="AE332" s="1">
        <f t="shared" si="172"/>
        <v>0</v>
      </c>
      <c r="AF332" s="1">
        <f t="shared" si="157"/>
        <v>0</v>
      </c>
      <c r="AG332" s="1">
        <f t="shared" si="158"/>
        <v>0</v>
      </c>
      <c r="AH332" s="1">
        <f t="shared" si="159"/>
        <v>1</v>
      </c>
      <c r="AI332" s="1">
        <f t="shared" si="160"/>
        <v>0</v>
      </c>
    </row>
    <row r="333" spans="1:35" ht="14.25" customHeight="1" x14ac:dyDescent="0.25">
      <c r="A333" s="52">
        <v>0</v>
      </c>
      <c r="B333" s="52">
        <v>2</v>
      </c>
      <c r="C333" s="52">
        <v>2</v>
      </c>
      <c r="D333" s="53" t="s">
        <v>606</v>
      </c>
      <c r="E333" s="53" t="s">
        <v>607</v>
      </c>
      <c r="F333" s="53" t="s">
        <v>608</v>
      </c>
      <c r="G333" s="53" t="s">
        <v>257</v>
      </c>
      <c r="H333" s="53" t="s">
        <v>354</v>
      </c>
      <c r="I333" s="52" t="s">
        <v>609</v>
      </c>
      <c r="J333" s="52">
        <v>99</v>
      </c>
      <c r="K333" s="54" t="s">
        <v>955</v>
      </c>
      <c r="L333" s="54" t="s">
        <v>704</v>
      </c>
      <c r="M333" s="55" t="s">
        <v>1414</v>
      </c>
      <c r="N333" s="55" t="s">
        <v>1743</v>
      </c>
      <c r="O333" s="56">
        <v>1</v>
      </c>
      <c r="P333" s="56"/>
      <c r="Q333" s="53"/>
      <c r="S333" s="1">
        <f t="shared" si="161"/>
        <v>0</v>
      </c>
      <c r="T333" s="1">
        <f t="shared" si="162"/>
        <v>0</v>
      </c>
      <c r="U333" s="1">
        <f t="shared" si="163"/>
        <v>0</v>
      </c>
      <c r="V333" s="1">
        <f t="shared" si="164"/>
        <v>0</v>
      </c>
      <c r="W333" s="1">
        <f t="shared" si="165"/>
        <v>0</v>
      </c>
      <c r="X333" s="1">
        <f t="shared" si="166"/>
        <v>0</v>
      </c>
      <c r="Y333" s="1">
        <f t="shared" si="167"/>
        <v>0</v>
      </c>
      <c r="Z333" s="1">
        <f t="shared" si="168"/>
        <v>0</v>
      </c>
      <c r="AA333" s="1">
        <f t="shared" si="169"/>
        <v>0</v>
      </c>
      <c r="AB333" s="1">
        <f t="shared" si="170"/>
        <v>0</v>
      </c>
      <c r="AD333" s="1">
        <f t="shared" si="171"/>
        <v>0</v>
      </c>
      <c r="AE333" s="1">
        <f t="shared" si="172"/>
        <v>1</v>
      </c>
      <c r="AF333" s="1">
        <f t="shared" si="157"/>
        <v>0</v>
      </c>
      <c r="AG333" s="1">
        <f t="shared" si="158"/>
        <v>1</v>
      </c>
      <c r="AH333" s="1">
        <f t="shared" si="159"/>
        <v>0</v>
      </c>
      <c r="AI333" s="1">
        <f t="shared" si="160"/>
        <v>1</v>
      </c>
    </row>
    <row r="334" spans="1:35" ht="14.25" customHeight="1" x14ac:dyDescent="0.25">
      <c r="A334" s="34">
        <v>0</v>
      </c>
      <c r="B334" s="34">
        <v>2</v>
      </c>
      <c r="C334" s="34">
        <v>2</v>
      </c>
      <c r="D334" s="35" t="s">
        <v>1925</v>
      </c>
      <c r="E334" s="35" t="s">
        <v>1926</v>
      </c>
      <c r="F334" s="35" t="s">
        <v>1927</v>
      </c>
      <c r="G334" s="35" t="s">
        <v>184</v>
      </c>
      <c r="H334" s="35" t="s">
        <v>354</v>
      </c>
      <c r="I334" s="34" t="s">
        <v>1929</v>
      </c>
      <c r="J334" s="34">
        <v>99</v>
      </c>
      <c r="K334" s="36" t="s">
        <v>703</v>
      </c>
      <c r="L334" s="36"/>
      <c r="M334" s="37"/>
      <c r="N334" s="37" t="s">
        <v>1727</v>
      </c>
      <c r="O334" s="38">
        <v>1</v>
      </c>
      <c r="P334" s="38">
        <v>1</v>
      </c>
      <c r="Q334" s="35" t="s">
        <v>1928</v>
      </c>
      <c r="S334" s="1">
        <f t="shared" si="161"/>
        <v>0</v>
      </c>
      <c r="T334" s="1">
        <f t="shared" si="162"/>
        <v>0</v>
      </c>
      <c r="U334" s="1">
        <f t="shared" si="163"/>
        <v>0</v>
      </c>
      <c r="V334" s="1">
        <f t="shared" si="164"/>
        <v>0</v>
      </c>
      <c r="W334" s="1">
        <f t="shared" si="165"/>
        <v>0</v>
      </c>
      <c r="X334" s="1">
        <f t="shared" si="166"/>
        <v>0</v>
      </c>
      <c r="Y334" s="1">
        <f t="shared" si="167"/>
        <v>0</v>
      </c>
      <c r="Z334" s="1">
        <f t="shared" si="168"/>
        <v>0</v>
      </c>
      <c r="AA334" s="1">
        <f t="shared" si="169"/>
        <v>0</v>
      </c>
      <c r="AB334" s="1">
        <f t="shared" si="170"/>
        <v>0</v>
      </c>
      <c r="AD334" s="1">
        <f t="shared" si="171"/>
        <v>1</v>
      </c>
      <c r="AE334" s="1">
        <f t="shared" si="172"/>
        <v>0</v>
      </c>
      <c r="AF334" s="1">
        <f t="shared" si="157"/>
        <v>1</v>
      </c>
      <c r="AG334" s="1">
        <f t="shared" si="158"/>
        <v>0</v>
      </c>
      <c r="AH334" s="1">
        <f t="shared" si="159"/>
        <v>1</v>
      </c>
      <c r="AI334" s="1">
        <f t="shared" si="160"/>
        <v>0</v>
      </c>
    </row>
    <row r="335" spans="1:35" ht="14.25" customHeight="1" x14ac:dyDescent="0.25">
      <c r="A335" s="47">
        <v>0</v>
      </c>
      <c r="B335" s="47">
        <v>2</v>
      </c>
      <c r="C335" s="47">
        <v>2</v>
      </c>
      <c r="D335" s="48" t="s">
        <v>1643</v>
      </c>
      <c r="E335" s="48" t="s">
        <v>1168</v>
      </c>
      <c r="F335" s="48" t="s">
        <v>1674</v>
      </c>
      <c r="G335" s="48" t="s">
        <v>180</v>
      </c>
      <c r="H335" s="48" t="s">
        <v>354</v>
      </c>
      <c r="I335" s="47" t="s">
        <v>1494</v>
      </c>
      <c r="J335" s="47">
        <v>10</v>
      </c>
      <c r="K335" s="49" t="s">
        <v>712</v>
      </c>
      <c r="L335" s="49">
        <v>15</v>
      </c>
      <c r="M335" s="50" t="s">
        <v>39</v>
      </c>
      <c r="N335" s="50" t="s">
        <v>1740</v>
      </c>
      <c r="O335" s="51"/>
      <c r="P335" s="51"/>
      <c r="Q335" s="48"/>
      <c r="S335" s="1">
        <f t="shared" si="161"/>
        <v>0</v>
      </c>
      <c r="T335" s="1">
        <f t="shared" si="162"/>
        <v>0</v>
      </c>
      <c r="U335" s="1">
        <f t="shared" si="163"/>
        <v>0</v>
      </c>
      <c r="V335" s="1">
        <f t="shared" si="164"/>
        <v>0</v>
      </c>
      <c r="W335" s="1">
        <f t="shared" si="165"/>
        <v>0</v>
      </c>
      <c r="X335" s="1">
        <f t="shared" si="166"/>
        <v>0</v>
      </c>
      <c r="Y335" s="1">
        <f t="shared" si="167"/>
        <v>0</v>
      </c>
      <c r="Z335" s="1">
        <f t="shared" si="168"/>
        <v>0</v>
      </c>
      <c r="AA335" s="1">
        <f t="shared" si="169"/>
        <v>0</v>
      </c>
      <c r="AB335" s="1">
        <f t="shared" si="170"/>
        <v>1</v>
      </c>
      <c r="AD335" s="1">
        <f t="shared" si="171"/>
        <v>0</v>
      </c>
      <c r="AE335" s="1">
        <f t="shared" si="172"/>
        <v>0</v>
      </c>
      <c r="AF335" s="1">
        <f t="shared" ref="AF335:AF397" si="173">+O335*P335*(1-A335)</f>
        <v>0</v>
      </c>
      <c r="AG335" s="1">
        <f t="shared" ref="AG335:AG397" si="174">O335*(1-P335)*(1-A335)</f>
        <v>0</v>
      </c>
      <c r="AH335" s="1">
        <f t="shared" ref="AH335:AH397" si="175">+P335*(1-A335)</f>
        <v>0</v>
      </c>
      <c r="AI335" s="1">
        <f t="shared" ref="AI335:AI397" si="176">+(1-A335)*(1-P335)</f>
        <v>1</v>
      </c>
    </row>
    <row r="336" spans="1:35" ht="14.25" customHeight="1" x14ac:dyDescent="0.25">
      <c r="A336" s="47">
        <v>0</v>
      </c>
      <c r="B336" s="47">
        <v>2</v>
      </c>
      <c r="C336" s="47">
        <v>2</v>
      </c>
      <c r="D336" s="48" t="s">
        <v>862</v>
      </c>
      <c r="E336" s="48" t="s">
        <v>544</v>
      </c>
      <c r="F336" s="48" t="s">
        <v>863</v>
      </c>
      <c r="G336" s="48" t="s">
        <v>314</v>
      </c>
      <c r="H336" s="48" t="s">
        <v>354</v>
      </c>
      <c r="I336" s="47" t="s">
        <v>864</v>
      </c>
      <c r="J336" s="47">
        <v>1</v>
      </c>
      <c r="K336" s="49" t="s">
        <v>712</v>
      </c>
      <c r="L336" s="49">
        <v>25</v>
      </c>
      <c r="M336" s="50" t="s">
        <v>39</v>
      </c>
      <c r="N336" s="50" t="s">
        <v>1735</v>
      </c>
      <c r="O336" s="51"/>
      <c r="P336" s="51"/>
      <c r="Q336" s="48"/>
      <c r="S336" s="1">
        <f t="shared" si="161"/>
        <v>1</v>
      </c>
      <c r="T336" s="1">
        <f t="shared" si="162"/>
        <v>0</v>
      </c>
      <c r="U336" s="1">
        <f t="shared" si="163"/>
        <v>0</v>
      </c>
      <c r="V336" s="1">
        <f t="shared" si="164"/>
        <v>0</v>
      </c>
      <c r="W336" s="1">
        <f t="shared" si="165"/>
        <v>0</v>
      </c>
      <c r="X336" s="1">
        <f t="shared" si="166"/>
        <v>0</v>
      </c>
      <c r="Y336" s="1">
        <f t="shared" si="167"/>
        <v>0</v>
      </c>
      <c r="Z336" s="1">
        <f t="shared" si="168"/>
        <v>0</v>
      </c>
      <c r="AA336" s="1">
        <f t="shared" si="169"/>
        <v>0</v>
      </c>
      <c r="AB336" s="1">
        <f t="shared" si="170"/>
        <v>0</v>
      </c>
      <c r="AD336" s="1">
        <f t="shared" si="171"/>
        <v>0</v>
      </c>
      <c r="AE336" s="1">
        <f t="shared" si="172"/>
        <v>0</v>
      </c>
      <c r="AF336" s="1">
        <f t="shared" si="173"/>
        <v>0</v>
      </c>
      <c r="AG336" s="1">
        <f t="shared" si="174"/>
        <v>0</v>
      </c>
      <c r="AH336" s="1">
        <f t="shared" si="175"/>
        <v>0</v>
      </c>
      <c r="AI336" s="1">
        <f t="shared" si="176"/>
        <v>1</v>
      </c>
    </row>
    <row r="337" spans="1:35" ht="14.25" customHeight="1" x14ac:dyDescent="0.25">
      <c r="A337" s="34">
        <v>0</v>
      </c>
      <c r="B337" s="34">
        <v>2</v>
      </c>
      <c r="C337" s="34">
        <v>3</v>
      </c>
      <c r="D337" s="35" t="s">
        <v>568</v>
      </c>
      <c r="E337" s="35" t="s">
        <v>38</v>
      </c>
      <c r="F337" s="35" t="s">
        <v>237</v>
      </c>
      <c r="G337" s="35" t="s">
        <v>539</v>
      </c>
      <c r="H337" s="35" t="s">
        <v>354</v>
      </c>
      <c r="I337" s="34" t="s">
        <v>403</v>
      </c>
      <c r="J337" s="34">
        <v>1</v>
      </c>
      <c r="K337" s="36" t="s">
        <v>712</v>
      </c>
      <c r="L337" s="36" t="s">
        <v>724</v>
      </c>
      <c r="M337" s="37" t="s">
        <v>725</v>
      </c>
      <c r="N337" s="37" t="s">
        <v>1727</v>
      </c>
      <c r="O337" s="38">
        <v>1</v>
      </c>
      <c r="P337" s="38">
        <v>1</v>
      </c>
      <c r="Q337" s="35"/>
      <c r="S337" s="1">
        <f t="shared" si="161"/>
        <v>1</v>
      </c>
      <c r="T337" s="1">
        <f t="shared" si="162"/>
        <v>0</v>
      </c>
      <c r="U337" s="1">
        <f t="shared" si="163"/>
        <v>0</v>
      </c>
      <c r="V337" s="1">
        <f t="shared" si="164"/>
        <v>0</v>
      </c>
      <c r="W337" s="1">
        <f t="shared" si="165"/>
        <v>0</v>
      </c>
      <c r="X337" s="1">
        <f t="shared" si="166"/>
        <v>0</v>
      </c>
      <c r="Y337" s="1">
        <f t="shared" si="167"/>
        <v>0</v>
      </c>
      <c r="Z337" s="1">
        <f t="shared" si="168"/>
        <v>0</v>
      </c>
      <c r="AA337" s="1">
        <f t="shared" si="169"/>
        <v>0</v>
      </c>
      <c r="AB337" s="1">
        <f t="shared" si="170"/>
        <v>0</v>
      </c>
      <c r="AD337" s="1">
        <f t="shared" si="171"/>
        <v>1</v>
      </c>
      <c r="AE337" s="1">
        <f t="shared" si="172"/>
        <v>0</v>
      </c>
      <c r="AF337" s="1">
        <f t="shared" si="173"/>
        <v>1</v>
      </c>
      <c r="AG337" s="1">
        <f t="shared" si="174"/>
        <v>0</v>
      </c>
      <c r="AH337" s="1">
        <f t="shared" si="175"/>
        <v>1</v>
      </c>
      <c r="AI337" s="1">
        <f t="shared" si="176"/>
        <v>0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850</v>
      </c>
      <c r="E338" s="48" t="s">
        <v>34</v>
      </c>
      <c r="F338" s="48" t="s">
        <v>926</v>
      </c>
      <c r="G338" s="48" t="s">
        <v>638</v>
      </c>
      <c r="H338" s="48" t="s">
        <v>354</v>
      </c>
      <c r="I338" s="47" t="s">
        <v>851</v>
      </c>
      <c r="J338" s="47">
        <v>1</v>
      </c>
      <c r="K338" s="49" t="s">
        <v>954</v>
      </c>
      <c r="L338" s="49" t="s">
        <v>729</v>
      </c>
      <c r="M338" s="50" t="s">
        <v>723</v>
      </c>
      <c r="N338" s="50" t="s">
        <v>1735</v>
      </c>
      <c r="O338" s="51"/>
      <c r="P338" s="51"/>
      <c r="Q338" s="48"/>
      <c r="S338" s="1">
        <f t="shared" si="161"/>
        <v>1</v>
      </c>
      <c r="T338" s="1">
        <f t="shared" si="162"/>
        <v>0</v>
      </c>
      <c r="U338" s="1">
        <f t="shared" si="163"/>
        <v>0</v>
      </c>
      <c r="V338" s="1">
        <f t="shared" si="164"/>
        <v>0</v>
      </c>
      <c r="W338" s="1">
        <f t="shared" si="165"/>
        <v>0</v>
      </c>
      <c r="X338" s="1">
        <f t="shared" si="166"/>
        <v>0</v>
      </c>
      <c r="Y338" s="1">
        <f t="shared" si="167"/>
        <v>0</v>
      </c>
      <c r="Z338" s="1">
        <f t="shared" si="168"/>
        <v>0</v>
      </c>
      <c r="AA338" s="1">
        <f t="shared" si="169"/>
        <v>0</v>
      </c>
      <c r="AB338" s="1">
        <f t="shared" si="170"/>
        <v>0</v>
      </c>
      <c r="AD338" s="1">
        <f t="shared" si="171"/>
        <v>0</v>
      </c>
      <c r="AE338" s="1">
        <f t="shared" si="172"/>
        <v>0</v>
      </c>
      <c r="AF338" s="1">
        <f t="shared" si="173"/>
        <v>0</v>
      </c>
      <c r="AG338" s="1">
        <f t="shared" si="174"/>
        <v>0</v>
      </c>
      <c r="AH338" s="1">
        <f t="shared" si="175"/>
        <v>0</v>
      </c>
      <c r="AI338" s="1">
        <f t="shared" si="176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793</v>
      </c>
      <c r="E339" s="48" t="s">
        <v>32</v>
      </c>
      <c r="F339" s="48" t="s">
        <v>794</v>
      </c>
      <c r="G339" s="48" t="s">
        <v>251</v>
      </c>
      <c r="H339" s="48" t="s">
        <v>354</v>
      </c>
      <c r="I339" s="47" t="s">
        <v>795</v>
      </c>
      <c r="J339" s="47">
        <v>99</v>
      </c>
      <c r="K339" s="49" t="s">
        <v>713</v>
      </c>
      <c r="L339" s="49" t="s">
        <v>722</v>
      </c>
      <c r="M339" s="50" t="s">
        <v>723</v>
      </c>
      <c r="N339" s="50" t="s">
        <v>1737</v>
      </c>
      <c r="O339" s="51"/>
      <c r="P339" s="51"/>
      <c r="Q339" s="48"/>
      <c r="S339" s="1">
        <f t="shared" ref="S339:S400" si="177">IF(J339=$S$7,1,0)</f>
        <v>0</v>
      </c>
      <c r="T339" s="1">
        <f t="shared" ref="T339:T400" si="178">IF(J339=$T$7,1,0)</f>
        <v>0</v>
      </c>
      <c r="U339" s="1">
        <f t="shared" ref="U339:U400" si="179">IF(J339=$U$7,1,0)</f>
        <v>0</v>
      </c>
      <c r="V339" s="1">
        <f t="shared" ref="V339:V400" si="180">IF(J339=$V$7,1,0)</f>
        <v>0</v>
      </c>
      <c r="W339" s="1">
        <f t="shared" ref="W339:W400" si="181">IF(J339=$W$7,1,0)</f>
        <v>0</v>
      </c>
      <c r="X339" s="1">
        <f t="shared" ref="X339:X400" si="182">IF(J339=$X$7,1,0)</f>
        <v>0</v>
      </c>
      <c r="Y339" s="1">
        <f t="shared" ref="Y339:Y400" si="183">IF(J339=$Y$7,1,0)</f>
        <v>0</v>
      </c>
      <c r="Z339" s="1">
        <f t="shared" ref="Z339:Z400" si="184">IF(J339=$Z$7,1,0)</f>
        <v>0</v>
      </c>
      <c r="AA339" s="1">
        <f t="shared" ref="AA339:AA400" si="185">IF(J339=$AA$7,1,0)</f>
        <v>0</v>
      </c>
      <c r="AB339" s="1">
        <f t="shared" ref="AB339:AB400" si="186">IF(J339=$AB$7,1,0)</f>
        <v>0</v>
      </c>
      <c r="AD339" s="1">
        <f t="shared" ref="AD339:AD400" si="187">+O339*P339</f>
        <v>0</v>
      </c>
      <c r="AE339" s="1">
        <f t="shared" ref="AE339:AE400" si="188">O339*(1-P339)</f>
        <v>0</v>
      </c>
      <c r="AF339" s="1">
        <f t="shared" si="173"/>
        <v>0</v>
      </c>
      <c r="AG339" s="1">
        <f t="shared" si="174"/>
        <v>0</v>
      </c>
      <c r="AH339" s="1">
        <f t="shared" si="175"/>
        <v>0</v>
      </c>
      <c r="AI339" s="1">
        <f t="shared" si="176"/>
        <v>1</v>
      </c>
    </row>
    <row r="340" spans="1:35" ht="14.25" customHeight="1" x14ac:dyDescent="0.25">
      <c r="A340" s="47">
        <v>0</v>
      </c>
      <c r="B340" s="47">
        <v>2</v>
      </c>
      <c r="C340" s="47">
        <v>3</v>
      </c>
      <c r="D340" s="48" t="s">
        <v>56</v>
      </c>
      <c r="E340" s="48" t="s">
        <v>161</v>
      </c>
      <c r="F340" s="48" t="s">
        <v>219</v>
      </c>
      <c r="G340" s="48" t="s">
        <v>196</v>
      </c>
      <c r="H340" s="48" t="s">
        <v>354</v>
      </c>
      <c r="I340" s="47" t="s">
        <v>551</v>
      </c>
      <c r="J340" s="47">
        <v>99</v>
      </c>
      <c r="K340" s="49" t="s">
        <v>713</v>
      </c>
      <c r="L340" s="49" t="s">
        <v>722</v>
      </c>
      <c r="M340" s="50" t="s">
        <v>723</v>
      </c>
      <c r="N340" s="50" t="s">
        <v>1802</v>
      </c>
      <c r="O340" s="51"/>
      <c r="P340" s="51"/>
      <c r="Q340" s="48"/>
      <c r="S340" s="1">
        <f t="shared" si="177"/>
        <v>0</v>
      </c>
      <c r="T340" s="1">
        <f t="shared" si="178"/>
        <v>0</v>
      </c>
      <c r="U340" s="1">
        <f t="shared" si="179"/>
        <v>0</v>
      </c>
      <c r="V340" s="1">
        <f t="shared" si="180"/>
        <v>0</v>
      </c>
      <c r="W340" s="1">
        <f t="shared" si="181"/>
        <v>0</v>
      </c>
      <c r="X340" s="1">
        <f t="shared" si="182"/>
        <v>0</v>
      </c>
      <c r="Y340" s="1">
        <f t="shared" si="183"/>
        <v>0</v>
      </c>
      <c r="Z340" s="1">
        <f t="shared" si="184"/>
        <v>0</v>
      </c>
      <c r="AA340" s="1">
        <f t="shared" si="185"/>
        <v>0</v>
      </c>
      <c r="AB340" s="1">
        <f t="shared" si="186"/>
        <v>0</v>
      </c>
      <c r="AD340" s="1">
        <f t="shared" si="187"/>
        <v>0</v>
      </c>
      <c r="AE340" s="1">
        <f t="shared" si="188"/>
        <v>0</v>
      </c>
      <c r="AF340" s="1">
        <f t="shared" si="173"/>
        <v>0</v>
      </c>
      <c r="AG340" s="1">
        <f t="shared" si="174"/>
        <v>0</v>
      </c>
      <c r="AH340" s="1">
        <f t="shared" si="175"/>
        <v>0</v>
      </c>
      <c r="AI340" s="1">
        <f t="shared" si="176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1175</v>
      </c>
      <c r="E341" s="48" t="s">
        <v>1335</v>
      </c>
      <c r="F341" s="48" t="s">
        <v>1176</v>
      </c>
      <c r="G341" s="48" t="s">
        <v>302</v>
      </c>
      <c r="H341" s="48" t="s">
        <v>354</v>
      </c>
      <c r="I341" s="47" t="s">
        <v>1177</v>
      </c>
      <c r="J341" s="47">
        <v>1</v>
      </c>
      <c r="K341" s="49" t="s">
        <v>955</v>
      </c>
      <c r="L341" s="49" t="s">
        <v>693</v>
      </c>
      <c r="M341" s="50" t="s">
        <v>1415</v>
      </c>
      <c r="N341" s="50" t="s">
        <v>1735</v>
      </c>
      <c r="O341" s="51"/>
      <c r="P341" s="51"/>
      <c r="Q341" s="48"/>
      <c r="S341" s="1">
        <f t="shared" si="177"/>
        <v>1</v>
      </c>
      <c r="T341" s="1">
        <f t="shared" si="178"/>
        <v>0</v>
      </c>
      <c r="U341" s="1">
        <f t="shared" si="179"/>
        <v>0</v>
      </c>
      <c r="V341" s="1">
        <f t="shared" si="180"/>
        <v>0</v>
      </c>
      <c r="W341" s="1">
        <f t="shared" si="181"/>
        <v>0</v>
      </c>
      <c r="X341" s="1">
        <f t="shared" si="182"/>
        <v>0</v>
      </c>
      <c r="Y341" s="1">
        <f t="shared" si="183"/>
        <v>0</v>
      </c>
      <c r="Z341" s="1">
        <f t="shared" si="184"/>
        <v>0</v>
      </c>
      <c r="AA341" s="1">
        <f t="shared" si="185"/>
        <v>0</v>
      </c>
      <c r="AB341" s="1">
        <f t="shared" si="186"/>
        <v>0</v>
      </c>
      <c r="AD341" s="1">
        <f t="shared" si="187"/>
        <v>0</v>
      </c>
      <c r="AE341" s="1">
        <f t="shared" si="188"/>
        <v>0</v>
      </c>
      <c r="AF341" s="1">
        <f t="shared" si="173"/>
        <v>0</v>
      </c>
      <c r="AG341" s="1">
        <f t="shared" si="174"/>
        <v>0</v>
      </c>
      <c r="AH341" s="1">
        <f t="shared" si="175"/>
        <v>0</v>
      </c>
      <c r="AI341" s="1">
        <f t="shared" si="176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1172</v>
      </c>
      <c r="E342" s="48" t="s">
        <v>1335</v>
      </c>
      <c r="F342" s="48" t="s">
        <v>1173</v>
      </c>
      <c r="G342" s="48" t="s">
        <v>1056</v>
      </c>
      <c r="H342" s="48" t="s">
        <v>354</v>
      </c>
      <c r="I342" s="47" t="s">
        <v>1174</v>
      </c>
      <c r="J342" s="47">
        <v>1</v>
      </c>
      <c r="K342" s="49" t="s">
        <v>713</v>
      </c>
      <c r="L342" s="49" t="s">
        <v>693</v>
      </c>
      <c r="M342" s="50" t="s">
        <v>1415</v>
      </c>
      <c r="N342" s="50" t="s">
        <v>1735</v>
      </c>
      <c r="O342" s="51"/>
      <c r="P342" s="51"/>
      <c r="Q342" s="48"/>
      <c r="S342" s="1">
        <f t="shared" si="177"/>
        <v>1</v>
      </c>
      <c r="T342" s="1">
        <f t="shared" si="178"/>
        <v>0</v>
      </c>
      <c r="U342" s="1">
        <f t="shared" si="179"/>
        <v>0</v>
      </c>
      <c r="V342" s="1">
        <f t="shared" si="180"/>
        <v>0</v>
      </c>
      <c r="W342" s="1">
        <f t="shared" si="181"/>
        <v>0</v>
      </c>
      <c r="X342" s="1">
        <f t="shared" si="182"/>
        <v>0</v>
      </c>
      <c r="Y342" s="1">
        <f t="shared" si="183"/>
        <v>0</v>
      </c>
      <c r="Z342" s="1">
        <f t="shared" si="184"/>
        <v>0</v>
      </c>
      <c r="AA342" s="1">
        <f t="shared" si="185"/>
        <v>0</v>
      </c>
      <c r="AB342" s="1">
        <f t="shared" si="186"/>
        <v>0</v>
      </c>
      <c r="AD342" s="1">
        <f t="shared" si="187"/>
        <v>0</v>
      </c>
      <c r="AE342" s="1">
        <f t="shared" si="188"/>
        <v>0</v>
      </c>
      <c r="AF342" s="1">
        <f t="shared" si="173"/>
        <v>0</v>
      </c>
      <c r="AG342" s="1">
        <f t="shared" si="174"/>
        <v>0</v>
      </c>
      <c r="AH342" s="1">
        <f t="shared" si="175"/>
        <v>0</v>
      </c>
      <c r="AI342" s="1">
        <f t="shared" si="176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1294</v>
      </c>
      <c r="E343" s="35" t="s">
        <v>32</v>
      </c>
      <c r="F343" s="35" t="s">
        <v>1295</v>
      </c>
      <c r="G343" s="35" t="s">
        <v>222</v>
      </c>
      <c r="H343" s="35" t="s">
        <v>354</v>
      </c>
      <c r="I343" s="34" t="s">
        <v>1689</v>
      </c>
      <c r="J343" s="34">
        <v>99</v>
      </c>
      <c r="K343" s="36" t="s">
        <v>713</v>
      </c>
      <c r="L343" s="36" t="s">
        <v>716</v>
      </c>
      <c r="M343" s="37" t="s">
        <v>1296</v>
      </c>
      <c r="N343" s="37" t="s">
        <v>1727</v>
      </c>
      <c r="O343" s="38">
        <v>1</v>
      </c>
      <c r="P343" s="38">
        <v>1</v>
      </c>
      <c r="Q343" s="35"/>
      <c r="S343" s="1">
        <f t="shared" si="177"/>
        <v>0</v>
      </c>
      <c r="T343" s="1">
        <f t="shared" si="178"/>
        <v>0</v>
      </c>
      <c r="U343" s="1">
        <f t="shared" si="179"/>
        <v>0</v>
      </c>
      <c r="V343" s="1">
        <f t="shared" si="180"/>
        <v>0</v>
      </c>
      <c r="W343" s="1">
        <f t="shared" si="181"/>
        <v>0</v>
      </c>
      <c r="X343" s="1">
        <f t="shared" si="182"/>
        <v>0</v>
      </c>
      <c r="Y343" s="1">
        <f t="shared" si="183"/>
        <v>0</v>
      </c>
      <c r="Z343" s="1">
        <f t="shared" si="184"/>
        <v>0</v>
      </c>
      <c r="AA343" s="1">
        <f t="shared" si="185"/>
        <v>0</v>
      </c>
      <c r="AB343" s="1">
        <f t="shared" si="186"/>
        <v>0</v>
      </c>
      <c r="AD343" s="1">
        <f t="shared" si="187"/>
        <v>1</v>
      </c>
      <c r="AE343" s="1">
        <f t="shared" si="188"/>
        <v>0</v>
      </c>
      <c r="AF343" s="1">
        <f t="shared" si="173"/>
        <v>1</v>
      </c>
      <c r="AG343" s="1">
        <f t="shared" si="174"/>
        <v>0</v>
      </c>
      <c r="AH343" s="1">
        <f t="shared" si="175"/>
        <v>1</v>
      </c>
      <c r="AI343" s="1">
        <f t="shared" si="176"/>
        <v>0</v>
      </c>
    </row>
    <row r="344" spans="1:35" ht="14.25" customHeight="1" x14ac:dyDescent="0.25">
      <c r="A344" s="34">
        <v>0</v>
      </c>
      <c r="B344" s="34">
        <v>2</v>
      </c>
      <c r="C344" s="34">
        <v>3</v>
      </c>
      <c r="D344" s="35" t="s">
        <v>761</v>
      </c>
      <c r="E344" s="35" t="s">
        <v>913</v>
      </c>
      <c r="F344" s="35" t="s">
        <v>762</v>
      </c>
      <c r="G344" s="35" t="s">
        <v>220</v>
      </c>
      <c r="H344" s="35" t="s">
        <v>354</v>
      </c>
      <c r="I344" s="34" t="s">
        <v>763</v>
      </c>
      <c r="J344" s="34">
        <v>8</v>
      </c>
      <c r="K344" s="36" t="s">
        <v>955</v>
      </c>
      <c r="L344" s="36" t="s">
        <v>729</v>
      </c>
      <c r="M344" s="37" t="s">
        <v>723</v>
      </c>
      <c r="N344" s="37" t="s">
        <v>1748</v>
      </c>
      <c r="O344" s="38">
        <v>1</v>
      </c>
      <c r="P344" s="38"/>
      <c r="Q344" s="35"/>
      <c r="S344" s="1">
        <f t="shared" si="177"/>
        <v>0</v>
      </c>
      <c r="T344" s="1">
        <f t="shared" si="178"/>
        <v>0</v>
      </c>
      <c r="U344" s="1">
        <f t="shared" si="179"/>
        <v>0</v>
      </c>
      <c r="V344" s="1">
        <f t="shared" si="180"/>
        <v>0</v>
      </c>
      <c r="W344" s="1">
        <f t="shared" si="181"/>
        <v>0</v>
      </c>
      <c r="X344" s="1">
        <f t="shared" si="182"/>
        <v>0</v>
      </c>
      <c r="Y344" s="1">
        <f t="shared" si="183"/>
        <v>0</v>
      </c>
      <c r="Z344" s="1">
        <f t="shared" si="184"/>
        <v>1</v>
      </c>
      <c r="AA344" s="1">
        <f t="shared" si="185"/>
        <v>0</v>
      </c>
      <c r="AB344" s="1">
        <f t="shared" si="186"/>
        <v>0</v>
      </c>
      <c r="AD344" s="1">
        <f t="shared" si="187"/>
        <v>0</v>
      </c>
      <c r="AE344" s="1">
        <f t="shared" si="188"/>
        <v>1</v>
      </c>
      <c r="AF344" s="1">
        <f t="shared" si="173"/>
        <v>0</v>
      </c>
      <c r="AG344" s="1">
        <f t="shared" si="174"/>
        <v>1</v>
      </c>
      <c r="AH344" s="1">
        <f t="shared" si="175"/>
        <v>0</v>
      </c>
      <c r="AI344" s="1">
        <f t="shared" si="176"/>
        <v>1</v>
      </c>
    </row>
    <row r="345" spans="1:35" ht="14.25" customHeight="1" x14ac:dyDescent="0.25">
      <c r="A345" s="47">
        <v>0</v>
      </c>
      <c r="B345" s="47">
        <v>2</v>
      </c>
      <c r="C345" s="47">
        <v>3</v>
      </c>
      <c r="D345" s="48" t="s">
        <v>1495</v>
      </c>
      <c r="E345" s="48" t="s">
        <v>1496</v>
      </c>
      <c r="F345" s="48" t="s">
        <v>1497</v>
      </c>
      <c r="G345" s="48" t="s">
        <v>238</v>
      </c>
      <c r="H345" s="48" t="s">
        <v>354</v>
      </c>
      <c r="I345" s="47" t="s">
        <v>1498</v>
      </c>
      <c r="J345" s="47">
        <v>4</v>
      </c>
      <c r="K345" s="49" t="s">
        <v>712</v>
      </c>
      <c r="L345" s="49">
        <v>15</v>
      </c>
      <c r="M345" s="50" t="s">
        <v>39</v>
      </c>
      <c r="N345" s="50" t="s">
        <v>1802</v>
      </c>
      <c r="O345" s="51"/>
      <c r="P345" s="51"/>
      <c r="Q345" s="48"/>
      <c r="S345" s="1">
        <f t="shared" si="177"/>
        <v>0</v>
      </c>
      <c r="T345" s="1">
        <f t="shared" si="178"/>
        <v>0</v>
      </c>
      <c r="U345" s="1">
        <f t="shared" si="179"/>
        <v>0</v>
      </c>
      <c r="V345" s="1">
        <f t="shared" si="180"/>
        <v>1</v>
      </c>
      <c r="W345" s="1">
        <f t="shared" si="181"/>
        <v>0</v>
      </c>
      <c r="X345" s="1">
        <f t="shared" si="182"/>
        <v>0</v>
      </c>
      <c r="Y345" s="1">
        <f t="shared" si="183"/>
        <v>0</v>
      </c>
      <c r="Z345" s="1">
        <f t="shared" si="184"/>
        <v>0</v>
      </c>
      <c r="AA345" s="1">
        <f t="shared" si="185"/>
        <v>0</v>
      </c>
      <c r="AB345" s="1">
        <f t="shared" si="186"/>
        <v>0</v>
      </c>
      <c r="AD345" s="1">
        <f t="shared" si="187"/>
        <v>0</v>
      </c>
      <c r="AE345" s="1">
        <f t="shared" si="188"/>
        <v>0</v>
      </c>
      <c r="AF345" s="1">
        <f t="shared" si="173"/>
        <v>0</v>
      </c>
      <c r="AG345" s="1">
        <f t="shared" si="174"/>
        <v>0</v>
      </c>
      <c r="AH345" s="1">
        <f t="shared" si="175"/>
        <v>0</v>
      </c>
      <c r="AI345" s="1">
        <f t="shared" si="176"/>
        <v>1</v>
      </c>
    </row>
    <row r="346" spans="1:35" ht="14.25" customHeight="1" x14ac:dyDescent="0.25">
      <c r="A346" s="34">
        <v>0</v>
      </c>
      <c r="B346" s="34">
        <v>2</v>
      </c>
      <c r="C346" s="34">
        <v>3</v>
      </c>
      <c r="D346" s="35" t="s">
        <v>1553</v>
      </c>
      <c r="E346" s="35" t="s">
        <v>1554</v>
      </c>
      <c r="F346" s="35" t="s">
        <v>1555</v>
      </c>
      <c r="G346" s="35" t="s">
        <v>1556</v>
      </c>
      <c r="H346" s="35" t="s">
        <v>354</v>
      </c>
      <c r="I346" s="34" t="s">
        <v>1557</v>
      </c>
      <c r="J346" s="34">
        <v>7</v>
      </c>
      <c r="K346" s="36" t="s">
        <v>955</v>
      </c>
      <c r="L346" s="36">
        <v>10</v>
      </c>
      <c r="M346" s="37" t="s">
        <v>39</v>
      </c>
      <c r="N346" s="37" t="s">
        <v>1743</v>
      </c>
      <c r="O346" s="38">
        <v>1</v>
      </c>
      <c r="P346" s="38"/>
      <c r="Q346" s="35"/>
      <c r="S346" s="1">
        <f t="shared" si="177"/>
        <v>0</v>
      </c>
      <c r="T346" s="1">
        <f t="shared" si="178"/>
        <v>0</v>
      </c>
      <c r="U346" s="1">
        <f t="shared" si="179"/>
        <v>0</v>
      </c>
      <c r="V346" s="1">
        <f t="shared" si="180"/>
        <v>0</v>
      </c>
      <c r="W346" s="1">
        <f t="shared" si="181"/>
        <v>0</v>
      </c>
      <c r="X346" s="1">
        <f t="shared" si="182"/>
        <v>0</v>
      </c>
      <c r="Y346" s="1">
        <f t="shared" si="183"/>
        <v>1</v>
      </c>
      <c r="Z346" s="1">
        <f t="shared" si="184"/>
        <v>0</v>
      </c>
      <c r="AA346" s="1">
        <f t="shared" si="185"/>
        <v>0</v>
      </c>
      <c r="AB346" s="1">
        <f t="shared" si="186"/>
        <v>0</v>
      </c>
      <c r="AD346" s="1">
        <f t="shared" si="187"/>
        <v>0</v>
      </c>
      <c r="AE346" s="1">
        <f t="shared" si="188"/>
        <v>1</v>
      </c>
      <c r="AF346" s="1">
        <f t="shared" si="173"/>
        <v>0</v>
      </c>
      <c r="AG346" s="1">
        <f t="shared" si="174"/>
        <v>1</v>
      </c>
      <c r="AH346" s="1">
        <f t="shared" si="175"/>
        <v>0</v>
      </c>
      <c r="AI346" s="1">
        <f t="shared" si="176"/>
        <v>1</v>
      </c>
    </row>
    <row r="347" spans="1:35" ht="14.25" customHeight="1" x14ac:dyDescent="0.25">
      <c r="A347" s="47">
        <v>0</v>
      </c>
      <c r="B347" s="47">
        <v>2</v>
      </c>
      <c r="C347" s="47">
        <v>3</v>
      </c>
      <c r="D347" s="48" t="s">
        <v>841</v>
      </c>
      <c r="E347" s="48" t="s">
        <v>32</v>
      </c>
      <c r="F347" s="48" t="s">
        <v>843</v>
      </c>
      <c r="G347" s="48" t="s">
        <v>39</v>
      </c>
      <c r="H347" s="48" t="s">
        <v>354</v>
      </c>
      <c r="I347" s="47" t="s">
        <v>842</v>
      </c>
      <c r="J347" s="47">
        <v>1</v>
      </c>
      <c r="K347" s="49" t="s">
        <v>713</v>
      </c>
      <c r="L347" s="49" t="s">
        <v>694</v>
      </c>
      <c r="M347" s="50" t="s">
        <v>1415</v>
      </c>
      <c r="N347" s="50" t="s">
        <v>1735</v>
      </c>
      <c r="O347" s="51"/>
      <c r="P347" s="51"/>
      <c r="Q347" s="48"/>
      <c r="S347" s="1">
        <f t="shared" si="177"/>
        <v>1</v>
      </c>
      <c r="T347" s="1">
        <f t="shared" si="178"/>
        <v>0</v>
      </c>
      <c r="U347" s="1">
        <f t="shared" si="179"/>
        <v>0</v>
      </c>
      <c r="V347" s="1">
        <f t="shared" si="180"/>
        <v>0</v>
      </c>
      <c r="W347" s="1">
        <f t="shared" si="181"/>
        <v>0</v>
      </c>
      <c r="X347" s="1">
        <f t="shared" si="182"/>
        <v>0</v>
      </c>
      <c r="Y347" s="1">
        <f t="shared" si="183"/>
        <v>0</v>
      </c>
      <c r="Z347" s="1">
        <f t="shared" si="184"/>
        <v>0</v>
      </c>
      <c r="AA347" s="1">
        <f t="shared" si="185"/>
        <v>0</v>
      </c>
      <c r="AB347" s="1">
        <f t="shared" si="186"/>
        <v>0</v>
      </c>
      <c r="AD347" s="1">
        <f t="shared" si="187"/>
        <v>0</v>
      </c>
      <c r="AE347" s="1">
        <f t="shared" si="188"/>
        <v>0</v>
      </c>
      <c r="AF347" s="1">
        <f t="shared" si="173"/>
        <v>0</v>
      </c>
      <c r="AG347" s="1">
        <f t="shared" si="174"/>
        <v>0</v>
      </c>
      <c r="AH347" s="1">
        <f t="shared" si="175"/>
        <v>0</v>
      </c>
      <c r="AI347" s="1">
        <f t="shared" si="176"/>
        <v>1</v>
      </c>
    </row>
    <row r="348" spans="1:35" ht="14.25" customHeight="1" x14ac:dyDescent="0.25">
      <c r="A348" s="15">
        <v>0</v>
      </c>
      <c r="B348" s="15">
        <v>2</v>
      </c>
      <c r="C348" s="15">
        <v>4</v>
      </c>
      <c r="D348" s="16" t="s">
        <v>764</v>
      </c>
      <c r="E348" s="16" t="s">
        <v>765</v>
      </c>
      <c r="F348" s="16" t="s">
        <v>766</v>
      </c>
      <c r="G348" s="16" t="s">
        <v>767</v>
      </c>
      <c r="H348" s="16" t="s">
        <v>354</v>
      </c>
      <c r="I348" s="15" t="s">
        <v>768</v>
      </c>
      <c r="J348" s="15">
        <v>99</v>
      </c>
      <c r="K348" s="10" t="s">
        <v>703</v>
      </c>
      <c r="L348" s="10">
        <v>15</v>
      </c>
      <c r="M348" s="19" t="s">
        <v>769</v>
      </c>
      <c r="N348" s="19"/>
      <c r="Q348" s="16"/>
      <c r="S348" s="1">
        <f t="shared" si="177"/>
        <v>0</v>
      </c>
      <c r="T348" s="1">
        <f t="shared" si="178"/>
        <v>0</v>
      </c>
      <c r="U348" s="1">
        <f t="shared" si="179"/>
        <v>0</v>
      </c>
      <c r="V348" s="1">
        <f t="shared" si="180"/>
        <v>0</v>
      </c>
      <c r="W348" s="1">
        <f t="shared" si="181"/>
        <v>0</v>
      </c>
      <c r="X348" s="1">
        <f t="shared" si="182"/>
        <v>0</v>
      </c>
      <c r="Y348" s="1">
        <f t="shared" si="183"/>
        <v>0</v>
      </c>
      <c r="Z348" s="1">
        <f t="shared" si="184"/>
        <v>0</v>
      </c>
      <c r="AA348" s="1">
        <f t="shared" si="185"/>
        <v>0</v>
      </c>
      <c r="AB348" s="1">
        <f t="shared" si="186"/>
        <v>0</v>
      </c>
      <c r="AD348" s="1">
        <f t="shared" si="187"/>
        <v>0</v>
      </c>
      <c r="AE348" s="1">
        <f t="shared" si="188"/>
        <v>0</v>
      </c>
      <c r="AF348" s="1">
        <f t="shared" si="173"/>
        <v>0</v>
      </c>
      <c r="AG348" s="1">
        <f t="shared" si="174"/>
        <v>0</v>
      </c>
      <c r="AH348" s="1">
        <f t="shared" si="175"/>
        <v>0</v>
      </c>
      <c r="AI348" s="1">
        <f t="shared" si="176"/>
        <v>1</v>
      </c>
    </row>
    <row r="349" spans="1:35" ht="14.25" customHeight="1" x14ac:dyDescent="0.25">
      <c r="A349" s="47">
        <v>0</v>
      </c>
      <c r="B349" s="47">
        <v>2</v>
      </c>
      <c r="C349" s="47">
        <v>4</v>
      </c>
      <c r="D349" s="48" t="s">
        <v>798</v>
      </c>
      <c r="E349" s="48" t="s">
        <v>908</v>
      </c>
      <c r="F349" s="48" t="s">
        <v>925</v>
      </c>
      <c r="G349" s="48" t="s">
        <v>208</v>
      </c>
      <c r="H349" s="48" t="s">
        <v>354</v>
      </c>
      <c r="I349" s="47" t="s">
        <v>1363</v>
      </c>
      <c r="J349" s="47">
        <v>3</v>
      </c>
      <c r="K349" s="49" t="s">
        <v>703</v>
      </c>
      <c r="L349" s="49">
        <v>20</v>
      </c>
      <c r="M349" s="50" t="s">
        <v>1417</v>
      </c>
      <c r="N349" s="50" t="s">
        <v>1802</v>
      </c>
      <c r="O349" s="51"/>
      <c r="P349" s="51"/>
      <c r="Q349" s="48"/>
      <c r="S349" s="1">
        <f t="shared" si="177"/>
        <v>0</v>
      </c>
      <c r="T349" s="1">
        <f t="shared" si="178"/>
        <v>0</v>
      </c>
      <c r="U349" s="1">
        <f t="shared" si="179"/>
        <v>1</v>
      </c>
      <c r="V349" s="1">
        <f t="shared" si="180"/>
        <v>0</v>
      </c>
      <c r="W349" s="1">
        <f t="shared" si="181"/>
        <v>0</v>
      </c>
      <c r="X349" s="1">
        <f t="shared" si="182"/>
        <v>0</v>
      </c>
      <c r="Y349" s="1">
        <f t="shared" si="183"/>
        <v>0</v>
      </c>
      <c r="Z349" s="1">
        <f t="shared" si="184"/>
        <v>0</v>
      </c>
      <c r="AA349" s="1">
        <f t="shared" si="185"/>
        <v>0</v>
      </c>
      <c r="AB349" s="1">
        <f t="shared" si="186"/>
        <v>0</v>
      </c>
      <c r="AD349" s="1">
        <f t="shared" si="187"/>
        <v>0</v>
      </c>
      <c r="AE349" s="1">
        <f t="shared" si="188"/>
        <v>0</v>
      </c>
      <c r="AF349" s="1">
        <f t="shared" si="173"/>
        <v>0</v>
      </c>
      <c r="AG349" s="1">
        <f t="shared" si="174"/>
        <v>0</v>
      </c>
      <c r="AH349" s="1">
        <f t="shared" si="175"/>
        <v>0</v>
      </c>
      <c r="AI349" s="1">
        <f t="shared" si="176"/>
        <v>1</v>
      </c>
    </row>
    <row r="350" spans="1:35" ht="14.25" customHeight="1" x14ac:dyDescent="0.25">
      <c r="A350" s="60">
        <v>0</v>
      </c>
      <c r="B350" s="60">
        <v>2</v>
      </c>
      <c r="C350" s="60">
        <v>4</v>
      </c>
      <c r="D350" s="61" t="s">
        <v>567</v>
      </c>
      <c r="E350" s="61" t="s">
        <v>37</v>
      </c>
      <c r="F350" s="61" t="s">
        <v>205</v>
      </c>
      <c r="G350" s="61" t="s">
        <v>39</v>
      </c>
      <c r="H350" s="61" t="s">
        <v>354</v>
      </c>
      <c r="I350" s="60" t="s">
        <v>389</v>
      </c>
      <c r="J350" s="60">
        <v>6</v>
      </c>
      <c r="K350" s="62" t="s">
        <v>703</v>
      </c>
      <c r="L350" s="62" t="s">
        <v>39</v>
      </c>
      <c r="M350" s="63" t="s">
        <v>39</v>
      </c>
      <c r="N350" s="64"/>
      <c r="O350" s="65"/>
      <c r="P350" s="65"/>
      <c r="Q350" s="61"/>
      <c r="S350" s="1">
        <f t="shared" si="177"/>
        <v>0</v>
      </c>
      <c r="T350" s="1">
        <f t="shared" si="178"/>
        <v>0</v>
      </c>
      <c r="U350" s="1">
        <f t="shared" si="179"/>
        <v>0</v>
      </c>
      <c r="V350" s="1">
        <f t="shared" si="180"/>
        <v>0</v>
      </c>
      <c r="W350" s="1">
        <f t="shared" si="181"/>
        <v>0</v>
      </c>
      <c r="X350" s="1">
        <f t="shared" si="182"/>
        <v>1</v>
      </c>
      <c r="Y350" s="1">
        <f t="shared" si="183"/>
        <v>0</v>
      </c>
      <c r="Z350" s="1">
        <f t="shared" si="184"/>
        <v>0</v>
      </c>
      <c r="AA350" s="1">
        <f t="shared" si="185"/>
        <v>0</v>
      </c>
      <c r="AB350" s="1">
        <f t="shared" si="186"/>
        <v>0</v>
      </c>
      <c r="AD350" s="1">
        <f t="shared" si="187"/>
        <v>0</v>
      </c>
      <c r="AE350" s="1">
        <f t="shared" si="188"/>
        <v>0</v>
      </c>
      <c r="AF350" s="1">
        <f t="shared" si="173"/>
        <v>0</v>
      </c>
      <c r="AG350" s="1">
        <f t="shared" si="174"/>
        <v>0</v>
      </c>
      <c r="AH350" s="1">
        <f t="shared" si="175"/>
        <v>0</v>
      </c>
      <c r="AI350" s="1">
        <f t="shared" si="176"/>
        <v>1</v>
      </c>
    </row>
    <row r="351" spans="1:35" ht="14.25" customHeight="1" x14ac:dyDescent="0.25">
      <c r="A351" s="47">
        <v>0</v>
      </c>
      <c r="B351" s="47">
        <v>2</v>
      </c>
      <c r="C351" s="47">
        <v>4</v>
      </c>
      <c r="D351" s="48" t="s">
        <v>653</v>
      </c>
      <c r="E351" s="48" t="s">
        <v>910</v>
      </c>
      <c r="F351" s="48" t="s">
        <v>624</v>
      </c>
      <c r="G351" s="48" t="s">
        <v>341</v>
      </c>
      <c r="H351" s="48" t="s">
        <v>354</v>
      </c>
      <c r="I351" s="47" t="s">
        <v>625</v>
      </c>
      <c r="J351" s="47">
        <v>10</v>
      </c>
      <c r="K351" s="49" t="s">
        <v>954</v>
      </c>
      <c r="L351" s="49" t="s">
        <v>704</v>
      </c>
      <c r="M351" s="50" t="s">
        <v>1418</v>
      </c>
      <c r="N351" s="50" t="s">
        <v>1734</v>
      </c>
      <c r="O351" s="51"/>
      <c r="P351" s="51"/>
      <c r="Q351" s="48"/>
      <c r="S351" s="1">
        <f t="shared" si="177"/>
        <v>0</v>
      </c>
      <c r="T351" s="1">
        <f t="shared" si="178"/>
        <v>0</v>
      </c>
      <c r="U351" s="1">
        <f t="shared" si="179"/>
        <v>0</v>
      </c>
      <c r="V351" s="1">
        <f t="shared" si="180"/>
        <v>0</v>
      </c>
      <c r="W351" s="1">
        <f t="shared" si="181"/>
        <v>0</v>
      </c>
      <c r="X351" s="1">
        <f t="shared" si="182"/>
        <v>0</v>
      </c>
      <c r="Y351" s="1">
        <f t="shared" si="183"/>
        <v>0</v>
      </c>
      <c r="Z351" s="1">
        <f t="shared" si="184"/>
        <v>0</v>
      </c>
      <c r="AA351" s="1">
        <f t="shared" si="185"/>
        <v>0</v>
      </c>
      <c r="AB351" s="1">
        <f t="shared" si="186"/>
        <v>1</v>
      </c>
      <c r="AD351" s="1">
        <f t="shared" si="187"/>
        <v>0</v>
      </c>
      <c r="AE351" s="1">
        <f t="shared" si="188"/>
        <v>0</v>
      </c>
      <c r="AF351" s="1">
        <f t="shared" si="173"/>
        <v>0</v>
      </c>
      <c r="AG351" s="1">
        <f t="shared" si="174"/>
        <v>0</v>
      </c>
      <c r="AH351" s="1">
        <f t="shared" si="175"/>
        <v>0</v>
      </c>
      <c r="AI351" s="1">
        <f t="shared" si="176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75</v>
      </c>
      <c r="E352" s="35" t="s">
        <v>35</v>
      </c>
      <c r="F352" s="35" t="s">
        <v>266</v>
      </c>
      <c r="G352" s="35" t="s">
        <v>213</v>
      </c>
      <c r="H352" s="35" t="s">
        <v>354</v>
      </c>
      <c r="I352" s="34" t="s">
        <v>945</v>
      </c>
      <c r="J352" s="34">
        <v>1</v>
      </c>
      <c r="K352" s="36" t="s">
        <v>713</v>
      </c>
      <c r="L352" s="36" t="s">
        <v>704</v>
      </c>
      <c r="M352" s="37" t="s">
        <v>1419</v>
      </c>
      <c r="N352" s="37" t="s">
        <v>1743</v>
      </c>
      <c r="O352" s="38">
        <v>1</v>
      </c>
      <c r="P352" s="38"/>
      <c r="Q352" s="35"/>
      <c r="S352" s="1">
        <f t="shared" si="177"/>
        <v>1</v>
      </c>
      <c r="T352" s="1">
        <f t="shared" si="178"/>
        <v>0</v>
      </c>
      <c r="U352" s="1">
        <f t="shared" si="179"/>
        <v>0</v>
      </c>
      <c r="V352" s="1">
        <f t="shared" si="180"/>
        <v>0</v>
      </c>
      <c r="W352" s="1">
        <f t="shared" si="181"/>
        <v>0</v>
      </c>
      <c r="X352" s="1">
        <f t="shared" si="182"/>
        <v>0</v>
      </c>
      <c r="Y352" s="1">
        <f t="shared" si="183"/>
        <v>0</v>
      </c>
      <c r="Z352" s="1">
        <f t="shared" si="184"/>
        <v>0</v>
      </c>
      <c r="AA352" s="1">
        <f t="shared" si="185"/>
        <v>0</v>
      </c>
      <c r="AB352" s="1">
        <f t="shared" si="186"/>
        <v>0</v>
      </c>
      <c r="AD352" s="1">
        <f t="shared" si="187"/>
        <v>0</v>
      </c>
      <c r="AE352" s="1">
        <f t="shared" si="188"/>
        <v>1</v>
      </c>
      <c r="AF352" s="1">
        <f t="shared" si="173"/>
        <v>0</v>
      </c>
      <c r="AG352" s="1">
        <f t="shared" si="174"/>
        <v>1</v>
      </c>
      <c r="AH352" s="1">
        <f t="shared" si="175"/>
        <v>0</v>
      </c>
      <c r="AI352" s="1">
        <f t="shared" si="176"/>
        <v>1</v>
      </c>
    </row>
    <row r="353" spans="1:16384" ht="14.25" customHeight="1" x14ac:dyDescent="0.25">
      <c r="A353" s="34">
        <v>0</v>
      </c>
      <c r="B353" s="34">
        <v>2</v>
      </c>
      <c r="C353" s="34">
        <v>4</v>
      </c>
      <c r="D353" s="35" t="s">
        <v>919</v>
      </c>
      <c r="E353" s="35" t="s">
        <v>912</v>
      </c>
      <c r="F353" s="35" t="s">
        <v>782</v>
      </c>
      <c r="G353" s="35" t="s">
        <v>285</v>
      </c>
      <c r="H353" s="35" t="s">
        <v>354</v>
      </c>
      <c r="I353" s="34" t="s">
        <v>946</v>
      </c>
      <c r="J353" s="34">
        <v>4</v>
      </c>
      <c r="K353" s="36" t="s">
        <v>713</v>
      </c>
      <c r="L353" s="36" t="s">
        <v>696</v>
      </c>
      <c r="M353" s="37" t="s">
        <v>1420</v>
      </c>
      <c r="N353" s="37" t="s">
        <v>1749</v>
      </c>
      <c r="O353" s="38">
        <v>1</v>
      </c>
      <c r="P353" s="38"/>
      <c r="Q353" s="35"/>
      <c r="S353" s="1">
        <f t="shared" si="177"/>
        <v>0</v>
      </c>
      <c r="T353" s="1">
        <f t="shared" si="178"/>
        <v>0</v>
      </c>
      <c r="U353" s="1">
        <f t="shared" si="179"/>
        <v>0</v>
      </c>
      <c r="V353" s="1">
        <f t="shared" si="180"/>
        <v>1</v>
      </c>
      <c r="W353" s="1">
        <f t="shared" si="181"/>
        <v>0</v>
      </c>
      <c r="X353" s="1">
        <f t="shared" si="182"/>
        <v>0</v>
      </c>
      <c r="Y353" s="1">
        <f t="shared" si="183"/>
        <v>0</v>
      </c>
      <c r="Z353" s="1">
        <f t="shared" si="184"/>
        <v>0</v>
      </c>
      <c r="AA353" s="1">
        <f t="shared" si="185"/>
        <v>0</v>
      </c>
      <c r="AB353" s="1">
        <f t="shared" si="186"/>
        <v>0</v>
      </c>
      <c r="AD353" s="1">
        <f t="shared" si="187"/>
        <v>0</v>
      </c>
      <c r="AE353" s="1">
        <f t="shared" si="188"/>
        <v>1</v>
      </c>
      <c r="AF353" s="1">
        <f t="shared" si="173"/>
        <v>0</v>
      </c>
      <c r="AG353" s="1">
        <f t="shared" si="174"/>
        <v>1</v>
      </c>
      <c r="AH353" s="1">
        <f t="shared" si="175"/>
        <v>0</v>
      </c>
      <c r="AI353" s="1">
        <f t="shared" si="176"/>
        <v>1</v>
      </c>
    </row>
    <row r="354" spans="1:16384" ht="14.25" customHeight="1" x14ac:dyDescent="0.25">
      <c r="A354" s="15">
        <v>0</v>
      </c>
      <c r="B354" s="15">
        <v>2</v>
      </c>
      <c r="C354" s="15">
        <v>4</v>
      </c>
      <c r="D354" s="16" t="s">
        <v>629</v>
      </c>
      <c r="E354" s="16" t="s">
        <v>685</v>
      </c>
      <c r="F354" s="16" t="s">
        <v>670</v>
      </c>
      <c r="G354" s="16" t="s">
        <v>628</v>
      </c>
      <c r="H354" s="16" t="s">
        <v>354</v>
      </c>
      <c r="I354" s="15" t="s">
        <v>630</v>
      </c>
      <c r="J354" s="15">
        <v>99</v>
      </c>
      <c r="K354" s="10" t="s">
        <v>955</v>
      </c>
      <c r="L354" s="10" t="s">
        <v>39</v>
      </c>
      <c r="M354" s="19" t="s">
        <v>39</v>
      </c>
      <c r="N354" s="17"/>
      <c r="Q354" s="20" t="s">
        <v>1897</v>
      </c>
      <c r="S354" s="1">
        <f t="shared" si="177"/>
        <v>0</v>
      </c>
      <c r="T354" s="1">
        <f t="shared" si="178"/>
        <v>0</v>
      </c>
      <c r="U354" s="1">
        <f t="shared" si="179"/>
        <v>0</v>
      </c>
      <c r="V354" s="1">
        <f t="shared" si="180"/>
        <v>0</v>
      </c>
      <c r="W354" s="1">
        <f t="shared" si="181"/>
        <v>0</v>
      </c>
      <c r="X354" s="1">
        <f t="shared" si="182"/>
        <v>0</v>
      </c>
      <c r="Y354" s="1">
        <f t="shared" si="183"/>
        <v>0</v>
      </c>
      <c r="Z354" s="1">
        <f t="shared" si="184"/>
        <v>0</v>
      </c>
      <c r="AA354" s="1">
        <f t="shared" si="185"/>
        <v>0</v>
      </c>
      <c r="AB354" s="1">
        <f t="shared" si="186"/>
        <v>0</v>
      </c>
      <c r="AD354" s="1">
        <f t="shared" si="187"/>
        <v>0</v>
      </c>
      <c r="AE354" s="1">
        <f t="shared" si="188"/>
        <v>0</v>
      </c>
      <c r="AF354" s="1">
        <f t="shared" si="173"/>
        <v>0</v>
      </c>
      <c r="AG354" s="1">
        <f t="shared" si="174"/>
        <v>0</v>
      </c>
      <c r="AH354" s="1">
        <f t="shared" si="175"/>
        <v>0</v>
      </c>
      <c r="AI354" s="1">
        <f t="shared" si="176"/>
        <v>1</v>
      </c>
    </row>
    <row r="355" spans="1:16384" ht="14.25" customHeight="1" x14ac:dyDescent="0.25">
      <c r="A355" s="34">
        <v>0</v>
      </c>
      <c r="B355" s="34">
        <v>2</v>
      </c>
      <c r="C355" s="34">
        <v>4</v>
      </c>
      <c r="D355" s="35" t="s">
        <v>84</v>
      </c>
      <c r="E355" s="35" t="s">
        <v>35</v>
      </c>
      <c r="F355" s="35" t="s">
        <v>277</v>
      </c>
      <c r="G355" s="35" t="s">
        <v>224</v>
      </c>
      <c r="H355" s="35" t="s">
        <v>354</v>
      </c>
      <c r="I355" s="34" t="s">
        <v>433</v>
      </c>
      <c r="J355" s="34">
        <v>99</v>
      </c>
      <c r="K355" s="36" t="s">
        <v>954</v>
      </c>
      <c r="L355" s="36" t="s">
        <v>704</v>
      </c>
      <c r="M355" s="37" t="s">
        <v>726</v>
      </c>
      <c r="N355" s="37" t="s">
        <v>1761</v>
      </c>
      <c r="O355" s="38">
        <v>1</v>
      </c>
      <c r="P355" s="38"/>
      <c r="Q355" s="35"/>
      <c r="S355" s="1">
        <f t="shared" si="177"/>
        <v>0</v>
      </c>
      <c r="T355" s="1">
        <f t="shared" si="178"/>
        <v>0</v>
      </c>
      <c r="U355" s="1">
        <f t="shared" si="179"/>
        <v>0</v>
      </c>
      <c r="V355" s="1">
        <f t="shared" si="180"/>
        <v>0</v>
      </c>
      <c r="W355" s="1">
        <f t="shared" si="181"/>
        <v>0</v>
      </c>
      <c r="X355" s="1">
        <f t="shared" si="182"/>
        <v>0</v>
      </c>
      <c r="Y355" s="1">
        <f t="shared" si="183"/>
        <v>0</v>
      </c>
      <c r="Z355" s="1">
        <f t="shared" si="184"/>
        <v>0</v>
      </c>
      <c r="AA355" s="1">
        <f t="shared" si="185"/>
        <v>0</v>
      </c>
      <c r="AB355" s="1">
        <f t="shared" si="186"/>
        <v>0</v>
      </c>
      <c r="AD355" s="1">
        <f t="shared" si="187"/>
        <v>0</v>
      </c>
      <c r="AE355" s="1">
        <f t="shared" si="188"/>
        <v>1</v>
      </c>
      <c r="AF355" s="1">
        <f t="shared" si="173"/>
        <v>0</v>
      </c>
      <c r="AG355" s="1">
        <f t="shared" si="174"/>
        <v>1</v>
      </c>
      <c r="AH355" s="1">
        <f t="shared" si="175"/>
        <v>0</v>
      </c>
      <c r="AI355" s="1">
        <f t="shared" si="176"/>
        <v>1</v>
      </c>
    </row>
    <row r="356" spans="1:16384" ht="14.25" customHeight="1" x14ac:dyDescent="0.25">
      <c r="A356" s="15">
        <v>0</v>
      </c>
      <c r="B356" s="15">
        <v>2</v>
      </c>
      <c r="C356" s="15">
        <v>4</v>
      </c>
      <c r="D356" s="16" t="s">
        <v>879</v>
      </c>
      <c r="E356" s="16" t="s">
        <v>772</v>
      </c>
      <c r="F356" s="16" t="s">
        <v>877</v>
      </c>
      <c r="G356" s="16" t="s">
        <v>279</v>
      </c>
      <c r="H356" s="16" t="s">
        <v>354</v>
      </c>
      <c r="I356" s="15" t="s">
        <v>878</v>
      </c>
      <c r="J356" s="15">
        <v>99</v>
      </c>
      <c r="K356" s="10" t="s">
        <v>703</v>
      </c>
      <c r="L356" s="10">
        <v>25</v>
      </c>
      <c r="M356" s="19" t="s">
        <v>1421</v>
      </c>
      <c r="N356" s="19"/>
      <c r="Q356" s="16"/>
      <c r="S356" s="1">
        <f t="shared" si="177"/>
        <v>0</v>
      </c>
      <c r="T356" s="1">
        <f t="shared" si="178"/>
        <v>0</v>
      </c>
      <c r="U356" s="1">
        <f t="shared" si="179"/>
        <v>0</v>
      </c>
      <c r="V356" s="1">
        <f t="shared" si="180"/>
        <v>0</v>
      </c>
      <c r="W356" s="1">
        <f t="shared" si="181"/>
        <v>0</v>
      </c>
      <c r="X356" s="1">
        <f t="shared" si="182"/>
        <v>0</v>
      </c>
      <c r="Y356" s="1">
        <f t="shared" si="183"/>
        <v>0</v>
      </c>
      <c r="Z356" s="1">
        <f t="shared" si="184"/>
        <v>0</v>
      </c>
      <c r="AA356" s="1">
        <f t="shared" si="185"/>
        <v>0</v>
      </c>
      <c r="AB356" s="1">
        <f t="shared" si="186"/>
        <v>0</v>
      </c>
      <c r="AD356" s="1">
        <f t="shared" si="187"/>
        <v>0</v>
      </c>
      <c r="AE356" s="1">
        <f t="shared" si="188"/>
        <v>0</v>
      </c>
      <c r="AF356" s="1">
        <f t="shared" si="173"/>
        <v>0</v>
      </c>
      <c r="AG356" s="1">
        <f t="shared" si="174"/>
        <v>0</v>
      </c>
      <c r="AH356" s="1">
        <f t="shared" si="175"/>
        <v>0</v>
      </c>
      <c r="AI356" s="1">
        <f t="shared" si="176"/>
        <v>1</v>
      </c>
    </row>
    <row r="357" spans="1:16384" ht="14.25" customHeight="1" x14ac:dyDescent="0.25">
      <c r="A357" s="34">
        <v>0</v>
      </c>
      <c r="B357" s="34">
        <v>2</v>
      </c>
      <c r="C357" s="34">
        <v>4</v>
      </c>
      <c r="D357" s="35" t="s">
        <v>922</v>
      </c>
      <c r="E357" s="35" t="s">
        <v>772</v>
      </c>
      <c r="F357" s="35" t="s">
        <v>844</v>
      </c>
      <c r="G357" s="35" t="s">
        <v>209</v>
      </c>
      <c r="H357" s="35" t="s">
        <v>354</v>
      </c>
      <c r="I357" s="34" t="s">
        <v>845</v>
      </c>
      <c r="J357" s="34">
        <v>99</v>
      </c>
      <c r="K357" s="36" t="s">
        <v>712</v>
      </c>
      <c r="L357" s="36" t="s">
        <v>704</v>
      </c>
      <c r="M357" s="37" t="s">
        <v>726</v>
      </c>
      <c r="N357" s="37" t="s">
        <v>1756</v>
      </c>
      <c r="O357" s="38">
        <v>1</v>
      </c>
      <c r="P357" s="38"/>
      <c r="Q357" s="35"/>
      <c r="S357" s="1">
        <f t="shared" si="177"/>
        <v>0</v>
      </c>
      <c r="T357" s="1">
        <f t="shared" si="178"/>
        <v>0</v>
      </c>
      <c r="U357" s="1">
        <f t="shared" si="179"/>
        <v>0</v>
      </c>
      <c r="V357" s="1">
        <f t="shared" si="180"/>
        <v>0</v>
      </c>
      <c r="W357" s="1">
        <f t="shared" si="181"/>
        <v>0</v>
      </c>
      <c r="X357" s="1">
        <f t="shared" si="182"/>
        <v>0</v>
      </c>
      <c r="Y357" s="1">
        <f t="shared" si="183"/>
        <v>0</v>
      </c>
      <c r="Z357" s="1">
        <f t="shared" si="184"/>
        <v>0</v>
      </c>
      <c r="AA357" s="1">
        <f t="shared" si="185"/>
        <v>0</v>
      </c>
      <c r="AB357" s="1">
        <f t="shared" si="186"/>
        <v>0</v>
      </c>
      <c r="AD357" s="1">
        <f t="shared" si="187"/>
        <v>0</v>
      </c>
      <c r="AE357" s="1">
        <f t="shared" si="188"/>
        <v>1</v>
      </c>
      <c r="AF357" s="1">
        <f t="shared" si="173"/>
        <v>0</v>
      </c>
      <c r="AG357" s="1">
        <f t="shared" si="174"/>
        <v>1</v>
      </c>
      <c r="AH357" s="1">
        <f t="shared" si="175"/>
        <v>0</v>
      </c>
      <c r="AI357" s="1">
        <f t="shared" si="176"/>
        <v>1</v>
      </c>
    </row>
    <row r="358" spans="1:16384" ht="14.25" customHeight="1" x14ac:dyDescent="0.25">
      <c r="A358" s="47">
        <v>0</v>
      </c>
      <c r="B358" s="47">
        <v>2</v>
      </c>
      <c r="C358" s="47">
        <v>4</v>
      </c>
      <c r="D358" s="48" t="s">
        <v>1223</v>
      </c>
      <c r="E358" s="48" t="s">
        <v>1222</v>
      </c>
      <c r="F358" s="48" t="s">
        <v>1224</v>
      </c>
      <c r="G358" s="48" t="s">
        <v>535</v>
      </c>
      <c r="H358" s="48" t="s">
        <v>354</v>
      </c>
      <c r="I358" s="47" t="s">
        <v>1225</v>
      </c>
      <c r="J358" s="47">
        <v>99</v>
      </c>
      <c r="K358" s="49" t="s">
        <v>713</v>
      </c>
      <c r="L358" s="49" t="s">
        <v>694</v>
      </c>
      <c r="M358" s="50" t="s">
        <v>1422</v>
      </c>
      <c r="N358" s="50" t="s">
        <v>1747</v>
      </c>
      <c r="O358" s="51"/>
      <c r="P358" s="51"/>
      <c r="Q358" s="48"/>
      <c r="S358" s="1">
        <f t="shared" si="177"/>
        <v>0</v>
      </c>
      <c r="T358" s="1">
        <f t="shared" si="178"/>
        <v>0</v>
      </c>
      <c r="U358" s="1">
        <f t="shared" si="179"/>
        <v>0</v>
      </c>
      <c r="V358" s="1">
        <f t="shared" si="180"/>
        <v>0</v>
      </c>
      <c r="W358" s="1">
        <f t="shared" si="181"/>
        <v>0</v>
      </c>
      <c r="X358" s="1">
        <f t="shared" si="182"/>
        <v>0</v>
      </c>
      <c r="Y358" s="1">
        <f t="shared" si="183"/>
        <v>0</v>
      </c>
      <c r="Z358" s="1">
        <f t="shared" si="184"/>
        <v>0</v>
      </c>
      <c r="AA358" s="1">
        <f t="shared" si="185"/>
        <v>0</v>
      </c>
      <c r="AB358" s="1">
        <f t="shared" si="186"/>
        <v>0</v>
      </c>
      <c r="AD358" s="1">
        <f t="shared" si="187"/>
        <v>0</v>
      </c>
      <c r="AE358" s="1">
        <f t="shared" si="188"/>
        <v>0</v>
      </c>
      <c r="AF358" s="1">
        <f t="shared" si="173"/>
        <v>0</v>
      </c>
      <c r="AG358" s="1">
        <f t="shared" si="174"/>
        <v>0</v>
      </c>
      <c r="AH358" s="1">
        <f t="shared" si="175"/>
        <v>0</v>
      </c>
      <c r="AI358" s="1">
        <f t="shared" si="176"/>
        <v>1</v>
      </c>
    </row>
    <row r="359" spans="1:16384" ht="14.25" customHeight="1" x14ac:dyDescent="0.25">
      <c r="A359" s="34">
        <v>0</v>
      </c>
      <c r="B359" s="34">
        <v>2</v>
      </c>
      <c r="C359" s="34">
        <v>4</v>
      </c>
      <c r="D359" s="35" t="s">
        <v>823</v>
      </c>
      <c r="E359" s="35" t="s">
        <v>590</v>
      </c>
      <c r="F359" s="35" t="s">
        <v>824</v>
      </c>
      <c r="G359" s="35" t="s">
        <v>937</v>
      </c>
      <c r="H359" s="35" t="s">
        <v>354</v>
      </c>
      <c r="I359" s="34" t="s">
        <v>951</v>
      </c>
      <c r="J359" s="34">
        <v>7</v>
      </c>
      <c r="K359" s="36" t="s">
        <v>712</v>
      </c>
      <c r="L359" s="36" t="s">
        <v>39</v>
      </c>
      <c r="M359" s="37" t="s">
        <v>39</v>
      </c>
      <c r="N359" s="37" t="s">
        <v>1727</v>
      </c>
      <c r="O359" s="38">
        <v>1</v>
      </c>
      <c r="P359" s="38">
        <v>1</v>
      </c>
      <c r="Q359" s="35"/>
      <c r="S359" s="1">
        <f t="shared" si="177"/>
        <v>0</v>
      </c>
      <c r="T359" s="1">
        <f t="shared" si="178"/>
        <v>0</v>
      </c>
      <c r="U359" s="1">
        <f t="shared" si="179"/>
        <v>0</v>
      </c>
      <c r="V359" s="1">
        <f t="shared" si="180"/>
        <v>0</v>
      </c>
      <c r="W359" s="1">
        <f t="shared" si="181"/>
        <v>0</v>
      </c>
      <c r="X359" s="1">
        <f t="shared" si="182"/>
        <v>0</v>
      </c>
      <c r="Y359" s="1">
        <f t="shared" si="183"/>
        <v>1</v>
      </c>
      <c r="Z359" s="1">
        <f t="shared" si="184"/>
        <v>0</v>
      </c>
      <c r="AA359" s="1">
        <f t="shared" si="185"/>
        <v>0</v>
      </c>
      <c r="AB359" s="1">
        <f t="shared" si="186"/>
        <v>0</v>
      </c>
      <c r="AD359" s="1">
        <f t="shared" si="187"/>
        <v>1</v>
      </c>
      <c r="AE359" s="1">
        <f t="shared" si="188"/>
        <v>0</v>
      </c>
      <c r="AF359" s="1">
        <f t="shared" si="173"/>
        <v>1</v>
      </c>
      <c r="AG359" s="1">
        <f t="shared" si="174"/>
        <v>0</v>
      </c>
      <c r="AH359" s="1">
        <f t="shared" si="175"/>
        <v>1</v>
      </c>
      <c r="AI359" s="1">
        <f t="shared" si="176"/>
        <v>0</v>
      </c>
    </row>
    <row r="360" spans="1:16384" ht="14.25" customHeight="1" x14ac:dyDescent="0.25">
      <c r="A360" s="47">
        <v>0</v>
      </c>
      <c r="B360" s="47">
        <v>2</v>
      </c>
      <c r="C360" s="47">
        <v>4</v>
      </c>
      <c r="D360" s="48" t="s">
        <v>1605</v>
      </c>
      <c r="E360" s="48" t="s">
        <v>1655</v>
      </c>
      <c r="F360" s="48" t="s">
        <v>1606</v>
      </c>
      <c r="G360" s="48" t="s">
        <v>333</v>
      </c>
      <c r="H360" s="48" t="s">
        <v>354</v>
      </c>
      <c r="I360" s="47" t="s">
        <v>30</v>
      </c>
      <c r="J360" s="47">
        <v>99</v>
      </c>
      <c r="K360" s="49" t="s">
        <v>713</v>
      </c>
      <c r="L360" s="49">
        <v>20</v>
      </c>
      <c r="M360" s="50" t="s">
        <v>39</v>
      </c>
      <c r="N360" s="50" t="s">
        <v>1741</v>
      </c>
      <c r="O360" s="51"/>
      <c r="P360" s="51"/>
      <c r="Q360" s="48"/>
      <c r="S360" s="1">
        <f t="shared" si="177"/>
        <v>0</v>
      </c>
      <c r="T360" s="1">
        <f t="shared" si="178"/>
        <v>0</v>
      </c>
      <c r="U360" s="1">
        <f t="shared" si="179"/>
        <v>0</v>
      </c>
      <c r="V360" s="1">
        <f t="shared" si="180"/>
        <v>0</v>
      </c>
      <c r="W360" s="1">
        <f t="shared" si="181"/>
        <v>0</v>
      </c>
      <c r="X360" s="1">
        <f t="shared" si="182"/>
        <v>0</v>
      </c>
      <c r="Y360" s="1">
        <f t="shared" si="183"/>
        <v>0</v>
      </c>
      <c r="Z360" s="1">
        <f t="shared" si="184"/>
        <v>0</v>
      </c>
      <c r="AA360" s="1">
        <f t="shared" si="185"/>
        <v>0</v>
      </c>
      <c r="AB360" s="1">
        <f t="shared" si="186"/>
        <v>0</v>
      </c>
      <c r="AD360" s="1">
        <f t="shared" ref="AD360:AD363" si="189">+O360*P360</f>
        <v>0</v>
      </c>
      <c r="AE360" s="1">
        <f t="shared" ref="AE360:AE363" si="190">O360*(1-P360)</f>
        <v>0</v>
      </c>
      <c r="AF360" s="1">
        <f t="shared" ref="AF360:AF363" si="191">+O360*P360*(1-A360)</f>
        <v>0</v>
      </c>
      <c r="AG360" s="1">
        <f t="shared" ref="AG360:AG363" si="192">O360*(1-P360)*(1-A360)</f>
        <v>0</v>
      </c>
      <c r="AH360" s="1">
        <f t="shared" ref="AH360:AH363" si="193">+P360*(1-A360)</f>
        <v>0</v>
      </c>
      <c r="AI360" s="1">
        <f t="shared" ref="AI360:AI363" si="194">+(1-A360)*(1-P360)</f>
        <v>1</v>
      </c>
    </row>
    <row r="361" spans="1:16384" ht="14.25" customHeight="1" x14ac:dyDescent="0.25">
      <c r="A361" s="34">
        <v>0</v>
      </c>
      <c r="B361" s="34">
        <v>2</v>
      </c>
      <c r="C361" s="34">
        <v>5</v>
      </c>
      <c r="D361" s="35" t="s">
        <v>58</v>
      </c>
      <c r="E361" s="35" t="s">
        <v>44</v>
      </c>
      <c r="F361" s="35" t="s">
        <v>671</v>
      </c>
      <c r="G361" s="35" t="s">
        <v>223</v>
      </c>
      <c r="H361" s="35" t="s">
        <v>354</v>
      </c>
      <c r="I361" s="34" t="s">
        <v>397</v>
      </c>
      <c r="J361" s="34">
        <v>8</v>
      </c>
      <c r="K361" s="36" t="s">
        <v>713</v>
      </c>
      <c r="L361" s="36" t="s">
        <v>716</v>
      </c>
      <c r="M361" s="37" t="s">
        <v>1423</v>
      </c>
      <c r="N361" s="37" t="s">
        <v>1748</v>
      </c>
      <c r="O361" s="38">
        <v>1</v>
      </c>
      <c r="P361" s="38"/>
      <c r="Q361" s="35"/>
      <c r="S361" s="1">
        <f t="shared" si="177"/>
        <v>0</v>
      </c>
      <c r="T361" s="1">
        <f t="shared" si="178"/>
        <v>0</v>
      </c>
      <c r="U361" s="1">
        <f t="shared" si="179"/>
        <v>0</v>
      </c>
      <c r="V361" s="1">
        <f t="shared" si="180"/>
        <v>0</v>
      </c>
      <c r="W361" s="1">
        <f t="shared" si="181"/>
        <v>0</v>
      </c>
      <c r="X361" s="1">
        <f t="shared" si="182"/>
        <v>0</v>
      </c>
      <c r="Y361" s="1">
        <f t="shared" si="183"/>
        <v>0</v>
      </c>
      <c r="Z361" s="1">
        <f t="shared" si="184"/>
        <v>1</v>
      </c>
      <c r="AA361" s="1">
        <f t="shared" si="185"/>
        <v>0</v>
      </c>
      <c r="AB361" s="1">
        <f t="shared" si="186"/>
        <v>0</v>
      </c>
      <c r="AD361" s="1">
        <f t="shared" si="189"/>
        <v>0</v>
      </c>
      <c r="AE361" s="1">
        <f t="shared" si="190"/>
        <v>1</v>
      </c>
      <c r="AF361" s="1">
        <f t="shared" si="191"/>
        <v>0</v>
      </c>
      <c r="AG361" s="1">
        <f t="shared" si="192"/>
        <v>1</v>
      </c>
      <c r="AH361" s="1">
        <f t="shared" si="193"/>
        <v>0</v>
      </c>
      <c r="AI361" s="1">
        <f t="shared" si="194"/>
        <v>1</v>
      </c>
    </row>
    <row r="362" spans="1:16384" ht="14.25" customHeight="1" x14ac:dyDescent="0.25">
      <c r="A362" s="47">
        <v>0</v>
      </c>
      <c r="B362" s="47">
        <v>2</v>
      </c>
      <c r="C362" s="47">
        <v>5</v>
      </c>
      <c r="D362" s="48" t="s">
        <v>832</v>
      </c>
      <c r="E362" s="48" t="s">
        <v>831</v>
      </c>
      <c r="F362" s="48" t="s">
        <v>924</v>
      </c>
      <c r="G362" s="48" t="s">
        <v>213</v>
      </c>
      <c r="H362" s="48" t="s">
        <v>354</v>
      </c>
      <c r="I362" s="47" t="s">
        <v>833</v>
      </c>
      <c r="J362" s="47">
        <v>1</v>
      </c>
      <c r="K362" s="49" t="s">
        <v>712</v>
      </c>
      <c r="L362" s="49" t="s">
        <v>693</v>
      </c>
      <c r="M362" s="50" t="s">
        <v>1424</v>
      </c>
      <c r="N362" s="50" t="s">
        <v>1735</v>
      </c>
      <c r="O362" s="51"/>
      <c r="P362" s="51"/>
      <c r="Q362" s="48"/>
      <c r="S362" s="1">
        <f t="shared" si="177"/>
        <v>1</v>
      </c>
      <c r="T362" s="1">
        <f t="shared" si="178"/>
        <v>0</v>
      </c>
      <c r="U362" s="1">
        <f t="shared" si="179"/>
        <v>0</v>
      </c>
      <c r="V362" s="1">
        <f t="shared" si="180"/>
        <v>0</v>
      </c>
      <c r="W362" s="1">
        <f t="shared" si="181"/>
        <v>0</v>
      </c>
      <c r="X362" s="1">
        <f t="shared" si="182"/>
        <v>0</v>
      </c>
      <c r="Y362" s="1">
        <f t="shared" si="183"/>
        <v>0</v>
      </c>
      <c r="Z362" s="1">
        <f t="shared" si="184"/>
        <v>0</v>
      </c>
      <c r="AA362" s="1">
        <f t="shared" si="185"/>
        <v>0</v>
      </c>
      <c r="AB362" s="1">
        <f t="shared" si="186"/>
        <v>0</v>
      </c>
      <c r="AD362" s="1">
        <f t="shared" si="189"/>
        <v>0</v>
      </c>
      <c r="AE362" s="1">
        <f t="shared" si="190"/>
        <v>0</v>
      </c>
      <c r="AF362" s="1">
        <f t="shared" si="191"/>
        <v>0</v>
      </c>
      <c r="AG362" s="1">
        <f t="shared" si="192"/>
        <v>0</v>
      </c>
      <c r="AH362" s="1">
        <f t="shared" si="193"/>
        <v>0</v>
      </c>
      <c r="AI362" s="1">
        <f t="shared" si="194"/>
        <v>1</v>
      </c>
    </row>
    <row r="363" spans="1:16384" ht="14.25" customHeight="1" x14ac:dyDescent="0.25">
      <c r="A363" s="34">
        <v>0</v>
      </c>
      <c r="B363" s="34">
        <v>2</v>
      </c>
      <c r="C363" s="34">
        <v>5</v>
      </c>
      <c r="D363" s="35" t="s">
        <v>65</v>
      </c>
      <c r="E363" s="35" t="s">
        <v>164</v>
      </c>
      <c r="F363" s="35" t="s">
        <v>547</v>
      </c>
      <c r="G363" s="35" t="s">
        <v>194</v>
      </c>
      <c r="H363" s="35" t="s">
        <v>354</v>
      </c>
      <c r="I363" s="34" t="s">
        <v>552</v>
      </c>
      <c r="J363" s="34">
        <v>9</v>
      </c>
      <c r="K363" s="36" t="s">
        <v>713</v>
      </c>
      <c r="L363" s="36" t="s">
        <v>687</v>
      </c>
      <c r="M363" s="37" t="s">
        <v>1443</v>
      </c>
      <c r="N363" s="37" t="s">
        <v>1761</v>
      </c>
      <c r="O363" s="38">
        <v>1</v>
      </c>
      <c r="P363" s="38"/>
      <c r="Q363" s="35"/>
      <c r="S363" s="1">
        <f t="shared" si="177"/>
        <v>0</v>
      </c>
      <c r="T363" s="1">
        <f t="shared" si="178"/>
        <v>0</v>
      </c>
      <c r="U363" s="1">
        <f t="shared" si="179"/>
        <v>0</v>
      </c>
      <c r="V363" s="1">
        <f t="shared" si="180"/>
        <v>0</v>
      </c>
      <c r="W363" s="1">
        <f t="shared" si="181"/>
        <v>0</v>
      </c>
      <c r="X363" s="1">
        <f t="shared" si="182"/>
        <v>0</v>
      </c>
      <c r="Y363" s="1">
        <f t="shared" si="183"/>
        <v>0</v>
      </c>
      <c r="Z363" s="1">
        <f t="shared" si="184"/>
        <v>0</v>
      </c>
      <c r="AA363" s="1">
        <f t="shared" si="185"/>
        <v>1</v>
      </c>
      <c r="AB363" s="1">
        <f t="shared" si="186"/>
        <v>0</v>
      </c>
      <c r="AD363" s="1">
        <f t="shared" si="189"/>
        <v>0</v>
      </c>
      <c r="AE363" s="1">
        <f t="shared" si="190"/>
        <v>1</v>
      </c>
      <c r="AF363" s="1">
        <f t="shared" si="191"/>
        <v>0</v>
      </c>
      <c r="AG363" s="1">
        <f t="shared" si="192"/>
        <v>1</v>
      </c>
      <c r="AH363" s="1">
        <f t="shared" si="193"/>
        <v>0</v>
      </c>
      <c r="AI363" s="1">
        <f t="shared" si="194"/>
        <v>1</v>
      </c>
    </row>
    <row r="364" spans="1:16384" ht="14.25" customHeight="1" x14ac:dyDescent="0.25">
      <c r="A364" s="47">
        <v>0</v>
      </c>
      <c r="B364" s="47">
        <v>2</v>
      </c>
      <c r="C364" s="47">
        <v>5</v>
      </c>
      <c r="D364" s="48" t="s">
        <v>1486</v>
      </c>
      <c r="E364" s="48" t="s">
        <v>35</v>
      </c>
      <c r="F364" s="68" t="s">
        <v>1873</v>
      </c>
      <c r="G364" s="48" t="s">
        <v>222</v>
      </c>
      <c r="H364" s="48" t="s">
        <v>354</v>
      </c>
      <c r="I364" s="47" t="s">
        <v>1686</v>
      </c>
      <c r="J364" s="47">
        <v>99</v>
      </c>
      <c r="K364" s="49" t="s">
        <v>713</v>
      </c>
      <c r="L364" s="49">
        <v>25</v>
      </c>
      <c r="M364" s="50" t="s">
        <v>39</v>
      </c>
      <c r="N364" s="50" t="s">
        <v>1737</v>
      </c>
      <c r="O364" s="51"/>
      <c r="P364" s="51"/>
      <c r="Q364" s="48"/>
      <c r="S364" s="1">
        <f t="shared" si="177"/>
        <v>0</v>
      </c>
      <c r="T364" s="1">
        <f t="shared" si="178"/>
        <v>0</v>
      </c>
      <c r="U364" s="1">
        <f t="shared" si="179"/>
        <v>0</v>
      </c>
      <c r="V364" s="1">
        <f t="shared" si="180"/>
        <v>0</v>
      </c>
      <c r="W364" s="1">
        <f t="shared" si="181"/>
        <v>0</v>
      </c>
      <c r="X364" s="1">
        <f t="shared" si="182"/>
        <v>0</v>
      </c>
      <c r="Y364" s="1">
        <f t="shared" si="183"/>
        <v>0</v>
      </c>
      <c r="Z364" s="1">
        <f t="shared" si="184"/>
        <v>0</v>
      </c>
      <c r="AA364" s="1">
        <f t="shared" si="185"/>
        <v>0</v>
      </c>
      <c r="AB364" s="1">
        <f t="shared" si="186"/>
        <v>0</v>
      </c>
      <c r="AD364" s="1">
        <f t="shared" si="187"/>
        <v>0</v>
      </c>
      <c r="AE364" s="1">
        <f t="shared" si="188"/>
        <v>0</v>
      </c>
      <c r="AF364" s="1">
        <f t="shared" si="173"/>
        <v>0</v>
      </c>
      <c r="AG364" s="1">
        <f t="shared" si="174"/>
        <v>0</v>
      </c>
      <c r="AH364" s="1">
        <f t="shared" si="175"/>
        <v>0</v>
      </c>
      <c r="AI364" s="1">
        <f t="shared" si="176"/>
        <v>1</v>
      </c>
    </row>
    <row r="365" spans="1:16384" ht="14.25" customHeight="1" x14ac:dyDescent="0.25">
      <c r="A365" s="47">
        <v>0</v>
      </c>
      <c r="B365" s="47">
        <v>2</v>
      </c>
      <c r="C365" s="47">
        <v>5</v>
      </c>
      <c r="D365" s="48" t="s">
        <v>1819</v>
      </c>
      <c r="E365" s="48" t="s">
        <v>772</v>
      </c>
      <c r="F365" s="48" t="s">
        <v>1820</v>
      </c>
      <c r="G365" s="48" t="s">
        <v>224</v>
      </c>
      <c r="H365" s="48" t="s">
        <v>354</v>
      </c>
      <c r="I365" s="47" t="s">
        <v>1821</v>
      </c>
      <c r="J365" s="47">
        <v>99</v>
      </c>
      <c r="K365" s="49" t="s">
        <v>1822</v>
      </c>
      <c r="L365" s="49">
        <v>40</v>
      </c>
      <c r="M365" s="50" t="s">
        <v>1823</v>
      </c>
      <c r="N365" s="50" t="s">
        <v>1809</v>
      </c>
      <c r="O365" s="51"/>
      <c r="P365" s="51"/>
      <c r="Q365" s="48"/>
      <c r="S365" s="1">
        <f t="shared" si="177"/>
        <v>0</v>
      </c>
      <c r="T365" s="1">
        <f t="shared" si="178"/>
        <v>0</v>
      </c>
      <c r="U365" s="1">
        <f t="shared" si="179"/>
        <v>0</v>
      </c>
      <c r="V365" s="1">
        <f t="shared" si="180"/>
        <v>0</v>
      </c>
      <c r="W365" s="1">
        <f t="shared" si="181"/>
        <v>0</v>
      </c>
      <c r="X365" s="1">
        <f t="shared" si="182"/>
        <v>0</v>
      </c>
      <c r="Y365" s="1">
        <f t="shared" si="183"/>
        <v>0</v>
      </c>
      <c r="Z365" s="1">
        <f t="shared" si="184"/>
        <v>0</v>
      </c>
      <c r="AA365" s="1">
        <f t="shared" si="185"/>
        <v>0</v>
      </c>
      <c r="AB365" s="1">
        <f t="shared" si="186"/>
        <v>0</v>
      </c>
      <c r="AD365" s="1">
        <f t="shared" si="187"/>
        <v>0</v>
      </c>
      <c r="AE365" s="1">
        <f t="shared" si="188"/>
        <v>0</v>
      </c>
      <c r="AF365" s="1">
        <f t="shared" si="173"/>
        <v>0</v>
      </c>
      <c r="AG365" s="1">
        <f t="shared" si="174"/>
        <v>0</v>
      </c>
      <c r="AH365" s="1">
        <f t="shared" si="175"/>
        <v>0</v>
      </c>
      <c r="AI365" s="1">
        <f t="shared" si="176"/>
        <v>1</v>
      </c>
    </row>
    <row r="366" spans="1:16384" ht="14.25" customHeight="1" x14ac:dyDescent="0.25">
      <c r="A366" s="34">
        <v>0</v>
      </c>
      <c r="B366" s="34">
        <v>2</v>
      </c>
      <c r="C366" s="34">
        <v>5</v>
      </c>
      <c r="D366" s="35" t="s">
        <v>616</v>
      </c>
      <c r="E366" s="35" t="s">
        <v>686</v>
      </c>
      <c r="F366" s="35" t="s">
        <v>617</v>
      </c>
      <c r="G366" s="35" t="s">
        <v>287</v>
      </c>
      <c r="H366" s="35" t="s">
        <v>354</v>
      </c>
      <c r="I366" s="34" t="s">
        <v>618</v>
      </c>
      <c r="J366" s="34">
        <v>99</v>
      </c>
      <c r="K366" s="36" t="s">
        <v>712</v>
      </c>
      <c r="L366" s="36" t="s">
        <v>704</v>
      </c>
      <c r="M366" s="37" t="s">
        <v>1425</v>
      </c>
      <c r="N366" s="37" t="s">
        <v>1743</v>
      </c>
      <c r="O366" s="38">
        <v>1</v>
      </c>
      <c r="P366" s="38"/>
      <c r="Q366" s="35"/>
      <c r="S366" s="1">
        <f t="shared" si="177"/>
        <v>0</v>
      </c>
      <c r="T366" s="1">
        <f t="shared" si="178"/>
        <v>0</v>
      </c>
      <c r="U366" s="1">
        <f t="shared" si="179"/>
        <v>0</v>
      </c>
      <c r="V366" s="1">
        <f t="shared" si="180"/>
        <v>0</v>
      </c>
      <c r="W366" s="1">
        <f t="shared" si="181"/>
        <v>0</v>
      </c>
      <c r="X366" s="1">
        <f t="shared" si="182"/>
        <v>0</v>
      </c>
      <c r="Y366" s="1">
        <f t="shared" si="183"/>
        <v>0</v>
      </c>
      <c r="Z366" s="1">
        <f t="shared" si="184"/>
        <v>0</v>
      </c>
      <c r="AA366" s="1">
        <f t="shared" si="185"/>
        <v>0</v>
      </c>
      <c r="AB366" s="1">
        <f t="shared" si="186"/>
        <v>0</v>
      </c>
      <c r="AD366" s="1">
        <f t="shared" si="187"/>
        <v>0</v>
      </c>
      <c r="AE366" s="1">
        <f t="shared" si="188"/>
        <v>1</v>
      </c>
      <c r="AF366" s="1">
        <f t="shared" si="173"/>
        <v>0</v>
      </c>
      <c r="AG366" s="1">
        <f t="shared" si="174"/>
        <v>1</v>
      </c>
      <c r="AH366" s="1">
        <f t="shared" si="175"/>
        <v>0</v>
      </c>
      <c r="AI366" s="1">
        <f t="shared" si="176"/>
        <v>1</v>
      </c>
    </row>
    <row r="367" spans="1:16384" ht="14.25" customHeight="1" x14ac:dyDescent="0.25">
      <c r="A367" s="47">
        <v>0</v>
      </c>
      <c r="B367" s="47">
        <v>2</v>
      </c>
      <c r="C367" s="47">
        <v>5</v>
      </c>
      <c r="D367" s="48" t="s">
        <v>1488</v>
      </c>
      <c r="E367" s="48" t="s">
        <v>772</v>
      </c>
      <c r="F367" s="48" t="s">
        <v>1489</v>
      </c>
      <c r="G367" s="48" t="s">
        <v>196</v>
      </c>
      <c r="H367" s="48" t="s">
        <v>354</v>
      </c>
      <c r="I367" s="47" t="s">
        <v>1490</v>
      </c>
      <c r="J367" s="47">
        <v>99</v>
      </c>
      <c r="K367" s="49" t="s">
        <v>954</v>
      </c>
      <c r="L367" s="49" t="s">
        <v>693</v>
      </c>
      <c r="M367" s="50" t="s">
        <v>1416</v>
      </c>
      <c r="N367" s="50" t="s">
        <v>1735</v>
      </c>
      <c r="O367" s="51"/>
      <c r="P367" s="51"/>
      <c r="Q367" s="48"/>
      <c r="S367" s="1">
        <f t="shared" si="177"/>
        <v>0</v>
      </c>
      <c r="T367" s="1">
        <f t="shared" si="178"/>
        <v>0</v>
      </c>
      <c r="U367" s="1">
        <f t="shared" si="179"/>
        <v>0</v>
      </c>
      <c r="V367" s="1">
        <f t="shared" si="180"/>
        <v>0</v>
      </c>
      <c r="W367" s="1">
        <f t="shared" si="181"/>
        <v>0</v>
      </c>
      <c r="X367" s="1">
        <f t="shared" si="182"/>
        <v>0</v>
      </c>
      <c r="Y367" s="1">
        <f t="shared" si="183"/>
        <v>0</v>
      </c>
      <c r="Z367" s="1">
        <f t="shared" si="184"/>
        <v>0</v>
      </c>
      <c r="AA367" s="1">
        <f t="shared" si="185"/>
        <v>0</v>
      </c>
      <c r="AB367" s="1">
        <f t="shared" si="186"/>
        <v>0</v>
      </c>
      <c r="AD367" s="1">
        <f t="shared" si="187"/>
        <v>0</v>
      </c>
      <c r="AE367" s="1">
        <f t="shared" si="188"/>
        <v>0</v>
      </c>
      <c r="AF367" s="1">
        <f t="shared" si="173"/>
        <v>0</v>
      </c>
      <c r="AG367" s="1">
        <f t="shared" si="174"/>
        <v>0</v>
      </c>
      <c r="AH367" s="1">
        <f t="shared" si="175"/>
        <v>0</v>
      </c>
      <c r="AI367" s="1">
        <f t="shared" si="176"/>
        <v>1</v>
      </c>
    </row>
    <row r="368" spans="1:16384" ht="14.25" customHeight="1" x14ac:dyDescent="0.25">
      <c r="A368" s="47">
        <v>0</v>
      </c>
      <c r="B368" s="47">
        <v>2</v>
      </c>
      <c r="C368" s="47">
        <v>5</v>
      </c>
      <c r="D368" s="48" t="s">
        <v>775</v>
      </c>
      <c r="E368" s="48" t="s">
        <v>772</v>
      </c>
      <c r="F368" s="48" t="s">
        <v>777</v>
      </c>
      <c r="G368" s="48" t="s">
        <v>207</v>
      </c>
      <c r="H368" s="48" t="s">
        <v>354</v>
      </c>
      <c r="I368" s="47" t="s">
        <v>776</v>
      </c>
      <c r="J368" s="47">
        <v>99</v>
      </c>
      <c r="K368" s="49" t="s">
        <v>712</v>
      </c>
      <c r="L368" s="49" t="s">
        <v>694</v>
      </c>
      <c r="M368" s="50" t="s">
        <v>1426</v>
      </c>
      <c r="N368" s="50" t="s">
        <v>1735</v>
      </c>
      <c r="O368" s="51"/>
      <c r="P368" s="51"/>
      <c r="Q368" s="48"/>
      <c r="R368" s="34"/>
      <c r="S368" s="34">
        <f t="shared" si="177"/>
        <v>0</v>
      </c>
      <c r="T368" s="34">
        <f t="shared" si="178"/>
        <v>0</v>
      </c>
      <c r="U368" s="35">
        <f t="shared" si="179"/>
        <v>0</v>
      </c>
      <c r="V368" s="35">
        <f t="shared" si="180"/>
        <v>0</v>
      </c>
      <c r="W368" s="35">
        <f t="shared" si="181"/>
        <v>0</v>
      </c>
      <c r="X368" s="35">
        <f t="shared" si="182"/>
        <v>0</v>
      </c>
      <c r="Y368" s="35">
        <f t="shared" si="183"/>
        <v>0</v>
      </c>
      <c r="Z368" s="34">
        <f t="shared" si="184"/>
        <v>0</v>
      </c>
      <c r="AA368" s="34">
        <f t="shared" si="185"/>
        <v>0</v>
      </c>
      <c r="AB368" s="36">
        <f t="shared" si="186"/>
        <v>0</v>
      </c>
      <c r="AC368" s="36"/>
      <c r="AD368" s="37">
        <f t="shared" si="187"/>
        <v>0</v>
      </c>
      <c r="AE368" s="37">
        <f t="shared" si="188"/>
        <v>0</v>
      </c>
      <c r="AF368" s="38">
        <f t="shared" si="173"/>
        <v>0</v>
      </c>
      <c r="AG368" s="38">
        <f t="shared" si="174"/>
        <v>0</v>
      </c>
      <c r="AH368" s="39">
        <f t="shared" si="175"/>
        <v>0</v>
      </c>
      <c r="AI368" s="34">
        <f t="shared" si="176"/>
        <v>1</v>
      </c>
      <c r="AJ368" s="34"/>
      <c r="AK368" s="34"/>
      <c r="AL368" s="35"/>
      <c r="AM368" s="35"/>
      <c r="AN368" s="35"/>
      <c r="AO368" s="35"/>
      <c r="AP368" s="35"/>
      <c r="AQ368" s="34"/>
      <c r="AR368" s="34"/>
      <c r="AS368" s="36"/>
      <c r="AT368" s="36"/>
      <c r="AU368" s="37"/>
      <c r="AV368" s="37"/>
      <c r="AW368" s="38"/>
      <c r="AX368" s="38"/>
      <c r="AY368" s="39"/>
      <c r="AZ368" s="34"/>
      <c r="BA368" s="34"/>
      <c r="BB368" s="34"/>
      <c r="BC368" s="35"/>
      <c r="BD368" s="35"/>
      <c r="BE368" s="35"/>
      <c r="BF368" s="35"/>
      <c r="BG368" s="35"/>
      <c r="BH368" s="34"/>
      <c r="BI368" s="34"/>
      <c r="BJ368" s="36"/>
      <c r="BK368" s="36"/>
      <c r="BL368" s="37"/>
      <c r="BM368" s="37"/>
      <c r="BN368" s="38"/>
      <c r="BO368" s="38"/>
      <c r="BP368" s="39"/>
      <c r="BQ368" s="34"/>
      <c r="BR368" s="34"/>
      <c r="BS368" s="34"/>
      <c r="BT368" s="35"/>
      <c r="BU368" s="35"/>
      <c r="BV368" s="35"/>
      <c r="BW368" s="35"/>
      <c r="BX368" s="35"/>
      <c r="BY368" s="34"/>
      <c r="BZ368" s="34"/>
      <c r="CA368" s="36"/>
      <c r="CB368" s="36"/>
      <c r="CC368" s="37"/>
      <c r="CD368" s="37"/>
      <c r="CE368" s="38"/>
      <c r="CF368" s="38"/>
      <c r="CG368" s="39"/>
      <c r="CH368" s="34"/>
      <c r="CI368" s="34"/>
      <c r="CJ368" s="34"/>
      <c r="CK368" s="35"/>
      <c r="CL368" s="35"/>
      <c r="CM368" s="35"/>
      <c r="CN368" s="35"/>
      <c r="CO368" s="35"/>
      <c r="CP368" s="34"/>
      <c r="CQ368" s="34"/>
      <c r="CR368" s="36"/>
      <c r="CS368" s="36"/>
      <c r="CT368" s="37"/>
      <c r="CU368" s="37"/>
      <c r="CV368" s="38"/>
      <c r="CW368" s="38"/>
      <c r="CX368" s="39"/>
      <c r="CY368" s="34"/>
      <c r="CZ368" s="34"/>
      <c r="DA368" s="34"/>
      <c r="DB368" s="35"/>
      <c r="DC368" s="35"/>
      <c r="DD368" s="35"/>
      <c r="DE368" s="35"/>
      <c r="DF368" s="35"/>
      <c r="DG368" s="34"/>
      <c r="DH368" s="34"/>
      <c r="DI368" s="36"/>
      <c r="DJ368" s="36"/>
      <c r="DK368" s="37"/>
      <c r="DL368" s="37"/>
      <c r="DM368" s="38"/>
      <c r="DN368" s="38"/>
      <c r="DO368" s="39"/>
      <c r="DP368" s="34"/>
      <c r="DQ368" s="34"/>
      <c r="DR368" s="34"/>
      <c r="DS368" s="35"/>
      <c r="DT368" s="35"/>
      <c r="DU368" s="35"/>
      <c r="DV368" s="35"/>
      <c r="DW368" s="35"/>
      <c r="DX368" s="34"/>
      <c r="DY368" s="34"/>
      <c r="DZ368" s="36"/>
      <c r="EA368" s="36"/>
      <c r="EB368" s="37"/>
      <c r="EC368" s="37"/>
      <c r="ED368" s="38"/>
      <c r="EE368" s="38"/>
      <c r="EF368" s="39"/>
      <c r="EG368" s="34"/>
      <c r="EH368" s="34"/>
      <c r="EI368" s="34"/>
      <c r="EJ368" s="35"/>
      <c r="EK368" s="35"/>
      <c r="EL368" s="35"/>
      <c r="EM368" s="35"/>
      <c r="EN368" s="35"/>
      <c r="EO368" s="34"/>
      <c r="EP368" s="34"/>
      <c r="EQ368" s="36"/>
      <c r="ER368" s="36"/>
      <c r="ES368" s="37"/>
      <c r="ET368" s="37"/>
      <c r="EU368" s="38"/>
      <c r="EV368" s="38"/>
      <c r="EW368" s="39"/>
      <c r="EX368" s="34"/>
      <c r="EY368" s="34"/>
      <c r="EZ368" s="34"/>
      <c r="FA368" s="35"/>
      <c r="FB368" s="35"/>
      <c r="FC368" s="35"/>
      <c r="FD368" s="35"/>
      <c r="FE368" s="35"/>
      <c r="FF368" s="34"/>
      <c r="FG368" s="34"/>
      <c r="FH368" s="36"/>
      <c r="FI368" s="36"/>
      <c r="FJ368" s="37"/>
      <c r="FK368" s="37"/>
      <c r="FL368" s="38"/>
      <c r="FM368" s="38"/>
      <c r="FN368" s="39"/>
      <c r="FO368" s="34"/>
      <c r="FP368" s="34"/>
      <c r="FQ368" s="34"/>
      <c r="FR368" s="35"/>
      <c r="FS368" s="35"/>
      <c r="FT368" s="35"/>
      <c r="FU368" s="35"/>
      <c r="FV368" s="35"/>
      <c r="FW368" s="34"/>
      <c r="FX368" s="34"/>
      <c r="FY368" s="36"/>
      <c r="FZ368" s="36"/>
      <c r="GA368" s="37"/>
      <c r="GB368" s="37"/>
      <c r="GC368" s="38"/>
      <c r="GD368" s="38"/>
      <c r="GE368" s="39"/>
      <c r="GF368" s="34"/>
      <c r="GG368" s="34"/>
      <c r="GH368" s="34"/>
      <c r="GI368" s="35"/>
      <c r="GJ368" s="35"/>
      <c r="GK368" s="35"/>
      <c r="GL368" s="35"/>
      <c r="GM368" s="35"/>
      <c r="GN368" s="34"/>
      <c r="GO368" s="34"/>
      <c r="GP368" s="36"/>
      <c r="GQ368" s="36"/>
      <c r="GR368" s="37"/>
      <c r="GS368" s="37"/>
      <c r="GT368" s="38"/>
      <c r="GU368" s="38"/>
      <c r="GV368" s="39"/>
      <c r="GW368" s="34"/>
      <c r="GX368" s="34"/>
      <c r="GY368" s="34"/>
      <c r="GZ368" s="35"/>
      <c r="HA368" s="35"/>
      <c r="HB368" s="35"/>
      <c r="HC368" s="35"/>
      <c r="HD368" s="35"/>
      <c r="HE368" s="34"/>
      <c r="HF368" s="34"/>
      <c r="HG368" s="36"/>
      <c r="HH368" s="36"/>
      <c r="HI368" s="37"/>
      <c r="HJ368" s="37"/>
      <c r="HK368" s="38"/>
      <c r="HL368" s="38"/>
      <c r="HM368" s="39"/>
      <c r="HN368" s="34"/>
      <c r="HO368" s="34"/>
      <c r="HP368" s="34"/>
      <c r="HQ368" s="35"/>
      <c r="HR368" s="35"/>
      <c r="HS368" s="35"/>
      <c r="HT368" s="35"/>
      <c r="HU368" s="35"/>
      <c r="HV368" s="34"/>
      <c r="HW368" s="34"/>
      <c r="HX368" s="36"/>
      <c r="HY368" s="36"/>
      <c r="HZ368" s="37"/>
      <c r="IA368" s="37"/>
      <c r="IB368" s="38"/>
      <c r="IC368" s="38"/>
      <c r="ID368" s="39"/>
      <c r="IE368" s="34"/>
      <c r="IF368" s="34"/>
      <c r="IG368" s="34"/>
      <c r="IH368" s="35"/>
      <c r="II368" s="35"/>
      <c r="IJ368" s="35"/>
      <c r="IK368" s="35"/>
      <c r="IL368" s="35"/>
      <c r="IM368" s="34"/>
      <c r="IN368" s="34"/>
      <c r="IO368" s="36"/>
      <c r="IP368" s="36"/>
      <c r="IQ368" s="37"/>
      <c r="IR368" s="37"/>
      <c r="IS368" s="38"/>
      <c r="IT368" s="38"/>
      <c r="IU368" s="39"/>
      <c r="IV368" s="34"/>
      <c r="IW368" s="34"/>
      <c r="IX368" s="34"/>
      <c r="IY368" s="35"/>
      <c r="IZ368" s="35"/>
      <c r="JA368" s="35"/>
      <c r="JB368" s="35"/>
      <c r="JC368" s="35"/>
      <c r="JD368" s="34"/>
      <c r="JE368" s="34"/>
      <c r="JF368" s="36"/>
      <c r="JG368" s="36"/>
      <c r="JH368" s="37"/>
      <c r="JI368" s="37"/>
      <c r="JJ368" s="38"/>
      <c r="JK368" s="38"/>
      <c r="JL368" s="39"/>
      <c r="JM368" s="34"/>
      <c r="JN368" s="34"/>
      <c r="JO368" s="34"/>
      <c r="JP368" s="35"/>
      <c r="JQ368" s="35"/>
      <c r="JR368" s="35"/>
      <c r="JS368" s="35"/>
      <c r="JT368" s="35"/>
      <c r="JU368" s="34"/>
      <c r="JV368" s="34"/>
      <c r="JW368" s="36"/>
      <c r="JX368" s="36"/>
      <c r="JY368" s="37"/>
      <c r="JZ368" s="37"/>
      <c r="KA368" s="38"/>
      <c r="KB368" s="38"/>
      <c r="KC368" s="39"/>
      <c r="KD368" s="34"/>
      <c r="KE368" s="34"/>
      <c r="KF368" s="34"/>
      <c r="KG368" s="35"/>
      <c r="KH368" s="35"/>
      <c r="KI368" s="35"/>
      <c r="KJ368" s="35"/>
      <c r="KK368" s="35"/>
      <c r="KL368" s="34"/>
      <c r="KM368" s="34"/>
      <c r="KN368" s="36"/>
      <c r="KO368" s="36"/>
      <c r="KP368" s="37"/>
      <c r="KQ368" s="37"/>
      <c r="KR368" s="38"/>
      <c r="KS368" s="38"/>
      <c r="KT368" s="39"/>
      <c r="KU368" s="34"/>
      <c r="KV368" s="34"/>
      <c r="KW368" s="34"/>
      <c r="KX368" s="35"/>
      <c r="KY368" s="35"/>
      <c r="KZ368" s="35"/>
      <c r="LA368" s="35"/>
      <c r="LB368" s="35"/>
      <c r="LC368" s="34"/>
      <c r="LD368" s="34"/>
      <c r="LE368" s="36"/>
      <c r="LF368" s="36"/>
      <c r="LG368" s="37"/>
      <c r="LH368" s="37"/>
      <c r="LI368" s="38"/>
      <c r="LJ368" s="38"/>
      <c r="LK368" s="39"/>
      <c r="LL368" s="34"/>
      <c r="LM368" s="34"/>
      <c r="LN368" s="34"/>
      <c r="LO368" s="35"/>
      <c r="LP368" s="35"/>
      <c r="LQ368" s="35"/>
      <c r="LR368" s="35"/>
      <c r="LS368" s="35"/>
      <c r="LT368" s="34"/>
      <c r="LU368" s="34"/>
      <c r="LV368" s="36"/>
      <c r="LW368" s="36"/>
      <c r="LX368" s="37"/>
      <c r="LY368" s="37"/>
      <c r="LZ368" s="38"/>
      <c r="MA368" s="38"/>
      <c r="MB368" s="39"/>
      <c r="MC368" s="34"/>
      <c r="MD368" s="34"/>
      <c r="ME368" s="34"/>
      <c r="MF368" s="35"/>
      <c r="MG368" s="35"/>
      <c r="MH368" s="35"/>
      <c r="MI368" s="35"/>
      <c r="MJ368" s="35"/>
      <c r="MK368" s="34"/>
      <c r="ML368" s="34"/>
      <c r="MM368" s="36"/>
      <c r="MN368" s="36"/>
      <c r="MO368" s="37"/>
      <c r="MP368" s="37"/>
      <c r="MQ368" s="38"/>
      <c r="MR368" s="38"/>
      <c r="MS368" s="39"/>
      <c r="MT368" s="34"/>
      <c r="MU368" s="34"/>
      <c r="MV368" s="34"/>
      <c r="MW368" s="35"/>
      <c r="MX368" s="35"/>
      <c r="MY368" s="35"/>
      <c r="MZ368" s="35"/>
      <c r="NA368" s="35"/>
      <c r="NB368" s="34"/>
      <c r="NC368" s="34"/>
      <c r="ND368" s="36"/>
      <c r="NE368" s="36"/>
      <c r="NF368" s="37"/>
      <c r="NG368" s="37"/>
      <c r="NH368" s="38"/>
      <c r="NI368" s="38"/>
      <c r="NJ368" s="39"/>
      <c r="NK368" s="34"/>
      <c r="NL368" s="34"/>
      <c r="NM368" s="34"/>
      <c r="NN368" s="35"/>
      <c r="NO368" s="35"/>
      <c r="NP368" s="35"/>
      <c r="NQ368" s="35"/>
      <c r="NR368" s="35"/>
      <c r="NS368" s="34"/>
      <c r="NT368" s="34"/>
      <c r="NU368" s="36"/>
      <c r="NV368" s="36"/>
      <c r="NW368" s="37"/>
      <c r="NX368" s="37"/>
      <c r="NY368" s="38"/>
      <c r="NZ368" s="38"/>
      <c r="OA368" s="39"/>
      <c r="OB368" s="34"/>
      <c r="OC368" s="34"/>
      <c r="OD368" s="34"/>
      <c r="OE368" s="35"/>
      <c r="OF368" s="35"/>
      <c r="OG368" s="35"/>
      <c r="OH368" s="35"/>
      <c r="OI368" s="35"/>
      <c r="OJ368" s="34"/>
      <c r="OK368" s="34"/>
      <c r="OL368" s="36"/>
      <c r="OM368" s="36"/>
      <c r="ON368" s="37"/>
      <c r="OO368" s="37"/>
      <c r="OP368" s="38"/>
      <c r="OQ368" s="38"/>
      <c r="OR368" s="39"/>
      <c r="OS368" s="34"/>
      <c r="OT368" s="34"/>
      <c r="OU368" s="34"/>
      <c r="OV368" s="35"/>
      <c r="OW368" s="35"/>
      <c r="OX368" s="35"/>
      <c r="OY368" s="35"/>
      <c r="OZ368" s="35"/>
      <c r="PA368" s="34"/>
      <c r="PB368" s="34"/>
      <c r="PC368" s="36"/>
      <c r="PD368" s="36"/>
      <c r="PE368" s="37"/>
      <c r="PF368" s="37"/>
      <c r="PG368" s="38"/>
      <c r="PH368" s="38"/>
      <c r="PI368" s="39"/>
      <c r="PJ368" s="34"/>
      <c r="PK368" s="34"/>
      <c r="PL368" s="34"/>
      <c r="PM368" s="35"/>
      <c r="PN368" s="35"/>
      <c r="PO368" s="35"/>
      <c r="PP368" s="35"/>
      <c r="PQ368" s="35"/>
      <c r="PR368" s="34"/>
      <c r="PS368" s="34"/>
      <c r="PT368" s="36"/>
      <c r="PU368" s="36"/>
      <c r="PV368" s="37"/>
      <c r="PW368" s="37"/>
      <c r="PX368" s="38"/>
      <c r="PY368" s="38"/>
      <c r="PZ368" s="39"/>
      <c r="QA368" s="34"/>
      <c r="QB368" s="34"/>
      <c r="QC368" s="34"/>
      <c r="QD368" s="35"/>
      <c r="QE368" s="35"/>
      <c r="QF368" s="35"/>
      <c r="QG368" s="35"/>
      <c r="QH368" s="35"/>
      <c r="QI368" s="34"/>
      <c r="QJ368" s="34"/>
      <c r="QK368" s="36"/>
      <c r="QL368" s="36"/>
      <c r="QM368" s="37"/>
      <c r="QN368" s="37"/>
      <c r="QO368" s="38"/>
      <c r="QP368" s="38"/>
      <c r="QQ368" s="39"/>
      <c r="QR368" s="34"/>
      <c r="QS368" s="34"/>
      <c r="QT368" s="34"/>
      <c r="QU368" s="35"/>
      <c r="QV368" s="35"/>
      <c r="QW368" s="35"/>
      <c r="QX368" s="35"/>
      <c r="QY368" s="35"/>
      <c r="QZ368" s="34"/>
      <c r="RA368" s="34"/>
      <c r="RB368" s="36"/>
      <c r="RC368" s="36"/>
      <c r="RD368" s="37"/>
      <c r="RE368" s="37"/>
      <c r="RF368" s="38"/>
      <c r="RG368" s="38"/>
      <c r="RH368" s="39"/>
      <c r="RI368" s="34"/>
      <c r="RJ368" s="34"/>
      <c r="RK368" s="34"/>
      <c r="RL368" s="35"/>
      <c r="RM368" s="35"/>
      <c r="RN368" s="35"/>
      <c r="RO368" s="35"/>
      <c r="RP368" s="35"/>
      <c r="RQ368" s="34"/>
      <c r="RR368" s="34"/>
      <c r="RS368" s="36"/>
      <c r="RT368" s="36"/>
      <c r="RU368" s="37"/>
      <c r="RV368" s="37"/>
      <c r="RW368" s="38"/>
      <c r="RX368" s="38"/>
      <c r="RY368" s="39"/>
      <c r="RZ368" s="34"/>
      <c r="SA368" s="34"/>
      <c r="SB368" s="34"/>
      <c r="SC368" s="35"/>
      <c r="SD368" s="35"/>
      <c r="SE368" s="35"/>
      <c r="SF368" s="35"/>
      <c r="SG368" s="35"/>
      <c r="SH368" s="34"/>
      <c r="SI368" s="34"/>
      <c r="SJ368" s="36"/>
      <c r="SK368" s="36"/>
      <c r="SL368" s="37"/>
      <c r="SM368" s="37"/>
      <c r="SN368" s="38"/>
      <c r="SO368" s="38"/>
      <c r="SP368" s="39"/>
      <c r="SQ368" s="34"/>
      <c r="SR368" s="34"/>
      <c r="SS368" s="34"/>
      <c r="ST368" s="35"/>
      <c r="SU368" s="35"/>
      <c r="SV368" s="35"/>
      <c r="SW368" s="35"/>
      <c r="SX368" s="35"/>
      <c r="SY368" s="34"/>
      <c r="SZ368" s="34"/>
      <c r="TA368" s="36"/>
      <c r="TB368" s="36"/>
      <c r="TC368" s="37"/>
      <c r="TD368" s="37"/>
      <c r="TE368" s="38"/>
      <c r="TF368" s="38"/>
      <c r="TG368" s="39"/>
      <c r="TH368" s="34"/>
      <c r="TI368" s="34"/>
      <c r="TJ368" s="34"/>
      <c r="TK368" s="35"/>
      <c r="TL368" s="35"/>
      <c r="TM368" s="35"/>
      <c r="TN368" s="35"/>
      <c r="TO368" s="35"/>
      <c r="TP368" s="34"/>
      <c r="TQ368" s="34"/>
      <c r="TR368" s="36"/>
      <c r="TS368" s="36"/>
      <c r="TT368" s="37"/>
      <c r="TU368" s="37"/>
      <c r="TV368" s="38"/>
      <c r="TW368" s="38"/>
      <c r="TX368" s="39"/>
      <c r="TY368" s="34"/>
      <c r="TZ368" s="34"/>
      <c r="UA368" s="34"/>
      <c r="UB368" s="35"/>
      <c r="UC368" s="35"/>
      <c r="UD368" s="35"/>
      <c r="UE368" s="35"/>
      <c r="UF368" s="35"/>
      <c r="UG368" s="34"/>
      <c r="UH368" s="34"/>
      <c r="UI368" s="36"/>
      <c r="UJ368" s="36"/>
      <c r="UK368" s="37"/>
      <c r="UL368" s="37"/>
      <c r="UM368" s="38"/>
      <c r="UN368" s="38"/>
      <c r="UO368" s="39"/>
      <c r="UP368" s="34"/>
      <c r="UQ368" s="34"/>
      <c r="UR368" s="34"/>
      <c r="US368" s="35"/>
      <c r="UT368" s="35"/>
      <c r="UU368" s="35"/>
      <c r="UV368" s="35"/>
      <c r="UW368" s="35"/>
      <c r="UX368" s="34"/>
      <c r="UY368" s="34"/>
      <c r="UZ368" s="36"/>
      <c r="VA368" s="36"/>
      <c r="VB368" s="37"/>
      <c r="VC368" s="37"/>
      <c r="VD368" s="38"/>
      <c r="VE368" s="38"/>
      <c r="VF368" s="39"/>
      <c r="VG368" s="34"/>
      <c r="VH368" s="34"/>
      <c r="VI368" s="34"/>
      <c r="VJ368" s="35"/>
      <c r="VK368" s="35"/>
      <c r="VL368" s="35"/>
      <c r="VM368" s="35"/>
      <c r="VN368" s="35"/>
      <c r="VO368" s="34"/>
      <c r="VP368" s="34"/>
      <c r="VQ368" s="36"/>
      <c r="VR368" s="36"/>
      <c r="VS368" s="37"/>
      <c r="VT368" s="37"/>
      <c r="VU368" s="38"/>
      <c r="VV368" s="38"/>
      <c r="VW368" s="39"/>
      <c r="VX368" s="34"/>
      <c r="VY368" s="34"/>
      <c r="VZ368" s="34"/>
      <c r="WA368" s="35"/>
      <c r="WB368" s="35"/>
      <c r="WC368" s="35"/>
      <c r="WD368" s="35"/>
      <c r="WE368" s="35"/>
      <c r="WF368" s="34"/>
      <c r="WG368" s="34"/>
      <c r="WH368" s="36"/>
      <c r="WI368" s="36"/>
      <c r="WJ368" s="37"/>
      <c r="WK368" s="37"/>
      <c r="WL368" s="38"/>
      <c r="WM368" s="38"/>
      <c r="WN368" s="39"/>
      <c r="WO368" s="34"/>
      <c r="WP368" s="34"/>
      <c r="WQ368" s="34"/>
      <c r="WR368" s="35"/>
      <c r="WS368" s="35"/>
      <c r="WT368" s="35"/>
      <c r="WU368" s="35"/>
      <c r="WV368" s="35"/>
      <c r="WW368" s="34"/>
      <c r="WX368" s="34"/>
      <c r="WY368" s="36"/>
      <c r="WZ368" s="36"/>
      <c r="XA368" s="37"/>
      <c r="XB368" s="37"/>
      <c r="XC368" s="38"/>
      <c r="XD368" s="38"/>
      <c r="XE368" s="39"/>
      <c r="XF368" s="34"/>
      <c r="XG368" s="34"/>
      <c r="XH368" s="34"/>
      <c r="XI368" s="35"/>
      <c r="XJ368" s="35"/>
      <c r="XK368" s="35"/>
      <c r="XL368" s="35"/>
      <c r="XM368" s="35"/>
      <c r="XN368" s="34"/>
      <c r="XO368" s="34"/>
      <c r="XP368" s="36"/>
      <c r="XQ368" s="36"/>
      <c r="XR368" s="37"/>
      <c r="XS368" s="37"/>
      <c r="XT368" s="38"/>
      <c r="XU368" s="38"/>
      <c r="XV368" s="39"/>
      <c r="XW368" s="34"/>
      <c r="XX368" s="34"/>
      <c r="XY368" s="34"/>
      <c r="XZ368" s="35"/>
      <c r="YA368" s="35"/>
      <c r="YB368" s="35"/>
      <c r="YC368" s="35"/>
      <c r="YD368" s="35"/>
      <c r="YE368" s="34"/>
      <c r="YF368" s="34"/>
      <c r="YG368" s="36"/>
      <c r="YH368" s="36"/>
      <c r="YI368" s="37"/>
      <c r="YJ368" s="37"/>
      <c r="YK368" s="38"/>
      <c r="YL368" s="38"/>
      <c r="YM368" s="39"/>
      <c r="YN368" s="34"/>
      <c r="YO368" s="34"/>
      <c r="YP368" s="34"/>
      <c r="YQ368" s="35"/>
      <c r="YR368" s="35"/>
      <c r="YS368" s="35"/>
      <c r="YT368" s="35"/>
      <c r="YU368" s="35"/>
      <c r="YV368" s="34"/>
      <c r="YW368" s="34"/>
      <c r="YX368" s="36"/>
      <c r="YY368" s="36"/>
      <c r="YZ368" s="37"/>
      <c r="ZA368" s="37"/>
      <c r="ZB368" s="38"/>
      <c r="ZC368" s="38"/>
      <c r="ZD368" s="39"/>
      <c r="ZE368" s="34"/>
      <c r="ZF368" s="34"/>
      <c r="ZG368" s="34"/>
      <c r="ZH368" s="35"/>
      <c r="ZI368" s="35"/>
      <c r="ZJ368" s="35"/>
      <c r="ZK368" s="35"/>
      <c r="ZL368" s="35"/>
      <c r="ZM368" s="34"/>
      <c r="ZN368" s="34"/>
      <c r="ZO368" s="36"/>
      <c r="ZP368" s="36"/>
      <c r="ZQ368" s="37"/>
      <c r="ZR368" s="37"/>
      <c r="ZS368" s="38"/>
      <c r="ZT368" s="38"/>
      <c r="ZU368" s="39"/>
      <c r="ZV368" s="34"/>
      <c r="ZW368" s="34"/>
      <c r="ZX368" s="34"/>
      <c r="ZY368" s="35"/>
      <c r="ZZ368" s="35"/>
      <c r="AAA368" s="35"/>
      <c r="AAB368" s="35"/>
      <c r="AAC368" s="35"/>
      <c r="AAD368" s="34"/>
      <c r="AAE368" s="34"/>
      <c r="AAF368" s="36"/>
      <c r="AAG368" s="36"/>
      <c r="AAH368" s="37"/>
      <c r="AAI368" s="37"/>
      <c r="AAJ368" s="38"/>
      <c r="AAK368" s="38"/>
      <c r="AAL368" s="39"/>
      <c r="AAM368" s="34"/>
      <c r="AAN368" s="34"/>
      <c r="AAO368" s="34"/>
      <c r="AAP368" s="35"/>
      <c r="AAQ368" s="35"/>
      <c r="AAR368" s="35"/>
      <c r="AAS368" s="35"/>
      <c r="AAT368" s="35"/>
      <c r="AAU368" s="34"/>
      <c r="AAV368" s="34"/>
      <c r="AAW368" s="36"/>
      <c r="AAX368" s="36"/>
      <c r="AAY368" s="37"/>
      <c r="AAZ368" s="37"/>
      <c r="ABA368" s="38"/>
      <c r="ABB368" s="38"/>
      <c r="ABC368" s="39"/>
      <c r="ABD368" s="34"/>
      <c r="ABE368" s="34"/>
      <c r="ABF368" s="34"/>
      <c r="ABG368" s="35"/>
      <c r="ABH368" s="35"/>
      <c r="ABI368" s="35"/>
      <c r="ABJ368" s="35"/>
      <c r="ABK368" s="35"/>
      <c r="ABL368" s="34"/>
      <c r="ABM368" s="34"/>
      <c r="ABN368" s="36"/>
      <c r="ABO368" s="36"/>
      <c r="ABP368" s="37"/>
      <c r="ABQ368" s="37"/>
      <c r="ABR368" s="38"/>
      <c r="ABS368" s="38"/>
      <c r="ABT368" s="39"/>
      <c r="ABU368" s="34"/>
      <c r="ABV368" s="34"/>
      <c r="ABW368" s="34"/>
      <c r="ABX368" s="35"/>
      <c r="ABY368" s="35"/>
      <c r="ABZ368" s="35"/>
      <c r="ACA368" s="35"/>
      <c r="ACB368" s="35"/>
      <c r="ACC368" s="34"/>
      <c r="ACD368" s="34"/>
      <c r="ACE368" s="36"/>
      <c r="ACF368" s="36"/>
      <c r="ACG368" s="37"/>
      <c r="ACH368" s="37"/>
      <c r="ACI368" s="38"/>
      <c r="ACJ368" s="38"/>
      <c r="ACK368" s="39"/>
      <c r="ACL368" s="34"/>
      <c r="ACM368" s="34"/>
      <c r="ACN368" s="34"/>
      <c r="ACO368" s="35"/>
      <c r="ACP368" s="35"/>
      <c r="ACQ368" s="35"/>
      <c r="ACR368" s="35"/>
      <c r="ACS368" s="35"/>
      <c r="ACT368" s="34"/>
      <c r="ACU368" s="34"/>
      <c r="ACV368" s="36"/>
      <c r="ACW368" s="36"/>
      <c r="ACX368" s="37"/>
      <c r="ACY368" s="37"/>
      <c r="ACZ368" s="38"/>
      <c r="ADA368" s="38"/>
      <c r="ADB368" s="39"/>
      <c r="ADC368" s="34"/>
      <c r="ADD368" s="34"/>
      <c r="ADE368" s="34"/>
      <c r="ADF368" s="35"/>
      <c r="ADG368" s="35"/>
      <c r="ADH368" s="35"/>
      <c r="ADI368" s="35"/>
      <c r="ADJ368" s="35"/>
      <c r="ADK368" s="34"/>
      <c r="ADL368" s="34"/>
      <c r="ADM368" s="36"/>
      <c r="ADN368" s="36"/>
      <c r="ADO368" s="37"/>
      <c r="ADP368" s="37"/>
      <c r="ADQ368" s="38"/>
      <c r="ADR368" s="38"/>
      <c r="ADS368" s="39"/>
      <c r="ADT368" s="34"/>
      <c r="ADU368" s="34"/>
      <c r="ADV368" s="34"/>
      <c r="ADW368" s="35"/>
      <c r="ADX368" s="35"/>
      <c r="ADY368" s="35"/>
      <c r="ADZ368" s="35"/>
      <c r="AEA368" s="35"/>
      <c r="AEB368" s="34"/>
      <c r="AEC368" s="34"/>
      <c r="AED368" s="36"/>
      <c r="AEE368" s="36"/>
      <c r="AEF368" s="37"/>
      <c r="AEG368" s="37"/>
      <c r="AEH368" s="38"/>
      <c r="AEI368" s="38"/>
      <c r="AEJ368" s="39"/>
      <c r="AEK368" s="34"/>
      <c r="AEL368" s="34"/>
      <c r="AEM368" s="34"/>
      <c r="AEN368" s="35"/>
      <c r="AEO368" s="35"/>
      <c r="AEP368" s="35"/>
      <c r="AEQ368" s="35"/>
      <c r="AER368" s="35"/>
      <c r="AES368" s="34"/>
      <c r="AET368" s="34"/>
      <c r="AEU368" s="36"/>
      <c r="AEV368" s="36"/>
      <c r="AEW368" s="37"/>
      <c r="AEX368" s="37"/>
      <c r="AEY368" s="38"/>
      <c r="AEZ368" s="38"/>
      <c r="AFA368" s="39"/>
      <c r="AFB368" s="34"/>
      <c r="AFC368" s="34"/>
      <c r="AFD368" s="34"/>
      <c r="AFE368" s="35"/>
      <c r="AFF368" s="35"/>
      <c r="AFG368" s="35"/>
      <c r="AFH368" s="35"/>
      <c r="AFI368" s="35"/>
      <c r="AFJ368" s="34"/>
      <c r="AFK368" s="34"/>
      <c r="AFL368" s="36"/>
      <c r="AFM368" s="36"/>
      <c r="AFN368" s="37"/>
      <c r="AFO368" s="37"/>
      <c r="AFP368" s="38"/>
      <c r="AFQ368" s="38"/>
      <c r="AFR368" s="39"/>
      <c r="AFS368" s="34"/>
      <c r="AFT368" s="34"/>
      <c r="AFU368" s="34"/>
      <c r="AFV368" s="35"/>
      <c r="AFW368" s="35"/>
      <c r="AFX368" s="35"/>
      <c r="AFY368" s="35"/>
      <c r="AFZ368" s="35"/>
      <c r="AGA368" s="34"/>
      <c r="AGB368" s="34"/>
      <c r="AGC368" s="36"/>
      <c r="AGD368" s="36"/>
      <c r="AGE368" s="37"/>
      <c r="AGF368" s="37"/>
      <c r="AGG368" s="38"/>
      <c r="AGH368" s="38"/>
      <c r="AGI368" s="39"/>
      <c r="AGJ368" s="34"/>
      <c r="AGK368" s="34"/>
      <c r="AGL368" s="34"/>
      <c r="AGM368" s="35"/>
      <c r="AGN368" s="35"/>
      <c r="AGO368" s="35"/>
      <c r="AGP368" s="35"/>
      <c r="AGQ368" s="35"/>
      <c r="AGR368" s="34"/>
      <c r="AGS368" s="34"/>
      <c r="AGT368" s="36"/>
      <c r="AGU368" s="36"/>
      <c r="AGV368" s="37"/>
      <c r="AGW368" s="37"/>
      <c r="AGX368" s="38"/>
      <c r="AGY368" s="38"/>
      <c r="AGZ368" s="39"/>
      <c r="AHA368" s="34"/>
      <c r="AHB368" s="34"/>
      <c r="AHC368" s="34"/>
      <c r="AHD368" s="35"/>
      <c r="AHE368" s="35"/>
      <c r="AHF368" s="35"/>
      <c r="AHG368" s="35"/>
      <c r="AHH368" s="35"/>
      <c r="AHI368" s="34"/>
      <c r="AHJ368" s="34"/>
      <c r="AHK368" s="36"/>
      <c r="AHL368" s="36"/>
      <c r="AHM368" s="37"/>
      <c r="AHN368" s="37"/>
      <c r="AHO368" s="38"/>
      <c r="AHP368" s="38"/>
      <c r="AHQ368" s="39"/>
      <c r="AHR368" s="34"/>
      <c r="AHS368" s="34"/>
      <c r="AHT368" s="34"/>
      <c r="AHU368" s="35"/>
      <c r="AHV368" s="35"/>
      <c r="AHW368" s="35"/>
      <c r="AHX368" s="35"/>
      <c r="AHY368" s="35"/>
      <c r="AHZ368" s="34"/>
      <c r="AIA368" s="34"/>
      <c r="AIB368" s="36"/>
      <c r="AIC368" s="36"/>
      <c r="AID368" s="37"/>
      <c r="AIE368" s="37"/>
      <c r="AIF368" s="38"/>
      <c r="AIG368" s="38"/>
      <c r="AIH368" s="39"/>
      <c r="AII368" s="34"/>
      <c r="AIJ368" s="34"/>
      <c r="AIK368" s="34"/>
      <c r="AIL368" s="35"/>
      <c r="AIM368" s="35"/>
      <c r="AIN368" s="35"/>
      <c r="AIO368" s="35"/>
      <c r="AIP368" s="35"/>
      <c r="AIQ368" s="34"/>
      <c r="AIR368" s="34"/>
      <c r="AIS368" s="36"/>
      <c r="AIT368" s="36"/>
      <c r="AIU368" s="37"/>
      <c r="AIV368" s="37"/>
      <c r="AIW368" s="38"/>
      <c r="AIX368" s="38"/>
      <c r="AIY368" s="39"/>
      <c r="AIZ368" s="34"/>
      <c r="AJA368" s="34"/>
      <c r="AJB368" s="34"/>
      <c r="AJC368" s="35"/>
      <c r="AJD368" s="35"/>
      <c r="AJE368" s="35"/>
      <c r="AJF368" s="35"/>
      <c r="AJG368" s="35"/>
      <c r="AJH368" s="34"/>
      <c r="AJI368" s="34"/>
      <c r="AJJ368" s="36"/>
      <c r="AJK368" s="36"/>
      <c r="AJL368" s="37"/>
      <c r="AJM368" s="37"/>
      <c r="AJN368" s="38"/>
      <c r="AJO368" s="38"/>
      <c r="AJP368" s="39"/>
      <c r="AJQ368" s="34"/>
      <c r="AJR368" s="34"/>
      <c r="AJS368" s="34"/>
      <c r="AJT368" s="35"/>
      <c r="AJU368" s="35"/>
      <c r="AJV368" s="35"/>
      <c r="AJW368" s="35"/>
      <c r="AJX368" s="35"/>
      <c r="AJY368" s="34"/>
      <c r="AJZ368" s="34"/>
      <c r="AKA368" s="36"/>
      <c r="AKB368" s="36"/>
      <c r="AKC368" s="37"/>
      <c r="AKD368" s="37"/>
      <c r="AKE368" s="38"/>
      <c r="AKF368" s="38"/>
      <c r="AKG368" s="39"/>
      <c r="AKH368" s="34"/>
      <c r="AKI368" s="34"/>
      <c r="AKJ368" s="34"/>
      <c r="AKK368" s="35"/>
      <c r="AKL368" s="35"/>
      <c r="AKM368" s="35"/>
      <c r="AKN368" s="35"/>
      <c r="AKO368" s="35"/>
      <c r="AKP368" s="34"/>
      <c r="AKQ368" s="34"/>
      <c r="AKR368" s="36"/>
      <c r="AKS368" s="36"/>
      <c r="AKT368" s="37"/>
      <c r="AKU368" s="37"/>
      <c r="AKV368" s="38"/>
      <c r="AKW368" s="38"/>
      <c r="AKX368" s="39"/>
      <c r="AKY368" s="34"/>
      <c r="AKZ368" s="34"/>
      <c r="ALA368" s="34"/>
      <c r="ALB368" s="35"/>
      <c r="ALC368" s="35"/>
      <c r="ALD368" s="35"/>
      <c r="ALE368" s="35"/>
      <c r="ALF368" s="35"/>
      <c r="ALG368" s="34"/>
      <c r="ALH368" s="34"/>
      <c r="ALI368" s="36"/>
      <c r="ALJ368" s="36"/>
      <c r="ALK368" s="37"/>
      <c r="ALL368" s="37"/>
      <c r="ALM368" s="38"/>
      <c r="ALN368" s="38"/>
      <c r="ALO368" s="39"/>
      <c r="ALP368" s="34"/>
      <c r="ALQ368" s="34"/>
      <c r="ALR368" s="34"/>
      <c r="ALS368" s="35"/>
      <c r="ALT368" s="35"/>
      <c r="ALU368" s="35"/>
      <c r="ALV368" s="35"/>
      <c r="ALW368" s="35"/>
      <c r="ALX368" s="34"/>
      <c r="ALY368" s="34"/>
      <c r="ALZ368" s="36"/>
      <c r="AMA368" s="36"/>
      <c r="AMB368" s="37"/>
      <c r="AMC368" s="37"/>
      <c r="AMD368" s="38"/>
      <c r="AME368" s="38"/>
      <c r="AMF368" s="39"/>
      <c r="AMG368" s="34"/>
      <c r="AMH368" s="34"/>
      <c r="AMI368" s="34"/>
      <c r="AMJ368" s="35"/>
      <c r="AMK368" s="35"/>
      <c r="AML368" s="35"/>
      <c r="AMM368" s="35"/>
      <c r="AMN368" s="35"/>
      <c r="AMO368" s="34"/>
      <c r="AMP368" s="34"/>
      <c r="AMQ368" s="36"/>
      <c r="AMR368" s="36"/>
      <c r="AMS368" s="37"/>
      <c r="AMT368" s="37"/>
      <c r="AMU368" s="38"/>
      <c r="AMV368" s="38"/>
      <c r="AMW368" s="39"/>
      <c r="AMX368" s="34"/>
      <c r="AMY368" s="34"/>
      <c r="AMZ368" s="34"/>
      <c r="ANA368" s="35"/>
      <c r="ANB368" s="35"/>
      <c r="ANC368" s="35"/>
      <c r="AND368" s="35"/>
      <c r="ANE368" s="35"/>
      <c r="ANF368" s="34"/>
      <c r="ANG368" s="34"/>
      <c r="ANH368" s="36"/>
      <c r="ANI368" s="36"/>
      <c r="ANJ368" s="37"/>
      <c r="ANK368" s="37"/>
      <c r="ANL368" s="38"/>
      <c r="ANM368" s="38"/>
      <c r="ANN368" s="39"/>
      <c r="ANO368" s="34"/>
      <c r="ANP368" s="34"/>
      <c r="ANQ368" s="34"/>
      <c r="ANR368" s="35"/>
      <c r="ANS368" s="35"/>
      <c r="ANT368" s="35"/>
      <c r="ANU368" s="35"/>
      <c r="ANV368" s="35"/>
      <c r="ANW368" s="34"/>
      <c r="ANX368" s="34"/>
      <c r="ANY368" s="36"/>
      <c r="ANZ368" s="36"/>
      <c r="AOA368" s="37"/>
      <c r="AOB368" s="37"/>
      <c r="AOC368" s="38"/>
      <c r="AOD368" s="38"/>
      <c r="AOE368" s="39"/>
      <c r="AOF368" s="34"/>
      <c r="AOG368" s="34"/>
      <c r="AOH368" s="34"/>
      <c r="AOI368" s="35"/>
      <c r="AOJ368" s="35"/>
      <c r="AOK368" s="35"/>
      <c r="AOL368" s="35"/>
      <c r="AOM368" s="35"/>
      <c r="AON368" s="34"/>
      <c r="AOO368" s="34"/>
      <c r="AOP368" s="36"/>
      <c r="AOQ368" s="36"/>
      <c r="AOR368" s="37"/>
      <c r="AOS368" s="37"/>
      <c r="AOT368" s="38"/>
      <c r="AOU368" s="38"/>
      <c r="AOV368" s="39"/>
      <c r="AOW368" s="34"/>
      <c r="AOX368" s="34"/>
      <c r="AOY368" s="34"/>
      <c r="AOZ368" s="35"/>
      <c r="APA368" s="35"/>
      <c r="APB368" s="35"/>
      <c r="APC368" s="35"/>
      <c r="APD368" s="35"/>
      <c r="APE368" s="34"/>
      <c r="APF368" s="34"/>
      <c r="APG368" s="36"/>
      <c r="APH368" s="36"/>
      <c r="API368" s="37"/>
      <c r="APJ368" s="37"/>
      <c r="APK368" s="38"/>
      <c r="APL368" s="38"/>
      <c r="APM368" s="39"/>
      <c r="APN368" s="34"/>
      <c r="APO368" s="34"/>
      <c r="APP368" s="34"/>
      <c r="APQ368" s="35"/>
      <c r="APR368" s="35"/>
      <c r="APS368" s="35"/>
      <c r="APT368" s="35"/>
      <c r="APU368" s="35"/>
      <c r="APV368" s="34"/>
      <c r="APW368" s="34"/>
      <c r="APX368" s="36"/>
      <c r="APY368" s="36"/>
      <c r="APZ368" s="37"/>
      <c r="AQA368" s="37"/>
      <c r="AQB368" s="38"/>
      <c r="AQC368" s="38"/>
      <c r="AQD368" s="39"/>
      <c r="AQE368" s="34"/>
      <c r="AQF368" s="34"/>
      <c r="AQG368" s="34"/>
      <c r="AQH368" s="35"/>
      <c r="AQI368" s="35"/>
      <c r="AQJ368" s="35"/>
      <c r="AQK368" s="35"/>
      <c r="AQL368" s="35"/>
      <c r="AQM368" s="34"/>
      <c r="AQN368" s="34"/>
      <c r="AQO368" s="36"/>
      <c r="AQP368" s="36"/>
      <c r="AQQ368" s="37"/>
      <c r="AQR368" s="37"/>
      <c r="AQS368" s="38"/>
      <c r="AQT368" s="38"/>
      <c r="AQU368" s="39"/>
      <c r="AQV368" s="34"/>
      <c r="AQW368" s="34"/>
      <c r="AQX368" s="34"/>
      <c r="AQY368" s="35"/>
      <c r="AQZ368" s="35"/>
      <c r="ARA368" s="35"/>
      <c r="ARB368" s="35"/>
      <c r="ARC368" s="35"/>
      <c r="ARD368" s="34"/>
      <c r="ARE368" s="34"/>
      <c r="ARF368" s="36"/>
      <c r="ARG368" s="36"/>
      <c r="ARH368" s="37"/>
      <c r="ARI368" s="37"/>
      <c r="ARJ368" s="38"/>
      <c r="ARK368" s="38"/>
      <c r="ARL368" s="39"/>
      <c r="ARM368" s="34"/>
      <c r="ARN368" s="34"/>
      <c r="ARO368" s="34"/>
      <c r="ARP368" s="35"/>
      <c r="ARQ368" s="35"/>
      <c r="ARR368" s="35"/>
      <c r="ARS368" s="35"/>
      <c r="ART368" s="35"/>
      <c r="ARU368" s="34"/>
      <c r="ARV368" s="34"/>
      <c r="ARW368" s="36"/>
      <c r="ARX368" s="36"/>
      <c r="ARY368" s="37"/>
      <c r="ARZ368" s="37"/>
      <c r="ASA368" s="38"/>
      <c r="ASB368" s="38"/>
      <c r="ASC368" s="39"/>
      <c r="ASD368" s="34"/>
      <c r="ASE368" s="34"/>
      <c r="ASF368" s="34"/>
      <c r="ASG368" s="35"/>
      <c r="ASH368" s="35"/>
      <c r="ASI368" s="35"/>
      <c r="ASJ368" s="35"/>
      <c r="ASK368" s="35"/>
      <c r="ASL368" s="34"/>
      <c r="ASM368" s="34"/>
      <c r="ASN368" s="36"/>
      <c r="ASO368" s="36"/>
      <c r="ASP368" s="37"/>
      <c r="ASQ368" s="37"/>
      <c r="ASR368" s="38"/>
      <c r="ASS368" s="38"/>
      <c r="AST368" s="39"/>
      <c r="ASU368" s="34"/>
      <c r="ASV368" s="34"/>
      <c r="ASW368" s="34"/>
      <c r="ASX368" s="35"/>
      <c r="ASY368" s="35"/>
      <c r="ASZ368" s="35"/>
      <c r="ATA368" s="35"/>
      <c r="ATB368" s="35"/>
      <c r="ATC368" s="34"/>
      <c r="ATD368" s="34"/>
      <c r="ATE368" s="36"/>
      <c r="ATF368" s="36"/>
      <c r="ATG368" s="37"/>
      <c r="ATH368" s="37"/>
      <c r="ATI368" s="38"/>
      <c r="ATJ368" s="38"/>
      <c r="ATK368" s="39"/>
      <c r="ATL368" s="34"/>
      <c r="ATM368" s="34"/>
      <c r="ATN368" s="34"/>
      <c r="ATO368" s="35"/>
      <c r="ATP368" s="35"/>
      <c r="ATQ368" s="35"/>
      <c r="ATR368" s="35"/>
      <c r="ATS368" s="35"/>
      <c r="ATT368" s="34"/>
      <c r="ATU368" s="34"/>
      <c r="ATV368" s="36"/>
      <c r="ATW368" s="36"/>
      <c r="ATX368" s="37"/>
      <c r="ATY368" s="37"/>
      <c r="ATZ368" s="38"/>
      <c r="AUA368" s="38"/>
      <c r="AUB368" s="39"/>
      <c r="AUC368" s="34"/>
      <c r="AUD368" s="34"/>
      <c r="AUE368" s="34"/>
      <c r="AUF368" s="35"/>
      <c r="AUG368" s="35"/>
      <c r="AUH368" s="35"/>
      <c r="AUI368" s="35"/>
      <c r="AUJ368" s="35"/>
      <c r="AUK368" s="34"/>
      <c r="AUL368" s="34"/>
      <c r="AUM368" s="36"/>
      <c r="AUN368" s="36"/>
      <c r="AUO368" s="37"/>
      <c r="AUP368" s="37"/>
      <c r="AUQ368" s="38"/>
      <c r="AUR368" s="38"/>
      <c r="AUS368" s="39"/>
      <c r="AUT368" s="34"/>
      <c r="AUU368" s="34"/>
      <c r="AUV368" s="34"/>
      <c r="AUW368" s="35"/>
      <c r="AUX368" s="35"/>
      <c r="AUY368" s="35"/>
      <c r="AUZ368" s="35"/>
      <c r="AVA368" s="35"/>
      <c r="AVB368" s="34"/>
      <c r="AVC368" s="34"/>
      <c r="AVD368" s="36"/>
      <c r="AVE368" s="36"/>
      <c r="AVF368" s="37"/>
      <c r="AVG368" s="37"/>
      <c r="AVH368" s="38"/>
      <c r="AVI368" s="38"/>
      <c r="AVJ368" s="39"/>
      <c r="AVK368" s="34"/>
      <c r="AVL368" s="34"/>
      <c r="AVM368" s="34"/>
      <c r="AVN368" s="35"/>
      <c r="AVO368" s="35"/>
      <c r="AVP368" s="35"/>
      <c r="AVQ368" s="35"/>
      <c r="AVR368" s="35"/>
      <c r="AVS368" s="34"/>
      <c r="AVT368" s="34"/>
      <c r="AVU368" s="36"/>
      <c r="AVV368" s="36"/>
      <c r="AVW368" s="37"/>
      <c r="AVX368" s="37"/>
      <c r="AVY368" s="38"/>
      <c r="AVZ368" s="38"/>
      <c r="AWA368" s="39"/>
      <c r="AWB368" s="34"/>
      <c r="AWC368" s="34"/>
      <c r="AWD368" s="34"/>
      <c r="AWE368" s="35"/>
      <c r="AWF368" s="35"/>
      <c r="AWG368" s="35"/>
      <c r="AWH368" s="35"/>
      <c r="AWI368" s="35"/>
      <c r="AWJ368" s="34"/>
      <c r="AWK368" s="34"/>
      <c r="AWL368" s="36"/>
      <c r="AWM368" s="36"/>
      <c r="AWN368" s="37"/>
      <c r="AWO368" s="37"/>
      <c r="AWP368" s="38"/>
      <c r="AWQ368" s="38"/>
      <c r="AWR368" s="39"/>
      <c r="AWS368" s="34"/>
      <c r="AWT368" s="34"/>
      <c r="AWU368" s="34"/>
      <c r="AWV368" s="35"/>
      <c r="AWW368" s="35"/>
      <c r="AWX368" s="35"/>
      <c r="AWY368" s="35"/>
      <c r="AWZ368" s="35"/>
      <c r="AXA368" s="34"/>
      <c r="AXB368" s="34"/>
      <c r="AXC368" s="36"/>
      <c r="AXD368" s="36"/>
      <c r="AXE368" s="37"/>
      <c r="AXF368" s="37"/>
      <c r="AXG368" s="38"/>
      <c r="AXH368" s="38"/>
      <c r="AXI368" s="39"/>
      <c r="AXJ368" s="34"/>
      <c r="AXK368" s="34"/>
      <c r="AXL368" s="34"/>
      <c r="AXM368" s="35"/>
      <c r="AXN368" s="35"/>
      <c r="AXO368" s="35"/>
      <c r="AXP368" s="35"/>
      <c r="AXQ368" s="35"/>
      <c r="AXR368" s="34"/>
      <c r="AXS368" s="34"/>
      <c r="AXT368" s="36"/>
      <c r="AXU368" s="36"/>
      <c r="AXV368" s="37"/>
      <c r="AXW368" s="37"/>
      <c r="AXX368" s="38"/>
      <c r="AXY368" s="38"/>
      <c r="AXZ368" s="39"/>
      <c r="AYA368" s="34"/>
      <c r="AYB368" s="34"/>
      <c r="AYC368" s="34"/>
      <c r="AYD368" s="35"/>
      <c r="AYE368" s="35"/>
      <c r="AYF368" s="35"/>
      <c r="AYG368" s="35"/>
      <c r="AYH368" s="35"/>
      <c r="AYI368" s="34"/>
      <c r="AYJ368" s="34"/>
      <c r="AYK368" s="36"/>
      <c r="AYL368" s="36"/>
      <c r="AYM368" s="37"/>
      <c r="AYN368" s="37"/>
      <c r="AYO368" s="38"/>
      <c r="AYP368" s="38"/>
      <c r="AYQ368" s="39"/>
      <c r="AYR368" s="34"/>
      <c r="AYS368" s="34"/>
      <c r="AYT368" s="34"/>
      <c r="AYU368" s="35"/>
      <c r="AYV368" s="35"/>
      <c r="AYW368" s="35"/>
      <c r="AYX368" s="35"/>
      <c r="AYY368" s="35"/>
      <c r="AYZ368" s="34"/>
      <c r="AZA368" s="34"/>
      <c r="AZB368" s="36"/>
      <c r="AZC368" s="36"/>
      <c r="AZD368" s="37"/>
      <c r="AZE368" s="37"/>
      <c r="AZF368" s="38"/>
      <c r="AZG368" s="38"/>
      <c r="AZH368" s="39"/>
      <c r="AZI368" s="34"/>
      <c r="AZJ368" s="34"/>
      <c r="AZK368" s="34"/>
      <c r="AZL368" s="35"/>
      <c r="AZM368" s="35"/>
      <c r="AZN368" s="35"/>
      <c r="AZO368" s="35"/>
      <c r="AZP368" s="35"/>
      <c r="AZQ368" s="34"/>
      <c r="AZR368" s="34"/>
      <c r="AZS368" s="36"/>
      <c r="AZT368" s="36"/>
      <c r="AZU368" s="37"/>
      <c r="AZV368" s="37"/>
      <c r="AZW368" s="38"/>
      <c r="AZX368" s="38"/>
      <c r="AZY368" s="39"/>
      <c r="AZZ368" s="34"/>
      <c r="BAA368" s="34"/>
      <c r="BAB368" s="34"/>
      <c r="BAC368" s="35"/>
      <c r="BAD368" s="35"/>
      <c r="BAE368" s="35"/>
      <c r="BAF368" s="35"/>
      <c r="BAG368" s="35"/>
      <c r="BAH368" s="34"/>
      <c r="BAI368" s="34"/>
      <c r="BAJ368" s="36"/>
      <c r="BAK368" s="36"/>
      <c r="BAL368" s="37"/>
      <c r="BAM368" s="37"/>
      <c r="BAN368" s="38"/>
      <c r="BAO368" s="38"/>
      <c r="BAP368" s="39"/>
      <c r="BAQ368" s="34"/>
      <c r="BAR368" s="34"/>
      <c r="BAS368" s="34"/>
      <c r="BAT368" s="35"/>
      <c r="BAU368" s="35"/>
      <c r="BAV368" s="35"/>
      <c r="BAW368" s="35"/>
      <c r="BAX368" s="35"/>
      <c r="BAY368" s="34"/>
      <c r="BAZ368" s="34"/>
      <c r="BBA368" s="36"/>
      <c r="BBB368" s="36"/>
      <c r="BBC368" s="37"/>
      <c r="BBD368" s="37"/>
      <c r="BBE368" s="38"/>
      <c r="BBF368" s="38"/>
      <c r="BBG368" s="39"/>
      <c r="BBH368" s="34"/>
      <c r="BBI368" s="34"/>
      <c r="BBJ368" s="34"/>
      <c r="BBK368" s="35"/>
      <c r="BBL368" s="35"/>
      <c r="BBM368" s="35"/>
      <c r="BBN368" s="35"/>
      <c r="BBO368" s="35"/>
      <c r="BBP368" s="34"/>
      <c r="BBQ368" s="34"/>
      <c r="BBR368" s="36"/>
      <c r="BBS368" s="36"/>
      <c r="BBT368" s="37"/>
      <c r="BBU368" s="37"/>
      <c r="BBV368" s="38"/>
      <c r="BBW368" s="38"/>
      <c r="BBX368" s="39"/>
      <c r="BBY368" s="34"/>
      <c r="BBZ368" s="34"/>
      <c r="BCA368" s="34"/>
      <c r="BCB368" s="35"/>
      <c r="BCC368" s="35"/>
      <c r="BCD368" s="35"/>
      <c r="BCE368" s="35"/>
      <c r="BCF368" s="35"/>
      <c r="BCG368" s="34"/>
      <c r="BCH368" s="34"/>
      <c r="BCI368" s="36"/>
      <c r="BCJ368" s="36"/>
      <c r="BCK368" s="37"/>
      <c r="BCL368" s="37"/>
      <c r="BCM368" s="38"/>
      <c r="BCN368" s="38"/>
      <c r="BCO368" s="39"/>
      <c r="BCP368" s="34"/>
      <c r="BCQ368" s="34"/>
      <c r="BCR368" s="34"/>
      <c r="BCS368" s="35"/>
      <c r="BCT368" s="35"/>
      <c r="BCU368" s="35"/>
      <c r="BCV368" s="35"/>
      <c r="BCW368" s="35"/>
      <c r="BCX368" s="34"/>
      <c r="BCY368" s="34"/>
      <c r="BCZ368" s="36"/>
      <c r="BDA368" s="36"/>
      <c r="BDB368" s="37"/>
      <c r="BDC368" s="37"/>
      <c r="BDD368" s="38"/>
      <c r="BDE368" s="38"/>
      <c r="BDF368" s="39"/>
      <c r="BDG368" s="34"/>
      <c r="BDH368" s="34"/>
      <c r="BDI368" s="34"/>
      <c r="BDJ368" s="35"/>
      <c r="BDK368" s="35"/>
      <c r="BDL368" s="35"/>
      <c r="BDM368" s="35"/>
      <c r="BDN368" s="35"/>
      <c r="BDO368" s="34"/>
      <c r="BDP368" s="34"/>
      <c r="BDQ368" s="36"/>
      <c r="BDR368" s="36"/>
      <c r="BDS368" s="37"/>
      <c r="BDT368" s="37"/>
      <c r="BDU368" s="38"/>
      <c r="BDV368" s="38"/>
      <c r="BDW368" s="39"/>
      <c r="BDX368" s="34"/>
      <c r="BDY368" s="34"/>
      <c r="BDZ368" s="34"/>
      <c r="BEA368" s="35"/>
      <c r="BEB368" s="35"/>
      <c r="BEC368" s="35"/>
      <c r="BED368" s="35"/>
      <c r="BEE368" s="35"/>
      <c r="BEF368" s="34"/>
      <c r="BEG368" s="34"/>
      <c r="BEH368" s="36"/>
      <c r="BEI368" s="36"/>
      <c r="BEJ368" s="37"/>
      <c r="BEK368" s="37"/>
      <c r="BEL368" s="38"/>
      <c r="BEM368" s="38"/>
      <c r="BEN368" s="39"/>
      <c r="BEO368" s="34"/>
      <c r="BEP368" s="34"/>
      <c r="BEQ368" s="34"/>
      <c r="BER368" s="35"/>
      <c r="BES368" s="35"/>
      <c r="BET368" s="35"/>
      <c r="BEU368" s="35"/>
      <c r="BEV368" s="35"/>
      <c r="BEW368" s="34"/>
      <c r="BEX368" s="34"/>
      <c r="BEY368" s="36"/>
      <c r="BEZ368" s="36"/>
      <c r="BFA368" s="37"/>
      <c r="BFB368" s="37"/>
      <c r="BFC368" s="38"/>
      <c r="BFD368" s="38"/>
      <c r="BFE368" s="39"/>
      <c r="BFF368" s="34"/>
      <c r="BFG368" s="34"/>
      <c r="BFH368" s="34"/>
      <c r="BFI368" s="35"/>
      <c r="BFJ368" s="35"/>
      <c r="BFK368" s="35"/>
      <c r="BFL368" s="35"/>
      <c r="BFM368" s="35"/>
      <c r="BFN368" s="34"/>
      <c r="BFO368" s="34"/>
      <c r="BFP368" s="36"/>
      <c r="BFQ368" s="36"/>
      <c r="BFR368" s="37"/>
      <c r="BFS368" s="37"/>
      <c r="BFT368" s="38"/>
      <c r="BFU368" s="38"/>
      <c r="BFV368" s="39"/>
      <c r="BFW368" s="34"/>
      <c r="BFX368" s="34"/>
      <c r="BFY368" s="34"/>
      <c r="BFZ368" s="35"/>
      <c r="BGA368" s="35"/>
      <c r="BGB368" s="35"/>
      <c r="BGC368" s="35"/>
      <c r="BGD368" s="35"/>
      <c r="BGE368" s="34"/>
      <c r="BGF368" s="34"/>
      <c r="BGG368" s="36"/>
      <c r="BGH368" s="36"/>
      <c r="BGI368" s="37"/>
      <c r="BGJ368" s="37"/>
      <c r="BGK368" s="38"/>
      <c r="BGL368" s="38"/>
      <c r="BGM368" s="39"/>
      <c r="BGN368" s="34"/>
      <c r="BGO368" s="34"/>
      <c r="BGP368" s="34"/>
      <c r="BGQ368" s="35"/>
      <c r="BGR368" s="35"/>
      <c r="BGS368" s="35"/>
      <c r="BGT368" s="35"/>
      <c r="BGU368" s="35"/>
      <c r="BGV368" s="34"/>
      <c r="BGW368" s="34"/>
      <c r="BGX368" s="36"/>
      <c r="BGY368" s="36"/>
      <c r="BGZ368" s="37"/>
      <c r="BHA368" s="37"/>
      <c r="BHB368" s="38"/>
      <c r="BHC368" s="38"/>
      <c r="BHD368" s="39"/>
      <c r="BHE368" s="34"/>
      <c r="BHF368" s="34"/>
      <c r="BHG368" s="34"/>
      <c r="BHH368" s="35"/>
      <c r="BHI368" s="35"/>
      <c r="BHJ368" s="35"/>
      <c r="BHK368" s="35"/>
      <c r="BHL368" s="35"/>
      <c r="BHM368" s="34"/>
      <c r="BHN368" s="34"/>
      <c r="BHO368" s="36"/>
      <c r="BHP368" s="36"/>
      <c r="BHQ368" s="37"/>
      <c r="BHR368" s="37"/>
      <c r="BHS368" s="38"/>
      <c r="BHT368" s="38"/>
      <c r="BHU368" s="39"/>
      <c r="BHV368" s="34"/>
      <c r="BHW368" s="34"/>
      <c r="BHX368" s="34"/>
      <c r="BHY368" s="35"/>
      <c r="BHZ368" s="35"/>
      <c r="BIA368" s="35"/>
      <c r="BIB368" s="35"/>
      <c r="BIC368" s="35"/>
      <c r="BID368" s="34"/>
      <c r="BIE368" s="34"/>
      <c r="BIF368" s="36"/>
      <c r="BIG368" s="36"/>
      <c r="BIH368" s="37"/>
      <c r="BII368" s="37"/>
      <c r="BIJ368" s="38"/>
      <c r="BIK368" s="38"/>
      <c r="BIL368" s="39"/>
      <c r="BIM368" s="34"/>
      <c r="BIN368" s="34"/>
      <c r="BIO368" s="34"/>
      <c r="BIP368" s="35"/>
      <c r="BIQ368" s="35"/>
      <c r="BIR368" s="35"/>
      <c r="BIS368" s="35"/>
      <c r="BIT368" s="35"/>
      <c r="BIU368" s="34"/>
      <c r="BIV368" s="34"/>
      <c r="BIW368" s="36"/>
      <c r="BIX368" s="36"/>
      <c r="BIY368" s="37"/>
      <c r="BIZ368" s="37"/>
      <c r="BJA368" s="38"/>
      <c r="BJB368" s="38"/>
      <c r="BJC368" s="39"/>
      <c r="BJD368" s="34"/>
      <c r="BJE368" s="34"/>
      <c r="BJF368" s="34"/>
      <c r="BJG368" s="35"/>
      <c r="BJH368" s="35"/>
      <c r="BJI368" s="35"/>
      <c r="BJJ368" s="35"/>
      <c r="BJK368" s="35"/>
      <c r="BJL368" s="34"/>
      <c r="BJM368" s="34"/>
      <c r="BJN368" s="36"/>
      <c r="BJO368" s="36"/>
      <c r="BJP368" s="37"/>
      <c r="BJQ368" s="37"/>
      <c r="BJR368" s="38"/>
      <c r="BJS368" s="38"/>
      <c r="BJT368" s="39"/>
      <c r="BJU368" s="34"/>
      <c r="BJV368" s="34"/>
      <c r="BJW368" s="34"/>
      <c r="BJX368" s="35"/>
      <c r="BJY368" s="35"/>
      <c r="BJZ368" s="35"/>
      <c r="BKA368" s="35"/>
      <c r="BKB368" s="35"/>
      <c r="BKC368" s="34"/>
      <c r="BKD368" s="34"/>
      <c r="BKE368" s="36"/>
      <c r="BKF368" s="36"/>
      <c r="BKG368" s="37"/>
      <c r="BKH368" s="37"/>
      <c r="BKI368" s="38"/>
      <c r="BKJ368" s="38"/>
      <c r="BKK368" s="39"/>
      <c r="BKL368" s="34"/>
      <c r="BKM368" s="34"/>
      <c r="BKN368" s="34"/>
      <c r="BKO368" s="35"/>
      <c r="BKP368" s="35"/>
      <c r="BKQ368" s="35"/>
      <c r="BKR368" s="35"/>
      <c r="BKS368" s="35"/>
      <c r="BKT368" s="34"/>
      <c r="BKU368" s="34"/>
      <c r="BKV368" s="36"/>
      <c r="BKW368" s="36"/>
      <c r="BKX368" s="37"/>
      <c r="BKY368" s="37"/>
      <c r="BKZ368" s="38"/>
      <c r="BLA368" s="38"/>
      <c r="BLB368" s="39"/>
      <c r="BLC368" s="34"/>
      <c r="BLD368" s="34"/>
      <c r="BLE368" s="34"/>
      <c r="BLF368" s="35"/>
      <c r="BLG368" s="35"/>
      <c r="BLH368" s="35"/>
      <c r="BLI368" s="35"/>
      <c r="BLJ368" s="35"/>
      <c r="BLK368" s="34"/>
      <c r="BLL368" s="34"/>
      <c r="BLM368" s="36"/>
      <c r="BLN368" s="36"/>
      <c r="BLO368" s="37"/>
      <c r="BLP368" s="37"/>
      <c r="BLQ368" s="38"/>
      <c r="BLR368" s="38"/>
      <c r="BLS368" s="39"/>
      <c r="BLT368" s="34"/>
      <c r="BLU368" s="34"/>
      <c r="BLV368" s="34"/>
      <c r="BLW368" s="35"/>
      <c r="BLX368" s="35"/>
      <c r="BLY368" s="35"/>
      <c r="BLZ368" s="35"/>
      <c r="BMA368" s="35"/>
      <c r="BMB368" s="34"/>
      <c r="BMC368" s="34"/>
      <c r="BMD368" s="36"/>
      <c r="BME368" s="36"/>
      <c r="BMF368" s="37"/>
      <c r="BMG368" s="37"/>
      <c r="BMH368" s="38"/>
      <c r="BMI368" s="38"/>
      <c r="BMJ368" s="39"/>
      <c r="BMK368" s="34"/>
      <c r="BML368" s="34"/>
      <c r="BMM368" s="34"/>
      <c r="BMN368" s="35"/>
      <c r="BMO368" s="35"/>
      <c r="BMP368" s="35"/>
      <c r="BMQ368" s="35"/>
      <c r="BMR368" s="35"/>
      <c r="BMS368" s="34"/>
      <c r="BMT368" s="34"/>
      <c r="BMU368" s="36"/>
      <c r="BMV368" s="36"/>
      <c r="BMW368" s="37"/>
      <c r="BMX368" s="37"/>
      <c r="BMY368" s="38"/>
      <c r="BMZ368" s="38"/>
      <c r="BNA368" s="39"/>
      <c r="BNB368" s="34"/>
      <c r="BNC368" s="34"/>
      <c r="BND368" s="34"/>
      <c r="BNE368" s="35"/>
      <c r="BNF368" s="35"/>
      <c r="BNG368" s="35"/>
      <c r="BNH368" s="35"/>
      <c r="BNI368" s="35"/>
      <c r="BNJ368" s="34"/>
      <c r="BNK368" s="34"/>
      <c r="BNL368" s="36"/>
      <c r="BNM368" s="36"/>
      <c r="BNN368" s="37"/>
      <c r="BNO368" s="37"/>
      <c r="BNP368" s="38"/>
      <c r="BNQ368" s="38"/>
      <c r="BNR368" s="39"/>
      <c r="BNS368" s="34"/>
      <c r="BNT368" s="34"/>
      <c r="BNU368" s="34"/>
      <c r="BNV368" s="35"/>
      <c r="BNW368" s="35"/>
      <c r="BNX368" s="35"/>
      <c r="BNY368" s="35"/>
      <c r="BNZ368" s="35"/>
      <c r="BOA368" s="34"/>
      <c r="BOB368" s="34"/>
      <c r="BOC368" s="36"/>
      <c r="BOD368" s="36"/>
      <c r="BOE368" s="37"/>
      <c r="BOF368" s="37"/>
      <c r="BOG368" s="38"/>
      <c r="BOH368" s="38"/>
      <c r="BOI368" s="39"/>
      <c r="BOJ368" s="34"/>
      <c r="BOK368" s="34"/>
      <c r="BOL368" s="34"/>
      <c r="BOM368" s="35"/>
      <c r="BON368" s="35"/>
      <c r="BOO368" s="35"/>
      <c r="BOP368" s="35"/>
      <c r="BOQ368" s="35"/>
      <c r="BOR368" s="34"/>
      <c r="BOS368" s="34"/>
      <c r="BOT368" s="36"/>
      <c r="BOU368" s="36"/>
      <c r="BOV368" s="37"/>
      <c r="BOW368" s="37"/>
      <c r="BOX368" s="38"/>
      <c r="BOY368" s="38"/>
      <c r="BOZ368" s="39"/>
      <c r="BPA368" s="34"/>
      <c r="BPB368" s="34"/>
      <c r="BPC368" s="34"/>
      <c r="BPD368" s="35"/>
      <c r="BPE368" s="35"/>
      <c r="BPF368" s="35"/>
      <c r="BPG368" s="35"/>
      <c r="BPH368" s="35"/>
      <c r="BPI368" s="34"/>
      <c r="BPJ368" s="34"/>
      <c r="BPK368" s="36"/>
      <c r="BPL368" s="36"/>
      <c r="BPM368" s="37"/>
      <c r="BPN368" s="37"/>
      <c r="BPO368" s="38"/>
      <c r="BPP368" s="38"/>
      <c r="BPQ368" s="39"/>
      <c r="BPR368" s="34"/>
      <c r="BPS368" s="34"/>
      <c r="BPT368" s="34"/>
      <c r="BPU368" s="35"/>
      <c r="BPV368" s="35"/>
      <c r="BPW368" s="35"/>
      <c r="BPX368" s="35"/>
      <c r="BPY368" s="35"/>
      <c r="BPZ368" s="34"/>
      <c r="BQA368" s="34"/>
      <c r="BQB368" s="36"/>
      <c r="BQC368" s="36"/>
      <c r="BQD368" s="37"/>
      <c r="BQE368" s="37"/>
      <c r="BQF368" s="38"/>
      <c r="BQG368" s="38"/>
      <c r="BQH368" s="39"/>
      <c r="BQI368" s="34"/>
      <c r="BQJ368" s="34"/>
      <c r="BQK368" s="34"/>
      <c r="BQL368" s="35"/>
      <c r="BQM368" s="35"/>
      <c r="BQN368" s="35"/>
      <c r="BQO368" s="35"/>
      <c r="BQP368" s="35"/>
      <c r="BQQ368" s="34"/>
      <c r="BQR368" s="34"/>
      <c r="BQS368" s="36"/>
      <c r="BQT368" s="36"/>
      <c r="BQU368" s="37"/>
      <c r="BQV368" s="37"/>
      <c r="BQW368" s="38"/>
      <c r="BQX368" s="38"/>
      <c r="BQY368" s="39"/>
      <c r="BQZ368" s="34"/>
      <c r="BRA368" s="34"/>
      <c r="BRB368" s="34"/>
      <c r="BRC368" s="35"/>
      <c r="BRD368" s="35"/>
      <c r="BRE368" s="35"/>
      <c r="BRF368" s="35"/>
      <c r="BRG368" s="35"/>
      <c r="BRH368" s="34"/>
      <c r="BRI368" s="34"/>
      <c r="BRJ368" s="36"/>
      <c r="BRK368" s="36"/>
      <c r="BRL368" s="37"/>
      <c r="BRM368" s="37"/>
      <c r="BRN368" s="38"/>
      <c r="BRO368" s="38"/>
      <c r="BRP368" s="39"/>
      <c r="BRQ368" s="34"/>
      <c r="BRR368" s="34"/>
      <c r="BRS368" s="34"/>
      <c r="BRT368" s="35"/>
      <c r="BRU368" s="35"/>
      <c r="BRV368" s="35"/>
      <c r="BRW368" s="35"/>
      <c r="BRX368" s="35"/>
      <c r="BRY368" s="34"/>
      <c r="BRZ368" s="34"/>
      <c r="BSA368" s="36"/>
      <c r="BSB368" s="36"/>
      <c r="BSC368" s="37"/>
      <c r="BSD368" s="37"/>
      <c r="BSE368" s="38"/>
      <c r="BSF368" s="38"/>
      <c r="BSG368" s="39"/>
      <c r="BSH368" s="34"/>
      <c r="BSI368" s="34"/>
      <c r="BSJ368" s="34"/>
      <c r="BSK368" s="35"/>
      <c r="BSL368" s="35"/>
      <c r="BSM368" s="35"/>
      <c r="BSN368" s="35"/>
      <c r="BSO368" s="35"/>
      <c r="BSP368" s="34"/>
      <c r="BSQ368" s="34"/>
      <c r="BSR368" s="36"/>
      <c r="BSS368" s="36"/>
      <c r="BST368" s="37"/>
      <c r="BSU368" s="37"/>
      <c r="BSV368" s="38"/>
      <c r="BSW368" s="38"/>
      <c r="BSX368" s="39"/>
      <c r="BSY368" s="34"/>
      <c r="BSZ368" s="34"/>
      <c r="BTA368" s="34"/>
      <c r="BTB368" s="35"/>
      <c r="BTC368" s="35"/>
      <c r="BTD368" s="35"/>
      <c r="BTE368" s="35"/>
      <c r="BTF368" s="35"/>
      <c r="BTG368" s="34"/>
      <c r="BTH368" s="34"/>
      <c r="BTI368" s="36"/>
      <c r="BTJ368" s="36"/>
      <c r="BTK368" s="37"/>
      <c r="BTL368" s="37"/>
      <c r="BTM368" s="38"/>
      <c r="BTN368" s="38"/>
      <c r="BTO368" s="39"/>
      <c r="BTP368" s="34"/>
      <c r="BTQ368" s="34"/>
      <c r="BTR368" s="34"/>
      <c r="BTS368" s="35"/>
      <c r="BTT368" s="35"/>
      <c r="BTU368" s="35"/>
      <c r="BTV368" s="35"/>
      <c r="BTW368" s="35"/>
      <c r="BTX368" s="34"/>
      <c r="BTY368" s="34"/>
      <c r="BTZ368" s="36"/>
      <c r="BUA368" s="36"/>
      <c r="BUB368" s="37"/>
      <c r="BUC368" s="37"/>
      <c r="BUD368" s="38"/>
      <c r="BUE368" s="38"/>
      <c r="BUF368" s="39"/>
      <c r="BUG368" s="34"/>
      <c r="BUH368" s="34"/>
      <c r="BUI368" s="34"/>
      <c r="BUJ368" s="35"/>
      <c r="BUK368" s="35"/>
      <c r="BUL368" s="35"/>
      <c r="BUM368" s="35"/>
      <c r="BUN368" s="35"/>
      <c r="BUO368" s="34"/>
      <c r="BUP368" s="34"/>
      <c r="BUQ368" s="36"/>
      <c r="BUR368" s="36"/>
      <c r="BUS368" s="37"/>
      <c r="BUT368" s="37"/>
      <c r="BUU368" s="38"/>
      <c r="BUV368" s="38"/>
      <c r="BUW368" s="39"/>
      <c r="BUX368" s="34"/>
      <c r="BUY368" s="34"/>
      <c r="BUZ368" s="34"/>
      <c r="BVA368" s="35"/>
      <c r="BVB368" s="35"/>
      <c r="BVC368" s="35"/>
      <c r="BVD368" s="35"/>
      <c r="BVE368" s="35"/>
      <c r="BVF368" s="34"/>
      <c r="BVG368" s="34"/>
      <c r="BVH368" s="36"/>
      <c r="BVI368" s="36"/>
      <c r="BVJ368" s="37"/>
      <c r="BVK368" s="37"/>
      <c r="BVL368" s="38"/>
      <c r="BVM368" s="38"/>
      <c r="BVN368" s="39"/>
      <c r="BVO368" s="34"/>
      <c r="BVP368" s="34"/>
      <c r="BVQ368" s="34"/>
      <c r="BVR368" s="35"/>
      <c r="BVS368" s="35"/>
      <c r="BVT368" s="35"/>
      <c r="BVU368" s="35"/>
      <c r="BVV368" s="35"/>
      <c r="BVW368" s="34"/>
      <c r="BVX368" s="34"/>
      <c r="BVY368" s="36"/>
      <c r="BVZ368" s="36"/>
      <c r="BWA368" s="37"/>
      <c r="BWB368" s="37"/>
      <c r="BWC368" s="38"/>
      <c r="BWD368" s="38"/>
      <c r="BWE368" s="39"/>
      <c r="BWF368" s="34"/>
      <c r="BWG368" s="34"/>
      <c r="BWH368" s="34"/>
      <c r="BWI368" s="35"/>
      <c r="BWJ368" s="35"/>
      <c r="BWK368" s="35"/>
      <c r="BWL368" s="35"/>
      <c r="BWM368" s="35"/>
      <c r="BWN368" s="34"/>
      <c r="BWO368" s="34"/>
      <c r="BWP368" s="36"/>
      <c r="BWQ368" s="36"/>
      <c r="BWR368" s="37"/>
      <c r="BWS368" s="37"/>
      <c r="BWT368" s="38"/>
      <c r="BWU368" s="38"/>
      <c r="BWV368" s="39"/>
      <c r="BWW368" s="34"/>
      <c r="BWX368" s="34"/>
      <c r="BWY368" s="34"/>
      <c r="BWZ368" s="35"/>
      <c r="BXA368" s="35"/>
      <c r="BXB368" s="35"/>
      <c r="BXC368" s="35"/>
      <c r="BXD368" s="35"/>
      <c r="BXE368" s="34"/>
      <c r="BXF368" s="34"/>
      <c r="BXG368" s="36"/>
      <c r="BXH368" s="36"/>
      <c r="BXI368" s="37"/>
      <c r="BXJ368" s="37"/>
      <c r="BXK368" s="38"/>
      <c r="BXL368" s="38"/>
      <c r="BXM368" s="39"/>
      <c r="BXN368" s="34"/>
      <c r="BXO368" s="34"/>
      <c r="BXP368" s="34"/>
      <c r="BXQ368" s="35"/>
      <c r="BXR368" s="35"/>
      <c r="BXS368" s="35"/>
      <c r="BXT368" s="35"/>
      <c r="BXU368" s="35"/>
      <c r="BXV368" s="34"/>
      <c r="BXW368" s="34"/>
      <c r="BXX368" s="36"/>
      <c r="BXY368" s="36"/>
      <c r="BXZ368" s="37"/>
      <c r="BYA368" s="37"/>
      <c r="BYB368" s="38"/>
      <c r="BYC368" s="38"/>
      <c r="BYD368" s="39"/>
      <c r="BYE368" s="34"/>
      <c r="BYF368" s="34"/>
      <c r="BYG368" s="34"/>
      <c r="BYH368" s="35"/>
      <c r="BYI368" s="35"/>
      <c r="BYJ368" s="35"/>
      <c r="BYK368" s="35"/>
      <c r="BYL368" s="35"/>
      <c r="BYM368" s="34"/>
      <c r="BYN368" s="34"/>
      <c r="BYO368" s="36"/>
      <c r="BYP368" s="36"/>
      <c r="BYQ368" s="37"/>
      <c r="BYR368" s="37"/>
      <c r="BYS368" s="38"/>
      <c r="BYT368" s="38"/>
      <c r="BYU368" s="39"/>
      <c r="BYV368" s="34"/>
      <c r="BYW368" s="34"/>
      <c r="BYX368" s="34"/>
      <c r="BYY368" s="35"/>
      <c r="BYZ368" s="35"/>
      <c r="BZA368" s="35"/>
      <c r="BZB368" s="35"/>
      <c r="BZC368" s="35"/>
      <c r="BZD368" s="34"/>
      <c r="BZE368" s="34"/>
      <c r="BZF368" s="36"/>
      <c r="BZG368" s="36"/>
      <c r="BZH368" s="37"/>
      <c r="BZI368" s="37"/>
      <c r="BZJ368" s="38"/>
      <c r="BZK368" s="38"/>
      <c r="BZL368" s="39"/>
      <c r="BZM368" s="34"/>
      <c r="BZN368" s="34"/>
      <c r="BZO368" s="34"/>
      <c r="BZP368" s="35"/>
      <c r="BZQ368" s="35"/>
      <c r="BZR368" s="35"/>
      <c r="BZS368" s="35"/>
      <c r="BZT368" s="35"/>
      <c r="BZU368" s="34"/>
      <c r="BZV368" s="34"/>
      <c r="BZW368" s="36"/>
      <c r="BZX368" s="36"/>
      <c r="BZY368" s="37"/>
      <c r="BZZ368" s="37"/>
      <c r="CAA368" s="38"/>
      <c r="CAB368" s="38"/>
      <c r="CAC368" s="39"/>
      <c r="CAD368" s="34"/>
      <c r="CAE368" s="34"/>
      <c r="CAF368" s="34"/>
      <c r="CAG368" s="35"/>
      <c r="CAH368" s="35"/>
      <c r="CAI368" s="35"/>
      <c r="CAJ368" s="35"/>
      <c r="CAK368" s="35"/>
      <c r="CAL368" s="34"/>
      <c r="CAM368" s="34"/>
      <c r="CAN368" s="36"/>
      <c r="CAO368" s="36"/>
      <c r="CAP368" s="37"/>
      <c r="CAQ368" s="37"/>
      <c r="CAR368" s="38"/>
      <c r="CAS368" s="38"/>
      <c r="CAT368" s="39"/>
      <c r="CAU368" s="34"/>
      <c r="CAV368" s="34"/>
      <c r="CAW368" s="34"/>
      <c r="CAX368" s="35"/>
      <c r="CAY368" s="35"/>
      <c r="CAZ368" s="35"/>
      <c r="CBA368" s="35"/>
      <c r="CBB368" s="35"/>
      <c r="CBC368" s="34"/>
      <c r="CBD368" s="34"/>
      <c r="CBE368" s="36"/>
      <c r="CBF368" s="36"/>
      <c r="CBG368" s="37"/>
      <c r="CBH368" s="37"/>
      <c r="CBI368" s="38"/>
      <c r="CBJ368" s="38"/>
      <c r="CBK368" s="39"/>
      <c r="CBL368" s="34"/>
      <c r="CBM368" s="34"/>
      <c r="CBN368" s="34"/>
      <c r="CBO368" s="35"/>
      <c r="CBP368" s="35"/>
      <c r="CBQ368" s="35"/>
      <c r="CBR368" s="35"/>
      <c r="CBS368" s="35"/>
      <c r="CBT368" s="34"/>
      <c r="CBU368" s="34"/>
      <c r="CBV368" s="36"/>
      <c r="CBW368" s="36"/>
      <c r="CBX368" s="37"/>
      <c r="CBY368" s="37"/>
      <c r="CBZ368" s="38"/>
      <c r="CCA368" s="38"/>
      <c r="CCB368" s="39"/>
      <c r="CCC368" s="34"/>
      <c r="CCD368" s="34"/>
      <c r="CCE368" s="34"/>
      <c r="CCF368" s="35"/>
      <c r="CCG368" s="35"/>
      <c r="CCH368" s="35"/>
      <c r="CCI368" s="35"/>
      <c r="CCJ368" s="35"/>
      <c r="CCK368" s="34"/>
      <c r="CCL368" s="34"/>
      <c r="CCM368" s="36"/>
      <c r="CCN368" s="36"/>
      <c r="CCO368" s="37"/>
      <c r="CCP368" s="37"/>
      <c r="CCQ368" s="38"/>
      <c r="CCR368" s="38"/>
      <c r="CCS368" s="39"/>
      <c r="CCT368" s="34"/>
      <c r="CCU368" s="34"/>
      <c r="CCV368" s="34"/>
      <c r="CCW368" s="35"/>
      <c r="CCX368" s="35"/>
      <c r="CCY368" s="35"/>
      <c r="CCZ368" s="35"/>
      <c r="CDA368" s="35"/>
      <c r="CDB368" s="34"/>
      <c r="CDC368" s="34"/>
      <c r="CDD368" s="36"/>
      <c r="CDE368" s="36"/>
      <c r="CDF368" s="37"/>
      <c r="CDG368" s="37"/>
      <c r="CDH368" s="38"/>
      <c r="CDI368" s="38"/>
      <c r="CDJ368" s="39"/>
      <c r="CDK368" s="34"/>
      <c r="CDL368" s="34"/>
      <c r="CDM368" s="34"/>
      <c r="CDN368" s="35"/>
      <c r="CDO368" s="35"/>
      <c r="CDP368" s="35"/>
      <c r="CDQ368" s="35"/>
      <c r="CDR368" s="35"/>
      <c r="CDS368" s="34"/>
      <c r="CDT368" s="34"/>
      <c r="CDU368" s="36"/>
      <c r="CDV368" s="36"/>
      <c r="CDW368" s="37"/>
      <c r="CDX368" s="37"/>
      <c r="CDY368" s="38"/>
      <c r="CDZ368" s="38"/>
      <c r="CEA368" s="39"/>
      <c r="CEB368" s="34"/>
      <c r="CEC368" s="34"/>
      <c r="CED368" s="34"/>
      <c r="CEE368" s="35"/>
      <c r="CEF368" s="35"/>
      <c r="CEG368" s="35"/>
      <c r="CEH368" s="35"/>
      <c r="CEI368" s="35"/>
      <c r="CEJ368" s="34"/>
      <c r="CEK368" s="34"/>
      <c r="CEL368" s="36"/>
      <c r="CEM368" s="36"/>
      <c r="CEN368" s="37"/>
      <c r="CEO368" s="37"/>
      <c r="CEP368" s="38"/>
      <c r="CEQ368" s="38"/>
      <c r="CER368" s="39"/>
      <c r="CES368" s="34"/>
      <c r="CET368" s="34"/>
      <c r="CEU368" s="34"/>
      <c r="CEV368" s="35"/>
      <c r="CEW368" s="35"/>
      <c r="CEX368" s="35"/>
      <c r="CEY368" s="35"/>
      <c r="CEZ368" s="35"/>
      <c r="CFA368" s="34"/>
      <c r="CFB368" s="34"/>
      <c r="CFC368" s="36"/>
      <c r="CFD368" s="36"/>
      <c r="CFE368" s="37"/>
      <c r="CFF368" s="37"/>
      <c r="CFG368" s="38"/>
      <c r="CFH368" s="38"/>
      <c r="CFI368" s="39"/>
      <c r="CFJ368" s="34"/>
      <c r="CFK368" s="34"/>
      <c r="CFL368" s="34"/>
      <c r="CFM368" s="35"/>
      <c r="CFN368" s="35"/>
      <c r="CFO368" s="35"/>
      <c r="CFP368" s="35"/>
      <c r="CFQ368" s="35"/>
      <c r="CFR368" s="34"/>
      <c r="CFS368" s="34"/>
      <c r="CFT368" s="36"/>
      <c r="CFU368" s="36"/>
      <c r="CFV368" s="37"/>
      <c r="CFW368" s="37"/>
      <c r="CFX368" s="38"/>
      <c r="CFY368" s="38"/>
      <c r="CFZ368" s="39"/>
      <c r="CGA368" s="34"/>
      <c r="CGB368" s="34"/>
      <c r="CGC368" s="34"/>
      <c r="CGD368" s="35"/>
      <c r="CGE368" s="35"/>
      <c r="CGF368" s="35"/>
      <c r="CGG368" s="35"/>
      <c r="CGH368" s="35"/>
      <c r="CGI368" s="34"/>
      <c r="CGJ368" s="34"/>
      <c r="CGK368" s="36"/>
      <c r="CGL368" s="36"/>
      <c r="CGM368" s="37"/>
      <c r="CGN368" s="37"/>
      <c r="CGO368" s="38"/>
      <c r="CGP368" s="38"/>
      <c r="CGQ368" s="39"/>
      <c r="CGR368" s="34"/>
      <c r="CGS368" s="34"/>
      <c r="CGT368" s="34"/>
      <c r="CGU368" s="35"/>
      <c r="CGV368" s="35"/>
      <c r="CGW368" s="35"/>
      <c r="CGX368" s="35"/>
      <c r="CGY368" s="35"/>
      <c r="CGZ368" s="34"/>
      <c r="CHA368" s="34"/>
      <c r="CHB368" s="36"/>
      <c r="CHC368" s="36"/>
      <c r="CHD368" s="37"/>
      <c r="CHE368" s="37"/>
      <c r="CHF368" s="38"/>
      <c r="CHG368" s="38"/>
      <c r="CHH368" s="39"/>
      <c r="CHI368" s="34"/>
      <c r="CHJ368" s="34"/>
      <c r="CHK368" s="34"/>
      <c r="CHL368" s="35"/>
      <c r="CHM368" s="35"/>
      <c r="CHN368" s="35"/>
      <c r="CHO368" s="35"/>
      <c r="CHP368" s="35"/>
      <c r="CHQ368" s="34"/>
      <c r="CHR368" s="34"/>
      <c r="CHS368" s="36"/>
      <c r="CHT368" s="36"/>
      <c r="CHU368" s="37"/>
      <c r="CHV368" s="37"/>
      <c r="CHW368" s="38"/>
      <c r="CHX368" s="38"/>
      <c r="CHY368" s="39"/>
      <c r="CHZ368" s="34"/>
      <c r="CIA368" s="34"/>
      <c r="CIB368" s="34"/>
      <c r="CIC368" s="35"/>
      <c r="CID368" s="35"/>
      <c r="CIE368" s="35"/>
      <c r="CIF368" s="35"/>
      <c r="CIG368" s="35"/>
      <c r="CIH368" s="34"/>
      <c r="CII368" s="34"/>
      <c r="CIJ368" s="36"/>
      <c r="CIK368" s="36"/>
      <c r="CIL368" s="37"/>
      <c r="CIM368" s="37"/>
      <c r="CIN368" s="38"/>
      <c r="CIO368" s="38"/>
      <c r="CIP368" s="39"/>
      <c r="CIQ368" s="34"/>
      <c r="CIR368" s="34"/>
      <c r="CIS368" s="34"/>
      <c r="CIT368" s="35"/>
      <c r="CIU368" s="35"/>
      <c r="CIV368" s="35"/>
      <c r="CIW368" s="35"/>
      <c r="CIX368" s="35"/>
      <c r="CIY368" s="34"/>
      <c r="CIZ368" s="34"/>
      <c r="CJA368" s="36"/>
      <c r="CJB368" s="36"/>
      <c r="CJC368" s="37"/>
      <c r="CJD368" s="37"/>
      <c r="CJE368" s="38"/>
      <c r="CJF368" s="38"/>
      <c r="CJG368" s="39"/>
      <c r="CJH368" s="34"/>
      <c r="CJI368" s="34"/>
      <c r="CJJ368" s="34"/>
      <c r="CJK368" s="35"/>
      <c r="CJL368" s="35"/>
      <c r="CJM368" s="35"/>
      <c r="CJN368" s="35"/>
      <c r="CJO368" s="35"/>
      <c r="CJP368" s="34"/>
      <c r="CJQ368" s="34"/>
      <c r="CJR368" s="36"/>
      <c r="CJS368" s="36"/>
      <c r="CJT368" s="37"/>
      <c r="CJU368" s="37"/>
      <c r="CJV368" s="38"/>
      <c r="CJW368" s="38"/>
      <c r="CJX368" s="39"/>
      <c r="CJY368" s="34"/>
      <c r="CJZ368" s="34"/>
      <c r="CKA368" s="34"/>
      <c r="CKB368" s="35"/>
      <c r="CKC368" s="35"/>
      <c r="CKD368" s="35"/>
      <c r="CKE368" s="35"/>
      <c r="CKF368" s="35"/>
      <c r="CKG368" s="34"/>
      <c r="CKH368" s="34"/>
      <c r="CKI368" s="36"/>
      <c r="CKJ368" s="36"/>
      <c r="CKK368" s="37"/>
      <c r="CKL368" s="37"/>
      <c r="CKM368" s="38"/>
      <c r="CKN368" s="38"/>
      <c r="CKO368" s="39"/>
      <c r="CKP368" s="34"/>
      <c r="CKQ368" s="34"/>
      <c r="CKR368" s="34"/>
      <c r="CKS368" s="35"/>
      <c r="CKT368" s="35"/>
      <c r="CKU368" s="35"/>
      <c r="CKV368" s="35"/>
      <c r="CKW368" s="35"/>
      <c r="CKX368" s="34"/>
      <c r="CKY368" s="34"/>
      <c r="CKZ368" s="36"/>
      <c r="CLA368" s="36"/>
      <c r="CLB368" s="37"/>
      <c r="CLC368" s="37"/>
      <c r="CLD368" s="38"/>
      <c r="CLE368" s="38"/>
      <c r="CLF368" s="39"/>
      <c r="CLG368" s="34"/>
      <c r="CLH368" s="34"/>
      <c r="CLI368" s="34"/>
      <c r="CLJ368" s="35"/>
      <c r="CLK368" s="35"/>
      <c r="CLL368" s="35"/>
      <c r="CLM368" s="35"/>
      <c r="CLN368" s="35"/>
      <c r="CLO368" s="34"/>
      <c r="CLP368" s="34"/>
      <c r="CLQ368" s="36"/>
      <c r="CLR368" s="36"/>
      <c r="CLS368" s="37"/>
      <c r="CLT368" s="37"/>
      <c r="CLU368" s="38"/>
      <c r="CLV368" s="38"/>
      <c r="CLW368" s="39"/>
      <c r="CLX368" s="34"/>
      <c r="CLY368" s="34"/>
      <c r="CLZ368" s="34"/>
      <c r="CMA368" s="35"/>
      <c r="CMB368" s="35"/>
      <c r="CMC368" s="35"/>
      <c r="CMD368" s="35"/>
      <c r="CME368" s="35"/>
      <c r="CMF368" s="34"/>
      <c r="CMG368" s="34"/>
      <c r="CMH368" s="36"/>
      <c r="CMI368" s="36"/>
      <c r="CMJ368" s="37"/>
      <c r="CMK368" s="37"/>
      <c r="CML368" s="38"/>
      <c r="CMM368" s="38"/>
      <c r="CMN368" s="39"/>
      <c r="CMO368" s="34"/>
      <c r="CMP368" s="34"/>
      <c r="CMQ368" s="34"/>
      <c r="CMR368" s="35"/>
      <c r="CMS368" s="35"/>
      <c r="CMT368" s="35"/>
      <c r="CMU368" s="35"/>
      <c r="CMV368" s="35"/>
      <c r="CMW368" s="34"/>
      <c r="CMX368" s="34"/>
      <c r="CMY368" s="36"/>
      <c r="CMZ368" s="36"/>
      <c r="CNA368" s="37"/>
      <c r="CNB368" s="37"/>
      <c r="CNC368" s="38"/>
      <c r="CND368" s="38"/>
      <c r="CNE368" s="39"/>
      <c r="CNF368" s="34"/>
      <c r="CNG368" s="34"/>
      <c r="CNH368" s="34"/>
      <c r="CNI368" s="35"/>
      <c r="CNJ368" s="35"/>
      <c r="CNK368" s="35"/>
      <c r="CNL368" s="35"/>
      <c r="CNM368" s="35"/>
      <c r="CNN368" s="34"/>
      <c r="CNO368" s="34"/>
      <c r="CNP368" s="36"/>
      <c r="CNQ368" s="36"/>
      <c r="CNR368" s="37"/>
      <c r="CNS368" s="37"/>
      <c r="CNT368" s="38"/>
      <c r="CNU368" s="38"/>
      <c r="CNV368" s="39"/>
      <c r="CNW368" s="34"/>
      <c r="CNX368" s="34"/>
      <c r="CNY368" s="34"/>
      <c r="CNZ368" s="35"/>
      <c r="COA368" s="35"/>
      <c r="COB368" s="35"/>
      <c r="COC368" s="35"/>
      <c r="COD368" s="35"/>
      <c r="COE368" s="34"/>
      <c r="COF368" s="34"/>
      <c r="COG368" s="36"/>
      <c r="COH368" s="36"/>
      <c r="COI368" s="37"/>
      <c r="COJ368" s="37"/>
      <c r="COK368" s="38"/>
      <c r="COL368" s="38"/>
      <c r="COM368" s="39"/>
      <c r="CON368" s="34"/>
      <c r="COO368" s="34"/>
      <c r="COP368" s="34"/>
      <c r="COQ368" s="35"/>
      <c r="COR368" s="35"/>
      <c r="COS368" s="35"/>
      <c r="COT368" s="35"/>
      <c r="COU368" s="35"/>
      <c r="COV368" s="34"/>
      <c r="COW368" s="34"/>
      <c r="COX368" s="36"/>
      <c r="COY368" s="36"/>
      <c r="COZ368" s="37"/>
      <c r="CPA368" s="37"/>
      <c r="CPB368" s="38"/>
      <c r="CPC368" s="38"/>
      <c r="CPD368" s="39"/>
      <c r="CPE368" s="34"/>
      <c r="CPF368" s="34"/>
      <c r="CPG368" s="34"/>
      <c r="CPH368" s="35"/>
      <c r="CPI368" s="35"/>
      <c r="CPJ368" s="35"/>
      <c r="CPK368" s="35"/>
      <c r="CPL368" s="35"/>
      <c r="CPM368" s="34"/>
      <c r="CPN368" s="34"/>
      <c r="CPO368" s="36"/>
      <c r="CPP368" s="36"/>
      <c r="CPQ368" s="37"/>
      <c r="CPR368" s="37"/>
      <c r="CPS368" s="38"/>
      <c r="CPT368" s="38"/>
      <c r="CPU368" s="39"/>
      <c r="CPV368" s="34"/>
      <c r="CPW368" s="34"/>
      <c r="CPX368" s="34"/>
      <c r="CPY368" s="35"/>
      <c r="CPZ368" s="35"/>
      <c r="CQA368" s="35"/>
      <c r="CQB368" s="35"/>
      <c r="CQC368" s="35"/>
      <c r="CQD368" s="34"/>
      <c r="CQE368" s="34"/>
      <c r="CQF368" s="36"/>
      <c r="CQG368" s="36"/>
      <c r="CQH368" s="37"/>
      <c r="CQI368" s="37"/>
      <c r="CQJ368" s="38"/>
      <c r="CQK368" s="38"/>
      <c r="CQL368" s="39"/>
      <c r="CQM368" s="34"/>
      <c r="CQN368" s="34"/>
      <c r="CQO368" s="34"/>
      <c r="CQP368" s="35"/>
      <c r="CQQ368" s="35"/>
      <c r="CQR368" s="35"/>
      <c r="CQS368" s="35"/>
      <c r="CQT368" s="35"/>
      <c r="CQU368" s="34"/>
      <c r="CQV368" s="34"/>
      <c r="CQW368" s="36"/>
      <c r="CQX368" s="36"/>
      <c r="CQY368" s="37"/>
      <c r="CQZ368" s="37"/>
      <c r="CRA368" s="38"/>
      <c r="CRB368" s="38"/>
      <c r="CRC368" s="39"/>
      <c r="CRD368" s="34"/>
      <c r="CRE368" s="34"/>
      <c r="CRF368" s="34"/>
      <c r="CRG368" s="35"/>
      <c r="CRH368" s="35"/>
      <c r="CRI368" s="35"/>
      <c r="CRJ368" s="35"/>
      <c r="CRK368" s="35"/>
      <c r="CRL368" s="34"/>
      <c r="CRM368" s="34"/>
      <c r="CRN368" s="36"/>
      <c r="CRO368" s="36"/>
      <c r="CRP368" s="37"/>
      <c r="CRQ368" s="37"/>
      <c r="CRR368" s="38"/>
      <c r="CRS368" s="38"/>
      <c r="CRT368" s="39"/>
      <c r="CRU368" s="34"/>
      <c r="CRV368" s="34"/>
      <c r="CRW368" s="34"/>
      <c r="CRX368" s="35"/>
      <c r="CRY368" s="35"/>
      <c r="CRZ368" s="35"/>
      <c r="CSA368" s="35"/>
      <c r="CSB368" s="35"/>
      <c r="CSC368" s="34"/>
      <c r="CSD368" s="34"/>
      <c r="CSE368" s="36"/>
      <c r="CSF368" s="36"/>
      <c r="CSG368" s="37"/>
      <c r="CSH368" s="37"/>
      <c r="CSI368" s="38"/>
      <c r="CSJ368" s="38"/>
      <c r="CSK368" s="39"/>
      <c r="CSL368" s="34"/>
      <c r="CSM368" s="34"/>
      <c r="CSN368" s="34"/>
      <c r="CSO368" s="35"/>
      <c r="CSP368" s="35"/>
      <c r="CSQ368" s="35"/>
      <c r="CSR368" s="35"/>
      <c r="CSS368" s="35"/>
      <c r="CST368" s="34"/>
      <c r="CSU368" s="34"/>
      <c r="CSV368" s="36"/>
      <c r="CSW368" s="36"/>
      <c r="CSX368" s="37"/>
      <c r="CSY368" s="37"/>
      <c r="CSZ368" s="38"/>
      <c r="CTA368" s="38"/>
      <c r="CTB368" s="39"/>
      <c r="CTC368" s="34"/>
      <c r="CTD368" s="34"/>
      <c r="CTE368" s="34"/>
      <c r="CTF368" s="35"/>
      <c r="CTG368" s="35"/>
      <c r="CTH368" s="35"/>
      <c r="CTI368" s="35"/>
      <c r="CTJ368" s="35"/>
      <c r="CTK368" s="34"/>
      <c r="CTL368" s="34"/>
      <c r="CTM368" s="36"/>
      <c r="CTN368" s="36"/>
      <c r="CTO368" s="37"/>
      <c r="CTP368" s="37"/>
      <c r="CTQ368" s="38"/>
      <c r="CTR368" s="38"/>
      <c r="CTS368" s="39"/>
      <c r="CTT368" s="34"/>
      <c r="CTU368" s="34"/>
      <c r="CTV368" s="34"/>
      <c r="CTW368" s="35"/>
      <c r="CTX368" s="35"/>
      <c r="CTY368" s="35"/>
      <c r="CTZ368" s="35"/>
      <c r="CUA368" s="35"/>
      <c r="CUB368" s="34"/>
      <c r="CUC368" s="34"/>
      <c r="CUD368" s="36"/>
      <c r="CUE368" s="36"/>
      <c r="CUF368" s="37"/>
      <c r="CUG368" s="37"/>
      <c r="CUH368" s="38"/>
      <c r="CUI368" s="38"/>
      <c r="CUJ368" s="39"/>
      <c r="CUK368" s="34"/>
      <c r="CUL368" s="34"/>
      <c r="CUM368" s="34"/>
      <c r="CUN368" s="35"/>
      <c r="CUO368" s="35"/>
      <c r="CUP368" s="35"/>
      <c r="CUQ368" s="35"/>
      <c r="CUR368" s="35"/>
      <c r="CUS368" s="34"/>
      <c r="CUT368" s="34"/>
      <c r="CUU368" s="36"/>
      <c r="CUV368" s="36"/>
      <c r="CUW368" s="37"/>
      <c r="CUX368" s="37"/>
      <c r="CUY368" s="38"/>
      <c r="CUZ368" s="38"/>
      <c r="CVA368" s="39"/>
      <c r="CVB368" s="34"/>
      <c r="CVC368" s="34"/>
      <c r="CVD368" s="34"/>
      <c r="CVE368" s="35"/>
      <c r="CVF368" s="35"/>
      <c r="CVG368" s="35"/>
      <c r="CVH368" s="35"/>
      <c r="CVI368" s="35"/>
      <c r="CVJ368" s="34"/>
      <c r="CVK368" s="34"/>
      <c r="CVL368" s="36"/>
      <c r="CVM368" s="36"/>
      <c r="CVN368" s="37"/>
      <c r="CVO368" s="37"/>
      <c r="CVP368" s="38"/>
      <c r="CVQ368" s="38"/>
      <c r="CVR368" s="39"/>
      <c r="CVS368" s="34"/>
      <c r="CVT368" s="34"/>
      <c r="CVU368" s="34"/>
      <c r="CVV368" s="35"/>
      <c r="CVW368" s="35"/>
      <c r="CVX368" s="35"/>
      <c r="CVY368" s="35"/>
      <c r="CVZ368" s="35"/>
      <c r="CWA368" s="34"/>
      <c r="CWB368" s="34"/>
      <c r="CWC368" s="36"/>
      <c r="CWD368" s="36"/>
      <c r="CWE368" s="37"/>
      <c r="CWF368" s="37"/>
      <c r="CWG368" s="38"/>
      <c r="CWH368" s="38"/>
      <c r="CWI368" s="39"/>
      <c r="CWJ368" s="34"/>
      <c r="CWK368" s="34"/>
      <c r="CWL368" s="34"/>
      <c r="CWM368" s="35"/>
      <c r="CWN368" s="35"/>
      <c r="CWO368" s="35"/>
      <c r="CWP368" s="35"/>
      <c r="CWQ368" s="35"/>
      <c r="CWR368" s="34"/>
      <c r="CWS368" s="34"/>
      <c r="CWT368" s="36"/>
      <c r="CWU368" s="36"/>
      <c r="CWV368" s="37"/>
      <c r="CWW368" s="37"/>
      <c r="CWX368" s="38"/>
      <c r="CWY368" s="38"/>
      <c r="CWZ368" s="39"/>
      <c r="CXA368" s="34"/>
      <c r="CXB368" s="34"/>
      <c r="CXC368" s="34"/>
      <c r="CXD368" s="35"/>
      <c r="CXE368" s="35"/>
      <c r="CXF368" s="35"/>
      <c r="CXG368" s="35"/>
      <c r="CXH368" s="35"/>
      <c r="CXI368" s="34"/>
      <c r="CXJ368" s="34"/>
      <c r="CXK368" s="36"/>
      <c r="CXL368" s="36"/>
      <c r="CXM368" s="37"/>
      <c r="CXN368" s="37"/>
      <c r="CXO368" s="38"/>
      <c r="CXP368" s="38"/>
      <c r="CXQ368" s="39"/>
      <c r="CXR368" s="34"/>
      <c r="CXS368" s="34"/>
      <c r="CXT368" s="34"/>
      <c r="CXU368" s="35"/>
      <c r="CXV368" s="35"/>
      <c r="CXW368" s="35"/>
      <c r="CXX368" s="35"/>
      <c r="CXY368" s="35"/>
      <c r="CXZ368" s="34"/>
      <c r="CYA368" s="34"/>
      <c r="CYB368" s="36"/>
      <c r="CYC368" s="36"/>
      <c r="CYD368" s="37"/>
      <c r="CYE368" s="37"/>
      <c r="CYF368" s="38"/>
      <c r="CYG368" s="38"/>
      <c r="CYH368" s="39"/>
      <c r="CYI368" s="34"/>
      <c r="CYJ368" s="34"/>
      <c r="CYK368" s="34"/>
      <c r="CYL368" s="35"/>
      <c r="CYM368" s="35"/>
      <c r="CYN368" s="35"/>
      <c r="CYO368" s="35"/>
      <c r="CYP368" s="35"/>
      <c r="CYQ368" s="34"/>
      <c r="CYR368" s="34"/>
      <c r="CYS368" s="36"/>
      <c r="CYT368" s="36"/>
      <c r="CYU368" s="37"/>
      <c r="CYV368" s="37"/>
      <c r="CYW368" s="38"/>
      <c r="CYX368" s="38"/>
      <c r="CYY368" s="39"/>
      <c r="CYZ368" s="34"/>
      <c r="CZA368" s="34"/>
      <c r="CZB368" s="34"/>
      <c r="CZC368" s="35"/>
      <c r="CZD368" s="35"/>
      <c r="CZE368" s="35"/>
      <c r="CZF368" s="35"/>
      <c r="CZG368" s="35"/>
      <c r="CZH368" s="34"/>
      <c r="CZI368" s="34"/>
      <c r="CZJ368" s="36"/>
      <c r="CZK368" s="36"/>
      <c r="CZL368" s="37"/>
      <c r="CZM368" s="37"/>
      <c r="CZN368" s="38"/>
      <c r="CZO368" s="38"/>
      <c r="CZP368" s="39"/>
      <c r="CZQ368" s="34"/>
      <c r="CZR368" s="34"/>
      <c r="CZS368" s="34"/>
      <c r="CZT368" s="35"/>
      <c r="CZU368" s="35"/>
      <c r="CZV368" s="35"/>
      <c r="CZW368" s="35"/>
      <c r="CZX368" s="35"/>
      <c r="CZY368" s="34"/>
      <c r="CZZ368" s="34"/>
      <c r="DAA368" s="36"/>
      <c r="DAB368" s="36"/>
      <c r="DAC368" s="37"/>
      <c r="DAD368" s="37"/>
      <c r="DAE368" s="38"/>
      <c r="DAF368" s="38"/>
      <c r="DAG368" s="39"/>
      <c r="DAH368" s="34"/>
      <c r="DAI368" s="34"/>
      <c r="DAJ368" s="34"/>
      <c r="DAK368" s="35"/>
      <c r="DAL368" s="35"/>
      <c r="DAM368" s="35"/>
      <c r="DAN368" s="35"/>
      <c r="DAO368" s="35"/>
      <c r="DAP368" s="34"/>
      <c r="DAQ368" s="34"/>
      <c r="DAR368" s="36"/>
      <c r="DAS368" s="36"/>
      <c r="DAT368" s="37"/>
      <c r="DAU368" s="37"/>
      <c r="DAV368" s="38"/>
      <c r="DAW368" s="38"/>
      <c r="DAX368" s="39"/>
      <c r="DAY368" s="34"/>
      <c r="DAZ368" s="34"/>
      <c r="DBA368" s="34"/>
      <c r="DBB368" s="35"/>
      <c r="DBC368" s="35"/>
      <c r="DBD368" s="35"/>
      <c r="DBE368" s="35"/>
      <c r="DBF368" s="35"/>
      <c r="DBG368" s="34"/>
      <c r="DBH368" s="34"/>
      <c r="DBI368" s="36"/>
      <c r="DBJ368" s="36"/>
      <c r="DBK368" s="37"/>
      <c r="DBL368" s="37"/>
      <c r="DBM368" s="38"/>
      <c r="DBN368" s="38"/>
      <c r="DBO368" s="39"/>
      <c r="DBP368" s="34"/>
      <c r="DBQ368" s="34"/>
      <c r="DBR368" s="34"/>
      <c r="DBS368" s="35"/>
      <c r="DBT368" s="35"/>
      <c r="DBU368" s="35"/>
      <c r="DBV368" s="35"/>
      <c r="DBW368" s="35"/>
      <c r="DBX368" s="34"/>
      <c r="DBY368" s="34"/>
      <c r="DBZ368" s="36"/>
      <c r="DCA368" s="36"/>
      <c r="DCB368" s="37"/>
      <c r="DCC368" s="37"/>
      <c r="DCD368" s="38"/>
      <c r="DCE368" s="38"/>
      <c r="DCF368" s="39"/>
      <c r="DCG368" s="34"/>
      <c r="DCH368" s="34"/>
      <c r="DCI368" s="34"/>
      <c r="DCJ368" s="35"/>
      <c r="DCK368" s="35"/>
      <c r="DCL368" s="35"/>
      <c r="DCM368" s="35"/>
      <c r="DCN368" s="35"/>
      <c r="DCO368" s="34"/>
      <c r="DCP368" s="34"/>
      <c r="DCQ368" s="36"/>
      <c r="DCR368" s="36"/>
      <c r="DCS368" s="37"/>
      <c r="DCT368" s="37"/>
      <c r="DCU368" s="38"/>
      <c r="DCV368" s="38"/>
      <c r="DCW368" s="39"/>
      <c r="DCX368" s="34"/>
      <c r="DCY368" s="34"/>
      <c r="DCZ368" s="34"/>
      <c r="DDA368" s="35"/>
      <c r="DDB368" s="35"/>
      <c r="DDC368" s="35"/>
      <c r="DDD368" s="35"/>
      <c r="DDE368" s="35"/>
      <c r="DDF368" s="34"/>
      <c r="DDG368" s="34"/>
      <c r="DDH368" s="36"/>
      <c r="DDI368" s="36"/>
      <c r="DDJ368" s="37"/>
      <c r="DDK368" s="37"/>
      <c r="DDL368" s="38"/>
      <c r="DDM368" s="38"/>
      <c r="DDN368" s="39"/>
      <c r="DDO368" s="34"/>
      <c r="DDP368" s="34"/>
      <c r="DDQ368" s="34"/>
      <c r="DDR368" s="35"/>
      <c r="DDS368" s="35"/>
      <c r="DDT368" s="35"/>
      <c r="DDU368" s="35"/>
      <c r="DDV368" s="35"/>
      <c r="DDW368" s="34"/>
      <c r="DDX368" s="34"/>
      <c r="DDY368" s="36"/>
      <c r="DDZ368" s="36"/>
      <c r="DEA368" s="37"/>
      <c r="DEB368" s="37"/>
      <c r="DEC368" s="38"/>
      <c r="DED368" s="38"/>
      <c r="DEE368" s="39"/>
      <c r="DEF368" s="34"/>
      <c r="DEG368" s="34"/>
      <c r="DEH368" s="34"/>
      <c r="DEI368" s="35"/>
      <c r="DEJ368" s="35"/>
      <c r="DEK368" s="35"/>
      <c r="DEL368" s="35"/>
      <c r="DEM368" s="35"/>
      <c r="DEN368" s="34"/>
      <c r="DEO368" s="34"/>
      <c r="DEP368" s="36"/>
      <c r="DEQ368" s="36"/>
      <c r="DER368" s="37"/>
      <c r="DES368" s="37"/>
      <c r="DET368" s="38"/>
      <c r="DEU368" s="38"/>
      <c r="DEV368" s="39"/>
      <c r="DEW368" s="34"/>
      <c r="DEX368" s="34"/>
      <c r="DEY368" s="34"/>
      <c r="DEZ368" s="35"/>
      <c r="DFA368" s="35"/>
      <c r="DFB368" s="35"/>
      <c r="DFC368" s="35"/>
      <c r="DFD368" s="35"/>
      <c r="DFE368" s="34"/>
      <c r="DFF368" s="34"/>
      <c r="DFG368" s="36"/>
      <c r="DFH368" s="36"/>
      <c r="DFI368" s="37"/>
      <c r="DFJ368" s="37"/>
      <c r="DFK368" s="38"/>
      <c r="DFL368" s="38"/>
      <c r="DFM368" s="39"/>
      <c r="DFN368" s="34"/>
      <c r="DFO368" s="34"/>
      <c r="DFP368" s="34"/>
      <c r="DFQ368" s="35"/>
      <c r="DFR368" s="35"/>
      <c r="DFS368" s="35"/>
      <c r="DFT368" s="35"/>
      <c r="DFU368" s="35"/>
      <c r="DFV368" s="34"/>
      <c r="DFW368" s="34"/>
      <c r="DFX368" s="36"/>
      <c r="DFY368" s="36"/>
      <c r="DFZ368" s="37"/>
      <c r="DGA368" s="37"/>
      <c r="DGB368" s="38"/>
      <c r="DGC368" s="38"/>
      <c r="DGD368" s="39"/>
      <c r="DGE368" s="34"/>
      <c r="DGF368" s="34"/>
      <c r="DGG368" s="34"/>
      <c r="DGH368" s="35"/>
      <c r="DGI368" s="35"/>
      <c r="DGJ368" s="35"/>
      <c r="DGK368" s="35"/>
      <c r="DGL368" s="35"/>
      <c r="DGM368" s="34"/>
      <c r="DGN368" s="34"/>
      <c r="DGO368" s="36"/>
      <c r="DGP368" s="36"/>
      <c r="DGQ368" s="37"/>
      <c r="DGR368" s="37"/>
      <c r="DGS368" s="38"/>
      <c r="DGT368" s="38"/>
      <c r="DGU368" s="39"/>
      <c r="DGV368" s="34"/>
      <c r="DGW368" s="34"/>
      <c r="DGX368" s="34"/>
      <c r="DGY368" s="35"/>
      <c r="DGZ368" s="35"/>
      <c r="DHA368" s="35"/>
      <c r="DHB368" s="35"/>
      <c r="DHC368" s="35"/>
      <c r="DHD368" s="34"/>
      <c r="DHE368" s="34"/>
      <c r="DHF368" s="36"/>
      <c r="DHG368" s="36"/>
      <c r="DHH368" s="37"/>
      <c r="DHI368" s="37"/>
      <c r="DHJ368" s="38"/>
      <c r="DHK368" s="38"/>
      <c r="DHL368" s="39"/>
      <c r="DHM368" s="34"/>
      <c r="DHN368" s="34"/>
      <c r="DHO368" s="34"/>
      <c r="DHP368" s="35"/>
      <c r="DHQ368" s="35"/>
      <c r="DHR368" s="35"/>
      <c r="DHS368" s="35"/>
      <c r="DHT368" s="35"/>
      <c r="DHU368" s="34"/>
      <c r="DHV368" s="34"/>
      <c r="DHW368" s="36"/>
      <c r="DHX368" s="36"/>
      <c r="DHY368" s="37"/>
      <c r="DHZ368" s="37"/>
      <c r="DIA368" s="38"/>
      <c r="DIB368" s="38"/>
      <c r="DIC368" s="39"/>
      <c r="DID368" s="34"/>
      <c r="DIE368" s="34"/>
      <c r="DIF368" s="34"/>
      <c r="DIG368" s="35"/>
      <c r="DIH368" s="35"/>
      <c r="DII368" s="35"/>
      <c r="DIJ368" s="35"/>
      <c r="DIK368" s="35"/>
      <c r="DIL368" s="34"/>
      <c r="DIM368" s="34"/>
      <c r="DIN368" s="36"/>
      <c r="DIO368" s="36"/>
      <c r="DIP368" s="37"/>
      <c r="DIQ368" s="37"/>
      <c r="DIR368" s="38"/>
      <c r="DIS368" s="38"/>
      <c r="DIT368" s="39"/>
      <c r="DIU368" s="34"/>
      <c r="DIV368" s="34"/>
      <c r="DIW368" s="34"/>
      <c r="DIX368" s="35"/>
      <c r="DIY368" s="35"/>
      <c r="DIZ368" s="35"/>
      <c r="DJA368" s="35"/>
      <c r="DJB368" s="35"/>
      <c r="DJC368" s="34"/>
      <c r="DJD368" s="34"/>
      <c r="DJE368" s="36"/>
      <c r="DJF368" s="36"/>
      <c r="DJG368" s="37"/>
      <c r="DJH368" s="37"/>
      <c r="DJI368" s="38"/>
      <c r="DJJ368" s="38"/>
      <c r="DJK368" s="39"/>
      <c r="DJL368" s="34"/>
      <c r="DJM368" s="34"/>
      <c r="DJN368" s="34"/>
      <c r="DJO368" s="35"/>
      <c r="DJP368" s="35"/>
      <c r="DJQ368" s="35"/>
      <c r="DJR368" s="35"/>
      <c r="DJS368" s="35"/>
      <c r="DJT368" s="34"/>
      <c r="DJU368" s="34"/>
      <c r="DJV368" s="36"/>
      <c r="DJW368" s="36"/>
      <c r="DJX368" s="37"/>
      <c r="DJY368" s="37"/>
      <c r="DJZ368" s="38"/>
      <c r="DKA368" s="38"/>
      <c r="DKB368" s="39"/>
      <c r="DKC368" s="34"/>
      <c r="DKD368" s="34"/>
      <c r="DKE368" s="34"/>
      <c r="DKF368" s="35"/>
      <c r="DKG368" s="35"/>
      <c r="DKH368" s="35"/>
      <c r="DKI368" s="35"/>
      <c r="DKJ368" s="35"/>
      <c r="DKK368" s="34"/>
      <c r="DKL368" s="34"/>
      <c r="DKM368" s="36"/>
      <c r="DKN368" s="36"/>
      <c r="DKO368" s="37"/>
      <c r="DKP368" s="37"/>
      <c r="DKQ368" s="38"/>
      <c r="DKR368" s="38"/>
      <c r="DKS368" s="39"/>
      <c r="DKT368" s="34"/>
      <c r="DKU368" s="34"/>
      <c r="DKV368" s="34"/>
      <c r="DKW368" s="35"/>
      <c r="DKX368" s="35"/>
      <c r="DKY368" s="35"/>
      <c r="DKZ368" s="35"/>
      <c r="DLA368" s="35"/>
      <c r="DLB368" s="34"/>
      <c r="DLC368" s="34"/>
      <c r="DLD368" s="36"/>
      <c r="DLE368" s="36"/>
      <c r="DLF368" s="37"/>
      <c r="DLG368" s="37"/>
      <c r="DLH368" s="38"/>
      <c r="DLI368" s="38"/>
      <c r="DLJ368" s="39"/>
      <c r="DLK368" s="34"/>
      <c r="DLL368" s="34"/>
      <c r="DLM368" s="34"/>
      <c r="DLN368" s="35"/>
      <c r="DLO368" s="35"/>
      <c r="DLP368" s="35"/>
      <c r="DLQ368" s="35"/>
      <c r="DLR368" s="35"/>
      <c r="DLS368" s="34"/>
      <c r="DLT368" s="34"/>
      <c r="DLU368" s="36"/>
      <c r="DLV368" s="36"/>
      <c r="DLW368" s="37"/>
      <c r="DLX368" s="37"/>
      <c r="DLY368" s="38"/>
      <c r="DLZ368" s="38"/>
      <c r="DMA368" s="39"/>
      <c r="DMB368" s="34"/>
      <c r="DMC368" s="34"/>
      <c r="DMD368" s="34"/>
      <c r="DME368" s="35"/>
      <c r="DMF368" s="35"/>
      <c r="DMG368" s="35"/>
      <c r="DMH368" s="35"/>
      <c r="DMI368" s="35"/>
      <c r="DMJ368" s="34"/>
      <c r="DMK368" s="34"/>
      <c r="DML368" s="36"/>
      <c r="DMM368" s="36"/>
      <c r="DMN368" s="37"/>
      <c r="DMO368" s="37"/>
      <c r="DMP368" s="38"/>
      <c r="DMQ368" s="38"/>
      <c r="DMR368" s="39"/>
      <c r="DMS368" s="34"/>
      <c r="DMT368" s="34"/>
      <c r="DMU368" s="34"/>
      <c r="DMV368" s="35"/>
      <c r="DMW368" s="35"/>
      <c r="DMX368" s="35"/>
      <c r="DMY368" s="35"/>
      <c r="DMZ368" s="35"/>
      <c r="DNA368" s="34"/>
      <c r="DNB368" s="34"/>
      <c r="DNC368" s="36"/>
      <c r="DND368" s="36"/>
      <c r="DNE368" s="37"/>
      <c r="DNF368" s="37"/>
      <c r="DNG368" s="38"/>
      <c r="DNH368" s="38"/>
      <c r="DNI368" s="39"/>
      <c r="DNJ368" s="34"/>
      <c r="DNK368" s="34"/>
      <c r="DNL368" s="34"/>
      <c r="DNM368" s="35"/>
      <c r="DNN368" s="35"/>
      <c r="DNO368" s="35"/>
      <c r="DNP368" s="35"/>
      <c r="DNQ368" s="35"/>
      <c r="DNR368" s="34"/>
      <c r="DNS368" s="34"/>
      <c r="DNT368" s="36"/>
      <c r="DNU368" s="36"/>
      <c r="DNV368" s="37"/>
      <c r="DNW368" s="37"/>
      <c r="DNX368" s="38"/>
      <c r="DNY368" s="38"/>
      <c r="DNZ368" s="39"/>
      <c r="DOA368" s="34"/>
      <c r="DOB368" s="34"/>
      <c r="DOC368" s="34"/>
      <c r="DOD368" s="35"/>
      <c r="DOE368" s="35"/>
      <c r="DOF368" s="35"/>
      <c r="DOG368" s="35"/>
      <c r="DOH368" s="35"/>
      <c r="DOI368" s="34"/>
      <c r="DOJ368" s="34"/>
      <c r="DOK368" s="36"/>
      <c r="DOL368" s="36"/>
      <c r="DOM368" s="37"/>
      <c r="DON368" s="37"/>
      <c r="DOO368" s="38"/>
      <c r="DOP368" s="38"/>
      <c r="DOQ368" s="39"/>
      <c r="DOR368" s="34"/>
      <c r="DOS368" s="34"/>
      <c r="DOT368" s="34"/>
      <c r="DOU368" s="35"/>
      <c r="DOV368" s="35"/>
      <c r="DOW368" s="35"/>
      <c r="DOX368" s="35"/>
      <c r="DOY368" s="35"/>
      <c r="DOZ368" s="34"/>
      <c r="DPA368" s="34"/>
      <c r="DPB368" s="36"/>
      <c r="DPC368" s="36"/>
      <c r="DPD368" s="37"/>
      <c r="DPE368" s="37"/>
      <c r="DPF368" s="38"/>
      <c r="DPG368" s="38"/>
      <c r="DPH368" s="39"/>
      <c r="DPI368" s="34"/>
      <c r="DPJ368" s="34"/>
      <c r="DPK368" s="34"/>
      <c r="DPL368" s="35"/>
      <c r="DPM368" s="35"/>
      <c r="DPN368" s="35"/>
      <c r="DPO368" s="35"/>
      <c r="DPP368" s="35"/>
      <c r="DPQ368" s="34"/>
      <c r="DPR368" s="34"/>
      <c r="DPS368" s="36"/>
      <c r="DPT368" s="36"/>
      <c r="DPU368" s="37"/>
      <c r="DPV368" s="37"/>
      <c r="DPW368" s="38"/>
      <c r="DPX368" s="38"/>
      <c r="DPY368" s="39"/>
      <c r="DPZ368" s="34"/>
      <c r="DQA368" s="34"/>
      <c r="DQB368" s="34"/>
      <c r="DQC368" s="35"/>
      <c r="DQD368" s="35"/>
      <c r="DQE368" s="35"/>
      <c r="DQF368" s="35"/>
      <c r="DQG368" s="35"/>
      <c r="DQH368" s="34"/>
      <c r="DQI368" s="34"/>
      <c r="DQJ368" s="36"/>
      <c r="DQK368" s="36"/>
      <c r="DQL368" s="37"/>
      <c r="DQM368" s="37"/>
      <c r="DQN368" s="38"/>
      <c r="DQO368" s="38"/>
      <c r="DQP368" s="39"/>
      <c r="DQQ368" s="34"/>
      <c r="DQR368" s="34"/>
      <c r="DQS368" s="34"/>
      <c r="DQT368" s="35"/>
      <c r="DQU368" s="35"/>
      <c r="DQV368" s="35"/>
      <c r="DQW368" s="35"/>
      <c r="DQX368" s="35"/>
      <c r="DQY368" s="34"/>
      <c r="DQZ368" s="34"/>
      <c r="DRA368" s="36"/>
      <c r="DRB368" s="36"/>
      <c r="DRC368" s="37"/>
      <c r="DRD368" s="37"/>
      <c r="DRE368" s="38"/>
      <c r="DRF368" s="38"/>
      <c r="DRG368" s="39"/>
      <c r="DRH368" s="34"/>
      <c r="DRI368" s="34"/>
      <c r="DRJ368" s="34"/>
      <c r="DRK368" s="35"/>
      <c r="DRL368" s="35"/>
      <c r="DRM368" s="35"/>
      <c r="DRN368" s="35"/>
      <c r="DRO368" s="35"/>
      <c r="DRP368" s="34"/>
      <c r="DRQ368" s="34"/>
      <c r="DRR368" s="36"/>
      <c r="DRS368" s="36"/>
      <c r="DRT368" s="37"/>
      <c r="DRU368" s="37"/>
      <c r="DRV368" s="38"/>
      <c r="DRW368" s="38"/>
      <c r="DRX368" s="39"/>
      <c r="DRY368" s="34"/>
      <c r="DRZ368" s="34"/>
      <c r="DSA368" s="34"/>
      <c r="DSB368" s="35"/>
      <c r="DSC368" s="35"/>
      <c r="DSD368" s="35"/>
      <c r="DSE368" s="35"/>
      <c r="DSF368" s="35"/>
      <c r="DSG368" s="34"/>
      <c r="DSH368" s="34"/>
      <c r="DSI368" s="36"/>
      <c r="DSJ368" s="36"/>
      <c r="DSK368" s="37"/>
      <c r="DSL368" s="37"/>
      <c r="DSM368" s="38"/>
      <c r="DSN368" s="38"/>
      <c r="DSO368" s="39"/>
      <c r="DSP368" s="34"/>
      <c r="DSQ368" s="34"/>
      <c r="DSR368" s="34"/>
      <c r="DSS368" s="35"/>
      <c r="DST368" s="35"/>
      <c r="DSU368" s="35"/>
      <c r="DSV368" s="35"/>
      <c r="DSW368" s="35"/>
      <c r="DSX368" s="34"/>
      <c r="DSY368" s="34"/>
      <c r="DSZ368" s="36"/>
      <c r="DTA368" s="36"/>
      <c r="DTB368" s="37"/>
      <c r="DTC368" s="37"/>
      <c r="DTD368" s="38"/>
      <c r="DTE368" s="38"/>
      <c r="DTF368" s="39"/>
      <c r="DTG368" s="34"/>
      <c r="DTH368" s="34"/>
      <c r="DTI368" s="34"/>
      <c r="DTJ368" s="35"/>
      <c r="DTK368" s="35"/>
      <c r="DTL368" s="35"/>
      <c r="DTM368" s="35"/>
      <c r="DTN368" s="35"/>
      <c r="DTO368" s="34"/>
      <c r="DTP368" s="34"/>
      <c r="DTQ368" s="36"/>
      <c r="DTR368" s="36"/>
      <c r="DTS368" s="37"/>
      <c r="DTT368" s="37"/>
      <c r="DTU368" s="38"/>
      <c r="DTV368" s="38"/>
      <c r="DTW368" s="39"/>
      <c r="DTX368" s="34"/>
      <c r="DTY368" s="34"/>
      <c r="DTZ368" s="34"/>
      <c r="DUA368" s="35"/>
      <c r="DUB368" s="35"/>
      <c r="DUC368" s="35"/>
      <c r="DUD368" s="35"/>
      <c r="DUE368" s="35"/>
      <c r="DUF368" s="34"/>
      <c r="DUG368" s="34"/>
      <c r="DUH368" s="36"/>
      <c r="DUI368" s="36"/>
      <c r="DUJ368" s="37"/>
      <c r="DUK368" s="37"/>
      <c r="DUL368" s="38"/>
      <c r="DUM368" s="38"/>
      <c r="DUN368" s="39"/>
      <c r="DUO368" s="34"/>
      <c r="DUP368" s="34"/>
      <c r="DUQ368" s="34"/>
      <c r="DUR368" s="35"/>
      <c r="DUS368" s="35"/>
      <c r="DUT368" s="35"/>
      <c r="DUU368" s="35"/>
      <c r="DUV368" s="35"/>
      <c r="DUW368" s="34"/>
      <c r="DUX368" s="34"/>
      <c r="DUY368" s="36"/>
      <c r="DUZ368" s="36"/>
      <c r="DVA368" s="37"/>
      <c r="DVB368" s="37"/>
      <c r="DVC368" s="38"/>
      <c r="DVD368" s="38"/>
      <c r="DVE368" s="39"/>
      <c r="DVF368" s="34"/>
      <c r="DVG368" s="34"/>
      <c r="DVH368" s="34"/>
      <c r="DVI368" s="35"/>
      <c r="DVJ368" s="35"/>
      <c r="DVK368" s="35"/>
      <c r="DVL368" s="35"/>
      <c r="DVM368" s="35"/>
      <c r="DVN368" s="34"/>
      <c r="DVO368" s="34"/>
      <c r="DVP368" s="36"/>
      <c r="DVQ368" s="36"/>
      <c r="DVR368" s="37"/>
      <c r="DVS368" s="37"/>
      <c r="DVT368" s="38"/>
      <c r="DVU368" s="38"/>
      <c r="DVV368" s="39"/>
      <c r="DVW368" s="34"/>
      <c r="DVX368" s="34"/>
      <c r="DVY368" s="34"/>
      <c r="DVZ368" s="35"/>
      <c r="DWA368" s="35"/>
      <c r="DWB368" s="35"/>
      <c r="DWC368" s="35"/>
      <c r="DWD368" s="35"/>
      <c r="DWE368" s="34"/>
      <c r="DWF368" s="34"/>
      <c r="DWG368" s="36"/>
      <c r="DWH368" s="36"/>
      <c r="DWI368" s="37"/>
      <c r="DWJ368" s="37"/>
      <c r="DWK368" s="38"/>
      <c r="DWL368" s="38"/>
      <c r="DWM368" s="39"/>
      <c r="DWN368" s="34"/>
      <c r="DWO368" s="34"/>
      <c r="DWP368" s="34"/>
      <c r="DWQ368" s="35"/>
      <c r="DWR368" s="35"/>
      <c r="DWS368" s="35"/>
      <c r="DWT368" s="35"/>
      <c r="DWU368" s="35"/>
      <c r="DWV368" s="34"/>
      <c r="DWW368" s="34"/>
      <c r="DWX368" s="36"/>
      <c r="DWY368" s="36"/>
      <c r="DWZ368" s="37"/>
      <c r="DXA368" s="37"/>
      <c r="DXB368" s="38"/>
      <c r="DXC368" s="38"/>
      <c r="DXD368" s="39"/>
      <c r="DXE368" s="34"/>
      <c r="DXF368" s="34"/>
      <c r="DXG368" s="34"/>
      <c r="DXH368" s="35"/>
      <c r="DXI368" s="35"/>
      <c r="DXJ368" s="35"/>
      <c r="DXK368" s="35"/>
      <c r="DXL368" s="35"/>
      <c r="DXM368" s="34"/>
      <c r="DXN368" s="34"/>
      <c r="DXO368" s="36"/>
      <c r="DXP368" s="36"/>
      <c r="DXQ368" s="37"/>
      <c r="DXR368" s="37"/>
      <c r="DXS368" s="38"/>
      <c r="DXT368" s="38"/>
      <c r="DXU368" s="39"/>
      <c r="DXV368" s="34"/>
      <c r="DXW368" s="34"/>
      <c r="DXX368" s="34"/>
      <c r="DXY368" s="35"/>
      <c r="DXZ368" s="35"/>
      <c r="DYA368" s="35"/>
      <c r="DYB368" s="35"/>
      <c r="DYC368" s="35"/>
      <c r="DYD368" s="34"/>
      <c r="DYE368" s="34"/>
      <c r="DYF368" s="36"/>
      <c r="DYG368" s="36"/>
      <c r="DYH368" s="37"/>
      <c r="DYI368" s="37"/>
      <c r="DYJ368" s="38"/>
      <c r="DYK368" s="38"/>
      <c r="DYL368" s="39"/>
      <c r="DYM368" s="34"/>
      <c r="DYN368" s="34"/>
      <c r="DYO368" s="34"/>
      <c r="DYP368" s="35"/>
      <c r="DYQ368" s="35"/>
      <c r="DYR368" s="35"/>
      <c r="DYS368" s="35"/>
      <c r="DYT368" s="35"/>
      <c r="DYU368" s="34"/>
      <c r="DYV368" s="34"/>
      <c r="DYW368" s="36"/>
      <c r="DYX368" s="36"/>
      <c r="DYY368" s="37"/>
      <c r="DYZ368" s="37"/>
      <c r="DZA368" s="38"/>
      <c r="DZB368" s="38"/>
      <c r="DZC368" s="39"/>
      <c r="DZD368" s="34"/>
      <c r="DZE368" s="34"/>
      <c r="DZF368" s="34"/>
      <c r="DZG368" s="35"/>
      <c r="DZH368" s="35"/>
      <c r="DZI368" s="35"/>
      <c r="DZJ368" s="35"/>
      <c r="DZK368" s="35"/>
      <c r="DZL368" s="34"/>
      <c r="DZM368" s="34"/>
      <c r="DZN368" s="36"/>
      <c r="DZO368" s="36"/>
      <c r="DZP368" s="37"/>
      <c r="DZQ368" s="37"/>
      <c r="DZR368" s="38"/>
      <c r="DZS368" s="38"/>
      <c r="DZT368" s="39"/>
      <c r="DZU368" s="34"/>
      <c r="DZV368" s="34"/>
      <c r="DZW368" s="34"/>
      <c r="DZX368" s="35"/>
      <c r="DZY368" s="35"/>
      <c r="DZZ368" s="35"/>
      <c r="EAA368" s="35"/>
      <c r="EAB368" s="35"/>
      <c r="EAC368" s="34"/>
      <c r="EAD368" s="34"/>
      <c r="EAE368" s="36"/>
      <c r="EAF368" s="36"/>
      <c r="EAG368" s="37"/>
      <c r="EAH368" s="37"/>
      <c r="EAI368" s="38"/>
      <c r="EAJ368" s="38"/>
      <c r="EAK368" s="39"/>
      <c r="EAL368" s="34"/>
      <c r="EAM368" s="34"/>
      <c r="EAN368" s="34"/>
      <c r="EAO368" s="35"/>
      <c r="EAP368" s="35"/>
      <c r="EAQ368" s="35"/>
      <c r="EAR368" s="35"/>
      <c r="EAS368" s="35"/>
      <c r="EAT368" s="34"/>
      <c r="EAU368" s="34"/>
      <c r="EAV368" s="36"/>
      <c r="EAW368" s="36"/>
      <c r="EAX368" s="37"/>
      <c r="EAY368" s="37"/>
      <c r="EAZ368" s="38"/>
      <c r="EBA368" s="38"/>
      <c r="EBB368" s="39"/>
      <c r="EBC368" s="34"/>
      <c r="EBD368" s="34"/>
      <c r="EBE368" s="34"/>
      <c r="EBF368" s="35"/>
      <c r="EBG368" s="35"/>
      <c r="EBH368" s="35"/>
      <c r="EBI368" s="35"/>
      <c r="EBJ368" s="35"/>
      <c r="EBK368" s="34"/>
      <c r="EBL368" s="34"/>
      <c r="EBM368" s="36"/>
      <c r="EBN368" s="36"/>
      <c r="EBO368" s="37"/>
      <c r="EBP368" s="37"/>
      <c r="EBQ368" s="38"/>
      <c r="EBR368" s="38"/>
      <c r="EBS368" s="39"/>
      <c r="EBT368" s="34"/>
      <c r="EBU368" s="34"/>
      <c r="EBV368" s="34"/>
      <c r="EBW368" s="35"/>
      <c r="EBX368" s="35"/>
      <c r="EBY368" s="35"/>
      <c r="EBZ368" s="35"/>
      <c r="ECA368" s="35"/>
      <c r="ECB368" s="34"/>
      <c r="ECC368" s="34"/>
      <c r="ECD368" s="36"/>
      <c r="ECE368" s="36"/>
      <c r="ECF368" s="37"/>
      <c r="ECG368" s="37"/>
      <c r="ECH368" s="38"/>
      <c r="ECI368" s="38"/>
      <c r="ECJ368" s="39"/>
      <c r="ECK368" s="34"/>
      <c r="ECL368" s="34"/>
      <c r="ECM368" s="34"/>
      <c r="ECN368" s="35"/>
      <c r="ECO368" s="35"/>
      <c r="ECP368" s="35"/>
      <c r="ECQ368" s="35"/>
      <c r="ECR368" s="35"/>
      <c r="ECS368" s="34"/>
      <c r="ECT368" s="34"/>
      <c r="ECU368" s="36"/>
      <c r="ECV368" s="36"/>
      <c r="ECW368" s="37"/>
      <c r="ECX368" s="37"/>
      <c r="ECY368" s="38"/>
      <c r="ECZ368" s="38"/>
      <c r="EDA368" s="39"/>
      <c r="EDB368" s="34"/>
      <c r="EDC368" s="34"/>
      <c r="EDD368" s="34"/>
      <c r="EDE368" s="35"/>
      <c r="EDF368" s="35"/>
      <c r="EDG368" s="35"/>
      <c r="EDH368" s="35"/>
      <c r="EDI368" s="35"/>
      <c r="EDJ368" s="34"/>
      <c r="EDK368" s="34"/>
      <c r="EDL368" s="36"/>
      <c r="EDM368" s="36"/>
      <c r="EDN368" s="37"/>
      <c r="EDO368" s="37"/>
      <c r="EDP368" s="38"/>
      <c r="EDQ368" s="38"/>
      <c r="EDR368" s="39"/>
      <c r="EDS368" s="34"/>
      <c r="EDT368" s="34"/>
      <c r="EDU368" s="34"/>
      <c r="EDV368" s="35"/>
      <c r="EDW368" s="35"/>
      <c r="EDX368" s="35"/>
      <c r="EDY368" s="35"/>
      <c r="EDZ368" s="35"/>
      <c r="EEA368" s="34"/>
      <c r="EEB368" s="34"/>
      <c r="EEC368" s="36"/>
      <c r="EED368" s="36"/>
      <c r="EEE368" s="37"/>
      <c r="EEF368" s="37"/>
      <c r="EEG368" s="38"/>
      <c r="EEH368" s="38"/>
      <c r="EEI368" s="39"/>
      <c r="EEJ368" s="34"/>
      <c r="EEK368" s="34"/>
      <c r="EEL368" s="34"/>
      <c r="EEM368" s="35"/>
      <c r="EEN368" s="35"/>
      <c r="EEO368" s="35"/>
      <c r="EEP368" s="35"/>
      <c r="EEQ368" s="35"/>
      <c r="EER368" s="34"/>
      <c r="EES368" s="34"/>
      <c r="EET368" s="36"/>
      <c r="EEU368" s="36"/>
      <c r="EEV368" s="37"/>
      <c r="EEW368" s="37"/>
      <c r="EEX368" s="38"/>
      <c r="EEY368" s="38"/>
      <c r="EEZ368" s="39"/>
      <c r="EFA368" s="34"/>
      <c r="EFB368" s="34"/>
      <c r="EFC368" s="34"/>
      <c r="EFD368" s="35"/>
      <c r="EFE368" s="35"/>
      <c r="EFF368" s="35"/>
      <c r="EFG368" s="35"/>
      <c r="EFH368" s="35"/>
      <c r="EFI368" s="34"/>
      <c r="EFJ368" s="34"/>
      <c r="EFK368" s="36"/>
      <c r="EFL368" s="36"/>
      <c r="EFM368" s="37"/>
      <c r="EFN368" s="37"/>
      <c r="EFO368" s="38"/>
      <c r="EFP368" s="38"/>
      <c r="EFQ368" s="39"/>
      <c r="EFR368" s="34"/>
      <c r="EFS368" s="34"/>
      <c r="EFT368" s="34"/>
      <c r="EFU368" s="35"/>
      <c r="EFV368" s="35"/>
      <c r="EFW368" s="35"/>
      <c r="EFX368" s="35"/>
      <c r="EFY368" s="35"/>
      <c r="EFZ368" s="34"/>
      <c r="EGA368" s="34"/>
      <c r="EGB368" s="36"/>
      <c r="EGC368" s="36"/>
      <c r="EGD368" s="37"/>
      <c r="EGE368" s="37"/>
      <c r="EGF368" s="38"/>
      <c r="EGG368" s="38"/>
      <c r="EGH368" s="39"/>
      <c r="EGI368" s="34"/>
      <c r="EGJ368" s="34"/>
      <c r="EGK368" s="34"/>
      <c r="EGL368" s="35"/>
      <c r="EGM368" s="35"/>
      <c r="EGN368" s="35"/>
      <c r="EGO368" s="35"/>
      <c r="EGP368" s="35"/>
      <c r="EGQ368" s="34"/>
      <c r="EGR368" s="34"/>
      <c r="EGS368" s="36"/>
      <c r="EGT368" s="36"/>
      <c r="EGU368" s="37"/>
      <c r="EGV368" s="37"/>
      <c r="EGW368" s="38"/>
      <c r="EGX368" s="38"/>
      <c r="EGY368" s="39"/>
      <c r="EGZ368" s="34"/>
      <c r="EHA368" s="34"/>
      <c r="EHB368" s="34"/>
      <c r="EHC368" s="35"/>
      <c r="EHD368" s="35"/>
      <c r="EHE368" s="35"/>
      <c r="EHF368" s="35"/>
      <c r="EHG368" s="35"/>
      <c r="EHH368" s="34"/>
      <c r="EHI368" s="34"/>
      <c r="EHJ368" s="36"/>
      <c r="EHK368" s="36"/>
      <c r="EHL368" s="37"/>
      <c r="EHM368" s="37"/>
      <c r="EHN368" s="38"/>
      <c r="EHO368" s="38"/>
      <c r="EHP368" s="39"/>
      <c r="EHQ368" s="34"/>
      <c r="EHR368" s="34"/>
      <c r="EHS368" s="34"/>
      <c r="EHT368" s="35"/>
      <c r="EHU368" s="35"/>
      <c r="EHV368" s="35"/>
      <c r="EHW368" s="35"/>
      <c r="EHX368" s="35"/>
      <c r="EHY368" s="34"/>
      <c r="EHZ368" s="34"/>
      <c r="EIA368" s="36"/>
      <c r="EIB368" s="36"/>
      <c r="EIC368" s="37"/>
      <c r="EID368" s="37"/>
      <c r="EIE368" s="38"/>
      <c r="EIF368" s="38"/>
      <c r="EIG368" s="39"/>
      <c r="EIH368" s="34"/>
      <c r="EII368" s="34"/>
      <c r="EIJ368" s="34"/>
      <c r="EIK368" s="35"/>
      <c r="EIL368" s="35"/>
      <c r="EIM368" s="35"/>
      <c r="EIN368" s="35"/>
      <c r="EIO368" s="35"/>
      <c r="EIP368" s="34"/>
      <c r="EIQ368" s="34"/>
      <c r="EIR368" s="36"/>
      <c r="EIS368" s="36"/>
      <c r="EIT368" s="37"/>
      <c r="EIU368" s="37"/>
      <c r="EIV368" s="38"/>
      <c r="EIW368" s="38"/>
      <c r="EIX368" s="39"/>
      <c r="EIY368" s="34"/>
      <c r="EIZ368" s="34"/>
      <c r="EJA368" s="34"/>
      <c r="EJB368" s="35"/>
      <c r="EJC368" s="35"/>
      <c r="EJD368" s="35"/>
      <c r="EJE368" s="35"/>
      <c r="EJF368" s="35"/>
      <c r="EJG368" s="34"/>
      <c r="EJH368" s="34"/>
      <c r="EJI368" s="36"/>
      <c r="EJJ368" s="36"/>
      <c r="EJK368" s="37"/>
      <c r="EJL368" s="37"/>
      <c r="EJM368" s="38"/>
      <c r="EJN368" s="38"/>
      <c r="EJO368" s="39"/>
      <c r="EJP368" s="34"/>
      <c r="EJQ368" s="34"/>
      <c r="EJR368" s="34"/>
      <c r="EJS368" s="35"/>
      <c r="EJT368" s="35"/>
      <c r="EJU368" s="35"/>
      <c r="EJV368" s="35"/>
      <c r="EJW368" s="35"/>
      <c r="EJX368" s="34"/>
      <c r="EJY368" s="34"/>
      <c r="EJZ368" s="36"/>
      <c r="EKA368" s="36"/>
      <c r="EKB368" s="37"/>
      <c r="EKC368" s="37"/>
      <c r="EKD368" s="38"/>
      <c r="EKE368" s="38"/>
      <c r="EKF368" s="39"/>
      <c r="EKG368" s="34"/>
      <c r="EKH368" s="34"/>
      <c r="EKI368" s="34"/>
      <c r="EKJ368" s="35"/>
      <c r="EKK368" s="35"/>
      <c r="EKL368" s="35"/>
      <c r="EKM368" s="35"/>
      <c r="EKN368" s="35"/>
      <c r="EKO368" s="34"/>
      <c r="EKP368" s="34"/>
      <c r="EKQ368" s="36"/>
      <c r="EKR368" s="36"/>
      <c r="EKS368" s="37"/>
      <c r="EKT368" s="37"/>
      <c r="EKU368" s="38"/>
      <c r="EKV368" s="38"/>
      <c r="EKW368" s="39"/>
      <c r="EKX368" s="34"/>
      <c r="EKY368" s="34"/>
      <c r="EKZ368" s="34"/>
      <c r="ELA368" s="35"/>
      <c r="ELB368" s="35"/>
      <c r="ELC368" s="35"/>
      <c r="ELD368" s="35"/>
      <c r="ELE368" s="35"/>
      <c r="ELF368" s="34"/>
      <c r="ELG368" s="34"/>
      <c r="ELH368" s="36"/>
      <c r="ELI368" s="36"/>
      <c r="ELJ368" s="37"/>
      <c r="ELK368" s="37"/>
      <c r="ELL368" s="38"/>
      <c r="ELM368" s="38"/>
      <c r="ELN368" s="39"/>
      <c r="ELO368" s="34"/>
      <c r="ELP368" s="34"/>
      <c r="ELQ368" s="34"/>
      <c r="ELR368" s="35"/>
      <c r="ELS368" s="35"/>
      <c r="ELT368" s="35"/>
      <c r="ELU368" s="35"/>
      <c r="ELV368" s="35"/>
      <c r="ELW368" s="34"/>
      <c r="ELX368" s="34"/>
      <c r="ELY368" s="36"/>
      <c r="ELZ368" s="36"/>
      <c r="EMA368" s="37"/>
      <c r="EMB368" s="37"/>
      <c r="EMC368" s="38"/>
      <c r="EMD368" s="38"/>
      <c r="EME368" s="39"/>
      <c r="EMF368" s="34"/>
      <c r="EMG368" s="34"/>
      <c r="EMH368" s="34"/>
      <c r="EMI368" s="35"/>
      <c r="EMJ368" s="35"/>
      <c r="EMK368" s="35"/>
      <c r="EML368" s="35"/>
      <c r="EMM368" s="35"/>
      <c r="EMN368" s="34"/>
      <c r="EMO368" s="34"/>
      <c r="EMP368" s="36"/>
      <c r="EMQ368" s="36"/>
      <c r="EMR368" s="37"/>
      <c r="EMS368" s="37"/>
      <c r="EMT368" s="38"/>
      <c r="EMU368" s="38"/>
      <c r="EMV368" s="39"/>
      <c r="EMW368" s="34"/>
      <c r="EMX368" s="34"/>
      <c r="EMY368" s="34"/>
      <c r="EMZ368" s="35"/>
      <c r="ENA368" s="35"/>
      <c r="ENB368" s="35"/>
      <c r="ENC368" s="35"/>
      <c r="END368" s="35"/>
      <c r="ENE368" s="34"/>
      <c r="ENF368" s="34"/>
      <c r="ENG368" s="36"/>
      <c r="ENH368" s="36"/>
      <c r="ENI368" s="37"/>
      <c r="ENJ368" s="37"/>
      <c r="ENK368" s="38"/>
      <c r="ENL368" s="38"/>
      <c r="ENM368" s="39"/>
      <c r="ENN368" s="34"/>
      <c r="ENO368" s="34"/>
      <c r="ENP368" s="34"/>
      <c r="ENQ368" s="35"/>
      <c r="ENR368" s="35"/>
      <c r="ENS368" s="35"/>
      <c r="ENT368" s="35"/>
      <c r="ENU368" s="35"/>
      <c r="ENV368" s="34"/>
      <c r="ENW368" s="34"/>
      <c r="ENX368" s="36"/>
      <c r="ENY368" s="36"/>
      <c r="ENZ368" s="37"/>
      <c r="EOA368" s="37"/>
      <c r="EOB368" s="38"/>
      <c r="EOC368" s="38"/>
      <c r="EOD368" s="39"/>
      <c r="EOE368" s="34"/>
      <c r="EOF368" s="34"/>
      <c r="EOG368" s="34"/>
      <c r="EOH368" s="35"/>
      <c r="EOI368" s="35"/>
      <c r="EOJ368" s="35"/>
      <c r="EOK368" s="35"/>
      <c r="EOL368" s="35"/>
      <c r="EOM368" s="34"/>
      <c r="EON368" s="34"/>
      <c r="EOO368" s="36"/>
      <c r="EOP368" s="36"/>
      <c r="EOQ368" s="37"/>
      <c r="EOR368" s="37"/>
      <c r="EOS368" s="38"/>
      <c r="EOT368" s="38"/>
      <c r="EOU368" s="39"/>
      <c r="EOV368" s="34"/>
      <c r="EOW368" s="34"/>
      <c r="EOX368" s="34"/>
      <c r="EOY368" s="35"/>
      <c r="EOZ368" s="35"/>
      <c r="EPA368" s="35"/>
      <c r="EPB368" s="35"/>
      <c r="EPC368" s="35"/>
      <c r="EPD368" s="34"/>
      <c r="EPE368" s="34"/>
      <c r="EPF368" s="36"/>
      <c r="EPG368" s="36"/>
      <c r="EPH368" s="37"/>
      <c r="EPI368" s="37"/>
      <c r="EPJ368" s="38"/>
      <c r="EPK368" s="38"/>
      <c r="EPL368" s="39"/>
      <c r="EPM368" s="34"/>
      <c r="EPN368" s="34"/>
      <c r="EPO368" s="34"/>
      <c r="EPP368" s="35"/>
      <c r="EPQ368" s="35"/>
      <c r="EPR368" s="35"/>
      <c r="EPS368" s="35"/>
      <c r="EPT368" s="35"/>
      <c r="EPU368" s="34"/>
      <c r="EPV368" s="34"/>
      <c r="EPW368" s="36"/>
      <c r="EPX368" s="36"/>
      <c r="EPY368" s="37"/>
      <c r="EPZ368" s="37"/>
      <c r="EQA368" s="38"/>
      <c r="EQB368" s="38"/>
      <c r="EQC368" s="39"/>
      <c r="EQD368" s="34"/>
      <c r="EQE368" s="34"/>
      <c r="EQF368" s="34"/>
      <c r="EQG368" s="35"/>
      <c r="EQH368" s="35"/>
      <c r="EQI368" s="35"/>
      <c r="EQJ368" s="35"/>
      <c r="EQK368" s="35"/>
      <c r="EQL368" s="34"/>
      <c r="EQM368" s="34"/>
      <c r="EQN368" s="36"/>
      <c r="EQO368" s="36"/>
      <c r="EQP368" s="37"/>
      <c r="EQQ368" s="37"/>
      <c r="EQR368" s="38"/>
      <c r="EQS368" s="38"/>
      <c r="EQT368" s="39"/>
      <c r="EQU368" s="34"/>
      <c r="EQV368" s="34"/>
      <c r="EQW368" s="34"/>
      <c r="EQX368" s="35"/>
      <c r="EQY368" s="35"/>
      <c r="EQZ368" s="35"/>
      <c r="ERA368" s="35"/>
      <c r="ERB368" s="35"/>
      <c r="ERC368" s="34"/>
      <c r="ERD368" s="34"/>
      <c r="ERE368" s="36"/>
      <c r="ERF368" s="36"/>
      <c r="ERG368" s="37"/>
      <c r="ERH368" s="37"/>
      <c r="ERI368" s="38"/>
      <c r="ERJ368" s="38"/>
      <c r="ERK368" s="39"/>
      <c r="ERL368" s="34"/>
      <c r="ERM368" s="34"/>
      <c r="ERN368" s="34"/>
      <c r="ERO368" s="35"/>
      <c r="ERP368" s="35"/>
      <c r="ERQ368" s="35"/>
      <c r="ERR368" s="35"/>
      <c r="ERS368" s="35"/>
      <c r="ERT368" s="34"/>
      <c r="ERU368" s="34"/>
      <c r="ERV368" s="36"/>
      <c r="ERW368" s="36"/>
      <c r="ERX368" s="37"/>
      <c r="ERY368" s="37"/>
      <c r="ERZ368" s="38"/>
      <c r="ESA368" s="38"/>
      <c r="ESB368" s="39"/>
      <c r="ESC368" s="34"/>
      <c r="ESD368" s="34"/>
      <c r="ESE368" s="34"/>
      <c r="ESF368" s="35"/>
      <c r="ESG368" s="35"/>
      <c r="ESH368" s="35"/>
      <c r="ESI368" s="35"/>
      <c r="ESJ368" s="35"/>
      <c r="ESK368" s="34"/>
      <c r="ESL368" s="34"/>
      <c r="ESM368" s="36"/>
      <c r="ESN368" s="36"/>
      <c r="ESO368" s="37"/>
      <c r="ESP368" s="37"/>
      <c r="ESQ368" s="38"/>
      <c r="ESR368" s="38"/>
      <c r="ESS368" s="39"/>
      <c r="EST368" s="34"/>
      <c r="ESU368" s="34"/>
      <c r="ESV368" s="34"/>
      <c r="ESW368" s="35"/>
      <c r="ESX368" s="35"/>
      <c r="ESY368" s="35"/>
      <c r="ESZ368" s="35"/>
      <c r="ETA368" s="35"/>
      <c r="ETB368" s="34"/>
      <c r="ETC368" s="34"/>
      <c r="ETD368" s="36"/>
      <c r="ETE368" s="36"/>
      <c r="ETF368" s="37"/>
      <c r="ETG368" s="37"/>
      <c r="ETH368" s="38"/>
      <c r="ETI368" s="38"/>
      <c r="ETJ368" s="39"/>
      <c r="ETK368" s="34"/>
      <c r="ETL368" s="34"/>
      <c r="ETM368" s="34"/>
      <c r="ETN368" s="35"/>
      <c r="ETO368" s="35"/>
      <c r="ETP368" s="35"/>
      <c r="ETQ368" s="35"/>
      <c r="ETR368" s="35"/>
      <c r="ETS368" s="34"/>
      <c r="ETT368" s="34"/>
      <c r="ETU368" s="36"/>
      <c r="ETV368" s="36"/>
      <c r="ETW368" s="37"/>
      <c r="ETX368" s="37"/>
      <c r="ETY368" s="38"/>
      <c r="ETZ368" s="38"/>
      <c r="EUA368" s="39"/>
      <c r="EUB368" s="34"/>
      <c r="EUC368" s="34"/>
      <c r="EUD368" s="34"/>
      <c r="EUE368" s="35"/>
      <c r="EUF368" s="35"/>
      <c r="EUG368" s="35"/>
      <c r="EUH368" s="35"/>
      <c r="EUI368" s="35"/>
      <c r="EUJ368" s="34"/>
      <c r="EUK368" s="34"/>
      <c r="EUL368" s="36"/>
      <c r="EUM368" s="36"/>
      <c r="EUN368" s="37"/>
      <c r="EUO368" s="37"/>
      <c r="EUP368" s="38"/>
      <c r="EUQ368" s="38"/>
      <c r="EUR368" s="39"/>
      <c r="EUS368" s="34"/>
      <c r="EUT368" s="34"/>
      <c r="EUU368" s="34"/>
      <c r="EUV368" s="35"/>
      <c r="EUW368" s="35"/>
      <c r="EUX368" s="35"/>
      <c r="EUY368" s="35"/>
      <c r="EUZ368" s="35"/>
      <c r="EVA368" s="34"/>
      <c r="EVB368" s="34"/>
      <c r="EVC368" s="36"/>
      <c r="EVD368" s="36"/>
      <c r="EVE368" s="37"/>
      <c r="EVF368" s="37"/>
      <c r="EVG368" s="38"/>
      <c r="EVH368" s="38"/>
      <c r="EVI368" s="39"/>
      <c r="EVJ368" s="34"/>
      <c r="EVK368" s="34"/>
      <c r="EVL368" s="34"/>
      <c r="EVM368" s="35"/>
      <c r="EVN368" s="35"/>
      <c r="EVO368" s="35"/>
      <c r="EVP368" s="35"/>
      <c r="EVQ368" s="35"/>
      <c r="EVR368" s="34"/>
      <c r="EVS368" s="34"/>
      <c r="EVT368" s="36"/>
      <c r="EVU368" s="36"/>
      <c r="EVV368" s="37"/>
      <c r="EVW368" s="37"/>
      <c r="EVX368" s="38"/>
      <c r="EVY368" s="38"/>
      <c r="EVZ368" s="39"/>
      <c r="EWA368" s="34"/>
      <c r="EWB368" s="34"/>
      <c r="EWC368" s="34"/>
      <c r="EWD368" s="35"/>
      <c r="EWE368" s="35"/>
      <c r="EWF368" s="35"/>
      <c r="EWG368" s="35"/>
      <c r="EWH368" s="35"/>
      <c r="EWI368" s="34"/>
      <c r="EWJ368" s="34"/>
      <c r="EWK368" s="36"/>
      <c r="EWL368" s="36"/>
      <c r="EWM368" s="37"/>
      <c r="EWN368" s="37"/>
      <c r="EWO368" s="38"/>
      <c r="EWP368" s="38"/>
      <c r="EWQ368" s="39"/>
      <c r="EWR368" s="34"/>
      <c r="EWS368" s="34"/>
      <c r="EWT368" s="34"/>
      <c r="EWU368" s="35"/>
      <c r="EWV368" s="35"/>
      <c r="EWW368" s="35"/>
      <c r="EWX368" s="35"/>
      <c r="EWY368" s="35"/>
      <c r="EWZ368" s="34"/>
      <c r="EXA368" s="34"/>
      <c r="EXB368" s="36"/>
      <c r="EXC368" s="36"/>
      <c r="EXD368" s="37"/>
      <c r="EXE368" s="37"/>
      <c r="EXF368" s="38"/>
      <c r="EXG368" s="38"/>
      <c r="EXH368" s="39"/>
      <c r="EXI368" s="34"/>
      <c r="EXJ368" s="34"/>
      <c r="EXK368" s="34"/>
      <c r="EXL368" s="35"/>
      <c r="EXM368" s="35"/>
      <c r="EXN368" s="35"/>
      <c r="EXO368" s="35"/>
      <c r="EXP368" s="35"/>
      <c r="EXQ368" s="34"/>
      <c r="EXR368" s="34"/>
      <c r="EXS368" s="36"/>
      <c r="EXT368" s="36"/>
      <c r="EXU368" s="37"/>
      <c r="EXV368" s="37"/>
      <c r="EXW368" s="38"/>
      <c r="EXX368" s="38"/>
      <c r="EXY368" s="39"/>
      <c r="EXZ368" s="34"/>
      <c r="EYA368" s="34"/>
      <c r="EYB368" s="34"/>
      <c r="EYC368" s="35"/>
      <c r="EYD368" s="35"/>
      <c r="EYE368" s="35"/>
      <c r="EYF368" s="35"/>
      <c r="EYG368" s="35"/>
      <c r="EYH368" s="34"/>
      <c r="EYI368" s="34"/>
      <c r="EYJ368" s="36"/>
      <c r="EYK368" s="36"/>
      <c r="EYL368" s="37"/>
      <c r="EYM368" s="37"/>
      <c r="EYN368" s="38"/>
      <c r="EYO368" s="38"/>
      <c r="EYP368" s="39"/>
      <c r="EYQ368" s="34"/>
      <c r="EYR368" s="34"/>
      <c r="EYS368" s="34"/>
      <c r="EYT368" s="35"/>
      <c r="EYU368" s="35"/>
      <c r="EYV368" s="35"/>
      <c r="EYW368" s="35"/>
      <c r="EYX368" s="35"/>
      <c r="EYY368" s="34"/>
      <c r="EYZ368" s="34"/>
      <c r="EZA368" s="36"/>
      <c r="EZB368" s="36"/>
      <c r="EZC368" s="37"/>
      <c r="EZD368" s="37"/>
      <c r="EZE368" s="38"/>
      <c r="EZF368" s="38"/>
      <c r="EZG368" s="39"/>
      <c r="EZH368" s="34"/>
      <c r="EZI368" s="34"/>
      <c r="EZJ368" s="34"/>
      <c r="EZK368" s="35"/>
      <c r="EZL368" s="35"/>
      <c r="EZM368" s="35"/>
      <c r="EZN368" s="35"/>
      <c r="EZO368" s="35"/>
      <c r="EZP368" s="34"/>
      <c r="EZQ368" s="34"/>
      <c r="EZR368" s="36"/>
      <c r="EZS368" s="36"/>
      <c r="EZT368" s="37"/>
      <c r="EZU368" s="37"/>
      <c r="EZV368" s="38"/>
      <c r="EZW368" s="38"/>
      <c r="EZX368" s="39"/>
      <c r="EZY368" s="34"/>
      <c r="EZZ368" s="34"/>
      <c r="FAA368" s="34"/>
      <c r="FAB368" s="35"/>
      <c r="FAC368" s="35"/>
      <c r="FAD368" s="35"/>
      <c r="FAE368" s="35"/>
      <c r="FAF368" s="35"/>
      <c r="FAG368" s="34"/>
      <c r="FAH368" s="34"/>
      <c r="FAI368" s="36"/>
      <c r="FAJ368" s="36"/>
      <c r="FAK368" s="37"/>
      <c r="FAL368" s="37"/>
      <c r="FAM368" s="38"/>
      <c r="FAN368" s="38"/>
      <c r="FAO368" s="39"/>
      <c r="FAP368" s="34"/>
      <c r="FAQ368" s="34"/>
      <c r="FAR368" s="34"/>
      <c r="FAS368" s="35"/>
      <c r="FAT368" s="35"/>
      <c r="FAU368" s="35"/>
      <c r="FAV368" s="35"/>
      <c r="FAW368" s="35"/>
      <c r="FAX368" s="34"/>
      <c r="FAY368" s="34"/>
      <c r="FAZ368" s="36"/>
      <c r="FBA368" s="36"/>
      <c r="FBB368" s="37"/>
      <c r="FBC368" s="37"/>
      <c r="FBD368" s="38"/>
      <c r="FBE368" s="38"/>
      <c r="FBF368" s="39"/>
      <c r="FBG368" s="34"/>
      <c r="FBH368" s="34"/>
      <c r="FBI368" s="34"/>
      <c r="FBJ368" s="35"/>
      <c r="FBK368" s="35"/>
      <c r="FBL368" s="35"/>
      <c r="FBM368" s="35"/>
      <c r="FBN368" s="35"/>
      <c r="FBO368" s="34"/>
      <c r="FBP368" s="34"/>
      <c r="FBQ368" s="36"/>
      <c r="FBR368" s="36"/>
      <c r="FBS368" s="37"/>
      <c r="FBT368" s="37"/>
      <c r="FBU368" s="38"/>
      <c r="FBV368" s="38"/>
      <c r="FBW368" s="39"/>
      <c r="FBX368" s="34"/>
      <c r="FBY368" s="34"/>
      <c r="FBZ368" s="34"/>
      <c r="FCA368" s="35"/>
      <c r="FCB368" s="35"/>
      <c r="FCC368" s="35"/>
      <c r="FCD368" s="35"/>
      <c r="FCE368" s="35"/>
      <c r="FCF368" s="34"/>
      <c r="FCG368" s="34"/>
      <c r="FCH368" s="36"/>
      <c r="FCI368" s="36"/>
      <c r="FCJ368" s="37"/>
      <c r="FCK368" s="37"/>
      <c r="FCL368" s="38"/>
      <c r="FCM368" s="38"/>
      <c r="FCN368" s="39"/>
      <c r="FCO368" s="34"/>
      <c r="FCP368" s="34"/>
      <c r="FCQ368" s="34"/>
      <c r="FCR368" s="35"/>
      <c r="FCS368" s="35"/>
      <c r="FCT368" s="35"/>
      <c r="FCU368" s="35"/>
      <c r="FCV368" s="35"/>
      <c r="FCW368" s="34"/>
      <c r="FCX368" s="34"/>
      <c r="FCY368" s="36"/>
      <c r="FCZ368" s="36"/>
      <c r="FDA368" s="37"/>
      <c r="FDB368" s="37"/>
      <c r="FDC368" s="38"/>
      <c r="FDD368" s="38"/>
      <c r="FDE368" s="39"/>
      <c r="FDF368" s="34"/>
      <c r="FDG368" s="34"/>
      <c r="FDH368" s="34"/>
      <c r="FDI368" s="35"/>
      <c r="FDJ368" s="35"/>
      <c r="FDK368" s="35"/>
      <c r="FDL368" s="35"/>
      <c r="FDM368" s="35"/>
      <c r="FDN368" s="34"/>
      <c r="FDO368" s="34"/>
      <c r="FDP368" s="36"/>
      <c r="FDQ368" s="36"/>
      <c r="FDR368" s="37"/>
      <c r="FDS368" s="37"/>
      <c r="FDT368" s="38"/>
      <c r="FDU368" s="38"/>
      <c r="FDV368" s="39"/>
      <c r="FDW368" s="34"/>
      <c r="FDX368" s="34"/>
      <c r="FDY368" s="34"/>
      <c r="FDZ368" s="35"/>
      <c r="FEA368" s="35"/>
      <c r="FEB368" s="35"/>
      <c r="FEC368" s="35"/>
      <c r="FED368" s="35"/>
      <c r="FEE368" s="34"/>
      <c r="FEF368" s="34"/>
      <c r="FEG368" s="36"/>
      <c r="FEH368" s="36"/>
      <c r="FEI368" s="37"/>
      <c r="FEJ368" s="37"/>
      <c r="FEK368" s="38"/>
      <c r="FEL368" s="38"/>
      <c r="FEM368" s="39"/>
      <c r="FEN368" s="34"/>
      <c r="FEO368" s="34"/>
      <c r="FEP368" s="34"/>
      <c r="FEQ368" s="35"/>
      <c r="FER368" s="35"/>
      <c r="FES368" s="35"/>
      <c r="FET368" s="35"/>
      <c r="FEU368" s="35"/>
      <c r="FEV368" s="34"/>
      <c r="FEW368" s="34"/>
      <c r="FEX368" s="36"/>
      <c r="FEY368" s="36"/>
      <c r="FEZ368" s="37"/>
      <c r="FFA368" s="37"/>
      <c r="FFB368" s="38"/>
      <c r="FFC368" s="38"/>
      <c r="FFD368" s="39"/>
      <c r="FFE368" s="34"/>
      <c r="FFF368" s="34"/>
      <c r="FFG368" s="34"/>
      <c r="FFH368" s="35"/>
      <c r="FFI368" s="35"/>
      <c r="FFJ368" s="35"/>
      <c r="FFK368" s="35"/>
      <c r="FFL368" s="35"/>
      <c r="FFM368" s="34"/>
      <c r="FFN368" s="34"/>
      <c r="FFO368" s="36"/>
      <c r="FFP368" s="36"/>
      <c r="FFQ368" s="37"/>
      <c r="FFR368" s="37"/>
      <c r="FFS368" s="38"/>
      <c r="FFT368" s="38"/>
      <c r="FFU368" s="39"/>
      <c r="FFV368" s="34"/>
      <c r="FFW368" s="34"/>
      <c r="FFX368" s="34"/>
      <c r="FFY368" s="35"/>
      <c r="FFZ368" s="35"/>
      <c r="FGA368" s="35"/>
      <c r="FGB368" s="35"/>
      <c r="FGC368" s="35"/>
      <c r="FGD368" s="34"/>
      <c r="FGE368" s="34"/>
      <c r="FGF368" s="36"/>
      <c r="FGG368" s="36"/>
      <c r="FGH368" s="37"/>
      <c r="FGI368" s="37"/>
      <c r="FGJ368" s="38"/>
      <c r="FGK368" s="38"/>
      <c r="FGL368" s="39"/>
      <c r="FGM368" s="34"/>
      <c r="FGN368" s="34"/>
      <c r="FGO368" s="34"/>
      <c r="FGP368" s="35"/>
      <c r="FGQ368" s="35"/>
      <c r="FGR368" s="35"/>
      <c r="FGS368" s="35"/>
      <c r="FGT368" s="35"/>
      <c r="FGU368" s="34"/>
      <c r="FGV368" s="34"/>
      <c r="FGW368" s="36"/>
      <c r="FGX368" s="36"/>
      <c r="FGY368" s="37"/>
      <c r="FGZ368" s="37"/>
      <c r="FHA368" s="38"/>
      <c r="FHB368" s="38"/>
      <c r="FHC368" s="39"/>
      <c r="FHD368" s="34"/>
      <c r="FHE368" s="34"/>
      <c r="FHF368" s="34"/>
      <c r="FHG368" s="35"/>
      <c r="FHH368" s="35"/>
      <c r="FHI368" s="35"/>
      <c r="FHJ368" s="35"/>
      <c r="FHK368" s="35"/>
      <c r="FHL368" s="34"/>
      <c r="FHM368" s="34"/>
      <c r="FHN368" s="36"/>
      <c r="FHO368" s="36"/>
      <c r="FHP368" s="37"/>
      <c r="FHQ368" s="37"/>
      <c r="FHR368" s="38"/>
      <c r="FHS368" s="38"/>
      <c r="FHT368" s="39"/>
      <c r="FHU368" s="34"/>
      <c r="FHV368" s="34"/>
      <c r="FHW368" s="34"/>
      <c r="FHX368" s="35"/>
      <c r="FHY368" s="35"/>
      <c r="FHZ368" s="35"/>
      <c r="FIA368" s="35"/>
      <c r="FIB368" s="35"/>
      <c r="FIC368" s="34"/>
      <c r="FID368" s="34"/>
      <c r="FIE368" s="36"/>
      <c r="FIF368" s="36"/>
      <c r="FIG368" s="37"/>
      <c r="FIH368" s="37"/>
      <c r="FII368" s="38"/>
      <c r="FIJ368" s="38"/>
      <c r="FIK368" s="39"/>
      <c r="FIL368" s="34"/>
      <c r="FIM368" s="34"/>
      <c r="FIN368" s="34"/>
      <c r="FIO368" s="35"/>
      <c r="FIP368" s="35"/>
      <c r="FIQ368" s="35"/>
      <c r="FIR368" s="35"/>
      <c r="FIS368" s="35"/>
      <c r="FIT368" s="34"/>
      <c r="FIU368" s="34"/>
      <c r="FIV368" s="36"/>
      <c r="FIW368" s="36"/>
      <c r="FIX368" s="37"/>
      <c r="FIY368" s="37"/>
      <c r="FIZ368" s="38"/>
      <c r="FJA368" s="38"/>
      <c r="FJB368" s="39"/>
      <c r="FJC368" s="34"/>
      <c r="FJD368" s="34"/>
      <c r="FJE368" s="34"/>
      <c r="FJF368" s="35"/>
      <c r="FJG368" s="35"/>
      <c r="FJH368" s="35"/>
      <c r="FJI368" s="35"/>
      <c r="FJJ368" s="35"/>
      <c r="FJK368" s="34"/>
      <c r="FJL368" s="34"/>
      <c r="FJM368" s="36"/>
      <c r="FJN368" s="36"/>
      <c r="FJO368" s="37"/>
      <c r="FJP368" s="37"/>
      <c r="FJQ368" s="38"/>
      <c r="FJR368" s="38"/>
      <c r="FJS368" s="39"/>
      <c r="FJT368" s="34"/>
      <c r="FJU368" s="34"/>
      <c r="FJV368" s="34"/>
      <c r="FJW368" s="35"/>
      <c r="FJX368" s="35"/>
      <c r="FJY368" s="35"/>
      <c r="FJZ368" s="35"/>
      <c r="FKA368" s="35"/>
      <c r="FKB368" s="34"/>
      <c r="FKC368" s="34"/>
      <c r="FKD368" s="36"/>
      <c r="FKE368" s="36"/>
      <c r="FKF368" s="37"/>
      <c r="FKG368" s="37"/>
      <c r="FKH368" s="38"/>
      <c r="FKI368" s="38"/>
      <c r="FKJ368" s="39"/>
      <c r="FKK368" s="34"/>
      <c r="FKL368" s="34"/>
      <c r="FKM368" s="34"/>
      <c r="FKN368" s="35"/>
      <c r="FKO368" s="35"/>
      <c r="FKP368" s="35"/>
      <c r="FKQ368" s="35"/>
      <c r="FKR368" s="35"/>
      <c r="FKS368" s="34"/>
      <c r="FKT368" s="34"/>
      <c r="FKU368" s="36"/>
      <c r="FKV368" s="36"/>
      <c r="FKW368" s="37"/>
      <c r="FKX368" s="37"/>
      <c r="FKY368" s="38"/>
      <c r="FKZ368" s="38"/>
      <c r="FLA368" s="39"/>
      <c r="FLB368" s="34"/>
      <c r="FLC368" s="34"/>
      <c r="FLD368" s="34"/>
      <c r="FLE368" s="35"/>
      <c r="FLF368" s="35"/>
      <c r="FLG368" s="35"/>
      <c r="FLH368" s="35"/>
      <c r="FLI368" s="35"/>
      <c r="FLJ368" s="34"/>
      <c r="FLK368" s="34"/>
      <c r="FLL368" s="36"/>
      <c r="FLM368" s="36"/>
      <c r="FLN368" s="37"/>
      <c r="FLO368" s="37"/>
      <c r="FLP368" s="38"/>
      <c r="FLQ368" s="38"/>
      <c r="FLR368" s="39"/>
      <c r="FLS368" s="34"/>
      <c r="FLT368" s="34"/>
      <c r="FLU368" s="34"/>
      <c r="FLV368" s="35"/>
      <c r="FLW368" s="35"/>
      <c r="FLX368" s="35"/>
      <c r="FLY368" s="35"/>
      <c r="FLZ368" s="35"/>
      <c r="FMA368" s="34"/>
      <c r="FMB368" s="34"/>
      <c r="FMC368" s="36"/>
      <c r="FMD368" s="36"/>
      <c r="FME368" s="37"/>
      <c r="FMF368" s="37"/>
      <c r="FMG368" s="38"/>
      <c r="FMH368" s="38"/>
      <c r="FMI368" s="39"/>
      <c r="FMJ368" s="34"/>
      <c r="FMK368" s="34"/>
      <c r="FML368" s="34"/>
      <c r="FMM368" s="35"/>
      <c r="FMN368" s="35"/>
      <c r="FMO368" s="35"/>
      <c r="FMP368" s="35"/>
      <c r="FMQ368" s="35"/>
      <c r="FMR368" s="34"/>
      <c r="FMS368" s="34"/>
      <c r="FMT368" s="36"/>
      <c r="FMU368" s="36"/>
      <c r="FMV368" s="37"/>
      <c r="FMW368" s="37"/>
      <c r="FMX368" s="38"/>
      <c r="FMY368" s="38"/>
      <c r="FMZ368" s="39"/>
      <c r="FNA368" s="34"/>
      <c r="FNB368" s="34"/>
      <c r="FNC368" s="34"/>
      <c r="FND368" s="35"/>
      <c r="FNE368" s="35"/>
      <c r="FNF368" s="35"/>
      <c r="FNG368" s="35"/>
      <c r="FNH368" s="35"/>
      <c r="FNI368" s="34"/>
      <c r="FNJ368" s="34"/>
      <c r="FNK368" s="36"/>
      <c r="FNL368" s="36"/>
      <c r="FNM368" s="37"/>
      <c r="FNN368" s="37"/>
      <c r="FNO368" s="38"/>
      <c r="FNP368" s="38"/>
      <c r="FNQ368" s="39"/>
      <c r="FNR368" s="34"/>
      <c r="FNS368" s="34"/>
      <c r="FNT368" s="34"/>
      <c r="FNU368" s="35"/>
      <c r="FNV368" s="35"/>
      <c r="FNW368" s="35"/>
      <c r="FNX368" s="35"/>
      <c r="FNY368" s="35"/>
      <c r="FNZ368" s="34"/>
      <c r="FOA368" s="34"/>
      <c r="FOB368" s="36"/>
      <c r="FOC368" s="36"/>
      <c r="FOD368" s="37"/>
      <c r="FOE368" s="37"/>
      <c r="FOF368" s="38"/>
      <c r="FOG368" s="38"/>
      <c r="FOH368" s="39"/>
      <c r="FOI368" s="34"/>
      <c r="FOJ368" s="34"/>
      <c r="FOK368" s="34"/>
      <c r="FOL368" s="35"/>
      <c r="FOM368" s="35"/>
      <c r="FON368" s="35"/>
      <c r="FOO368" s="35"/>
      <c r="FOP368" s="35"/>
      <c r="FOQ368" s="34"/>
      <c r="FOR368" s="34"/>
      <c r="FOS368" s="36"/>
      <c r="FOT368" s="36"/>
      <c r="FOU368" s="37"/>
      <c r="FOV368" s="37"/>
      <c r="FOW368" s="38"/>
      <c r="FOX368" s="38"/>
      <c r="FOY368" s="39"/>
      <c r="FOZ368" s="34"/>
      <c r="FPA368" s="34"/>
      <c r="FPB368" s="34"/>
      <c r="FPC368" s="35"/>
      <c r="FPD368" s="35"/>
      <c r="FPE368" s="35"/>
      <c r="FPF368" s="35"/>
      <c r="FPG368" s="35"/>
      <c r="FPH368" s="34"/>
      <c r="FPI368" s="34"/>
      <c r="FPJ368" s="36"/>
      <c r="FPK368" s="36"/>
      <c r="FPL368" s="37"/>
      <c r="FPM368" s="37"/>
      <c r="FPN368" s="38"/>
      <c r="FPO368" s="38"/>
      <c r="FPP368" s="39"/>
      <c r="FPQ368" s="34"/>
      <c r="FPR368" s="34"/>
      <c r="FPS368" s="34"/>
      <c r="FPT368" s="35"/>
      <c r="FPU368" s="35"/>
      <c r="FPV368" s="35"/>
      <c r="FPW368" s="35"/>
      <c r="FPX368" s="35"/>
      <c r="FPY368" s="34"/>
      <c r="FPZ368" s="34"/>
      <c r="FQA368" s="36"/>
      <c r="FQB368" s="36"/>
      <c r="FQC368" s="37"/>
      <c r="FQD368" s="37"/>
      <c r="FQE368" s="38"/>
      <c r="FQF368" s="38"/>
      <c r="FQG368" s="39"/>
      <c r="FQH368" s="34"/>
      <c r="FQI368" s="34"/>
      <c r="FQJ368" s="34"/>
      <c r="FQK368" s="35"/>
      <c r="FQL368" s="35"/>
      <c r="FQM368" s="35"/>
      <c r="FQN368" s="35"/>
      <c r="FQO368" s="35"/>
      <c r="FQP368" s="34"/>
      <c r="FQQ368" s="34"/>
      <c r="FQR368" s="36"/>
      <c r="FQS368" s="36"/>
      <c r="FQT368" s="37"/>
      <c r="FQU368" s="37"/>
      <c r="FQV368" s="38"/>
      <c r="FQW368" s="38"/>
      <c r="FQX368" s="39"/>
      <c r="FQY368" s="34"/>
      <c r="FQZ368" s="34"/>
      <c r="FRA368" s="34"/>
      <c r="FRB368" s="35"/>
      <c r="FRC368" s="35"/>
      <c r="FRD368" s="35"/>
      <c r="FRE368" s="35"/>
      <c r="FRF368" s="35"/>
      <c r="FRG368" s="34"/>
      <c r="FRH368" s="34"/>
      <c r="FRI368" s="36"/>
      <c r="FRJ368" s="36"/>
      <c r="FRK368" s="37"/>
      <c r="FRL368" s="37"/>
      <c r="FRM368" s="38"/>
      <c r="FRN368" s="38"/>
      <c r="FRO368" s="39"/>
      <c r="FRP368" s="34"/>
      <c r="FRQ368" s="34"/>
      <c r="FRR368" s="34"/>
      <c r="FRS368" s="35"/>
      <c r="FRT368" s="35"/>
      <c r="FRU368" s="35"/>
      <c r="FRV368" s="35"/>
      <c r="FRW368" s="35"/>
      <c r="FRX368" s="34"/>
      <c r="FRY368" s="34"/>
      <c r="FRZ368" s="36"/>
      <c r="FSA368" s="36"/>
      <c r="FSB368" s="37"/>
      <c r="FSC368" s="37"/>
      <c r="FSD368" s="38"/>
      <c r="FSE368" s="38"/>
      <c r="FSF368" s="39"/>
      <c r="FSG368" s="34"/>
      <c r="FSH368" s="34"/>
      <c r="FSI368" s="34"/>
      <c r="FSJ368" s="35"/>
      <c r="FSK368" s="35"/>
      <c r="FSL368" s="35"/>
      <c r="FSM368" s="35"/>
      <c r="FSN368" s="35"/>
      <c r="FSO368" s="34"/>
      <c r="FSP368" s="34"/>
      <c r="FSQ368" s="36"/>
      <c r="FSR368" s="36"/>
      <c r="FSS368" s="37"/>
      <c r="FST368" s="37"/>
      <c r="FSU368" s="38"/>
      <c r="FSV368" s="38"/>
      <c r="FSW368" s="39"/>
      <c r="FSX368" s="34"/>
      <c r="FSY368" s="34"/>
      <c r="FSZ368" s="34"/>
      <c r="FTA368" s="35"/>
      <c r="FTB368" s="35"/>
      <c r="FTC368" s="35"/>
      <c r="FTD368" s="35"/>
      <c r="FTE368" s="35"/>
      <c r="FTF368" s="34"/>
      <c r="FTG368" s="34"/>
      <c r="FTH368" s="36"/>
      <c r="FTI368" s="36"/>
      <c r="FTJ368" s="37"/>
      <c r="FTK368" s="37"/>
      <c r="FTL368" s="38"/>
      <c r="FTM368" s="38"/>
      <c r="FTN368" s="39"/>
      <c r="FTO368" s="34"/>
      <c r="FTP368" s="34"/>
      <c r="FTQ368" s="34"/>
      <c r="FTR368" s="35"/>
      <c r="FTS368" s="35"/>
      <c r="FTT368" s="35"/>
      <c r="FTU368" s="35"/>
      <c r="FTV368" s="35"/>
      <c r="FTW368" s="34"/>
      <c r="FTX368" s="34"/>
      <c r="FTY368" s="36"/>
      <c r="FTZ368" s="36"/>
      <c r="FUA368" s="37"/>
      <c r="FUB368" s="37"/>
      <c r="FUC368" s="38"/>
      <c r="FUD368" s="38"/>
      <c r="FUE368" s="39"/>
      <c r="FUF368" s="34"/>
      <c r="FUG368" s="34"/>
      <c r="FUH368" s="34"/>
      <c r="FUI368" s="35"/>
      <c r="FUJ368" s="35"/>
      <c r="FUK368" s="35"/>
      <c r="FUL368" s="35"/>
      <c r="FUM368" s="35"/>
      <c r="FUN368" s="34"/>
      <c r="FUO368" s="34"/>
      <c r="FUP368" s="36"/>
      <c r="FUQ368" s="36"/>
      <c r="FUR368" s="37"/>
      <c r="FUS368" s="37"/>
      <c r="FUT368" s="38"/>
      <c r="FUU368" s="38"/>
      <c r="FUV368" s="39"/>
      <c r="FUW368" s="34"/>
      <c r="FUX368" s="34"/>
      <c r="FUY368" s="34"/>
      <c r="FUZ368" s="35"/>
      <c r="FVA368" s="35"/>
      <c r="FVB368" s="35"/>
      <c r="FVC368" s="35"/>
      <c r="FVD368" s="35"/>
      <c r="FVE368" s="34"/>
      <c r="FVF368" s="34"/>
      <c r="FVG368" s="36"/>
      <c r="FVH368" s="36"/>
      <c r="FVI368" s="37"/>
      <c r="FVJ368" s="37"/>
      <c r="FVK368" s="38"/>
      <c r="FVL368" s="38"/>
      <c r="FVM368" s="39"/>
      <c r="FVN368" s="34"/>
      <c r="FVO368" s="34"/>
      <c r="FVP368" s="34"/>
      <c r="FVQ368" s="35"/>
      <c r="FVR368" s="35"/>
      <c r="FVS368" s="35"/>
      <c r="FVT368" s="35"/>
      <c r="FVU368" s="35"/>
      <c r="FVV368" s="34"/>
      <c r="FVW368" s="34"/>
      <c r="FVX368" s="36"/>
      <c r="FVY368" s="36"/>
      <c r="FVZ368" s="37"/>
      <c r="FWA368" s="37"/>
      <c r="FWB368" s="38"/>
      <c r="FWC368" s="38"/>
      <c r="FWD368" s="39"/>
      <c r="FWE368" s="34"/>
      <c r="FWF368" s="34"/>
      <c r="FWG368" s="34"/>
      <c r="FWH368" s="35"/>
      <c r="FWI368" s="35"/>
      <c r="FWJ368" s="35"/>
      <c r="FWK368" s="35"/>
      <c r="FWL368" s="35"/>
      <c r="FWM368" s="34"/>
      <c r="FWN368" s="34"/>
      <c r="FWO368" s="36"/>
      <c r="FWP368" s="36"/>
      <c r="FWQ368" s="37"/>
      <c r="FWR368" s="37"/>
      <c r="FWS368" s="38"/>
      <c r="FWT368" s="38"/>
      <c r="FWU368" s="39"/>
      <c r="FWV368" s="34"/>
      <c r="FWW368" s="34"/>
      <c r="FWX368" s="34"/>
      <c r="FWY368" s="35"/>
      <c r="FWZ368" s="35"/>
      <c r="FXA368" s="35"/>
      <c r="FXB368" s="35"/>
      <c r="FXC368" s="35"/>
      <c r="FXD368" s="34"/>
      <c r="FXE368" s="34"/>
      <c r="FXF368" s="36"/>
      <c r="FXG368" s="36"/>
      <c r="FXH368" s="37"/>
      <c r="FXI368" s="37"/>
      <c r="FXJ368" s="38"/>
      <c r="FXK368" s="38"/>
      <c r="FXL368" s="39"/>
      <c r="FXM368" s="34"/>
      <c r="FXN368" s="34"/>
      <c r="FXO368" s="34"/>
      <c r="FXP368" s="35"/>
      <c r="FXQ368" s="35"/>
      <c r="FXR368" s="35"/>
      <c r="FXS368" s="35"/>
      <c r="FXT368" s="35"/>
      <c r="FXU368" s="34"/>
      <c r="FXV368" s="34"/>
      <c r="FXW368" s="36"/>
      <c r="FXX368" s="36"/>
      <c r="FXY368" s="37"/>
      <c r="FXZ368" s="37"/>
      <c r="FYA368" s="38"/>
      <c r="FYB368" s="38"/>
      <c r="FYC368" s="39"/>
      <c r="FYD368" s="34"/>
      <c r="FYE368" s="34"/>
      <c r="FYF368" s="34"/>
      <c r="FYG368" s="35"/>
      <c r="FYH368" s="35"/>
      <c r="FYI368" s="35"/>
      <c r="FYJ368" s="35"/>
      <c r="FYK368" s="35"/>
      <c r="FYL368" s="34"/>
      <c r="FYM368" s="34"/>
      <c r="FYN368" s="36"/>
      <c r="FYO368" s="36"/>
      <c r="FYP368" s="37"/>
      <c r="FYQ368" s="37"/>
      <c r="FYR368" s="38"/>
      <c r="FYS368" s="38"/>
      <c r="FYT368" s="39"/>
      <c r="FYU368" s="34"/>
      <c r="FYV368" s="34"/>
      <c r="FYW368" s="34"/>
      <c r="FYX368" s="35"/>
      <c r="FYY368" s="35"/>
      <c r="FYZ368" s="35"/>
      <c r="FZA368" s="35"/>
      <c r="FZB368" s="35"/>
      <c r="FZC368" s="34"/>
      <c r="FZD368" s="34"/>
      <c r="FZE368" s="36"/>
      <c r="FZF368" s="36"/>
      <c r="FZG368" s="37"/>
      <c r="FZH368" s="37"/>
      <c r="FZI368" s="38"/>
      <c r="FZJ368" s="38"/>
      <c r="FZK368" s="39"/>
      <c r="FZL368" s="34"/>
      <c r="FZM368" s="34"/>
      <c r="FZN368" s="34"/>
      <c r="FZO368" s="35"/>
      <c r="FZP368" s="35"/>
      <c r="FZQ368" s="35"/>
      <c r="FZR368" s="35"/>
      <c r="FZS368" s="35"/>
      <c r="FZT368" s="34"/>
      <c r="FZU368" s="34"/>
      <c r="FZV368" s="36"/>
      <c r="FZW368" s="36"/>
      <c r="FZX368" s="37"/>
      <c r="FZY368" s="37"/>
      <c r="FZZ368" s="38"/>
      <c r="GAA368" s="38"/>
      <c r="GAB368" s="39"/>
      <c r="GAC368" s="34"/>
      <c r="GAD368" s="34"/>
      <c r="GAE368" s="34"/>
      <c r="GAF368" s="35"/>
      <c r="GAG368" s="35"/>
      <c r="GAH368" s="35"/>
      <c r="GAI368" s="35"/>
      <c r="GAJ368" s="35"/>
      <c r="GAK368" s="34"/>
      <c r="GAL368" s="34"/>
      <c r="GAM368" s="36"/>
      <c r="GAN368" s="36"/>
      <c r="GAO368" s="37"/>
      <c r="GAP368" s="37"/>
      <c r="GAQ368" s="38"/>
      <c r="GAR368" s="38"/>
      <c r="GAS368" s="39"/>
      <c r="GAT368" s="34"/>
      <c r="GAU368" s="34"/>
      <c r="GAV368" s="34"/>
      <c r="GAW368" s="35"/>
      <c r="GAX368" s="35"/>
      <c r="GAY368" s="35"/>
      <c r="GAZ368" s="35"/>
      <c r="GBA368" s="35"/>
      <c r="GBB368" s="34"/>
      <c r="GBC368" s="34"/>
      <c r="GBD368" s="36"/>
      <c r="GBE368" s="36"/>
      <c r="GBF368" s="37"/>
      <c r="GBG368" s="37"/>
      <c r="GBH368" s="38"/>
      <c r="GBI368" s="38"/>
      <c r="GBJ368" s="39"/>
      <c r="GBK368" s="34"/>
      <c r="GBL368" s="34"/>
      <c r="GBM368" s="34"/>
      <c r="GBN368" s="35"/>
      <c r="GBO368" s="35"/>
      <c r="GBP368" s="35"/>
      <c r="GBQ368" s="35"/>
      <c r="GBR368" s="35"/>
      <c r="GBS368" s="34"/>
      <c r="GBT368" s="34"/>
      <c r="GBU368" s="36"/>
      <c r="GBV368" s="36"/>
      <c r="GBW368" s="37"/>
      <c r="GBX368" s="37"/>
      <c r="GBY368" s="38"/>
      <c r="GBZ368" s="38"/>
      <c r="GCA368" s="39"/>
      <c r="GCB368" s="34"/>
      <c r="GCC368" s="34"/>
      <c r="GCD368" s="34"/>
      <c r="GCE368" s="35"/>
      <c r="GCF368" s="35"/>
      <c r="GCG368" s="35"/>
      <c r="GCH368" s="35"/>
      <c r="GCI368" s="35"/>
      <c r="GCJ368" s="34"/>
      <c r="GCK368" s="34"/>
      <c r="GCL368" s="36"/>
      <c r="GCM368" s="36"/>
      <c r="GCN368" s="37"/>
      <c r="GCO368" s="37"/>
      <c r="GCP368" s="38"/>
      <c r="GCQ368" s="38"/>
      <c r="GCR368" s="39"/>
      <c r="GCS368" s="34"/>
      <c r="GCT368" s="34"/>
      <c r="GCU368" s="34"/>
      <c r="GCV368" s="35"/>
      <c r="GCW368" s="35"/>
      <c r="GCX368" s="35"/>
      <c r="GCY368" s="35"/>
      <c r="GCZ368" s="35"/>
      <c r="GDA368" s="34"/>
      <c r="GDB368" s="34"/>
      <c r="GDC368" s="36"/>
      <c r="GDD368" s="36"/>
      <c r="GDE368" s="37"/>
      <c r="GDF368" s="37"/>
      <c r="GDG368" s="38"/>
      <c r="GDH368" s="38"/>
      <c r="GDI368" s="39"/>
      <c r="GDJ368" s="34"/>
      <c r="GDK368" s="34"/>
      <c r="GDL368" s="34"/>
      <c r="GDM368" s="35"/>
      <c r="GDN368" s="35"/>
      <c r="GDO368" s="35"/>
      <c r="GDP368" s="35"/>
      <c r="GDQ368" s="35"/>
      <c r="GDR368" s="34"/>
      <c r="GDS368" s="34"/>
      <c r="GDT368" s="36"/>
      <c r="GDU368" s="36"/>
      <c r="GDV368" s="37"/>
      <c r="GDW368" s="37"/>
      <c r="GDX368" s="38"/>
      <c r="GDY368" s="38"/>
      <c r="GDZ368" s="39"/>
      <c r="GEA368" s="34"/>
      <c r="GEB368" s="34"/>
      <c r="GEC368" s="34"/>
      <c r="GED368" s="35"/>
      <c r="GEE368" s="35"/>
      <c r="GEF368" s="35"/>
      <c r="GEG368" s="35"/>
      <c r="GEH368" s="35"/>
      <c r="GEI368" s="34"/>
      <c r="GEJ368" s="34"/>
      <c r="GEK368" s="36"/>
      <c r="GEL368" s="36"/>
      <c r="GEM368" s="37"/>
      <c r="GEN368" s="37"/>
      <c r="GEO368" s="38"/>
      <c r="GEP368" s="38"/>
      <c r="GEQ368" s="39"/>
      <c r="GER368" s="34"/>
      <c r="GES368" s="34"/>
      <c r="GET368" s="34"/>
      <c r="GEU368" s="35"/>
      <c r="GEV368" s="35"/>
      <c r="GEW368" s="35"/>
      <c r="GEX368" s="35"/>
      <c r="GEY368" s="35"/>
      <c r="GEZ368" s="34"/>
      <c r="GFA368" s="34"/>
      <c r="GFB368" s="36"/>
      <c r="GFC368" s="36"/>
      <c r="GFD368" s="37"/>
      <c r="GFE368" s="37"/>
      <c r="GFF368" s="38"/>
      <c r="GFG368" s="38"/>
      <c r="GFH368" s="39"/>
      <c r="GFI368" s="34"/>
      <c r="GFJ368" s="34"/>
      <c r="GFK368" s="34"/>
      <c r="GFL368" s="35"/>
      <c r="GFM368" s="35"/>
      <c r="GFN368" s="35"/>
      <c r="GFO368" s="35"/>
      <c r="GFP368" s="35"/>
      <c r="GFQ368" s="34"/>
      <c r="GFR368" s="34"/>
      <c r="GFS368" s="36"/>
      <c r="GFT368" s="36"/>
      <c r="GFU368" s="37"/>
      <c r="GFV368" s="37"/>
      <c r="GFW368" s="38"/>
      <c r="GFX368" s="38"/>
      <c r="GFY368" s="39"/>
      <c r="GFZ368" s="34"/>
      <c r="GGA368" s="34"/>
      <c r="GGB368" s="34"/>
      <c r="GGC368" s="35"/>
      <c r="GGD368" s="35"/>
      <c r="GGE368" s="35"/>
      <c r="GGF368" s="35"/>
      <c r="GGG368" s="35"/>
      <c r="GGH368" s="34"/>
      <c r="GGI368" s="34"/>
      <c r="GGJ368" s="36"/>
      <c r="GGK368" s="36"/>
      <c r="GGL368" s="37"/>
      <c r="GGM368" s="37"/>
      <c r="GGN368" s="38"/>
      <c r="GGO368" s="38"/>
      <c r="GGP368" s="39"/>
      <c r="GGQ368" s="34"/>
      <c r="GGR368" s="34"/>
      <c r="GGS368" s="34"/>
      <c r="GGT368" s="35"/>
      <c r="GGU368" s="35"/>
      <c r="GGV368" s="35"/>
      <c r="GGW368" s="35"/>
      <c r="GGX368" s="35"/>
      <c r="GGY368" s="34"/>
      <c r="GGZ368" s="34"/>
      <c r="GHA368" s="36"/>
      <c r="GHB368" s="36"/>
      <c r="GHC368" s="37"/>
      <c r="GHD368" s="37"/>
      <c r="GHE368" s="38"/>
      <c r="GHF368" s="38"/>
      <c r="GHG368" s="39"/>
      <c r="GHH368" s="34"/>
      <c r="GHI368" s="34"/>
      <c r="GHJ368" s="34"/>
      <c r="GHK368" s="35"/>
      <c r="GHL368" s="35"/>
      <c r="GHM368" s="35"/>
      <c r="GHN368" s="35"/>
      <c r="GHO368" s="35"/>
      <c r="GHP368" s="34"/>
      <c r="GHQ368" s="34"/>
      <c r="GHR368" s="36"/>
      <c r="GHS368" s="36"/>
      <c r="GHT368" s="37"/>
      <c r="GHU368" s="37"/>
      <c r="GHV368" s="38"/>
      <c r="GHW368" s="38"/>
      <c r="GHX368" s="39"/>
      <c r="GHY368" s="34"/>
      <c r="GHZ368" s="34"/>
      <c r="GIA368" s="34"/>
      <c r="GIB368" s="35"/>
      <c r="GIC368" s="35"/>
      <c r="GID368" s="35"/>
      <c r="GIE368" s="35"/>
      <c r="GIF368" s="35"/>
      <c r="GIG368" s="34"/>
      <c r="GIH368" s="34"/>
      <c r="GII368" s="36"/>
      <c r="GIJ368" s="36"/>
      <c r="GIK368" s="37"/>
      <c r="GIL368" s="37"/>
      <c r="GIM368" s="38"/>
      <c r="GIN368" s="38"/>
      <c r="GIO368" s="39"/>
      <c r="GIP368" s="34"/>
      <c r="GIQ368" s="34"/>
      <c r="GIR368" s="34"/>
      <c r="GIS368" s="35"/>
      <c r="GIT368" s="35"/>
      <c r="GIU368" s="35"/>
      <c r="GIV368" s="35"/>
      <c r="GIW368" s="35"/>
      <c r="GIX368" s="34"/>
      <c r="GIY368" s="34"/>
      <c r="GIZ368" s="36"/>
      <c r="GJA368" s="36"/>
      <c r="GJB368" s="37"/>
      <c r="GJC368" s="37"/>
      <c r="GJD368" s="38"/>
      <c r="GJE368" s="38"/>
      <c r="GJF368" s="39"/>
      <c r="GJG368" s="34"/>
      <c r="GJH368" s="34"/>
      <c r="GJI368" s="34"/>
      <c r="GJJ368" s="35"/>
      <c r="GJK368" s="35"/>
      <c r="GJL368" s="35"/>
      <c r="GJM368" s="35"/>
      <c r="GJN368" s="35"/>
      <c r="GJO368" s="34"/>
      <c r="GJP368" s="34"/>
      <c r="GJQ368" s="36"/>
      <c r="GJR368" s="36"/>
      <c r="GJS368" s="37"/>
      <c r="GJT368" s="37"/>
      <c r="GJU368" s="38"/>
      <c r="GJV368" s="38"/>
      <c r="GJW368" s="39"/>
      <c r="GJX368" s="34"/>
      <c r="GJY368" s="34"/>
      <c r="GJZ368" s="34"/>
      <c r="GKA368" s="35"/>
      <c r="GKB368" s="35"/>
      <c r="GKC368" s="35"/>
      <c r="GKD368" s="35"/>
      <c r="GKE368" s="35"/>
      <c r="GKF368" s="34"/>
      <c r="GKG368" s="34"/>
      <c r="GKH368" s="36"/>
      <c r="GKI368" s="36"/>
      <c r="GKJ368" s="37"/>
      <c r="GKK368" s="37"/>
      <c r="GKL368" s="38"/>
      <c r="GKM368" s="38"/>
      <c r="GKN368" s="39"/>
      <c r="GKO368" s="34"/>
      <c r="GKP368" s="34"/>
      <c r="GKQ368" s="34"/>
      <c r="GKR368" s="35"/>
      <c r="GKS368" s="35"/>
      <c r="GKT368" s="35"/>
      <c r="GKU368" s="35"/>
      <c r="GKV368" s="35"/>
      <c r="GKW368" s="34"/>
      <c r="GKX368" s="34"/>
      <c r="GKY368" s="36"/>
      <c r="GKZ368" s="36"/>
      <c r="GLA368" s="37"/>
      <c r="GLB368" s="37"/>
      <c r="GLC368" s="38"/>
      <c r="GLD368" s="38"/>
      <c r="GLE368" s="39"/>
      <c r="GLF368" s="34"/>
      <c r="GLG368" s="34"/>
      <c r="GLH368" s="34"/>
      <c r="GLI368" s="35"/>
      <c r="GLJ368" s="35"/>
      <c r="GLK368" s="35"/>
      <c r="GLL368" s="35"/>
      <c r="GLM368" s="35"/>
      <c r="GLN368" s="34"/>
      <c r="GLO368" s="34"/>
      <c r="GLP368" s="36"/>
      <c r="GLQ368" s="36"/>
      <c r="GLR368" s="37"/>
      <c r="GLS368" s="37"/>
      <c r="GLT368" s="38"/>
      <c r="GLU368" s="38"/>
      <c r="GLV368" s="39"/>
      <c r="GLW368" s="34"/>
      <c r="GLX368" s="34"/>
      <c r="GLY368" s="34"/>
      <c r="GLZ368" s="35"/>
      <c r="GMA368" s="35"/>
      <c r="GMB368" s="35"/>
      <c r="GMC368" s="35"/>
      <c r="GMD368" s="35"/>
      <c r="GME368" s="34"/>
      <c r="GMF368" s="34"/>
      <c r="GMG368" s="36"/>
      <c r="GMH368" s="36"/>
      <c r="GMI368" s="37"/>
      <c r="GMJ368" s="37"/>
      <c r="GMK368" s="38"/>
      <c r="GML368" s="38"/>
      <c r="GMM368" s="39"/>
      <c r="GMN368" s="34"/>
      <c r="GMO368" s="34"/>
      <c r="GMP368" s="34"/>
      <c r="GMQ368" s="35"/>
      <c r="GMR368" s="35"/>
      <c r="GMS368" s="35"/>
      <c r="GMT368" s="35"/>
      <c r="GMU368" s="35"/>
      <c r="GMV368" s="34"/>
      <c r="GMW368" s="34"/>
      <c r="GMX368" s="36"/>
      <c r="GMY368" s="36"/>
      <c r="GMZ368" s="37"/>
      <c r="GNA368" s="37"/>
      <c r="GNB368" s="38"/>
      <c r="GNC368" s="38"/>
      <c r="GND368" s="39"/>
      <c r="GNE368" s="34"/>
      <c r="GNF368" s="34"/>
      <c r="GNG368" s="34"/>
      <c r="GNH368" s="35"/>
      <c r="GNI368" s="35"/>
      <c r="GNJ368" s="35"/>
      <c r="GNK368" s="35"/>
      <c r="GNL368" s="35"/>
      <c r="GNM368" s="34"/>
      <c r="GNN368" s="34"/>
      <c r="GNO368" s="36"/>
      <c r="GNP368" s="36"/>
      <c r="GNQ368" s="37"/>
      <c r="GNR368" s="37"/>
      <c r="GNS368" s="38"/>
      <c r="GNT368" s="38"/>
      <c r="GNU368" s="39"/>
      <c r="GNV368" s="34"/>
      <c r="GNW368" s="34"/>
      <c r="GNX368" s="34"/>
      <c r="GNY368" s="35"/>
      <c r="GNZ368" s="35"/>
      <c r="GOA368" s="35"/>
      <c r="GOB368" s="35"/>
      <c r="GOC368" s="35"/>
      <c r="GOD368" s="34"/>
      <c r="GOE368" s="34"/>
      <c r="GOF368" s="36"/>
      <c r="GOG368" s="36"/>
      <c r="GOH368" s="37"/>
      <c r="GOI368" s="37"/>
      <c r="GOJ368" s="38"/>
      <c r="GOK368" s="38"/>
      <c r="GOL368" s="39"/>
      <c r="GOM368" s="34"/>
      <c r="GON368" s="34"/>
      <c r="GOO368" s="34"/>
      <c r="GOP368" s="35"/>
      <c r="GOQ368" s="35"/>
      <c r="GOR368" s="35"/>
      <c r="GOS368" s="35"/>
      <c r="GOT368" s="35"/>
      <c r="GOU368" s="34"/>
      <c r="GOV368" s="34"/>
      <c r="GOW368" s="36"/>
      <c r="GOX368" s="36"/>
      <c r="GOY368" s="37"/>
      <c r="GOZ368" s="37"/>
      <c r="GPA368" s="38"/>
      <c r="GPB368" s="38"/>
      <c r="GPC368" s="39"/>
      <c r="GPD368" s="34"/>
      <c r="GPE368" s="34"/>
      <c r="GPF368" s="34"/>
      <c r="GPG368" s="35"/>
      <c r="GPH368" s="35"/>
      <c r="GPI368" s="35"/>
      <c r="GPJ368" s="35"/>
      <c r="GPK368" s="35"/>
      <c r="GPL368" s="34"/>
      <c r="GPM368" s="34"/>
      <c r="GPN368" s="36"/>
      <c r="GPO368" s="36"/>
      <c r="GPP368" s="37"/>
      <c r="GPQ368" s="37"/>
      <c r="GPR368" s="38"/>
      <c r="GPS368" s="38"/>
      <c r="GPT368" s="39"/>
      <c r="GPU368" s="34"/>
      <c r="GPV368" s="34"/>
      <c r="GPW368" s="34"/>
      <c r="GPX368" s="35"/>
      <c r="GPY368" s="35"/>
      <c r="GPZ368" s="35"/>
      <c r="GQA368" s="35"/>
      <c r="GQB368" s="35"/>
      <c r="GQC368" s="34"/>
      <c r="GQD368" s="34"/>
      <c r="GQE368" s="36"/>
      <c r="GQF368" s="36"/>
      <c r="GQG368" s="37"/>
      <c r="GQH368" s="37"/>
      <c r="GQI368" s="38"/>
      <c r="GQJ368" s="38"/>
      <c r="GQK368" s="39"/>
      <c r="GQL368" s="34"/>
      <c r="GQM368" s="34"/>
      <c r="GQN368" s="34"/>
      <c r="GQO368" s="35"/>
      <c r="GQP368" s="35"/>
      <c r="GQQ368" s="35"/>
      <c r="GQR368" s="35"/>
      <c r="GQS368" s="35"/>
      <c r="GQT368" s="34"/>
      <c r="GQU368" s="34"/>
      <c r="GQV368" s="36"/>
      <c r="GQW368" s="36"/>
      <c r="GQX368" s="37"/>
      <c r="GQY368" s="37"/>
      <c r="GQZ368" s="38"/>
      <c r="GRA368" s="38"/>
      <c r="GRB368" s="39"/>
      <c r="GRC368" s="34"/>
      <c r="GRD368" s="34"/>
      <c r="GRE368" s="34"/>
      <c r="GRF368" s="35"/>
      <c r="GRG368" s="35"/>
      <c r="GRH368" s="35"/>
      <c r="GRI368" s="35"/>
      <c r="GRJ368" s="35"/>
      <c r="GRK368" s="34"/>
      <c r="GRL368" s="34"/>
      <c r="GRM368" s="36"/>
      <c r="GRN368" s="36"/>
      <c r="GRO368" s="37"/>
      <c r="GRP368" s="37"/>
      <c r="GRQ368" s="38"/>
      <c r="GRR368" s="38"/>
      <c r="GRS368" s="39"/>
      <c r="GRT368" s="34"/>
      <c r="GRU368" s="34"/>
      <c r="GRV368" s="34"/>
      <c r="GRW368" s="35"/>
      <c r="GRX368" s="35"/>
      <c r="GRY368" s="35"/>
      <c r="GRZ368" s="35"/>
      <c r="GSA368" s="35"/>
      <c r="GSB368" s="34"/>
      <c r="GSC368" s="34"/>
      <c r="GSD368" s="36"/>
      <c r="GSE368" s="36"/>
      <c r="GSF368" s="37"/>
      <c r="GSG368" s="37"/>
      <c r="GSH368" s="38"/>
      <c r="GSI368" s="38"/>
      <c r="GSJ368" s="39"/>
      <c r="GSK368" s="34"/>
      <c r="GSL368" s="34"/>
      <c r="GSM368" s="34"/>
      <c r="GSN368" s="35"/>
      <c r="GSO368" s="35"/>
      <c r="GSP368" s="35"/>
      <c r="GSQ368" s="35"/>
      <c r="GSR368" s="35"/>
      <c r="GSS368" s="34"/>
      <c r="GST368" s="34"/>
      <c r="GSU368" s="36"/>
      <c r="GSV368" s="36"/>
      <c r="GSW368" s="37"/>
      <c r="GSX368" s="37"/>
      <c r="GSY368" s="38"/>
      <c r="GSZ368" s="38"/>
      <c r="GTA368" s="39"/>
      <c r="GTB368" s="34"/>
      <c r="GTC368" s="34"/>
      <c r="GTD368" s="34"/>
      <c r="GTE368" s="35"/>
      <c r="GTF368" s="35"/>
      <c r="GTG368" s="35"/>
      <c r="GTH368" s="35"/>
      <c r="GTI368" s="35"/>
      <c r="GTJ368" s="34"/>
      <c r="GTK368" s="34"/>
      <c r="GTL368" s="36"/>
      <c r="GTM368" s="36"/>
      <c r="GTN368" s="37"/>
      <c r="GTO368" s="37"/>
      <c r="GTP368" s="38"/>
      <c r="GTQ368" s="38"/>
      <c r="GTR368" s="39"/>
      <c r="GTS368" s="34"/>
      <c r="GTT368" s="34"/>
      <c r="GTU368" s="34"/>
      <c r="GTV368" s="35"/>
      <c r="GTW368" s="35"/>
      <c r="GTX368" s="35"/>
      <c r="GTY368" s="35"/>
      <c r="GTZ368" s="35"/>
      <c r="GUA368" s="34"/>
      <c r="GUB368" s="34"/>
      <c r="GUC368" s="36"/>
      <c r="GUD368" s="36"/>
      <c r="GUE368" s="37"/>
      <c r="GUF368" s="37"/>
      <c r="GUG368" s="38"/>
      <c r="GUH368" s="38"/>
      <c r="GUI368" s="39"/>
      <c r="GUJ368" s="34"/>
      <c r="GUK368" s="34"/>
      <c r="GUL368" s="34"/>
      <c r="GUM368" s="35"/>
      <c r="GUN368" s="35"/>
      <c r="GUO368" s="35"/>
      <c r="GUP368" s="35"/>
      <c r="GUQ368" s="35"/>
      <c r="GUR368" s="34"/>
      <c r="GUS368" s="34"/>
      <c r="GUT368" s="36"/>
      <c r="GUU368" s="36"/>
      <c r="GUV368" s="37"/>
      <c r="GUW368" s="37"/>
      <c r="GUX368" s="38"/>
      <c r="GUY368" s="38"/>
      <c r="GUZ368" s="39"/>
      <c r="GVA368" s="34"/>
      <c r="GVB368" s="34"/>
      <c r="GVC368" s="34"/>
      <c r="GVD368" s="35"/>
      <c r="GVE368" s="35"/>
      <c r="GVF368" s="35"/>
      <c r="GVG368" s="35"/>
      <c r="GVH368" s="35"/>
      <c r="GVI368" s="34"/>
      <c r="GVJ368" s="34"/>
      <c r="GVK368" s="36"/>
      <c r="GVL368" s="36"/>
      <c r="GVM368" s="37"/>
      <c r="GVN368" s="37"/>
      <c r="GVO368" s="38"/>
      <c r="GVP368" s="38"/>
      <c r="GVQ368" s="39"/>
      <c r="GVR368" s="34"/>
      <c r="GVS368" s="34"/>
      <c r="GVT368" s="34"/>
      <c r="GVU368" s="35"/>
      <c r="GVV368" s="35"/>
      <c r="GVW368" s="35"/>
      <c r="GVX368" s="35"/>
      <c r="GVY368" s="35"/>
      <c r="GVZ368" s="34"/>
      <c r="GWA368" s="34"/>
      <c r="GWB368" s="36"/>
      <c r="GWC368" s="36"/>
      <c r="GWD368" s="37"/>
      <c r="GWE368" s="37"/>
      <c r="GWF368" s="38"/>
      <c r="GWG368" s="38"/>
      <c r="GWH368" s="39"/>
      <c r="GWI368" s="34"/>
      <c r="GWJ368" s="34"/>
      <c r="GWK368" s="34"/>
      <c r="GWL368" s="35"/>
      <c r="GWM368" s="35"/>
      <c r="GWN368" s="35"/>
      <c r="GWO368" s="35"/>
      <c r="GWP368" s="35"/>
      <c r="GWQ368" s="34"/>
      <c r="GWR368" s="34"/>
      <c r="GWS368" s="36"/>
      <c r="GWT368" s="36"/>
      <c r="GWU368" s="37"/>
      <c r="GWV368" s="37"/>
      <c r="GWW368" s="38"/>
      <c r="GWX368" s="38"/>
      <c r="GWY368" s="39"/>
      <c r="GWZ368" s="34"/>
      <c r="GXA368" s="34"/>
      <c r="GXB368" s="34"/>
      <c r="GXC368" s="35"/>
      <c r="GXD368" s="35"/>
      <c r="GXE368" s="35"/>
      <c r="GXF368" s="35"/>
      <c r="GXG368" s="35"/>
      <c r="GXH368" s="34"/>
      <c r="GXI368" s="34"/>
      <c r="GXJ368" s="36"/>
      <c r="GXK368" s="36"/>
      <c r="GXL368" s="37"/>
      <c r="GXM368" s="37"/>
      <c r="GXN368" s="38"/>
      <c r="GXO368" s="38"/>
      <c r="GXP368" s="39"/>
      <c r="GXQ368" s="34"/>
      <c r="GXR368" s="34"/>
      <c r="GXS368" s="34"/>
      <c r="GXT368" s="35"/>
      <c r="GXU368" s="35"/>
      <c r="GXV368" s="35"/>
      <c r="GXW368" s="35"/>
      <c r="GXX368" s="35"/>
      <c r="GXY368" s="34"/>
      <c r="GXZ368" s="34"/>
      <c r="GYA368" s="36"/>
      <c r="GYB368" s="36"/>
      <c r="GYC368" s="37"/>
      <c r="GYD368" s="37"/>
      <c r="GYE368" s="38"/>
      <c r="GYF368" s="38"/>
      <c r="GYG368" s="39"/>
      <c r="GYH368" s="34"/>
      <c r="GYI368" s="34"/>
      <c r="GYJ368" s="34"/>
      <c r="GYK368" s="35"/>
      <c r="GYL368" s="35"/>
      <c r="GYM368" s="35"/>
      <c r="GYN368" s="35"/>
      <c r="GYO368" s="35"/>
      <c r="GYP368" s="34"/>
      <c r="GYQ368" s="34"/>
      <c r="GYR368" s="36"/>
      <c r="GYS368" s="36"/>
      <c r="GYT368" s="37"/>
      <c r="GYU368" s="37"/>
      <c r="GYV368" s="38"/>
      <c r="GYW368" s="38"/>
      <c r="GYX368" s="39"/>
      <c r="GYY368" s="34"/>
      <c r="GYZ368" s="34"/>
      <c r="GZA368" s="34"/>
      <c r="GZB368" s="35"/>
      <c r="GZC368" s="35"/>
      <c r="GZD368" s="35"/>
      <c r="GZE368" s="35"/>
      <c r="GZF368" s="35"/>
      <c r="GZG368" s="34"/>
      <c r="GZH368" s="34"/>
      <c r="GZI368" s="36"/>
      <c r="GZJ368" s="36"/>
      <c r="GZK368" s="37"/>
      <c r="GZL368" s="37"/>
      <c r="GZM368" s="38"/>
      <c r="GZN368" s="38"/>
      <c r="GZO368" s="39"/>
      <c r="GZP368" s="34"/>
      <c r="GZQ368" s="34"/>
      <c r="GZR368" s="34"/>
      <c r="GZS368" s="35"/>
      <c r="GZT368" s="35"/>
      <c r="GZU368" s="35"/>
      <c r="GZV368" s="35"/>
      <c r="GZW368" s="35"/>
      <c r="GZX368" s="34"/>
      <c r="GZY368" s="34"/>
      <c r="GZZ368" s="36"/>
      <c r="HAA368" s="36"/>
      <c r="HAB368" s="37"/>
      <c r="HAC368" s="37"/>
      <c r="HAD368" s="38"/>
      <c r="HAE368" s="38"/>
      <c r="HAF368" s="39"/>
      <c r="HAG368" s="34"/>
      <c r="HAH368" s="34"/>
      <c r="HAI368" s="34"/>
      <c r="HAJ368" s="35"/>
      <c r="HAK368" s="35"/>
      <c r="HAL368" s="35"/>
      <c r="HAM368" s="35"/>
      <c r="HAN368" s="35"/>
      <c r="HAO368" s="34"/>
      <c r="HAP368" s="34"/>
      <c r="HAQ368" s="36"/>
      <c r="HAR368" s="36"/>
      <c r="HAS368" s="37"/>
      <c r="HAT368" s="37"/>
      <c r="HAU368" s="38"/>
      <c r="HAV368" s="38"/>
      <c r="HAW368" s="39"/>
      <c r="HAX368" s="34"/>
      <c r="HAY368" s="34"/>
      <c r="HAZ368" s="34"/>
      <c r="HBA368" s="35"/>
      <c r="HBB368" s="35"/>
      <c r="HBC368" s="35"/>
      <c r="HBD368" s="35"/>
      <c r="HBE368" s="35"/>
      <c r="HBF368" s="34"/>
      <c r="HBG368" s="34"/>
      <c r="HBH368" s="36"/>
      <c r="HBI368" s="36"/>
      <c r="HBJ368" s="37"/>
      <c r="HBK368" s="37"/>
      <c r="HBL368" s="38"/>
      <c r="HBM368" s="38"/>
      <c r="HBN368" s="39"/>
      <c r="HBO368" s="34"/>
      <c r="HBP368" s="34"/>
      <c r="HBQ368" s="34"/>
      <c r="HBR368" s="35"/>
      <c r="HBS368" s="35"/>
      <c r="HBT368" s="35"/>
      <c r="HBU368" s="35"/>
      <c r="HBV368" s="35"/>
      <c r="HBW368" s="34"/>
      <c r="HBX368" s="34"/>
      <c r="HBY368" s="36"/>
      <c r="HBZ368" s="36"/>
      <c r="HCA368" s="37"/>
      <c r="HCB368" s="37"/>
      <c r="HCC368" s="38"/>
      <c r="HCD368" s="38"/>
      <c r="HCE368" s="39"/>
      <c r="HCF368" s="34"/>
      <c r="HCG368" s="34"/>
      <c r="HCH368" s="34"/>
      <c r="HCI368" s="35"/>
      <c r="HCJ368" s="35"/>
      <c r="HCK368" s="35"/>
      <c r="HCL368" s="35"/>
      <c r="HCM368" s="35"/>
      <c r="HCN368" s="34"/>
      <c r="HCO368" s="34"/>
      <c r="HCP368" s="36"/>
      <c r="HCQ368" s="36"/>
      <c r="HCR368" s="37"/>
      <c r="HCS368" s="37"/>
      <c r="HCT368" s="38"/>
      <c r="HCU368" s="38"/>
      <c r="HCV368" s="39"/>
      <c r="HCW368" s="34"/>
      <c r="HCX368" s="34"/>
      <c r="HCY368" s="34"/>
      <c r="HCZ368" s="35"/>
      <c r="HDA368" s="35"/>
      <c r="HDB368" s="35"/>
      <c r="HDC368" s="35"/>
      <c r="HDD368" s="35"/>
      <c r="HDE368" s="34"/>
      <c r="HDF368" s="34"/>
      <c r="HDG368" s="36"/>
      <c r="HDH368" s="36"/>
      <c r="HDI368" s="37"/>
      <c r="HDJ368" s="37"/>
      <c r="HDK368" s="38"/>
      <c r="HDL368" s="38"/>
      <c r="HDM368" s="39"/>
      <c r="HDN368" s="34"/>
      <c r="HDO368" s="34"/>
      <c r="HDP368" s="34"/>
      <c r="HDQ368" s="35"/>
      <c r="HDR368" s="35"/>
      <c r="HDS368" s="35"/>
      <c r="HDT368" s="35"/>
      <c r="HDU368" s="35"/>
      <c r="HDV368" s="34"/>
      <c r="HDW368" s="34"/>
      <c r="HDX368" s="36"/>
      <c r="HDY368" s="36"/>
      <c r="HDZ368" s="37"/>
      <c r="HEA368" s="37"/>
      <c r="HEB368" s="38"/>
      <c r="HEC368" s="38"/>
      <c r="HED368" s="39"/>
      <c r="HEE368" s="34"/>
      <c r="HEF368" s="34"/>
      <c r="HEG368" s="34"/>
      <c r="HEH368" s="35"/>
      <c r="HEI368" s="35"/>
      <c r="HEJ368" s="35"/>
      <c r="HEK368" s="35"/>
      <c r="HEL368" s="35"/>
      <c r="HEM368" s="34"/>
      <c r="HEN368" s="34"/>
      <c r="HEO368" s="36"/>
      <c r="HEP368" s="36"/>
      <c r="HEQ368" s="37"/>
      <c r="HER368" s="37"/>
      <c r="HES368" s="38"/>
      <c r="HET368" s="38"/>
      <c r="HEU368" s="39"/>
      <c r="HEV368" s="34"/>
      <c r="HEW368" s="34"/>
      <c r="HEX368" s="34"/>
      <c r="HEY368" s="35"/>
      <c r="HEZ368" s="35"/>
      <c r="HFA368" s="35"/>
      <c r="HFB368" s="35"/>
      <c r="HFC368" s="35"/>
      <c r="HFD368" s="34"/>
      <c r="HFE368" s="34"/>
      <c r="HFF368" s="36"/>
      <c r="HFG368" s="36"/>
      <c r="HFH368" s="37"/>
      <c r="HFI368" s="37"/>
      <c r="HFJ368" s="38"/>
      <c r="HFK368" s="38"/>
      <c r="HFL368" s="39"/>
      <c r="HFM368" s="34"/>
      <c r="HFN368" s="34"/>
      <c r="HFO368" s="34"/>
      <c r="HFP368" s="35"/>
      <c r="HFQ368" s="35"/>
      <c r="HFR368" s="35"/>
      <c r="HFS368" s="35"/>
      <c r="HFT368" s="35"/>
      <c r="HFU368" s="34"/>
      <c r="HFV368" s="34"/>
      <c r="HFW368" s="36"/>
      <c r="HFX368" s="36"/>
      <c r="HFY368" s="37"/>
      <c r="HFZ368" s="37"/>
      <c r="HGA368" s="38"/>
      <c r="HGB368" s="38"/>
      <c r="HGC368" s="39"/>
      <c r="HGD368" s="34"/>
      <c r="HGE368" s="34"/>
      <c r="HGF368" s="34"/>
      <c r="HGG368" s="35"/>
      <c r="HGH368" s="35"/>
      <c r="HGI368" s="35"/>
      <c r="HGJ368" s="35"/>
      <c r="HGK368" s="35"/>
      <c r="HGL368" s="34"/>
      <c r="HGM368" s="34"/>
      <c r="HGN368" s="36"/>
      <c r="HGO368" s="36"/>
      <c r="HGP368" s="37"/>
      <c r="HGQ368" s="37"/>
      <c r="HGR368" s="38"/>
      <c r="HGS368" s="38"/>
      <c r="HGT368" s="39"/>
      <c r="HGU368" s="34"/>
      <c r="HGV368" s="34"/>
      <c r="HGW368" s="34"/>
      <c r="HGX368" s="35"/>
      <c r="HGY368" s="35"/>
      <c r="HGZ368" s="35"/>
      <c r="HHA368" s="35"/>
      <c r="HHB368" s="35"/>
      <c r="HHC368" s="34"/>
      <c r="HHD368" s="34"/>
      <c r="HHE368" s="36"/>
      <c r="HHF368" s="36"/>
      <c r="HHG368" s="37"/>
      <c r="HHH368" s="37"/>
      <c r="HHI368" s="38"/>
      <c r="HHJ368" s="38"/>
      <c r="HHK368" s="39"/>
      <c r="HHL368" s="34"/>
      <c r="HHM368" s="34"/>
      <c r="HHN368" s="34"/>
      <c r="HHO368" s="35"/>
      <c r="HHP368" s="35"/>
      <c r="HHQ368" s="35"/>
      <c r="HHR368" s="35"/>
      <c r="HHS368" s="35"/>
      <c r="HHT368" s="34"/>
      <c r="HHU368" s="34"/>
      <c r="HHV368" s="36"/>
      <c r="HHW368" s="36"/>
      <c r="HHX368" s="37"/>
      <c r="HHY368" s="37"/>
      <c r="HHZ368" s="38"/>
      <c r="HIA368" s="38"/>
      <c r="HIB368" s="39"/>
      <c r="HIC368" s="34"/>
      <c r="HID368" s="34"/>
      <c r="HIE368" s="34"/>
      <c r="HIF368" s="35"/>
      <c r="HIG368" s="35"/>
      <c r="HIH368" s="35"/>
      <c r="HII368" s="35"/>
      <c r="HIJ368" s="35"/>
      <c r="HIK368" s="34"/>
      <c r="HIL368" s="34"/>
      <c r="HIM368" s="36"/>
      <c r="HIN368" s="36"/>
      <c r="HIO368" s="37"/>
      <c r="HIP368" s="37"/>
      <c r="HIQ368" s="38"/>
      <c r="HIR368" s="38"/>
      <c r="HIS368" s="39"/>
      <c r="HIT368" s="34"/>
      <c r="HIU368" s="34"/>
      <c r="HIV368" s="34"/>
      <c r="HIW368" s="35"/>
      <c r="HIX368" s="35"/>
      <c r="HIY368" s="35"/>
      <c r="HIZ368" s="35"/>
      <c r="HJA368" s="35"/>
      <c r="HJB368" s="34"/>
      <c r="HJC368" s="34"/>
      <c r="HJD368" s="36"/>
      <c r="HJE368" s="36"/>
      <c r="HJF368" s="37"/>
      <c r="HJG368" s="37"/>
      <c r="HJH368" s="38"/>
      <c r="HJI368" s="38"/>
      <c r="HJJ368" s="39"/>
      <c r="HJK368" s="34"/>
      <c r="HJL368" s="34"/>
      <c r="HJM368" s="34"/>
      <c r="HJN368" s="35"/>
      <c r="HJO368" s="35"/>
      <c r="HJP368" s="35"/>
      <c r="HJQ368" s="35"/>
      <c r="HJR368" s="35"/>
      <c r="HJS368" s="34"/>
      <c r="HJT368" s="34"/>
      <c r="HJU368" s="36"/>
      <c r="HJV368" s="36"/>
      <c r="HJW368" s="37"/>
      <c r="HJX368" s="37"/>
      <c r="HJY368" s="38"/>
      <c r="HJZ368" s="38"/>
      <c r="HKA368" s="39"/>
      <c r="HKB368" s="34"/>
      <c r="HKC368" s="34"/>
      <c r="HKD368" s="34"/>
      <c r="HKE368" s="35"/>
      <c r="HKF368" s="35"/>
      <c r="HKG368" s="35"/>
      <c r="HKH368" s="35"/>
      <c r="HKI368" s="35"/>
      <c r="HKJ368" s="34"/>
      <c r="HKK368" s="34"/>
      <c r="HKL368" s="36"/>
      <c r="HKM368" s="36"/>
      <c r="HKN368" s="37"/>
      <c r="HKO368" s="37"/>
      <c r="HKP368" s="38"/>
      <c r="HKQ368" s="38"/>
      <c r="HKR368" s="39"/>
      <c r="HKS368" s="34"/>
      <c r="HKT368" s="34"/>
      <c r="HKU368" s="34"/>
      <c r="HKV368" s="35"/>
      <c r="HKW368" s="35"/>
      <c r="HKX368" s="35"/>
      <c r="HKY368" s="35"/>
      <c r="HKZ368" s="35"/>
      <c r="HLA368" s="34"/>
      <c r="HLB368" s="34"/>
      <c r="HLC368" s="36"/>
      <c r="HLD368" s="36"/>
      <c r="HLE368" s="37"/>
      <c r="HLF368" s="37"/>
      <c r="HLG368" s="38"/>
      <c r="HLH368" s="38"/>
      <c r="HLI368" s="39"/>
      <c r="HLJ368" s="34"/>
      <c r="HLK368" s="34"/>
      <c r="HLL368" s="34"/>
      <c r="HLM368" s="35"/>
      <c r="HLN368" s="35"/>
      <c r="HLO368" s="35"/>
      <c r="HLP368" s="35"/>
      <c r="HLQ368" s="35"/>
      <c r="HLR368" s="34"/>
      <c r="HLS368" s="34"/>
      <c r="HLT368" s="36"/>
      <c r="HLU368" s="36"/>
      <c r="HLV368" s="37"/>
      <c r="HLW368" s="37"/>
      <c r="HLX368" s="38"/>
      <c r="HLY368" s="38"/>
      <c r="HLZ368" s="39"/>
      <c r="HMA368" s="34"/>
      <c r="HMB368" s="34"/>
      <c r="HMC368" s="34"/>
      <c r="HMD368" s="35"/>
      <c r="HME368" s="35"/>
      <c r="HMF368" s="35"/>
      <c r="HMG368" s="35"/>
      <c r="HMH368" s="35"/>
      <c r="HMI368" s="34"/>
      <c r="HMJ368" s="34"/>
      <c r="HMK368" s="36"/>
      <c r="HML368" s="36"/>
      <c r="HMM368" s="37"/>
      <c r="HMN368" s="37"/>
      <c r="HMO368" s="38"/>
      <c r="HMP368" s="38"/>
      <c r="HMQ368" s="39"/>
      <c r="HMR368" s="34"/>
      <c r="HMS368" s="34"/>
      <c r="HMT368" s="34"/>
      <c r="HMU368" s="35"/>
      <c r="HMV368" s="35"/>
      <c r="HMW368" s="35"/>
      <c r="HMX368" s="35"/>
      <c r="HMY368" s="35"/>
      <c r="HMZ368" s="34"/>
      <c r="HNA368" s="34"/>
      <c r="HNB368" s="36"/>
      <c r="HNC368" s="36"/>
      <c r="HND368" s="37"/>
      <c r="HNE368" s="37"/>
      <c r="HNF368" s="38"/>
      <c r="HNG368" s="38"/>
      <c r="HNH368" s="39"/>
      <c r="HNI368" s="34"/>
      <c r="HNJ368" s="34"/>
      <c r="HNK368" s="34"/>
      <c r="HNL368" s="35"/>
      <c r="HNM368" s="35"/>
      <c r="HNN368" s="35"/>
      <c r="HNO368" s="35"/>
      <c r="HNP368" s="35"/>
      <c r="HNQ368" s="34"/>
      <c r="HNR368" s="34"/>
      <c r="HNS368" s="36"/>
      <c r="HNT368" s="36"/>
      <c r="HNU368" s="37"/>
      <c r="HNV368" s="37"/>
      <c r="HNW368" s="38"/>
      <c r="HNX368" s="38"/>
      <c r="HNY368" s="39"/>
      <c r="HNZ368" s="34"/>
      <c r="HOA368" s="34"/>
      <c r="HOB368" s="34"/>
      <c r="HOC368" s="35"/>
      <c r="HOD368" s="35"/>
      <c r="HOE368" s="35"/>
      <c r="HOF368" s="35"/>
      <c r="HOG368" s="35"/>
      <c r="HOH368" s="34"/>
      <c r="HOI368" s="34"/>
      <c r="HOJ368" s="36"/>
      <c r="HOK368" s="36"/>
      <c r="HOL368" s="37"/>
      <c r="HOM368" s="37"/>
      <c r="HON368" s="38"/>
      <c r="HOO368" s="38"/>
      <c r="HOP368" s="39"/>
      <c r="HOQ368" s="34"/>
      <c r="HOR368" s="34"/>
      <c r="HOS368" s="34"/>
      <c r="HOT368" s="35"/>
      <c r="HOU368" s="35"/>
      <c r="HOV368" s="35"/>
      <c r="HOW368" s="35"/>
      <c r="HOX368" s="35"/>
      <c r="HOY368" s="34"/>
      <c r="HOZ368" s="34"/>
      <c r="HPA368" s="36"/>
      <c r="HPB368" s="36"/>
      <c r="HPC368" s="37"/>
      <c r="HPD368" s="37"/>
      <c r="HPE368" s="38"/>
      <c r="HPF368" s="38"/>
      <c r="HPG368" s="39"/>
      <c r="HPH368" s="34"/>
      <c r="HPI368" s="34"/>
      <c r="HPJ368" s="34"/>
      <c r="HPK368" s="35"/>
      <c r="HPL368" s="35"/>
      <c r="HPM368" s="35"/>
      <c r="HPN368" s="35"/>
      <c r="HPO368" s="35"/>
      <c r="HPP368" s="34"/>
      <c r="HPQ368" s="34"/>
      <c r="HPR368" s="36"/>
      <c r="HPS368" s="36"/>
      <c r="HPT368" s="37"/>
      <c r="HPU368" s="37"/>
      <c r="HPV368" s="38"/>
      <c r="HPW368" s="38"/>
      <c r="HPX368" s="39"/>
      <c r="HPY368" s="34"/>
      <c r="HPZ368" s="34"/>
      <c r="HQA368" s="34"/>
      <c r="HQB368" s="35"/>
      <c r="HQC368" s="35"/>
      <c r="HQD368" s="35"/>
      <c r="HQE368" s="35"/>
      <c r="HQF368" s="35"/>
      <c r="HQG368" s="34"/>
      <c r="HQH368" s="34"/>
      <c r="HQI368" s="36"/>
      <c r="HQJ368" s="36"/>
      <c r="HQK368" s="37"/>
      <c r="HQL368" s="37"/>
      <c r="HQM368" s="38"/>
      <c r="HQN368" s="38"/>
      <c r="HQO368" s="39"/>
      <c r="HQP368" s="34"/>
      <c r="HQQ368" s="34"/>
      <c r="HQR368" s="34"/>
      <c r="HQS368" s="35"/>
      <c r="HQT368" s="35"/>
      <c r="HQU368" s="35"/>
      <c r="HQV368" s="35"/>
      <c r="HQW368" s="35"/>
      <c r="HQX368" s="34"/>
      <c r="HQY368" s="34"/>
      <c r="HQZ368" s="36"/>
      <c r="HRA368" s="36"/>
      <c r="HRB368" s="37"/>
      <c r="HRC368" s="37"/>
      <c r="HRD368" s="38"/>
      <c r="HRE368" s="38"/>
      <c r="HRF368" s="39"/>
      <c r="HRG368" s="34"/>
      <c r="HRH368" s="34"/>
      <c r="HRI368" s="34"/>
      <c r="HRJ368" s="35"/>
      <c r="HRK368" s="35"/>
      <c r="HRL368" s="35"/>
      <c r="HRM368" s="35"/>
      <c r="HRN368" s="35"/>
      <c r="HRO368" s="34"/>
      <c r="HRP368" s="34"/>
      <c r="HRQ368" s="36"/>
      <c r="HRR368" s="36"/>
      <c r="HRS368" s="37"/>
      <c r="HRT368" s="37"/>
      <c r="HRU368" s="38"/>
      <c r="HRV368" s="38"/>
      <c r="HRW368" s="39"/>
      <c r="HRX368" s="34"/>
      <c r="HRY368" s="34"/>
      <c r="HRZ368" s="34"/>
      <c r="HSA368" s="35"/>
      <c r="HSB368" s="35"/>
      <c r="HSC368" s="35"/>
      <c r="HSD368" s="35"/>
      <c r="HSE368" s="35"/>
      <c r="HSF368" s="34"/>
      <c r="HSG368" s="34"/>
      <c r="HSH368" s="36"/>
      <c r="HSI368" s="36"/>
      <c r="HSJ368" s="37"/>
      <c r="HSK368" s="37"/>
      <c r="HSL368" s="38"/>
      <c r="HSM368" s="38"/>
      <c r="HSN368" s="39"/>
      <c r="HSO368" s="34"/>
      <c r="HSP368" s="34"/>
      <c r="HSQ368" s="34"/>
      <c r="HSR368" s="35"/>
      <c r="HSS368" s="35"/>
      <c r="HST368" s="35"/>
      <c r="HSU368" s="35"/>
      <c r="HSV368" s="35"/>
      <c r="HSW368" s="34"/>
      <c r="HSX368" s="34"/>
      <c r="HSY368" s="36"/>
      <c r="HSZ368" s="36"/>
      <c r="HTA368" s="37"/>
      <c r="HTB368" s="37"/>
      <c r="HTC368" s="38"/>
      <c r="HTD368" s="38"/>
      <c r="HTE368" s="39"/>
      <c r="HTF368" s="34"/>
      <c r="HTG368" s="34"/>
      <c r="HTH368" s="34"/>
      <c r="HTI368" s="35"/>
      <c r="HTJ368" s="35"/>
      <c r="HTK368" s="35"/>
      <c r="HTL368" s="35"/>
      <c r="HTM368" s="35"/>
      <c r="HTN368" s="34"/>
      <c r="HTO368" s="34"/>
      <c r="HTP368" s="36"/>
      <c r="HTQ368" s="36"/>
      <c r="HTR368" s="37"/>
      <c r="HTS368" s="37"/>
      <c r="HTT368" s="38"/>
      <c r="HTU368" s="38"/>
      <c r="HTV368" s="39"/>
      <c r="HTW368" s="34"/>
      <c r="HTX368" s="34"/>
      <c r="HTY368" s="34"/>
      <c r="HTZ368" s="35"/>
      <c r="HUA368" s="35"/>
      <c r="HUB368" s="35"/>
      <c r="HUC368" s="35"/>
      <c r="HUD368" s="35"/>
      <c r="HUE368" s="34"/>
      <c r="HUF368" s="34"/>
      <c r="HUG368" s="36"/>
      <c r="HUH368" s="36"/>
      <c r="HUI368" s="37"/>
      <c r="HUJ368" s="37"/>
      <c r="HUK368" s="38"/>
      <c r="HUL368" s="38"/>
      <c r="HUM368" s="39"/>
      <c r="HUN368" s="34"/>
      <c r="HUO368" s="34"/>
      <c r="HUP368" s="34"/>
      <c r="HUQ368" s="35"/>
      <c r="HUR368" s="35"/>
      <c r="HUS368" s="35"/>
      <c r="HUT368" s="35"/>
      <c r="HUU368" s="35"/>
      <c r="HUV368" s="34"/>
      <c r="HUW368" s="34"/>
      <c r="HUX368" s="36"/>
      <c r="HUY368" s="36"/>
      <c r="HUZ368" s="37"/>
      <c r="HVA368" s="37"/>
      <c r="HVB368" s="38"/>
      <c r="HVC368" s="38"/>
      <c r="HVD368" s="39"/>
      <c r="HVE368" s="34"/>
      <c r="HVF368" s="34"/>
      <c r="HVG368" s="34"/>
      <c r="HVH368" s="35"/>
      <c r="HVI368" s="35"/>
      <c r="HVJ368" s="35"/>
      <c r="HVK368" s="35"/>
      <c r="HVL368" s="35"/>
      <c r="HVM368" s="34"/>
      <c r="HVN368" s="34"/>
      <c r="HVO368" s="36"/>
      <c r="HVP368" s="36"/>
      <c r="HVQ368" s="37"/>
      <c r="HVR368" s="37"/>
      <c r="HVS368" s="38"/>
      <c r="HVT368" s="38"/>
      <c r="HVU368" s="39"/>
      <c r="HVV368" s="34"/>
      <c r="HVW368" s="34"/>
      <c r="HVX368" s="34"/>
      <c r="HVY368" s="35"/>
      <c r="HVZ368" s="35"/>
      <c r="HWA368" s="35"/>
      <c r="HWB368" s="35"/>
      <c r="HWC368" s="35"/>
      <c r="HWD368" s="34"/>
      <c r="HWE368" s="34"/>
      <c r="HWF368" s="36"/>
      <c r="HWG368" s="36"/>
      <c r="HWH368" s="37"/>
      <c r="HWI368" s="37"/>
      <c r="HWJ368" s="38"/>
      <c r="HWK368" s="38"/>
      <c r="HWL368" s="39"/>
      <c r="HWM368" s="34"/>
      <c r="HWN368" s="34"/>
      <c r="HWO368" s="34"/>
      <c r="HWP368" s="35"/>
      <c r="HWQ368" s="35"/>
      <c r="HWR368" s="35"/>
      <c r="HWS368" s="35"/>
      <c r="HWT368" s="35"/>
      <c r="HWU368" s="34"/>
      <c r="HWV368" s="34"/>
      <c r="HWW368" s="36"/>
      <c r="HWX368" s="36"/>
      <c r="HWY368" s="37"/>
      <c r="HWZ368" s="37"/>
      <c r="HXA368" s="38"/>
      <c r="HXB368" s="38"/>
      <c r="HXC368" s="39"/>
      <c r="HXD368" s="34"/>
      <c r="HXE368" s="34"/>
      <c r="HXF368" s="34"/>
      <c r="HXG368" s="35"/>
      <c r="HXH368" s="35"/>
      <c r="HXI368" s="35"/>
      <c r="HXJ368" s="35"/>
      <c r="HXK368" s="35"/>
      <c r="HXL368" s="34"/>
      <c r="HXM368" s="34"/>
      <c r="HXN368" s="36"/>
      <c r="HXO368" s="36"/>
      <c r="HXP368" s="37"/>
      <c r="HXQ368" s="37"/>
      <c r="HXR368" s="38"/>
      <c r="HXS368" s="38"/>
      <c r="HXT368" s="39"/>
      <c r="HXU368" s="34"/>
      <c r="HXV368" s="34"/>
      <c r="HXW368" s="34"/>
      <c r="HXX368" s="35"/>
      <c r="HXY368" s="35"/>
      <c r="HXZ368" s="35"/>
      <c r="HYA368" s="35"/>
      <c r="HYB368" s="35"/>
      <c r="HYC368" s="34"/>
      <c r="HYD368" s="34"/>
      <c r="HYE368" s="36"/>
      <c r="HYF368" s="36"/>
      <c r="HYG368" s="37"/>
      <c r="HYH368" s="37"/>
      <c r="HYI368" s="38"/>
      <c r="HYJ368" s="38"/>
      <c r="HYK368" s="39"/>
      <c r="HYL368" s="34"/>
      <c r="HYM368" s="34"/>
      <c r="HYN368" s="34"/>
      <c r="HYO368" s="35"/>
      <c r="HYP368" s="35"/>
      <c r="HYQ368" s="35"/>
      <c r="HYR368" s="35"/>
      <c r="HYS368" s="35"/>
      <c r="HYT368" s="34"/>
      <c r="HYU368" s="34"/>
      <c r="HYV368" s="36"/>
      <c r="HYW368" s="36"/>
      <c r="HYX368" s="37"/>
      <c r="HYY368" s="37"/>
      <c r="HYZ368" s="38"/>
      <c r="HZA368" s="38"/>
      <c r="HZB368" s="39"/>
      <c r="HZC368" s="34"/>
      <c r="HZD368" s="34"/>
      <c r="HZE368" s="34"/>
      <c r="HZF368" s="35"/>
      <c r="HZG368" s="35"/>
      <c r="HZH368" s="35"/>
      <c r="HZI368" s="35"/>
      <c r="HZJ368" s="35"/>
      <c r="HZK368" s="34"/>
      <c r="HZL368" s="34"/>
      <c r="HZM368" s="36"/>
      <c r="HZN368" s="36"/>
      <c r="HZO368" s="37"/>
      <c r="HZP368" s="37"/>
      <c r="HZQ368" s="38"/>
      <c r="HZR368" s="38"/>
      <c r="HZS368" s="39"/>
      <c r="HZT368" s="34"/>
      <c r="HZU368" s="34"/>
      <c r="HZV368" s="34"/>
      <c r="HZW368" s="35"/>
      <c r="HZX368" s="35"/>
      <c r="HZY368" s="35"/>
      <c r="HZZ368" s="35"/>
      <c r="IAA368" s="35"/>
      <c r="IAB368" s="34"/>
      <c r="IAC368" s="34"/>
      <c r="IAD368" s="36"/>
      <c r="IAE368" s="36"/>
      <c r="IAF368" s="37"/>
      <c r="IAG368" s="37"/>
      <c r="IAH368" s="38"/>
      <c r="IAI368" s="38"/>
      <c r="IAJ368" s="39"/>
      <c r="IAK368" s="34"/>
      <c r="IAL368" s="34"/>
      <c r="IAM368" s="34"/>
      <c r="IAN368" s="35"/>
      <c r="IAO368" s="35"/>
      <c r="IAP368" s="35"/>
      <c r="IAQ368" s="35"/>
      <c r="IAR368" s="35"/>
      <c r="IAS368" s="34"/>
      <c r="IAT368" s="34"/>
      <c r="IAU368" s="36"/>
      <c r="IAV368" s="36"/>
      <c r="IAW368" s="37"/>
      <c r="IAX368" s="37"/>
      <c r="IAY368" s="38"/>
      <c r="IAZ368" s="38"/>
      <c r="IBA368" s="39"/>
      <c r="IBB368" s="34"/>
      <c r="IBC368" s="34"/>
      <c r="IBD368" s="34"/>
      <c r="IBE368" s="35"/>
      <c r="IBF368" s="35"/>
      <c r="IBG368" s="35"/>
      <c r="IBH368" s="35"/>
      <c r="IBI368" s="35"/>
      <c r="IBJ368" s="34"/>
      <c r="IBK368" s="34"/>
      <c r="IBL368" s="36"/>
      <c r="IBM368" s="36"/>
      <c r="IBN368" s="37"/>
      <c r="IBO368" s="37"/>
      <c r="IBP368" s="38"/>
      <c r="IBQ368" s="38"/>
      <c r="IBR368" s="39"/>
      <c r="IBS368" s="34"/>
      <c r="IBT368" s="34"/>
      <c r="IBU368" s="34"/>
      <c r="IBV368" s="35"/>
      <c r="IBW368" s="35"/>
      <c r="IBX368" s="35"/>
      <c r="IBY368" s="35"/>
      <c r="IBZ368" s="35"/>
      <c r="ICA368" s="34"/>
      <c r="ICB368" s="34"/>
      <c r="ICC368" s="36"/>
      <c r="ICD368" s="36"/>
      <c r="ICE368" s="37"/>
      <c r="ICF368" s="37"/>
      <c r="ICG368" s="38"/>
      <c r="ICH368" s="38"/>
      <c r="ICI368" s="39"/>
      <c r="ICJ368" s="34"/>
      <c r="ICK368" s="34"/>
      <c r="ICL368" s="34"/>
      <c r="ICM368" s="35"/>
      <c r="ICN368" s="35"/>
      <c r="ICO368" s="35"/>
      <c r="ICP368" s="35"/>
      <c r="ICQ368" s="35"/>
      <c r="ICR368" s="34"/>
      <c r="ICS368" s="34"/>
      <c r="ICT368" s="36"/>
      <c r="ICU368" s="36"/>
      <c r="ICV368" s="37"/>
      <c r="ICW368" s="37"/>
      <c r="ICX368" s="38"/>
      <c r="ICY368" s="38"/>
      <c r="ICZ368" s="39"/>
      <c r="IDA368" s="34"/>
      <c r="IDB368" s="34"/>
      <c r="IDC368" s="34"/>
      <c r="IDD368" s="35"/>
      <c r="IDE368" s="35"/>
      <c r="IDF368" s="35"/>
      <c r="IDG368" s="35"/>
      <c r="IDH368" s="35"/>
      <c r="IDI368" s="34"/>
      <c r="IDJ368" s="34"/>
      <c r="IDK368" s="36"/>
      <c r="IDL368" s="36"/>
      <c r="IDM368" s="37"/>
      <c r="IDN368" s="37"/>
      <c r="IDO368" s="38"/>
      <c r="IDP368" s="38"/>
      <c r="IDQ368" s="39"/>
      <c r="IDR368" s="34"/>
      <c r="IDS368" s="34"/>
      <c r="IDT368" s="34"/>
      <c r="IDU368" s="35"/>
      <c r="IDV368" s="35"/>
      <c r="IDW368" s="35"/>
      <c r="IDX368" s="35"/>
      <c r="IDY368" s="35"/>
      <c r="IDZ368" s="34"/>
      <c r="IEA368" s="34"/>
      <c r="IEB368" s="36"/>
      <c r="IEC368" s="36"/>
      <c r="IED368" s="37"/>
      <c r="IEE368" s="37"/>
      <c r="IEF368" s="38"/>
      <c r="IEG368" s="38"/>
      <c r="IEH368" s="39"/>
      <c r="IEI368" s="34"/>
      <c r="IEJ368" s="34"/>
      <c r="IEK368" s="34"/>
      <c r="IEL368" s="35"/>
      <c r="IEM368" s="35"/>
      <c r="IEN368" s="35"/>
      <c r="IEO368" s="35"/>
      <c r="IEP368" s="35"/>
      <c r="IEQ368" s="34"/>
      <c r="IER368" s="34"/>
      <c r="IES368" s="36"/>
      <c r="IET368" s="36"/>
      <c r="IEU368" s="37"/>
      <c r="IEV368" s="37"/>
      <c r="IEW368" s="38"/>
      <c r="IEX368" s="38"/>
      <c r="IEY368" s="39"/>
      <c r="IEZ368" s="34"/>
      <c r="IFA368" s="34"/>
      <c r="IFB368" s="34"/>
      <c r="IFC368" s="35"/>
      <c r="IFD368" s="35"/>
      <c r="IFE368" s="35"/>
      <c r="IFF368" s="35"/>
      <c r="IFG368" s="35"/>
      <c r="IFH368" s="34"/>
      <c r="IFI368" s="34"/>
      <c r="IFJ368" s="36"/>
      <c r="IFK368" s="36"/>
      <c r="IFL368" s="37"/>
      <c r="IFM368" s="37"/>
      <c r="IFN368" s="38"/>
      <c r="IFO368" s="38"/>
      <c r="IFP368" s="39"/>
      <c r="IFQ368" s="34"/>
      <c r="IFR368" s="34"/>
      <c r="IFS368" s="34"/>
      <c r="IFT368" s="35"/>
      <c r="IFU368" s="35"/>
      <c r="IFV368" s="35"/>
      <c r="IFW368" s="35"/>
      <c r="IFX368" s="35"/>
      <c r="IFY368" s="34"/>
      <c r="IFZ368" s="34"/>
      <c r="IGA368" s="36"/>
      <c r="IGB368" s="36"/>
      <c r="IGC368" s="37"/>
      <c r="IGD368" s="37"/>
      <c r="IGE368" s="38"/>
      <c r="IGF368" s="38"/>
      <c r="IGG368" s="39"/>
      <c r="IGH368" s="34"/>
      <c r="IGI368" s="34"/>
      <c r="IGJ368" s="34"/>
      <c r="IGK368" s="35"/>
      <c r="IGL368" s="35"/>
      <c r="IGM368" s="35"/>
      <c r="IGN368" s="35"/>
      <c r="IGO368" s="35"/>
      <c r="IGP368" s="34"/>
      <c r="IGQ368" s="34"/>
      <c r="IGR368" s="36"/>
      <c r="IGS368" s="36"/>
      <c r="IGT368" s="37"/>
      <c r="IGU368" s="37"/>
      <c r="IGV368" s="38"/>
      <c r="IGW368" s="38"/>
      <c r="IGX368" s="39"/>
      <c r="IGY368" s="34"/>
      <c r="IGZ368" s="34"/>
      <c r="IHA368" s="34"/>
      <c r="IHB368" s="35"/>
      <c r="IHC368" s="35"/>
      <c r="IHD368" s="35"/>
      <c r="IHE368" s="35"/>
      <c r="IHF368" s="35"/>
      <c r="IHG368" s="34"/>
      <c r="IHH368" s="34"/>
      <c r="IHI368" s="36"/>
      <c r="IHJ368" s="36"/>
      <c r="IHK368" s="37"/>
      <c r="IHL368" s="37"/>
      <c r="IHM368" s="38"/>
      <c r="IHN368" s="38"/>
      <c r="IHO368" s="39"/>
      <c r="IHP368" s="34"/>
      <c r="IHQ368" s="34"/>
      <c r="IHR368" s="34"/>
      <c r="IHS368" s="35"/>
      <c r="IHT368" s="35"/>
      <c r="IHU368" s="35"/>
      <c r="IHV368" s="35"/>
      <c r="IHW368" s="35"/>
      <c r="IHX368" s="34"/>
      <c r="IHY368" s="34"/>
      <c r="IHZ368" s="36"/>
      <c r="IIA368" s="36"/>
      <c r="IIB368" s="37"/>
      <c r="IIC368" s="37"/>
      <c r="IID368" s="38"/>
      <c r="IIE368" s="38"/>
      <c r="IIF368" s="39"/>
      <c r="IIG368" s="34"/>
      <c r="IIH368" s="34"/>
      <c r="III368" s="34"/>
      <c r="IIJ368" s="35"/>
      <c r="IIK368" s="35"/>
      <c r="IIL368" s="35"/>
      <c r="IIM368" s="35"/>
      <c r="IIN368" s="35"/>
      <c r="IIO368" s="34"/>
      <c r="IIP368" s="34"/>
      <c r="IIQ368" s="36"/>
      <c r="IIR368" s="36"/>
      <c r="IIS368" s="37"/>
      <c r="IIT368" s="37"/>
      <c r="IIU368" s="38"/>
      <c r="IIV368" s="38"/>
      <c r="IIW368" s="39"/>
      <c r="IIX368" s="34"/>
      <c r="IIY368" s="34"/>
      <c r="IIZ368" s="34"/>
      <c r="IJA368" s="35"/>
      <c r="IJB368" s="35"/>
      <c r="IJC368" s="35"/>
      <c r="IJD368" s="35"/>
      <c r="IJE368" s="35"/>
      <c r="IJF368" s="34"/>
      <c r="IJG368" s="34"/>
      <c r="IJH368" s="36"/>
      <c r="IJI368" s="36"/>
      <c r="IJJ368" s="37"/>
      <c r="IJK368" s="37"/>
      <c r="IJL368" s="38"/>
      <c r="IJM368" s="38"/>
      <c r="IJN368" s="39"/>
      <c r="IJO368" s="34"/>
      <c r="IJP368" s="34"/>
      <c r="IJQ368" s="34"/>
      <c r="IJR368" s="35"/>
      <c r="IJS368" s="35"/>
      <c r="IJT368" s="35"/>
      <c r="IJU368" s="35"/>
      <c r="IJV368" s="35"/>
      <c r="IJW368" s="34"/>
      <c r="IJX368" s="34"/>
      <c r="IJY368" s="36"/>
      <c r="IJZ368" s="36"/>
      <c r="IKA368" s="37"/>
      <c r="IKB368" s="37"/>
      <c r="IKC368" s="38"/>
      <c r="IKD368" s="38"/>
      <c r="IKE368" s="39"/>
      <c r="IKF368" s="34"/>
      <c r="IKG368" s="34"/>
      <c r="IKH368" s="34"/>
      <c r="IKI368" s="35"/>
      <c r="IKJ368" s="35"/>
      <c r="IKK368" s="35"/>
      <c r="IKL368" s="35"/>
      <c r="IKM368" s="35"/>
      <c r="IKN368" s="34"/>
      <c r="IKO368" s="34"/>
      <c r="IKP368" s="36"/>
      <c r="IKQ368" s="36"/>
      <c r="IKR368" s="37"/>
      <c r="IKS368" s="37"/>
      <c r="IKT368" s="38"/>
      <c r="IKU368" s="38"/>
      <c r="IKV368" s="39"/>
      <c r="IKW368" s="34"/>
      <c r="IKX368" s="34"/>
      <c r="IKY368" s="34"/>
      <c r="IKZ368" s="35"/>
      <c r="ILA368" s="35"/>
      <c r="ILB368" s="35"/>
      <c r="ILC368" s="35"/>
      <c r="ILD368" s="35"/>
      <c r="ILE368" s="34"/>
      <c r="ILF368" s="34"/>
      <c r="ILG368" s="36"/>
      <c r="ILH368" s="36"/>
      <c r="ILI368" s="37"/>
      <c r="ILJ368" s="37"/>
      <c r="ILK368" s="38"/>
      <c r="ILL368" s="38"/>
      <c r="ILM368" s="39"/>
      <c r="ILN368" s="34"/>
      <c r="ILO368" s="34"/>
      <c r="ILP368" s="34"/>
      <c r="ILQ368" s="35"/>
      <c r="ILR368" s="35"/>
      <c r="ILS368" s="35"/>
      <c r="ILT368" s="35"/>
      <c r="ILU368" s="35"/>
      <c r="ILV368" s="34"/>
      <c r="ILW368" s="34"/>
      <c r="ILX368" s="36"/>
      <c r="ILY368" s="36"/>
      <c r="ILZ368" s="37"/>
      <c r="IMA368" s="37"/>
      <c r="IMB368" s="38"/>
      <c r="IMC368" s="38"/>
      <c r="IMD368" s="39"/>
      <c r="IME368" s="34"/>
      <c r="IMF368" s="34"/>
      <c r="IMG368" s="34"/>
      <c r="IMH368" s="35"/>
      <c r="IMI368" s="35"/>
      <c r="IMJ368" s="35"/>
      <c r="IMK368" s="35"/>
      <c r="IML368" s="35"/>
      <c r="IMM368" s="34"/>
      <c r="IMN368" s="34"/>
      <c r="IMO368" s="36"/>
      <c r="IMP368" s="36"/>
      <c r="IMQ368" s="37"/>
      <c r="IMR368" s="37"/>
      <c r="IMS368" s="38"/>
      <c r="IMT368" s="38"/>
      <c r="IMU368" s="39"/>
      <c r="IMV368" s="34"/>
      <c r="IMW368" s="34"/>
      <c r="IMX368" s="34"/>
      <c r="IMY368" s="35"/>
      <c r="IMZ368" s="35"/>
      <c r="INA368" s="35"/>
      <c r="INB368" s="35"/>
      <c r="INC368" s="35"/>
      <c r="IND368" s="34"/>
      <c r="INE368" s="34"/>
      <c r="INF368" s="36"/>
      <c r="ING368" s="36"/>
      <c r="INH368" s="37"/>
      <c r="INI368" s="37"/>
      <c r="INJ368" s="38"/>
      <c r="INK368" s="38"/>
      <c r="INL368" s="39"/>
      <c r="INM368" s="34"/>
      <c r="INN368" s="34"/>
      <c r="INO368" s="34"/>
      <c r="INP368" s="35"/>
      <c r="INQ368" s="35"/>
      <c r="INR368" s="35"/>
      <c r="INS368" s="35"/>
      <c r="INT368" s="35"/>
      <c r="INU368" s="34"/>
      <c r="INV368" s="34"/>
      <c r="INW368" s="36"/>
      <c r="INX368" s="36"/>
      <c r="INY368" s="37"/>
      <c r="INZ368" s="37"/>
      <c r="IOA368" s="38"/>
      <c r="IOB368" s="38"/>
      <c r="IOC368" s="39"/>
      <c r="IOD368" s="34"/>
      <c r="IOE368" s="34"/>
      <c r="IOF368" s="34"/>
      <c r="IOG368" s="35"/>
      <c r="IOH368" s="35"/>
      <c r="IOI368" s="35"/>
      <c r="IOJ368" s="35"/>
      <c r="IOK368" s="35"/>
      <c r="IOL368" s="34"/>
      <c r="IOM368" s="34"/>
      <c r="ION368" s="36"/>
      <c r="IOO368" s="36"/>
      <c r="IOP368" s="37"/>
      <c r="IOQ368" s="37"/>
      <c r="IOR368" s="38"/>
      <c r="IOS368" s="38"/>
      <c r="IOT368" s="39"/>
      <c r="IOU368" s="34"/>
      <c r="IOV368" s="34"/>
      <c r="IOW368" s="34"/>
      <c r="IOX368" s="35"/>
      <c r="IOY368" s="35"/>
      <c r="IOZ368" s="35"/>
      <c r="IPA368" s="35"/>
      <c r="IPB368" s="35"/>
      <c r="IPC368" s="34"/>
      <c r="IPD368" s="34"/>
      <c r="IPE368" s="36"/>
      <c r="IPF368" s="36"/>
      <c r="IPG368" s="37"/>
      <c r="IPH368" s="37"/>
      <c r="IPI368" s="38"/>
      <c r="IPJ368" s="38"/>
      <c r="IPK368" s="39"/>
      <c r="IPL368" s="34"/>
      <c r="IPM368" s="34"/>
      <c r="IPN368" s="34"/>
      <c r="IPO368" s="35"/>
      <c r="IPP368" s="35"/>
      <c r="IPQ368" s="35"/>
      <c r="IPR368" s="35"/>
      <c r="IPS368" s="35"/>
      <c r="IPT368" s="34"/>
      <c r="IPU368" s="34"/>
      <c r="IPV368" s="36"/>
      <c r="IPW368" s="36"/>
      <c r="IPX368" s="37"/>
      <c r="IPY368" s="37"/>
      <c r="IPZ368" s="38"/>
      <c r="IQA368" s="38"/>
      <c r="IQB368" s="39"/>
      <c r="IQC368" s="34"/>
      <c r="IQD368" s="34"/>
      <c r="IQE368" s="34"/>
      <c r="IQF368" s="35"/>
      <c r="IQG368" s="35"/>
      <c r="IQH368" s="35"/>
      <c r="IQI368" s="35"/>
      <c r="IQJ368" s="35"/>
      <c r="IQK368" s="34"/>
      <c r="IQL368" s="34"/>
      <c r="IQM368" s="36"/>
      <c r="IQN368" s="36"/>
      <c r="IQO368" s="37"/>
      <c r="IQP368" s="37"/>
      <c r="IQQ368" s="38"/>
      <c r="IQR368" s="38"/>
      <c r="IQS368" s="39"/>
      <c r="IQT368" s="34"/>
      <c r="IQU368" s="34"/>
      <c r="IQV368" s="34"/>
      <c r="IQW368" s="35"/>
      <c r="IQX368" s="35"/>
      <c r="IQY368" s="35"/>
      <c r="IQZ368" s="35"/>
      <c r="IRA368" s="35"/>
      <c r="IRB368" s="34"/>
      <c r="IRC368" s="34"/>
      <c r="IRD368" s="36"/>
      <c r="IRE368" s="36"/>
      <c r="IRF368" s="37"/>
      <c r="IRG368" s="37"/>
      <c r="IRH368" s="38"/>
      <c r="IRI368" s="38"/>
      <c r="IRJ368" s="39"/>
      <c r="IRK368" s="34"/>
      <c r="IRL368" s="34"/>
      <c r="IRM368" s="34"/>
      <c r="IRN368" s="35"/>
      <c r="IRO368" s="35"/>
      <c r="IRP368" s="35"/>
      <c r="IRQ368" s="35"/>
      <c r="IRR368" s="35"/>
      <c r="IRS368" s="34"/>
      <c r="IRT368" s="34"/>
      <c r="IRU368" s="36"/>
      <c r="IRV368" s="36"/>
      <c r="IRW368" s="37"/>
      <c r="IRX368" s="37"/>
      <c r="IRY368" s="38"/>
      <c r="IRZ368" s="38"/>
      <c r="ISA368" s="39"/>
      <c r="ISB368" s="34"/>
      <c r="ISC368" s="34"/>
      <c r="ISD368" s="34"/>
      <c r="ISE368" s="35"/>
      <c r="ISF368" s="35"/>
      <c r="ISG368" s="35"/>
      <c r="ISH368" s="35"/>
      <c r="ISI368" s="35"/>
      <c r="ISJ368" s="34"/>
      <c r="ISK368" s="34"/>
      <c r="ISL368" s="36"/>
      <c r="ISM368" s="36"/>
      <c r="ISN368" s="37"/>
      <c r="ISO368" s="37"/>
      <c r="ISP368" s="38"/>
      <c r="ISQ368" s="38"/>
      <c r="ISR368" s="39"/>
      <c r="ISS368" s="34"/>
      <c r="IST368" s="34"/>
      <c r="ISU368" s="34"/>
      <c r="ISV368" s="35"/>
      <c r="ISW368" s="35"/>
      <c r="ISX368" s="35"/>
      <c r="ISY368" s="35"/>
      <c r="ISZ368" s="35"/>
      <c r="ITA368" s="34"/>
      <c r="ITB368" s="34"/>
      <c r="ITC368" s="36"/>
      <c r="ITD368" s="36"/>
      <c r="ITE368" s="37"/>
      <c r="ITF368" s="37"/>
      <c r="ITG368" s="38"/>
      <c r="ITH368" s="38"/>
      <c r="ITI368" s="39"/>
      <c r="ITJ368" s="34"/>
      <c r="ITK368" s="34"/>
      <c r="ITL368" s="34"/>
      <c r="ITM368" s="35"/>
      <c r="ITN368" s="35"/>
      <c r="ITO368" s="35"/>
      <c r="ITP368" s="35"/>
      <c r="ITQ368" s="35"/>
      <c r="ITR368" s="34"/>
      <c r="ITS368" s="34"/>
      <c r="ITT368" s="36"/>
      <c r="ITU368" s="36"/>
      <c r="ITV368" s="37"/>
      <c r="ITW368" s="37"/>
      <c r="ITX368" s="38"/>
      <c r="ITY368" s="38"/>
      <c r="ITZ368" s="39"/>
      <c r="IUA368" s="34"/>
      <c r="IUB368" s="34"/>
      <c r="IUC368" s="34"/>
      <c r="IUD368" s="35"/>
      <c r="IUE368" s="35"/>
      <c r="IUF368" s="35"/>
      <c r="IUG368" s="35"/>
      <c r="IUH368" s="35"/>
      <c r="IUI368" s="34"/>
      <c r="IUJ368" s="34"/>
      <c r="IUK368" s="36"/>
      <c r="IUL368" s="36"/>
      <c r="IUM368" s="37"/>
      <c r="IUN368" s="37"/>
      <c r="IUO368" s="38"/>
      <c r="IUP368" s="38"/>
      <c r="IUQ368" s="39"/>
      <c r="IUR368" s="34"/>
      <c r="IUS368" s="34"/>
      <c r="IUT368" s="34"/>
      <c r="IUU368" s="35"/>
      <c r="IUV368" s="35"/>
      <c r="IUW368" s="35"/>
      <c r="IUX368" s="35"/>
      <c r="IUY368" s="35"/>
      <c r="IUZ368" s="34"/>
      <c r="IVA368" s="34"/>
      <c r="IVB368" s="36"/>
      <c r="IVC368" s="36"/>
      <c r="IVD368" s="37"/>
      <c r="IVE368" s="37"/>
      <c r="IVF368" s="38"/>
      <c r="IVG368" s="38"/>
      <c r="IVH368" s="39"/>
      <c r="IVI368" s="34"/>
      <c r="IVJ368" s="34"/>
      <c r="IVK368" s="34"/>
      <c r="IVL368" s="35"/>
      <c r="IVM368" s="35"/>
      <c r="IVN368" s="35"/>
      <c r="IVO368" s="35"/>
      <c r="IVP368" s="35"/>
      <c r="IVQ368" s="34"/>
      <c r="IVR368" s="34"/>
      <c r="IVS368" s="36"/>
      <c r="IVT368" s="36"/>
      <c r="IVU368" s="37"/>
      <c r="IVV368" s="37"/>
      <c r="IVW368" s="38"/>
      <c r="IVX368" s="38"/>
      <c r="IVY368" s="39"/>
      <c r="IVZ368" s="34"/>
      <c r="IWA368" s="34"/>
      <c r="IWB368" s="34"/>
      <c r="IWC368" s="35"/>
      <c r="IWD368" s="35"/>
      <c r="IWE368" s="35"/>
      <c r="IWF368" s="35"/>
      <c r="IWG368" s="35"/>
      <c r="IWH368" s="34"/>
      <c r="IWI368" s="34"/>
      <c r="IWJ368" s="36"/>
      <c r="IWK368" s="36"/>
      <c r="IWL368" s="37"/>
      <c r="IWM368" s="37"/>
      <c r="IWN368" s="38"/>
      <c r="IWO368" s="38"/>
      <c r="IWP368" s="39"/>
      <c r="IWQ368" s="34"/>
      <c r="IWR368" s="34"/>
      <c r="IWS368" s="34"/>
      <c r="IWT368" s="35"/>
      <c r="IWU368" s="35"/>
      <c r="IWV368" s="35"/>
      <c r="IWW368" s="35"/>
      <c r="IWX368" s="35"/>
      <c r="IWY368" s="34"/>
      <c r="IWZ368" s="34"/>
      <c r="IXA368" s="36"/>
      <c r="IXB368" s="36"/>
      <c r="IXC368" s="37"/>
      <c r="IXD368" s="37"/>
      <c r="IXE368" s="38"/>
      <c r="IXF368" s="38"/>
      <c r="IXG368" s="39"/>
      <c r="IXH368" s="34"/>
      <c r="IXI368" s="34"/>
      <c r="IXJ368" s="34"/>
      <c r="IXK368" s="35"/>
      <c r="IXL368" s="35"/>
      <c r="IXM368" s="35"/>
      <c r="IXN368" s="35"/>
      <c r="IXO368" s="35"/>
      <c r="IXP368" s="34"/>
      <c r="IXQ368" s="34"/>
      <c r="IXR368" s="36"/>
      <c r="IXS368" s="36"/>
      <c r="IXT368" s="37"/>
      <c r="IXU368" s="37"/>
      <c r="IXV368" s="38"/>
      <c r="IXW368" s="38"/>
      <c r="IXX368" s="39"/>
      <c r="IXY368" s="34"/>
      <c r="IXZ368" s="34"/>
      <c r="IYA368" s="34"/>
      <c r="IYB368" s="35"/>
      <c r="IYC368" s="35"/>
      <c r="IYD368" s="35"/>
      <c r="IYE368" s="35"/>
      <c r="IYF368" s="35"/>
      <c r="IYG368" s="34"/>
      <c r="IYH368" s="34"/>
      <c r="IYI368" s="36"/>
      <c r="IYJ368" s="36"/>
      <c r="IYK368" s="37"/>
      <c r="IYL368" s="37"/>
      <c r="IYM368" s="38"/>
      <c r="IYN368" s="38"/>
      <c r="IYO368" s="39"/>
      <c r="IYP368" s="34"/>
      <c r="IYQ368" s="34"/>
      <c r="IYR368" s="34"/>
      <c r="IYS368" s="35"/>
      <c r="IYT368" s="35"/>
      <c r="IYU368" s="35"/>
      <c r="IYV368" s="35"/>
      <c r="IYW368" s="35"/>
      <c r="IYX368" s="34"/>
      <c r="IYY368" s="34"/>
      <c r="IYZ368" s="36"/>
      <c r="IZA368" s="36"/>
      <c r="IZB368" s="37"/>
      <c r="IZC368" s="37"/>
      <c r="IZD368" s="38"/>
      <c r="IZE368" s="38"/>
      <c r="IZF368" s="39"/>
      <c r="IZG368" s="34"/>
      <c r="IZH368" s="34"/>
      <c r="IZI368" s="34"/>
      <c r="IZJ368" s="35"/>
      <c r="IZK368" s="35"/>
      <c r="IZL368" s="35"/>
      <c r="IZM368" s="35"/>
      <c r="IZN368" s="35"/>
      <c r="IZO368" s="34"/>
      <c r="IZP368" s="34"/>
      <c r="IZQ368" s="36"/>
      <c r="IZR368" s="36"/>
      <c r="IZS368" s="37"/>
      <c r="IZT368" s="37"/>
      <c r="IZU368" s="38"/>
      <c r="IZV368" s="38"/>
      <c r="IZW368" s="39"/>
      <c r="IZX368" s="34"/>
      <c r="IZY368" s="34"/>
      <c r="IZZ368" s="34"/>
      <c r="JAA368" s="35"/>
      <c r="JAB368" s="35"/>
      <c r="JAC368" s="35"/>
      <c r="JAD368" s="35"/>
      <c r="JAE368" s="35"/>
      <c r="JAF368" s="34"/>
      <c r="JAG368" s="34"/>
      <c r="JAH368" s="36"/>
      <c r="JAI368" s="36"/>
      <c r="JAJ368" s="37"/>
      <c r="JAK368" s="37"/>
      <c r="JAL368" s="38"/>
      <c r="JAM368" s="38"/>
      <c r="JAN368" s="39"/>
      <c r="JAO368" s="34"/>
      <c r="JAP368" s="34"/>
      <c r="JAQ368" s="34"/>
      <c r="JAR368" s="35"/>
      <c r="JAS368" s="35"/>
      <c r="JAT368" s="35"/>
      <c r="JAU368" s="35"/>
      <c r="JAV368" s="35"/>
      <c r="JAW368" s="34"/>
      <c r="JAX368" s="34"/>
      <c r="JAY368" s="36"/>
      <c r="JAZ368" s="36"/>
      <c r="JBA368" s="37"/>
      <c r="JBB368" s="37"/>
      <c r="JBC368" s="38"/>
      <c r="JBD368" s="38"/>
      <c r="JBE368" s="39"/>
      <c r="JBF368" s="34"/>
      <c r="JBG368" s="34"/>
      <c r="JBH368" s="34"/>
      <c r="JBI368" s="35"/>
      <c r="JBJ368" s="35"/>
      <c r="JBK368" s="35"/>
      <c r="JBL368" s="35"/>
      <c r="JBM368" s="35"/>
      <c r="JBN368" s="34"/>
      <c r="JBO368" s="34"/>
      <c r="JBP368" s="36"/>
      <c r="JBQ368" s="36"/>
      <c r="JBR368" s="37"/>
      <c r="JBS368" s="37"/>
      <c r="JBT368" s="38"/>
      <c r="JBU368" s="38"/>
      <c r="JBV368" s="39"/>
      <c r="JBW368" s="34"/>
      <c r="JBX368" s="34"/>
      <c r="JBY368" s="34"/>
      <c r="JBZ368" s="35"/>
      <c r="JCA368" s="35"/>
      <c r="JCB368" s="35"/>
      <c r="JCC368" s="35"/>
      <c r="JCD368" s="35"/>
      <c r="JCE368" s="34"/>
      <c r="JCF368" s="34"/>
      <c r="JCG368" s="36"/>
      <c r="JCH368" s="36"/>
      <c r="JCI368" s="37"/>
      <c r="JCJ368" s="37"/>
      <c r="JCK368" s="38"/>
      <c r="JCL368" s="38"/>
      <c r="JCM368" s="39"/>
      <c r="JCN368" s="34"/>
      <c r="JCO368" s="34"/>
      <c r="JCP368" s="34"/>
      <c r="JCQ368" s="35"/>
      <c r="JCR368" s="35"/>
      <c r="JCS368" s="35"/>
      <c r="JCT368" s="35"/>
      <c r="JCU368" s="35"/>
      <c r="JCV368" s="34"/>
      <c r="JCW368" s="34"/>
      <c r="JCX368" s="36"/>
      <c r="JCY368" s="36"/>
      <c r="JCZ368" s="37"/>
      <c r="JDA368" s="37"/>
      <c r="JDB368" s="38"/>
      <c r="JDC368" s="38"/>
      <c r="JDD368" s="39"/>
      <c r="JDE368" s="34"/>
      <c r="JDF368" s="34"/>
      <c r="JDG368" s="34"/>
      <c r="JDH368" s="35"/>
      <c r="JDI368" s="35"/>
      <c r="JDJ368" s="35"/>
      <c r="JDK368" s="35"/>
      <c r="JDL368" s="35"/>
      <c r="JDM368" s="34"/>
      <c r="JDN368" s="34"/>
      <c r="JDO368" s="36"/>
      <c r="JDP368" s="36"/>
      <c r="JDQ368" s="37"/>
      <c r="JDR368" s="37"/>
      <c r="JDS368" s="38"/>
      <c r="JDT368" s="38"/>
      <c r="JDU368" s="39"/>
      <c r="JDV368" s="34"/>
      <c r="JDW368" s="34"/>
      <c r="JDX368" s="34"/>
      <c r="JDY368" s="35"/>
      <c r="JDZ368" s="35"/>
      <c r="JEA368" s="35"/>
      <c r="JEB368" s="35"/>
      <c r="JEC368" s="35"/>
      <c r="JED368" s="34"/>
      <c r="JEE368" s="34"/>
      <c r="JEF368" s="36"/>
      <c r="JEG368" s="36"/>
      <c r="JEH368" s="37"/>
      <c r="JEI368" s="37"/>
      <c r="JEJ368" s="38"/>
      <c r="JEK368" s="38"/>
      <c r="JEL368" s="39"/>
      <c r="JEM368" s="34"/>
      <c r="JEN368" s="34"/>
      <c r="JEO368" s="34"/>
      <c r="JEP368" s="35"/>
      <c r="JEQ368" s="35"/>
      <c r="JER368" s="35"/>
      <c r="JES368" s="35"/>
      <c r="JET368" s="35"/>
      <c r="JEU368" s="34"/>
      <c r="JEV368" s="34"/>
      <c r="JEW368" s="36"/>
      <c r="JEX368" s="36"/>
      <c r="JEY368" s="37"/>
      <c r="JEZ368" s="37"/>
      <c r="JFA368" s="38"/>
      <c r="JFB368" s="38"/>
      <c r="JFC368" s="39"/>
      <c r="JFD368" s="34"/>
      <c r="JFE368" s="34"/>
      <c r="JFF368" s="34"/>
      <c r="JFG368" s="35"/>
      <c r="JFH368" s="35"/>
      <c r="JFI368" s="35"/>
      <c r="JFJ368" s="35"/>
      <c r="JFK368" s="35"/>
      <c r="JFL368" s="34"/>
      <c r="JFM368" s="34"/>
      <c r="JFN368" s="36"/>
      <c r="JFO368" s="36"/>
      <c r="JFP368" s="37"/>
      <c r="JFQ368" s="37"/>
      <c r="JFR368" s="38"/>
      <c r="JFS368" s="38"/>
      <c r="JFT368" s="39"/>
      <c r="JFU368" s="34"/>
      <c r="JFV368" s="34"/>
      <c r="JFW368" s="34"/>
      <c r="JFX368" s="35"/>
      <c r="JFY368" s="35"/>
      <c r="JFZ368" s="35"/>
      <c r="JGA368" s="35"/>
      <c r="JGB368" s="35"/>
      <c r="JGC368" s="34"/>
      <c r="JGD368" s="34"/>
      <c r="JGE368" s="36"/>
      <c r="JGF368" s="36"/>
      <c r="JGG368" s="37"/>
      <c r="JGH368" s="37"/>
      <c r="JGI368" s="38"/>
      <c r="JGJ368" s="38"/>
      <c r="JGK368" s="39"/>
      <c r="JGL368" s="34"/>
      <c r="JGM368" s="34"/>
      <c r="JGN368" s="34"/>
      <c r="JGO368" s="35"/>
      <c r="JGP368" s="35"/>
      <c r="JGQ368" s="35"/>
      <c r="JGR368" s="35"/>
      <c r="JGS368" s="35"/>
      <c r="JGT368" s="34"/>
      <c r="JGU368" s="34"/>
      <c r="JGV368" s="36"/>
      <c r="JGW368" s="36"/>
      <c r="JGX368" s="37"/>
      <c r="JGY368" s="37"/>
      <c r="JGZ368" s="38"/>
      <c r="JHA368" s="38"/>
      <c r="JHB368" s="39"/>
      <c r="JHC368" s="34"/>
      <c r="JHD368" s="34"/>
      <c r="JHE368" s="34"/>
      <c r="JHF368" s="35"/>
      <c r="JHG368" s="35"/>
      <c r="JHH368" s="35"/>
      <c r="JHI368" s="35"/>
      <c r="JHJ368" s="35"/>
      <c r="JHK368" s="34"/>
      <c r="JHL368" s="34"/>
      <c r="JHM368" s="36"/>
      <c r="JHN368" s="36"/>
      <c r="JHO368" s="37"/>
      <c r="JHP368" s="37"/>
      <c r="JHQ368" s="38"/>
      <c r="JHR368" s="38"/>
      <c r="JHS368" s="39"/>
      <c r="JHT368" s="34"/>
      <c r="JHU368" s="34"/>
      <c r="JHV368" s="34"/>
      <c r="JHW368" s="35"/>
      <c r="JHX368" s="35"/>
      <c r="JHY368" s="35"/>
      <c r="JHZ368" s="35"/>
      <c r="JIA368" s="35"/>
      <c r="JIB368" s="34"/>
      <c r="JIC368" s="34"/>
      <c r="JID368" s="36"/>
      <c r="JIE368" s="36"/>
      <c r="JIF368" s="37"/>
      <c r="JIG368" s="37"/>
      <c r="JIH368" s="38"/>
      <c r="JII368" s="38"/>
      <c r="JIJ368" s="39"/>
      <c r="JIK368" s="34"/>
      <c r="JIL368" s="34"/>
      <c r="JIM368" s="34"/>
      <c r="JIN368" s="35"/>
      <c r="JIO368" s="35"/>
      <c r="JIP368" s="35"/>
      <c r="JIQ368" s="35"/>
      <c r="JIR368" s="35"/>
      <c r="JIS368" s="34"/>
      <c r="JIT368" s="34"/>
      <c r="JIU368" s="36"/>
      <c r="JIV368" s="36"/>
      <c r="JIW368" s="37"/>
      <c r="JIX368" s="37"/>
      <c r="JIY368" s="38"/>
      <c r="JIZ368" s="38"/>
      <c r="JJA368" s="39"/>
      <c r="JJB368" s="34"/>
      <c r="JJC368" s="34"/>
      <c r="JJD368" s="34"/>
      <c r="JJE368" s="35"/>
      <c r="JJF368" s="35"/>
      <c r="JJG368" s="35"/>
      <c r="JJH368" s="35"/>
      <c r="JJI368" s="35"/>
      <c r="JJJ368" s="34"/>
      <c r="JJK368" s="34"/>
      <c r="JJL368" s="36"/>
      <c r="JJM368" s="36"/>
      <c r="JJN368" s="37"/>
      <c r="JJO368" s="37"/>
      <c r="JJP368" s="38"/>
      <c r="JJQ368" s="38"/>
      <c r="JJR368" s="39"/>
      <c r="JJS368" s="34"/>
      <c r="JJT368" s="34"/>
      <c r="JJU368" s="34"/>
      <c r="JJV368" s="35"/>
      <c r="JJW368" s="35"/>
      <c r="JJX368" s="35"/>
      <c r="JJY368" s="35"/>
      <c r="JJZ368" s="35"/>
      <c r="JKA368" s="34"/>
      <c r="JKB368" s="34"/>
      <c r="JKC368" s="36"/>
      <c r="JKD368" s="36"/>
      <c r="JKE368" s="37"/>
      <c r="JKF368" s="37"/>
      <c r="JKG368" s="38"/>
      <c r="JKH368" s="38"/>
      <c r="JKI368" s="39"/>
      <c r="JKJ368" s="34"/>
      <c r="JKK368" s="34"/>
      <c r="JKL368" s="34"/>
      <c r="JKM368" s="35"/>
      <c r="JKN368" s="35"/>
      <c r="JKO368" s="35"/>
      <c r="JKP368" s="35"/>
      <c r="JKQ368" s="35"/>
      <c r="JKR368" s="34"/>
      <c r="JKS368" s="34"/>
      <c r="JKT368" s="36"/>
      <c r="JKU368" s="36"/>
      <c r="JKV368" s="37"/>
      <c r="JKW368" s="37"/>
      <c r="JKX368" s="38"/>
      <c r="JKY368" s="38"/>
      <c r="JKZ368" s="39"/>
      <c r="JLA368" s="34"/>
      <c r="JLB368" s="34"/>
      <c r="JLC368" s="34"/>
      <c r="JLD368" s="35"/>
      <c r="JLE368" s="35"/>
      <c r="JLF368" s="35"/>
      <c r="JLG368" s="35"/>
      <c r="JLH368" s="35"/>
      <c r="JLI368" s="34"/>
      <c r="JLJ368" s="34"/>
      <c r="JLK368" s="36"/>
      <c r="JLL368" s="36"/>
      <c r="JLM368" s="37"/>
      <c r="JLN368" s="37"/>
      <c r="JLO368" s="38"/>
      <c r="JLP368" s="38"/>
      <c r="JLQ368" s="39"/>
      <c r="JLR368" s="34"/>
      <c r="JLS368" s="34"/>
      <c r="JLT368" s="34"/>
      <c r="JLU368" s="35"/>
      <c r="JLV368" s="35"/>
      <c r="JLW368" s="35"/>
      <c r="JLX368" s="35"/>
      <c r="JLY368" s="35"/>
      <c r="JLZ368" s="34"/>
      <c r="JMA368" s="34"/>
      <c r="JMB368" s="36"/>
      <c r="JMC368" s="36"/>
      <c r="JMD368" s="37"/>
      <c r="JME368" s="37"/>
      <c r="JMF368" s="38"/>
      <c r="JMG368" s="38"/>
      <c r="JMH368" s="39"/>
      <c r="JMI368" s="34"/>
      <c r="JMJ368" s="34"/>
      <c r="JMK368" s="34"/>
      <c r="JML368" s="35"/>
      <c r="JMM368" s="35"/>
      <c r="JMN368" s="35"/>
      <c r="JMO368" s="35"/>
      <c r="JMP368" s="35"/>
      <c r="JMQ368" s="34"/>
      <c r="JMR368" s="34"/>
      <c r="JMS368" s="36"/>
      <c r="JMT368" s="36"/>
      <c r="JMU368" s="37"/>
      <c r="JMV368" s="37"/>
      <c r="JMW368" s="38"/>
      <c r="JMX368" s="38"/>
      <c r="JMY368" s="39"/>
      <c r="JMZ368" s="34"/>
      <c r="JNA368" s="34"/>
      <c r="JNB368" s="34"/>
      <c r="JNC368" s="35"/>
      <c r="JND368" s="35"/>
      <c r="JNE368" s="35"/>
      <c r="JNF368" s="35"/>
      <c r="JNG368" s="35"/>
      <c r="JNH368" s="34"/>
      <c r="JNI368" s="34"/>
      <c r="JNJ368" s="36"/>
      <c r="JNK368" s="36"/>
      <c r="JNL368" s="37"/>
      <c r="JNM368" s="37"/>
      <c r="JNN368" s="38"/>
      <c r="JNO368" s="38"/>
      <c r="JNP368" s="39"/>
      <c r="JNQ368" s="34"/>
      <c r="JNR368" s="34"/>
      <c r="JNS368" s="34"/>
      <c r="JNT368" s="35"/>
      <c r="JNU368" s="35"/>
      <c r="JNV368" s="35"/>
      <c r="JNW368" s="35"/>
      <c r="JNX368" s="35"/>
      <c r="JNY368" s="34"/>
      <c r="JNZ368" s="34"/>
      <c r="JOA368" s="36"/>
      <c r="JOB368" s="36"/>
      <c r="JOC368" s="37"/>
      <c r="JOD368" s="37"/>
      <c r="JOE368" s="38"/>
      <c r="JOF368" s="38"/>
      <c r="JOG368" s="39"/>
      <c r="JOH368" s="34"/>
      <c r="JOI368" s="34"/>
      <c r="JOJ368" s="34"/>
      <c r="JOK368" s="35"/>
      <c r="JOL368" s="35"/>
      <c r="JOM368" s="35"/>
      <c r="JON368" s="35"/>
      <c r="JOO368" s="35"/>
      <c r="JOP368" s="34"/>
      <c r="JOQ368" s="34"/>
      <c r="JOR368" s="36"/>
      <c r="JOS368" s="36"/>
      <c r="JOT368" s="37"/>
      <c r="JOU368" s="37"/>
      <c r="JOV368" s="38"/>
      <c r="JOW368" s="38"/>
      <c r="JOX368" s="39"/>
      <c r="JOY368" s="34"/>
      <c r="JOZ368" s="34"/>
      <c r="JPA368" s="34"/>
      <c r="JPB368" s="35"/>
      <c r="JPC368" s="35"/>
      <c r="JPD368" s="35"/>
      <c r="JPE368" s="35"/>
      <c r="JPF368" s="35"/>
      <c r="JPG368" s="34"/>
      <c r="JPH368" s="34"/>
      <c r="JPI368" s="36"/>
      <c r="JPJ368" s="36"/>
      <c r="JPK368" s="37"/>
      <c r="JPL368" s="37"/>
      <c r="JPM368" s="38"/>
      <c r="JPN368" s="38"/>
      <c r="JPO368" s="39"/>
      <c r="JPP368" s="34"/>
      <c r="JPQ368" s="34"/>
      <c r="JPR368" s="34"/>
      <c r="JPS368" s="35"/>
      <c r="JPT368" s="35"/>
      <c r="JPU368" s="35"/>
      <c r="JPV368" s="35"/>
      <c r="JPW368" s="35"/>
      <c r="JPX368" s="34"/>
      <c r="JPY368" s="34"/>
      <c r="JPZ368" s="36"/>
      <c r="JQA368" s="36"/>
      <c r="JQB368" s="37"/>
      <c r="JQC368" s="37"/>
      <c r="JQD368" s="38"/>
      <c r="JQE368" s="38"/>
      <c r="JQF368" s="39"/>
      <c r="JQG368" s="34"/>
      <c r="JQH368" s="34"/>
      <c r="JQI368" s="34"/>
      <c r="JQJ368" s="35"/>
      <c r="JQK368" s="35"/>
      <c r="JQL368" s="35"/>
      <c r="JQM368" s="35"/>
      <c r="JQN368" s="35"/>
      <c r="JQO368" s="34"/>
      <c r="JQP368" s="34"/>
      <c r="JQQ368" s="36"/>
      <c r="JQR368" s="36"/>
      <c r="JQS368" s="37"/>
      <c r="JQT368" s="37"/>
      <c r="JQU368" s="38"/>
      <c r="JQV368" s="38"/>
      <c r="JQW368" s="39"/>
      <c r="JQX368" s="34"/>
      <c r="JQY368" s="34"/>
      <c r="JQZ368" s="34"/>
      <c r="JRA368" s="35"/>
      <c r="JRB368" s="35"/>
      <c r="JRC368" s="35"/>
      <c r="JRD368" s="35"/>
      <c r="JRE368" s="35"/>
      <c r="JRF368" s="34"/>
      <c r="JRG368" s="34"/>
      <c r="JRH368" s="36"/>
      <c r="JRI368" s="36"/>
      <c r="JRJ368" s="37"/>
      <c r="JRK368" s="37"/>
      <c r="JRL368" s="38"/>
      <c r="JRM368" s="38"/>
      <c r="JRN368" s="39"/>
      <c r="JRO368" s="34"/>
      <c r="JRP368" s="34"/>
      <c r="JRQ368" s="34"/>
      <c r="JRR368" s="35"/>
      <c r="JRS368" s="35"/>
      <c r="JRT368" s="35"/>
      <c r="JRU368" s="35"/>
      <c r="JRV368" s="35"/>
      <c r="JRW368" s="34"/>
      <c r="JRX368" s="34"/>
      <c r="JRY368" s="36"/>
      <c r="JRZ368" s="36"/>
      <c r="JSA368" s="37"/>
      <c r="JSB368" s="37"/>
      <c r="JSC368" s="38"/>
      <c r="JSD368" s="38"/>
      <c r="JSE368" s="39"/>
      <c r="JSF368" s="34"/>
      <c r="JSG368" s="34"/>
      <c r="JSH368" s="34"/>
      <c r="JSI368" s="35"/>
      <c r="JSJ368" s="35"/>
      <c r="JSK368" s="35"/>
      <c r="JSL368" s="35"/>
      <c r="JSM368" s="35"/>
      <c r="JSN368" s="34"/>
      <c r="JSO368" s="34"/>
      <c r="JSP368" s="36"/>
      <c r="JSQ368" s="36"/>
      <c r="JSR368" s="37"/>
      <c r="JSS368" s="37"/>
      <c r="JST368" s="38"/>
      <c r="JSU368" s="38"/>
      <c r="JSV368" s="39"/>
      <c r="JSW368" s="34"/>
      <c r="JSX368" s="34"/>
      <c r="JSY368" s="34"/>
      <c r="JSZ368" s="35"/>
      <c r="JTA368" s="35"/>
      <c r="JTB368" s="35"/>
      <c r="JTC368" s="35"/>
      <c r="JTD368" s="35"/>
      <c r="JTE368" s="34"/>
      <c r="JTF368" s="34"/>
      <c r="JTG368" s="36"/>
      <c r="JTH368" s="36"/>
      <c r="JTI368" s="37"/>
      <c r="JTJ368" s="37"/>
      <c r="JTK368" s="38"/>
      <c r="JTL368" s="38"/>
      <c r="JTM368" s="39"/>
      <c r="JTN368" s="34"/>
      <c r="JTO368" s="34"/>
      <c r="JTP368" s="34"/>
      <c r="JTQ368" s="35"/>
      <c r="JTR368" s="35"/>
      <c r="JTS368" s="35"/>
      <c r="JTT368" s="35"/>
      <c r="JTU368" s="35"/>
      <c r="JTV368" s="34"/>
      <c r="JTW368" s="34"/>
      <c r="JTX368" s="36"/>
      <c r="JTY368" s="36"/>
      <c r="JTZ368" s="37"/>
      <c r="JUA368" s="37"/>
      <c r="JUB368" s="38"/>
      <c r="JUC368" s="38"/>
      <c r="JUD368" s="39"/>
      <c r="JUE368" s="34"/>
      <c r="JUF368" s="34"/>
      <c r="JUG368" s="34"/>
      <c r="JUH368" s="35"/>
      <c r="JUI368" s="35"/>
      <c r="JUJ368" s="35"/>
      <c r="JUK368" s="35"/>
      <c r="JUL368" s="35"/>
      <c r="JUM368" s="34"/>
      <c r="JUN368" s="34"/>
      <c r="JUO368" s="36"/>
      <c r="JUP368" s="36"/>
      <c r="JUQ368" s="37"/>
      <c r="JUR368" s="37"/>
      <c r="JUS368" s="38"/>
      <c r="JUT368" s="38"/>
      <c r="JUU368" s="39"/>
      <c r="JUV368" s="34"/>
      <c r="JUW368" s="34"/>
      <c r="JUX368" s="34"/>
      <c r="JUY368" s="35"/>
      <c r="JUZ368" s="35"/>
      <c r="JVA368" s="35"/>
      <c r="JVB368" s="35"/>
      <c r="JVC368" s="35"/>
      <c r="JVD368" s="34"/>
      <c r="JVE368" s="34"/>
      <c r="JVF368" s="36"/>
      <c r="JVG368" s="36"/>
      <c r="JVH368" s="37"/>
      <c r="JVI368" s="37"/>
      <c r="JVJ368" s="38"/>
      <c r="JVK368" s="38"/>
      <c r="JVL368" s="39"/>
      <c r="JVM368" s="34"/>
      <c r="JVN368" s="34"/>
      <c r="JVO368" s="34"/>
      <c r="JVP368" s="35"/>
      <c r="JVQ368" s="35"/>
      <c r="JVR368" s="35"/>
      <c r="JVS368" s="35"/>
      <c r="JVT368" s="35"/>
      <c r="JVU368" s="34"/>
      <c r="JVV368" s="34"/>
      <c r="JVW368" s="36"/>
      <c r="JVX368" s="36"/>
      <c r="JVY368" s="37"/>
      <c r="JVZ368" s="37"/>
      <c r="JWA368" s="38"/>
      <c r="JWB368" s="38"/>
      <c r="JWC368" s="39"/>
      <c r="JWD368" s="34"/>
      <c r="JWE368" s="34"/>
      <c r="JWF368" s="34"/>
      <c r="JWG368" s="35"/>
      <c r="JWH368" s="35"/>
      <c r="JWI368" s="35"/>
      <c r="JWJ368" s="35"/>
      <c r="JWK368" s="35"/>
      <c r="JWL368" s="34"/>
      <c r="JWM368" s="34"/>
      <c r="JWN368" s="36"/>
      <c r="JWO368" s="36"/>
      <c r="JWP368" s="37"/>
      <c r="JWQ368" s="37"/>
      <c r="JWR368" s="38"/>
      <c r="JWS368" s="38"/>
      <c r="JWT368" s="39"/>
      <c r="JWU368" s="34"/>
      <c r="JWV368" s="34"/>
      <c r="JWW368" s="34"/>
      <c r="JWX368" s="35"/>
      <c r="JWY368" s="35"/>
      <c r="JWZ368" s="35"/>
      <c r="JXA368" s="35"/>
      <c r="JXB368" s="35"/>
      <c r="JXC368" s="34"/>
      <c r="JXD368" s="34"/>
      <c r="JXE368" s="36"/>
      <c r="JXF368" s="36"/>
      <c r="JXG368" s="37"/>
      <c r="JXH368" s="37"/>
      <c r="JXI368" s="38"/>
      <c r="JXJ368" s="38"/>
      <c r="JXK368" s="39"/>
      <c r="JXL368" s="34"/>
      <c r="JXM368" s="34"/>
      <c r="JXN368" s="34"/>
      <c r="JXO368" s="35"/>
      <c r="JXP368" s="35"/>
      <c r="JXQ368" s="35"/>
      <c r="JXR368" s="35"/>
      <c r="JXS368" s="35"/>
      <c r="JXT368" s="34"/>
      <c r="JXU368" s="34"/>
      <c r="JXV368" s="36"/>
      <c r="JXW368" s="36"/>
      <c r="JXX368" s="37"/>
      <c r="JXY368" s="37"/>
      <c r="JXZ368" s="38"/>
      <c r="JYA368" s="38"/>
      <c r="JYB368" s="39"/>
      <c r="JYC368" s="34"/>
      <c r="JYD368" s="34"/>
      <c r="JYE368" s="34"/>
      <c r="JYF368" s="35"/>
      <c r="JYG368" s="35"/>
      <c r="JYH368" s="35"/>
      <c r="JYI368" s="35"/>
      <c r="JYJ368" s="35"/>
      <c r="JYK368" s="34"/>
      <c r="JYL368" s="34"/>
      <c r="JYM368" s="36"/>
      <c r="JYN368" s="36"/>
      <c r="JYO368" s="37"/>
      <c r="JYP368" s="37"/>
      <c r="JYQ368" s="38"/>
      <c r="JYR368" s="38"/>
      <c r="JYS368" s="39"/>
      <c r="JYT368" s="34"/>
      <c r="JYU368" s="34"/>
      <c r="JYV368" s="34"/>
      <c r="JYW368" s="35"/>
      <c r="JYX368" s="35"/>
      <c r="JYY368" s="35"/>
      <c r="JYZ368" s="35"/>
      <c r="JZA368" s="35"/>
      <c r="JZB368" s="34"/>
      <c r="JZC368" s="34"/>
      <c r="JZD368" s="36"/>
      <c r="JZE368" s="36"/>
      <c r="JZF368" s="37"/>
      <c r="JZG368" s="37"/>
      <c r="JZH368" s="38"/>
      <c r="JZI368" s="38"/>
      <c r="JZJ368" s="39"/>
      <c r="JZK368" s="34"/>
      <c r="JZL368" s="34"/>
      <c r="JZM368" s="34"/>
      <c r="JZN368" s="35"/>
      <c r="JZO368" s="35"/>
      <c r="JZP368" s="35"/>
      <c r="JZQ368" s="35"/>
      <c r="JZR368" s="35"/>
      <c r="JZS368" s="34"/>
      <c r="JZT368" s="34"/>
      <c r="JZU368" s="36"/>
      <c r="JZV368" s="36"/>
      <c r="JZW368" s="37"/>
      <c r="JZX368" s="37"/>
      <c r="JZY368" s="38"/>
      <c r="JZZ368" s="38"/>
      <c r="KAA368" s="39"/>
      <c r="KAB368" s="34"/>
      <c r="KAC368" s="34"/>
      <c r="KAD368" s="34"/>
      <c r="KAE368" s="35"/>
      <c r="KAF368" s="35"/>
      <c r="KAG368" s="35"/>
      <c r="KAH368" s="35"/>
      <c r="KAI368" s="35"/>
      <c r="KAJ368" s="34"/>
      <c r="KAK368" s="34"/>
      <c r="KAL368" s="36"/>
      <c r="KAM368" s="36"/>
      <c r="KAN368" s="37"/>
      <c r="KAO368" s="37"/>
      <c r="KAP368" s="38"/>
      <c r="KAQ368" s="38"/>
      <c r="KAR368" s="39"/>
      <c r="KAS368" s="34"/>
      <c r="KAT368" s="34"/>
      <c r="KAU368" s="34"/>
      <c r="KAV368" s="35"/>
      <c r="KAW368" s="35"/>
      <c r="KAX368" s="35"/>
      <c r="KAY368" s="35"/>
      <c r="KAZ368" s="35"/>
      <c r="KBA368" s="34"/>
      <c r="KBB368" s="34"/>
      <c r="KBC368" s="36"/>
      <c r="KBD368" s="36"/>
      <c r="KBE368" s="37"/>
      <c r="KBF368" s="37"/>
      <c r="KBG368" s="38"/>
      <c r="KBH368" s="38"/>
      <c r="KBI368" s="39"/>
      <c r="KBJ368" s="34"/>
      <c r="KBK368" s="34"/>
      <c r="KBL368" s="34"/>
      <c r="KBM368" s="35"/>
      <c r="KBN368" s="35"/>
      <c r="KBO368" s="35"/>
      <c r="KBP368" s="35"/>
      <c r="KBQ368" s="35"/>
      <c r="KBR368" s="34"/>
      <c r="KBS368" s="34"/>
      <c r="KBT368" s="36"/>
      <c r="KBU368" s="36"/>
      <c r="KBV368" s="37"/>
      <c r="KBW368" s="37"/>
      <c r="KBX368" s="38"/>
      <c r="KBY368" s="38"/>
      <c r="KBZ368" s="39"/>
      <c r="KCA368" s="34"/>
      <c r="KCB368" s="34"/>
      <c r="KCC368" s="34"/>
      <c r="KCD368" s="35"/>
      <c r="KCE368" s="35"/>
      <c r="KCF368" s="35"/>
      <c r="KCG368" s="35"/>
      <c r="KCH368" s="35"/>
      <c r="KCI368" s="34"/>
      <c r="KCJ368" s="34"/>
      <c r="KCK368" s="36"/>
      <c r="KCL368" s="36"/>
      <c r="KCM368" s="37"/>
      <c r="KCN368" s="37"/>
      <c r="KCO368" s="38"/>
      <c r="KCP368" s="38"/>
      <c r="KCQ368" s="39"/>
      <c r="KCR368" s="34"/>
      <c r="KCS368" s="34"/>
      <c r="KCT368" s="34"/>
      <c r="KCU368" s="35"/>
      <c r="KCV368" s="35"/>
      <c r="KCW368" s="35"/>
      <c r="KCX368" s="35"/>
      <c r="KCY368" s="35"/>
      <c r="KCZ368" s="34"/>
      <c r="KDA368" s="34"/>
      <c r="KDB368" s="36"/>
      <c r="KDC368" s="36"/>
      <c r="KDD368" s="37"/>
      <c r="KDE368" s="37"/>
      <c r="KDF368" s="38"/>
      <c r="KDG368" s="38"/>
      <c r="KDH368" s="39"/>
      <c r="KDI368" s="34"/>
      <c r="KDJ368" s="34"/>
      <c r="KDK368" s="34"/>
      <c r="KDL368" s="35"/>
      <c r="KDM368" s="35"/>
      <c r="KDN368" s="35"/>
      <c r="KDO368" s="35"/>
      <c r="KDP368" s="35"/>
      <c r="KDQ368" s="34"/>
      <c r="KDR368" s="34"/>
      <c r="KDS368" s="36"/>
      <c r="KDT368" s="36"/>
      <c r="KDU368" s="37"/>
      <c r="KDV368" s="37"/>
      <c r="KDW368" s="38"/>
      <c r="KDX368" s="38"/>
      <c r="KDY368" s="39"/>
      <c r="KDZ368" s="34"/>
      <c r="KEA368" s="34"/>
      <c r="KEB368" s="34"/>
      <c r="KEC368" s="35"/>
      <c r="KED368" s="35"/>
      <c r="KEE368" s="35"/>
      <c r="KEF368" s="35"/>
      <c r="KEG368" s="35"/>
      <c r="KEH368" s="34"/>
      <c r="KEI368" s="34"/>
      <c r="KEJ368" s="36"/>
      <c r="KEK368" s="36"/>
      <c r="KEL368" s="37"/>
      <c r="KEM368" s="37"/>
      <c r="KEN368" s="38"/>
      <c r="KEO368" s="38"/>
      <c r="KEP368" s="39"/>
      <c r="KEQ368" s="34"/>
      <c r="KER368" s="34"/>
      <c r="KES368" s="34"/>
      <c r="KET368" s="35"/>
      <c r="KEU368" s="35"/>
      <c r="KEV368" s="35"/>
      <c r="KEW368" s="35"/>
      <c r="KEX368" s="35"/>
      <c r="KEY368" s="34"/>
      <c r="KEZ368" s="34"/>
      <c r="KFA368" s="36"/>
      <c r="KFB368" s="36"/>
      <c r="KFC368" s="37"/>
      <c r="KFD368" s="37"/>
      <c r="KFE368" s="38"/>
      <c r="KFF368" s="38"/>
      <c r="KFG368" s="39"/>
      <c r="KFH368" s="34"/>
      <c r="KFI368" s="34"/>
      <c r="KFJ368" s="34"/>
      <c r="KFK368" s="35"/>
      <c r="KFL368" s="35"/>
      <c r="KFM368" s="35"/>
      <c r="KFN368" s="35"/>
      <c r="KFO368" s="35"/>
      <c r="KFP368" s="34"/>
      <c r="KFQ368" s="34"/>
      <c r="KFR368" s="36"/>
      <c r="KFS368" s="36"/>
      <c r="KFT368" s="37"/>
      <c r="KFU368" s="37"/>
      <c r="KFV368" s="38"/>
      <c r="KFW368" s="38"/>
      <c r="KFX368" s="39"/>
      <c r="KFY368" s="34"/>
      <c r="KFZ368" s="34"/>
      <c r="KGA368" s="34"/>
      <c r="KGB368" s="35"/>
      <c r="KGC368" s="35"/>
      <c r="KGD368" s="35"/>
      <c r="KGE368" s="35"/>
      <c r="KGF368" s="35"/>
      <c r="KGG368" s="34"/>
      <c r="KGH368" s="34"/>
      <c r="KGI368" s="36"/>
      <c r="KGJ368" s="36"/>
      <c r="KGK368" s="37"/>
      <c r="KGL368" s="37"/>
      <c r="KGM368" s="38"/>
      <c r="KGN368" s="38"/>
      <c r="KGO368" s="39"/>
      <c r="KGP368" s="34"/>
      <c r="KGQ368" s="34"/>
      <c r="KGR368" s="34"/>
      <c r="KGS368" s="35"/>
      <c r="KGT368" s="35"/>
      <c r="KGU368" s="35"/>
      <c r="KGV368" s="35"/>
      <c r="KGW368" s="35"/>
      <c r="KGX368" s="34"/>
      <c r="KGY368" s="34"/>
      <c r="KGZ368" s="36"/>
      <c r="KHA368" s="36"/>
      <c r="KHB368" s="37"/>
      <c r="KHC368" s="37"/>
      <c r="KHD368" s="38"/>
      <c r="KHE368" s="38"/>
      <c r="KHF368" s="39"/>
      <c r="KHG368" s="34"/>
      <c r="KHH368" s="34"/>
      <c r="KHI368" s="34"/>
      <c r="KHJ368" s="35"/>
      <c r="KHK368" s="35"/>
      <c r="KHL368" s="35"/>
      <c r="KHM368" s="35"/>
      <c r="KHN368" s="35"/>
      <c r="KHO368" s="34"/>
      <c r="KHP368" s="34"/>
      <c r="KHQ368" s="36"/>
      <c r="KHR368" s="36"/>
      <c r="KHS368" s="37"/>
      <c r="KHT368" s="37"/>
      <c r="KHU368" s="38"/>
      <c r="KHV368" s="38"/>
      <c r="KHW368" s="39"/>
      <c r="KHX368" s="34"/>
      <c r="KHY368" s="34"/>
      <c r="KHZ368" s="34"/>
      <c r="KIA368" s="35"/>
      <c r="KIB368" s="35"/>
      <c r="KIC368" s="35"/>
      <c r="KID368" s="35"/>
      <c r="KIE368" s="35"/>
      <c r="KIF368" s="34"/>
      <c r="KIG368" s="34"/>
      <c r="KIH368" s="36"/>
      <c r="KII368" s="36"/>
      <c r="KIJ368" s="37"/>
      <c r="KIK368" s="37"/>
      <c r="KIL368" s="38"/>
      <c r="KIM368" s="38"/>
      <c r="KIN368" s="39"/>
      <c r="KIO368" s="34"/>
      <c r="KIP368" s="34"/>
      <c r="KIQ368" s="34"/>
      <c r="KIR368" s="35"/>
      <c r="KIS368" s="35"/>
      <c r="KIT368" s="35"/>
      <c r="KIU368" s="35"/>
      <c r="KIV368" s="35"/>
      <c r="KIW368" s="34"/>
      <c r="KIX368" s="34"/>
      <c r="KIY368" s="36"/>
      <c r="KIZ368" s="36"/>
      <c r="KJA368" s="37"/>
      <c r="KJB368" s="37"/>
      <c r="KJC368" s="38"/>
      <c r="KJD368" s="38"/>
      <c r="KJE368" s="39"/>
      <c r="KJF368" s="34"/>
      <c r="KJG368" s="34"/>
      <c r="KJH368" s="34"/>
      <c r="KJI368" s="35"/>
      <c r="KJJ368" s="35"/>
      <c r="KJK368" s="35"/>
      <c r="KJL368" s="35"/>
      <c r="KJM368" s="35"/>
      <c r="KJN368" s="34"/>
      <c r="KJO368" s="34"/>
      <c r="KJP368" s="36"/>
      <c r="KJQ368" s="36"/>
      <c r="KJR368" s="37"/>
      <c r="KJS368" s="37"/>
      <c r="KJT368" s="38"/>
      <c r="KJU368" s="38"/>
      <c r="KJV368" s="39"/>
      <c r="KJW368" s="34"/>
      <c r="KJX368" s="34"/>
      <c r="KJY368" s="34"/>
      <c r="KJZ368" s="35"/>
      <c r="KKA368" s="35"/>
      <c r="KKB368" s="35"/>
      <c r="KKC368" s="35"/>
      <c r="KKD368" s="35"/>
      <c r="KKE368" s="34"/>
      <c r="KKF368" s="34"/>
      <c r="KKG368" s="36"/>
      <c r="KKH368" s="36"/>
      <c r="KKI368" s="37"/>
      <c r="KKJ368" s="37"/>
      <c r="KKK368" s="38"/>
      <c r="KKL368" s="38"/>
      <c r="KKM368" s="39"/>
      <c r="KKN368" s="34"/>
      <c r="KKO368" s="34"/>
      <c r="KKP368" s="34"/>
      <c r="KKQ368" s="35"/>
      <c r="KKR368" s="35"/>
      <c r="KKS368" s="35"/>
      <c r="KKT368" s="35"/>
      <c r="KKU368" s="35"/>
      <c r="KKV368" s="34"/>
      <c r="KKW368" s="34"/>
      <c r="KKX368" s="36"/>
      <c r="KKY368" s="36"/>
      <c r="KKZ368" s="37"/>
      <c r="KLA368" s="37"/>
      <c r="KLB368" s="38"/>
      <c r="KLC368" s="38"/>
      <c r="KLD368" s="39"/>
      <c r="KLE368" s="34"/>
      <c r="KLF368" s="34"/>
      <c r="KLG368" s="34"/>
      <c r="KLH368" s="35"/>
      <c r="KLI368" s="35"/>
      <c r="KLJ368" s="35"/>
      <c r="KLK368" s="35"/>
      <c r="KLL368" s="35"/>
      <c r="KLM368" s="34"/>
      <c r="KLN368" s="34"/>
      <c r="KLO368" s="36"/>
      <c r="KLP368" s="36"/>
      <c r="KLQ368" s="37"/>
      <c r="KLR368" s="37"/>
      <c r="KLS368" s="38"/>
      <c r="KLT368" s="38"/>
      <c r="KLU368" s="39"/>
      <c r="KLV368" s="34"/>
      <c r="KLW368" s="34"/>
      <c r="KLX368" s="34"/>
      <c r="KLY368" s="35"/>
      <c r="KLZ368" s="35"/>
      <c r="KMA368" s="35"/>
      <c r="KMB368" s="35"/>
      <c r="KMC368" s="35"/>
      <c r="KMD368" s="34"/>
      <c r="KME368" s="34"/>
      <c r="KMF368" s="36"/>
      <c r="KMG368" s="36"/>
      <c r="KMH368" s="37"/>
      <c r="KMI368" s="37"/>
      <c r="KMJ368" s="38"/>
      <c r="KMK368" s="38"/>
      <c r="KML368" s="39"/>
      <c r="KMM368" s="34"/>
      <c r="KMN368" s="34"/>
      <c r="KMO368" s="34"/>
      <c r="KMP368" s="35"/>
      <c r="KMQ368" s="35"/>
      <c r="KMR368" s="35"/>
      <c r="KMS368" s="35"/>
      <c r="KMT368" s="35"/>
      <c r="KMU368" s="34"/>
      <c r="KMV368" s="34"/>
      <c r="KMW368" s="36"/>
      <c r="KMX368" s="36"/>
      <c r="KMY368" s="37"/>
      <c r="KMZ368" s="37"/>
      <c r="KNA368" s="38"/>
      <c r="KNB368" s="38"/>
      <c r="KNC368" s="39"/>
      <c r="KND368" s="34"/>
      <c r="KNE368" s="34"/>
      <c r="KNF368" s="34"/>
      <c r="KNG368" s="35"/>
      <c r="KNH368" s="35"/>
      <c r="KNI368" s="35"/>
      <c r="KNJ368" s="35"/>
      <c r="KNK368" s="35"/>
      <c r="KNL368" s="34"/>
      <c r="KNM368" s="34"/>
      <c r="KNN368" s="36"/>
      <c r="KNO368" s="36"/>
      <c r="KNP368" s="37"/>
      <c r="KNQ368" s="37"/>
      <c r="KNR368" s="38"/>
      <c r="KNS368" s="38"/>
      <c r="KNT368" s="39"/>
      <c r="KNU368" s="34"/>
      <c r="KNV368" s="34"/>
      <c r="KNW368" s="34"/>
      <c r="KNX368" s="35"/>
      <c r="KNY368" s="35"/>
      <c r="KNZ368" s="35"/>
      <c r="KOA368" s="35"/>
      <c r="KOB368" s="35"/>
      <c r="KOC368" s="34"/>
      <c r="KOD368" s="34"/>
      <c r="KOE368" s="36"/>
      <c r="KOF368" s="36"/>
      <c r="KOG368" s="37"/>
      <c r="KOH368" s="37"/>
      <c r="KOI368" s="38"/>
      <c r="KOJ368" s="38"/>
      <c r="KOK368" s="39"/>
      <c r="KOL368" s="34"/>
      <c r="KOM368" s="34"/>
      <c r="KON368" s="34"/>
      <c r="KOO368" s="35"/>
      <c r="KOP368" s="35"/>
      <c r="KOQ368" s="35"/>
      <c r="KOR368" s="35"/>
      <c r="KOS368" s="35"/>
      <c r="KOT368" s="34"/>
      <c r="KOU368" s="34"/>
      <c r="KOV368" s="36"/>
      <c r="KOW368" s="36"/>
      <c r="KOX368" s="37"/>
      <c r="KOY368" s="37"/>
      <c r="KOZ368" s="38"/>
      <c r="KPA368" s="38"/>
      <c r="KPB368" s="39"/>
      <c r="KPC368" s="34"/>
      <c r="KPD368" s="34"/>
      <c r="KPE368" s="34"/>
      <c r="KPF368" s="35"/>
      <c r="KPG368" s="35"/>
      <c r="KPH368" s="35"/>
      <c r="KPI368" s="35"/>
      <c r="KPJ368" s="35"/>
      <c r="KPK368" s="34"/>
      <c r="KPL368" s="34"/>
      <c r="KPM368" s="36"/>
      <c r="KPN368" s="36"/>
      <c r="KPO368" s="37"/>
      <c r="KPP368" s="37"/>
      <c r="KPQ368" s="38"/>
      <c r="KPR368" s="38"/>
      <c r="KPS368" s="39"/>
      <c r="KPT368" s="34"/>
      <c r="KPU368" s="34"/>
      <c r="KPV368" s="34"/>
      <c r="KPW368" s="35"/>
      <c r="KPX368" s="35"/>
      <c r="KPY368" s="35"/>
      <c r="KPZ368" s="35"/>
      <c r="KQA368" s="35"/>
      <c r="KQB368" s="34"/>
      <c r="KQC368" s="34"/>
      <c r="KQD368" s="36"/>
      <c r="KQE368" s="36"/>
      <c r="KQF368" s="37"/>
      <c r="KQG368" s="37"/>
      <c r="KQH368" s="38"/>
      <c r="KQI368" s="38"/>
      <c r="KQJ368" s="39"/>
      <c r="KQK368" s="34"/>
      <c r="KQL368" s="34"/>
      <c r="KQM368" s="34"/>
      <c r="KQN368" s="35"/>
      <c r="KQO368" s="35"/>
      <c r="KQP368" s="35"/>
      <c r="KQQ368" s="35"/>
      <c r="KQR368" s="35"/>
      <c r="KQS368" s="34"/>
      <c r="KQT368" s="34"/>
      <c r="KQU368" s="36"/>
      <c r="KQV368" s="36"/>
      <c r="KQW368" s="37"/>
      <c r="KQX368" s="37"/>
      <c r="KQY368" s="38"/>
      <c r="KQZ368" s="38"/>
      <c r="KRA368" s="39"/>
      <c r="KRB368" s="34"/>
      <c r="KRC368" s="34"/>
      <c r="KRD368" s="34"/>
      <c r="KRE368" s="35"/>
      <c r="KRF368" s="35"/>
      <c r="KRG368" s="35"/>
      <c r="KRH368" s="35"/>
      <c r="KRI368" s="35"/>
      <c r="KRJ368" s="34"/>
      <c r="KRK368" s="34"/>
      <c r="KRL368" s="36"/>
      <c r="KRM368" s="36"/>
      <c r="KRN368" s="37"/>
      <c r="KRO368" s="37"/>
      <c r="KRP368" s="38"/>
      <c r="KRQ368" s="38"/>
      <c r="KRR368" s="39"/>
      <c r="KRS368" s="34"/>
      <c r="KRT368" s="34"/>
      <c r="KRU368" s="34"/>
      <c r="KRV368" s="35"/>
      <c r="KRW368" s="35"/>
      <c r="KRX368" s="35"/>
      <c r="KRY368" s="35"/>
      <c r="KRZ368" s="35"/>
      <c r="KSA368" s="34"/>
      <c r="KSB368" s="34"/>
      <c r="KSC368" s="36"/>
      <c r="KSD368" s="36"/>
      <c r="KSE368" s="37"/>
      <c r="KSF368" s="37"/>
      <c r="KSG368" s="38"/>
      <c r="KSH368" s="38"/>
      <c r="KSI368" s="39"/>
      <c r="KSJ368" s="34"/>
      <c r="KSK368" s="34"/>
      <c r="KSL368" s="34"/>
      <c r="KSM368" s="35"/>
      <c r="KSN368" s="35"/>
      <c r="KSO368" s="35"/>
      <c r="KSP368" s="35"/>
      <c r="KSQ368" s="35"/>
      <c r="KSR368" s="34"/>
      <c r="KSS368" s="34"/>
      <c r="KST368" s="36"/>
      <c r="KSU368" s="36"/>
      <c r="KSV368" s="37"/>
      <c r="KSW368" s="37"/>
      <c r="KSX368" s="38"/>
      <c r="KSY368" s="38"/>
      <c r="KSZ368" s="39"/>
      <c r="KTA368" s="34"/>
      <c r="KTB368" s="34"/>
      <c r="KTC368" s="34"/>
      <c r="KTD368" s="35"/>
      <c r="KTE368" s="35"/>
      <c r="KTF368" s="35"/>
      <c r="KTG368" s="35"/>
      <c r="KTH368" s="35"/>
      <c r="KTI368" s="34"/>
      <c r="KTJ368" s="34"/>
      <c r="KTK368" s="36"/>
      <c r="KTL368" s="36"/>
      <c r="KTM368" s="37"/>
      <c r="KTN368" s="37"/>
      <c r="KTO368" s="38"/>
      <c r="KTP368" s="38"/>
      <c r="KTQ368" s="39"/>
      <c r="KTR368" s="34"/>
      <c r="KTS368" s="34"/>
      <c r="KTT368" s="34"/>
      <c r="KTU368" s="35"/>
      <c r="KTV368" s="35"/>
      <c r="KTW368" s="35"/>
      <c r="KTX368" s="35"/>
      <c r="KTY368" s="35"/>
      <c r="KTZ368" s="34"/>
      <c r="KUA368" s="34"/>
      <c r="KUB368" s="36"/>
      <c r="KUC368" s="36"/>
      <c r="KUD368" s="37"/>
      <c r="KUE368" s="37"/>
      <c r="KUF368" s="38"/>
      <c r="KUG368" s="38"/>
      <c r="KUH368" s="39"/>
      <c r="KUI368" s="34"/>
      <c r="KUJ368" s="34"/>
      <c r="KUK368" s="34"/>
      <c r="KUL368" s="35"/>
      <c r="KUM368" s="35"/>
      <c r="KUN368" s="35"/>
      <c r="KUO368" s="35"/>
      <c r="KUP368" s="35"/>
      <c r="KUQ368" s="34"/>
      <c r="KUR368" s="34"/>
      <c r="KUS368" s="36"/>
      <c r="KUT368" s="36"/>
      <c r="KUU368" s="37"/>
      <c r="KUV368" s="37"/>
      <c r="KUW368" s="38"/>
      <c r="KUX368" s="38"/>
      <c r="KUY368" s="39"/>
      <c r="KUZ368" s="34"/>
      <c r="KVA368" s="34"/>
      <c r="KVB368" s="34"/>
      <c r="KVC368" s="35"/>
      <c r="KVD368" s="35"/>
      <c r="KVE368" s="35"/>
      <c r="KVF368" s="35"/>
      <c r="KVG368" s="35"/>
      <c r="KVH368" s="34"/>
      <c r="KVI368" s="34"/>
      <c r="KVJ368" s="36"/>
      <c r="KVK368" s="36"/>
      <c r="KVL368" s="37"/>
      <c r="KVM368" s="37"/>
      <c r="KVN368" s="38"/>
      <c r="KVO368" s="38"/>
      <c r="KVP368" s="39"/>
      <c r="KVQ368" s="34"/>
      <c r="KVR368" s="34"/>
      <c r="KVS368" s="34"/>
      <c r="KVT368" s="35"/>
      <c r="KVU368" s="35"/>
      <c r="KVV368" s="35"/>
      <c r="KVW368" s="35"/>
      <c r="KVX368" s="35"/>
      <c r="KVY368" s="34"/>
      <c r="KVZ368" s="34"/>
      <c r="KWA368" s="36"/>
      <c r="KWB368" s="36"/>
      <c r="KWC368" s="37"/>
      <c r="KWD368" s="37"/>
      <c r="KWE368" s="38"/>
      <c r="KWF368" s="38"/>
      <c r="KWG368" s="39"/>
      <c r="KWH368" s="34"/>
      <c r="KWI368" s="34"/>
      <c r="KWJ368" s="34"/>
      <c r="KWK368" s="35"/>
      <c r="KWL368" s="35"/>
      <c r="KWM368" s="35"/>
      <c r="KWN368" s="35"/>
      <c r="KWO368" s="35"/>
      <c r="KWP368" s="34"/>
      <c r="KWQ368" s="34"/>
      <c r="KWR368" s="36"/>
      <c r="KWS368" s="36"/>
      <c r="KWT368" s="37"/>
      <c r="KWU368" s="37"/>
      <c r="KWV368" s="38"/>
      <c r="KWW368" s="38"/>
      <c r="KWX368" s="39"/>
      <c r="KWY368" s="34"/>
      <c r="KWZ368" s="34"/>
      <c r="KXA368" s="34"/>
      <c r="KXB368" s="35"/>
      <c r="KXC368" s="35"/>
      <c r="KXD368" s="35"/>
      <c r="KXE368" s="35"/>
      <c r="KXF368" s="35"/>
      <c r="KXG368" s="34"/>
      <c r="KXH368" s="34"/>
      <c r="KXI368" s="36"/>
      <c r="KXJ368" s="36"/>
      <c r="KXK368" s="37"/>
      <c r="KXL368" s="37"/>
      <c r="KXM368" s="38"/>
      <c r="KXN368" s="38"/>
      <c r="KXO368" s="39"/>
      <c r="KXP368" s="34"/>
      <c r="KXQ368" s="34"/>
      <c r="KXR368" s="34"/>
      <c r="KXS368" s="35"/>
      <c r="KXT368" s="35"/>
      <c r="KXU368" s="35"/>
      <c r="KXV368" s="35"/>
      <c r="KXW368" s="35"/>
      <c r="KXX368" s="34"/>
      <c r="KXY368" s="34"/>
      <c r="KXZ368" s="36"/>
      <c r="KYA368" s="36"/>
      <c r="KYB368" s="37"/>
      <c r="KYC368" s="37"/>
      <c r="KYD368" s="38"/>
      <c r="KYE368" s="38"/>
      <c r="KYF368" s="39"/>
      <c r="KYG368" s="34"/>
      <c r="KYH368" s="34"/>
      <c r="KYI368" s="34"/>
      <c r="KYJ368" s="35"/>
      <c r="KYK368" s="35"/>
      <c r="KYL368" s="35"/>
      <c r="KYM368" s="35"/>
      <c r="KYN368" s="35"/>
      <c r="KYO368" s="34"/>
      <c r="KYP368" s="34"/>
      <c r="KYQ368" s="36"/>
      <c r="KYR368" s="36"/>
      <c r="KYS368" s="37"/>
      <c r="KYT368" s="37"/>
      <c r="KYU368" s="38"/>
      <c r="KYV368" s="38"/>
      <c r="KYW368" s="39"/>
      <c r="KYX368" s="34"/>
      <c r="KYY368" s="34"/>
      <c r="KYZ368" s="34"/>
      <c r="KZA368" s="35"/>
      <c r="KZB368" s="35"/>
      <c r="KZC368" s="35"/>
      <c r="KZD368" s="35"/>
      <c r="KZE368" s="35"/>
      <c r="KZF368" s="34"/>
      <c r="KZG368" s="34"/>
      <c r="KZH368" s="36"/>
      <c r="KZI368" s="36"/>
      <c r="KZJ368" s="37"/>
      <c r="KZK368" s="37"/>
      <c r="KZL368" s="38"/>
      <c r="KZM368" s="38"/>
      <c r="KZN368" s="39"/>
      <c r="KZO368" s="34"/>
      <c r="KZP368" s="34"/>
      <c r="KZQ368" s="34"/>
      <c r="KZR368" s="35"/>
      <c r="KZS368" s="35"/>
      <c r="KZT368" s="35"/>
      <c r="KZU368" s="35"/>
      <c r="KZV368" s="35"/>
      <c r="KZW368" s="34"/>
      <c r="KZX368" s="34"/>
      <c r="KZY368" s="36"/>
      <c r="KZZ368" s="36"/>
      <c r="LAA368" s="37"/>
      <c r="LAB368" s="37"/>
      <c r="LAC368" s="38"/>
      <c r="LAD368" s="38"/>
      <c r="LAE368" s="39"/>
      <c r="LAF368" s="34"/>
      <c r="LAG368" s="34"/>
      <c r="LAH368" s="34"/>
      <c r="LAI368" s="35"/>
      <c r="LAJ368" s="35"/>
      <c r="LAK368" s="35"/>
      <c r="LAL368" s="35"/>
      <c r="LAM368" s="35"/>
      <c r="LAN368" s="34"/>
      <c r="LAO368" s="34"/>
      <c r="LAP368" s="36"/>
      <c r="LAQ368" s="36"/>
      <c r="LAR368" s="37"/>
      <c r="LAS368" s="37"/>
      <c r="LAT368" s="38"/>
      <c r="LAU368" s="38"/>
      <c r="LAV368" s="39"/>
      <c r="LAW368" s="34"/>
      <c r="LAX368" s="34"/>
      <c r="LAY368" s="34"/>
      <c r="LAZ368" s="35"/>
      <c r="LBA368" s="35"/>
      <c r="LBB368" s="35"/>
      <c r="LBC368" s="35"/>
      <c r="LBD368" s="35"/>
      <c r="LBE368" s="34"/>
      <c r="LBF368" s="34"/>
      <c r="LBG368" s="36"/>
      <c r="LBH368" s="36"/>
      <c r="LBI368" s="37"/>
      <c r="LBJ368" s="37"/>
      <c r="LBK368" s="38"/>
      <c r="LBL368" s="38"/>
      <c r="LBM368" s="39"/>
      <c r="LBN368" s="34"/>
      <c r="LBO368" s="34"/>
      <c r="LBP368" s="34"/>
      <c r="LBQ368" s="35"/>
      <c r="LBR368" s="35"/>
      <c r="LBS368" s="35"/>
      <c r="LBT368" s="35"/>
      <c r="LBU368" s="35"/>
      <c r="LBV368" s="34"/>
      <c r="LBW368" s="34"/>
      <c r="LBX368" s="36"/>
      <c r="LBY368" s="36"/>
      <c r="LBZ368" s="37"/>
      <c r="LCA368" s="37"/>
      <c r="LCB368" s="38"/>
      <c r="LCC368" s="38"/>
      <c r="LCD368" s="39"/>
      <c r="LCE368" s="34"/>
      <c r="LCF368" s="34"/>
      <c r="LCG368" s="34"/>
      <c r="LCH368" s="35"/>
      <c r="LCI368" s="35"/>
      <c r="LCJ368" s="35"/>
      <c r="LCK368" s="35"/>
      <c r="LCL368" s="35"/>
      <c r="LCM368" s="34"/>
      <c r="LCN368" s="34"/>
      <c r="LCO368" s="36"/>
      <c r="LCP368" s="36"/>
      <c r="LCQ368" s="37"/>
      <c r="LCR368" s="37"/>
      <c r="LCS368" s="38"/>
      <c r="LCT368" s="38"/>
      <c r="LCU368" s="39"/>
      <c r="LCV368" s="34"/>
      <c r="LCW368" s="34"/>
      <c r="LCX368" s="34"/>
      <c r="LCY368" s="35"/>
      <c r="LCZ368" s="35"/>
      <c r="LDA368" s="35"/>
      <c r="LDB368" s="35"/>
      <c r="LDC368" s="35"/>
      <c r="LDD368" s="34"/>
      <c r="LDE368" s="34"/>
      <c r="LDF368" s="36"/>
      <c r="LDG368" s="36"/>
      <c r="LDH368" s="37"/>
      <c r="LDI368" s="37"/>
      <c r="LDJ368" s="38"/>
      <c r="LDK368" s="38"/>
      <c r="LDL368" s="39"/>
      <c r="LDM368" s="34"/>
      <c r="LDN368" s="34"/>
      <c r="LDO368" s="34"/>
      <c r="LDP368" s="35"/>
      <c r="LDQ368" s="35"/>
      <c r="LDR368" s="35"/>
      <c r="LDS368" s="35"/>
      <c r="LDT368" s="35"/>
      <c r="LDU368" s="34"/>
      <c r="LDV368" s="34"/>
      <c r="LDW368" s="36"/>
      <c r="LDX368" s="36"/>
      <c r="LDY368" s="37"/>
      <c r="LDZ368" s="37"/>
      <c r="LEA368" s="38"/>
      <c r="LEB368" s="38"/>
      <c r="LEC368" s="39"/>
      <c r="LED368" s="34"/>
      <c r="LEE368" s="34"/>
      <c r="LEF368" s="34"/>
      <c r="LEG368" s="35"/>
      <c r="LEH368" s="35"/>
      <c r="LEI368" s="35"/>
      <c r="LEJ368" s="35"/>
      <c r="LEK368" s="35"/>
      <c r="LEL368" s="34"/>
      <c r="LEM368" s="34"/>
      <c r="LEN368" s="36"/>
      <c r="LEO368" s="36"/>
      <c r="LEP368" s="37"/>
      <c r="LEQ368" s="37"/>
      <c r="LER368" s="38"/>
      <c r="LES368" s="38"/>
      <c r="LET368" s="39"/>
      <c r="LEU368" s="34"/>
      <c r="LEV368" s="34"/>
      <c r="LEW368" s="34"/>
      <c r="LEX368" s="35"/>
      <c r="LEY368" s="35"/>
      <c r="LEZ368" s="35"/>
      <c r="LFA368" s="35"/>
      <c r="LFB368" s="35"/>
      <c r="LFC368" s="34"/>
      <c r="LFD368" s="34"/>
      <c r="LFE368" s="36"/>
      <c r="LFF368" s="36"/>
      <c r="LFG368" s="37"/>
      <c r="LFH368" s="37"/>
      <c r="LFI368" s="38"/>
      <c r="LFJ368" s="38"/>
      <c r="LFK368" s="39"/>
      <c r="LFL368" s="34"/>
      <c r="LFM368" s="34"/>
      <c r="LFN368" s="34"/>
      <c r="LFO368" s="35"/>
      <c r="LFP368" s="35"/>
      <c r="LFQ368" s="35"/>
      <c r="LFR368" s="35"/>
      <c r="LFS368" s="35"/>
      <c r="LFT368" s="34"/>
      <c r="LFU368" s="34"/>
      <c r="LFV368" s="36"/>
      <c r="LFW368" s="36"/>
      <c r="LFX368" s="37"/>
      <c r="LFY368" s="37"/>
      <c r="LFZ368" s="38"/>
      <c r="LGA368" s="38"/>
      <c r="LGB368" s="39"/>
      <c r="LGC368" s="34"/>
      <c r="LGD368" s="34"/>
      <c r="LGE368" s="34"/>
      <c r="LGF368" s="35"/>
      <c r="LGG368" s="35"/>
      <c r="LGH368" s="35"/>
      <c r="LGI368" s="35"/>
      <c r="LGJ368" s="35"/>
      <c r="LGK368" s="34"/>
      <c r="LGL368" s="34"/>
      <c r="LGM368" s="36"/>
      <c r="LGN368" s="36"/>
      <c r="LGO368" s="37"/>
      <c r="LGP368" s="37"/>
      <c r="LGQ368" s="38"/>
      <c r="LGR368" s="38"/>
      <c r="LGS368" s="39"/>
      <c r="LGT368" s="34"/>
      <c r="LGU368" s="34"/>
      <c r="LGV368" s="34"/>
      <c r="LGW368" s="35"/>
      <c r="LGX368" s="35"/>
      <c r="LGY368" s="35"/>
      <c r="LGZ368" s="35"/>
      <c r="LHA368" s="35"/>
      <c r="LHB368" s="34"/>
      <c r="LHC368" s="34"/>
      <c r="LHD368" s="36"/>
      <c r="LHE368" s="36"/>
      <c r="LHF368" s="37"/>
      <c r="LHG368" s="37"/>
      <c r="LHH368" s="38"/>
      <c r="LHI368" s="38"/>
      <c r="LHJ368" s="39"/>
      <c r="LHK368" s="34"/>
      <c r="LHL368" s="34"/>
      <c r="LHM368" s="34"/>
      <c r="LHN368" s="35"/>
      <c r="LHO368" s="35"/>
      <c r="LHP368" s="35"/>
      <c r="LHQ368" s="35"/>
      <c r="LHR368" s="35"/>
      <c r="LHS368" s="34"/>
      <c r="LHT368" s="34"/>
      <c r="LHU368" s="36"/>
      <c r="LHV368" s="36"/>
      <c r="LHW368" s="37"/>
      <c r="LHX368" s="37"/>
      <c r="LHY368" s="38"/>
      <c r="LHZ368" s="38"/>
      <c r="LIA368" s="39"/>
      <c r="LIB368" s="34"/>
      <c r="LIC368" s="34"/>
      <c r="LID368" s="34"/>
      <c r="LIE368" s="35"/>
      <c r="LIF368" s="35"/>
      <c r="LIG368" s="35"/>
      <c r="LIH368" s="35"/>
      <c r="LII368" s="35"/>
      <c r="LIJ368" s="34"/>
      <c r="LIK368" s="34"/>
      <c r="LIL368" s="36"/>
      <c r="LIM368" s="36"/>
      <c r="LIN368" s="37"/>
      <c r="LIO368" s="37"/>
      <c r="LIP368" s="38"/>
      <c r="LIQ368" s="38"/>
      <c r="LIR368" s="39"/>
      <c r="LIS368" s="34"/>
      <c r="LIT368" s="34"/>
      <c r="LIU368" s="34"/>
      <c r="LIV368" s="35"/>
      <c r="LIW368" s="35"/>
      <c r="LIX368" s="35"/>
      <c r="LIY368" s="35"/>
      <c r="LIZ368" s="35"/>
      <c r="LJA368" s="34"/>
      <c r="LJB368" s="34"/>
      <c r="LJC368" s="36"/>
      <c r="LJD368" s="36"/>
      <c r="LJE368" s="37"/>
      <c r="LJF368" s="37"/>
      <c r="LJG368" s="38"/>
      <c r="LJH368" s="38"/>
      <c r="LJI368" s="39"/>
      <c r="LJJ368" s="34"/>
      <c r="LJK368" s="34"/>
      <c r="LJL368" s="34"/>
      <c r="LJM368" s="35"/>
      <c r="LJN368" s="35"/>
      <c r="LJO368" s="35"/>
      <c r="LJP368" s="35"/>
      <c r="LJQ368" s="35"/>
      <c r="LJR368" s="34"/>
      <c r="LJS368" s="34"/>
      <c r="LJT368" s="36"/>
      <c r="LJU368" s="36"/>
      <c r="LJV368" s="37"/>
      <c r="LJW368" s="37"/>
      <c r="LJX368" s="38"/>
      <c r="LJY368" s="38"/>
      <c r="LJZ368" s="39"/>
      <c r="LKA368" s="34"/>
      <c r="LKB368" s="34"/>
      <c r="LKC368" s="34"/>
      <c r="LKD368" s="35"/>
      <c r="LKE368" s="35"/>
      <c r="LKF368" s="35"/>
      <c r="LKG368" s="35"/>
      <c r="LKH368" s="35"/>
      <c r="LKI368" s="34"/>
      <c r="LKJ368" s="34"/>
      <c r="LKK368" s="36"/>
      <c r="LKL368" s="36"/>
      <c r="LKM368" s="37"/>
      <c r="LKN368" s="37"/>
      <c r="LKO368" s="38"/>
      <c r="LKP368" s="38"/>
      <c r="LKQ368" s="39"/>
      <c r="LKR368" s="34"/>
      <c r="LKS368" s="34"/>
      <c r="LKT368" s="34"/>
      <c r="LKU368" s="35"/>
      <c r="LKV368" s="35"/>
      <c r="LKW368" s="35"/>
      <c r="LKX368" s="35"/>
      <c r="LKY368" s="35"/>
      <c r="LKZ368" s="34"/>
      <c r="LLA368" s="34"/>
      <c r="LLB368" s="36"/>
      <c r="LLC368" s="36"/>
      <c r="LLD368" s="37"/>
      <c r="LLE368" s="37"/>
      <c r="LLF368" s="38"/>
      <c r="LLG368" s="38"/>
      <c r="LLH368" s="39"/>
      <c r="LLI368" s="34"/>
      <c r="LLJ368" s="34"/>
      <c r="LLK368" s="34"/>
      <c r="LLL368" s="35"/>
      <c r="LLM368" s="35"/>
      <c r="LLN368" s="35"/>
      <c r="LLO368" s="35"/>
      <c r="LLP368" s="35"/>
      <c r="LLQ368" s="34"/>
      <c r="LLR368" s="34"/>
      <c r="LLS368" s="36"/>
      <c r="LLT368" s="36"/>
      <c r="LLU368" s="37"/>
      <c r="LLV368" s="37"/>
      <c r="LLW368" s="38"/>
      <c r="LLX368" s="38"/>
      <c r="LLY368" s="39"/>
      <c r="LLZ368" s="34"/>
      <c r="LMA368" s="34"/>
      <c r="LMB368" s="34"/>
      <c r="LMC368" s="35"/>
      <c r="LMD368" s="35"/>
      <c r="LME368" s="35"/>
      <c r="LMF368" s="35"/>
      <c r="LMG368" s="35"/>
      <c r="LMH368" s="34"/>
      <c r="LMI368" s="34"/>
      <c r="LMJ368" s="36"/>
      <c r="LMK368" s="36"/>
      <c r="LML368" s="37"/>
      <c r="LMM368" s="37"/>
      <c r="LMN368" s="38"/>
      <c r="LMO368" s="38"/>
      <c r="LMP368" s="39"/>
      <c r="LMQ368" s="34"/>
      <c r="LMR368" s="34"/>
      <c r="LMS368" s="34"/>
      <c r="LMT368" s="35"/>
      <c r="LMU368" s="35"/>
      <c r="LMV368" s="35"/>
      <c r="LMW368" s="35"/>
      <c r="LMX368" s="35"/>
      <c r="LMY368" s="34"/>
      <c r="LMZ368" s="34"/>
      <c r="LNA368" s="36"/>
      <c r="LNB368" s="36"/>
      <c r="LNC368" s="37"/>
      <c r="LND368" s="37"/>
      <c r="LNE368" s="38"/>
      <c r="LNF368" s="38"/>
      <c r="LNG368" s="39"/>
      <c r="LNH368" s="34"/>
      <c r="LNI368" s="34"/>
      <c r="LNJ368" s="34"/>
      <c r="LNK368" s="35"/>
      <c r="LNL368" s="35"/>
      <c r="LNM368" s="35"/>
      <c r="LNN368" s="35"/>
      <c r="LNO368" s="35"/>
      <c r="LNP368" s="34"/>
      <c r="LNQ368" s="34"/>
      <c r="LNR368" s="36"/>
      <c r="LNS368" s="36"/>
      <c r="LNT368" s="37"/>
      <c r="LNU368" s="37"/>
      <c r="LNV368" s="38"/>
      <c r="LNW368" s="38"/>
      <c r="LNX368" s="39"/>
      <c r="LNY368" s="34"/>
      <c r="LNZ368" s="34"/>
      <c r="LOA368" s="34"/>
      <c r="LOB368" s="35"/>
      <c r="LOC368" s="35"/>
      <c r="LOD368" s="35"/>
      <c r="LOE368" s="35"/>
      <c r="LOF368" s="35"/>
      <c r="LOG368" s="34"/>
      <c r="LOH368" s="34"/>
      <c r="LOI368" s="36"/>
      <c r="LOJ368" s="36"/>
      <c r="LOK368" s="37"/>
      <c r="LOL368" s="37"/>
      <c r="LOM368" s="38"/>
      <c r="LON368" s="38"/>
      <c r="LOO368" s="39"/>
      <c r="LOP368" s="34"/>
      <c r="LOQ368" s="34"/>
      <c r="LOR368" s="34"/>
      <c r="LOS368" s="35"/>
      <c r="LOT368" s="35"/>
      <c r="LOU368" s="35"/>
      <c r="LOV368" s="35"/>
      <c r="LOW368" s="35"/>
      <c r="LOX368" s="34"/>
      <c r="LOY368" s="34"/>
      <c r="LOZ368" s="36"/>
      <c r="LPA368" s="36"/>
      <c r="LPB368" s="37"/>
      <c r="LPC368" s="37"/>
      <c r="LPD368" s="38"/>
      <c r="LPE368" s="38"/>
      <c r="LPF368" s="39"/>
      <c r="LPG368" s="34"/>
      <c r="LPH368" s="34"/>
      <c r="LPI368" s="34"/>
      <c r="LPJ368" s="35"/>
      <c r="LPK368" s="35"/>
      <c r="LPL368" s="35"/>
      <c r="LPM368" s="35"/>
      <c r="LPN368" s="35"/>
      <c r="LPO368" s="34"/>
      <c r="LPP368" s="34"/>
      <c r="LPQ368" s="36"/>
      <c r="LPR368" s="36"/>
      <c r="LPS368" s="37"/>
      <c r="LPT368" s="37"/>
      <c r="LPU368" s="38"/>
      <c r="LPV368" s="38"/>
      <c r="LPW368" s="39"/>
      <c r="LPX368" s="34"/>
      <c r="LPY368" s="34"/>
      <c r="LPZ368" s="34"/>
      <c r="LQA368" s="35"/>
      <c r="LQB368" s="35"/>
      <c r="LQC368" s="35"/>
      <c r="LQD368" s="35"/>
      <c r="LQE368" s="35"/>
      <c r="LQF368" s="34"/>
      <c r="LQG368" s="34"/>
      <c r="LQH368" s="36"/>
      <c r="LQI368" s="36"/>
      <c r="LQJ368" s="37"/>
      <c r="LQK368" s="37"/>
      <c r="LQL368" s="38"/>
      <c r="LQM368" s="38"/>
      <c r="LQN368" s="39"/>
      <c r="LQO368" s="34"/>
      <c r="LQP368" s="34"/>
      <c r="LQQ368" s="34"/>
      <c r="LQR368" s="35"/>
      <c r="LQS368" s="35"/>
      <c r="LQT368" s="35"/>
      <c r="LQU368" s="35"/>
      <c r="LQV368" s="35"/>
      <c r="LQW368" s="34"/>
      <c r="LQX368" s="34"/>
      <c r="LQY368" s="36"/>
      <c r="LQZ368" s="36"/>
      <c r="LRA368" s="37"/>
      <c r="LRB368" s="37"/>
      <c r="LRC368" s="38"/>
      <c r="LRD368" s="38"/>
      <c r="LRE368" s="39"/>
      <c r="LRF368" s="34"/>
      <c r="LRG368" s="34"/>
      <c r="LRH368" s="34"/>
      <c r="LRI368" s="35"/>
      <c r="LRJ368" s="35"/>
      <c r="LRK368" s="35"/>
      <c r="LRL368" s="35"/>
      <c r="LRM368" s="35"/>
      <c r="LRN368" s="34"/>
      <c r="LRO368" s="34"/>
      <c r="LRP368" s="36"/>
      <c r="LRQ368" s="36"/>
      <c r="LRR368" s="37"/>
      <c r="LRS368" s="37"/>
      <c r="LRT368" s="38"/>
      <c r="LRU368" s="38"/>
      <c r="LRV368" s="39"/>
      <c r="LRW368" s="34"/>
      <c r="LRX368" s="34"/>
      <c r="LRY368" s="34"/>
      <c r="LRZ368" s="35"/>
      <c r="LSA368" s="35"/>
      <c r="LSB368" s="35"/>
      <c r="LSC368" s="35"/>
      <c r="LSD368" s="35"/>
      <c r="LSE368" s="34"/>
      <c r="LSF368" s="34"/>
      <c r="LSG368" s="36"/>
      <c r="LSH368" s="36"/>
      <c r="LSI368" s="37"/>
      <c r="LSJ368" s="37"/>
      <c r="LSK368" s="38"/>
      <c r="LSL368" s="38"/>
      <c r="LSM368" s="39"/>
      <c r="LSN368" s="34"/>
      <c r="LSO368" s="34"/>
      <c r="LSP368" s="34"/>
      <c r="LSQ368" s="35"/>
      <c r="LSR368" s="35"/>
      <c r="LSS368" s="35"/>
      <c r="LST368" s="35"/>
      <c r="LSU368" s="35"/>
      <c r="LSV368" s="34"/>
      <c r="LSW368" s="34"/>
      <c r="LSX368" s="36"/>
      <c r="LSY368" s="36"/>
      <c r="LSZ368" s="37"/>
      <c r="LTA368" s="37"/>
      <c r="LTB368" s="38"/>
      <c r="LTC368" s="38"/>
      <c r="LTD368" s="39"/>
      <c r="LTE368" s="34"/>
      <c r="LTF368" s="34"/>
      <c r="LTG368" s="34"/>
      <c r="LTH368" s="35"/>
      <c r="LTI368" s="35"/>
      <c r="LTJ368" s="35"/>
      <c r="LTK368" s="35"/>
      <c r="LTL368" s="35"/>
      <c r="LTM368" s="34"/>
      <c r="LTN368" s="34"/>
      <c r="LTO368" s="36"/>
      <c r="LTP368" s="36"/>
      <c r="LTQ368" s="37"/>
      <c r="LTR368" s="37"/>
      <c r="LTS368" s="38"/>
      <c r="LTT368" s="38"/>
      <c r="LTU368" s="39"/>
      <c r="LTV368" s="34"/>
      <c r="LTW368" s="34"/>
      <c r="LTX368" s="34"/>
      <c r="LTY368" s="35"/>
      <c r="LTZ368" s="35"/>
      <c r="LUA368" s="35"/>
      <c r="LUB368" s="35"/>
      <c r="LUC368" s="35"/>
      <c r="LUD368" s="34"/>
      <c r="LUE368" s="34"/>
      <c r="LUF368" s="36"/>
      <c r="LUG368" s="36"/>
      <c r="LUH368" s="37"/>
      <c r="LUI368" s="37"/>
      <c r="LUJ368" s="38"/>
      <c r="LUK368" s="38"/>
      <c r="LUL368" s="39"/>
      <c r="LUM368" s="34"/>
      <c r="LUN368" s="34"/>
      <c r="LUO368" s="34"/>
      <c r="LUP368" s="35"/>
      <c r="LUQ368" s="35"/>
      <c r="LUR368" s="35"/>
      <c r="LUS368" s="35"/>
      <c r="LUT368" s="35"/>
      <c r="LUU368" s="34"/>
      <c r="LUV368" s="34"/>
      <c r="LUW368" s="36"/>
      <c r="LUX368" s="36"/>
      <c r="LUY368" s="37"/>
      <c r="LUZ368" s="37"/>
      <c r="LVA368" s="38"/>
      <c r="LVB368" s="38"/>
      <c r="LVC368" s="39"/>
      <c r="LVD368" s="34"/>
      <c r="LVE368" s="34"/>
      <c r="LVF368" s="34"/>
      <c r="LVG368" s="35"/>
      <c r="LVH368" s="35"/>
      <c r="LVI368" s="35"/>
      <c r="LVJ368" s="35"/>
      <c r="LVK368" s="35"/>
      <c r="LVL368" s="34"/>
      <c r="LVM368" s="34"/>
      <c r="LVN368" s="36"/>
      <c r="LVO368" s="36"/>
      <c r="LVP368" s="37"/>
      <c r="LVQ368" s="37"/>
      <c r="LVR368" s="38"/>
      <c r="LVS368" s="38"/>
      <c r="LVT368" s="39"/>
      <c r="LVU368" s="34"/>
      <c r="LVV368" s="34"/>
      <c r="LVW368" s="34"/>
      <c r="LVX368" s="35"/>
      <c r="LVY368" s="35"/>
      <c r="LVZ368" s="35"/>
      <c r="LWA368" s="35"/>
      <c r="LWB368" s="35"/>
      <c r="LWC368" s="34"/>
      <c r="LWD368" s="34"/>
      <c r="LWE368" s="36"/>
      <c r="LWF368" s="36"/>
      <c r="LWG368" s="37"/>
      <c r="LWH368" s="37"/>
      <c r="LWI368" s="38"/>
      <c r="LWJ368" s="38"/>
      <c r="LWK368" s="39"/>
      <c r="LWL368" s="34"/>
      <c r="LWM368" s="34"/>
      <c r="LWN368" s="34"/>
      <c r="LWO368" s="35"/>
      <c r="LWP368" s="35"/>
      <c r="LWQ368" s="35"/>
      <c r="LWR368" s="35"/>
      <c r="LWS368" s="35"/>
      <c r="LWT368" s="34"/>
      <c r="LWU368" s="34"/>
      <c r="LWV368" s="36"/>
      <c r="LWW368" s="36"/>
      <c r="LWX368" s="37"/>
      <c r="LWY368" s="37"/>
      <c r="LWZ368" s="38"/>
      <c r="LXA368" s="38"/>
      <c r="LXB368" s="39"/>
      <c r="LXC368" s="34"/>
      <c r="LXD368" s="34"/>
      <c r="LXE368" s="34"/>
      <c r="LXF368" s="35"/>
      <c r="LXG368" s="35"/>
      <c r="LXH368" s="35"/>
      <c r="LXI368" s="35"/>
      <c r="LXJ368" s="35"/>
      <c r="LXK368" s="34"/>
      <c r="LXL368" s="34"/>
      <c r="LXM368" s="36"/>
      <c r="LXN368" s="36"/>
      <c r="LXO368" s="37"/>
      <c r="LXP368" s="37"/>
      <c r="LXQ368" s="38"/>
      <c r="LXR368" s="38"/>
      <c r="LXS368" s="39"/>
      <c r="LXT368" s="34"/>
      <c r="LXU368" s="34"/>
      <c r="LXV368" s="34"/>
      <c r="LXW368" s="35"/>
      <c r="LXX368" s="35"/>
      <c r="LXY368" s="35"/>
      <c r="LXZ368" s="35"/>
      <c r="LYA368" s="35"/>
      <c r="LYB368" s="34"/>
      <c r="LYC368" s="34"/>
      <c r="LYD368" s="36"/>
      <c r="LYE368" s="36"/>
      <c r="LYF368" s="37"/>
      <c r="LYG368" s="37"/>
      <c r="LYH368" s="38"/>
      <c r="LYI368" s="38"/>
      <c r="LYJ368" s="39"/>
      <c r="LYK368" s="34"/>
      <c r="LYL368" s="34"/>
      <c r="LYM368" s="34"/>
      <c r="LYN368" s="35"/>
      <c r="LYO368" s="35"/>
      <c r="LYP368" s="35"/>
      <c r="LYQ368" s="35"/>
      <c r="LYR368" s="35"/>
      <c r="LYS368" s="34"/>
      <c r="LYT368" s="34"/>
      <c r="LYU368" s="36"/>
      <c r="LYV368" s="36"/>
      <c r="LYW368" s="37"/>
      <c r="LYX368" s="37"/>
      <c r="LYY368" s="38"/>
      <c r="LYZ368" s="38"/>
      <c r="LZA368" s="39"/>
      <c r="LZB368" s="34"/>
      <c r="LZC368" s="34"/>
      <c r="LZD368" s="34"/>
      <c r="LZE368" s="35"/>
      <c r="LZF368" s="35"/>
      <c r="LZG368" s="35"/>
      <c r="LZH368" s="35"/>
      <c r="LZI368" s="35"/>
      <c r="LZJ368" s="34"/>
      <c r="LZK368" s="34"/>
      <c r="LZL368" s="36"/>
      <c r="LZM368" s="36"/>
      <c r="LZN368" s="37"/>
      <c r="LZO368" s="37"/>
      <c r="LZP368" s="38"/>
      <c r="LZQ368" s="38"/>
      <c r="LZR368" s="39"/>
      <c r="LZS368" s="34"/>
      <c r="LZT368" s="34"/>
      <c r="LZU368" s="34"/>
      <c r="LZV368" s="35"/>
      <c r="LZW368" s="35"/>
      <c r="LZX368" s="35"/>
      <c r="LZY368" s="35"/>
      <c r="LZZ368" s="35"/>
      <c r="MAA368" s="34"/>
      <c r="MAB368" s="34"/>
      <c r="MAC368" s="36"/>
      <c r="MAD368" s="36"/>
      <c r="MAE368" s="37"/>
      <c r="MAF368" s="37"/>
      <c r="MAG368" s="38"/>
      <c r="MAH368" s="38"/>
      <c r="MAI368" s="39"/>
      <c r="MAJ368" s="34"/>
      <c r="MAK368" s="34"/>
      <c r="MAL368" s="34"/>
      <c r="MAM368" s="35"/>
      <c r="MAN368" s="35"/>
      <c r="MAO368" s="35"/>
      <c r="MAP368" s="35"/>
      <c r="MAQ368" s="35"/>
      <c r="MAR368" s="34"/>
      <c r="MAS368" s="34"/>
      <c r="MAT368" s="36"/>
      <c r="MAU368" s="36"/>
      <c r="MAV368" s="37"/>
      <c r="MAW368" s="37"/>
      <c r="MAX368" s="38"/>
      <c r="MAY368" s="38"/>
      <c r="MAZ368" s="39"/>
      <c r="MBA368" s="34"/>
      <c r="MBB368" s="34"/>
      <c r="MBC368" s="34"/>
      <c r="MBD368" s="35"/>
      <c r="MBE368" s="35"/>
      <c r="MBF368" s="35"/>
      <c r="MBG368" s="35"/>
      <c r="MBH368" s="35"/>
      <c r="MBI368" s="34"/>
      <c r="MBJ368" s="34"/>
      <c r="MBK368" s="36"/>
      <c r="MBL368" s="36"/>
      <c r="MBM368" s="37"/>
      <c r="MBN368" s="37"/>
      <c r="MBO368" s="38"/>
      <c r="MBP368" s="38"/>
      <c r="MBQ368" s="39"/>
      <c r="MBR368" s="34"/>
      <c r="MBS368" s="34"/>
      <c r="MBT368" s="34"/>
      <c r="MBU368" s="35"/>
      <c r="MBV368" s="35"/>
      <c r="MBW368" s="35"/>
      <c r="MBX368" s="35"/>
      <c r="MBY368" s="35"/>
      <c r="MBZ368" s="34"/>
      <c r="MCA368" s="34"/>
      <c r="MCB368" s="36"/>
      <c r="MCC368" s="36"/>
      <c r="MCD368" s="37"/>
      <c r="MCE368" s="37"/>
      <c r="MCF368" s="38"/>
      <c r="MCG368" s="38"/>
      <c r="MCH368" s="39"/>
      <c r="MCI368" s="34"/>
      <c r="MCJ368" s="34"/>
      <c r="MCK368" s="34"/>
      <c r="MCL368" s="35"/>
      <c r="MCM368" s="35"/>
      <c r="MCN368" s="35"/>
      <c r="MCO368" s="35"/>
      <c r="MCP368" s="35"/>
      <c r="MCQ368" s="34"/>
      <c r="MCR368" s="34"/>
      <c r="MCS368" s="36"/>
      <c r="MCT368" s="36"/>
      <c r="MCU368" s="37"/>
      <c r="MCV368" s="37"/>
      <c r="MCW368" s="38"/>
      <c r="MCX368" s="38"/>
      <c r="MCY368" s="39"/>
      <c r="MCZ368" s="34"/>
      <c r="MDA368" s="34"/>
      <c r="MDB368" s="34"/>
      <c r="MDC368" s="35"/>
      <c r="MDD368" s="35"/>
      <c r="MDE368" s="35"/>
      <c r="MDF368" s="35"/>
      <c r="MDG368" s="35"/>
      <c r="MDH368" s="34"/>
      <c r="MDI368" s="34"/>
      <c r="MDJ368" s="36"/>
      <c r="MDK368" s="36"/>
      <c r="MDL368" s="37"/>
      <c r="MDM368" s="37"/>
      <c r="MDN368" s="38"/>
      <c r="MDO368" s="38"/>
      <c r="MDP368" s="39"/>
      <c r="MDQ368" s="34"/>
      <c r="MDR368" s="34"/>
      <c r="MDS368" s="34"/>
      <c r="MDT368" s="35"/>
      <c r="MDU368" s="35"/>
      <c r="MDV368" s="35"/>
      <c r="MDW368" s="35"/>
      <c r="MDX368" s="35"/>
      <c r="MDY368" s="34"/>
      <c r="MDZ368" s="34"/>
      <c r="MEA368" s="36"/>
      <c r="MEB368" s="36"/>
      <c r="MEC368" s="37"/>
      <c r="MED368" s="37"/>
      <c r="MEE368" s="38"/>
      <c r="MEF368" s="38"/>
      <c r="MEG368" s="39"/>
      <c r="MEH368" s="34"/>
      <c r="MEI368" s="34"/>
      <c r="MEJ368" s="34"/>
      <c r="MEK368" s="35"/>
      <c r="MEL368" s="35"/>
      <c r="MEM368" s="35"/>
      <c r="MEN368" s="35"/>
      <c r="MEO368" s="35"/>
      <c r="MEP368" s="34"/>
      <c r="MEQ368" s="34"/>
      <c r="MER368" s="36"/>
      <c r="MES368" s="36"/>
      <c r="MET368" s="37"/>
      <c r="MEU368" s="37"/>
      <c r="MEV368" s="38"/>
      <c r="MEW368" s="38"/>
      <c r="MEX368" s="39"/>
      <c r="MEY368" s="34"/>
      <c r="MEZ368" s="34"/>
      <c r="MFA368" s="34"/>
      <c r="MFB368" s="35"/>
      <c r="MFC368" s="35"/>
      <c r="MFD368" s="35"/>
      <c r="MFE368" s="35"/>
      <c r="MFF368" s="35"/>
      <c r="MFG368" s="34"/>
      <c r="MFH368" s="34"/>
      <c r="MFI368" s="36"/>
      <c r="MFJ368" s="36"/>
      <c r="MFK368" s="37"/>
      <c r="MFL368" s="37"/>
      <c r="MFM368" s="38"/>
      <c r="MFN368" s="38"/>
      <c r="MFO368" s="39"/>
      <c r="MFP368" s="34"/>
      <c r="MFQ368" s="34"/>
      <c r="MFR368" s="34"/>
      <c r="MFS368" s="35"/>
      <c r="MFT368" s="35"/>
      <c r="MFU368" s="35"/>
      <c r="MFV368" s="35"/>
      <c r="MFW368" s="35"/>
      <c r="MFX368" s="34"/>
      <c r="MFY368" s="34"/>
      <c r="MFZ368" s="36"/>
      <c r="MGA368" s="36"/>
      <c r="MGB368" s="37"/>
      <c r="MGC368" s="37"/>
      <c r="MGD368" s="38"/>
      <c r="MGE368" s="38"/>
      <c r="MGF368" s="39"/>
      <c r="MGG368" s="34"/>
      <c r="MGH368" s="34"/>
      <c r="MGI368" s="34"/>
      <c r="MGJ368" s="35"/>
      <c r="MGK368" s="35"/>
      <c r="MGL368" s="35"/>
      <c r="MGM368" s="35"/>
      <c r="MGN368" s="35"/>
      <c r="MGO368" s="34"/>
      <c r="MGP368" s="34"/>
      <c r="MGQ368" s="36"/>
      <c r="MGR368" s="36"/>
      <c r="MGS368" s="37"/>
      <c r="MGT368" s="37"/>
      <c r="MGU368" s="38"/>
      <c r="MGV368" s="38"/>
      <c r="MGW368" s="39"/>
      <c r="MGX368" s="34"/>
      <c r="MGY368" s="34"/>
      <c r="MGZ368" s="34"/>
      <c r="MHA368" s="35"/>
      <c r="MHB368" s="35"/>
      <c r="MHC368" s="35"/>
      <c r="MHD368" s="35"/>
      <c r="MHE368" s="35"/>
      <c r="MHF368" s="34"/>
      <c r="MHG368" s="34"/>
      <c r="MHH368" s="36"/>
      <c r="MHI368" s="36"/>
      <c r="MHJ368" s="37"/>
      <c r="MHK368" s="37"/>
      <c r="MHL368" s="38"/>
      <c r="MHM368" s="38"/>
      <c r="MHN368" s="39"/>
      <c r="MHO368" s="34"/>
      <c r="MHP368" s="34"/>
      <c r="MHQ368" s="34"/>
      <c r="MHR368" s="35"/>
      <c r="MHS368" s="35"/>
      <c r="MHT368" s="35"/>
      <c r="MHU368" s="35"/>
      <c r="MHV368" s="35"/>
      <c r="MHW368" s="34"/>
      <c r="MHX368" s="34"/>
      <c r="MHY368" s="36"/>
      <c r="MHZ368" s="36"/>
      <c r="MIA368" s="37"/>
      <c r="MIB368" s="37"/>
      <c r="MIC368" s="38"/>
      <c r="MID368" s="38"/>
      <c r="MIE368" s="39"/>
      <c r="MIF368" s="34"/>
      <c r="MIG368" s="34"/>
      <c r="MIH368" s="34"/>
      <c r="MII368" s="35"/>
      <c r="MIJ368" s="35"/>
      <c r="MIK368" s="35"/>
      <c r="MIL368" s="35"/>
      <c r="MIM368" s="35"/>
      <c r="MIN368" s="34"/>
      <c r="MIO368" s="34"/>
      <c r="MIP368" s="36"/>
      <c r="MIQ368" s="36"/>
      <c r="MIR368" s="37"/>
      <c r="MIS368" s="37"/>
      <c r="MIT368" s="38"/>
      <c r="MIU368" s="38"/>
      <c r="MIV368" s="39"/>
      <c r="MIW368" s="34"/>
      <c r="MIX368" s="34"/>
      <c r="MIY368" s="34"/>
      <c r="MIZ368" s="35"/>
      <c r="MJA368" s="35"/>
      <c r="MJB368" s="35"/>
      <c r="MJC368" s="35"/>
      <c r="MJD368" s="35"/>
      <c r="MJE368" s="34"/>
      <c r="MJF368" s="34"/>
      <c r="MJG368" s="36"/>
      <c r="MJH368" s="36"/>
      <c r="MJI368" s="37"/>
      <c r="MJJ368" s="37"/>
      <c r="MJK368" s="38"/>
      <c r="MJL368" s="38"/>
      <c r="MJM368" s="39"/>
      <c r="MJN368" s="34"/>
      <c r="MJO368" s="34"/>
      <c r="MJP368" s="34"/>
      <c r="MJQ368" s="35"/>
      <c r="MJR368" s="35"/>
      <c r="MJS368" s="35"/>
      <c r="MJT368" s="35"/>
      <c r="MJU368" s="35"/>
      <c r="MJV368" s="34"/>
      <c r="MJW368" s="34"/>
      <c r="MJX368" s="36"/>
      <c r="MJY368" s="36"/>
      <c r="MJZ368" s="37"/>
      <c r="MKA368" s="37"/>
      <c r="MKB368" s="38"/>
      <c r="MKC368" s="38"/>
      <c r="MKD368" s="39"/>
      <c r="MKE368" s="34"/>
      <c r="MKF368" s="34"/>
      <c r="MKG368" s="34"/>
      <c r="MKH368" s="35"/>
      <c r="MKI368" s="35"/>
      <c r="MKJ368" s="35"/>
      <c r="MKK368" s="35"/>
      <c r="MKL368" s="35"/>
      <c r="MKM368" s="34"/>
      <c r="MKN368" s="34"/>
      <c r="MKO368" s="36"/>
      <c r="MKP368" s="36"/>
      <c r="MKQ368" s="37"/>
      <c r="MKR368" s="37"/>
      <c r="MKS368" s="38"/>
      <c r="MKT368" s="38"/>
      <c r="MKU368" s="39"/>
      <c r="MKV368" s="34"/>
      <c r="MKW368" s="34"/>
      <c r="MKX368" s="34"/>
      <c r="MKY368" s="35"/>
      <c r="MKZ368" s="35"/>
      <c r="MLA368" s="35"/>
      <c r="MLB368" s="35"/>
      <c r="MLC368" s="35"/>
      <c r="MLD368" s="34"/>
      <c r="MLE368" s="34"/>
      <c r="MLF368" s="36"/>
      <c r="MLG368" s="36"/>
      <c r="MLH368" s="37"/>
      <c r="MLI368" s="37"/>
      <c r="MLJ368" s="38"/>
      <c r="MLK368" s="38"/>
      <c r="MLL368" s="39"/>
      <c r="MLM368" s="34"/>
      <c r="MLN368" s="34"/>
      <c r="MLO368" s="34"/>
      <c r="MLP368" s="35"/>
      <c r="MLQ368" s="35"/>
      <c r="MLR368" s="35"/>
      <c r="MLS368" s="35"/>
      <c r="MLT368" s="35"/>
      <c r="MLU368" s="34"/>
      <c r="MLV368" s="34"/>
      <c r="MLW368" s="36"/>
      <c r="MLX368" s="36"/>
      <c r="MLY368" s="37"/>
      <c r="MLZ368" s="37"/>
      <c r="MMA368" s="38"/>
      <c r="MMB368" s="38"/>
      <c r="MMC368" s="39"/>
      <c r="MMD368" s="34"/>
      <c r="MME368" s="34"/>
      <c r="MMF368" s="34"/>
      <c r="MMG368" s="35"/>
      <c r="MMH368" s="35"/>
      <c r="MMI368" s="35"/>
      <c r="MMJ368" s="35"/>
      <c r="MMK368" s="35"/>
      <c r="MML368" s="34"/>
      <c r="MMM368" s="34"/>
      <c r="MMN368" s="36"/>
      <c r="MMO368" s="36"/>
      <c r="MMP368" s="37"/>
      <c r="MMQ368" s="37"/>
      <c r="MMR368" s="38"/>
      <c r="MMS368" s="38"/>
      <c r="MMT368" s="39"/>
      <c r="MMU368" s="34"/>
      <c r="MMV368" s="34"/>
      <c r="MMW368" s="34"/>
      <c r="MMX368" s="35"/>
      <c r="MMY368" s="35"/>
      <c r="MMZ368" s="35"/>
      <c r="MNA368" s="35"/>
      <c r="MNB368" s="35"/>
      <c r="MNC368" s="34"/>
      <c r="MND368" s="34"/>
      <c r="MNE368" s="36"/>
      <c r="MNF368" s="36"/>
      <c r="MNG368" s="37"/>
      <c r="MNH368" s="37"/>
      <c r="MNI368" s="38"/>
      <c r="MNJ368" s="38"/>
      <c r="MNK368" s="39"/>
      <c r="MNL368" s="34"/>
      <c r="MNM368" s="34"/>
      <c r="MNN368" s="34"/>
      <c r="MNO368" s="35"/>
      <c r="MNP368" s="35"/>
      <c r="MNQ368" s="35"/>
      <c r="MNR368" s="35"/>
      <c r="MNS368" s="35"/>
      <c r="MNT368" s="34"/>
      <c r="MNU368" s="34"/>
      <c r="MNV368" s="36"/>
      <c r="MNW368" s="36"/>
      <c r="MNX368" s="37"/>
      <c r="MNY368" s="37"/>
      <c r="MNZ368" s="38"/>
      <c r="MOA368" s="38"/>
      <c r="MOB368" s="39"/>
      <c r="MOC368" s="34"/>
      <c r="MOD368" s="34"/>
      <c r="MOE368" s="34"/>
      <c r="MOF368" s="35"/>
      <c r="MOG368" s="35"/>
      <c r="MOH368" s="35"/>
      <c r="MOI368" s="35"/>
      <c r="MOJ368" s="35"/>
      <c r="MOK368" s="34"/>
      <c r="MOL368" s="34"/>
      <c r="MOM368" s="36"/>
      <c r="MON368" s="36"/>
      <c r="MOO368" s="37"/>
      <c r="MOP368" s="37"/>
      <c r="MOQ368" s="38"/>
      <c r="MOR368" s="38"/>
      <c r="MOS368" s="39"/>
      <c r="MOT368" s="34"/>
      <c r="MOU368" s="34"/>
      <c r="MOV368" s="34"/>
      <c r="MOW368" s="35"/>
      <c r="MOX368" s="35"/>
      <c r="MOY368" s="35"/>
      <c r="MOZ368" s="35"/>
      <c r="MPA368" s="35"/>
      <c r="MPB368" s="34"/>
      <c r="MPC368" s="34"/>
      <c r="MPD368" s="36"/>
      <c r="MPE368" s="36"/>
      <c r="MPF368" s="37"/>
      <c r="MPG368" s="37"/>
      <c r="MPH368" s="38"/>
      <c r="MPI368" s="38"/>
      <c r="MPJ368" s="39"/>
      <c r="MPK368" s="34"/>
      <c r="MPL368" s="34"/>
      <c r="MPM368" s="34"/>
      <c r="MPN368" s="35"/>
      <c r="MPO368" s="35"/>
      <c r="MPP368" s="35"/>
      <c r="MPQ368" s="35"/>
      <c r="MPR368" s="35"/>
      <c r="MPS368" s="34"/>
      <c r="MPT368" s="34"/>
      <c r="MPU368" s="36"/>
      <c r="MPV368" s="36"/>
      <c r="MPW368" s="37"/>
      <c r="MPX368" s="37"/>
      <c r="MPY368" s="38"/>
      <c r="MPZ368" s="38"/>
      <c r="MQA368" s="39"/>
      <c r="MQB368" s="34"/>
      <c r="MQC368" s="34"/>
      <c r="MQD368" s="34"/>
      <c r="MQE368" s="35"/>
      <c r="MQF368" s="35"/>
      <c r="MQG368" s="35"/>
      <c r="MQH368" s="35"/>
      <c r="MQI368" s="35"/>
      <c r="MQJ368" s="34"/>
      <c r="MQK368" s="34"/>
      <c r="MQL368" s="36"/>
      <c r="MQM368" s="36"/>
      <c r="MQN368" s="37"/>
      <c r="MQO368" s="37"/>
      <c r="MQP368" s="38"/>
      <c r="MQQ368" s="38"/>
      <c r="MQR368" s="39"/>
      <c r="MQS368" s="34"/>
      <c r="MQT368" s="34"/>
      <c r="MQU368" s="34"/>
      <c r="MQV368" s="35"/>
      <c r="MQW368" s="35"/>
      <c r="MQX368" s="35"/>
      <c r="MQY368" s="35"/>
      <c r="MQZ368" s="35"/>
      <c r="MRA368" s="34"/>
      <c r="MRB368" s="34"/>
      <c r="MRC368" s="36"/>
      <c r="MRD368" s="36"/>
      <c r="MRE368" s="37"/>
      <c r="MRF368" s="37"/>
      <c r="MRG368" s="38"/>
      <c r="MRH368" s="38"/>
      <c r="MRI368" s="39"/>
      <c r="MRJ368" s="34"/>
      <c r="MRK368" s="34"/>
      <c r="MRL368" s="34"/>
      <c r="MRM368" s="35"/>
      <c r="MRN368" s="35"/>
      <c r="MRO368" s="35"/>
      <c r="MRP368" s="35"/>
      <c r="MRQ368" s="35"/>
      <c r="MRR368" s="34"/>
      <c r="MRS368" s="34"/>
      <c r="MRT368" s="36"/>
      <c r="MRU368" s="36"/>
      <c r="MRV368" s="37"/>
      <c r="MRW368" s="37"/>
      <c r="MRX368" s="38"/>
      <c r="MRY368" s="38"/>
      <c r="MRZ368" s="39"/>
      <c r="MSA368" s="34"/>
      <c r="MSB368" s="34"/>
      <c r="MSC368" s="34"/>
      <c r="MSD368" s="35"/>
      <c r="MSE368" s="35"/>
      <c r="MSF368" s="35"/>
      <c r="MSG368" s="35"/>
      <c r="MSH368" s="35"/>
      <c r="MSI368" s="34"/>
      <c r="MSJ368" s="34"/>
      <c r="MSK368" s="36"/>
      <c r="MSL368" s="36"/>
      <c r="MSM368" s="37"/>
      <c r="MSN368" s="37"/>
      <c r="MSO368" s="38"/>
      <c r="MSP368" s="38"/>
      <c r="MSQ368" s="39"/>
      <c r="MSR368" s="34"/>
      <c r="MSS368" s="34"/>
      <c r="MST368" s="34"/>
      <c r="MSU368" s="35"/>
      <c r="MSV368" s="35"/>
      <c r="MSW368" s="35"/>
      <c r="MSX368" s="35"/>
      <c r="MSY368" s="35"/>
      <c r="MSZ368" s="34"/>
      <c r="MTA368" s="34"/>
      <c r="MTB368" s="36"/>
      <c r="MTC368" s="36"/>
      <c r="MTD368" s="37"/>
      <c r="MTE368" s="37"/>
      <c r="MTF368" s="38"/>
      <c r="MTG368" s="38"/>
      <c r="MTH368" s="39"/>
      <c r="MTI368" s="34"/>
      <c r="MTJ368" s="34"/>
      <c r="MTK368" s="34"/>
      <c r="MTL368" s="35"/>
      <c r="MTM368" s="35"/>
      <c r="MTN368" s="35"/>
      <c r="MTO368" s="35"/>
      <c r="MTP368" s="35"/>
      <c r="MTQ368" s="34"/>
      <c r="MTR368" s="34"/>
      <c r="MTS368" s="36"/>
      <c r="MTT368" s="36"/>
      <c r="MTU368" s="37"/>
      <c r="MTV368" s="37"/>
      <c r="MTW368" s="38"/>
      <c r="MTX368" s="38"/>
      <c r="MTY368" s="39"/>
      <c r="MTZ368" s="34"/>
      <c r="MUA368" s="34"/>
      <c r="MUB368" s="34"/>
      <c r="MUC368" s="35"/>
      <c r="MUD368" s="35"/>
      <c r="MUE368" s="35"/>
      <c r="MUF368" s="35"/>
      <c r="MUG368" s="35"/>
      <c r="MUH368" s="34"/>
      <c r="MUI368" s="34"/>
      <c r="MUJ368" s="36"/>
      <c r="MUK368" s="36"/>
      <c r="MUL368" s="37"/>
      <c r="MUM368" s="37"/>
      <c r="MUN368" s="38"/>
      <c r="MUO368" s="38"/>
      <c r="MUP368" s="39"/>
      <c r="MUQ368" s="34"/>
      <c r="MUR368" s="34"/>
      <c r="MUS368" s="34"/>
      <c r="MUT368" s="35"/>
      <c r="MUU368" s="35"/>
      <c r="MUV368" s="35"/>
      <c r="MUW368" s="35"/>
      <c r="MUX368" s="35"/>
      <c r="MUY368" s="34"/>
      <c r="MUZ368" s="34"/>
      <c r="MVA368" s="36"/>
      <c r="MVB368" s="36"/>
      <c r="MVC368" s="37"/>
      <c r="MVD368" s="37"/>
      <c r="MVE368" s="38"/>
      <c r="MVF368" s="38"/>
      <c r="MVG368" s="39"/>
      <c r="MVH368" s="34"/>
      <c r="MVI368" s="34"/>
      <c r="MVJ368" s="34"/>
      <c r="MVK368" s="35"/>
      <c r="MVL368" s="35"/>
      <c r="MVM368" s="35"/>
      <c r="MVN368" s="35"/>
      <c r="MVO368" s="35"/>
      <c r="MVP368" s="34"/>
      <c r="MVQ368" s="34"/>
      <c r="MVR368" s="36"/>
      <c r="MVS368" s="36"/>
      <c r="MVT368" s="37"/>
      <c r="MVU368" s="37"/>
      <c r="MVV368" s="38"/>
      <c r="MVW368" s="38"/>
      <c r="MVX368" s="39"/>
      <c r="MVY368" s="34"/>
      <c r="MVZ368" s="34"/>
      <c r="MWA368" s="34"/>
      <c r="MWB368" s="35"/>
      <c r="MWC368" s="35"/>
      <c r="MWD368" s="35"/>
      <c r="MWE368" s="35"/>
      <c r="MWF368" s="35"/>
      <c r="MWG368" s="34"/>
      <c r="MWH368" s="34"/>
      <c r="MWI368" s="36"/>
      <c r="MWJ368" s="36"/>
      <c r="MWK368" s="37"/>
      <c r="MWL368" s="37"/>
      <c r="MWM368" s="38"/>
      <c r="MWN368" s="38"/>
      <c r="MWO368" s="39"/>
      <c r="MWP368" s="34"/>
      <c r="MWQ368" s="34"/>
      <c r="MWR368" s="34"/>
      <c r="MWS368" s="35"/>
      <c r="MWT368" s="35"/>
      <c r="MWU368" s="35"/>
      <c r="MWV368" s="35"/>
      <c r="MWW368" s="35"/>
      <c r="MWX368" s="34"/>
      <c r="MWY368" s="34"/>
      <c r="MWZ368" s="36"/>
      <c r="MXA368" s="36"/>
      <c r="MXB368" s="37"/>
      <c r="MXC368" s="37"/>
      <c r="MXD368" s="38"/>
      <c r="MXE368" s="38"/>
      <c r="MXF368" s="39"/>
      <c r="MXG368" s="34"/>
      <c r="MXH368" s="34"/>
      <c r="MXI368" s="34"/>
      <c r="MXJ368" s="35"/>
      <c r="MXK368" s="35"/>
      <c r="MXL368" s="35"/>
      <c r="MXM368" s="35"/>
      <c r="MXN368" s="35"/>
      <c r="MXO368" s="34"/>
      <c r="MXP368" s="34"/>
      <c r="MXQ368" s="36"/>
      <c r="MXR368" s="36"/>
      <c r="MXS368" s="37"/>
      <c r="MXT368" s="37"/>
      <c r="MXU368" s="38"/>
      <c r="MXV368" s="38"/>
      <c r="MXW368" s="39"/>
      <c r="MXX368" s="34"/>
      <c r="MXY368" s="34"/>
      <c r="MXZ368" s="34"/>
      <c r="MYA368" s="35"/>
      <c r="MYB368" s="35"/>
      <c r="MYC368" s="35"/>
      <c r="MYD368" s="35"/>
      <c r="MYE368" s="35"/>
      <c r="MYF368" s="34"/>
      <c r="MYG368" s="34"/>
      <c r="MYH368" s="36"/>
      <c r="MYI368" s="36"/>
      <c r="MYJ368" s="37"/>
      <c r="MYK368" s="37"/>
      <c r="MYL368" s="38"/>
      <c r="MYM368" s="38"/>
      <c r="MYN368" s="39"/>
      <c r="MYO368" s="34"/>
      <c r="MYP368" s="34"/>
      <c r="MYQ368" s="34"/>
      <c r="MYR368" s="35"/>
      <c r="MYS368" s="35"/>
      <c r="MYT368" s="35"/>
      <c r="MYU368" s="35"/>
      <c r="MYV368" s="35"/>
      <c r="MYW368" s="34"/>
      <c r="MYX368" s="34"/>
      <c r="MYY368" s="36"/>
      <c r="MYZ368" s="36"/>
      <c r="MZA368" s="37"/>
      <c r="MZB368" s="37"/>
      <c r="MZC368" s="38"/>
      <c r="MZD368" s="38"/>
      <c r="MZE368" s="39"/>
      <c r="MZF368" s="34"/>
      <c r="MZG368" s="34"/>
      <c r="MZH368" s="34"/>
      <c r="MZI368" s="35"/>
      <c r="MZJ368" s="35"/>
      <c r="MZK368" s="35"/>
      <c r="MZL368" s="35"/>
      <c r="MZM368" s="35"/>
      <c r="MZN368" s="34"/>
      <c r="MZO368" s="34"/>
      <c r="MZP368" s="36"/>
      <c r="MZQ368" s="36"/>
      <c r="MZR368" s="37"/>
      <c r="MZS368" s="37"/>
      <c r="MZT368" s="38"/>
      <c r="MZU368" s="38"/>
      <c r="MZV368" s="39"/>
      <c r="MZW368" s="34"/>
      <c r="MZX368" s="34"/>
      <c r="MZY368" s="34"/>
      <c r="MZZ368" s="35"/>
      <c r="NAA368" s="35"/>
      <c r="NAB368" s="35"/>
      <c r="NAC368" s="35"/>
      <c r="NAD368" s="35"/>
      <c r="NAE368" s="34"/>
      <c r="NAF368" s="34"/>
      <c r="NAG368" s="36"/>
      <c r="NAH368" s="36"/>
      <c r="NAI368" s="37"/>
      <c r="NAJ368" s="37"/>
      <c r="NAK368" s="38"/>
      <c r="NAL368" s="38"/>
      <c r="NAM368" s="39"/>
      <c r="NAN368" s="34"/>
      <c r="NAO368" s="34"/>
      <c r="NAP368" s="34"/>
      <c r="NAQ368" s="35"/>
      <c r="NAR368" s="35"/>
      <c r="NAS368" s="35"/>
      <c r="NAT368" s="35"/>
      <c r="NAU368" s="35"/>
      <c r="NAV368" s="34"/>
      <c r="NAW368" s="34"/>
      <c r="NAX368" s="36"/>
      <c r="NAY368" s="36"/>
      <c r="NAZ368" s="37"/>
      <c r="NBA368" s="37"/>
      <c r="NBB368" s="38"/>
      <c r="NBC368" s="38"/>
      <c r="NBD368" s="39"/>
      <c r="NBE368" s="34"/>
      <c r="NBF368" s="34"/>
      <c r="NBG368" s="34"/>
      <c r="NBH368" s="35"/>
      <c r="NBI368" s="35"/>
      <c r="NBJ368" s="35"/>
      <c r="NBK368" s="35"/>
      <c r="NBL368" s="35"/>
      <c r="NBM368" s="34"/>
      <c r="NBN368" s="34"/>
      <c r="NBO368" s="36"/>
      <c r="NBP368" s="36"/>
      <c r="NBQ368" s="37"/>
      <c r="NBR368" s="37"/>
      <c r="NBS368" s="38"/>
      <c r="NBT368" s="38"/>
      <c r="NBU368" s="39"/>
      <c r="NBV368" s="34"/>
      <c r="NBW368" s="34"/>
      <c r="NBX368" s="34"/>
      <c r="NBY368" s="35"/>
      <c r="NBZ368" s="35"/>
      <c r="NCA368" s="35"/>
      <c r="NCB368" s="35"/>
      <c r="NCC368" s="35"/>
      <c r="NCD368" s="34"/>
      <c r="NCE368" s="34"/>
      <c r="NCF368" s="36"/>
      <c r="NCG368" s="36"/>
      <c r="NCH368" s="37"/>
      <c r="NCI368" s="37"/>
      <c r="NCJ368" s="38"/>
      <c r="NCK368" s="38"/>
      <c r="NCL368" s="39"/>
      <c r="NCM368" s="34"/>
      <c r="NCN368" s="34"/>
      <c r="NCO368" s="34"/>
      <c r="NCP368" s="35"/>
      <c r="NCQ368" s="35"/>
      <c r="NCR368" s="35"/>
      <c r="NCS368" s="35"/>
      <c r="NCT368" s="35"/>
      <c r="NCU368" s="34"/>
      <c r="NCV368" s="34"/>
      <c r="NCW368" s="36"/>
      <c r="NCX368" s="36"/>
      <c r="NCY368" s="37"/>
      <c r="NCZ368" s="37"/>
      <c r="NDA368" s="38"/>
      <c r="NDB368" s="38"/>
      <c r="NDC368" s="39"/>
      <c r="NDD368" s="34"/>
      <c r="NDE368" s="34"/>
      <c r="NDF368" s="34"/>
      <c r="NDG368" s="35"/>
      <c r="NDH368" s="35"/>
      <c r="NDI368" s="35"/>
      <c r="NDJ368" s="35"/>
      <c r="NDK368" s="35"/>
      <c r="NDL368" s="34"/>
      <c r="NDM368" s="34"/>
      <c r="NDN368" s="36"/>
      <c r="NDO368" s="36"/>
      <c r="NDP368" s="37"/>
      <c r="NDQ368" s="37"/>
      <c r="NDR368" s="38"/>
      <c r="NDS368" s="38"/>
      <c r="NDT368" s="39"/>
      <c r="NDU368" s="34"/>
      <c r="NDV368" s="34"/>
      <c r="NDW368" s="34"/>
      <c r="NDX368" s="35"/>
      <c r="NDY368" s="35"/>
      <c r="NDZ368" s="35"/>
      <c r="NEA368" s="35"/>
      <c r="NEB368" s="35"/>
      <c r="NEC368" s="34"/>
      <c r="NED368" s="34"/>
      <c r="NEE368" s="36"/>
      <c r="NEF368" s="36"/>
      <c r="NEG368" s="37"/>
      <c r="NEH368" s="37"/>
      <c r="NEI368" s="38"/>
      <c r="NEJ368" s="38"/>
      <c r="NEK368" s="39"/>
      <c r="NEL368" s="34"/>
      <c r="NEM368" s="34"/>
      <c r="NEN368" s="34"/>
      <c r="NEO368" s="35"/>
      <c r="NEP368" s="35"/>
      <c r="NEQ368" s="35"/>
      <c r="NER368" s="35"/>
      <c r="NES368" s="35"/>
      <c r="NET368" s="34"/>
      <c r="NEU368" s="34"/>
      <c r="NEV368" s="36"/>
      <c r="NEW368" s="36"/>
      <c r="NEX368" s="37"/>
      <c r="NEY368" s="37"/>
      <c r="NEZ368" s="38"/>
      <c r="NFA368" s="38"/>
      <c r="NFB368" s="39"/>
      <c r="NFC368" s="34"/>
      <c r="NFD368" s="34"/>
      <c r="NFE368" s="34"/>
      <c r="NFF368" s="35"/>
      <c r="NFG368" s="35"/>
      <c r="NFH368" s="35"/>
      <c r="NFI368" s="35"/>
      <c r="NFJ368" s="35"/>
      <c r="NFK368" s="34"/>
      <c r="NFL368" s="34"/>
      <c r="NFM368" s="36"/>
      <c r="NFN368" s="36"/>
      <c r="NFO368" s="37"/>
      <c r="NFP368" s="37"/>
      <c r="NFQ368" s="38"/>
      <c r="NFR368" s="38"/>
      <c r="NFS368" s="39"/>
      <c r="NFT368" s="34"/>
      <c r="NFU368" s="34"/>
      <c r="NFV368" s="34"/>
      <c r="NFW368" s="35"/>
      <c r="NFX368" s="35"/>
      <c r="NFY368" s="35"/>
      <c r="NFZ368" s="35"/>
      <c r="NGA368" s="35"/>
      <c r="NGB368" s="34"/>
      <c r="NGC368" s="34"/>
      <c r="NGD368" s="36"/>
      <c r="NGE368" s="36"/>
      <c r="NGF368" s="37"/>
      <c r="NGG368" s="37"/>
      <c r="NGH368" s="38"/>
      <c r="NGI368" s="38"/>
      <c r="NGJ368" s="39"/>
      <c r="NGK368" s="34"/>
      <c r="NGL368" s="34"/>
      <c r="NGM368" s="34"/>
      <c r="NGN368" s="35"/>
      <c r="NGO368" s="35"/>
      <c r="NGP368" s="35"/>
      <c r="NGQ368" s="35"/>
      <c r="NGR368" s="35"/>
      <c r="NGS368" s="34"/>
      <c r="NGT368" s="34"/>
      <c r="NGU368" s="36"/>
      <c r="NGV368" s="36"/>
      <c r="NGW368" s="37"/>
      <c r="NGX368" s="37"/>
      <c r="NGY368" s="38"/>
      <c r="NGZ368" s="38"/>
      <c r="NHA368" s="39"/>
      <c r="NHB368" s="34"/>
      <c r="NHC368" s="34"/>
      <c r="NHD368" s="34"/>
      <c r="NHE368" s="35"/>
      <c r="NHF368" s="35"/>
      <c r="NHG368" s="35"/>
      <c r="NHH368" s="35"/>
      <c r="NHI368" s="35"/>
      <c r="NHJ368" s="34"/>
      <c r="NHK368" s="34"/>
      <c r="NHL368" s="36"/>
      <c r="NHM368" s="36"/>
      <c r="NHN368" s="37"/>
      <c r="NHO368" s="37"/>
      <c r="NHP368" s="38"/>
      <c r="NHQ368" s="38"/>
      <c r="NHR368" s="39"/>
      <c r="NHS368" s="34"/>
      <c r="NHT368" s="34"/>
      <c r="NHU368" s="34"/>
      <c r="NHV368" s="35"/>
      <c r="NHW368" s="35"/>
      <c r="NHX368" s="35"/>
      <c r="NHY368" s="35"/>
      <c r="NHZ368" s="35"/>
      <c r="NIA368" s="34"/>
      <c r="NIB368" s="34"/>
      <c r="NIC368" s="36"/>
      <c r="NID368" s="36"/>
      <c r="NIE368" s="37"/>
      <c r="NIF368" s="37"/>
      <c r="NIG368" s="38"/>
      <c r="NIH368" s="38"/>
      <c r="NII368" s="39"/>
      <c r="NIJ368" s="34"/>
      <c r="NIK368" s="34"/>
      <c r="NIL368" s="34"/>
      <c r="NIM368" s="35"/>
      <c r="NIN368" s="35"/>
      <c r="NIO368" s="35"/>
      <c r="NIP368" s="35"/>
      <c r="NIQ368" s="35"/>
      <c r="NIR368" s="34"/>
      <c r="NIS368" s="34"/>
      <c r="NIT368" s="36"/>
      <c r="NIU368" s="36"/>
      <c r="NIV368" s="37"/>
      <c r="NIW368" s="37"/>
      <c r="NIX368" s="38"/>
      <c r="NIY368" s="38"/>
      <c r="NIZ368" s="39"/>
      <c r="NJA368" s="34"/>
      <c r="NJB368" s="34"/>
      <c r="NJC368" s="34"/>
      <c r="NJD368" s="35"/>
      <c r="NJE368" s="35"/>
      <c r="NJF368" s="35"/>
      <c r="NJG368" s="35"/>
      <c r="NJH368" s="35"/>
      <c r="NJI368" s="34"/>
      <c r="NJJ368" s="34"/>
      <c r="NJK368" s="36"/>
      <c r="NJL368" s="36"/>
      <c r="NJM368" s="37"/>
      <c r="NJN368" s="37"/>
      <c r="NJO368" s="38"/>
      <c r="NJP368" s="38"/>
      <c r="NJQ368" s="39"/>
      <c r="NJR368" s="34"/>
      <c r="NJS368" s="34"/>
      <c r="NJT368" s="34"/>
      <c r="NJU368" s="35"/>
      <c r="NJV368" s="35"/>
      <c r="NJW368" s="35"/>
      <c r="NJX368" s="35"/>
      <c r="NJY368" s="35"/>
      <c r="NJZ368" s="34"/>
      <c r="NKA368" s="34"/>
      <c r="NKB368" s="36"/>
      <c r="NKC368" s="36"/>
      <c r="NKD368" s="37"/>
      <c r="NKE368" s="37"/>
      <c r="NKF368" s="38"/>
      <c r="NKG368" s="38"/>
      <c r="NKH368" s="39"/>
      <c r="NKI368" s="34"/>
      <c r="NKJ368" s="34"/>
      <c r="NKK368" s="34"/>
      <c r="NKL368" s="35"/>
      <c r="NKM368" s="35"/>
      <c r="NKN368" s="35"/>
      <c r="NKO368" s="35"/>
      <c r="NKP368" s="35"/>
      <c r="NKQ368" s="34"/>
      <c r="NKR368" s="34"/>
      <c r="NKS368" s="36"/>
      <c r="NKT368" s="36"/>
      <c r="NKU368" s="37"/>
      <c r="NKV368" s="37"/>
      <c r="NKW368" s="38"/>
      <c r="NKX368" s="38"/>
      <c r="NKY368" s="39"/>
      <c r="NKZ368" s="34"/>
      <c r="NLA368" s="34"/>
      <c r="NLB368" s="34"/>
      <c r="NLC368" s="35"/>
      <c r="NLD368" s="35"/>
      <c r="NLE368" s="35"/>
      <c r="NLF368" s="35"/>
      <c r="NLG368" s="35"/>
      <c r="NLH368" s="34"/>
      <c r="NLI368" s="34"/>
      <c r="NLJ368" s="36"/>
      <c r="NLK368" s="36"/>
      <c r="NLL368" s="37"/>
      <c r="NLM368" s="37"/>
      <c r="NLN368" s="38"/>
      <c r="NLO368" s="38"/>
      <c r="NLP368" s="39"/>
      <c r="NLQ368" s="34"/>
      <c r="NLR368" s="34"/>
      <c r="NLS368" s="34"/>
      <c r="NLT368" s="35"/>
      <c r="NLU368" s="35"/>
      <c r="NLV368" s="35"/>
      <c r="NLW368" s="35"/>
      <c r="NLX368" s="35"/>
      <c r="NLY368" s="34"/>
      <c r="NLZ368" s="34"/>
      <c r="NMA368" s="36"/>
      <c r="NMB368" s="36"/>
      <c r="NMC368" s="37"/>
      <c r="NMD368" s="37"/>
      <c r="NME368" s="38"/>
      <c r="NMF368" s="38"/>
      <c r="NMG368" s="39"/>
      <c r="NMH368" s="34"/>
      <c r="NMI368" s="34"/>
      <c r="NMJ368" s="34"/>
      <c r="NMK368" s="35"/>
      <c r="NML368" s="35"/>
      <c r="NMM368" s="35"/>
      <c r="NMN368" s="35"/>
      <c r="NMO368" s="35"/>
      <c r="NMP368" s="34"/>
      <c r="NMQ368" s="34"/>
      <c r="NMR368" s="36"/>
      <c r="NMS368" s="36"/>
      <c r="NMT368" s="37"/>
      <c r="NMU368" s="37"/>
      <c r="NMV368" s="38"/>
      <c r="NMW368" s="38"/>
      <c r="NMX368" s="39"/>
      <c r="NMY368" s="34"/>
      <c r="NMZ368" s="34"/>
      <c r="NNA368" s="34"/>
      <c r="NNB368" s="35"/>
      <c r="NNC368" s="35"/>
      <c r="NND368" s="35"/>
      <c r="NNE368" s="35"/>
      <c r="NNF368" s="35"/>
      <c r="NNG368" s="34"/>
      <c r="NNH368" s="34"/>
      <c r="NNI368" s="36"/>
      <c r="NNJ368" s="36"/>
      <c r="NNK368" s="37"/>
      <c r="NNL368" s="37"/>
      <c r="NNM368" s="38"/>
      <c r="NNN368" s="38"/>
      <c r="NNO368" s="39"/>
      <c r="NNP368" s="34"/>
      <c r="NNQ368" s="34"/>
      <c r="NNR368" s="34"/>
      <c r="NNS368" s="35"/>
      <c r="NNT368" s="35"/>
      <c r="NNU368" s="35"/>
      <c r="NNV368" s="35"/>
      <c r="NNW368" s="35"/>
      <c r="NNX368" s="34"/>
      <c r="NNY368" s="34"/>
      <c r="NNZ368" s="36"/>
      <c r="NOA368" s="36"/>
      <c r="NOB368" s="37"/>
      <c r="NOC368" s="37"/>
      <c r="NOD368" s="38"/>
      <c r="NOE368" s="38"/>
      <c r="NOF368" s="39"/>
      <c r="NOG368" s="34"/>
      <c r="NOH368" s="34"/>
      <c r="NOI368" s="34"/>
      <c r="NOJ368" s="35"/>
      <c r="NOK368" s="35"/>
      <c r="NOL368" s="35"/>
      <c r="NOM368" s="35"/>
      <c r="NON368" s="35"/>
      <c r="NOO368" s="34"/>
      <c r="NOP368" s="34"/>
      <c r="NOQ368" s="36"/>
      <c r="NOR368" s="36"/>
      <c r="NOS368" s="37"/>
      <c r="NOT368" s="37"/>
      <c r="NOU368" s="38"/>
      <c r="NOV368" s="38"/>
      <c r="NOW368" s="39"/>
      <c r="NOX368" s="34"/>
      <c r="NOY368" s="34"/>
      <c r="NOZ368" s="34"/>
      <c r="NPA368" s="35"/>
      <c r="NPB368" s="35"/>
      <c r="NPC368" s="35"/>
      <c r="NPD368" s="35"/>
      <c r="NPE368" s="35"/>
      <c r="NPF368" s="34"/>
      <c r="NPG368" s="34"/>
      <c r="NPH368" s="36"/>
      <c r="NPI368" s="36"/>
      <c r="NPJ368" s="37"/>
      <c r="NPK368" s="37"/>
      <c r="NPL368" s="38"/>
      <c r="NPM368" s="38"/>
      <c r="NPN368" s="39"/>
      <c r="NPO368" s="34"/>
      <c r="NPP368" s="34"/>
      <c r="NPQ368" s="34"/>
      <c r="NPR368" s="35"/>
      <c r="NPS368" s="35"/>
      <c r="NPT368" s="35"/>
      <c r="NPU368" s="35"/>
      <c r="NPV368" s="35"/>
      <c r="NPW368" s="34"/>
      <c r="NPX368" s="34"/>
      <c r="NPY368" s="36"/>
      <c r="NPZ368" s="36"/>
      <c r="NQA368" s="37"/>
      <c r="NQB368" s="37"/>
      <c r="NQC368" s="38"/>
      <c r="NQD368" s="38"/>
      <c r="NQE368" s="39"/>
      <c r="NQF368" s="34"/>
      <c r="NQG368" s="34"/>
      <c r="NQH368" s="34"/>
      <c r="NQI368" s="35"/>
      <c r="NQJ368" s="35"/>
      <c r="NQK368" s="35"/>
      <c r="NQL368" s="35"/>
      <c r="NQM368" s="35"/>
      <c r="NQN368" s="34"/>
      <c r="NQO368" s="34"/>
      <c r="NQP368" s="36"/>
      <c r="NQQ368" s="36"/>
      <c r="NQR368" s="37"/>
      <c r="NQS368" s="37"/>
      <c r="NQT368" s="38"/>
      <c r="NQU368" s="38"/>
      <c r="NQV368" s="39"/>
      <c r="NQW368" s="34"/>
      <c r="NQX368" s="34"/>
      <c r="NQY368" s="34"/>
      <c r="NQZ368" s="35"/>
      <c r="NRA368" s="35"/>
      <c r="NRB368" s="35"/>
      <c r="NRC368" s="35"/>
      <c r="NRD368" s="35"/>
      <c r="NRE368" s="34"/>
      <c r="NRF368" s="34"/>
      <c r="NRG368" s="36"/>
      <c r="NRH368" s="36"/>
      <c r="NRI368" s="37"/>
      <c r="NRJ368" s="37"/>
      <c r="NRK368" s="38"/>
      <c r="NRL368" s="38"/>
      <c r="NRM368" s="39"/>
      <c r="NRN368" s="34"/>
      <c r="NRO368" s="34"/>
      <c r="NRP368" s="34"/>
      <c r="NRQ368" s="35"/>
      <c r="NRR368" s="35"/>
      <c r="NRS368" s="35"/>
      <c r="NRT368" s="35"/>
      <c r="NRU368" s="35"/>
      <c r="NRV368" s="34"/>
      <c r="NRW368" s="34"/>
      <c r="NRX368" s="36"/>
      <c r="NRY368" s="36"/>
      <c r="NRZ368" s="37"/>
      <c r="NSA368" s="37"/>
      <c r="NSB368" s="38"/>
      <c r="NSC368" s="38"/>
      <c r="NSD368" s="39"/>
      <c r="NSE368" s="34"/>
      <c r="NSF368" s="34"/>
      <c r="NSG368" s="34"/>
      <c r="NSH368" s="35"/>
      <c r="NSI368" s="35"/>
      <c r="NSJ368" s="35"/>
      <c r="NSK368" s="35"/>
      <c r="NSL368" s="35"/>
      <c r="NSM368" s="34"/>
      <c r="NSN368" s="34"/>
      <c r="NSO368" s="36"/>
      <c r="NSP368" s="36"/>
      <c r="NSQ368" s="37"/>
      <c r="NSR368" s="37"/>
      <c r="NSS368" s="38"/>
      <c r="NST368" s="38"/>
      <c r="NSU368" s="39"/>
      <c r="NSV368" s="34"/>
      <c r="NSW368" s="34"/>
      <c r="NSX368" s="34"/>
      <c r="NSY368" s="35"/>
      <c r="NSZ368" s="35"/>
      <c r="NTA368" s="35"/>
      <c r="NTB368" s="35"/>
      <c r="NTC368" s="35"/>
      <c r="NTD368" s="34"/>
      <c r="NTE368" s="34"/>
      <c r="NTF368" s="36"/>
      <c r="NTG368" s="36"/>
      <c r="NTH368" s="37"/>
      <c r="NTI368" s="37"/>
      <c r="NTJ368" s="38"/>
      <c r="NTK368" s="38"/>
      <c r="NTL368" s="39"/>
      <c r="NTM368" s="34"/>
      <c r="NTN368" s="34"/>
      <c r="NTO368" s="34"/>
      <c r="NTP368" s="35"/>
      <c r="NTQ368" s="35"/>
      <c r="NTR368" s="35"/>
      <c r="NTS368" s="35"/>
      <c r="NTT368" s="35"/>
      <c r="NTU368" s="34"/>
      <c r="NTV368" s="34"/>
      <c r="NTW368" s="36"/>
      <c r="NTX368" s="36"/>
      <c r="NTY368" s="37"/>
      <c r="NTZ368" s="37"/>
      <c r="NUA368" s="38"/>
      <c r="NUB368" s="38"/>
      <c r="NUC368" s="39"/>
      <c r="NUD368" s="34"/>
      <c r="NUE368" s="34"/>
      <c r="NUF368" s="34"/>
      <c r="NUG368" s="35"/>
      <c r="NUH368" s="35"/>
      <c r="NUI368" s="35"/>
      <c r="NUJ368" s="35"/>
      <c r="NUK368" s="35"/>
      <c r="NUL368" s="34"/>
      <c r="NUM368" s="34"/>
      <c r="NUN368" s="36"/>
      <c r="NUO368" s="36"/>
      <c r="NUP368" s="37"/>
      <c r="NUQ368" s="37"/>
      <c r="NUR368" s="38"/>
      <c r="NUS368" s="38"/>
      <c r="NUT368" s="39"/>
      <c r="NUU368" s="34"/>
      <c r="NUV368" s="34"/>
      <c r="NUW368" s="34"/>
      <c r="NUX368" s="35"/>
      <c r="NUY368" s="35"/>
      <c r="NUZ368" s="35"/>
      <c r="NVA368" s="35"/>
      <c r="NVB368" s="35"/>
      <c r="NVC368" s="34"/>
      <c r="NVD368" s="34"/>
      <c r="NVE368" s="36"/>
      <c r="NVF368" s="36"/>
      <c r="NVG368" s="37"/>
      <c r="NVH368" s="37"/>
      <c r="NVI368" s="38"/>
      <c r="NVJ368" s="38"/>
      <c r="NVK368" s="39"/>
      <c r="NVL368" s="34"/>
      <c r="NVM368" s="34"/>
      <c r="NVN368" s="34"/>
      <c r="NVO368" s="35"/>
      <c r="NVP368" s="35"/>
      <c r="NVQ368" s="35"/>
      <c r="NVR368" s="35"/>
      <c r="NVS368" s="35"/>
      <c r="NVT368" s="34"/>
      <c r="NVU368" s="34"/>
      <c r="NVV368" s="36"/>
      <c r="NVW368" s="36"/>
      <c r="NVX368" s="37"/>
      <c r="NVY368" s="37"/>
      <c r="NVZ368" s="38"/>
      <c r="NWA368" s="38"/>
      <c r="NWB368" s="39"/>
      <c r="NWC368" s="34"/>
      <c r="NWD368" s="34"/>
      <c r="NWE368" s="34"/>
      <c r="NWF368" s="35"/>
      <c r="NWG368" s="35"/>
      <c r="NWH368" s="35"/>
      <c r="NWI368" s="35"/>
      <c r="NWJ368" s="35"/>
      <c r="NWK368" s="34"/>
      <c r="NWL368" s="34"/>
      <c r="NWM368" s="36"/>
      <c r="NWN368" s="36"/>
      <c r="NWO368" s="37"/>
      <c r="NWP368" s="37"/>
      <c r="NWQ368" s="38"/>
      <c r="NWR368" s="38"/>
      <c r="NWS368" s="39"/>
      <c r="NWT368" s="34"/>
      <c r="NWU368" s="34"/>
      <c r="NWV368" s="34"/>
      <c r="NWW368" s="35"/>
      <c r="NWX368" s="35"/>
      <c r="NWY368" s="35"/>
      <c r="NWZ368" s="35"/>
      <c r="NXA368" s="35"/>
      <c r="NXB368" s="34"/>
      <c r="NXC368" s="34"/>
      <c r="NXD368" s="36"/>
      <c r="NXE368" s="36"/>
      <c r="NXF368" s="37"/>
      <c r="NXG368" s="37"/>
      <c r="NXH368" s="38"/>
      <c r="NXI368" s="38"/>
      <c r="NXJ368" s="39"/>
      <c r="NXK368" s="34"/>
      <c r="NXL368" s="34"/>
      <c r="NXM368" s="34"/>
      <c r="NXN368" s="35"/>
      <c r="NXO368" s="35"/>
      <c r="NXP368" s="35"/>
      <c r="NXQ368" s="35"/>
      <c r="NXR368" s="35"/>
      <c r="NXS368" s="34"/>
      <c r="NXT368" s="34"/>
      <c r="NXU368" s="36"/>
      <c r="NXV368" s="36"/>
      <c r="NXW368" s="37"/>
      <c r="NXX368" s="37"/>
      <c r="NXY368" s="38"/>
      <c r="NXZ368" s="38"/>
      <c r="NYA368" s="39"/>
      <c r="NYB368" s="34"/>
      <c r="NYC368" s="34"/>
      <c r="NYD368" s="34"/>
      <c r="NYE368" s="35"/>
      <c r="NYF368" s="35"/>
      <c r="NYG368" s="35"/>
      <c r="NYH368" s="35"/>
      <c r="NYI368" s="35"/>
      <c r="NYJ368" s="34"/>
      <c r="NYK368" s="34"/>
      <c r="NYL368" s="36"/>
      <c r="NYM368" s="36"/>
      <c r="NYN368" s="37"/>
      <c r="NYO368" s="37"/>
      <c r="NYP368" s="38"/>
      <c r="NYQ368" s="38"/>
      <c r="NYR368" s="39"/>
      <c r="NYS368" s="34"/>
      <c r="NYT368" s="34"/>
      <c r="NYU368" s="34"/>
      <c r="NYV368" s="35"/>
      <c r="NYW368" s="35"/>
      <c r="NYX368" s="35"/>
      <c r="NYY368" s="35"/>
      <c r="NYZ368" s="35"/>
      <c r="NZA368" s="34"/>
      <c r="NZB368" s="34"/>
      <c r="NZC368" s="36"/>
      <c r="NZD368" s="36"/>
      <c r="NZE368" s="37"/>
      <c r="NZF368" s="37"/>
      <c r="NZG368" s="38"/>
      <c r="NZH368" s="38"/>
      <c r="NZI368" s="39"/>
      <c r="NZJ368" s="34"/>
      <c r="NZK368" s="34"/>
      <c r="NZL368" s="34"/>
      <c r="NZM368" s="35"/>
      <c r="NZN368" s="35"/>
      <c r="NZO368" s="35"/>
      <c r="NZP368" s="35"/>
      <c r="NZQ368" s="35"/>
      <c r="NZR368" s="34"/>
      <c r="NZS368" s="34"/>
      <c r="NZT368" s="36"/>
      <c r="NZU368" s="36"/>
      <c r="NZV368" s="37"/>
      <c r="NZW368" s="37"/>
      <c r="NZX368" s="38"/>
      <c r="NZY368" s="38"/>
      <c r="NZZ368" s="39"/>
      <c r="OAA368" s="34"/>
      <c r="OAB368" s="34"/>
      <c r="OAC368" s="34"/>
      <c r="OAD368" s="35"/>
      <c r="OAE368" s="35"/>
      <c r="OAF368" s="35"/>
      <c r="OAG368" s="35"/>
      <c r="OAH368" s="35"/>
      <c r="OAI368" s="34"/>
      <c r="OAJ368" s="34"/>
      <c r="OAK368" s="36"/>
      <c r="OAL368" s="36"/>
      <c r="OAM368" s="37"/>
      <c r="OAN368" s="37"/>
      <c r="OAO368" s="38"/>
      <c r="OAP368" s="38"/>
      <c r="OAQ368" s="39"/>
      <c r="OAR368" s="34"/>
      <c r="OAS368" s="34"/>
      <c r="OAT368" s="34"/>
      <c r="OAU368" s="35"/>
      <c r="OAV368" s="35"/>
      <c r="OAW368" s="35"/>
      <c r="OAX368" s="35"/>
      <c r="OAY368" s="35"/>
      <c r="OAZ368" s="34"/>
      <c r="OBA368" s="34"/>
      <c r="OBB368" s="36"/>
      <c r="OBC368" s="36"/>
      <c r="OBD368" s="37"/>
      <c r="OBE368" s="37"/>
      <c r="OBF368" s="38"/>
      <c r="OBG368" s="38"/>
      <c r="OBH368" s="39"/>
      <c r="OBI368" s="34"/>
      <c r="OBJ368" s="34"/>
      <c r="OBK368" s="34"/>
      <c r="OBL368" s="35"/>
      <c r="OBM368" s="35"/>
      <c r="OBN368" s="35"/>
      <c r="OBO368" s="35"/>
      <c r="OBP368" s="35"/>
      <c r="OBQ368" s="34"/>
      <c r="OBR368" s="34"/>
      <c r="OBS368" s="36"/>
      <c r="OBT368" s="36"/>
      <c r="OBU368" s="37"/>
      <c r="OBV368" s="37"/>
      <c r="OBW368" s="38"/>
      <c r="OBX368" s="38"/>
      <c r="OBY368" s="39"/>
      <c r="OBZ368" s="34"/>
      <c r="OCA368" s="34"/>
      <c r="OCB368" s="34"/>
      <c r="OCC368" s="35"/>
      <c r="OCD368" s="35"/>
      <c r="OCE368" s="35"/>
      <c r="OCF368" s="35"/>
      <c r="OCG368" s="35"/>
      <c r="OCH368" s="34"/>
      <c r="OCI368" s="34"/>
      <c r="OCJ368" s="36"/>
      <c r="OCK368" s="36"/>
      <c r="OCL368" s="37"/>
      <c r="OCM368" s="37"/>
      <c r="OCN368" s="38"/>
      <c r="OCO368" s="38"/>
      <c r="OCP368" s="39"/>
      <c r="OCQ368" s="34"/>
      <c r="OCR368" s="34"/>
      <c r="OCS368" s="34"/>
      <c r="OCT368" s="35"/>
      <c r="OCU368" s="35"/>
      <c r="OCV368" s="35"/>
      <c r="OCW368" s="35"/>
      <c r="OCX368" s="35"/>
      <c r="OCY368" s="34"/>
      <c r="OCZ368" s="34"/>
      <c r="ODA368" s="36"/>
      <c r="ODB368" s="36"/>
      <c r="ODC368" s="37"/>
      <c r="ODD368" s="37"/>
      <c r="ODE368" s="38"/>
      <c r="ODF368" s="38"/>
      <c r="ODG368" s="39"/>
      <c r="ODH368" s="34"/>
      <c r="ODI368" s="34"/>
      <c r="ODJ368" s="34"/>
      <c r="ODK368" s="35"/>
      <c r="ODL368" s="35"/>
      <c r="ODM368" s="35"/>
      <c r="ODN368" s="35"/>
      <c r="ODO368" s="35"/>
      <c r="ODP368" s="34"/>
      <c r="ODQ368" s="34"/>
      <c r="ODR368" s="36"/>
      <c r="ODS368" s="36"/>
      <c r="ODT368" s="37"/>
      <c r="ODU368" s="37"/>
      <c r="ODV368" s="38"/>
      <c r="ODW368" s="38"/>
      <c r="ODX368" s="39"/>
      <c r="ODY368" s="34"/>
      <c r="ODZ368" s="34"/>
      <c r="OEA368" s="34"/>
      <c r="OEB368" s="35"/>
      <c r="OEC368" s="35"/>
      <c r="OED368" s="35"/>
      <c r="OEE368" s="35"/>
      <c r="OEF368" s="35"/>
      <c r="OEG368" s="34"/>
      <c r="OEH368" s="34"/>
      <c r="OEI368" s="36"/>
      <c r="OEJ368" s="36"/>
      <c r="OEK368" s="37"/>
      <c r="OEL368" s="37"/>
      <c r="OEM368" s="38"/>
      <c r="OEN368" s="38"/>
      <c r="OEO368" s="39"/>
      <c r="OEP368" s="34"/>
      <c r="OEQ368" s="34"/>
      <c r="OER368" s="34"/>
      <c r="OES368" s="35"/>
      <c r="OET368" s="35"/>
      <c r="OEU368" s="35"/>
      <c r="OEV368" s="35"/>
      <c r="OEW368" s="35"/>
      <c r="OEX368" s="34"/>
      <c r="OEY368" s="34"/>
      <c r="OEZ368" s="36"/>
      <c r="OFA368" s="36"/>
      <c r="OFB368" s="37"/>
      <c r="OFC368" s="37"/>
      <c r="OFD368" s="38"/>
      <c r="OFE368" s="38"/>
      <c r="OFF368" s="39"/>
      <c r="OFG368" s="34"/>
      <c r="OFH368" s="34"/>
      <c r="OFI368" s="34"/>
      <c r="OFJ368" s="35"/>
      <c r="OFK368" s="35"/>
      <c r="OFL368" s="35"/>
      <c r="OFM368" s="35"/>
      <c r="OFN368" s="35"/>
      <c r="OFO368" s="34"/>
      <c r="OFP368" s="34"/>
      <c r="OFQ368" s="36"/>
      <c r="OFR368" s="36"/>
      <c r="OFS368" s="37"/>
      <c r="OFT368" s="37"/>
      <c r="OFU368" s="38"/>
      <c r="OFV368" s="38"/>
      <c r="OFW368" s="39"/>
      <c r="OFX368" s="34"/>
      <c r="OFY368" s="34"/>
      <c r="OFZ368" s="34"/>
      <c r="OGA368" s="35"/>
      <c r="OGB368" s="35"/>
      <c r="OGC368" s="35"/>
      <c r="OGD368" s="35"/>
      <c r="OGE368" s="35"/>
      <c r="OGF368" s="34"/>
      <c r="OGG368" s="34"/>
      <c r="OGH368" s="36"/>
      <c r="OGI368" s="36"/>
      <c r="OGJ368" s="37"/>
      <c r="OGK368" s="37"/>
      <c r="OGL368" s="38"/>
      <c r="OGM368" s="38"/>
      <c r="OGN368" s="39"/>
      <c r="OGO368" s="34"/>
      <c r="OGP368" s="34"/>
      <c r="OGQ368" s="34"/>
      <c r="OGR368" s="35"/>
      <c r="OGS368" s="35"/>
      <c r="OGT368" s="35"/>
      <c r="OGU368" s="35"/>
      <c r="OGV368" s="35"/>
      <c r="OGW368" s="34"/>
      <c r="OGX368" s="34"/>
      <c r="OGY368" s="36"/>
      <c r="OGZ368" s="36"/>
      <c r="OHA368" s="37"/>
      <c r="OHB368" s="37"/>
      <c r="OHC368" s="38"/>
      <c r="OHD368" s="38"/>
      <c r="OHE368" s="39"/>
      <c r="OHF368" s="34"/>
      <c r="OHG368" s="34"/>
      <c r="OHH368" s="34"/>
      <c r="OHI368" s="35"/>
      <c r="OHJ368" s="35"/>
      <c r="OHK368" s="35"/>
      <c r="OHL368" s="35"/>
      <c r="OHM368" s="35"/>
      <c r="OHN368" s="34"/>
      <c r="OHO368" s="34"/>
      <c r="OHP368" s="36"/>
      <c r="OHQ368" s="36"/>
      <c r="OHR368" s="37"/>
      <c r="OHS368" s="37"/>
      <c r="OHT368" s="38"/>
      <c r="OHU368" s="38"/>
      <c r="OHV368" s="39"/>
      <c r="OHW368" s="34"/>
      <c r="OHX368" s="34"/>
      <c r="OHY368" s="34"/>
      <c r="OHZ368" s="35"/>
      <c r="OIA368" s="35"/>
      <c r="OIB368" s="35"/>
      <c r="OIC368" s="35"/>
      <c r="OID368" s="35"/>
      <c r="OIE368" s="34"/>
      <c r="OIF368" s="34"/>
      <c r="OIG368" s="36"/>
      <c r="OIH368" s="36"/>
      <c r="OII368" s="37"/>
      <c r="OIJ368" s="37"/>
      <c r="OIK368" s="38"/>
      <c r="OIL368" s="38"/>
      <c r="OIM368" s="39"/>
      <c r="OIN368" s="34"/>
      <c r="OIO368" s="34"/>
      <c r="OIP368" s="34"/>
      <c r="OIQ368" s="35"/>
      <c r="OIR368" s="35"/>
      <c r="OIS368" s="35"/>
      <c r="OIT368" s="35"/>
      <c r="OIU368" s="35"/>
      <c r="OIV368" s="34"/>
      <c r="OIW368" s="34"/>
      <c r="OIX368" s="36"/>
      <c r="OIY368" s="36"/>
      <c r="OIZ368" s="37"/>
      <c r="OJA368" s="37"/>
      <c r="OJB368" s="38"/>
      <c r="OJC368" s="38"/>
      <c r="OJD368" s="39"/>
      <c r="OJE368" s="34"/>
      <c r="OJF368" s="34"/>
      <c r="OJG368" s="34"/>
      <c r="OJH368" s="35"/>
      <c r="OJI368" s="35"/>
      <c r="OJJ368" s="35"/>
      <c r="OJK368" s="35"/>
      <c r="OJL368" s="35"/>
      <c r="OJM368" s="34"/>
      <c r="OJN368" s="34"/>
      <c r="OJO368" s="36"/>
      <c r="OJP368" s="36"/>
      <c r="OJQ368" s="37"/>
      <c r="OJR368" s="37"/>
      <c r="OJS368" s="38"/>
      <c r="OJT368" s="38"/>
      <c r="OJU368" s="39"/>
      <c r="OJV368" s="34"/>
      <c r="OJW368" s="34"/>
      <c r="OJX368" s="34"/>
      <c r="OJY368" s="35"/>
      <c r="OJZ368" s="35"/>
      <c r="OKA368" s="35"/>
      <c r="OKB368" s="35"/>
      <c r="OKC368" s="35"/>
      <c r="OKD368" s="34"/>
      <c r="OKE368" s="34"/>
      <c r="OKF368" s="36"/>
      <c r="OKG368" s="36"/>
      <c r="OKH368" s="37"/>
      <c r="OKI368" s="37"/>
      <c r="OKJ368" s="38"/>
      <c r="OKK368" s="38"/>
      <c r="OKL368" s="39"/>
      <c r="OKM368" s="34"/>
      <c r="OKN368" s="34"/>
      <c r="OKO368" s="34"/>
      <c r="OKP368" s="35"/>
      <c r="OKQ368" s="35"/>
      <c r="OKR368" s="35"/>
      <c r="OKS368" s="35"/>
      <c r="OKT368" s="35"/>
      <c r="OKU368" s="34"/>
      <c r="OKV368" s="34"/>
      <c r="OKW368" s="36"/>
      <c r="OKX368" s="36"/>
      <c r="OKY368" s="37"/>
      <c r="OKZ368" s="37"/>
      <c r="OLA368" s="38"/>
      <c r="OLB368" s="38"/>
      <c r="OLC368" s="39"/>
      <c r="OLD368" s="34"/>
      <c r="OLE368" s="34"/>
      <c r="OLF368" s="34"/>
      <c r="OLG368" s="35"/>
      <c r="OLH368" s="35"/>
      <c r="OLI368" s="35"/>
      <c r="OLJ368" s="35"/>
      <c r="OLK368" s="35"/>
      <c r="OLL368" s="34"/>
      <c r="OLM368" s="34"/>
      <c r="OLN368" s="36"/>
      <c r="OLO368" s="36"/>
      <c r="OLP368" s="37"/>
      <c r="OLQ368" s="37"/>
      <c r="OLR368" s="38"/>
      <c r="OLS368" s="38"/>
      <c r="OLT368" s="39"/>
      <c r="OLU368" s="34"/>
      <c r="OLV368" s="34"/>
      <c r="OLW368" s="34"/>
      <c r="OLX368" s="35"/>
      <c r="OLY368" s="35"/>
      <c r="OLZ368" s="35"/>
      <c r="OMA368" s="35"/>
      <c r="OMB368" s="35"/>
      <c r="OMC368" s="34"/>
      <c r="OMD368" s="34"/>
      <c r="OME368" s="36"/>
      <c r="OMF368" s="36"/>
      <c r="OMG368" s="37"/>
      <c r="OMH368" s="37"/>
      <c r="OMI368" s="38"/>
      <c r="OMJ368" s="38"/>
      <c r="OMK368" s="39"/>
      <c r="OML368" s="34"/>
      <c r="OMM368" s="34"/>
      <c r="OMN368" s="34"/>
      <c r="OMO368" s="35"/>
      <c r="OMP368" s="35"/>
      <c r="OMQ368" s="35"/>
      <c r="OMR368" s="35"/>
      <c r="OMS368" s="35"/>
      <c r="OMT368" s="34"/>
      <c r="OMU368" s="34"/>
      <c r="OMV368" s="36"/>
      <c r="OMW368" s="36"/>
      <c r="OMX368" s="37"/>
      <c r="OMY368" s="37"/>
      <c r="OMZ368" s="38"/>
      <c r="ONA368" s="38"/>
      <c r="ONB368" s="39"/>
      <c r="ONC368" s="34"/>
      <c r="OND368" s="34"/>
      <c r="ONE368" s="34"/>
      <c r="ONF368" s="35"/>
      <c r="ONG368" s="35"/>
      <c r="ONH368" s="35"/>
      <c r="ONI368" s="35"/>
      <c r="ONJ368" s="35"/>
      <c r="ONK368" s="34"/>
      <c r="ONL368" s="34"/>
      <c r="ONM368" s="36"/>
      <c r="ONN368" s="36"/>
      <c r="ONO368" s="37"/>
      <c r="ONP368" s="37"/>
      <c r="ONQ368" s="38"/>
      <c r="ONR368" s="38"/>
      <c r="ONS368" s="39"/>
      <c r="ONT368" s="34"/>
      <c r="ONU368" s="34"/>
      <c r="ONV368" s="34"/>
      <c r="ONW368" s="35"/>
      <c r="ONX368" s="35"/>
      <c r="ONY368" s="35"/>
      <c r="ONZ368" s="35"/>
      <c r="OOA368" s="35"/>
      <c r="OOB368" s="34"/>
      <c r="OOC368" s="34"/>
      <c r="OOD368" s="36"/>
      <c r="OOE368" s="36"/>
      <c r="OOF368" s="37"/>
      <c r="OOG368" s="37"/>
      <c r="OOH368" s="38"/>
      <c r="OOI368" s="38"/>
      <c r="OOJ368" s="39"/>
      <c r="OOK368" s="34"/>
      <c r="OOL368" s="34"/>
      <c r="OOM368" s="34"/>
      <c r="OON368" s="35"/>
      <c r="OOO368" s="35"/>
      <c r="OOP368" s="35"/>
      <c r="OOQ368" s="35"/>
      <c r="OOR368" s="35"/>
      <c r="OOS368" s="34"/>
      <c r="OOT368" s="34"/>
      <c r="OOU368" s="36"/>
      <c r="OOV368" s="36"/>
      <c r="OOW368" s="37"/>
      <c r="OOX368" s="37"/>
      <c r="OOY368" s="38"/>
      <c r="OOZ368" s="38"/>
      <c r="OPA368" s="39"/>
      <c r="OPB368" s="34"/>
      <c r="OPC368" s="34"/>
      <c r="OPD368" s="34"/>
      <c r="OPE368" s="35"/>
      <c r="OPF368" s="35"/>
      <c r="OPG368" s="35"/>
      <c r="OPH368" s="35"/>
      <c r="OPI368" s="35"/>
      <c r="OPJ368" s="34"/>
      <c r="OPK368" s="34"/>
      <c r="OPL368" s="36"/>
      <c r="OPM368" s="36"/>
      <c r="OPN368" s="37"/>
      <c r="OPO368" s="37"/>
      <c r="OPP368" s="38"/>
      <c r="OPQ368" s="38"/>
      <c r="OPR368" s="39"/>
      <c r="OPS368" s="34"/>
      <c r="OPT368" s="34"/>
      <c r="OPU368" s="34"/>
      <c r="OPV368" s="35"/>
      <c r="OPW368" s="35"/>
      <c r="OPX368" s="35"/>
      <c r="OPY368" s="35"/>
      <c r="OPZ368" s="35"/>
      <c r="OQA368" s="34"/>
      <c r="OQB368" s="34"/>
      <c r="OQC368" s="36"/>
      <c r="OQD368" s="36"/>
      <c r="OQE368" s="37"/>
      <c r="OQF368" s="37"/>
      <c r="OQG368" s="38"/>
      <c r="OQH368" s="38"/>
      <c r="OQI368" s="39"/>
      <c r="OQJ368" s="34"/>
      <c r="OQK368" s="34"/>
      <c r="OQL368" s="34"/>
      <c r="OQM368" s="35"/>
      <c r="OQN368" s="35"/>
      <c r="OQO368" s="35"/>
      <c r="OQP368" s="35"/>
      <c r="OQQ368" s="35"/>
      <c r="OQR368" s="34"/>
      <c r="OQS368" s="34"/>
      <c r="OQT368" s="36"/>
      <c r="OQU368" s="36"/>
      <c r="OQV368" s="37"/>
      <c r="OQW368" s="37"/>
      <c r="OQX368" s="38"/>
      <c r="OQY368" s="38"/>
      <c r="OQZ368" s="39"/>
      <c r="ORA368" s="34"/>
      <c r="ORB368" s="34"/>
      <c r="ORC368" s="34"/>
      <c r="ORD368" s="35"/>
      <c r="ORE368" s="35"/>
      <c r="ORF368" s="35"/>
      <c r="ORG368" s="35"/>
      <c r="ORH368" s="35"/>
      <c r="ORI368" s="34"/>
      <c r="ORJ368" s="34"/>
      <c r="ORK368" s="36"/>
      <c r="ORL368" s="36"/>
      <c r="ORM368" s="37"/>
      <c r="ORN368" s="37"/>
      <c r="ORO368" s="38"/>
      <c r="ORP368" s="38"/>
      <c r="ORQ368" s="39"/>
      <c r="ORR368" s="34"/>
      <c r="ORS368" s="34"/>
      <c r="ORT368" s="34"/>
      <c r="ORU368" s="35"/>
      <c r="ORV368" s="35"/>
      <c r="ORW368" s="35"/>
      <c r="ORX368" s="35"/>
      <c r="ORY368" s="35"/>
      <c r="ORZ368" s="34"/>
      <c r="OSA368" s="34"/>
      <c r="OSB368" s="36"/>
      <c r="OSC368" s="36"/>
      <c r="OSD368" s="37"/>
      <c r="OSE368" s="37"/>
      <c r="OSF368" s="38"/>
      <c r="OSG368" s="38"/>
      <c r="OSH368" s="39"/>
      <c r="OSI368" s="34"/>
      <c r="OSJ368" s="34"/>
      <c r="OSK368" s="34"/>
      <c r="OSL368" s="35"/>
      <c r="OSM368" s="35"/>
      <c r="OSN368" s="35"/>
      <c r="OSO368" s="35"/>
      <c r="OSP368" s="35"/>
      <c r="OSQ368" s="34"/>
      <c r="OSR368" s="34"/>
      <c r="OSS368" s="36"/>
      <c r="OST368" s="36"/>
      <c r="OSU368" s="37"/>
      <c r="OSV368" s="37"/>
      <c r="OSW368" s="38"/>
      <c r="OSX368" s="38"/>
      <c r="OSY368" s="39"/>
      <c r="OSZ368" s="34"/>
      <c r="OTA368" s="34"/>
      <c r="OTB368" s="34"/>
      <c r="OTC368" s="35"/>
      <c r="OTD368" s="35"/>
      <c r="OTE368" s="35"/>
      <c r="OTF368" s="35"/>
      <c r="OTG368" s="35"/>
      <c r="OTH368" s="34"/>
      <c r="OTI368" s="34"/>
      <c r="OTJ368" s="36"/>
      <c r="OTK368" s="36"/>
      <c r="OTL368" s="37"/>
      <c r="OTM368" s="37"/>
      <c r="OTN368" s="38"/>
      <c r="OTO368" s="38"/>
      <c r="OTP368" s="39"/>
      <c r="OTQ368" s="34"/>
      <c r="OTR368" s="34"/>
      <c r="OTS368" s="34"/>
      <c r="OTT368" s="35"/>
      <c r="OTU368" s="35"/>
      <c r="OTV368" s="35"/>
      <c r="OTW368" s="35"/>
      <c r="OTX368" s="35"/>
      <c r="OTY368" s="34"/>
      <c r="OTZ368" s="34"/>
      <c r="OUA368" s="36"/>
      <c r="OUB368" s="36"/>
      <c r="OUC368" s="37"/>
      <c r="OUD368" s="37"/>
      <c r="OUE368" s="38"/>
      <c r="OUF368" s="38"/>
      <c r="OUG368" s="39"/>
      <c r="OUH368" s="34"/>
      <c r="OUI368" s="34"/>
      <c r="OUJ368" s="34"/>
      <c r="OUK368" s="35"/>
      <c r="OUL368" s="35"/>
      <c r="OUM368" s="35"/>
      <c r="OUN368" s="35"/>
      <c r="OUO368" s="35"/>
      <c r="OUP368" s="34"/>
      <c r="OUQ368" s="34"/>
      <c r="OUR368" s="36"/>
      <c r="OUS368" s="36"/>
      <c r="OUT368" s="37"/>
      <c r="OUU368" s="37"/>
      <c r="OUV368" s="38"/>
      <c r="OUW368" s="38"/>
      <c r="OUX368" s="39"/>
      <c r="OUY368" s="34"/>
      <c r="OUZ368" s="34"/>
      <c r="OVA368" s="34"/>
      <c r="OVB368" s="35"/>
      <c r="OVC368" s="35"/>
      <c r="OVD368" s="35"/>
      <c r="OVE368" s="35"/>
      <c r="OVF368" s="35"/>
      <c r="OVG368" s="34"/>
      <c r="OVH368" s="34"/>
      <c r="OVI368" s="36"/>
      <c r="OVJ368" s="36"/>
      <c r="OVK368" s="37"/>
      <c r="OVL368" s="37"/>
      <c r="OVM368" s="38"/>
      <c r="OVN368" s="38"/>
      <c r="OVO368" s="39"/>
      <c r="OVP368" s="34"/>
      <c r="OVQ368" s="34"/>
      <c r="OVR368" s="34"/>
      <c r="OVS368" s="35"/>
      <c r="OVT368" s="35"/>
      <c r="OVU368" s="35"/>
      <c r="OVV368" s="35"/>
      <c r="OVW368" s="35"/>
      <c r="OVX368" s="34"/>
      <c r="OVY368" s="34"/>
      <c r="OVZ368" s="36"/>
      <c r="OWA368" s="36"/>
      <c r="OWB368" s="37"/>
      <c r="OWC368" s="37"/>
      <c r="OWD368" s="38"/>
      <c r="OWE368" s="38"/>
      <c r="OWF368" s="39"/>
      <c r="OWG368" s="34"/>
      <c r="OWH368" s="34"/>
      <c r="OWI368" s="34"/>
      <c r="OWJ368" s="35"/>
      <c r="OWK368" s="35"/>
      <c r="OWL368" s="35"/>
      <c r="OWM368" s="35"/>
      <c r="OWN368" s="35"/>
      <c r="OWO368" s="34"/>
      <c r="OWP368" s="34"/>
      <c r="OWQ368" s="36"/>
      <c r="OWR368" s="36"/>
      <c r="OWS368" s="37"/>
      <c r="OWT368" s="37"/>
      <c r="OWU368" s="38"/>
      <c r="OWV368" s="38"/>
      <c r="OWW368" s="39"/>
      <c r="OWX368" s="34"/>
      <c r="OWY368" s="34"/>
      <c r="OWZ368" s="34"/>
      <c r="OXA368" s="35"/>
      <c r="OXB368" s="35"/>
      <c r="OXC368" s="35"/>
      <c r="OXD368" s="35"/>
      <c r="OXE368" s="35"/>
      <c r="OXF368" s="34"/>
      <c r="OXG368" s="34"/>
      <c r="OXH368" s="36"/>
      <c r="OXI368" s="36"/>
      <c r="OXJ368" s="37"/>
      <c r="OXK368" s="37"/>
      <c r="OXL368" s="38"/>
      <c r="OXM368" s="38"/>
      <c r="OXN368" s="39"/>
      <c r="OXO368" s="34"/>
      <c r="OXP368" s="34"/>
      <c r="OXQ368" s="34"/>
      <c r="OXR368" s="35"/>
      <c r="OXS368" s="35"/>
      <c r="OXT368" s="35"/>
      <c r="OXU368" s="35"/>
      <c r="OXV368" s="35"/>
      <c r="OXW368" s="34"/>
      <c r="OXX368" s="34"/>
      <c r="OXY368" s="36"/>
      <c r="OXZ368" s="36"/>
      <c r="OYA368" s="37"/>
      <c r="OYB368" s="37"/>
      <c r="OYC368" s="38"/>
      <c r="OYD368" s="38"/>
      <c r="OYE368" s="39"/>
      <c r="OYF368" s="34"/>
      <c r="OYG368" s="34"/>
      <c r="OYH368" s="34"/>
      <c r="OYI368" s="35"/>
      <c r="OYJ368" s="35"/>
      <c r="OYK368" s="35"/>
      <c r="OYL368" s="35"/>
      <c r="OYM368" s="35"/>
      <c r="OYN368" s="34"/>
      <c r="OYO368" s="34"/>
      <c r="OYP368" s="36"/>
      <c r="OYQ368" s="36"/>
      <c r="OYR368" s="37"/>
      <c r="OYS368" s="37"/>
      <c r="OYT368" s="38"/>
      <c r="OYU368" s="38"/>
      <c r="OYV368" s="39"/>
      <c r="OYW368" s="34"/>
      <c r="OYX368" s="34"/>
      <c r="OYY368" s="34"/>
      <c r="OYZ368" s="35"/>
      <c r="OZA368" s="35"/>
      <c r="OZB368" s="35"/>
      <c r="OZC368" s="35"/>
      <c r="OZD368" s="35"/>
      <c r="OZE368" s="34"/>
      <c r="OZF368" s="34"/>
      <c r="OZG368" s="36"/>
      <c r="OZH368" s="36"/>
      <c r="OZI368" s="37"/>
      <c r="OZJ368" s="37"/>
      <c r="OZK368" s="38"/>
      <c r="OZL368" s="38"/>
      <c r="OZM368" s="39"/>
      <c r="OZN368" s="34"/>
      <c r="OZO368" s="34"/>
      <c r="OZP368" s="34"/>
      <c r="OZQ368" s="35"/>
      <c r="OZR368" s="35"/>
      <c r="OZS368" s="35"/>
      <c r="OZT368" s="35"/>
      <c r="OZU368" s="35"/>
      <c r="OZV368" s="34"/>
      <c r="OZW368" s="34"/>
      <c r="OZX368" s="36"/>
      <c r="OZY368" s="36"/>
      <c r="OZZ368" s="37"/>
      <c r="PAA368" s="37"/>
      <c r="PAB368" s="38"/>
      <c r="PAC368" s="38"/>
      <c r="PAD368" s="39"/>
      <c r="PAE368" s="34"/>
      <c r="PAF368" s="34"/>
      <c r="PAG368" s="34"/>
      <c r="PAH368" s="35"/>
      <c r="PAI368" s="35"/>
      <c r="PAJ368" s="35"/>
      <c r="PAK368" s="35"/>
      <c r="PAL368" s="35"/>
      <c r="PAM368" s="34"/>
      <c r="PAN368" s="34"/>
      <c r="PAO368" s="36"/>
      <c r="PAP368" s="36"/>
      <c r="PAQ368" s="37"/>
      <c r="PAR368" s="37"/>
      <c r="PAS368" s="38"/>
      <c r="PAT368" s="38"/>
      <c r="PAU368" s="39"/>
      <c r="PAV368" s="34"/>
      <c r="PAW368" s="34"/>
      <c r="PAX368" s="34"/>
      <c r="PAY368" s="35"/>
      <c r="PAZ368" s="35"/>
      <c r="PBA368" s="35"/>
      <c r="PBB368" s="35"/>
      <c r="PBC368" s="35"/>
      <c r="PBD368" s="34"/>
      <c r="PBE368" s="34"/>
      <c r="PBF368" s="36"/>
      <c r="PBG368" s="36"/>
      <c r="PBH368" s="37"/>
      <c r="PBI368" s="37"/>
      <c r="PBJ368" s="38"/>
      <c r="PBK368" s="38"/>
      <c r="PBL368" s="39"/>
      <c r="PBM368" s="34"/>
      <c r="PBN368" s="34"/>
      <c r="PBO368" s="34"/>
      <c r="PBP368" s="35"/>
      <c r="PBQ368" s="35"/>
      <c r="PBR368" s="35"/>
      <c r="PBS368" s="35"/>
      <c r="PBT368" s="35"/>
      <c r="PBU368" s="34"/>
      <c r="PBV368" s="34"/>
      <c r="PBW368" s="36"/>
      <c r="PBX368" s="36"/>
      <c r="PBY368" s="37"/>
      <c r="PBZ368" s="37"/>
      <c r="PCA368" s="38"/>
      <c r="PCB368" s="38"/>
      <c r="PCC368" s="39"/>
      <c r="PCD368" s="34"/>
      <c r="PCE368" s="34"/>
      <c r="PCF368" s="34"/>
      <c r="PCG368" s="35"/>
      <c r="PCH368" s="35"/>
      <c r="PCI368" s="35"/>
      <c r="PCJ368" s="35"/>
      <c r="PCK368" s="35"/>
      <c r="PCL368" s="34"/>
      <c r="PCM368" s="34"/>
      <c r="PCN368" s="36"/>
      <c r="PCO368" s="36"/>
      <c r="PCP368" s="37"/>
      <c r="PCQ368" s="37"/>
      <c r="PCR368" s="38"/>
      <c r="PCS368" s="38"/>
      <c r="PCT368" s="39"/>
      <c r="PCU368" s="34"/>
      <c r="PCV368" s="34"/>
      <c r="PCW368" s="34"/>
      <c r="PCX368" s="35"/>
      <c r="PCY368" s="35"/>
      <c r="PCZ368" s="35"/>
      <c r="PDA368" s="35"/>
      <c r="PDB368" s="35"/>
      <c r="PDC368" s="34"/>
      <c r="PDD368" s="34"/>
      <c r="PDE368" s="36"/>
      <c r="PDF368" s="36"/>
      <c r="PDG368" s="37"/>
      <c r="PDH368" s="37"/>
      <c r="PDI368" s="38"/>
      <c r="PDJ368" s="38"/>
      <c r="PDK368" s="39"/>
      <c r="PDL368" s="34"/>
      <c r="PDM368" s="34"/>
      <c r="PDN368" s="34"/>
      <c r="PDO368" s="35"/>
      <c r="PDP368" s="35"/>
      <c r="PDQ368" s="35"/>
      <c r="PDR368" s="35"/>
      <c r="PDS368" s="35"/>
      <c r="PDT368" s="34"/>
      <c r="PDU368" s="34"/>
      <c r="PDV368" s="36"/>
      <c r="PDW368" s="36"/>
      <c r="PDX368" s="37"/>
      <c r="PDY368" s="37"/>
      <c r="PDZ368" s="38"/>
      <c r="PEA368" s="38"/>
      <c r="PEB368" s="39"/>
      <c r="PEC368" s="34"/>
      <c r="PED368" s="34"/>
      <c r="PEE368" s="34"/>
      <c r="PEF368" s="35"/>
      <c r="PEG368" s="35"/>
      <c r="PEH368" s="35"/>
      <c r="PEI368" s="35"/>
      <c r="PEJ368" s="35"/>
      <c r="PEK368" s="34"/>
      <c r="PEL368" s="34"/>
      <c r="PEM368" s="36"/>
      <c r="PEN368" s="36"/>
      <c r="PEO368" s="37"/>
      <c r="PEP368" s="37"/>
      <c r="PEQ368" s="38"/>
      <c r="PER368" s="38"/>
      <c r="PES368" s="39"/>
      <c r="PET368" s="34"/>
      <c r="PEU368" s="34"/>
      <c r="PEV368" s="34"/>
      <c r="PEW368" s="35"/>
      <c r="PEX368" s="35"/>
      <c r="PEY368" s="35"/>
      <c r="PEZ368" s="35"/>
      <c r="PFA368" s="35"/>
      <c r="PFB368" s="34"/>
      <c r="PFC368" s="34"/>
      <c r="PFD368" s="36"/>
      <c r="PFE368" s="36"/>
      <c r="PFF368" s="37"/>
      <c r="PFG368" s="37"/>
      <c r="PFH368" s="38"/>
      <c r="PFI368" s="38"/>
      <c r="PFJ368" s="39"/>
      <c r="PFK368" s="34"/>
      <c r="PFL368" s="34"/>
      <c r="PFM368" s="34"/>
      <c r="PFN368" s="35"/>
      <c r="PFO368" s="35"/>
      <c r="PFP368" s="35"/>
      <c r="PFQ368" s="35"/>
      <c r="PFR368" s="35"/>
      <c r="PFS368" s="34"/>
      <c r="PFT368" s="34"/>
      <c r="PFU368" s="36"/>
      <c r="PFV368" s="36"/>
      <c r="PFW368" s="37"/>
      <c r="PFX368" s="37"/>
      <c r="PFY368" s="38"/>
      <c r="PFZ368" s="38"/>
      <c r="PGA368" s="39"/>
      <c r="PGB368" s="34"/>
      <c r="PGC368" s="34"/>
      <c r="PGD368" s="34"/>
      <c r="PGE368" s="35"/>
      <c r="PGF368" s="35"/>
      <c r="PGG368" s="35"/>
      <c r="PGH368" s="35"/>
      <c r="PGI368" s="35"/>
      <c r="PGJ368" s="34"/>
      <c r="PGK368" s="34"/>
      <c r="PGL368" s="36"/>
      <c r="PGM368" s="36"/>
      <c r="PGN368" s="37"/>
      <c r="PGO368" s="37"/>
      <c r="PGP368" s="38"/>
      <c r="PGQ368" s="38"/>
      <c r="PGR368" s="39"/>
      <c r="PGS368" s="34"/>
      <c r="PGT368" s="34"/>
      <c r="PGU368" s="34"/>
      <c r="PGV368" s="35"/>
      <c r="PGW368" s="35"/>
      <c r="PGX368" s="35"/>
      <c r="PGY368" s="35"/>
      <c r="PGZ368" s="35"/>
      <c r="PHA368" s="34"/>
      <c r="PHB368" s="34"/>
      <c r="PHC368" s="36"/>
      <c r="PHD368" s="36"/>
      <c r="PHE368" s="37"/>
      <c r="PHF368" s="37"/>
      <c r="PHG368" s="38"/>
      <c r="PHH368" s="38"/>
      <c r="PHI368" s="39"/>
      <c r="PHJ368" s="34"/>
      <c r="PHK368" s="34"/>
      <c r="PHL368" s="34"/>
      <c r="PHM368" s="35"/>
      <c r="PHN368" s="35"/>
      <c r="PHO368" s="35"/>
      <c r="PHP368" s="35"/>
      <c r="PHQ368" s="35"/>
      <c r="PHR368" s="34"/>
      <c r="PHS368" s="34"/>
      <c r="PHT368" s="36"/>
      <c r="PHU368" s="36"/>
      <c r="PHV368" s="37"/>
      <c r="PHW368" s="37"/>
      <c r="PHX368" s="38"/>
      <c r="PHY368" s="38"/>
      <c r="PHZ368" s="39"/>
      <c r="PIA368" s="34"/>
      <c r="PIB368" s="34"/>
      <c r="PIC368" s="34"/>
      <c r="PID368" s="35"/>
      <c r="PIE368" s="35"/>
      <c r="PIF368" s="35"/>
      <c r="PIG368" s="35"/>
      <c r="PIH368" s="35"/>
      <c r="PII368" s="34"/>
      <c r="PIJ368" s="34"/>
      <c r="PIK368" s="36"/>
      <c r="PIL368" s="36"/>
      <c r="PIM368" s="37"/>
      <c r="PIN368" s="37"/>
      <c r="PIO368" s="38"/>
      <c r="PIP368" s="38"/>
      <c r="PIQ368" s="39"/>
      <c r="PIR368" s="34"/>
      <c r="PIS368" s="34"/>
      <c r="PIT368" s="34"/>
      <c r="PIU368" s="35"/>
      <c r="PIV368" s="35"/>
      <c r="PIW368" s="35"/>
      <c r="PIX368" s="35"/>
      <c r="PIY368" s="35"/>
      <c r="PIZ368" s="34"/>
      <c r="PJA368" s="34"/>
      <c r="PJB368" s="36"/>
      <c r="PJC368" s="36"/>
      <c r="PJD368" s="37"/>
      <c r="PJE368" s="37"/>
      <c r="PJF368" s="38"/>
      <c r="PJG368" s="38"/>
      <c r="PJH368" s="39"/>
      <c r="PJI368" s="34"/>
      <c r="PJJ368" s="34"/>
      <c r="PJK368" s="34"/>
      <c r="PJL368" s="35"/>
      <c r="PJM368" s="35"/>
      <c r="PJN368" s="35"/>
      <c r="PJO368" s="35"/>
      <c r="PJP368" s="35"/>
      <c r="PJQ368" s="34"/>
      <c r="PJR368" s="34"/>
      <c r="PJS368" s="36"/>
      <c r="PJT368" s="36"/>
      <c r="PJU368" s="37"/>
      <c r="PJV368" s="37"/>
      <c r="PJW368" s="38"/>
      <c r="PJX368" s="38"/>
      <c r="PJY368" s="39"/>
      <c r="PJZ368" s="34"/>
      <c r="PKA368" s="34"/>
      <c r="PKB368" s="34"/>
      <c r="PKC368" s="35"/>
      <c r="PKD368" s="35"/>
      <c r="PKE368" s="35"/>
      <c r="PKF368" s="35"/>
      <c r="PKG368" s="35"/>
      <c r="PKH368" s="34"/>
      <c r="PKI368" s="34"/>
      <c r="PKJ368" s="36"/>
      <c r="PKK368" s="36"/>
      <c r="PKL368" s="37"/>
      <c r="PKM368" s="37"/>
      <c r="PKN368" s="38"/>
      <c r="PKO368" s="38"/>
      <c r="PKP368" s="39"/>
      <c r="PKQ368" s="34"/>
      <c r="PKR368" s="34"/>
      <c r="PKS368" s="34"/>
      <c r="PKT368" s="35"/>
      <c r="PKU368" s="35"/>
      <c r="PKV368" s="35"/>
      <c r="PKW368" s="35"/>
      <c r="PKX368" s="35"/>
      <c r="PKY368" s="34"/>
      <c r="PKZ368" s="34"/>
      <c r="PLA368" s="36"/>
      <c r="PLB368" s="36"/>
      <c r="PLC368" s="37"/>
      <c r="PLD368" s="37"/>
      <c r="PLE368" s="38"/>
      <c r="PLF368" s="38"/>
      <c r="PLG368" s="39"/>
      <c r="PLH368" s="34"/>
      <c r="PLI368" s="34"/>
      <c r="PLJ368" s="34"/>
      <c r="PLK368" s="35"/>
      <c r="PLL368" s="35"/>
      <c r="PLM368" s="35"/>
      <c r="PLN368" s="35"/>
      <c r="PLO368" s="35"/>
      <c r="PLP368" s="34"/>
      <c r="PLQ368" s="34"/>
      <c r="PLR368" s="36"/>
      <c r="PLS368" s="36"/>
      <c r="PLT368" s="37"/>
      <c r="PLU368" s="37"/>
      <c r="PLV368" s="38"/>
      <c r="PLW368" s="38"/>
      <c r="PLX368" s="39"/>
      <c r="PLY368" s="34"/>
      <c r="PLZ368" s="34"/>
      <c r="PMA368" s="34"/>
      <c r="PMB368" s="35"/>
      <c r="PMC368" s="35"/>
      <c r="PMD368" s="35"/>
      <c r="PME368" s="35"/>
      <c r="PMF368" s="35"/>
      <c r="PMG368" s="34"/>
      <c r="PMH368" s="34"/>
      <c r="PMI368" s="36"/>
      <c r="PMJ368" s="36"/>
      <c r="PMK368" s="37"/>
      <c r="PML368" s="37"/>
      <c r="PMM368" s="38"/>
      <c r="PMN368" s="38"/>
      <c r="PMO368" s="39"/>
      <c r="PMP368" s="34"/>
      <c r="PMQ368" s="34"/>
      <c r="PMR368" s="34"/>
      <c r="PMS368" s="35"/>
      <c r="PMT368" s="35"/>
      <c r="PMU368" s="35"/>
      <c r="PMV368" s="35"/>
      <c r="PMW368" s="35"/>
      <c r="PMX368" s="34"/>
      <c r="PMY368" s="34"/>
      <c r="PMZ368" s="36"/>
      <c r="PNA368" s="36"/>
      <c r="PNB368" s="37"/>
      <c r="PNC368" s="37"/>
      <c r="PND368" s="38"/>
      <c r="PNE368" s="38"/>
      <c r="PNF368" s="39"/>
      <c r="PNG368" s="34"/>
      <c r="PNH368" s="34"/>
      <c r="PNI368" s="34"/>
      <c r="PNJ368" s="35"/>
      <c r="PNK368" s="35"/>
      <c r="PNL368" s="35"/>
      <c r="PNM368" s="35"/>
      <c r="PNN368" s="35"/>
      <c r="PNO368" s="34"/>
      <c r="PNP368" s="34"/>
      <c r="PNQ368" s="36"/>
      <c r="PNR368" s="36"/>
      <c r="PNS368" s="37"/>
      <c r="PNT368" s="37"/>
      <c r="PNU368" s="38"/>
      <c r="PNV368" s="38"/>
      <c r="PNW368" s="39"/>
      <c r="PNX368" s="34"/>
      <c r="PNY368" s="34"/>
      <c r="PNZ368" s="34"/>
      <c r="POA368" s="35"/>
      <c r="POB368" s="35"/>
      <c r="POC368" s="35"/>
      <c r="POD368" s="35"/>
      <c r="POE368" s="35"/>
      <c r="POF368" s="34"/>
      <c r="POG368" s="34"/>
      <c r="POH368" s="36"/>
      <c r="POI368" s="36"/>
      <c r="POJ368" s="37"/>
      <c r="POK368" s="37"/>
      <c r="POL368" s="38"/>
      <c r="POM368" s="38"/>
      <c r="PON368" s="39"/>
      <c r="POO368" s="34"/>
      <c r="POP368" s="34"/>
      <c r="POQ368" s="34"/>
      <c r="POR368" s="35"/>
      <c r="POS368" s="35"/>
      <c r="POT368" s="35"/>
      <c r="POU368" s="35"/>
      <c r="POV368" s="35"/>
      <c r="POW368" s="34"/>
      <c r="POX368" s="34"/>
      <c r="POY368" s="36"/>
      <c r="POZ368" s="36"/>
      <c r="PPA368" s="37"/>
      <c r="PPB368" s="37"/>
      <c r="PPC368" s="38"/>
      <c r="PPD368" s="38"/>
      <c r="PPE368" s="39"/>
      <c r="PPF368" s="34"/>
      <c r="PPG368" s="34"/>
      <c r="PPH368" s="34"/>
      <c r="PPI368" s="35"/>
      <c r="PPJ368" s="35"/>
      <c r="PPK368" s="35"/>
      <c r="PPL368" s="35"/>
      <c r="PPM368" s="35"/>
      <c r="PPN368" s="34"/>
      <c r="PPO368" s="34"/>
      <c r="PPP368" s="36"/>
      <c r="PPQ368" s="36"/>
      <c r="PPR368" s="37"/>
      <c r="PPS368" s="37"/>
      <c r="PPT368" s="38"/>
      <c r="PPU368" s="38"/>
      <c r="PPV368" s="39"/>
      <c r="PPW368" s="34"/>
      <c r="PPX368" s="34"/>
      <c r="PPY368" s="34"/>
      <c r="PPZ368" s="35"/>
      <c r="PQA368" s="35"/>
      <c r="PQB368" s="35"/>
      <c r="PQC368" s="35"/>
      <c r="PQD368" s="35"/>
      <c r="PQE368" s="34"/>
      <c r="PQF368" s="34"/>
      <c r="PQG368" s="36"/>
      <c r="PQH368" s="36"/>
      <c r="PQI368" s="37"/>
      <c r="PQJ368" s="37"/>
      <c r="PQK368" s="38"/>
      <c r="PQL368" s="38"/>
      <c r="PQM368" s="39"/>
      <c r="PQN368" s="34"/>
      <c r="PQO368" s="34"/>
      <c r="PQP368" s="34"/>
      <c r="PQQ368" s="35"/>
      <c r="PQR368" s="35"/>
      <c r="PQS368" s="35"/>
      <c r="PQT368" s="35"/>
      <c r="PQU368" s="35"/>
      <c r="PQV368" s="34"/>
      <c r="PQW368" s="34"/>
      <c r="PQX368" s="36"/>
      <c r="PQY368" s="36"/>
      <c r="PQZ368" s="37"/>
      <c r="PRA368" s="37"/>
      <c r="PRB368" s="38"/>
      <c r="PRC368" s="38"/>
      <c r="PRD368" s="39"/>
      <c r="PRE368" s="34"/>
      <c r="PRF368" s="34"/>
      <c r="PRG368" s="34"/>
      <c r="PRH368" s="35"/>
      <c r="PRI368" s="35"/>
      <c r="PRJ368" s="35"/>
      <c r="PRK368" s="35"/>
      <c r="PRL368" s="35"/>
      <c r="PRM368" s="34"/>
      <c r="PRN368" s="34"/>
      <c r="PRO368" s="36"/>
      <c r="PRP368" s="36"/>
      <c r="PRQ368" s="37"/>
      <c r="PRR368" s="37"/>
      <c r="PRS368" s="38"/>
      <c r="PRT368" s="38"/>
      <c r="PRU368" s="39"/>
      <c r="PRV368" s="34"/>
      <c r="PRW368" s="34"/>
      <c r="PRX368" s="34"/>
      <c r="PRY368" s="35"/>
      <c r="PRZ368" s="35"/>
      <c r="PSA368" s="35"/>
      <c r="PSB368" s="35"/>
      <c r="PSC368" s="35"/>
      <c r="PSD368" s="34"/>
      <c r="PSE368" s="34"/>
      <c r="PSF368" s="36"/>
      <c r="PSG368" s="36"/>
      <c r="PSH368" s="37"/>
      <c r="PSI368" s="37"/>
      <c r="PSJ368" s="38"/>
      <c r="PSK368" s="38"/>
      <c r="PSL368" s="39"/>
      <c r="PSM368" s="34"/>
      <c r="PSN368" s="34"/>
      <c r="PSO368" s="34"/>
      <c r="PSP368" s="35"/>
      <c r="PSQ368" s="35"/>
      <c r="PSR368" s="35"/>
      <c r="PSS368" s="35"/>
      <c r="PST368" s="35"/>
      <c r="PSU368" s="34"/>
      <c r="PSV368" s="34"/>
      <c r="PSW368" s="36"/>
      <c r="PSX368" s="36"/>
      <c r="PSY368" s="37"/>
      <c r="PSZ368" s="37"/>
      <c r="PTA368" s="38"/>
      <c r="PTB368" s="38"/>
      <c r="PTC368" s="39"/>
      <c r="PTD368" s="34"/>
      <c r="PTE368" s="34"/>
      <c r="PTF368" s="34"/>
      <c r="PTG368" s="35"/>
      <c r="PTH368" s="35"/>
      <c r="PTI368" s="35"/>
      <c r="PTJ368" s="35"/>
      <c r="PTK368" s="35"/>
      <c r="PTL368" s="34"/>
      <c r="PTM368" s="34"/>
      <c r="PTN368" s="36"/>
      <c r="PTO368" s="36"/>
      <c r="PTP368" s="37"/>
      <c r="PTQ368" s="37"/>
      <c r="PTR368" s="38"/>
      <c r="PTS368" s="38"/>
      <c r="PTT368" s="39"/>
      <c r="PTU368" s="34"/>
      <c r="PTV368" s="34"/>
      <c r="PTW368" s="34"/>
      <c r="PTX368" s="35"/>
      <c r="PTY368" s="35"/>
      <c r="PTZ368" s="35"/>
      <c r="PUA368" s="35"/>
      <c r="PUB368" s="35"/>
      <c r="PUC368" s="34"/>
      <c r="PUD368" s="34"/>
      <c r="PUE368" s="36"/>
      <c r="PUF368" s="36"/>
      <c r="PUG368" s="37"/>
      <c r="PUH368" s="37"/>
      <c r="PUI368" s="38"/>
      <c r="PUJ368" s="38"/>
      <c r="PUK368" s="39"/>
      <c r="PUL368" s="34"/>
      <c r="PUM368" s="34"/>
      <c r="PUN368" s="34"/>
      <c r="PUO368" s="35"/>
      <c r="PUP368" s="35"/>
      <c r="PUQ368" s="35"/>
      <c r="PUR368" s="35"/>
      <c r="PUS368" s="35"/>
      <c r="PUT368" s="34"/>
      <c r="PUU368" s="34"/>
      <c r="PUV368" s="36"/>
      <c r="PUW368" s="36"/>
      <c r="PUX368" s="37"/>
      <c r="PUY368" s="37"/>
      <c r="PUZ368" s="38"/>
      <c r="PVA368" s="38"/>
      <c r="PVB368" s="39"/>
      <c r="PVC368" s="34"/>
      <c r="PVD368" s="34"/>
      <c r="PVE368" s="34"/>
      <c r="PVF368" s="35"/>
      <c r="PVG368" s="35"/>
      <c r="PVH368" s="35"/>
      <c r="PVI368" s="35"/>
      <c r="PVJ368" s="35"/>
      <c r="PVK368" s="34"/>
      <c r="PVL368" s="34"/>
      <c r="PVM368" s="36"/>
      <c r="PVN368" s="36"/>
      <c r="PVO368" s="37"/>
      <c r="PVP368" s="37"/>
      <c r="PVQ368" s="38"/>
      <c r="PVR368" s="38"/>
      <c r="PVS368" s="39"/>
      <c r="PVT368" s="34"/>
      <c r="PVU368" s="34"/>
      <c r="PVV368" s="34"/>
      <c r="PVW368" s="35"/>
      <c r="PVX368" s="35"/>
      <c r="PVY368" s="35"/>
      <c r="PVZ368" s="35"/>
      <c r="PWA368" s="35"/>
      <c r="PWB368" s="34"/>
      <c r="PWC368" s="34"/>
      <c r="PWD368" s="36"/>
      <c r="PWE368" s="36"/>
      <c r="PWF368" s="37"/>
      <c r="PWG368" s="37"/>
      <c r="PWH368" s="38"/>
      <c r="PWI368" s="38"/>
      <c r="PWJ368" s="39"/>
      <c r="PWK368" s="34"/>
      <c r="PWL368" s="34"/>
      <c r="PWM368" s="34"/>
      <c r="PWN368" s="35"/>
      <c r="PWO368" s="35"/>
      <c r="PWP368" s="35"/>
      <c r="PWQ368" s="35"/>
      <c r="PWR368" s="35"/>
      <c r="PWS368" s="34"/>
      <c r="PWT368" s="34"/>
      <c r="PWU368" s="36"/>
      <c r="PWV368" s="36"/>
      <c r="PWW368" s="37"/>
      <c r="PWX368" s="37"/>
      <c r="PWY368" s="38"/>
      <c r="PWZ368" s="38"/>
      <c r="PXA368" s="39"/>
      <c r="PXB368" s="34"/>
      <c r="PXC368" s="34"/>
      <c r="PXD368" s="34"/>
      <c r="PXE368" s="35"/>
      <c r="PXF368" s="35"/>
      <c r="PXG368" s="35"/>
      <c r="PXH368" s="35"/>
      <c r="PXI368" s="35"/>
      <c r="PXJ368" s="34"/>
      <c r="PXK368" s="34"/>
      <c r="PXL368" s="36"/>
      <c r="PXM368" s="36"/>
      <c r="PXN368" s="37"/>
      <c r="PXO368" s="37"/>
      <c r="PXP368" s="38"/>
      <c r="PXQ368" s="38"/>
      <c r="PXR368" s="39"/>
      <c r="PXS368" s="34"/>
      <c r="PXT368" s="34"/>
      <c r="PXU368" s="34"/>
      <c r="PXV368" s="35"/>
      <c r="PXW368" s="35"/>
      <c r="PXX368" s="35"/>
      <c r="PXY368" s="35"/>
      <c r="PXZ368" s="35"/>
      <c r="PYA368" s="34"/>
      <c r="PYB368" s="34"/>
      <c r="PYC368" s="36"/>
      <c r="PYD368" s="36"/>
      <c r="PYE368" s="37"/>
      <c r="PYF368" s="37"/>
      <c r="PYG368" s="38"/>
      <c r="PYH368" s="38"/>
      <c r="PYI368" s="39"/>
      <c r="PYJ368" s="34"/>
      <c r="PYK368" s="34"/>
      <c r="PYL368" s="34"/>
      <c r="PYM368" s="35"/>
      <c r="PYN368" s="35"/>
      <c r="PYO368" s="35"/>
      <c r="PYP368" s="35"/>
      <c r="PYQ368" s="35"/>
      <c r="PYR368" s="34"/>
      <c r="PYS368" s="34"/>
      <c r="PYT368" s="36"/>
      <c r="PYU368" s="36"/>
      <c r="PYV368" s="37"/>
      <c r="PYW368" s="37"/>
      <c r="PYX368" s="38"/>
      <c r="PYY368" s="38"/>
      <c r="PYZ368" s="39"/>
      <c r="PZA368" s="34"/>
      <c r="PZB368" s="34"/>
      <c r="PZC368" s="34"/>
      <c r="PZD368" s="35"/>
      <c r="PZE368" s="35"/>
      <c r="PZF368" s="35"/>
      <c r="PZG368" s="35"/>
      <c r="PZH368" s="35"/>
      <c r="PZI368" s="34"/>
      <c r="PZJ368" s="34"/>
      <c r="PZK368" s="36"/>
      <c r="PZL368" s="36"/>
      <c r="PZM368" s="37"/>
      <c r="PZN368" s="37"/>
      <c r="PZO368" s="38"/>
      <c r="PZP368" s="38"/>
      <c r="PZQ368" s="39"/>
      <c r="PZR368" s="34"/>
      <c r="PZS368" s="34"/>
      <c r="PZT368" s="34"/>
      <c r="PZU368" s="35"/>
      <c r="PZV368" s="35"/>
      <c r="PZW368" s="35"/>
      <c r="PZX368" s="35"/>
      <c r="PZY368" s="35"/>
      <c r="PZZ368" s="34"/>
      <c r="QAA368" s="34"/>
      <c r="QAB368" s="36"/>
      <c r="QAC368" s="36"/>
      <c r="QAD368" s="37"/>
      <c r="QAE368" s="37"/>
      <c r="QAF368" s="38"/>
      <c r="QAG368" s="38"/>
      <c r="QAH368" s="39"/>
      <c r="QAI368" s="34"/>
      <c r="QAJ368" s="34"/>
      <c r="QAK368" s="34"/>
      <c r="QAL368" s="35"/>
      <c r="QAM368" s="35"/>
      <c r="QAN368" s="35"/>
      <c r="QAO368" s="35"/>
      <c r="QAP368" s="35"/>
      <c r="QAQ368" s="34"/>
      <c r="QAR368" s="34"/>
      <c r="QAS368" s="36"/>
      <c r="QAT368" s="36"/>
      <c r="QAU368" s="37"/>
      <c r="QAV368" s="37"/>
      <c r="QAW368" s="38"/>
      <c r="QAX368" s="38"/>
      <c r="QAY368" s="39"/>
      <c r="QAZ368" s="34"/>
      <c r="QBA368" s="34"/>
      <c r="QBB368" s="34"/>
      <c r="QBC368" s="35"/>
      <c r="QBD368" s="35"/>
      <c r="QBE368" s="35"/>
      <c r="QBF368" s="35"/>
      <c r="QBG368" s="35"/>
      <c r="QBH368" s="34"/>
      <c r="QBI368" s="34"/>
      <c r="QBJ368" s="36"/>
      <c r="QBK368" s="36"/>
      <c r="QBL368" s="37"/>
      <c r="QBM368" s="37"/>
      <c r="QBN368" s="38"/>
      <c r="QBO368" s="38"/>
      <c r="QBP368" s="39"/>
      <c r="QBQ368" s="34"/>
      <c r="QBR368" s="34"/>
      <c r="QBS368" s="34"/>
      <c r="QBT368" s="35"/>
      <c r="QBU368" s="35"/>
      <c r="QBV368" s="35"/>
      <c r="QBW368" s="35"/>
      <c r="QBX368" s="35"/>
      <c r="QBY368" s="34"/>
      <c r="QBZ368" s="34"/>
      <c r="QCA368" s="36"/>
      <c r="QCB368" s="36"/>
      <c r="QCC368" s="37"/>
      <c r="QCD368" s="37"/>
      <c r="QCE368" s="38"/>
      <c r="QCF368" s="38"/>
      <c r="QCG368" s="39"/>
      <c r="QCH368" s="34"/>
      <c r="QCI368" s="34"/>
      <c r="QCJ368" s="34"/>
      <c r="QCK368" s="35"/>
      <c r="QCL368" s="35"/>
      <c r="QCM368" s="35"/>
      <c r="QCN368" s="35"/>
      <c r="QCO368" s="35"/>
      <c r="QCP368" s="34"/>
      <c r="QCQ368" s="34"/>
      <c r="QCR368" s="36"/>
      <c r="QCS368" s="36"/>
      <c r="QCT368" s="37"/>
      <c r="QCU368" s="37"/>
      <c r="QCV368" s="38"/>
      <c r="QCW368" s="38"/>
      <c r="QCX368" s="39"/>
      <c r="QCY368" s="34"/>
      <c r="QCZ368" s="34"/>
      <c r="QDA368" s="34"/>
      <c r="QDB368" s="35"/>
      <c r="QDC368" s="35"/>
      <c r="QDD368" s="35"/>
      <c r="QDE368" s="35"/>
      <c r="QDF368" s="35"/>
      <c r="QDG368" s="34"/>
      <c r="QDH368" s="34"/>
      <c r="QDI368" s="36"/>
      <c r="QDJ368" s="36"/>
      <c r="QDK368" s="37"/>
      <c r="QDL368" s="37"/>
      <c r="QDM368" s="38"/>
      <c r="QDN368" s="38"/>
      <c r="QDO368" s="39"/>
      <c r="QDP368" s="34"/>
      <c r="QDQ368" s="34"/>
      <c r="QDR368" s="34"/>
      <c r="QDS368" s="35"/>
      <c r="QDT368" s="35"/>
      <c r="QDU368" s="35"/>
      <c r="QDV368" s="35"/>
      <c r="QDW368" s="35"/>
      <c r="QDX368" s="34"/>
      <c r="QDY368" s="34"/>
      <c r="QDZ368" s="36"/>
      <c r="QEA368" s="36"/>
      <c r="QEB368" s="37"/>
      <c r="QEC368" s="37"/>
      <c r="QED368" s="38"/>
      <c r="QEE368" s="38"/>
      <c r="QEF368" s="39"/>
      <c r="QEG368" s="34"/>
      <c r="QEH368" s="34"/>
      <c r="QEI368" s="34"/>
      <c r="QEJ368" s="35"/>
      <c r="QEK368" s="35"/>
      <c r="QEL368" s="35"/>
      <c r="QEM368" s="35"/>
      <c r="QEN368" s="35"/>
      <c r="QEO368" s="34"/>
      <c r="QEP368" s="34"/>
      <c r="QEQ368" s="36"/>
      <c r="QER368" s="36"/>
      <c r="QES368" s="37"/>
      <c r="QET368" s="37"/>
      <c r="QEU368" s="38"/>
      <c r="QEV368" s="38"/>
      <c r="QEW368" s="39"/>
      <c r="QEX368" s="34"/>
      <c r="QEY368" s="34"/>
      <c r="QEZ368" s="34"/>
      <c r="QFA368" s="35"/>
      <c r="QFB368" s="35"/>
      <c r="QFC368" s="35"/>
      <c r="QFD368" s="35"/>
      <c r="QFE368" s="35"/>
      <c r="QFF368" s="34"/>
      <c r="QFG368" s="34"/>
      <c r="QFH368" s="36"/>
      <c r="QFI368" s="36"/>
      <c r="QFJ368" s="37"/>
      <c r="QFK368" s="37"/>
      <c r="QFL368" s="38"/>
      <c r="QFM368" s="38"/>
      <c r="QFN368" s="39"/>
      <c r="QFO368" s="34"/>
      <c r="QFP368" s="34"/>
      <c r="QFQ368" s="34"/>
      <c r="QFR368" s="35"/>
      <c r="QFS368" s="35"/>
      <c r="QFT368" s="35"/>
      <c r="QFU368" s="35"/>
      <c r="QFV368" s="35"/>
      <c r="QFW368" s="34"/>
      <c r="QFX368" s="34"/>
      <c r="QFY368" s="36"/>
      <c r="QFZ368" s="36"/>
      <c r="QGA368" s="37"/>
      <c r="QGB368" s="37"/>
      <c r="QGC368" s="38"/>
      <c r="QGD368" s="38"/>
      <c r="QGE368" s="39"/>
      <c r="QGF368" s="34"/>
      <c r="QGG368" s="34"/>
      <c r="QGH368" s="34"/>
      <c r="QGI368" s="35"/>
      <c r="QGJ368" s="35"/>
      <c r="QGK368" s="35"/>
      <c r="QGL368" s="35"/>
      <c r="QGM368" s="35"/>
      <c r="QGN368" s="34"/>
      <c r="QGO368" s="34"/>
      <c r="QGP368" s="36"/>
      <c r="QGQ368" s="36"/>
      <c r="QGR368" s="37"/>
      <c r="QGS368" s="37"/>
      <c r="QGT368" s="38"/>
      <c r="QGU368" s="38"/>
      <c r="QGV368" s="39"/>
      <c r="QGW368" s="34"/>
      <c r="QGX368" s="34"/>
      <c r="QGY368" s="34"/>
      <c r="QGZ368" s="35"/>
      <c r="QHA368" s="35"/>
      <c r="QHB368" s="35"/>
      <c r="QHC368" s="35"/>
      <c r="QHD368" s="35"/>
      <c r="QHE368" s="34"/>
      <c r="QHF368" s="34"/>
      <c r="QHG368" s="36"/>
      <c r="QHH368" s="36"/>
      <c r="QHI368" s="37"/>
      <c r="QHJ368" s="37"/>
      <c r="QHK368" s="38"/>
      <c r="QHL368" s="38"/>
      <c r="QHM368" s="39"/>
      <c r="QHN368" s="34"/>
      <c r="QHO368" s="34"/>
      <c r="QHP368" s="34"/>
      <c r="QHQ368" s="35"/>
      <c r="QHR368" s="35"/>
      <c r="QHS368" s="35"/>
      <c r="QHT368" s="35"/>
      <c r="QHU368" s="35"/>
      <c r="QHV368" s="34"/>
      <c r="QHW368" s="34"/>
      <c r="QHX368" s="36"/>
      <c r="QHY368" s="36"/>
      <c r="QHZ368" s="37"/>
      <c r="QIA368" s="37"/>
      <c r="QIB368" s="38"/>
      <c r="QIC368" s="38"/>
      <c r="QID368" s="39"/>
      <c r="QIE368" s="34"/>
      <c r="QIF368" s="34"/>
      <c r="QIG368" s="34"/>
      <c r="QIH368" s="35"/>
      <c r="QII368" s="35"/>
      <c r="QIJ368" s="35"/>
      <c r="QIK368" s="35"/>
      <c r="QIL368" s="35"/>
      <c r="QIM368" s="34"/>
      <c r="QIN368" s="34"/>
      <c r="QIO368" s="36"/>
      <c r="QIP368" s="36"/>
      <c r="QIQ368" s="37"/>
      <c r="QIR368" s="37"/>
      <c r="QIS368" s="38"/>
      <c r="QIT368" s="38"/>
      <c r="QIU368" s="39"/>
      <c r="QIV368" s="34"/>
      <c r="QIW368" s="34"/>
      <c r="QIX368" s="34"/>
      <c r="QIY368" s="35"/>
      <c r="QIZ368" s="35"/>
      <c r="QJA368" s="35"/>
      <c r="QJB368" s="35"/>
      <c r="QJC368" s="35"/>
      <c r="QJD368" s="34"/>
      <c r="QJE368" s="34"/>
      <c r="QJF368" s="36"/>
      <c r="QJG368" s="36"/>
      <c r="QJH368" s="37"/>
      <c r="QJI368" s="37"/>
      <c r="QJJ368" s="38"/>
      <c r="QJK368" s="38"/>
      <c r="QJL368" s="39"/>
      <c r="QJM368" s="34"/>
      <c r="QJN368" s="34"/>
      <c r="QJO368" s="34"/>
      <c r="QJP368" s="35"/>
      <c r="QJQ368" s="35"/>
      <c r="QJR368" s="35"/>
      <c r="QJS368" s="35"/>
      <c r="QJT368" s="35"/>
      <c r="QJU368" s="34"/>
      <c r="QJV368" s="34"/>
      <c r="QJW368" s="36"/>
      <c r="QJX368" s="36"/>
      <c r="QJY368" s="37"/>
      <c r="QJZ368" s="37"/>
      <c r="QKA368" s="38"/>
      <c r="QKB368" s="38"/>
      <c r="QKC368" s="39"/>
      <c r="QKD368" s="34"/>
      <c r="QKE368" s="34"/>
      <c r="QKF368" s="34"/>
      <c r="QKG368" s="35"/>
      <c r="QKH368" s="35"/>
      <c r="QKI368" s="35"/>
      <c r="QKJ368" s="35"/>
      <c r="QKK368" s="35"/>
      <c r="QKL368" s="34"/>
      <c r="QKM368" s="34"/>
      <c r="QKN368" s="36"/>
      <c r="QKO368" s="36"/>
      <c r="QKP368" s="37"/>
      <c r="QKQ368" s="37"/>
      <c r="QKR368" s="38"/>
      <c r="QKS368" s="38"/>
      <c r="QKT368" s="39"/>
      <c r="QKU368" s="34"/>
      <c r="QKV368" s="34"/>
      <c r="QKW368" s="34"/>
      <c r="QKX368" s="35"/>
      <c r="QKY368" s="35"/>
      <c r="QKZ368" s="35"/>
      <c r="QLA368" s="35"/>
      <c r="QLB368" s="35"/>
      <c r="QLC368" s="34"/>
      <c r="QLD368" s="34"/>
      <c r="QLE368" s="36"/>
      <c r="QLF368" s="36"/>
      <c r="QLG368" s="37"/>
      <c r="QLH368" s="37"/>
      <c r="QLI368" s="38"/>
      <c r="QLJ368" s="38"/>
      <c r="QLK368" s="39"/>
      <c r="QLL368" s="34"/>
      <c r="QLM368" s="34"/>
      <c r="QLN368" s="34"/>
      <c r="QLO368" s="35"/>
      <c r="QLP368" s="35"/>
      <c r="QLQ368" s="35"/>
      <c r="QLR368" s="35"/>
      <c r="QLS368" s="35"/>
      <c r="QLT368" s="34"/>
      <c r="QLU368" s="34"/>
      <c r="QLV368" s="36"/>
      <c r="QLW368" s="36"/>
      <c r="QLX368" s="37"/>
      <c r="QLY368" s="37"/>
      <c r="QLZ368" s="38"/>
      <c r="QMA368" s="38"/>
      <c r="QMB368" s="39"/>
      <c r="QMC368" s="34"/>
      <c r="QMD368" s="34"/>
      <c r="QME368" s="34"/>
      <c r="QMF368" s="35"/>
      <c r="QMG368" s="35"/>
      <c r="QMH368" s="35"/>
      <c r="QMI368" s="35"/>
      <c r="QMJ368" s="35"/>
      <c r="QMK368" s="34"/>
      <c r="QML368" s="34"/>
      <c r="QMM368" s="36"/>
      <c r="QMN368" s="36"/>
      <c r="QMO368" s="37"/>
      <c r="QMP368" s="37"/>
      <c r="QMQ368" s="38"/>
      <c r="QMR368" s="38"/>
      <c r="QMS368" s="39"/>
      <c r="QMT368" s="34"/>
      <c r="QMU368" s="34"/>
      <c r="QMV368" s="34"/>
      <c r="QMW368" s="35"/>
      <c r="QMX368" s="35"/>
      <c r="QMY368" s="35"/>
      <c r="QMZ368" s="35"/>
      <c r="QNA368" s="35"/>
      <c r="QNB368" s="34"/>
      <c r="QNC368" s="34"/>
      <c r="QND368" s="36"/>
      <c r="QNE368" s="36"/>
      <c r="QNF368" s="37"/>
      <c r="QNG368" s="37"/>
      <c r="QNH368" s="38"/>
      <c r="QNI368" s="38"/>
      <c r="QNJ368" s="39"/>
      <c r="QNK368" s="34"/>
      <c r="QNL368" s="34"/>
      <c r="QNM368" s="34"/>
      <c r="QNN368" s="35"/>
      <c r="QNO368" s="35"/>
      <c r="QNP368" s="35"/>
      <c r="QNQ368" s="35"/>
      <c r="QNR368" s="35"/>
      <c r="QNS368" s="34"/>
      <c r="QNT368" s="34"/>
      <c r="QNU368" s="36"/>
      <c r="QNV368" s="36"/>
      <c r="QNW368" s="37"/>
      <c r="QNX368" s="37"/>
      <c r="QNY368" s="38"/>
      <c r="QNZ368" s="38"/>
      <c r="QOA368" s="39"/>
      <c r="QOB368" s="34"/>
      <c r="QOC368" s="34"/>
      <c r="QOD368" s="34"/>
      <c r="QOE368" s="35"/>
      <c r="QOF368" s="35"/>
      <c r="QOG368" s="35"/>
      <c r="QOH368" s="35"/>
      <c r="QOI368" s="35"/>
      <c r="QOJ368" s="34"/>
      <c r="QOK368" s="34"/>
      <c r="QOL368" s="36"/>
      <c r="QOM368" s="36"/>
      <c r="QON368" s="37"/>
      <c r="QOO368" s="37"/>
      <c r="QOP368" s="38"/>
      <c r="QOQ368" s="38"/>
      <c r="QOR368" s="39"/>
      <c r="QOS368" s="34"/>
      <c r="QOT368" s="34"/>
      <c r="QOU368" s="34"/>
      <c r="QOV368" s="35"/>
      <c r="QOW368" s="35"/>
      <c r="QOX368" s="35"/>
      <c r="QOY368" s="35"/>
      <c r="QOZ368" s="35"/>
      <c r="QPA368" s="34"/>
      <c r="QPB368" s="34"/>
      <c r="QPC368" s="36"/>
      <c r="QPD368" s="36"/>
      <c r="QPE368" s="37"/>
      <c r="QPF368" s="37"/>
      <c r="QPG368" s="38"/>
      <c r="QPH368" s="38"/>
      <c r="QPI368" s="39"/>
      <c r="QPJ368" s="34"/>
      <c r="QPK368" s="34"/>
      <c r="QPL368" s="34"/>
      <c r="QPM368" s="35"/>
      <c r="QPN368" s="35"/>
      <c r="QPO368" s="35"/>
      <c r="QPP368" s="35"/>
      <c r="QPQ368" s="35"/>
      <c r="QPR368" s="34"/>
      <c r="QPS368" s="34"/>
      <c r="QPT368" s="36"/>
      <c r="QPU368" s="36"/>
      <c r="QPV368" s="37"/>
      <c r="QPW368" s="37"/>
      <c r="QPX368" s="38"/>
      <c r="QPY368" s="38"/>
      <c r="QPZ368" s="39"/>
      <c r="QQA368" s="34"/>
      <c r="QQB368" s="34"/>
      <c r="QQC368" s="34"/>
      <c r="QQD368" s="35"/>
      <c r="QQE368" s="35"/>
      <c r="QQF368" s="35"/>
      <c r="QQG368" s="35"/>
      <c r="QQH368" s="35"/>
      <c r="QQI368" s="34"/>
      <c r="QQJ368" s="34"/>
      <c r="QQK368" s="36"/>
      <c r="QQL368" s="36"/>
      <c r="QQM368" s="37"/>
      <c r="QQN368" s="37"/>
      <c r="QQO368" s="38"/>
      <c r="QQP368" s="38"/>
      <c r="QQQ368" s="39"/>
      <c r="QQR368" s="34"/>
      <c r="QQS368" s="34"/>
      <c r="QQT368" s="34"/>
      <c r="QQU368" s="35"/>
      <c r="QQV368" s="35"/>
      <c r="QQW368" s="35"/>
      <c r="QQX368" s="35"/>
      <c r="QQY368" s="35"/>
      <c r="QQZ368" s="34"/>
      <c r="QRA368" s="34"/>
      <c r="QRB368" s="36"/>
      <c r="QRC368" s="36"/>
      <c r="QRD368" s="37"/>
      <c r="QRE368" s="37"/>
      <c r="QRF368" s="38"/>
      <c r="QRG368" s="38"/>
      <c r="QRH368" s="39"/>
      <c r="QRI368" s="34"/>
      <c r="QRJ368" s="34"/>
      <c r="QRK368" s="34"/>
      <c r="QRL368" s="35"/>
      <c r="QRM368" s="35"/>
      <c r="QRN368" s="35"/>
      <c r="QRO368" s="35"/>
      <c r="QRP368" s="35"/>
      <c r="QRQ368" s="34"/>
      <c r="QRR368" s="34"/>
      <c r="QRS368" s="36"/>
      <c r="QRT368" s="36"/>
      <c r="QRU368" s="37"/>
      <c r="QRV368" s="37"/>
      <c r="QRW368" s="38"/>
      <c r="QRX368" s="38"/>
      <c r="QRY368" s="39"/>
      <c r="QRZ368" s="34"/>
      <c r="QSA368" s="34"/>
      <c r="QSB368" s="34"/>
      <c r="QSC368" s="35"/>
      <c r="QSD368" s="35"/>
      <c r="QSE368" s="35"/>
      <c r="QSF368" s="35"/>
      <c r="QSG368" s="35"/>
      <c r="QSH368" s="34"/>
      <c r="QSI368" s="34"/>
      <c r="QSJ368" s="36"/>
      <c r="QSK368" s="36"/>
      <c r="QSL368" s="37"/>
      <c r="QSM368" s="37"/>
      <c r="QSN368" s="38"/>
      <c r="QSO368" s="38"/>
      <c r="QSP368" s="39"/>
      <c r="QSQ368" s="34"/>
      <c r="QSR368" s="34"/>
      <c r="QSS368" s="34"/>
      <c r="QST368" s="35"/>
      <c r="QSU368" s="35"/>
      <c r="QSV368" s="35"/>
      <c r="QSW368" s="35"/>
      <c r="QSX368" s="35"/>
      <c r="QSY368" s="34"/>
      <c r="QSZ368" s="34"/>
      <c r="QTA368" s="36"/>
      <c r="QTB368" s="36"/>
      <c r="QTC368" s="37"/>
      <c r="QTD368" s="37"/>
      <c r="QTE368" s="38"/>
      <c r="QTF368" s="38"/>
      <c r="QTG368" s="39"/>
      <c r="QTH368" s="34"/>
      <c r="QTI368" s="34"/>
      <c r="QTJ368" s="34"/>
      <c r="QTK368" s="35"/>
      <c r="QTL368" s="35"/>
      <c r="QTM368" s="35"/>
      <c r="QTN368" s="35"/>
      <c r="QTO368" s="35"/>
      <c r="QTP368" s="34"/>
      <c r="QTQ368" s="34"/>
      <c r="QTR368" s="36"/>
      <c r="QTS368" s="36"/>
      <c r="QTT368" s="37"/>
      <c r="QTU368" s="37"/>
      <c r="QTV368" s="38"/>
      <c r="QTW368" s="38"/>
      <c r="QTX368" s="39"/>
      <c r="QTY368" s="34"/>
      <c r="QTZ368" s="34"/>
      <c r="QUA368" s="34"/>
      <c r="QUB368" s="35"/>
      <c r="QUC368" s="35"/>
      <c r="QUD368" s="35"/>
      <c r="QUE368" s="35"/>
      <c r="QUF368" s="35"/>
      <c r="QUG368" s="34"/>
      <c r="QUH368" s="34"/>
      <c r="QUI368" s="36"/>
      <c r="QUJ368" s="36"/>
      <c r="QUK368" s="37"/>
      <c r="QUL368" s="37"/>
      <c r="QUM368" s="38"/>
      <c r="QUN368" s="38"/>
      <c r="QUO368" s="39"/>
      <c r="QUP368" s="34"/>
      <c r="QUQ368" s="34"/>
      <c r="QUR368" s="34"/>
      <c r="QUS368" s="35"/>
      <c r="QUT368" s="35"/>
      <c r="QUU368" s="35"/>
      <c r="QUV368" s="35"/>
      <c r="QUW368" s="35"/>
      <c r="QUX368" s="34"/>
      <c r="QUY368" s="34"/>
      <c r="QUZ368" s="36"/>
      <c r="QVA368" s="36"/>
      <c r="QVB368" s="37"/>
      <c r="QVC368" s="37"/>
      <c r="QVD368" s="38"/>
      <c r="QVE368" s="38"/>
      <c r="QVF368" s="39"/>
      <c r="QVG368" s="34"/>
      <c r="QVH368" s="34"/>
      <c r="QVI368" s="34"/>
      <c r="QVJ368" s="35"/>
      <c r="QVK368" s="35"/>
      <c r="QVL368" s="35"/>
      <c r="QVM368" s="35"/>
      <c r="QVN368" s="35"/>
      <c r="QVO368" s="34"/>
      <c r="QVP368" s="34"/>
      <c r="QVQ368" s="36"/>
      <c r="QVR368" s="36"/>
      <c r="QVS368" s="37"/>
      <c r="QVT368" s="37"/>
      <c r="QVU368" s="38"/>
      <c r="QVV368" s="38"/>
      <c r="QVW368" s="39"/>
      <c r="QVX368" s="34"/>
      <c r="QVY368" s="34"/>
      <c r="QVZ368" s="34"/>
      <c r="QWA368" s="35"/>
      <c r="QWB368" s="35"/>
      <c r="QWC368" s="35"/>
      <c r="QWD368" s="35"/>
      <c r="QWE368" s="35"/>
      <c r="QWF368" s="34"/>
      <c r="QWG368" s="34"/>
      <c r="QWH368" s="36"/>
      <c r="QWI368" s="36"/>
      <c r="QWJ368" s="37"/>
      <c r="QWK368" s="37"/>
      <c r="QWL368" s="38"/>
      <c r="QWM368" s="38"/>
      <c r="QWN368" s="39"/>
      <c r="QWO368" s="34"/>
      <c r="QWP368" s="34"/>
      <c r="QWQ368" s="34"/>
      <c r="QWR368" s="35"/>
      <c r="QWS368" s="35"/>
      <c r="QWT368" s="35"/>
      <c r="QWU368" s="35"/>
      <c r="QWV368" s="35"/>
      <c r="QWW368" s="34"/>
      <c r="QWX368" s="34"/>
      <c r="QWY368" s="36"/>
      <c r="QWZ368" s="36"/>
      <c r="QXA368" s="37"/>
      <c r="QXB368" s="37"/>
      <c r="QXC368" s="38"/>
      <c r="QXD368" s="38"/>
      <c r="QXE368" s="39"/>
      <c r="QXF368" s="34"/>
      <c r="QXG368" s="34"/>
      <c r="QXH368" s="34"/>
      <c r="QXI368" s="35"/>
      <c r="QXJ368" s="35"/>
      <c r="QXK368" s="35"/>
      <c r="QXL368" s="35"/>
      <c r="QXM368" s="35"/>
      <c r="QXN368" s="34"/>
      <c r="QXO368" s="34"/>
      <c r="QXP368" s="36"/>
      <c r="QXQ368" s="36"/>
      <c r="QXR368" s="37"/>
      <c r="QXS368" s="37"/>
      <c r="QXT368" s="38"/>
      <c r="QXU368" s="38"/>
      <c r="QXV368" s="39"/>
      <c r="QXW368" s="34"/>
      <c r="QXX368" s="34"/>
      <c r="QXY368" s="34"/>
      <c r="QXZ368" s="35"/>
      <c r="QYA368" s="35"/>
      <c r="QYB368" s="35"/>
      <c r="QYC368" s="35"/>
      <c r="QYD368" s="35"/>
      <c r="QYE368" s="34"/>
      <c r="QYF368" s="34"/>
      <c r="QYG368" s="36"/>
      <c r="QYH368" s="36"/>
      <c r="QYI368" s="37"/>
      <c r="QYJ368" s="37"/>
      <c r="QYK368" s="38"/>
      <c r="QYL368" s="38"/>
      <c r="QYM368" s="39"/>
      <c r="QYN368" s="34"/>
      <c r="QYO368" s="34"/>
      <c r="QYP368" s="34"/>
      <c r="QYQ368" s="35"/>
      <c r="QYR368" s="35"/>
      <c r="QYS368" s="35"/>
      <c r="QYT368" s="35"/>
      <c r="QYU368" s="35"/>
      <c r="QYV368" s="34"/>
      <c r="QYW368" s="34"/>
      <c r="QYX368" s="36"/>
      <c r="QYY368" s="36"/>
      <c r="QYZ368" s="37"/>
      <c r="QZA368" s="37"/>
      <c r="QZB368" s="38"/>
      <c r="QZC368" s="38"/>
      <c r="QZD368" s="39"/>
      <c r="QZE368" s="34"/>
      <c r="QZF368" s="34"/>
      <c r="QZG368" s="34"/>
      <c r="QZH368" s="35"/>
      <c r="QZI368" s="35"/>
      <c r="QZJ368" s="35"/>
      <c r="QZK368" s="35"/>
      <c r="QZL368" s="35"/>
      <c r="QZM368" s="34"/>
      <c r="QZN368" s="34"/>
      <c r="QZO368" s="36"/>
      <c r="QZP368" s="36"/>
      <c r="QZQ368" s="37"/>
      <c r="QZR368" s="37"/>
      <c r="QZS368" s="38"/>
      <c r="QZT368" s="38"/>
      <c r="QZU368" s="39"/>
      <c r="QZV368" s="34"/>
      <c r="QZW368" s="34"/>
      <c r="QZX368" s="34"/>
      <c r="QZY368" s="35"/>
      <c r="QZZ368" s="35"/>
      <c r="RAA368" s="35"/>
      <c r="RAB368" s="35"/>
      <c r="RAC368" s="35"/>
      <c r="RAD368" s="34"/>
      <c r="RAE368" s="34"/>
      <c r="RAF368" s="36"/>
      <c r="RAG368" s="36"/>
      <c r="RAH368" s="37"/>
      <c r="RAI368" s="37"/>
      <c r="RAJ368" s="38"/>
      <c r="RAK368" s="38"/>
      <c r="RAL368" s="39"/>
      <c r="RAM368" s="34"/>
      <c r="RAN368" s="34"/>
      <c r="RAO368" s="34"/>
      <c r="RAP368" s="35"/>
      <c r="RAQ368" s="35"/>
      <c r="RAR368" s="35"/>
      <c r="RAS368" s="35"/>
      <c r="RAT368" s="35"/>
      <c r="RAU368" s="34"/>
      <c r="RAV368" s="34"/>
      <c r="RAW368" s="36"/>
      <c r="RAX368" s="36"/>
      <c r="RAY368" s="37"/>
      <c r="RAZ368" s="37"/>
      <c r="RBA368" s="38"/>
      <c r="RBB368" s="38"/>
      <c r="RBC368" s="39"/>
      <c r="RBD368" s="34"/>
      <c r="RBE368" s="34"/>
      <c r="RBF368" s="34"/>
      <c r="RBG368" s="35"/>
      <c r="RBH368" s="35"/>
      <c r="RBI368" s="35"/>
      <c r="RBJ368" s="35"/>
      <c r="RBK368" s="35"/>
      <c r="RBL368" s="34"/>
      <c r="RBM368" s="34"/>
      <c r="RBN368" s="36"/>
      <c r="RBO368" s="36"/>
      <c r="RBP368" s="37"/>
      <c r="RBQ368" s="37"/>
      <c r="RBR368" s="38"/>
      <c r="RBS368" s="38"/>
      <c r="RBT368" s="39"/>
      <c r="RBU368" s="34"/>
      <c r="RBV368" s="34"/>
      <c r="RBW368" s="34"/>
      <c r="RBX368" s="35"/>
      <c r="RBY368" s="35"/>
      <c r="RBZ368" s="35"/>
      <c r="RCA368" s="35"/>
      <c r="RCB368" s="35"/>
      <c r="RCC368" s="34"/>
      <c r="RCD368" s="34"/>
      <c r="RCE368" s="36"/>
      <c r="RCF368" s="36"/>
      <c r="RCG368" s="37"/>
      <c r="RCH368" s="37"/>
      <c r="RCI368" s="38"/>
      <c r="RCJ368" s="38"/>
      <c r="RCK368" s="39"/>
      <c r="RCL368" s="34"/>
      <c r="RCM368" s="34"/>
      <c r="RCN368" s="34"/>
      <c r="RCO368" s="35"/>
      <c r="RCP368" s="35"/>
      <c r="RCQ368" s="35"/>
      <c r="RCR368" s="35"/>
      <c r="RCS368" s="35"/>
      <c r="RCT368" s="34"/>
      <c r="RCU368" s="34"/>
      <c r="RCV368" s="36"/>
      <c r="RCW368" s="36"/>
      <c r="RCX368" s="37"/>
      <c r="RCY368" s="37"/>
      <c r="RCZ368" s="38"/>
      <c r="RDA368" s="38"/>
      <c r="RDB368" s="39"/>
      <c r="RDC368" s="34"/>
      <c r="RDD368" s="34"/>
      <c r="RDE368" s="34"/>
      <c r="RDF368" s="35"/>
      <c r="RDG368" s="35"/>
      <c r="RDH368" s="35"/>
      <c r="RDI368" s="35"/>
      <c r="RDJ368" s="35"/>
      <c r="RDK368" s="34"/>
      <c r="RDL368" s="34"/>
      <c r="RDM368" s="36"/>
      <c r="RDN368" s="36"/>
      <c r="RDO368" s="37"/>
      <c r="RDP368" s="37"/>
      <c r="RDQ368" s="38"/>
      <c r="RDR368" s="38"/>
      <c r="RDS368" s="39"/>
      <c r="RDT368" s="34"/>
      <c r="RDU368" s="34"/>
      <c r="RDV368" s="34"/>
      <c r="RDW368" s="35"/>
      <c r="RDX368" s="35"/>
      <c r="RDY368" s="35"/>
      <c r="RDZ368" s="35"/>
      <c r="REA368" s="35"/>
      <c r="REB368" s="34"/>
      <c r="REC368" s="34"/>
      <c r="RED368" s="36"/>
      <c r="REE368" s="36"/>
      <c r="REF368" s="37"/>
      <c r="REG368" s="37"/>
      <c r="REH368" s="38"/>
      <c r="REI368" s="38"/>
      <c r="REJ368" s="39"/>
      <c r="REK368" s="34"/>
      <c r="REL368" s="34"/>
      <c r="REM368" s="34"/>
      <c r="REN368" s="35"/>
      <c r="REO368" s="35"/>
      <c r="REP368" s="35"/>
      <c r="REQ368" s="35"/>
      <c r="RER368" s="35"/>
      <c r="RES368" s="34"/>
      <c r="RET368" s="34"/>
      <c r="REU368" s="36"/>
      <c r="REV368" s="36"/>
      <c r="REW368" s="37"/>
      <c r="REX368" s="37"/>
      <c r="REY368" s="38"/>
      <c r="REZ368" s="38"/>
      <c r="RFA368" s="39"/>
      <c r="RFB368" s="34"/>
      <c r="RFC368" s="34"/>
      <c r="RFD368" s="34"/>
      <c r="RFE368" s="35"/>
      <c r="RFF368" s="35"/>
      <c r="RFG368" s="35"/>
      <c r="RFH368" s="35"/>
      <c r="RFI368" s="35"/>
      <c r="RFJ368" s="34"/>
      <c r="RFK368" s="34"/>
      <c r="RFL368" s="36"/>
      <c r="RFM368" s="36"/>
      <c r="RFN368" s="37"/>
      <c r="RFO368" s="37"/>
      <c r="RFP368" s="38"/>
      <c r="RFQ368" s="38"/>
      <c r="RFR368" s="39"/>
      <c r="RFS368" s="34"/>
      <c r="RFT368" s="34"/>
      <c r="RFU368" s="34"/>
      <c r="RFV368" s="35"/>
      <c r="RFW368" s="35"/>
      <c r="RFX368" s="35"/>
      <c r="RFY368" s="35"/>
      <c r="RFZ368" s="35"/>
      <c r="RGA368" s="34"/>
      <c r="RGB368" s="34"/>
      <c r="RGC368" s="36"/>
      <c r="RGD368" s="36"/>
      <c r="RGE368" s="37"/>
      <c r="RGF368" s="37"/>
      <c r="RGG368" s="38"/>
      <c r="RGH368" s="38"/>
      <c r="RGI368" s="39"/>
      <c r="RGJ368" s="34"/>
      <c r="RGK368" s="34"/>
      <c r="RGL368" s="34"/>
      <c r="RGM368" s="35"/>
      <c r="RGN368" s="35"/>
      <c r="RGO368" s="35"/>
      <c r="RGP368" s="35"/>
      <c r="RGQ368" s="35"/>
      <c r="RGR368" s="34"/>
      <c r="RGS368" s="34"/>
      <c r="RGT368" s="36"/>
      <c r="RGU368" s="36"/>
      <c r="RGV368" s="37"/>
      <c r="RGW368" s="37"/>
      <c r="RGX368" s="38"/>
      <c r="RGY368" s="38"/>
      <c r="RGZ368" s="39"/>
      <c r="RHA368" s="34"/>
      <c r="RHB368" s="34"/>
      <c r="RHC368" s="34"/>
      <c r="RHD368" s="35"/>
      <c r="RHE368" s="35"/>
      <c r="RHF368" s="35"/>
      <c r="RHG368" s="35"/>
      <c r="RHH368" s="35"/>
      <c r="RHI368" s="34"/>
      <c r="RHJ368" s="34"/>
      <c r="RHK368" s="36"/>
      <c r="RHL368" s="36"/>
      <c r="RHM368" s="37"/>
      <c r="RHN368" s="37"/>
      <c r="RHO368" s="38"/>
      <c r="RHP368" s="38"/>
      <c r="RHQ368" s="39"/>
      <c r="RHR368" s="34"/>
      <c r="RHS368" s="34"/>
      <c r="RHT368" s="34"/>
      <c r="RHU368" s="35"/>
      <c r="RHV368" s="35"/>
      <c r="RHW368" s="35"/>
      <c r="RHX368" s="35"/>
      <c r="RHY368" s="35"/>
      <c r="RHZ368" s="34"/>
      <c r="RIA368" s="34"/>
      <c r="RIB368" s="36"/>
      <c r="RIC368" s="36"/>
      <c r="RID368" s="37"/>
      <c r="RIE368" s="37"/>
      <c r="RIF368" s="38"/>
      <c r="RIG368" s="38"/>
      <c r="RIH368" s="39"/>
      <c r="RII368" s="34"/>
      <c r="RIJ368" s="34"/>
      <c r="RIK368" s="34"/>
      <c r="RIL368" s="35"/>
      <c r="RIM368" s="35"/>
      <c r="RIN368" s="35"/>
      <c r="RIO368" s="35"/>
      <c r="RIP368" s="35"/>
      <c r="RIQ368" s="34"/>
      <c r="RIR368" s="34"/>
      <c r="RIS368" s="36"/>
      <c r="RIT368" s="36"/>
      <c r="RIU368" s="37"/>
      <c r="RIV368" s="37"/>
      <c r="RIW368" s="38"/>
      <c r="RIX368" s="38"/>
      <c r="RIY368" s="39"/>
      <c r="RIZ368" s="34"/>
      <c r="RJA368" s="34"/>
      <c r="RJB368" s="34"/>
      <c r="RJC368" s="35"/>
      <c r="RJD368" s="35"/>
      <c r="RJE368" s="35"/>
      <c r="RJF368" s="35"/>
      <c r="RJG368" s="35"/>
      <c r="RJH368" s="34"/>
      <c r="RJI368" s="34"/>
      <c r="RJJ368" s="36"/>
      <c r="RJK368" s="36"/>
      <c r="RJL368" s="37"/>
      <c r="RJM368" s="37"/>
      <c r="RJN368" s="38"/>
      <c r="RJO368" s="38"/>
      <c r="RJP368" s="39"/>
      <c r="RJQ368" s="34"/>
      <c r="RJR368" s="34"/>
      <c r="RJS368" s="34"/>
      <c r="RJT368" s="35"/>
      <c r="RJU368" s="35"/>
      <c r="RJV368" s="35"/>
      <c r="RJW368" s="35"/>
      <c r="RJX368" s="35"/>
      <c r="RJY368" s="34"/>
      <c r="RJZ368" s="34"/>
      <c r="RKA368" s="36"/>
      <c r="RKB368" s="36"/>
      <c r="RKC368" s="37"/>
      <c r="RKD368" s="37"/>
      <c r="RKE368" s="38"/>
      <c r="RKF368" s="38"/>
      <c r="RKG368" s="39"/>
      <c r="RKH368" s="34"/>
      <c r="RKI368" s="34"/>
      <c r="RKJ368" s="34"/>
      <c r="RKK368" s="35"/>
      <c r="RKL368" s="35"/>
      <c r="RKM368" s="35"/>
      <c r="RKN368" s="35"/>
      <c r="RKO368" s="35"/>
      <c r="RKP368" s="34"/>
      <c r="RKQ368" s="34"/>
      <c r="RKR368" s="36"/>
      <c r="RKS368" s="36"/>
      <c r="RKT368" s="37"/>
      <c r="RKU368" s="37"/>
      <c r="RKV368" s="38"/>
      <c r="RKW368" s="38"/>
      <c r="RKX368" s="39"/>
      <c r="RKY368" s="34"/>
      <c r="RKZ368" s="34"/>
      <c r="RLA368" s="34"/>
      <c r="RLB368" s="35"/>
      <c r="RLC368" s="35"/>
      <c r="RLD368" s="35"/>
      <c r="RLE368" s="35"/>
      <c r="RLF368" s="35"/>
      <c r="RLG368" s="34"/>
      <c r="RLH368" s="34"/>
      <c r="RLI368" s="36"/>
      <c r="RLJ368" s="36"/>
      <c r="RLK368" s="37"/>
      <c r="RLL368" s="37"/>
      <c r="RLM368" s="38"/>
      <c r="RLN368" s="38"/>
      <c r="RLO368" s="39"/>
      <c r="RLP368" s="34"/>
      <c r="RLQ368" s="34"/>
      <c r="RLR368" s="34"/>
      <c r="RLS368" s="35"/>
      <c r="RLT368" s="35"/>
      <c r="RLU368" s="35"/>
      <c r="RLV368" s="35"/>
      <c r="RLW368" s="35"/>
      <c r="RLX368" s="34"/>
      <c r="RLY368" s="34"/>
      <c r="RLZ368" s="36"/>
      <c r="RMA368" s="36"/>
      <c r="RMB368" s="37"/>
      <c r="RMC368" s="37"/>
      <c r="RMD368" s="38"/>
      <c r="RME368" s="38"/>
      <c r="RMF368" s="39"/>
      <c r="RMG368" s="34"/>
      <c r="RMH368" s="34"/>
      <c r="RMI368" s="34"/>
      <c r="RMJ368" s="35"/>
      <c r="RMK368" s="35"/>
      <c r="RML368" s="35"/>
      <c r="RMM368" s="35"/>
      <c r="RMN368" s="35"/>
      <c r="RMO368" s="34"/>
      <c r="RMP368" s="34"/>
      <c r="RMQ368" s="36"/>
      <c r="RMR368" s="36"/>
      <c r="RMS368" s="37"/>
      <c r="RMT368" s="37"/>
      <c r="RMU368" s="38"/>
      <c r="RMV368" s="38"/>
      <c r="RMW368" s="39"/>
      <c r="RMX368" s="34"/>
      <c r="RMY368" s="34"/>
      <c r="RMZ368" s="34"/>
      <c r="RNA368" s="35"/>
      <c r="RNB368" s="35"/>
      <c r="RNC368" s="35"/>
      <c r="RND368" s="35"/>
      <c r="RNE368" s="35"/>
      <c r="RNF368" s="34"/>
      <c r="RNG368" s="34"/>
      <c r="RNH368" s="36"/>
      <c r="RNI368" s="36"/>
      <c r="RNJ368" s="37"/>
      <c r="RNK368" s="37"/>
      <c r="RNL368" s="38"/>
      <c r="RNM368" s="38"/>
      <c r="RNN368" s="39"/>
      <c r="RNO368" s="34"/>
      <c r="RNP368" s="34"/>
      <c r="RNQ368" s="34"/>
      <c r="RNR368" s="35"/>
      <c r="RNS368" s="35"/>
      <c r="RNT368" s="35"/>
      <c r="RNU368" s="35"/>
      <c r="RNV368" s="35"/>
      <c r="RNW368" s="34"/>
      <c r="RNX368" s="34"/>
      <c r="RNY368" s="36"/>
      <c r="RNZ368" s="36"/>
      <c r="ROA368" s="37"/>
      <c r="ROB368" s="37"/>
      <c r="ROC368" s="38"/>
      <c r="ROD368" s="38"/>
      <c r="ROE368" s="39"/>
      <c r="ROF368" s="34"/>
      <c r="ROG368" s="34"/>
      <c r="ROH368" s="34"/>
      <c r="ROI368" s="35"/>
      <c r="ROJ368" s="35"/>
      <c r="ROK368" s="35"/>
      <c r="ROL368" s="35"/>
      <c r="ROM368" s="35"/>
      <c r="RON368" s="34"/>
      <c r="ROO368" s="34"/>
      <c r="ROP368" s="36"/>
      <c r="ROQ368" s="36"/>
      <c r="ROR368" s="37"/>
      <c r="ROS368" s="37"/>
      <c r="ROT368" s="38"/>
      <c r="ROU368" s="38"/>
      <c r="ROV368" s="39"/>
      <c r="ROW368" s="34"/>
      <c r="ROX368" s="34"/>
      <c r="ROY368" s="34"/>
      <c r="ROZ368" s="35"/>
      <c r="RPA368" s="35"/>
      <c r="RPB368" s="35"/>
      <c r="RPC368" s="35"/>
      <c r="RPD368" s="35"/>
      <c r="RPE368" s="34"/>
      <c r="RPF368" s="34"/>
      <c r="RPG368" s="36"/>
      <c r="RPH368" s="36"/>
      <c r="RPI368" s="37"/>
      <c r="RPJ368" s="37"/>
      <c r="RPK368" s="38"/>
      <c r="RPL368" s="38"/>
      <c r="RPM368" s="39"/>
      <c r="RPN368" s="34"/>
      <c r="RPO368" s="34"/>
      <c r="RPP368" s="34"/>
      <c r="RPQ368" s="35"/>
      <c r="RPR368" s="35"/>
      <c r="RPS368" s="35"/>
      <c r="RPT368" s="35"/>
      <c r="RPU368" s="35"/>
      <c r="RPV368" s="34"/>
      <c r="RPW368" s="34"/>
      <c r="RPX368" s="36"/>
      <c r="RPY368" s="36"/>
      <c r="RPZ368" s="37"/>
      <c r="RQA368" s="37"/>
      <c r="RQB368" s="38"/>
      <c r="RQC368" s="38"/>
      <c r="RQD368" s="39"/>
      <c r="RQE368" s="34"/>
      <c r="RQF368" s="34"/>
      <c r="RQG368" s="34"/>
      <c r="RQH368" s="35"/>
      <c r="RQI368" s="35"/>
      <c r="RQJ368" s="35"/>
      <c r="RQK368" s="35"/>
      <c r="RQL368" s="35"/>
      <c r="RQM368" s="34"/>
      <c r="RQN368" s="34"/>
      <c r="RQO368" s="36"/>
      <c r="RQP368" s="36"/>
      <c r="RQQ368" s="37"/>
      <c r="RQR368" s="37"/>
      <c r="RQS368" s="38"/>
      <c r="RQT368" s="38"/>
      <c r="RQU368" s="39"/>
      <c r="RQV368" s="34"/>
      <c r="RQW368" s="34"/>
      <c r="RQX368" s="34"/>
      <c r="RQY368" s="35"/>
      <c r="RQZ368" s="35"/>
      <c r="RRA368" s="35"/>
      <c r="RRB368" s="35"/>
      <c r="RRC368" s="35"/>
      <c r="RRD368" s="34"/>
      <c r="RRE368" s="34"/>
      <c r="RRF368" s="36"/>
      <c r="RRG368" s="36"/>
      <c r="RRH368" s="37"/>
      <c r="RRI368" s="37"/>
      <c r="RRJ368" s="38"/>
      <c r="RRK368" s="38"/>
      <c r="RRL368" s="39"/>
      <c r="RRM368" s="34"/>
      <c r="RRN368" s="34"/>
      <c r="RRO368" s="34"/>
      <c r="RRP368" s="35"/>
      <c r="RRQ368" s="35"/>
      <c r="RRR368" s="35"/>
      <c r="RRS368" s="35"/>
      <c r="RRT368" s="35"/>
      <c r="RRU368" s="34"/>
      <c r="RRV368" s="34"/>
      <c r="RRW368" s="36"/>
      <c r="RRX368" s="36"/>
      <c r="RRY368" s="37"/>
      <c r="RRZ368" s="37"/>
      <c r="RSA368" s="38"/>
      <c r="RSB368" s="38"/>
      <c r="RSC368" s="39"/>
      <c r="RSD368" s="34"/>
      <c r="RSE368" s="34"/>
      <c r="RSF368" s="34"/>
      <c r="RSG368" s="35"/>
      <c r="RSH368" s="35"/>
      <c r="RSI368" s="35"/>
      <c r="RSJ368" s="35"/>
      <c r="RSK368" s="35"/>
      <c r="RSL368" s="34"/>
      <c r="RSM368" s="34"/>
      <c r="RSN368" s="36"/>
      <c r="RSO368" s="36"/>
      <c r="RSP368" s="37"/>
      <c r="RSQ368" s="37"/>
      <c r="RSR368" s="38"/>
      <c r="RSS368" s="38"/>
      <c r="RST368" s="39"/>
      <c r="RSU368" s="34"/>
      <c r="RSV368" s="34"/>
      <c r="RSW368" s="34"/>
      <c r="RSX368" s="35"/>
      <c r="RSY368" s="35"/>
      <c r="RSZ368" s="35"/>
      <c r="RTA368" s="35"/>
      <c r="RTB368" s="35"/>
      <c r="RTC368" s="34"/>
      <c r="RTD368" s="34"/>
      <c r="RTE368" s="36"/>
      <c r="RTF368" s="36"/>
      <c r="RTG368" s="37"/>
      <c r="RTH368" s="37"/>
      <c r="RTI368" s="38"/>
      <c r="RTJ368" s="38"/>
      <c r="RTK368" s="39"/>
      <c r="RTL368" s="34"/>
      <c r="RTM368" s="34"/>
      <c r="RTN368" s="34"/>
      <c r="RTO368" s="35"/>
      <c r="RTP368" s="35"/>
      <c r="RTQ368" s="35"/>
      <c r="RTR368" s="35"/>
      <c r="RTS368" s="35"/>
      <c r="RTT368" s="34"/>
      <c r="RTU368" s="34"/>
      <c r="RTV368" s="36"/>
      <c r="RTW368" s="36"/>
      <c r="RTX368" s="37"/>
      <c r="RTY368" s="37"/>
      <c r="RTZ368" s="38"/>
      <c r="RUA368" s="38"/>
      <c r="RUB368" s="39"/>
      <c r="RUC368" s="34"/>
      <c r="RUD368" s="34"/>
      <c r="RUE368" s="34"/>
      <c r="RUF368" s="35"/>
      <c r="RUG368" s="35"/>
      <c r="RUH368" s="35"/>
      <c r="RUI368" s="35"/>
      <c r="RUJ368" s="35"/>
      <c r="RUK368" s="34"/>
      <c r="RUL368" s="34"/>
      <c r="RUM368" s="36"/>
      <c r="RUN368" s="36"/>
      <c r="RUO368" s="37"/>
      <c r="RUP368" s="37"/>
      <c r="RUQ368" s="38"/>
      <c r="RUR368" s="38"/>
      <c r="RUS368" s="39"/>
      <c r="RUT368" s="34"/>
      <c r="RUU368" s="34"/>
      <c r="RUV368" s="34"/>
      <c r="RUW368" s="35"/>
      <c r="RUX368" s="35"/>
      <c r="RUY368" s="35"/>
      <c r="RUZ368" s="35"/>
      <c r="RVA368" s="35"/>
      <c r="RVB368" s="34"/>
      <c r="RVC368" s="34"/>
      <c r="RVD368" s="36"/>
      <c r="RVE368" s="36"/>
      <c r="RVF368" s="37"/>
      <c r="RVG368" s="37"/>
      <c r="RVH368" s="38"/>
      <c r="RVI368" s="38"/>
      <c r="RVJ368" s="39"/>
      <c r="RVK368" s="34"/>
      <c r="RVL368" s="34"/>
      <c r="RVM368" s="34"/>
      <c r="RVN368" s="35"/>
      <c r="RVO368" s="35"/>
      <c r="RVP368" s="35"/>
      <c r="RVQ368" s="35"/>
      <c r="RVR368" s="35"/>
      <c r="RVS368" s="34"/>
      <c r="RVT368" s="34"/>
      <c r="RVU368" s="36"/>
      <c r="RVV368" s="36"/>
      <c r="RVW368" s="37"/>
      <c r="RVX368" s="37"/>
      <c r="RVY368" s="38"/>
      <c r="RVZ368" s="38"/>
      <c r="RWA368" s="39"/>
      <c r="RWB368" s="34"/>
      <c r="RWC368" s="34"/>
      <c r="RWD368" s="34"/>
      <c r="RWE368" s="35"/>
      <c r="RWF368" s="35"/>
      <c r="RWG368" s="35"/>
      <c r="RWH368" s="35"/>
      <c r="RWI368" s="35"/>
      <c r="RWJ368" s="34"/>
      <c r="RWK368" s="34"/>
      <c r="RWL368" s="36"/>
      <c r="RWM368" s="36"/>
      <c r="RWN368" s="37"/>
      <c r="RWO368" s="37"/>
      <c r="RWP368" s="38"/>
      <c r="RWQ368" s="38"/>
      <c r="RWR368" s="39"/>
      <c r="RWS368" s="34"/>
      <c r="RWT368" s="34"/>
      <c r="RWU368" s="34"/>
      <c r="RWV368" s="35"/>
      <c r="RWW368" s="35"/>
      <c r="RWX368" s="35"/>
      <c r="RWY368" s="35"/>
      <c r="RWZ368" s="35"/>
      <c r="RXA368" s="34"/>
      <c r="RXB368" s="34"/>
      <c r="RXC368" s="36"/>
      <c r="RXD368" s="36"/>
      <c r="RXE368" s="37"/>
      <c r="RXF368" s="37"/>
      <c r="RXG368" s="38"/>
      <c r="RXH368" s="38"/>
      <c r="RXI368" s="39"/>
      <c r="RXJ368" s="34"/>
      <c r="RXK368" s="34"/>
      <c r="RXL368" s="34"/>
      <c r="RXM368" s="35"/>
      <c r="RXN368" s="35"/>
      <c r="RXO368" s="35"/>
      <c r="RXP368" s="35"/>
      <c r="RXQ368" s="35"/>
      <c r="RXR368" s="34"/>
      <c r="RXS368" s="34"/>
      <c r="RXT368" s="36"/>
      <c r="RXU368" s="36"/>
      <c r="RXV368" s="37"/>
      <c r="RXW368" s="37"/>
      <c r="RXX368" s="38"/>
      <c r="RXY368" s="38"/>
      <c r="RXZ368" s="39"/>
      <c r="RYA368" s="34"/>
      <c r="RYB368" s="34"/>
      <c r="RYC368" s="34"/>
      <c r="RYD368" s="35"/>
      <c r="RYE368" s="35"/>
      <c r="RYF368" s="35"/>
      <c r="RYG368" s="35"/>
      <c r="RYH368" s="35"/>
      <c r="RYI368" s="34"/>
      <c r="RYJ368" s="34"/>
      <c r="RYK368" s="36"/>
      <c r="RYL368" s="36"/>
      <c r="RYM368" s="37"/>
      <c r="RYN368" s="37"/>
      <c r="RYO368" s="38"/>
      <c r="RYP368" s="38"/>
      <c r="RYQ368" s="39"/>
      <c r="RYR368" s="34"/>
      <c r="RYS368" s="34"/>
      <c r="RYT368" s="34"/>
      <c r="RYU368" s="35"/>
      <c r="RYV368" s="35"/>
      <c r="RYW368" s="35"/>
      <c r="RYX368" s="35"/>
      <c r="RYY368" s="35"/>
      <c r="RYZ368" s="34"/>
      <c r="RZA368" s="34"/>
      <c r="RZB368" s="36"/>
      <c r="RZC368" s="36"/>
      <c r="RZD368" s="37"/>
      <c r="RZE368" s="37"/>
      <c r="RZF368" s="38"/>
      <c r="RZG368" s="38"/>
      <c r="RZH368" s="39"/>
      <c r="RZI368" s="34"/>
      <c r="RZJ368" s="34"/>
      <c r="RZK368" s="34"/>
      <c r="RZL368" s="35"/>
      <c r="RZM368" s="35"/>
      <c r="RZN368" s="35"/>
      <c r="RZO368" s="35"/>
      <c r="RZP368" s="35"/>
      <c r="RZQ368" s="34"/>
      <c r="RZR368" s="34"/>
      <c r="RZS368" s="36"/>
      <c r="RZT368" s="36"/>
      <c r="RZU368" s="37"/>
      <c r="RZV368" s="37"/>
      <c r="RZW368" s="38"/>
      <c r="RZX368" s="38"/>
      <c r="RZY368" s="39"/>
      <c r="RZZ368" s="34"/>
      <c r="SAA368" s="34"/>
      <c r="SAB368" s="34"/>
      <c r="SAC368" s="35"/>
      <c r="SAD368" s="35"/>
      <c r="SAE368" s="35"/>
      <c r="SAF368" s="35"/>
      <c r="SAG368" s="35"/>
      <c r="SAH368" s="34"/>
      <c r="SAI368" s="34"/>
      <c r="SAJ368" s="36"/>
      <c r="SAK368" s="36"/>
      <c r="SAL368" s="37"/>
      <c r="SAM368" s="37"/>
      <c r="SAN368" s="38"/>
      <c r="SAO368" s="38"/>
      <c r="SAP368" s="39"/>
      <c r="SAQ368" s="34"/>
      <c r="SAR368" s="34"/>
      <c r="SAS368" s="34"/>
      <c r="SAT368" s="35"/>
      <c r="SAU368" s="35"/>
      <c r="SAV368" s="35"/>
      <c r="SAW368" s="35"/>
      <c r="SAX368" s="35"/>
      <c r="SAY368" s="34"/>
      <c r="SAZ368" s="34"/>
      <c r="SBA368" s="36"/>
      <c r="SBB368" s="36"/>
      <c r="SBC368" s="37"/>
      <c r="SBD368" s="37"/>
      <c r="SBE368" s="38"/>
      <c r="SBF368" s="38"/>
      <c r="SBG368" s="39"/>
      <c r="SBH368" s="34"/>
      <c r="SBI368" s="34"/>
      <c r="SBJ368" s="34"/>
      <c r="SBK368" s="35"/>
      <c r="SBL368" s="35"/>
      <c r="SBM368" s="35"/>
      <c r="SBN368" s="35"/>
      <c r="SBO368" s="35"/>
      <c r="SBP368" s="34"/>
      <c r="SBQ368" s="34"/>
      <c r="SBR368" s="36"/>
      <c r="SBS368" s="36"/>
      <c r="SBT368" s="37"/>
      <c r="SBU368" s="37"/>
      <c r="SBV368" s="38"/>
      <c r="SBW368" s="38"/>
      <c r="SBX368" s="39"/>
      <c r="SBY368" s="34"/>
      <c r="SBZ368" s="34"/>
      <c r="SCA368" s="34"/>
      <c r="SCB368" s="35"/>
      <c r="SCC368" s="35"/>
      <c r="SCD368" s="35"/>
      <c r="SCE368" s="35"/>
      <c r="SCF368" s="35"/>
      <c r="SCG368" s="34"/>
      <c r="SCH368" s="34"/>
      <c r="SCI368" s="36"/>
      <c r="SCJ368" s="36"/>
      <c r="SCK368" s="37"/>
      <c r="SCL368" s="37"/>
      <c r="SCM368" s="38"/>
      <c r="SCN368" s="38"/>
      <c r="SCO368" s="39"/>
      <c r="SCP368" s="34"/>
      <c r="SCQ368" s="34"/>
      <c r="SCR368" s="34"/>
      <c r="SCS368" s="35"/>
      <c r="SCT368" s="35"/>
      <c r="SCU368" s="35"/>
      <c r="SCV368" s="35"/>
      <c r="SCW368" s="35"/>
      <c r="SCX368" s="34"/>
      <c r="SCY368" s="34"/>
      <c r="SCZ368" s="36"/>
      <c r="SDA368" s="36"/>
      <c r="SDB368" s="37"/>
      <c r="SDC368" s="37"/>
      <c r="SDD368" s="38"/>
      <c r="SDE368" s="38"/>
      <c r="SDF368" s="39"/>
      <c r="SDG368" s="34"/>
      <c r="SDH368" s="34"/>
      <c r="SDI368" s="34"/>
      <c r="SDJ368" s="35"/>
      <c r="SDK368" s="35"/>
      <c r="SDL368" s="35"/>
      <c r="SDM368" s="35"/>
      <c r="SDN368" s="35"/>
      <c r="SDO368" s="34"/>
      <c r="SDP368" s="34"/>
      <c r="SDQ368" s="36"/>
      <c r="SDR368" s="36"/>
      <c r="SDS368" s="37"/>
      <c r="SDT368" s="37"/>
      <c r="SDU368" s="38"/>
      <c r="SDV368" s="38"/>
      <c r="SDW368" s="39"/>
      <c r="SDX368" s="34"/>
      <c r="SDY368" s="34"/>
      <c r="SDZ368" s="34"/>
      <c r="SEA368" s="35"/>
      <c r="SEB368" s="35"/>
      <c r="SEC368" s="35"/>
      <c r="SED368" s="35"/>
      <c r="SEE368" s="35"/>
      <c r="SEF368" s="34"/>
      <c r="SEG368" s="34"/>
      <c r="SEH368" s="36"/>
      <c r="SEI368" s="36"/>
      <c r="SEJ368" s="37"/>
      <c r="SEK368" s="37"/>
      <c r="SEL368" s="38"/>
      <c r="SEM368" s="38"/>
      <c r="SEN368" s="39"/>
      <c r="SEO368" s="34"/>
      <c r="SEP368" s="34"/>
      <c r="SEQ368" s="34"/>
      <c r="SER368" s="35"/>
      <c r="SES368" s="35"/>
      <c r="SET368" s="35"/>
      <c r="SEU368" s="35"/>
      <c r="SEV368" s="35"/>
      <c r="SEW368" s="34"/>
      <c r="SEX368" s="34"/>
      <c r="SEY368" s="36"/>
      <c r="SEZ368" s="36"/>
      <c r="SFA368" s="37"/>
      <c r="SFB368" s="37"/>
      <c r="SFC368" s="38"/>
      <c r="SFD368" s="38"/>
      <c r="SFE368" s="39"/>
      <c r="SFF368" s="34"/>
      <c r="SFG368" s="34"/>
      <c r="SFH368" s="34"/>
      <c r="SFI368" s="35"/>
      <c r="SFJ368" s="35"/>
      <c r="SFK368" s="35"/>
      <c r="SFL368" s="35"/>
      <c r="SFM368" s="35"/>
      <c r="SFN368" s="34"/>
      <c r="SFO368" s="34"/>
      <c r="SFP368" s="36"/>
      <c r="SFQ368" s="36"/>
      <c r="SFR368" s="37"/>
      <c r="SFS368" s="37"/>
      <c r="SFT368" s="38"/>
      <c r="SFU368" s="38"/>
      <c r="SFV368" s="39"/>
      <c r="SFW368" s="34"/>
      <c r="SFX368" s="34"/>
      <c r="SFY368" s="34"/>
      <c r="SFZ368" s="35"/>
      <c r="SGA368" s="35"/>
      <c r="SGB368" s="35"/>
      <c r="SGC368" s="35"/>
      <c r="SGD368" s="35"/>
      <c r="SGE368" s="34"/>
      <c r="SGF368" s="34"/>
      <c r="SGG368" s="36"/>
      <c r="SGH368" s="36"/>
      <c r="SGI368" s="37"/>
      <c r="SGJ368" s="37"/>
      <c r="SGK368" s="38"/>
      <c r="SGL368" s="38"/>
      <c r="SGM368" s="39"/>
      <c r="SGN368" s="34"/>
      <c r="SGO368" s="34"/>
      <c r="SGP368" s="34"/>
      <c r="SGQ368" s="35"/>
      <c r="SGR368" s="35"/>
      <c r="SGS368" s="35"/>
      <c r="SGT368" s="35"/>
      <c r="SGU368" s="35"/>
      <c r="SGV368" s="34"/>
      <c r="SGW368" s="34"/>
      <c r="SGX368" s="36"/>
      <c r="SGY368" s="36"/>
      <c r="SGZ368" s="37"/>
      <c r="SHA368" s="37"/>
      <c r="SHB368" s="38"/>
      <c r="SHC368" s="38"/>
      <c r="SHD368" s="39"/>
      <c r="SHE368" s="34"/>
      <c r="SHF368" s="34"/>
      <c r="SHG368" s="34"/>
      <c r="SHH368" s="35"/>
      <c r="SHI368" s="35"/>
      <c r="SHJ368" s="35"/>
      <c r="SHK368" s="35"/>
      <c r="SHL368" s="35"/>
      <c r="SHM368" s="34"/>
      <c r="SHN368" s="34"/>
      <c r="SHO368" s="36"/>
      <c r="SHP368" s="36"/>
      <c r="SHQ368" s="37"/>
      <c r="SHR368" s="37"/>
      <c r="SHS368" s="38"/>
      <c r="SHT368" s="38"/>
      <c r="SHU368" s="39"/>
      <c r="SHV368" s="34"/>
      <c r="SHW368" s="34"/>
      <c r="SHX368" s="34"/>
      <c r="SHY368" s="35"/>
      <c r="SHZ368" s="35"/>
      <c r="SIA368" s="35"/>
      <c r="SIB368" s="35"/>
      <c r="SIC368" s="35"/>
      <c r="SID368" s="34"/>
      <c r="SIE368" s="34"/>
      <c r="SIF368" s="36"/>
      <c r="SIG368" s="36"/>
      <c r="SIH368" s="37"/>
      <c r="SII368" s="37"/>
      <c r="SIJ368" s="38"/>
      <c r="SIK368" s="38"/>
      <c r="SIL368" s="39"/>
      <c r="SIM368" s="34"/>
      <c r="SIN368" s="34"/>
      <c r="SIO368" s="34"/>
      <c r="SIP368" s="35"/>
      <c r="SIQ368" s="35"/>
      <c r="SIR368" s="35"/>
      <c r="SIS368" s="35"/>
      <c r="SIT368" s="35"/>
      <c r="SIU368" s="34"/>
      <c r="SIV368" s="34"/>
      <c r="SIW368" s="36"/>
      <c r="SIX368" s="36"/>
      <c r="SIY368" s="37"/>
      <c r="SIZ368" s="37"/>
      <c r="SJA368" s="38"/>
      <c r="SJB368" s="38"/>
      <c r="SJC368" s="39"/>
      <c r="SJD368" s="34"/>
      <c r="SJE368" s="34"/>
      <c r="SJF368" s="34"/>
      <c r="SJG368" s="35"/>
      <c r="SJH368" s="35"/>
      <c r="SJI368" s="35"/>
      <c r="SJJ368" s="35"/>
      <c r="SJK368" s="35"/>
      <c r="SJL368" s="34"/>
      <c r="SJM368" s="34"/>
      <c r="SJN368" s="36"/>
      <c r="SJO368" s="36"/>
      <c r="SJP368" s="37"/>
      <c r="SJQ368" s="37"/>
      <c r="SJR368" s="38"/>
      <c r="SJS368" s="38"/>
      <c r="SJT368" s="39"/>
      <c r="SJU368" s="34"/>
      <c r="SJV368" s="34"/>
      <c r="SJW368" s="34"/>
      <c r="SJX368" s="35"/>
      <c r="SJY368" s="35"/>
      <c r="SJZ368" s="35"/>
      <c r="SKA368" s="35"/>
      <c r="SKB368" s="35"/>
      <c r="SKC368" s="34"/>
      <c r="SKD368" s="34"/>
      <c r="SKE368" s="36"/>
      <c r="SKF368" s="36"/>
      <c r="SKG368" s="37"/>
      <c r="SKH368" s="37"/>
      <c r="SKI368" s="38"/>
      <c r="SKJ368" s="38"/>
      <c r="SKK368" s="39"/>
      <c r="SKL368" s="34"/>
      <c r="SKM368" s="34"/>
      <c r="SKN368" s="34"/>
      <c r="SKO368" s="35"/>
      <c r="SKP368" s="35"/>
      <c r="SKQ368" s="35"/>
      <c r="SKR368" s="35"/>
      <c r="SKS368" s="35"/>
      <c r="SKT368" s="34"/>
      <c r="SKU368" s="34"/>
      <c r="SKV368" s="36"/>
      <c r="SKW368" s="36"/>
      <c r="SKX368" s="37"/>
      <c r="SKY368" s="37"/>
      <c r="SKZ368" s="38"/>
      <c r="SLA368" s="38"/>
      <c r="SLB368" s="39"/>
      <c r="SLC368" s="34"/>
      <c r="SLD368" s="34"/>
      <c r="SLE368" s="34"/>
      <c r="SLF368" s="35"/>
      <c r="SLG368" s="35"/>
      <c r="SLH368" s="35"/>
      <c r="SLI368" s="35"/>
      <c r="SLJ368" s="35"/>
      <c r="SLK368" s="34"/>
      <c r="SLL368" s="34"/>
      <c r="SLM368" s="36"/>
      <c r="SLN368" s="36"/>
      <c r="SLO368" s="37"/>
      <c r="SLP368" s="37"/>
      <c r="SLQ368" s="38"/>
      <c r="SLR368" s="38"/>
      <c r="SLS368" s="39"/>
      <c r="SLT368" s="34"/>
      <c r="SLU368" s="34"/>
      <c r="SLV368" s="34"/>
      <c r="SLW368" s="35"/>
      <c r="SLX368" s="35"/>
      <c r="SLY368" s="35"/>
      <c r="SLZ368" s="35"/>
      <c r="SMA368" s="35"/>
      <c r="SMB368" s="34"/>
      <c r="SMC368" s="34"/>
      <c r="SMD368" s="36"/>
      <c r="SME368" s="36"/>
      <c r="SMF368" s="37"/>
      <c r="SMG368" s="37"/>
      <c r="SMH368" s="38"/>
      <c r="SMI368" s="38"/>
      <c r="SMJ368" s="39"/>
      <c r="SMK368" s="34"/>
      <c r="SML368" s="34"/>
      <c r="SMM368" s="34"/>
      <c r="SMN368" s="35"/>
      <c r="SMO368" s="35"/>
      <c r="SMP368" s="35"/>
      <c r="SMQ368" s="35"/>
      <c r="SMR368" s="35"/>
      <c r="SMS368" s="34"/>
      <c r="SMT368" s="34"/>
      <c r="SMU368" s="36"/>
      <c r="SMV368" s="36"/>
      <c r="SMW368" s="37"/>
      <c r="SMX368" s="37"/>
      <c r="SMY368" s="38"/>
      <c r="SMZ368" s="38"/>
      <c r="SNA368" s="39"/>
      <c r="SNB368" s="34"/>
      <c r="SNC368" s="34"/>
      <c r="SND368" s="34"/>
      <c r="SNE368" s="35"/>
      <c r="SNF368" s="35"/>
      <c r="SNG368" s="35"/>
      <c r="SNH368" s="35"/>
      <c r="SNI368" s="35"/>
      <c r="SNJ368" s="34"/>
      <c r="SNK368" s="34"/>
      <c r="SNL368" s="36"/>
      <c r="SNM368" s="36"/>
      <c r="SNN368" s="37"/>
      <c r="SNO368" s="37"/>
      <c r="SNP368" s="38"/>
      <c r="SNQ368" s="38"/>
      <c r="SNR368" s="39"/>
      <c r="SNS368" s="34"/>
      <c r="SNT368" s="34"/>
      <c r="SNU368" s="34"/>
      <c r="SNV368" s="35"/>
      <c r="SNW368" s="35"/>
      <c r="SNX368" s="35"/>
      <c r="SNY368" s="35"/>
      <c r="SNZ368" s="35"/>
      <c r="SOA368" s="34"/>
      <c r="SOB368" s="34"/>
      <c r="SOC368" s="36"/>
      <c r="SOD368" s="36"/>
      <c r="SOE368" s="37"/>
      <c r="SOF368" s="37"/>
      <c r="SOG368" s="38"/>
      <c r="SOH368" s="38"/>
      <c r="SOI368" s="39"/>
      <c r="SOJ368" s="34"/>
      <c r="SOK368" s="34"/>
      <c r="SOL368" s="34"/>
      <c r="SOM368" s="35"/>
      <c r="SON368" s="35"/>
      <c r="SOO368" s="35"/>
      <c r="SOP368" s="35"/>
      <c r="SOQ368" s="35"/>
      <c r="SOR368" s="34"/>
      <c r="SOS368" s="34"/>
      <c r="SOT368" s="36"/>
      <c r="SOU368" s="36"/>
      <c r="SOV368" s="37"/>
      <c r="SOW368" s="37"/>
      <c r="SOX368" s="38"/>
      <c r="SOY368" s="38"/>
      <c r="SOZ368" s="39"/>
      <c r="SPA368" s="34"/>
      <c r="SPB368" s="34"/>
      <c r="SPC368" s="34"/>
      <c r="SPD368" s="35"/>
      <c r="SPE368" s="35"/>
      <c r="SPF368" s="35"/>
      <c r="SPG368" s="35"/>
      <c r="SPH368" s="35"/>
      <c r="SPI368" s="34"/>
      <c r="SPJ368" s="34"/>
      <c r="SPK368" s="36"/>
      <c r="SPL368" s="36"/>
      <c r="SPM368" s="37"/>
      <c r="SPN368" s="37"/>
      <c r="SPO368" s="38"/>
      <c r="SPP368" s="38"/>
      <c r="SPQ368" s="39"/>
      <c r="SPR368" s="34"/>
      <c r="SPS368" s="34"/>
      <c r="SPT368" s="34"/>
      <c r="SPU368" s="35"/>
      <c r="SPV368" s="35"/>
      <c r="SPW368" s="35"/>
      <c r="SPX368" s="35"/>
      <c r="SPY368" s="35"/>
      <c r="SPZ368" s="34"/>
      <c r="SQA368" s="34"/>
      <c r="SQB368" s="36"/>
      <c r="SQC368" s="36"/>
      <c r="SQD368" s="37"/>
      <c r="SQE368" s="37"/>
      <c r="SQF368" s="38"/>
      <c r="SQG368" s="38"/>
      <c r="SQH368" s="39"/>
      <c r="SQI368" s="34"/>
      <c r="SQJ368" s="34"/>
      <c r="SQK368" s="34"/>
      <c r="SQL368" s="35"/>
      <c r="SQM368" s="35"/>
      <c r="SQN368" s="35"/>
      <c r="SQO368" s="35"/>
      <c r="SQP368" s="35"/>
      <c r="SQQ368" s="34"/>
      <c r="SQR368" s="34"/>
      <c r="SQS368" s="36"/>
      <c r="SQT368" s="36"/>
      <c r="SQU368" s="37"/>
      <c r="SQV368" s="37"/>
      <c r="SQW368" s="38"/>
      <c r="SQX368" s="38"/>
      <c r="SQY368" s="39"/>
      <c r="SQZ368" s="34"/>
      <c r="SRA368" s="34"/>
      <c r="SRB368" s="34"/>
      <c r="SRC368" s="35"/>
      <c r="SRD368" s="35"/>
      <c r="SRE368" s="35"/>
      <c r="SRF368" s="35"/>
      <c r="SRG368" s="35"/>
      <c r="SRH368" s="34"/>
      <c r="SRI368" s="34"/>
      <c r="SRJ368" s="36"/>
      <c r="SRK368" s="36"/>
      <c r="SRL368" s="37"/>
      <c r="SRM368" s="37"/>
      <c r="SRN368" s="38"/>
      <c r="SRO368" s="38"/>
      <c r="SRP368" s="39"/>
      <c r="SRQ368" s="34"/>
      <c r="SRR368" s="34"/>
      <c r="SRS368" s="34"/>
      <c r="SRT368" s="35"/>
      <c r="SRU368" s="35"/>
      <c r="SRV368" s="35"/>
      <c r="SRW368" s="35"/>
      <c r="SRX368" s="35"/>
      <c r="SRY368" s="34"/>
      <c r="SRZ368" s="34"/>
      <c r="SSA368" s="36"/>
      <c r="SSB368" s="36"/>
      <c r="SSC368" s="37"/>
      <c r="SSD368" s="37"/>
      <c r="SSE368" s="38"/>
      <c r="SSF368" s="38"/>
      <c r="SSG368" s="39"/>
      <c r="SSH368" s="34"/>
      <c r="SSI368" s="34"/>
      <c r="SSJ368" s="34"/>
      <c r="SSK368" s="35"/>
      <c r="SSL368" s="35"/>
      <c r="SSM368" s="35"/>
      <c r="SSN368" s="35"/>
      <c r="SSO368" s="35"/>
      <c r="SSP368" s="34"/>
      <c r="SSQ368" s="34"/>
      <c r="SSR368" s="36"/>
      <c r="SSS368" s="36"/>
      <c r="SST368" s="37"/>
      <c r="SSU368" s="37"/>
      <c r="SSV368" s="38"/>
      <c r="SSW368" s="38"/>
      <c r="SSX368" s="39"/>
      <c r="SSY368" s="34"/>
      <c r="SSZ368" s="34"/>
      <c r="STA368" s="34"/>
      <c r="STB368" s="35"/>
      <c r="STC368" s="35"/>
      <c r="STD368" s="35"/>
      <c r="STE368" s="35"/>
      <c r="STF368" s="35"/>
      <c r="STG368" s="34"/>
      <c r="STH368" s="34"/>
      <c r="STI368" s="36"/>
      <c r="STJ368" s="36"/>
      <c r="STK368" s="37"/>
      <c r="STL368" s="37"/>
      <c r="STM368" s="38"/>
      <c r="STN368" s="38"/>
      <c r="STO368" s="39"/>
      <c r="STP368" s="34"/>
      <c r="STQ368" s="34"/>
      <c r="STR368" s="34"/>
      <c r="STS368" s="35"/>
      <c r="STT368" s="35"/>
      <c r="STU368" s="35"/>
      <c r="STV368" s="35"/>
      <c r="STW368" s="35"/>
      <c r="STX368" s="34"/>
      <c r="STY368" s="34"/>
      <c r="STZ368" s="36"/>
      <c r="SUA368" s="36"/>
      <c r="SUB368" s="37"/>
      <c r="SUC368" s="37"/>
      <c r="SUD368" s="38"/>
      <c r="SUE368" s="38"/>
      <c r="SUF368" s="39"/>
      <c r="SUG368" s="34"/>
      <c r="SUH368" s="34"/>
      <c r="SUI368" s="34"/>
      <c r="SUJ368" s="35"/>
      <c r="SUK368" s="35"/>
      <c r="SUL368" s="35"/>
      <c r="SUM368" s="35"/>
      <c r="SUN368" s="35"/>
      <c r="SUO368" s="34"/>
      <c r="SUP368" s="34"/>
      <c r="SUQ368" s="36"/>
      <c r="SUR368" s="36"/>
      <c r="SUS368" s="37"/>
      <c r="SUT368" s="37"/>
      <c r="SUU368" s="38"/>
      <c r="SUV368" s="38"/>
      <c r="SUW368" s="39"/>
      <c r="SUX368" s="34"/>
      <c r="SUY368" s="34"/>
      <c r="SUZ368" s="34"/>
      <c r="SVA368" s="35"/>
      <c r="SVB368" s="35"/>
      <c r="SVC368" s="35"/>
      <c r="SVD368" s="35"/>
      <c r="SVE368" s="35"/>
      <c r="SVF368" s="34"/>
      <c r="SVG368" s="34"/>
      <c r="SVH368" s="36"/>
      <c r="SVI368" s="36"/>
      <c r="SVJ368" s="37"/>
      <c r="SVK368" s="37"/>
      <c r="SVL368" s="38"/>
      <c r="SVM368" s="38"/>
      <c r="SVN368" s="39"/>
      <c r="SVO368" s="34"/>
      <c r="SVP368" s="34"/>
      <c r="SVQ368" s="34"/>
      <c r="SVR368" s="35"/>
      <c r="SVS368" s="35"/>
      <c r="SVT368" s="35"/>
      <c r="SVU368" s="35"/>
      <c r="SVV368" s="35"/>
      <c r="SVW368" s="34"/>
      <c r="SVX368" s="34"/>
      <c r="SVY368" s="36"/>
      <c r="SVZ368" s="36"/>
      <c r="SWA368" s="37"/>
      <c r="SWB368" s="37"/>
      <c r="SWC368" s="38"/>
      <c r="SWD368" s="38"/>
      <c r="SWE368" s="39"/>
      <c r="SWF368" s="34"/>
      <c r="SWG368" s="34"/>
      <c r="SWH368" s="34"/>
      <c r="SWI368" s="35"/>
      <c r="SWJ368" s="35"/>
      <c r="SWK368" s="35"/>
      <c r="SWL368" s="35"/>
      <c r="SWM368" s="35"/>
      <c r="SWN368" s="34"/>
      <c r="SWO368" s="34"/>
      <c r="SWP368" s="36"/>
      <c r="SWQ368" s="36"/>
      <c r="SWR368" s="37"/>
      <c r="SWS368" s="37"/>
      <c r="SWT368" s="38"/>
      <c r="SWU368" s="38"/>
      <c r="SWV368" s="39"/>
      <c r="SWW368" s="34"/>
      <c r="SWX368" s="34"/>
      <c r="SWY368" s="34"/>
      <c r="SWZ368" s="35"/>
      <c r="SXA368" s="35"/>
      <c r="SXB368" s="35"/>
      <c r="SXC368" s="35"/>
      <c r="SXD368" s="35"/>
      <c r="SXE368" s="34"/>
      <c r="SXF368" s="34"/>
      <c r="SXG368" s="36"/>
      <c r="SXH368" s="36"/>
      <c r="SXI368" s="37"/>
      <c r="SXJ368" s="37"/>
      <c r="SXK368" s="38"/>
      <c r="SXL368" s="38"/>
      <c r="SXM368" s="39"/>
      <c r="SXN368" s="34"/>
      <c r="SXO368" s="34"/>
      <c r="SXP368" s="34"/>
      <c r="SXQ368" s="35"/>
      <c r="SXR368" s="35"/>
      <c r="SXS368" s="35"/>
      <c r="SXT368" s="35"/>
      <c r="SXU368" s="35"/>
      <c r="SXV368" s="34"/>
      <c r="SXW368" s="34"/>
      <c r="SXX368" s="36"/>
      <c r="SXY368" s="36"/>
      <c r="SXZ368" s="37"/>
      <c r="SYA368" s="37"/>
      <c r="SYB368" s="38"/>
      <c r="SYC368" s="38"/>
      <c r="SYD368" s="39"/>
      <c r="SYE368" s="34"/>
      <c r="SYF368" s="34"/>
      <c r="SYG368" s="34"/>
      <c r="SYH368" s="35"/>
      <c r="SYI368" s="35"/>
      <c r="SYJ368" s="35"/>
      <c r="SYK368" s="35"/>
      <c r="SYL368" s="35"/>
      <c r="SYM368" s="34"/>
      <c r="SYN368" s="34"/>
      <c r="SYO368" s="36"/>
      <c r="SYP368" s="36"/>
      <c r="SYQ368" s="37"/>
      <c r="SYR368" s="37"/>
      <c r="SYS368" s="38"/>
      <c r="SYT368" s="38"/>
      <c r="SYU368" s="39"/>
      <c r="SYV368" s="34"/>
      <c r="SYW368" s="34"/>
      <c r="SYX368" s="34"/>
      <c r="SYY368" s="35"/>
      <c r="SYZ368" s="35"/>
      <c r="SZA368" s="35"/>
      <c r="SZB368" s="35"/>
      <c r="SZC368" s="35"/>
      <c r="SZD368" s="34"/>
      <c r="SZE368" s="34"/>
      <c r="SZF368" s="36"/>
      <c r="SZG368" s="36"/>
      <c r="SZH368" s="37"/>
      <c r="SZI368" s="37"/>
      <c r="SZJ368" s="38"/>
      <c r="SZK368" s="38"/>
      <c r="SZL368" s="39"/>
      <c r="SZM368" s="34"/>
      <c r="SZN368" s="34"/>
      <c r="SZO368" s="34"/>
      <c r="SZP368" s="35"/>
      <c r="SZQ368" s="35"/>
      <c r="SZR368" s="35"/>
      <c r="SZS368" s="35"/>
      <c r="SZT368" s="35"/>
      <c r="SZU368" s="34"/>
      <c r="SZV368" s="34"/>
      <c r="SZW368" s="36"/>
      <c r="SZX368" s="36"/>
      <c r="SZY368" s="37"/>
      <c r="SZZ368" s="37"/>
      <c r="TAA368" s="38"/>
      <c r="TAB368" s="38"/>
      <c r="TAC368" s="39"/>
      <c r="TAD368" s="34"/>
      <c r="TAE368" s="34"/>
      <c r="TAF368" s="34"/>
      <c r="TAG368" s="35"/>
      <c r="TAH368" s="35"/>
      <c r="TAI368" s="35"/>
      <c r="TAJ368" s="35"/>
      <c r="TAK368" s="35"/>
      <c r="TAL368" s="34"/>
      <c r="TAM368" s="34"/>
      <c r="TAN368" s="36"/>
      <c r="TAO368" s="36"/>
      <c r="TAP368" s="37"/>
      <c r="TAQ368" s="37"/>
      <c r="TAR368" s="38"/>
      <c r="TAS368" s="38"/>
      <c r="TAT368" s="39"/>
      <c r="TAU368" s="34"/>
      <c r="TAV368" s="34"/>
      <c r="TAW368" s="34"/>
      <c r="TAX368" s="35"/>
      <c r="TAY368" s="35"/>
      <c r="TAZ368" s="35"/>
      <c r="TBA368" s="35"/>
      <c r="TBB368" s="35"/>
      <c r="TBC368" s="34"/>
      <c r="TBD368" s="34"/>
      <c r="TBE368" s="36"/>
      <c r="TBF368" s="36"/>
      <c r="TBG368" s="37"/>
      <c r="TBH368" s="37"/>
      <c r="TBI368" s="38"/>
      <c r="TBJ368" s="38"/>
      <c r="TBK368" s="39"/>
      <c r="TBL368" s="34"/>
      <c r="TBM368" s="34"/>
      <c r="TBN368" s="34"/>
      <c r="TBO368" s="35"/>
      <c r="TBP368" s="35"/>
      <c r="TBQ368" s="35"/>
      <c r="TBR368" s="35"/>
      <c r="TBS368" s="35"/>
      <c r="TBT368" s="34"/>
      <c r="TBU368" s="34"/>
      <c r="TBV368" s="36"/>
      <c r="TBW368" s="36"/>
      <c r="TBX368" s="37"/>
      <c r="TBY368" s="37"/>
      <c r="TBZ368" s="38"/>
      <c r="TCA368" s="38"/>
      <c r="TCB368" s="39"/>
      <c r="TCC368" s="34"/>
      <c r="TCD368" s="34"/>
      <c r="TCE368" s="34"/>
      <c r="TCF368" s="35"/>
      <c r="TCG368" s="35"/>
      <c r="TCH368" s="35"/>
      <c r="TCI368" s="35"/>
      <c r="TCJ368" s="35"/>
      <c r="TCK368" s="34"/>
      <c r="TCL368" s="34"/>
      <c r="TCM368" s="36"/>
      <c r="TCN368" s="36"/>
      <c r="TCO368" s="37"/>
      <c r="TCP368" s="37"/>
      <c r="TCQ368" s="38"/>
      <c r="TCR368" s="38"/>
      <c r="TCS368" s="39"/>
      <c r="TCT368" s="34"/>
      <c r="TCU368" s="34"/>
      <c r="TCV368" s="34"/>
      <c r="TCW368" s="35"/>
      <c r="TCX368" s="35"/>
      <c r="TCY368" s="35"/>
      <c r="TCZ368" s="35"/>
      <c r="TDA368" s="35"/>
      <c r="TDB368" s="34"/>
      <c r="TDC368" s="34"/>
      <c r="TDD368" s="36"/>
      <c r="TDE368" s="36"/>
      <c r="TDF368" s="37"/>
      <c r="TDG368" s="37"/>
      <c r="TDH368" s="38"/>
      <c r="TDI368" s="38"/>
      <c r="TDJ368" s="39"/>
      <c r="TDK368" s="34"/>
      <c r="TDL368" s="34"/>
      <c r="TDM368" s="34"/>
      <c r="TDN368" s="35"/>
      <c r="TDO368" s="35"/>
      <c r="TDP368" s="35"/>
      <c r="TDQ368" s="35"/>
      <c r="TDR368" s="35"/>
      <c r="TDS368" s="34"/>
      <c r="TDT368" s="34"/>
      <c r="TDU368" s="36"/>
      <c r="TDV368" s="36"/>
      <c r="TDW368" s="37"/>
      <c r="TDX368" s="37"/>
      <c r="TDY368" s="38"/>
      <c r="TDZ368" s="38"/>
      <c r="TEA368" s="39"/>
      <c r="TEB368" s="34"/>
      <c r="TEC368" s="34"/>
      <c r="TED368" s="34"/>
      <c r="TEE368" s="35"/>
      <c r="TEF368" s="35"/>
      <c r="TEG368" s="35"/>
      <c r="TEH368" s="35"/>
      <c r="TEI368" s="35"/>
      <c r="TEJ368" s="34"/>
      <c r="TEK368" s="34"/>
      <c r="TEL368" s="36"/>
      <c r="TEM368" s="36"/>
      <c r="TEN368" s="37"/>
      <c r="TEO368" s="37"/>
      <c r="TEP368" s="38"/>
      <c r="TEQ368" s="38"/>
      <c r="TER368" s="39"/>
      <c r="TES368" s="34"/>
      <c r="TET368" s="34"/>
      <c r="TEU368" s="34"/>
      <c r="TEV368" s="35"/>
      <c r="TEW368" s="35"/>
      <c r="TEX368" s="35"/>
      <c r="TEY368" s="35"/>
      <c r="TEZ368" s="35"/>
      <c r="TFA368" s="34"/>
      <c r="TFB368" s="34"/>
      <c r="TFC368" s="36"/>
      <c r="TFD368" s="36"/>
      <c r="TFE368" s="37"/>
      <c r="TFF368" s="37"/>
      <c r="TFG368" s="38"/>
      <c r="TFH368" s="38"/>
      <c r="TFI368" s="39"/>
      <c r="TFJ368" s="34"/>
      <c r="TFK368" s="34"/>
      <c r="TFL368" s="34"/>
      <c r="TFM368" s="35"/>
      <c r="TFN368" s="35"/>
      <c r="TFO368" s="35"/>
      <c r="TFP368" s="35"/>
      <c r="TFQ368" s="35"/>
      <c r="TFR368" s="34"/>
      <c r="TFS368" s="34"/>
      <c r="TFT368" s="36"/>
      <c r="TFU368" s="36"/>
      <c r="TFV368" s="37"/>
      <c r="TFW368" s="37"/>
      <c r="TFX368" s="38"/>
      <c r="TFY368" s="38"/>
      <c r="TFZ368" s="39"/>
      <c r="TGA368" s="34"/>
      <c r="TGB368" s="34"/>
      <c r="TGC368" s="34"/>
      <c r="TGD368" s="35"/>
      <c r="TGE368" s="35"/>
      <c r="TGF368" s="35"/>
      <c r="TGG368" s="35"/>
      <c r="TGH368" s="35"/>
      <c r="TGI368" s="34"/>
      <c r="TGJ368" s="34"/>
      <c r="TGK368" s="36"/>
      <c r="TGL368" s="36"/>
      <c r="TGM368" s="37"/>
      <c r="TGN368" s="37"/>
      <c r="TGO368" s="38"/>
      <c r="TGP368" s="38"/>
      <c r="TGQ368" s="39"/>
      <c r="TGR368" s="34"/>
      <c r="TGS368" s="34"/>
      <c r="TGT368" s="34"/>
      <c r="TGU368" s="35"/>
      <c r="TGV368" s="35"/>
      <c r="TGW368" s="35"/>
      <c r="TGX368" s="35"/>
      <c r="TGY368" s="35"/>
      <c r="TGZ368" s="34"/>
      <c r="THA368" s="34"/>
      <c r="THB368" s="36"/>
      <c r="THC368" s="36"/>
      <c r="THD368" s="37"/>
      <c r="THE368" s="37"/>
      <c r="THF368" s="38"/>
      <c r="THG368" s="38"/>
      <c r="THH368" s="39"/>
      <c r="THI368" s="34"/>
      <c r="THJ368" s="34"/>
      <c r="THK368" s="34"/>
      <c r="THL368" s="35"/>
      <c r="THM368" s="35"/>
      <c r="THN368" s="35"/>
      <c r="THO368" s="35"/>
      <c r="THP368" s="35"/>
      <c r="THQ368" s="34"/>
      <c r="THR368" s="34"/>
      <c r="THS368" s="36"/>
      <c r="THT368" s="36"/>
      <c r="THU368" s="37"/>
      <c r="THV368" s="37"/>
      <c r="THW368" s="38"/>
      <c r="THX368" s="38"/>
      <c r="THY368" s="39"/>
      <c r="THZ368" s="34"/>
      <c r="TIA368" s="34"/>
      <c r="TIB368" s="34"/>
      <c r="TIC368" s="35"/>
      <c r="TID368" s="35"/>
      <c r="TIE368" s="35"/>
      <c r="TIF368" s="35"/>
      <c r="TIG368" s="35"/>
      <c r="TIH368" s="34"/>
      <c r="TII368" s="34"/>
      <c r="TIJ368" s="36"/>
      <c r="TIK368" s="36"/>
      <c r="TIL368" s="37"/>
      <c r="TIM368" s="37"/>
      <c r="TIN368" s="38"/>
      <c r="TIO368" s="38"/>
      <c r="TIP368" s="39"/>
      <c r="TIQ368" s="34"/>
      <c r="TIR368" s="34"/>
      <c r="TIS368" s="34"/>
      <c r="TIT368" s="35"/>
      <c r="TIU368" s="35"/>
      <c r="TIV368" s="35"/>
      <c r="TIW368" s="35"/>
      <c r="TIX368" s="35"/>
      <c r="TIY368" s="34"/>
      <c r="TIZ368" s="34"/>
      <c r="TJA368" s="36"/>
      <c r="TJB368" s="36"/>
      <c r="TJC368" s="37"/>
      <c r="TJD368" s="37"/>
      <c r="TJE368" s="38"/>
      <c r="TJF368" s="38"/>
      <c r="TJG368" s="39"/>
      <c r="TJH368" s="34"/>
      <c r="TJI368" s="34"/>
      <c r="TJJ368" s="34"/>
      <c r="TJK368" s="35"/>
      <c r="TJL368" s="35"/>
      <c r="TJM368" s="35"/>
      <c r="TJN368" s="35"/>
      <c r="TJO368" s="35"/>
      <c r="TJP368" s="34"/>
      <c r="TJQ368" s="34"/>
      <c r="TJR368" s="36"/>
      <c r="TJS368" s="36"/>
      <c r="TJT368" s="37"/>
      <c r="TJU368" s="37"/>
      <c r="TJV368" s="38"/>
      <c r="TJW368" s="38"/>
      <c r="TJX368" s="39"/>
      <c r="TJY368" s="34"/>
      <c r="TJZ368" s="34"/>
      <c r="TKA368" s="34"/>
      <c r="TKB368" s="35"/>
      <c r="TKC368" s="35"/>
      <c r="TKD368" s="35"/>
      <c r="TKE368" s="35"/>
      <c r="TKF368" s="35"/>
      <c r="TKG368" s="34"/>
      <c r="TKH368" s="34"/>
      <c r="TKI368" s="36"/>
      <c r="TKJ368" s="36"/>
      <c r="TKK368" s="37"/>
      <c r="TKL368" s="37"/>
      <c r="TKM368" s="38"/>
      <c r="TKN368" s="38"/>
      <c r="TKO368" s="39"/>
      <c r="TKP368" s="34"/>
      <c r="TKQ368" s="34"/>
      <c r="TKR368" s="34"/>
      <c r="TKS368" s="35"/>
      <c r="TKT368" s="35"/>
      <c r="TKU368" s="35"/>
      <c r="TKV368" s="35"/>
      <c r="TKW368" s="35"/>
      <c r="TKX368" s="34"/>
      <c r="TKY368" s="34"/>
      <c r="TKZ368" s="36"/>
      <c r="TLA368" s="36"/>
      <c r="TLB368" s="37"/>
      <c r="TLC368" s="37"/>
      <c r="TLD368" s="38"/>
      <c r="TLE368" s="38"/>
      <c r="TLF368" s="39"/>
      <c r="TLG368" s="34"/>
      <c r="TLH368" s="34"/>
      <c r="TLI368" s="34"/>
      <c r="TLJ368" s="35"/>
      <c r="TLK368" s="35"/>
      <c r="TLL368" s="35"/>
      <c r="TLM368" s="35"/>
      <c r="TLN368" s="35"/>
      <c r="TLO368" s="34"/>
      <c r="TLP368" s="34"/>
      <c r="TLQ368" s="36"/>
      <c r="TLR368" s="36"/>
      <c r="TLS368" s="37"/>
      <c r="TLT368" s="37"/>
      <c r="TLU368" s="38"/>
      <c r="TLV368" s="38"/>
      <c r="TLW368" s="39"/>
      <c r="TLX368" s="34"/>
      <c r="TLY368" s="34"/>
      <c r="TLZ368" s="34"/>
      <c r="TMA368" s="35"/>
      <c r="TMB368" s="35"/>
      <c r="TMC368" s="35"/>
      <c r="TMD368" s="35"/>
      <c r="TME368" s="35"/>
      <c r="TMF368" s="34"/>
      <c r="TMG368" s="34"/>
      <c r="TMH368" s="36"/>
      <c r="TMI368" s="36"/>
      <c r="TMJ368" s="37"/>
      <c r="TMK368" s="37"/>
      <c r="TML368" s="38"/>
      <c r="TMM368" s="38"/>
      <c r="TMN368" s="39"/>
      <c r="TMO368" s="34"/>
      <c r="TMP368" s="34"/>
      <c r="TMQ368" s="34"/>
      <c r="TMR368" s="35"/>
      <c r="TMS368" s="35"/>
      <c r="TMT368" s="35"/>
      <c r="TMU368" s="35"/>
      <c r="TMV368" s="35"/>
      <c r="TMW368" s="34"/>
      <c r="TMX368" s="34"/>
      <c r="TMY368" s="36"/>
      <c r="TMZ368" s="36"/>
      <c r="TNA368" s="37"/>
      <c r="TNB368" s="37"/>
      <c r="TNC368" s="38"/>
      <c r="TND368" s="38"/>
      <c r="TNE368" s="39"/>
      <c r="TNF368" s="34"/>
      <c r="TNG368" s="34"/>
      <c r="TNH368" s="34"/>
      <c r="TNI368" s="35"/>
      <c r="TNJ368" s="35"/>
      <c r="TNK368" s="35"/>
      <c r="TNL368" s="35"/>
      <c r="TNM368" s="35"/>
      <c r="TNN368" s="34"/>
      <c r="TNO368" s="34"/>
      <c r="TNP368" s="36"/>
      <c r="TNQ368" s="36"/>
      <c r="TNR368" s="37"/>
      <c r="TNS368" s="37"/>
      <c r="TNT368" s="38"/>
      <c r="TNU368" s="38"/>
      <c r="TNV368" s="39"/>
      <c r="TNW368" s="34"/>
      <c r="TNX368" s="34"/>
      <c r="TNY368" s="34"/>
      <c r="TNZ368" s="35"/>
      <c r="TOA368" s="35"/>
      <c r="TOB368" s="35"/>
      <c r="TOC368" s="35"/>
      <c r="TOD368" s="35"/>
      <c r="TOE368" s="34"/>
      <c r="TOF368" s="34"/>
      <c r="TOG368" s="36"/>
      <c r="TOH368" s="36"/>
      <c r="TOI368" s="37"/>
      <c r="TOJ368" s="37"/>
      <c r="TOK368" s="38"/>
      <c r="TOL368" s="38"/>
      <c r="TOM368" s="39"/>
      <c r="TON368" s="34"/>
      <c r="TOO368" s="34"/>
      <c r="TOP368" s="34"/>
      <c r="TOQ368" s="35"/>
      <c r="TOR368" s="35"/>
      <c r="TOS368" s="35"/>
      <c r="TOT368" s="35"/>
      <c r="TOU368" s="35"/>
      <c r="TOV368" s="34"/>
      <c r="TOW368" s="34"/>
      <c r="TOX368" s="36"/>
      <c r="TOY368" s="36"/>
      <c r="TOZ368" s="37"/>
      <c r="TPA368" s="37"/>
      <c r="TPB368" s="38"/>
      <c r="TPC368" s="38"/>
      <c r="TPD368" s="39"/>
      <c r="TPE368" s="34"/>
      <c r="TPF368" s="34"/>
      <c r="TPG368" s="34"/>
      <c r="TPH368" s="35"/>
      <c r="TPI368" s="35"/>
      <c r="TPJ368" s="35"/>
      <c r="TPK368" s="35"/>
      <c r="TPL368" s="35"/>
      <c r="TPM368" s="34"/>
      <c r="TPN368" s="34"/>
      <c r="TPO368" s="36"/>
      <c r="TPP368" s="36"/>
      <c r="TPQ368" s="37"/>
      <c r="TPR368" s="37"/>
      <c r="TPS368" s="38"/>
      <c r="TPT368" s="38"/>
      <c r="TPU368" s="39"/>
      <c r="TPV368" s="34"/>
      <c r="TPW368" s="34"/>
      <c r="TPX368" s="34"/>
      <c r="TPY368" s="35"/>
      <c r="TPZ368" s="35"/>
      <c r="TQA368" s="35"/>
      <c r="TQB368" s="35"/>
      <c r="TQC368" s="35"/>
      <c r="TQD368" s="34"/>
      <c r="TQE368" s="34"/>
      <c r="TQF368" s="36"/>
      <c r="TQG368" s="36"/>
      <c r="TQH368" s="37"/>
      <c r="TQI368" s="37"/>
      <c r="TQJ368" s="38"/>
      <c r="TQK368" s="38"/>
      <c r="TQL368" s="39"/>
      <c r="TQM368" s="34"/>
      <c r="TQN368" s="34"/>
      <c r="TQO368" s="34"/>
      <c r="TQP368" s="35"/>
      <c r="TQQ368" s="35"/>
      <c r="TQR368" s="35"/>
      <c r="TQS368" s="35"/>
      <c r="TQT368" s="35"/>
      <c r="TQU368" s="34"/>
      <c r="TQV368" s="34"/>
      <c r="TQW368" s="36"/>
      <c r="TQX368" s="36"/>
      <c r="TQY368" s="37"/>
      <c r="TQZ368" s="37"/>
      <c r="TRA368" s="38"/>
      <c r="TRB368" s="38"/>
      <c r="TRC368" s="39"/>
      <c r="TRD368" s="34"/>
      <c r="TRE368" s="34"/>
      <c r="TRF368" s="34"/>
      <c r="TRG368" s="35"/>
      <c r="TRH368" s="35"/>
      <c r="TRI368" s="35"/>
      <c r="TRJ368" s="35"/>
      <c r="TRK368" s="35"/>
      <c r="TRL368" s="34"/>
      <c r="TRM368" s="34"/>
      <c r="TRN368" s="36"/>
      <c r="TRO368" s="36"/>
      <c r="TRP368" s="37"/>
      <c r="TRQ368" s="37"/>
      <c r="TRR368" s="38"/>
      <c r="TRS368" s="38"/>
      <c r="TRT368" s="39"/>
      <c r="TRU368" s="34"/>
      <c r="TRV368" s="34"/>
      <c r="TRW368" s="34"/>
      <c r="TRX368" s="35"/>
      <c r="TRY368" s="35"/>
      <c r="TRZ368" s="35"/>
      <c r="TSA368" s="35"/>
      <c r="TSB368" s="35"/>
      <c r="TSC368" s="34"/>
      <c r="TSD368" s="34"/>
      <c r="TSE368" s="36"/>
      <c r="TSF368" s="36"/>
      <c r="TSG368" s="37"/>
      <c r="TSH368" s="37"/>
      <c r="TSI368" s="38"/>
      <c r="TSJ368" s="38"/>
      <c r="TSK368" s="39"/>
      <c r="TSL368" s="34"/>
      <c r="TSM368" s="34"/>
      <c r="TSN368" s="34"/>
      <c r="TSO368" s="35"/>
      <c r="TSP368" s="35"/>
      <c r="TSQ368" s="35"/>
      <c r="TSR368" s="35"/>
      <c r="TSS368" s="35"/>
      <c r="TST368" s="34"/>
      <c r="TSU368" s="34"/>
      <c r="TSV368" s="36"/>
      <c r="TSW368" s="36"/>
      <c r="TSX368" s="37"/>
      <c r="TSY368" s="37"/>
      <c r="TSZ368" s="38"/>
      <c r="TTA368" s="38"/>
      <c r="TTB368" s="39"/>
      <c r="TTC368" s="34"/>
      <c r="TTD368" s="34"/>
      <c r="TTE368" s="34"/>
      <c r="TTF368" s="35"/>
      <c r="TTG368" s="35"/>
      <c r="TTH368" s="35"/>
      <c r="TTI368" s="35"/>
      <c r="TTJ368" s="35"/>
      <c r="TTK368" s="34"/>
      <c r="TTL368" s="34"/>
      <c r="TTM368" s="36"/>
      <c r="TTN368" s="36"/>
      <c r="TTO368" s="37"/>
      <c r="TTP368" s="37"/>
      <c r="TTQ368" s="38"/>
      <c r="TTR368" s="38"/>
      <c r="TTS368" s="39"/>
      <c r="TTT368" s="34"/>
      <c r="TTU368" s="34"/>
      <c r="TTV368" s="34"/>
      <c r="TTW368" s="35"/>
      <c r="TTX368" s="35"/>
      <c r="TTY368" s="35"/>
      <c r="TTZ368" s="35"/>
      <c r="TUA368" s="35"/>
      <c r="TUB368" s="34"/>
      <c r="TUC368" s="34"/>
      <c r="TUD368" s="36"/>
      <c r="TUE368" s="36"/>
      <c r="TUF368" s="37"/>
      <c r="TUG368" s="37"/>
      <c r="TUH368" s="38"/>
      <c r="TUI368" s="38"/>
      <c r="TUJ368" s="39"/>
      <c r="TUK368" s="34"/>
      <c r="TUL368" s="34"/>
      <c r="TUM368" s="34"/>
      <c r="TUN368" s="35"/>
      <c r="TUO368" s="35"/>
      <c r="TUP368" s="35"/>
      <c r="TUQ368" s="35"/>
      <c r="TUR368" s="35"/>
      <c r="TUS368" s="34"/>
      <c r="TUT368" s="34"/>
      <c r="TUU368" s="36"/>
      <c r="TUV368" s="36"/>
      <c r="TUW368" s="37"/>
      <c r="TUX368" s="37"/>
      <c r="TUY368" s="38"/>
      <c r="TUZ368" s="38"/>
      <c r="TVA368" s="39"/>
      <c r="TVB368" s="34"/>
      <c r="TVC368" s="34"/>
      <c r="TVD368" s="34"/>
      <c r="TVE368" s="35"/>
      <c r="TVF368" s="35"/>
      <c r="TVG368" s="35"/>
      <c r="TVH368" s="35"/>
      <c r="TVI368" s="35"/>
      <c r="TVJ368" s="34"/>
      <c r="TVK368" s="34"/>
      <c r="TVL368" s="36"/>
      <c r="TVM368" s="36"/>
      <c r="TVN368" s="37"/>
      <c r="TVO368" s="37"/>
      <c r="TVP368" s="38"/>
      <c r="TVQ368" s="38"/>
      <c r="TVR368" s="39"/>
      <c r="TVS368" s="34"/>
      <c r="TVT368" s="34"/>
      <c r="TVU368" s="34"/>
      <c r="TVV368" s="35"/>
      <c r="TVW368" s="35"/>
      <c r="TVX368" s="35"/>
      <c r="TVY368" s="35"/>
      <c r="TVZ368" s="35"/>
      <c r="TWA368" s="34"/>
      <c r="TWB368" s="34"/>
      <c r="TWC368" s="36"/>
      <c r="TWD368" s="36"/>
      <c r="TWE368" s="37"/>
      <c r="TWF368" s="37"/>
      <c r="TWG368" s="38"/>
      <c r="TWH368" s="38"/>
      <c r="TWI368" s="39"/>
      <c r="TWJ368" s="34"/>
      <c r="TWK368" s="34"/>
      <c r="TWL368" s="34"/>
      <c r="TWM368" s="35"/>
      <c r="TWN368" s="35"/>
      <c r="TWO368" s="35"/>
      <c r="TWP368" s="35"/>
      <c r="TWQ368" s="35"/>
      <c r="TWR368" s="34"/>
      <c r="TWS368" s="34"/>
      <c r="TWT368" s="36"/>
      <c r="TWU368" s="36"/>
      <c r="TWV368" s="37"/>
      <c r="TWW368" s="37"/>
      <c r="TWX368" s="38"/>
      <c r="TWY368" s="38"/>
      <c r="TWZ368" s="39"/>
      <c r="TXA368" s="34"/>
      <c r="TXB368" s="34"/>
      <c r="TXC368" s="34"/>
      <c r="TXD368" s="35"/>
      <c r="TXE368" s="35"/>
      <c r="TXF368" s="35"/>
      <c r="TXG368" s="35"/>
      <c r="TXH368" s="35"/>
      <c r="TXI368" s="34"/>
      <c r="TXJ368" s="34"/>
      <c r="TXK368" s="36"/>
      <c r="TXL368" s="36"/>
      <c r="TXM368" s="37"/>
      <c r="TXN368" s="37"/>
      <c r="TXO368" s="38"/>
      <c r="TXP368" s="38"/>
      <c r="TXQ368" s="39"/>
      <c r="TXR368" s="34"/>
      <c r="TXS368" s="34"/>
      <c r="TXT368" s="34"/>
      <c r="TXU368" s="35"/>
      <c r="TXV368" s="35"/>
      <c r="TXW368" s="35"/>
      <c r="TXX368" s="35"/>
      <c r="TXY368" s="35"/>
      <c r="TXZ368" s="34"/>
      <c r="TYA368" s="34"/>
      <c r="TYB368" s="36"/>
      <c r="TYC368" s="36"/>
      <c r="TYD368" s="37"/>
      <c r="TYE368" s="37"/>
      <c r="TYF368" s="38"/>
      <c r="TYG368" s="38"/>
      <c r="TYH368" s="39"/>
      <c r="TYI368" s="34"/>
      <c r="TYJ368" s="34"/>
      <c r="TYK368" s="34"/>
      <c r="TYL368" s="35"/>
      <c r="TYM368" s="35"/>
      <c r="TYN368" s="35"/>
      <c r="TYO368" s="35"/>
      <c r="TYP368" s="35"/>
      <c r="TYQ368" s="34"/>
      <c r="TYR368" s="34"/>
      <c r="TYS368" s="36"/>
      <c r="TYT368" s="36"/>
      <c r="TYU368" s="37"/>
      <c r="TYV368" s="37"/>
      <c r="TYW368" s="38"/>
      <c r="TYX368" s="38"/>
      <c r="TYY368" s="39"/>
      <c r="TYZ368" s="34"/>
      <c r="TZA368" s="34"/>
      <c r="TZB368" s="34"/>
      <c r="TZC368" s="35"/>
      <c r="TZD368" s="35"/>
      <c r="TZE368" s="35"/>
      <c r="TZF368" s="35"/>
      <c r="TZG368" s="35"/>
      <c r="TZH368" s="34"/>
      <c r="TZI368" s="34"/>
      <c r="TZJ368" s="36"/>
      <c r="TZK368" s="36"/>
      <c r="TZL368" s="37"/>
      <c r="TZM368" s="37"/>
      <c r="TZN368" s="38"/>
      <c r="TZO368" s="38"/>
      <c r="TZP368" s="39"/>
      <c r="TZQ368" s="34"/>
      <c r="TZR368" s="34"/>
      <c r="TZS368" s="34"/>
      <c r="TZT368" s="35"/>
      <c r="TZU368" s="35"/>
      <c r="TZV368" s="35"/>
      <c r="TZW368" s="35"/>
      <c r="TZX368" s="35"/>
      <c r="TZY368" s="34"/>
      <c r="TZZ368" s="34"/>
      <c r="UAA368" s="36"/>
      <c r="UAB368" s="36"/>
      <c r="UAC368" s="37"/>
      <c r="UAD368" s="37"/>
      <c r="UAE368" s="38"/>
      <c r="UAF368" s="38"/>
      <c r="UAG368" s="39"/>
      <c r="UAH368" s="34"/>
      <c r="UAI368" s="34"/>
      <c r="UAJ368" s="34"/>
      <c r="UAK368" s="35"/>
      <c r="UAL368" s="35"/>
      <c r="UAM368" s="35"/>
      <c r="UAN368" s="35"/>
      <c r="UAO368" s="35"/>
      <c r="UAP368" s="34"/>
      <c r="UAQ368" s="34"/>
      <c r="UAR368" s="36"/>
      <c r="UAS368" s="36"/>
      <c r="UAT368" s="37"/>
      <c r="UAU368" s="37"/>
      <c r="UAV368" s="38"/>
      <c r="UAW368" s="38"/>
      <c r="UAX368" s="39"/>
      <c r="UAY368" s="34"/>
      <c r="UAZ368" s="34"/>
      <c r="UBA368" s="34"/>
      <c r="UBB368" s="35"/>
      <c r="UBC368" s="35"/>
      <c r="UBD368" s="35"/>
      <c r="UBE368" s="35"/>
      <c r="UBF368" s="35"/>
      <c r="UBG368" s="34"/>
      <c r="UBH368" s="34"/>
      <c r="UBI368" s="36"/>
      <c r="UBJ368" s="36"/>
      <c r="UBK368" s="37"/>
      <c r="UBL368" s="37"/>
      <c r="UBM368" s="38"/>
      <c r="UBN368" s="38"/>
      <c r="UBO368" s="39"/>
      <c r="UBP368" s="34"/>
      <c r="UBQ368" s="34"/>
      <c r="UBR368" s="34"/>
      <c r="UBS368" s="35"/>
      <c r="UBT368" s="35"/>
      <c r="UBU368" s="35"/>
      <c r="UBV368" s="35"/>
      <c r="UBW368" s="35"/>
      <c r="UBX368" s="34"/>
      <c r="UBY368" s="34"/>
      <c r="UBZ368" s="36"/>
      <c r="UCA368" s="36"/>
      <c r="UCB368" s="37"/>
      <c r="UCC368" s="37"/>
      <c r="UCD368" s="38"/>
      <c r="UCE368" s="38"/>
      <c r="UCF368" s="39"/>
      <c r="UCG368" s="34"/>
      <c r="UCH368" s="34"/>
      <c r="UCI368" s="34"/>
      <c r="UCJ368" s="35"/>
      <c r="UCK368" s="35"/>
      <c r="UCL368" s="35"/>
      <c r="UCM368" s="35"/>
      <c r="UCN368" s="35"/>
      <c r="UCO368" s="34"/>
      <c r="UCP368" s="34"/>
      <c r="UCQ368" s="36"/>
      <c r="UCR368" s="36"/>
      <c r="UCS368" s="37"/>
      <c r="UCT368" s="37"/>
      <c r="UCU368" s="38"/>
      <c r="UCV368" s="38"/>
      <c r="UCW368" s="39"/>
      <c r="UCX368" s="34"/>
      <c r="UCY368" s="34"/>
      <c r="UCZ368" s="34"/>
      <c r="UDA368" s="35"/>
      <c r="UDB368" s="35"/>
      <c r="UDC368" s="35"/>
      <c r="UDD368" s="35"/>
      <c r="UDE368" s="35"/>
      <c r="UDF368" s="34"/>
      <c r="UDG368" s="34"/>
      <c r="UDH368" s="36"/>
      <c r="UDI368" s="36"/>
      <c r="UDJ368" s="37"/>
      <c r="UDK368" s="37"/>
      <c r="UDL368" s="38"/>
      <c r="UDM368" s="38"/>
      <c r="UDN368" s="39"/>
      <c r="UDO368" s="34"/>
      <c r="UDP368" s="34"/>
      <c r="UDQ368" s="34"/>
      <c r="UDR368" s="35"/>
      <c r="UDS368" s="35"/>
      <c r="UDT368" s="35"/>
      <c r="UDU368" s="35"/>
      <c r="UDV368" s="35"/>
      <c r="UDW368" s="34"/>
      <c r="UDX368" s="34"/>
      <c r="UDY368" s="36"/>
      <c r="UDZ368" s="36"/>
      <c r="UEA368" s="37"/>
      <c r="UEB368" s="37"/>
      <c r="UEC368" s="38"/>
      <c r="UED368" s="38"/>
      <c r="UEE368" s="39"/>
      <c r="UEF368" s="34"/>
      <c r="UEG368" s="34"/>
      <c r="UEH368" s="34"/>
      <c r="UEI368" s="35"/>
      <c r="UEJ368" s="35"/>
      <c r="UEK368" s="35"/>
      <c r="UEL368" s="35"/>
      <c r="UEM368" s="35"/>
      <c r="UEN368" s="34"/>
      <c r="UEO368" s="34"/>
      <c r="UEP368" s="36"/>
      <c r="UEQ368" s="36"/>
      <c r="UER368" s="37"/>
      <c r="UES368" s="37"/>
      <c r="UET368" s="38"/>
      <c r="UEU368" s="38"/>
      <c r="UEV368" s="39"/>
      <c r="UEW368" s="34"/>
      <c r="UEX368" s="34"/>
      <c r="UEY368" s="34"/>
      <c r="UEZ368" s="35"/>
      <c r="UFA368" s="35"/>
      <c r="UFB368" s="35"/>
      <c r="UFC368" s="35"/>
      <c r="UFD368" s="35"/>
      <c r="UFE368" s="34"/>
      <c r="UFF368" s="34"/>
      <c r="UFG368" s="36"/>
      <c r="UFH368" s="36"/>
      <c r="UFI368" s="37"/>
      <c r="UFJ368" s="37"/>
      <c r="UFK368" s="38"/>
      <c r="UFL368" s="38"/>
      <c r="UFM368" s="39"/>
      <c r="UFN368" s="34"/>
      <c r="UFO368" s="34"/>
      <c r="UFP368" s="34"/>
      <c r="UFQ368" s="35"/>
      <c r="UFR368" s="35"/>
      <c r="UFS368" s="35"/>
      <c r="UFT368" s="35"/>
      <c r="UFU368" s="35"/>
      <c r="UFV368" s="34"/>
      <c r="UFW368" s="34"/>
      <c r="UFX368" s="36"/>
      <c r="UFY368" s="36"/>
      <c r="UFZ368" s="37"/>
      <c r="UGA368" s="37"/>
      <c r="UGB368" s="38"/>
      <c r="UGC368" s="38"/>
      <c r="UGD368" s="39"/>
      <c r="UGE368" s="34"/>
      <c r="UGF368" s="34"/>
      <c r="UGG368" s="34"/>
      <c r="UGH368" s="35"/>
      <c r="UGI368" s="35"/>
      <c r="UGJ368" s="35"/>
      <c r="UGK368" s="35"/>
      <c r="UGL368" s="35"/>
      <c r="UGM368" s="34"/>
      <c r="UGN368" s="34"/>
      <c r="UGO368" s="36"/>
      <c r="UGP368" s="36"/>
      <c r="UGQ368" s="37"/>
      <c r="UGR368" s="37"/>
      <c r="UGS368" s="38"/>
      <c r="UGT368" s="38"/>
      <c r="UGU368" s="39"/>
      <c r="UGV368" s="34"/>
      <c r="UGW368" s="34"/>
      <c r="UGX368" s="34"/>
      <c r="UGY368" s="35"/>
      <c r="UGZ368" s="35"/>
      <c r="UHA368" s="35"/>
      <c r="UHB368" s="35"/>
      <c r="UHC368" s="35"/>
      <c r="UHD368" s="34"/>
      <c r="UHE368" s="34"/>
      <c r="UHF368" s="36"/>
      <c r="UHG368" s="36"/>
      <c r="UHH368" s="37"/>
      <c r="UHI368" s="37"/>
      <c r="UHJ368" s="38"/>
      <c r="UHK368" s="38"/>
      <c r="UHL368" s="39"/>
      <c r="UHM368" s="34"/>
      <c r="UHN368" s="34"/>
      <c r="UHO368" s="34"/>
      <c r="UHP368" s="35"/>
      <c r="UHQ368" s="35"/>
      <c r="UHR368" s="35"/>
      <c r="UHS368" s="35"/>
      <c r="UHT368" s="35"/>
      <c r="UHU368" s="34"/>
      <c r="UHV368" s="34"/>
      <c r="UHW368" s="36"/>
      <c r="UHX368" s="36"/>
      <c r="UHY368" s="37"/>
      <c r="UHZ368" s="37"/>
      <c r="UIA368" s="38"/>
      <c r="UIB368" s="38"/>
      <c r="UIC368" s="39"/>
      <c r="UID368" s="34"/>
      <c r="UIE368" s="34"/>
      <c r="UIF368" s="34"/>
      <c r="UIG368" s="35"/>
      <c r="UIH368" s="35"/>
      <c r="UII368" s="35"/>
      <c r="UIJ368" s="35"/>
      <c r="UIK368" s="35"/>
      <c r="UIL368" s="34"/>
      <c r="UIM368" s="34"/>
      <c r="UIN368" s="36"/>
      <c r="UIO368" s="36"/>
      <c r="UIP368" s="37"/>
      <c r="UIQ368" s="37"/>
      <c r="UIR368" s="38"/>
      <c r="UIS368" s="38"/>
      <c r="UIT368" s="39"/>
      <c r="UIU368" s="34"/>
      <c r="UIV368" s="34"/>
      <c r="UIW368" s="34"/>
      <c r="UIX368" s="35"/>
      <c r="UIY368" s="35"/>
      <c r="UIZ368" s="35"/>
      <c r="UJA368" s="35"/>
      <c r="UJB368" s="35"/>
      <c r="UJC368" s="34"/>
      <c r="UJD368" s="34"/>
      <c r="UJE368" s="36"/>
      <c r="UJF368" s="36"/>
      <c r="UJG368" s="37"/>
      <c r="UJH368" s="37"/>
      <c r="UJI368" s="38"/>
      <c r="UJJ368" s="38"/>
      <c r="UJK368" s="39"/>
      <c r="UJL368" s="34"/>
      <c r="UJM368" s="34"/>
      <c r="UJN368" s="34"/>
      <c r="UJO368" s="35"/>
      <c r="UJP368" s="35"/>
      <c r="UJQ368" s="35"/>
      <c r="UJR368" s="35"/>
      <c r="UJS368" s="35"/>
      <c r="UJT368" s="34"/>
      <c r="UJU368" s="34"/>
      <c r="UJV368" s="36"/>
      <c r="UJW368" s="36"/>
      <c r="UJX368" s="37"/>
      <c r="UJY368" s="37"/>
      <c r="UJZ368" s="38"/>
      <c r="UKA368" s="38"/>
      <c r="UKB368" s="39"/>
      <c r="UKC368" s="34"/>
      <c r="UKD368" s="34"/>
      <c r="UKE368" s="34"/>
      <c r="UKF368" s="35"/>
      <c r="UKG368" s="35"/>
      <c r="UKH368" s="35"/>
      <c r="UKI368" s="35"/>
      <c r="UKJ368" s="35"/>
      <c r="UKK368" s="34"/>
      <c r="UKL368" s="34"/>
      <c r="UKM368" s="36"/>
      <c r="UKN368" s="36"/>
      <c r="UKO368" s="37"/>
      <c r="UKP368" s="37"/>
      <c r="UKQ368" s="38"/>
      <c r="UKR368" s="38"/>
      <c r="UKS368" s="39"/>
      <c r="UKT368" s="34"/>
      <c r="UKU368" s="34"/>
      <c r="UKV368" s="34"/>
      <c r="UKW368" s="35"/>
      <c r="UKX368" s="35"/>
      <c r="UKY368" s="35"/>
      <c r="UKZ368" s="35"/>
      <c r="ULA368" s="35"/>
      <c r="ULB368" s="34"/>
      <c r="ULC368" s="34"/>
      <c r="ULD368" s="36"/>
      <c r="ULE368" s="36"/>
      <c r="ULF368" s="37"/>
      <c r="ULG368" s="37"/>
      <c r="ULH368" s="38"/>
      <c r="ULI368" s="38"/>
      <c r="ULJ368" s="39"/>
      <c r="ULK368" s="34"/>
      <c r="ULL368" s="34"/>
      <c r="ULM368" s="34"/>
      <c r="ULN368" s="35"/>
      <c r="ULO368" s="35"/>
      <c r="ULP368" s="35"/>
      <c r="ULQ368" s="35"/>
      <c r="ULR368" s="35"/>
      <c r="ULS368" s="34"/>
      <c r="ULT368" s="34"/>
      <c r="ULU368" s="36"/>
      <c r="ULV368" s="36"/>
      <c r="ULW368" s="37"/>
      <c r="ULX368" s="37"/>
      <c r="ULY368" s="38"/>
      <c r="ULZ368" s="38"/>
      <c r="UMA368" s="39"/>
      <c r="UMB368" s="34"/>
      <c r="UMC368" s="34"/>
      <c r="UMD368" s="34"/>
      <c r="UME368" s="35"/>
      <c r="UMF368" s="35"/>
      <c r="UMG368" s="35"/>
      <c r="UMH368" s="35"/>
      <c r="UMI368" s="35"/>
      <c r="UMJ368" s="34"/>
      <c r="UMK368" s="34"/>
      <c r="UML368" s="36"/>
      <c r="UMM368" s="36"/>
      <c r="UMN368" s="37"/>
      <c r="UMO368" s="37"/>
      <c r="UMP368" s="38"/>
      <c r="UMQ368" s="38"/>
      <c r="UMR368" s="39"/>
      <c r="UMS368" s="34"/>
      <c r="UMT368" s="34"/>
      <c r="UMU368" s="34"/>
      <c r="UMV368" s="35"/>
      <c r="UMW368" s="35"/>
      <c r="UMX368" s="35"/>
      <c r="UMY368" s="35"/>
      <c r="UMZ368" s="35"/>
      <c r="UNA368" s="34"/>
      <c r="UNB368" s="34"/>
      <c r="UNC368" s="36"/>
      <c r="UND368" s="36"/>
      <c r="UNE368" s="37"/>
      <c r="UNF368" s="37"/>
      <c r="UNG368" s="38"/>
      <c r="UNH368" s="38"/>
      <c r="UNI368" s="39"/>
      <c r="UNJ368" s="34"/>
      <c r="UNK368" s="34"/>
      <c r="UNL368" s="34"/>
      <c r="UNM368" s="35"/>
      <c r="UNN368" s="35"/>
      <c r="UNO368" s="35"/>
      <c r="UNP368" s="35"/>
      <c r="UNQ368" s="35"/>
      <c r="UNR368" s="34"/>
      <c r="UNS368" s="34"/>
      <c r="UNT368" s="36"/>
      <c r="UNU368" s="36"/>
      <c r="UNV368" s="37"/>
      <c r="UNW368" s="37"/>
      <c r="UNX368" s="38"/>
      <c r="UNY368" s="38"/>
      <c r="UNZ368" s="39"/>
      <c r="UOA368" s="34"/>
      <c r="UOB368" s="34"/>
      <c r="UOC368" s="34"/>
      <c r="UOD368" s="35"/>
      <c r="UOE368" s="35"/>
      <c r="UOF368" s="35"/>
      <c r="UOG368" s="35"/>
      <c r="UOH368" s="35"/>
      <c r="UOI368" s="34"/>
      <c r="UOJ368" s="34"/>
      <c r="UOK368" s="36"/>
      <c r="UOL368" s="36"/>
      <c r="UOM368" s="37"/>
      <c r="UON368" s="37"/>
      <c r="UOO368" s="38"/>
      <c r="UOP368" s="38"/>
      <c r="UOQ368" s="39"/>
      <c r="UOR368" s="34"/>
      <c r="UOS368" s="34"/>
      <c r="UOT368" s="34"/>
      <c r="UOU368" s="35"/>
      <c r="UOV368" s="35"/>
      <c r="UOW368" s="35"/>
      <c r="UOX368" s="35"/>
      <c r="UOY368" s="35"/>
      <c r="UOZ368" s="34"/>
      <c r="UPA368" s="34"/>
      <c r="UPB368" s="36"/>
      <c r="UPC368" s="36"/>
      <c r="UPD368" s="37"/>
      <c r="UPE368" s="37"/>
      <c r="UPF368" s="38"/>
      <c r="UPG368" s="38"/>
      <c r="UPH368" s="39"/>
      <c r="UPI368" s="34"/>
      <c r="UPJ368" s="34"/>
      <c r="UPK368" s="34"/>
      <c r="UPL368" s="35"/>
      <c r="UPM368" s="35"/>
      <c r="UPN368" s="35"/>
      <c r="UPO368" s="35"/>
      <c r="UPP368" s="35"/>
      <c r="UPQ368" s="34"/>
      <c r="UPR368" s="34"/>
      <c r="UPS368" s="36"/>
      <c r="UPT368" s="36"/>
      <c r="UPU368" s="37"/>
      <c r="UPV368" s="37"/>
      <c r="UPW368" s="38"/>
      <c r="UPX368" s="38"/>
      <c r="UPY368" s="39"/>
      <c r="UPZ368" s="34"/>
      <c r="UQA368" s="34"/>
      <c r="UQB368" s="34"/>
      <c r="UQC368" s="35"/>
      <c r="UQD368" s="35"/>
      <c r="UQE368" s="35"/>
      <c r="UQF368" s="35"/>
      <c r="UQG368" s="35"/>
      <c r="UQH368" s="34"/>
      <c r="UQI368" s="34"/>
      <c r="UQJ368" s="36"/>
      <c r="UQK368" s="36"/>
      <c r="UQL368" s="37"/>
      <c r="UQM368" s="37"/>
      <c r="UQN368" s="38"/>
      <c r="UQO368" s="38"/>
      <c r="UQP368" s="39"/>
      <c r="UQQ368" s="34"/>
      <c r="UQR368" s="34"/>
      <c r="UQS368" s="34"/>
      <c r="UQT368" s="35"/>
      <c r="UQU368" s="35"/>
      <c r="UQV368" s="35"/>
      <c r="UQW368" s="35"/>
      <c r="UQX368" s="35"/>
      <c r="UQY368" s="34"/>
      <c r="UQZ368" s="34"/>
      <c r="URA368" s="36"/>
      <c r="URB368" s="36"/>
      <c r="URC368" s="37"/>
      <c r="URD368" s="37"/>
      <c r="URE368" s="38"/>
      <c r="URF368" s="38"/>
      <c r="URG368" s="39"/>
      <c r="URH368" s="34"/>
      <c r="URI368" s="34"/>
      <c r="URJ368" s="34"/>
      <c r="URK368" s="35"/>
      <c r="URL368" s="35"/>
      <c r="URM368" s="35"/>
      <c r="URN368" s="35"/>
      <c r="URO368" s="35"/>
      <c r="URP368" s="34"/>
      <c r="URQ368" s="34"/>
      <c r="URR368" s="36"/>
      <c r="URS368" s="36"/>
      <c r="URT368" s="37"/>
      <c r="URU368" s="37"/>
      <c r="URV368" s="38"/>
      <c r="URW368" s="38"/>
      <c r="URX368" s="39"/>
      <c r="URY368" s="34"/>
      <c r="URZ368" s="34"/>
      <c r="USA368" s="34"/>
      <c r="USB368" s="35"/>
      <c r="USC368" s="35"/>
      <c r="USD368" s="35"/>
      <c r="USE368" s="35"/>
      <c r="USF368" s="35"/>
      <c r="USG368" s="34"/>
      <c r="USH368" s="34"/>
      <c r="USI368" s="36"/>
      <c r="USJ368" s="36"/>
      <c r="USK368" s="37"/>
      <c r="USL368" s="37"/>
      <c r="USM368" s="38"/>
      <c r="USN368" s="38"/>
      <c r="USO368" s="39"/>
      <c r="USP368" s="34"/>
      <c r="USQ368" s="34"/>
      <c r="USR368" s="34"/>
      <c r="USS368" s="35"/>
      <c r="UST368" s="35"/>
      <c r="USU368" s="35"/>
      <c r="USV368" s="35"/>
      <c r="USW368" s="35"/>
      <c r="USX368" s="34"/>
      <c r="USY368" s="34"/>
      <c r="USZ368" s="36"/>
      <c r="UTA368" s="36"/>
      <c r="UTB368" s="37"/>
      <c r="UTC368" s="37"/>
      <c r="UTD368" s="38"/>
      <c r="UTE368" s="38"/>
      <c r="UTF368" s="39"/>
      <c r="UTG368" s="34"/>
      <c r="UTH368" s="34"/>
      <c r="UTI368" s="34"/>
      <c r="UTJ368" s="35"/>
      <c r="UTK368" s="35"/>
      <c r="UTL368" s="35"/>
      <c r="UTM368" s="35"/>
      <c r="UTN368" s="35"/>
      <c r="UTO368" s="34"/>
      <c r="UTP368" s="34"/>
      <c r="UTQ368" s="36"/>
      <c r="UTR368" s="36"/>
      <c r="UTS368" s="37"/>
      <c r="UTT368" s="37"/>
      <c r="UTU368" s="38"/>
      <c r="UTV368" s="38"/>
      <c r="UTW368" s="39"/>
      <c r="UTX368" s="34"/>
      <c r="UTY368" s="34"/>
      <c r="UTZ368" s="34"/>
      <c r="UUA368" s="35"/>
      <c r="UUB368" s="35"/>
      <c r="UUC368" s="35"/>
      <c r="UUD368" s="35"/>
      <c r="UUE368" s="35"/>
      <c r="UUF368" s="34"/>
      <c r="UUG368" s="34"/>
      <c r="UUH368" s="36"/>
      <c r="UUI368" s="36"/>
      <c r="UUJ368" s="37"/>
      <c r="UUK368" s="37"/>
      <c r="UUL368" s="38"/>
      <c r="UUM368" s="38"/>
      <c r="UUN368" s="39"/>
      <c r="UUO368" s="34"/>
      <c r="UUP368" s="34"/>
      <c r="UUQ368" s="34"/>
      <c r="UUR368" s="35"/>
      <c r="UUS368" s="35"/>
      <c r="UUT368" s="35"/>
      <c r="UUU368" s="35"/>
      <c r="UUV368" s="35"/>
      <c r="UUW368" s="34"/>
      <c r="UUX368" s="34"/>
      <c r="UUY368" s="36"/>
      <c r="UUZ368" s="36"/>
      <c r="UVA368" s="37"/>
      <c r="UVB368" s="37"/>
      <c r="UVC368" s="38"/>
      <c r="UVD368" s="38"/>
      <c r="UVE368" s="39"/>
      <c r="UVF368" s="34"/>
      <c r="UVG368" s="34"/>
      <c r="UVH368" s="34"/>
      <c r="UVI368" s="35"/>
      <c r="UVJ368" s="35"/>
      <c r="UVK368" s="35"/>
      <c r="UVL368" s="35"/>
      <c r="UVM368" s="35"/>
      <c r="UVN368" s="34"/>
      <c r="UVO368" s="34"/>
      <c r="UVP368" s="36"/>
      <c r="UVQ368" s="36"/>
      <c r="UVR368" s="37"/>
      <c r="UVS368" s="37"/>
      <c r="UVT368" s="38"/>
      <c r="UVU368" s="38"/>
      <c r="UVV368" s="39"/>
      <c r="UVW368" s="34"/>
      <c r="UVX368" s="34"/>
      <c r="UVY368" s="34"/>
      <c r="UVZ368" s="35"/>
      <c r="UWA368" s="35"/>
      <c r="UWB368" s="35"/>
      <c r="UWC368" s="35"/>
      <c r="UWD368" s="35"/>
      <c r="UWE368" s="34"/>
      <c r="UWF368" s="34"/>
      <c r="UWG368" s="36"/>
      <c r="UWH368" s="36"/>
      <c r="UWI368" s="37"/>
      <c r="UWJ368" s="37"/>
      <c r="UWK368" s="38"/>
      <c r="UWL368" s="38"/>
      <c r="UWM368" s="39"/>
      <c r="UWN368" s="34"/>
      <c r="UWO368" s="34"/>
      <c r="UWP368" s="34"/>
      <c r="UWQ368" s="35"/>
      <c r="UWR368" s="35"/>
      <c r="UWS368" s="35"/>
      <c r="UWT368" s="35"/>
      <c r="UWU368" s="35"/>
      <c r="UWV368" s="34"/>
      <c r="UWW368" s="34"/>
      <c r="UWX368" s="36"/>
      <c r="UWY368" s="36"/>
      <c r="UWZ368" s="37"/>
      <c r="UXA368" s="37"/>
      <c r="UXB368" s="38"/>
      <c r="UXC368" s="38"/>
      <c r="UXD368" s="39"/>
      <c r="UXE368" s="34"/>
      <c r="UXF368" s="34"/>
      <c r="UXG368" s="34"/>
      <c r="UXH368" s="35"/>
      <c r="UXI368" s="35"/>
      <c r="UXJ368" s="35"/>
      <c r="UXK368" s="35"/>
      <c r="UXL368" s="35"/>
      <c r="UXM368" s="34"/>
      <c r="UXN368" s="34"/>
      <c r="UXO368" s="36"/>
      <c r="UXP368" s="36"/>
      <c r="UXQ368" s="37"/>
      <c r="UXR368" s="37"/>
      <c r="UXS368" s="38"/>
      <c r="UXT368" s="38"/>
      <c r="UXU368" s="39"/>
      <c r="UXV368" s="34"/>
      <c r="UXW368" s="34"/>
      <c r="UXX368" s="34"/>
      <c r="UXY368" s="35"/>
      <c r="UXZ368" s="35"/>
      <c r="UYA368" s="35"/>
      <c r="UYB368" s="35"/>
      <c r="UYC368" s="35"/>
      <c r="UYD368" s="34"/>
      <c r="UYE368" s="34"/>
      <c r="UYF368" s="36"/>
      <c r="UYG368" s="36"/>
      <c r="UYH368" s="37"/>
      <c r="UYI368" s="37"/>
      <c r="UYJ368" s="38"/>
      <c r="UYK368" s="38"/>
      <c r="UYL368" s="39"/>
      <c r="UYM368" s="34"/>
      <c r="UYN368" s="34"/>
      <c r="UYO368" s="34"/>
      <c r="UYP368" s="35"/>
      <c r="UYQ368" s="35"/>
      <c r="UYR368" s="35"/>
      <c r="UYS368" s="35"/>
      <c r="UYT368" s="35"/>
      <c r="UYU368" s="34"/>
      <c r="UYV368" s="34"/>
      <c r="UYW368" s="36"/>
      <c r="UYX368" s="36"/>
      <c r="UYY368" s="37"/>
      <c r="UYZ368" s="37"/>
      <c r="UZA368" s="38"/>
      <c r="UZB368" s="38"/>
      <c r="UZC368" s="39"/>
      <c r="UZD368" s="34"/>
      <c r="UZE368" s="34"/>
      <c r="UZF368" s="34"/>
      <c r="UZG368" s="35"/>
      <c r="UZH368" s="35"/>
      <c r="UZI368" s="35"/>
      <c r="UZJ368" s="35"/>
      <c r="UZK368" s="35"/>
      <c r="UZL368" s="34"/>
      <c r="UZM368" s="34"/>
      <c r="UZN368" s="36"/>
      <c r="UZO368" s="36"/>
      <c r="UZP368" s="37"/>
      <c r="UZQ368" s="37"/>
      <c r="UZR368" s="38"/>
      <c r="UZS368" s="38"/>
      <c r="UZT368" s="39"/>
      <c r="UZU368" s="34"/>
      <c r="UZV368" s="34"/>
      <c r="UZW368" s="34"/>
      <c r="UZX368" s="35"/>
      <c r="UZY368" s="35"/>
      <c r="UZZ368" s="35"/>
      <c r="VAA368" s="35"/>
      <c r="VAB368" s="35"/>
      <c r="VAC368" s="34"/>
      <c r="VAD368" s="34"/>
      <c r="VAE368" s="36"/>
      <c r="VAF368" s="36"/>
      <c r="VAG368" s="37"/>
      <c r="VAH368" s="37"/>
      <c r="VAI368" s="38"/>
      <c r="VAJ368" s="38"/>
      <c r="VAK368" s="39"/>
      <c r="VAL368" s="34"/>
      <c r="VAM368" s="34"/>
      <c r="VAN368" s="34"/>
      <c r="VAO368" s="35"/>
      <c r="VAP368" s="35"/>
      <c r="VAQ368" s="35"/>
      <c r="VAR368" s="35"/>
      <c r="VAS368" s="35"/>
      <c r="VAT368" s="34"/>
      <c r="VAU368" s="34"/>
      <c r="VAV368" s="36"/>
      <c r="VAW368" s="36"/>
      <c r="VAX368" s="37"/>
      <c r="VAY368" s="37"/>
      <c r="VAZ368" s="38"/>
      <c r="VBA368" s="38"/>
      <c r="VBB368" s="39"/>
      <c r="VBC368" s="34"/>
      <c r="VBD368" s="34"/>
      <c r="VBE368" s="34"/>
      <c r="VBF368" s="35"/>
      <c r="VBG368" s="35"/>
      <c r="VBH368" s="35"/>
      <c r="VBI368" s="35"/>
      <c r="VBJ368" s="35"/>
      <c r="VBK368" s="34"/>
      <c r="VBL368" s="34"/>
      <c r="VBM368" s="36"/>
      <c r="VBN368" s="36"/>
      <c r="VBO368" s="37"/>
      <c r="VBP368" s="37"/>
      <c r="VBQ368" s="38"/>
      <c r="VBR368" s="38"/>
      <c r="VBS368" s="39"/>
      <c r="VBT368" s="34"/>
      <c r="VBU368" s="34"/>
      <c r="VBV368" s="34"/>
      <c r="VBW368" s="35"/>
      <c r="VBX368" s="35"/>
      <c r="VBY368" s="35"/>
      <c r="VBZ368" s="35"/>
      <c r="VCA368" s="35"/>
      <c r="VCB368" s="34"/>
      <c r="VCC368" s="34"/>
      <c r="VCD368" s="36"/>
      <c r="VCE368" s="36"/>
      <c r="VCF368" s="37"/>
      <c r="VCG368" s="37"/>
      <c r="VCH368" s="38"/>
      <c r="VCI368" s="38"/>
      <c r="VCJ368" s="39"/>
      <c r="VCK368" s="34"/>
      <c r="VCL368" s="34"/>
      <c r="VCM368" s="34"/>
      <c r="VCN368" s="35"/>
      <c r="VCO368" s="35"/>
      <c r="VCP368" s="35"/>
      <c r="VCQ368" s="35"/>
      <c r="VCR368" s="35"/>
      <c r="VCS368" s="34"/>
      <c r="VCT368" s="34"/>
      <c r="VCU368" s="36"/>
      <c r="VCV368" s="36"/>
      <c r="VCW368" s="37"/>
      <c r="VCX368" s="37"/>
      <c r="VCY368" s="38"/>
      <c r="VCZ368" s="38"/>
      <c r="VDA368" s="39"/>
      <c r="VDB368" s="34"/>
      <c r="VDC368" s="34"/>
      <c r="VDD368" s="34"/>
      <c r="VDE368" s="35"/>
      <c r="VDF368" s="35"/>
      <c r="VDG368" s="35"/>
      <c r="VDH368" s="35"/>
      <c r="VDI368" s="35"/>
      <c r="VDJ368" s="34"/>
      <c r="VDK368" s="34"/>
      <c r="VDL368" s="36"/>
      <c r="VDM368" s="36"/>
      <c r="VDN368" s="37"/>
      <c r="VDO368" s="37"/>
      <c r="VDP368" s="38"/>
      <c r="VDQ368" s="38"/>
      <c r="VDR368" s="39"/>
      <c r="VDS368" s="34"/>
      <c r="VDT368" s="34"/>
      <c r="VDU368" s="34"/>
      <c r="VDV368" s="35"/>
      <c r="VDW368" s="35"/>
      <c r="VDX368" s="35"/>
      <c r="VDY368" s="35"/>
      <c r="VDZ368" s="35"/>
      <c r="VEA368" s="34"/>
      <c r="VEB368" s="34"/>
      <c r="VEC368" s="36"/>
      <c r="VED368" s="36"/>
      <c r="VEE368" s="37"/>
      <c r="VEF368" s="37"/>
      <c r="VEG368" s="38"/>
      <c r="VEH368" s="38"/>
      <c r="VEI368" s="39"/>
      <c r="VEJ368" s="34"/>
      <c r="VEK368" s="34"/>
      <c r="VEL368" s="34"/>
      <c r="VEM368" s="35"/>
      <c r="VEN368" s="35"/>
      <c r="VEO368" s="35"/>
      <c r="VEP368" s="35"/>
      <c r="VEQ368" s="35"/>
      <c r="VER368" s="34"/>
      <c r="VES368" s="34"/>
      <c r="VET368" s="36"/>
      <c r="VEU368" s="36"/>
      <c r="VEV368" s="37"/>
      <c r="VEW368" s="37"/>
      <c r="VEX368" s="38"/>
      <c r="VEY368" s="38"/>
      <c r="VEZ368" s="39"/>
      <c r="VFA368" s="34"/>
      <c r="VFB368" s="34"/>
      <c r="VFC368" s="34"/>
      <c r="VFD368" s="35"/>
      <c r="VFE368" s="35"/>
      <c r="VFF368" s="35"/>
      <c r="VFG368" s="35"/>
      <c r="VFH368" s="35"/>
      <c r="VFI368" s="34"/>
      <c r="VFJ368" s="34"/>
      <c r="VFK368" s="36"/>
      <c r="VFL368" s="36"/>
      <c r="VFM368" s="37"/>
      <c r="VFN368" s="37"/>
      <c r="VFO368" s="38"/>
      <c r="VFP368" s="38"/>
      <c r="VFQ368" s="39"/>
      <c r="VFR368" s="34"/>
      <c r="VFS368" s="34"/>
      <c r="VFT368" s="34"/>
      <c r="VFU368" s="35"/>
      <c r="VFV368" s="35"/>
      <c r="VFW368" s="35"/>
      <c r="VFX368" s="35"/>
      <c r="VFY368" s="35"/>
      <c r="VFZ368" s="34"/>
      <c r="VGA368" s="34"/>
      <c r="VGB368" s="36"/>
      <c r="VGC368" s="36"/>
      <c r="VGD368" s="37"/>
      <c r="VGE368" s="37"/>
      <c r="VGF368" s="38"/>
      <c r="VGG368" s="38"/>
      <c r="VGH368" s="39"/>
      <c r="VGI368" s="34"/>
      <c r="VGJ368" s="34"/>
      <c r="VGK368" s="34"/>
      <c r="VGL368" s="35"/>
      <c r="VGM368" s="35"/>
      <c r="VGN368" s="35"/>
      <c r="VGO368" s="35"/>
      <c r="VGP368" s="35"/>
      <c r="VGQ368" s="34"/>
      <c r="VGR368" s="34"/>
      <c r="VGS368" s="36"/>
      <c r="VGT368" s="36"/>
      <c r="VGU368" s="37"/>
      <c r="VGV368" s="37"/>
      <c r="VGW368" s="38"/>
      <c r="VGX368" s="38"/>
      <c r="VGY368" s="39"/>
      <c r="VGZ368" s="34"/>
      <c r="VHA368" s="34"/>
      <c r="VHB368" s="34"/>
      <c r="VHC368" s="35"/>
      <c r="VHD368" s="35"/>
      <c r="VHE368" s="35"/>
      <c r="VHF368" s="35"/>
      <c r="VHG368" s="35"/>
      <c r="VHH368" s="34"/>
      <c r="VHI368" s="34"/>
      <c r="VHJ368" s="36"/>
      <c r="VHK368" s="36"/>
      <c r="VHL368" s="37"/>
      <c r="VHM368" s="37"/>
      <c r="VHN368" s="38"/>
      <c r="VHO368" s="38"/>
      <c r="VHP368" s="39"/>
      <c r="VHQ368" s="34"/>
      <c r="VHR368" s="34"/>
      <c r="VHS368" s="34"/>
      <c r="VHT368" s="35"/>
      <c r="VHU368" s="35"/>
      <c r="VHV368" s="35"/>
      <c r="VHW368" s="35"/>
      <c r="VHX368" s="35"/>
      <c r="VHY368" s="34"/>
      <c r="VHZ368" s="34"/>
      <c r="VIA368" s="36"/>
      <c r="VIB368" s="36"/>
      <c r="VIC368" s="37"/>
      <c r="VID368" s="37"/>
      <c r="VIE368" s="38"/>
      <c r="VIF368" s="38"/>
      <c r="VIG368" s="39"/>
      <c r="VIH368" s="34"/>
      <c r="VII368" s="34"/>
      <c r="VIJ368" s="34"/>
      <c r="VIK368" s="35"/>
      <c r="VIL368" s="35"/>
      <c r="VIM368" s="35"/>
      <c r="VIN368" s="35"/>
      <c r="VIO368" s="35"/>
      <c r="VIP368" s="34"/>
      <c r="VIQ368" s="34"/>
      <c r="VIR368" s="36"/>
      <c r="VIS368" s="36"/>
      <c r="VIT368" s="37"/>
      <c r="VIU368" s="37"/>
      <c r="VIV368" s="38"/>
      <c r="VIW368" s="38"/>
      <c r="VIX368" s="39"/>
      <c r="VIY368" s="34"/>
      <c r="VIZ368" s="34"/>
      <c r="VJA368" s="34"/>
      <c r="VJB368" s="35"/>
      <c r="VJC368" s="35"/>
      <c r="VJD368" s="35"/>
      <c r="VJE368" s="35"/>
      <c r="VJF368" s="35"/>
      <c r="VJG368" s="34"/>
      <c r="VJH368" s="34"/>
      <c r="VJI368" s="36"/>
      <c r="VJJ368" s="36"/>
      <c r="VJK368" s="37"/>
      <c r="VJL368" s="37"/>
      <c r="VJM368" s="38"/>
      <c r="VJN368" s="38"/>
      <c r="VJO368" s="39"/>
      <c r="VJP368" s="34"/>
      <c r="VJQ368" s="34"/>
      <c r="VJR368" s="34"/>
      <c r="VJS368" s="35"/>
      <c r="VJT368" s="35"/>
      <c r="VJU368" s="35"/>
      <c r="VJV368" s="35"/>
      <c r="VJW368" s="35"/>
      <c r="VJX368" s="34"/>
      <c r="VJY368" s="34"/>
      <c r="VJZ368" s="36"/>
      <c r="VKA368" s="36"/>
      <c r="VKB368" s="37"/>
      <c r="VKC368" s="37"/>
      <c r="VKD368" s="38"/>
      <c r="VKE368" s="38"/>
      <c r="VKF368" s="39"/>
      <c r="VKG368" s="34"/>
      <c r="VKH368" s="34"/>
      <c r="VKI368" s="34"/>
      <c r="VKJ368" s="35"/>
      <c r="VKK368" s="35"/>
      <c r="VKL368" s="35"/>
      <c r="VKM368" s="35"/>
      <c r="VKN368" s="35"/>
      <c r="VKO368" s="34"/>
      <c r="VKP368" s="34"/>
      <c r="VKQ368" s="36"/>
      <c r="VKR368" s="36"/>
      <c r="VKS368" s="37"/>
      <c r="VKT368" s="37"/>
      <c r="VKU368" s="38"/>
      <c r="VKV368" s="38"/>
      <c r="VKW368" s="39"/>
      <c r="VKX368" s="34"/>
      <c r="VKY368" s="34"/>
      <c r="VKZ368" s="34"/>
      <c r="VLA368" s="35"/>
      <c r="VLB368" s="35"/>
      <c r="VLC368" s="35"/>
      <c r="VLD368" s="35"/>
      <c r="VLE368" s="35"/>
      <c r="VLF368" s="34"/>
      <c r="VLG368" s="34"/>
      <c r="VLH368" s="36"/>
      <c r="VLI368" s="36"/>
      <c r="VLJ368" s="37"/>
      <c r="VLK368" s="37"/>
      <c r="VLL368" s="38"/>
      <c r="VLM368" s="38"/>
      <c r="VLN368" s="39"/>
      <c r="VLO368" s="34"/>
      <c r="VLP368" s="34"/>
      <c r="VLQ368" s="34"/>
      <c r="VLR368" s="35"/>
      <c r="VLS368" s="35"/>
      <c r="VLT368" s="35"/>
      <c r="VLU368" s="35"/>
      <c r="VLV368" s="35"/>
      <c r="VLW368" s="34"/>
      <c r="VLX368" s="34"/>
      <c r="VLY368" s="36"/>
      <c r="VLZ368" s="36"/>
      <c r="VMA368" s="37"/>
      <c r="VMB368" s="37"/>
      <c r="VMC368" s="38"/>
      <c r="VMD368" s="38"/>
      <c r="VME368" s="39"/>
      <c r="VMF368" s="34"/>
      <c r="VMG368" s="34"/>
      <c r="VMH368" s="34"/>
      <c r="VMI368" s="35"/>
      <c r="VMJ368" s="35"/>
      <c r="VMK368" s="35"/>
      <c r="VML368" s="35"/>
      <c r="VMM368" s="35"/>
      <c r="VMN368" s="34"/>
      <c r="VMO368" s="34"/>
      <c r="VMP368" s="36"/>
      <c r="VMQ368" s="36"/>
      <c r="VMR368" s="37"/>
      <c r="VMS368" s="37"/>
      <c r="VMT368" s="38"/>
      <c r="VMU368" s="38"/>
      <c r="VMV368" s="39"/>
      <c r="VMW368" s="34"/>
      <c r="VMX368" s="34"/>
      <c r="VMY368" s="34"/>
      <c r="VMZ368" s="35"/>
      <c r="VNA368" s="35"/>
      <c r="VNB368" s="35"/>
      <c r="VNC368" s="35"/>
      <c r="VND368" s="35"/>
      <c r="VNE368" s="34"/>
      <c r="VNF368" s="34"/>
      <c r="VNG368" s="36"/>
      <c r="VNH368" s="36"/>
      <c r="VNI368" s="37"/>
      <c r="VNJ368" s="37"/>
      <c r="VNK368" s="38"/>
      <c r="VNL368" s="38"/>
      <c r="VNM368" s="39"/>
      <c r="VNN368" s="34"/>
      <c r="VNO368" s="34"/>
      <c r="VNP368" s="34"/>
      <c r="VNQ368" s="35"/>
      <c r="VNR368" s="35"/>
      <c r="VNS368" s="35"/>
      <c r="VNT368" s="35"/>
      <c r="VNU368" s="35"/>
      <c r="VNV368" s="34"/>
      <c r="VNW368" s="34"/>
      <c r="VNX368" s="36"/>
      <c r="VNY368" s="36"/>
      <c r="VNZ368" s="37"/>
      <c r="VOA368" s="37"/>
      <c r="VOB368" s="38"/>
      <c r="VOC368" s="38"/>
      <c r="VOD368" s="39"/>
      <c r="VOE368" s="34"/>
      <c r="VOF368" s="34"/>
      <c r="VOG368" s="34"/>
      <c r="VOH368" s="35"/>
      <c r="VOI368" s="35"/>
      <c r="VOJ368" s="35"/>
      <c r="VOK368" s="35"/>
      <c r="VOL368" s="35"/>
      <c r="VOM368" s="34"/>
      <c r="VON368" s="34"/>
      <c r="VOO368" s="36"/>
      <c r="VOP368" s="36"/>
      <c r="VOQ368" s="37"/>
      <c r="VOR368" s="37"/>
      <c r="VOS368" s="38"/>
      <c r="VOT368" s="38"/>
      <c r="VOU368" s="39"/>
      <c r="VOV368" s="34"/>
      <c r="VOW368" s="34"/>
      <c r="VOX368" s="34"/>
      <c r="VOY368" s="35"/>
      <c r="VOZ368" s="35"/>
      <c r="VPA368" s="35"/>
      <c r="VPB368" s="35"/>
      <c r="VPC368" s="35"/>
      <c r="VPD368" s="34"/>
      <c r="VPE368" s="34"/>
      <c r="VPF368" s="36"/>
      <c r="VPG368" s="36"/>
      <c r="VPH368" s="37"/>
      <c r="VPI368" s="37"/>
      <c r="VPJ368" s="38"/>
      <c r="VPK368" s="38"/>
      <c r="VPL368" s="39"/>
      <c r="VPM368" s="34"/>
      <c r="VPN368" s="34"/>
      <c r="VPO368" s="34"/>
      <c r="VPP368" s="35"/>
      <c r="VPQ368" s="35"/>
      <c r="VPR368" s="35"/>
      <c r="VPS368" s="35"/>
      <c r="VPT368" s="35"/>
      <c r="VPU368" s="34"/>
      <c r="VPV368" s="34"/>
      <c r="VPW368" s="36"/>
      <c r="VPX368" s="36"/>
      <c r="VPY368" s="37"/>
      <c r="VPZ368" s="37"/>
      <c r="VQA368" s="38"/>
      <c r="VQB368" s="38"/>
      <c r="VQC368" s="39"/>
      <c r="VQD368" s="34"/>
      <c r="VQE368" s="34"/>
      <c r="VQF368" s="34"/>
      <c r="VQG368" s="35"/>
      <c r="VQH368" s="35"/>
      <c r="VQI368" s="35"/>
      <c r="VQJ368" s="35"/>
      <c r="VQK368" s="35"/>
      <c r="VQL368" s="34"/>
      <c r="VQM368" s="34"/>
      <c r="VQN368" s="36"/>
      <c r="VQO368" s="36"/>
      <c r="VQP368" s="37"/>
      <c r="VQQ368" s="37"/>
      <c r="VQR368" s="38"/>
      <c r="VQS368" s="38"/>
      <c r="VQT368" s="39"/>
      <c r="VQU368" s="34"/>
      <c r="VQV368" s="34"/>
      <c r="VQW368" s="34"/>
      <c r="VQX368" s="35"/>
      <c r="VQY368" s="35"/>
      <c r="VQZ368" s="35"/>
      <c r="VRA368" s="35"/>
      <c r="VRB368" s="35"/>
      <c r="VRC368" s="34"/>
      <c r="VRD368" s="34"/>
      <c r="VRE368" s="36"/>
      <c r="VRF368" s="36"/>
      <c r="VRG368" s="37"/>
      <c r="VRH368" s="37"/>
      <c r="VRI368" s="38"/>
      <c r="VRJ368" s="38"/>
      <c r="VRK368" s="39"/>
      <c r="VRL368" s="34"/>
      <c r="VRM368" s="34"/>
      <c r="VRN368" s="34"/>
      <c r="VRO368" s="35"/>
      <c r="VRP368" s="35"/>
      <c r="VRQ368" s="35"/>
      <c r="VRR368" s="35"/>
      <c r="VRS368" s="35"/>
      <c r="VRT368" s="34"/>
      <c r="VRU368" s="34"/>
      <c r="VRV368" s="36"/>
      <c r="VRW368" s="36"/>
      <c r="VRX368" s="37"/>
      <c r="VRY368" s="37"/>
      <c r="VRZ368" s="38"/>
      <c r="VSA368" s="38"/>
      <c r="VSB368" s="39"/>
      <c r="VSC368" s="34"/>
      <c r="VSD368" s="34"/>
      <c r="VSE368" s="34"/>
      <c r="VSF368" s="35"/>
      <c r="VSG368" s="35"/>
      <c r="VSH368" s="35"/>
      <c r="VSI368" s="35"/>
      <c r="VSJ368" s="35"/>
      <c r="VSK368" s="34"/>
      <c r="VSL368" s="34"/>
      <c r="VSM368" s="36"/>
      <c r="VSN368" s="36"/>
      <c r="VSO368" s="37"/>
      <c r="VSP368" s="37"/>
      <c r="VSQ368" s="38"/>
      <c r="VSR368" s="38"/>
      <c r="VSS368" s="39"/>
      <c r="VST368" s="34"/>
      <c r="VSU368" s="34"/>
      <c r="VSV368" s="34"/>
      <c r="VSW368" s="35"/>
      <c r="VSX368" s="35"/>
      <c r="VSY368" s="35"/>
      <c r="VSZ368" s="35"/>
      <c r="VTA368" s="35"/>
      <c r="VTB368" s="34"/>
      <c r="VTC368" s="34"/>
      <c r="VTD368" s="36"/>
      <c r="VTE368" s="36"/>
      <c r="VTF368" s="37"/>
      <c r="VTG368" s="37"/>
      <c r="VTH368" s="38"/>
      <c r="VTI368" s="38"/>
      <c r="VTJ368" s="39"/>
      <c r="VTK368" s="34"/>
      <c r="VTL368" s="34"/>
      <c r="VTM368" s="34"/>
      <c r="VTN368" s="35"/>
      <c r="VTO368" s="35"/>
      <c r="VTP368" s="35"/>
      <c r="VTQ368" s="35"/>
      <c r="VTR368" s="35"/>
      <c r="VTS368" s="34"/>
      <c r="VTT368" s="34"/>
      <c r="VTU368" s="36"/>
      <c r="VTV368" s="36"/>
      <c r="VTW368" s="37"/>
      <c r="VTX368" s="37"/>
      <c r="VTY368" s="38"/>
      <c r="VTZ368" s="38"/>
      <c r="VUA368" s="39"/>
      <c r="VUB368" s="34"/>
      <c r="VUC368" s="34"/>
      <c r="VUD368" s="34"/>
      <c r="VUE368" s="35"/>
      <c r="VUF368" s="35"/>
      <c r="VUG368" s="35"/>
      <c r="VUH368" s="35"/>
      <c r="VUI368" s="35"/>
      <c r="VUJ368" s="34"/>
      <c r="VUK368" s="34"/>
      <c r="VUL368" s="36"/>
      <c r="VUM368" s="36"/>
      <c r="VUN368" s="37"/>
      <c r="VUO368" s="37"/>
      <c r="VUP368" s="38"/>
      <c r="VUQ368" s="38"/>
      <c r="VUR368" s="39"/>
      <c r="VUS368" s="34"/>
      <c r="VUT368" s="34"/>
      <c r="VUU368" s="34"/>
      <c r="VUV368" s="35"/>
      <c r="VUW368" s="35"/>
      <c r="VUX368" s="35"/>
      <c r="VUY368" s="35"/>
      <c r="VUZ368" s="35"/>
      <c r="VVA368" s="34"/>
      <c r="VVB368" s="34"/>
      <c r="VVC368" s="36"/>
      <c r="VVD368" s="36"/>
      <c r="VVE368" s="37"/>
      <c r="VVF368" s="37"/>
      <c r="VVG368" s="38"/>
      <c r="VVH368" s="38"/>
      <c r="VVI368" s="39"/>
      <c r="VVJ368" s="34"/>
      <c r="VVK368" s="34"/>
      <c r="VVL368" s="34"/>
      <c r="VVM368" s="35"/>
      <c r="VVN368" s="35"/>
      <c r="VVO368" s="35"/>
      <c r="VVP368" s="35"/>
      <c r="VVQ368" s="35"/>
      <c r="VVR368" s="34"/>
      <c r="VVS368" s="34"/>
      <c r="VVT368" s="36"/>
      <c r="VVU368" s="36"/>
      <c r="VVV368" s="37"/>
      <c r="VVW368" s="37"/>
      <c r="VVX368" s="38"/>
      <c r="VVY368" s="38"/>
      <c r="VVZ368" s="39"/>
      <c r="VWA368" s="34"/>
      <c r="VWB368" s="34"/>
      <c r="VWC368" s="34"/>
      <c r="VWD368" s="35"/>
      <c r="VWE368" s="35"/>
      <c r="VWF368" s="35"/>
      <c r="VWG368" s="35"/>
      <c r="VWH368" s="35"/>
      <c r="VWI368" s="34"/>
      <c r="VWJ368" s="34"/>
      <c r="VWK368" s="36"/>
      <c r="VWL368" s="36"/>
      <c r="VWM368" s="37"/>
      <c r="VWN368" s="37"/>
      <c r="VWO368" s="38"/>
      <c r="VWP368" s="38"/>
      <c r="VWQ368" s="39"/>
      <c r="VWR368" s="34"/>
      <c r="VWS368" s="34"/>
      <c r="VWT368" s="34"/>
      <c r="VWU368" s="35"/>
      <c r="VWV368" s="35"/>
      <c r="VWW368" s="35"/>
      <c r="VWX368" s="35"/>
      <c r="VWY368" s="35"/>
      <c r="VWZ368" s="34"/>
      <c r="VXA368" s="34"/>
      <c r="VXB368" s="36"/>
      <c r="VXC368" s="36"/>
      <c r="VXD368" s="37"/>
      <c r="VXE368" s="37"/>
      <c r="VXF368" s="38"/>
      <c r="VXG368" s="38"/>
      <c r="VXH368" s="39"/>
      <c r="VXI368" s="34"/>
      <c r="VXJ368" s="34"/>
      <c r="VXK368" s="34"/>
      <c r="VXL368" s="35"/>
      <c r="VXM368" s="35"/>
      <c r="VXN368" s="35"/>
      <c r="VXO368" s="35"/>
      <c r="VXP368" s="35"/>
      <c r="VXQ368" s="34"/>
      <c r="VXR368" s="34"/>
      <c r="VXS368" s="36"/>
      <c r="VXT368" s="36"/>
      <c r="VXU368" s="37"/>
      <c r="VXV368" s="37"/>
      <c r="VXW368" s="38"/>
      <c r="VXX368" s="38"/>
      <c r="VXY368" s="39"/>
      <c r="VXZ368" s="34"/>
      <c r="VYA368" s="34"/>
      <c r="VYB368" s="34"/>
      <c r="VYC368" s="35"/>
      <c r="VYD368" s="35"/>
      <c r="VYE368" s="35"/>
      <c r="VYF368" s="35"/>
      <c r="VYG368" s="35"/>
      <c r="VYH368" s="34"/>
      <c r="VYI368" s="34"/>
      <c r="VYJ368" s="36"/>
      <c r="VYK368" s="36"/>
      <c r="VYL368" s="37"/>
      <c r="VYM368" s="37"/>
      <c r="VYN368" s="38"/>
      <c r="VYO368" s="38"/>
      <c r="VYP368" s="39"/>
      <c r="VYQ368" s="34"/>
      <c r="VYR368" s="34"/>
      <c r="VYS368" s="34"/>
      <c r="VYT368" s="35"/>
      <c r="VYU368" s="35"/>
      <c r="VYV368" s="35"/>
      <c r="VYW368" s="35"/>
      <c r="VYX368" s="35"/>
      <c r="VYY368" s="34"/>
      <c r="VYZ368" s="34"/>
      <c r="VZA368" s="36"/>
      <c r="VZB368" s="36"/>
      <c r="VZC368" s="37"/>
      <c r="VZD368" s="37"/>
      <c r="VZE368" s="38"/>
      <c r="VZF368" s="38"/>
      <c r="VZG368" s="39"/>
      <c r="VZH368" s="34"/>
      <c r="VZI368" s="34"/>
      <c r="VZJ368" s="34"/>
      <c r="VZK368" s="35"/>
      <c r="VZL368" s="35"/>
      <c r="VZM368" s="35"/>
      <c r="VZN368" s="35"/>
      <c r="VZO368" s="35"/>
      <c r="VZP368" s="34"/>
      <c r="VZQ368" s="34"/>
      <c r="VZR368" s="36"/>
      <c r="VZS368" s="36"/>
      <c r="VZT368" s="37"/>
      <c r="VZU368" s="37"/>
      <c r="VZV368" s="38"/>
      <c r="VZW368" s="38"/>
      <c r="VZX368" s="39"/>
      <c r="VZY368" s="34"/>
      <c r="VZZ368" s="34"/>
      <c r="WAA368" s="34"/>
      <c r="WAB368" s="35"/>
      <c r="WAC368" s="35"/>
      <c r="WAD368" s="35"/>
      <c r="WAE368" s="35"/>
      <c r="WAF368" s="35"/>
      <c r="WAG368" s="34"/>
      <c r="WAH368" s="34"/>
      <c r="WAI368" s="36"/>
      <c r="WAJ368" s="36"/>
      <c r="WAK368" s="37"/>
      <c r="WAL368" s="37"/>
      <c r="WAM368" s="38"/>
      <c r="WAN368" s="38"/>
      <c r="WAO368" s="39"/>
      <c r="WAP368" s="34"/>
      <c r="WAQ368" s="34"/>
      <c r="WAR368" s="34"/>
      <c r="WAS368" s="35"/>
      <c r="WAT368" s="35"/>
      <c r="WAU368" s="35"/>
      <c r="WAV368" s="35"/>
      <c r="WAW368" s="35"/>
      <c r="WAX368" s="34"/>
      <c r="WAY368" s="34"/>
      <c r="WAZ368" s="36"/>
      <c r="WBA368" s="36"/>
      <c r="WBB368" s="37"/>
      <c r="WBC368" s="37"/>
      <c r="WBD368" s="38"/>
      <c r="WBE368" s="38"/>
      <c r="WBF368" s="39"/>
      <c r="WBG368" s="34"/>
      <c r="WBH368" s="34"/>
      <c r="WBI368" s="34"/>
      <c r="WBJ368" s="35"/>
      <c r="WBK368" s="35"/>
      <c r="WBL368" s="35"/>
      <c r="WBM368" s="35"/>
      <c r="WBN368" s="35"/>
      <c r="WBO368" s="34"/>
      <c r="WBP368" s="34"/>
      <c r="WBQ368" s="36"/>
      <c r="WBR368" s="36"/>
      <c r="WBS368" s="37"/>
      <c r="WBT368" s="37"/>
      <c r="WBU368" s="38"/>
      <c r="WBV368" s="38"/>
      <c r="WBW368" s="39"/>
      <c r="WBX368" s="34"/>
      <c r="WBY368" s="34"/>
      <c r="WBZ368" s="34"/>
      <c r="WCA368" s="35"/>
      <c r="WCB368" s="35"/>
      <c r="WCC368" s="35"/>
      <c r="WCD368" s="35"/>
      <c r="WCE368" s="35"/>
      <c r="WCF368" s="34"/>
      <c r="WCG368" s="34"/>
      <c r="WCH368" s="36"/>
      <c r="WCI368" s="36"/>
      <c r="WCJ368" s="37"/>
      <c r="WCK368" s="37"/>
      <c r="WCL368" s="38"/>
      <c r="WCM368" s="38"/>
      <c r="WCN368" s="39"/>
      <c r="WCO368" s="34"/>
      <c r="WCP368" s="34"/>
      <c r="WCQ368" s="34"/>
      <c r="WCR368" s="35"/>
      <c r="WCS368" s="35"/>
      <c r="WCT368" s="35"/>
      <c r="WCU368" s="35"/>
      <c r="WCV368" s="35"/>
      <c r="WCW368" s="34"/>
      <c r="WCX368" s="34"/>
      <c r="WCY368" s="36"/>
      <c r="WCZ368" s="36"/>
      <c r="WDA368" s="37"/>
      <c r="WDB368" s="37"/>
      <c r="WDC368" s="38"/>
      <c r="WDD368" s="38"/>
      <c r="WDE368" s="39"/>
      <c r="WDF368" s="34"/>
      <c r="WDG368" s="34"/>
      <c r="WDH368" s="34"/>
      <c r="WDI368" s="35"/>
      <c r="WDJ368" s="35"/>
      <c r="WDK368" s="35"/>
      <c r="WDL368" s="35"/>
      <c r="WDM368" s="35"/>
      <c r="WDN368" s="34"/>
      <c r="WDO368" s="34"/>
      <c r="WDP368" s="36"/>
      <c r="WDQ368" s="36"/>
      <c r="WDR368" s="37"/>
      <c r="WDS368" s="37"/>
      <c r="WDT368" s="38"/>
      <c r="WDU368" s="38"/>
      <c r="WDV368" s="39"/>
      <c r="WDW368" s="34"/>
      <c r="WDX368" s="34"/>
      <c r="WDY368" s="34"/>
      <c r="WDZ368" s="35"/>
      <c r="WEA368" s="35"/>
      <c r="WEB368" s="35"/>
      <c r="WEC368" s="35"/>
      <c r="WED368" s="35"/>
      <c r="WEE368" s="34"/>
      <c r="WEF368" s="34"/>
      <c r="WEG368" s="36"/>
      <c r="WEH368" s="36"/>
      <c r="WEI368" s="37"/>
      <c r="WEJ368" s="37"/>
      <c r="WEK368" s="38"/>
      <c r="WEL368" s="38"/>
      <c r="WEM368" s="39"/>
      <c r="WEN368" s="34"/>
      <c r="WEO368" s="34"/>
      <c r="WEP368" s="34"/>
      <c r="WEQ368" s="35"/>
      <c r="WER368" s="35"/>
      <c r="WES368" s="35"/>
      <c r="WET368" s="35"/>
      <c r="WEU368" s="35"/>
      <c r="WEV368" s="34"/>
      <c r="WEW368" s="34"/>
      <c r="WEX368" s="36"/>
      <c r="WEY368" s="36"/>
      <c r="WEZ368" s="37"/>
      <c r="WFA368" s="37"/>
      <c r="WFB368" s="38"/>
      <c r="WFC368" s="38"/>
      <c r="WFD368" s="39"/>
      <c r="WFE368" s="34"/>
      <c r="WFF368" s="34"/>
      <c r="WFG368" s="34"/>
      <c r="WFH368" s="35"/>
      <c r="WFI368" s="35"/>
      <c r="WFJ368" s="35"/>
      <c r="WFK368" s="35"/>
      <c r="WFL368" s="35"/>
      <c r="WFM368" s="34"/>
      <c r="WFN368" s="34"/>
      <c r="WFO368" s="36"/>
      <c r="WFP368" s="36"/>
      <c r="WFQ368" s="37"/>
      <c r="WFR368" s="37"/>
      <c r="WFS368" s="38"/>
      <c r="WFT368" s="38"/>
      <c r="WFU368" s="39"/>
      <c r="WFV368" s="34"/>
      <c r="WFW368" s="34"/>
      <c r="WFX368" s="34"/>
      <c r="WFY368" s="35"/>
      <c r="WFZ368" s="35"/>
      <c r="WGA368" s="35"/>
      <c r="WGB368" s="35"/>
      <c r="WGC368" s="35"/>
      <c r="WGD368" s="34"/>
      <c r="WGE368" s="34"/>
      <c r="WGF368" s="36"/>
      <c r="WGG368" s="36"/>
      <c r="WGH368" s="37"/>
      <c r="WGI368" s="37"/>
      <c r="WGJ368" s="38"/>
      <c r="WGK368" s="38"/>
      <c r="WGL368" s="39"/>
      <c r="WGM368" s="34"/>
      <c r="WGN368" s="34"/>
      <c r="WGO368" s="34"/>
      <c r="WGP368" s="35"/>
      <c r="WGQ368" s="35"/>
      <c r="WGR368" s="35"/>
      <c r="WGS368" s="35"/>
      <c r="WGT368" s="35"/>
      <c r="WGU368" s="34"/>
      <c r="WGV368" s="34"/>
      <c r="WGW368" s="36"/>
      <c r="WGX368" s="36"/>
      <c r="WGY368" s="37"/>
      <c r="WGZ368" s="37"/>
      <c r="WHA368" s="38"/>
      <c r="WHB368" s="38"/>
      <c r="WHC368" s="39"/>
      <c r="WHD368" s="34"/>
      <c r="WHE368" s="34"/>
      <c r="WHF368" s="34"/>
      <c r="WHG368" s="35"/>
      <c r="WHH368" s="35"/>
      <c r="WHI368" s="35"/>
      <c r="WHJ368" s="35"/>
      <c r="WHK368" s="35"/>
      <c r="WHL368" s="34"/>
      <c r="WHM368" s="34"/>
      <c r="WHN368" s="36"/>
      <c r="WHO368" s="36"/>
      <c r="WHP368" s="37"/>
      <c r="WHQ368" s="37"/>
      <c r="WHR368" s="38"/>
      <c r="WHS368" s="38"/>
      <c r="WHT368" s="39"/>
      <c r="WHU368" s="34"/>
      <c r="WHV368" s="34"/>
      <c r="WHW368" s="34"/>
      <c r="WHX368" s="35"/>
      <c r="WHY368" s="35"/>
      <c r="WHZ368" s="35"/>
      <c r="WIA368" s="35"/>
      <c r="WIB368" s="35"/>
      <c r="WIC368" s="34"/>
      <c r="WID368" s="34"/>
      <c r="WIE368" s="36"/>
      <c r="WIF368" s="36"/>
      <c r="WIG368" s="37"/>
      <c r="WIH368" s="37"/>
      <c r="WII368" s="38"/>
      <c r="WIJ368" s="38"/>
      <c r="WIK368" s="39"/>
      <c r="WIL368" s="34"/>
      <c r="WIM368" s="34"/>
      <c r="WIN368" s="34"/>
      <c r="WIO368" s="35"/>
      <c r="WIP368" s="35"/>
      <c r="WIQ368" s="35"/>
      <c r="WIR368" s="35"/>
      <c r="WIS368" s="35"/>
      <c r="WIT368" s="34"/>
      <c r="WIU368" s="34"/>
      <c r="WIV368" s="36"/>
      <c r="WIW368" s="36"/>
      <c r="WIX368" s="37"/>
      <c r="WIY368" s="37"/>
      <c r="WIZ368" s="38"/>
      <c r="WJA368" s="38"/>
      <c r="WJB368" s="39"/>
      <c r="WJC368" s="34"/>
      <c r="WJD368" s="34"/>
      <c r="WJE368" s="34"/>
      <c r="WJF368" s="35"/>
      <c r="WJG368" s="35"/>
      <c r="WJH368" s="35"/>
      <c r="WJI368" s="35"/>
      <c r="WJJ368" s="35"/>
      <c r="WJK368" s="34"/>
      <c r="WJL368" s="34"/>
      <c r="WJM368" s="36"/>
      <c r="WJN368" s="36"/>
      <c r="WJO368" s="37"/>
      <c r="WJP368" s="37"/>
      <c r="WJQ368" s="38"/>
      <c r="WJR368" s="38"/>
      <c r="WJS368" s="39"/>
      <c r="WJT368" s="34"/>
      <c r="WJU368" s="34"/>
      <c r="WJV368" s="34"/>
      <c r="WJW368" s="35"/>
      <c r="WJX368" s="35"/>
      <c r="WJY368" s="35"/>
      <c r="WJZ368" s="35"/>
      <c r="WKA368" s="35"/>
      <c r="WKB368" s="34"/>
      <c r="WKC368" s="34"/>
      <c r="WKD368" s="36"/>
      <c r="WKE368" s="36"/>
      <c r="WKF368" s="37"/>
      <c r="WKG368" s="37"/>
      <c r="WKH368" s="38"/>
      <c r="WKI368" s="38"/>
      <c r="WKJ368" s="39"/>
      <c r="WKK368" s="34"/>
      <c r="WKL368" s="34"/>
      <c r="WKM368" s="34"/>
      <c r="WKN368" s="35"/>
      <c r="WKO368" s="35"/>
      <c r="WKP368" s="35"/>
      <c r="WKQ368" s="35"/>
      <c r="WKR368" s="35"/>
      <c r="WKS368" s="34"/>
      <c r="WKT368" s="34"/>
      <c r="WKU368" s="36"/>
      <c r="WKV368" s="36"/>
      <c r="WKW368" s="37"/>
      <c r="WKX368" s="37"/>
      <c r="WKY368" s="38"/>
      <c r="WKZ368" s="38"/>
      <c r="WLA368" s="39"/>
      <c r="WLB368" s="34"/>
      <c r="WLC368" s="34"/>
      <c r="WLD368" s="34"/>
      <c r="WLE368" s="35"/>
      <c r="WLF368" s="35"/>
      <c r="WLG368" s="35"/>
      <c r="WLH368" s="35"/>
      <c r="WLI368" s="35"/>
      <c r="WLJ368" s="34"/>
      <c r="WLK368" s="34"/>
      <c r="WLL368" s="36"/>
      <c r="WLM368" s="36"/>
      <c r="WLN368" s="37"/>
      <c r="WLO368" s="37"/>
      <c r="WLP368" s="38"/>
      <c r="WLQ368" s="38"/>
      <c r="WLR368" s="39"/>
      <c r="WLS368" s="34"/>
      <c r="WLT368" s="34"/>
      <c r="WLU368" s="34"/>
      <c r="WLV368" s="35"/>
      <c r="WLW368" s="35"/>
      <c r="WLX368" s="35"/>
      <c r="WLY368" s="35"/>
      <c r="WLZ368" s="35"/>
      <c r="WMA368" s="34"/>
      <c r="WMB368" s="34"/>
      <c r="WMC368" s="36"/>
      <c r="WMD368" s="36"/>
      <c r="WME368" s="37"/>
      <c r="WMF368" s="37"/>
      <c r="WMG368" s="38"/>
      <c r="WMH368" s="38"/>
      <c r="WMI368" s="39"/>
      <c r="WMJ368" s="34"/>
      <c r="WMK368" s="34"/>
      <c r="WML368" s="34"/>
      <c r="WMM368" s="35"/>
      <c r="WMN368" s="35"/>
      <c r="WMO368" s="35"/>
      <c r="WMP368" s="35"/>
      <c r="WMQ368" s="35"/>
      <c r="WMR368" s="34"/>
      <c r="WMS368" s="34"/>
      <c r="WMT368" s="36"/>
      <c r="WMU368" s="36"/>
      <c r="WMV368" s="37"/>
      <c r="WMW368" s="37"/>
      <c r="WMX368" s="38"/>
      <c r="WMY368" s="38"/>
      <c r="WMZ368" s="39"/>
      <c r="WNA368" s="34"/>
      <c r="WNB368" s="34"/>
      <c r="WNC368" s="34"/>
      <c r="WND368" s="35"/>
      <c r="WNE368" s="35"/>
      <c r="WNF368" s="35"/>
      <c r="WNG368" s="35"/>
      <c r="WNH368" s="35"/>
      <c r="WNI368" s="34"/>
      <c r="WNJ368" s="34"/>
      <c r="WNK368" s="36"/>
      <c r="WNL368" s="36"/>
      <c r="WNM368" s="37"/>
      <c r="WNN368" s="37"/>
      <c r="WNO368" s="38"/>
      <c r="WNP368" s="38"/>
      <c r="WNQ368" s="39"/>
      <c r="WNR368" s="34"/>
      <c r="WNS368" s="34"/>
      <c r="WNT368" s="34"/>
      <c r="WNU368" s="35"/>
      <c r="WNV368" s="35"/>
      <c r="WNW368" s="35"/>
      <c r="WNX368" s="35"/>
      <c r="WNY368" s="35"/>
      <c r="WNZ368" s="34"/>
      <c r="WOA368" s="34"/>
      <c r="WOB368" s="36"/>
      <c r="WOC368" s="36"/>
      <c r="WOD368" s="37"/>
      <c r="WOE368" s="37"/>
      <c r="WOF368" s="38"/>
      <c r="WOG368" s="38"/>
      <c r="WOH368" s="39"/>
      <c r="WOI368" s="34"/>
      <c r="WOJ368" s="34"/>
      <c r="WOK368" s="34"/>
      <c r="WOL368" s="35"/>
      <c r="WOM368" s="35"/>
      <c r="WON368" s="35"/>
      <c r="WOO368" s="35"/>
      <c r="WOP368" s="35"/>
      <c r="WOQ368" s="34"/>
      <c r="WOR368" s="34"/>
      <c r="WOS368" s="36"/>
      <c r="WOT368" s="36"/>
      <c r="WOU368" s="37"/>
      <c r="WOV368" s="37"/>
      <c r="WOW368" s="38"/>
      <c r="WOX368" s="38"/>
      <c r="WOY368" s="39"/>
      <c r="WOZ368" s="34"/>
      <c r="WPA368" s="34"/>
      <c r="WPB368" s="34"/>
      <c r="WPC368" s="35"/>
      <c r="WPD368" s="35"/>
      <c r="WPE368" s="35"/>
      <c r="WPF368" s="35"/>
      <c r="WPG368" s="35"/>
      <c r="WPH368" s="34"/>
      <c r="WPI368" s="34"/>
      <c r="WPJ368" s="36"/>
      <c r="WPK368" s="36"/>
      <c r="WPL368" s="37"/>
      <c r="WPM368" s="37"/>
      <c r="WPN368" s="38"/>
      <c r="WPO368" s="38"/>
      <c r="WPP368" s="39"/>
      <c r="WPQ368" s="34"/>
      <c r="WPR368" s="34"/>
      <c r="WPS368" s="34"/>
      <c r="WPT368" s="35"/>
      <c r="WPU368" s="35"/>
      <c r="WPV368" s="35"/>
      <c r="WPW368" s="35"/>
      <c r="WPX368" s="35"/>
      <c r="WPY368" s="34"/>
      <c r="WPZ368" s="34"/>
      <c r="WQA368" s="36"/>
      <c r="WQB368" s="36"/>
      <c r="WQC368" s="37"/>
      <c r="WQD368" s="37"/>
      <c r="WQE368" s="38"/>
      <c r="WQF368" s="38"/>
      <c r="WQG368" s="39"/>
      <c r="WQH368" s="34"/>
      <c r="WQI368" s="34"/>
      <c r="WQJ368" s="34"/>
      <c r="WQK368" s="35"/>
      <c r="WQL368" s="35"/>
      <c r="WQM368" s="35"/>
      <c r="WQN368" s="35"/>
      <c r="WQO368" s="35"/>
      <c r="WQP368" s="34"/>
      <c r="WQQ368" s="34"/>
      <c r="WQR368" s="36"/>
      <c r="WQS368" s="36"/>
      <c r="WQT368" s="37"/>
      <c r="WQU368" s="37"/>
      <c r="WQV368" s="38"/>
      <c r="WQW368" s="38"/>
      <c r="WQX368" s="39"/>
      <c r="WQY368" s="34"/>
      <c r="WQZ368" s="34"/>
      <c r="WRA368" s="34"/>
      <c r="WRB368" s="35"/>
      <c r="WRC368" s="35"/>
      <c r="WRD368" s="35"/>
      <c r="WRE368" s="35"/>
      <c r="WRF368" s="35"/>
      <c r="WRG368" s="34"/>
      <c r="WRH368" s="34"/>
      <c r="WRI368" s="36"/>
      <c r="WRJ368" s="36"/>
      <c r="WRK368" s="37"/>
      <c r="WRL368" s="37"/>
      <c r="WRM368" s="38"/>
      <c r="WRN368" s="38"/>
      <c r="WRO368" s="39"/>
      <c r="WRP368" s="34"/>
      <c r="WRQ368" s="34"/>
      <c r="WRR368" s="34"/>
      <c r="WRS368" s="35"/>
      <c r="WRT368" s="35"/>
      <c r="WRU368" s="35"/>
      <c r="WRV368" s="35"/>
      <c r="WRW368" s="35"/>
      <c r="WRX368" s="34"/>
      <c r="WRY368" s="34"/>
      <c r="WRZ368" s="36"/>
      <c r="WSA368" s="36"/>
      <c r="WSB368" s="37"/>
      <c r="WSC368" s="37"/>
      <c r="WSD368" s="38"/>
      <c r="WSE368" s="38"/>
      <c r="WSF368" s="39"/>
      <c r="WSG368" s="34"/>
      <c r="WSH368" s="34"/>
      <c r="WSI368" s="34"/>
      <c r="WSJ368" s="35"/>
      <c r="WSK368" s="35"/>
      <c r="WSL368" s="35"/>
      <c r="WSM368" s="35"/>
      <c r="WSN368" s="35"/>
      <c r="WSO368" s="34"/>
      <c r="WSP368" s="34"/>
      <c r="WSQ368" s="36"/>
      <c r="WSR368" s="36"/>
      <c r="WSS368" s="37"/>
      <c r="WST368" s="37"/>
      <c r="WSU368" s="38"/>
      <c r="WSV368" s="38"/>
      <c r="WSW368" s="39"/>
      <c r="WSX368" s="34"/>
      <c r="WSY368" s="34"/>
      <c r="WSZ368" s="34"/>
      <c r="WTA368" s="35"/>
      <c r="WTB368" s="35"/>
      <c r="WTC368" s="35"/>
      <c r="WTD368" s="35"/>
      <c r="WTE368" s="35"/>
      <c r="WTF368" s="34"/>
      <c r="WTG368" s="34"/>
      <c r="WTH368" s="36"/>
      <c r="WTI368" s="36"/>
      <c r="WTJ368" s="37"/>
      <c r="WTK368" s="37"/>
      <c r="WTL368" s="38"/>
      <c r="WTM368" s="38"/>
      <c r="WTN368" s="39"/>
      <c r="WTO368" s="34"/>
      <c r="WTP368" s="34"/>
      <c r="WTQ368" s="34"/>
      <c r="WTR368" s="35"/>
      <c r="WTS368" s="35"/>
      <c r="WTT368" s="35"/>
      <c r="WTU368" s="35"/>
      <c r="WTV368" s="35"/>
      <c r="WTW368" s="34"/>
      <c r="WTX368" s="34"/>
      <c r="WTY368" s="36"/>
      <c r="WTZ368" s="36"/>
      <c r="WUA368" s="37"/>
      <c r="WUB368" s="37"/>
      <c r="WUC368" s="38"/>
      <c r="WUD368" s="38"/>
      <c r="WUE368" s="39"/>
      <c r="WUF368" s="34"/>
      <c r="WUG368" s="34"/>
      <c r="WUH368" s="34"/>
      <c r="WUI368" s="35"/>
      <c r="WUJ368" s="35"/>
      <c r="WUK368" s="35"/>
      <c r="WUL368" s="35"/>
      <c r="WUM368" s="35"/>
      <c r="WUN368" s="34"/>
      <c r="WUO368" s="34"/>
      <c r="WUP368" s="36"/>
      <c r="WUQ368" s="36"/>
      <c r="WUR368" s="37"/>
      <c r="WUS368" s="37"/>
      <c r="WUT368" s="38"/>
      <c r="WUU368" s="38"/>
      <c r="WUV368" s="39"/>
      <c r="WUW368" s="34"/>
      <c r="WUX368" s="34"/>
      <c r="WUY368" s="34"/>
      <c r="WUZ368" s="35"/>
      <c r="WVA368" s="35"/>
      <c r="WVB368" s="35"/>
      <c r="WVC368" s="35"/>
      <c r="WVD368" s="35"/>
      <c r="WVE368" s="34"/>
      <c r="WVF368" s="34"/>
      <c r="WVG368" s="36"/>
      <c r="WVH368" s="36"/>
      <c r="WVI368" s="37"/>
      <c r="WVJ368" s="37"/>
      <c r="WVK368" s="38"/>
      <c r="WVL368" s="38"/>
      <c r="WVM368" s="39"/>
      <c r="WVN368" s="34"/>
      <c r="WVO368" s="34"/>
      <c r="WVP368" s="34"/>
      <c r="WVQ368" s="35"/>
      <c r="WVR368" s="35"/>
      <c r="WVS368" s="35"/>
      <c r="WVT368" s="35"/>
      <c r="WVU368" s="35"/>
      <c r="WVV368" s="34"/>
      <c r="WVW368" s="34"/>
      <c r="WVX368" s="36"/>
      <c r="WVY368" s="36"/>
      <c r="WVZ368" s="37"/>
      <c r="WWA368" s="37"/>
      <c r="WWB368" s="38"/>
      <c r="WWC368" s="38"/>
      <c r="WWD368" s="39"/>
      <c r="WWE368" s="34"/>
      <c r="WWF368" s="34"/>
      <c r="WWG368" s="34"/>
      <c r="WWH368" s="35"/>
      <c r="WWI368" s="35"/>
      <c r="WWJ368" s="35"/>
      <c r="WWK368" s="35"/>
      <c r="WWL368" s="35"/>
      <c r="WWM368" s="34"/>
      <c r="WWN368" s="34"/>
      <c r="WWO368" s="36"/>
      <c r="WWP368" s="36"/>
      <c r="WWQ368" s="37"/>
      <c r="WWR368" s="37"/>
      <c r="WWS368" s="38"/>
      <c r="WWT368" s="38"/>
      <c r="WWU368" s="39"/>
      <c r="WWV368" s="34"/>
      <c r="WWW368" s="34"/>
      <c r="WWX368" s="34"/>
      <c r="WWY368" s="35"/>
      <c r="WWZ368" s="35"/>
      <c r="WXA368" s="35"/>
      <c r="WXB368" s="35"/>
      <c r="WXC368" s="35"/>
      <c r="WXD368" s="34"/>
      <c r="WXE368" s="34"/>
      <c r="WXF368" s="36"/>
      <c r="WXG368" s="36"/>
      <c r="WXH368" s="37"/>
      <c r="WXI368" s="37"/>
      <c r="WXJ368" s="38"/>
      <c r="WXK368" s="38"/>
      <c r="WXL368" s="39"/>
      <c r="WXM368" s="34"/>
      <c r="WXN368" s="34"/>
      <c r="WXO368" s="34"/>
      <c r="WXP368" s="35"/>
      <c r="WXQ368" s="35"/>
      <c r="WXR368" s="35"/>
      <c r="WXS368" s="35"/>
      <c r="WXT368" s="35"/>
      <c r="WXU368" s="34"/>
      <c r="WXV368" s="34"/>
      <c r="WXW368" s="36"/>
      <c r="WXX368" s="36"/>
      <c r="WXY368" s="37"/>
      <c r="WXZ368" s="37"/>
      <c r="WYA368" s="38"/>
      <c r="WYB368" s="38"/>
      <c r="WYC368" s="39"/>
      <c r="WYD368" s="34"/>
      <c r="WYE368" s="34"/>
      <c r="WYF368" s="34"/>
      <c r="WYG368" s="35"/>
      <c r="WYH368" s="35"/>
      <c r="WYI368" s="35"/>
      <c r="WYJ368" s="35"/>
      <c r="WYK368" s="35"/>
      <c r="WYL368" s="34"/>
      <c r="WYM368" s="34"/>
      <c r="WYN368" s="36"/>
      <c r="WYO368" s="36"/>
      <c r="WYP368" s="37"/>
      <c r="WYQ368" s="37"/>
      <c r="WYR368" s="38"/>
      <c r="WYS368" s="38"/>
      <c r="WYT368" s="39"/>
      <c r="WYU368" s="34"/>
      <c r="WYV368" s="34"/>
      <c r="WYW368" s="34"/>
      <c r="WYX368" s="35"/>
      <c r="WYY368" s="35"/>
      <c r="WYZ368" s="35"/>
      <c r="WZA368" s="35"/>
      <c r="WZB368" s="35"/>
      <c r="WZC368" s="34"/>
      <c r="WZD368" s="34"/>
      <c r="WZE368" s="36"/>
      <c r="WZF368" s="36"/>
      <c r="WZG368" s="37"/>
      <c r="WZH368" s="37"/>
      <c r="WZI368" s="38"/>
      <c r="WZJ368" s="38"/>
      <c r="WZK368" s="39"/>
      <c r="WZL368" s="34"/>
      <c r="WZM368" s="34"/>
      <c r="WZN368" s="34"/>
      <c r="WZO368" s="35"/>
      <c r="WZP368" s="35"/>
      <c r="WZQ368" s="35"/>
      <c r="WZR368" s="35"/>
      <c r="WZS368" s="35"/>
      <c r="WZT368" s="34"/>
      <c r="WZU368" s="34"/>
      <c r="WZV368" s="36"/>
      <c r="WZW368" s="36"/>
      <c r="WZX368" s="37"/>
      <c r="WZY368" s="37"/>
      <c r="WZZ368" s="38"/>
      <c r="XAA368" s="38"/>
      <c r="XAB368" s="39"/>
      <c r="XAC368" s="34"/>
      <c r="XAD368" s="34"/>
      <c r="XAE368" s="34"/>
      <c r="XAF368" s="35"/>
      <c r="XAG368" s="35"/>
      <c r="XAH368" s="35"/>
      <c r="XAI368" s="35"/>
      <c r="XAJ368" s="35"/>
      <c r="XAK368" s="34"/>
      <c r="XAL368" s="34"/>
      <c r="XAM368" s="36"/>
      <c r="XAN368" s="36"/>
      <c r="XAO368" s="37"/>
      <c r="XAP368" s="37"/>
      <c r="XAQ368" s="38"/>
      <c r="XAR368" s="38"/>
      <c r="XAS368" s="39"/>
      <c r="XAT368" s="34"/>
      <c r="XAU368" s="34"/>
      <c r="XAV368" s="34"/>
      <c r="XAW368" s="35"/>
      <c r="XAX368" s="35"/>
      <c r="XAY368" s="35"/>
      <c r="XAZ368" s="35"/>
      <c r="XBA368" s="35"/>
      <c r="XBB368" s="34"/>
      <c r="XBC368" s="34"/>
      <c r="XBD368" s="36"/>
      <c r="XBE368" s="36"/>
      <c r="XBF368" s="37"/>
      <c r="XBG368" s="37"/>
      <c r="XBH368" s="38"/>
      <c r="XBI368" s="38"/>
      <c r="XBJ368" s="39"/>
      <c r="XBK368" s="34"/>
      <c r="XBL368" s="34"/>
      <c r="XBM368" s="34"/>
      <c r="XBN368" s="35"/>
      <c r="XBO368" s="35"/>
      <c r="XBP368" s="35"/>
      <c r="XBQ368" s="35"/>
      <c r="XBR368" s="35"/>
      <c r="XBS368" s="34"/>
      <c r="XBT368" s="34"/>
      <c r="XBU368" s="36"/>
      <c r="XBV368" s="36"/>
      <c r="XBW368" s="37"/>
      <c r="XBX368" s="37"/>
      <c r="XBY368" s="38"/>
      <c r="XBZ368" s="38"/>
      <c r="XCA368" s="39"/>
      <c r="XCB368" s="34"/>
      <c r="XCC368" s="34"/>
      <c r="XCD368" s="34"/>
      <c r="XCE368" s="35"/>
      <c r="XCF368" s="35"/>
      <c r="XCG368" s="35"/>
      <c r="XCH368" s="35"/>
      <c r="XCI368" s="35"/>
      <c r="XCJ368" s="34"/>
      <c r="XCK368" s="34"/>
      <c r="XCL368" s="36"/>
      <c r="XCM368" s="36"/>
      <c r="XCN368" s="37"/>
      <c r="XCO368" s="37"/>
      <c r="XCP368" s="38"/>
      <c r="XCQ368" s="38"/>
      <c r="XCR368" s="39"/>
      <c r="XCS368" s="34"/>
      <c r="XCT368" s="34"/>
      <c r="XCU368" s="34"/>
      <c r="XCV368" s="35"/>
      <c r="XCW368" s="35"/>
      <c r="XCX368" s="35"/>
      <c r="XCY368" s="35"/>
      <c r="XCZ368" s="35"/>
      <c r="XDA368" s="34"/>
      <c r="XDB368" s="34"/>
      <c r="XDC368" s="36"/>
      <c r="XDD368" s="36"/>
      <c r="XDE368" s="37"/>
      <c r="XDF368" s="37"/>
      <c r="XDG368" s="38"/>
      <c r="XDH368" s="38"/>
      <c r="XDI368" s="39"/>
      <c r="XDJ368" s="34"/>
      <c r="XDK368" s="34"/>
      <c r="XDL368" s="34"/>
      <c r="XDM368" s="35"/>
      <c r="XDN368" s="35"/>
      <c r="XDO368" s="35"/>
      <c r="XDP368" s="35"/>
      <c r="XDQ368" s="35"/>
      <c r="XDR368" s="34"/>
      <c r="XDS368" s="34"/>
      <c r="XDT368" s="36"/>
      <c r="XDU368" s="36"/>
      <c r="XDV368" s="37"/>
      <c r="XDW368" s="37"/>
      <c r="XDX368" s="38"/>
      <c r="XDY368" s="38"/>
      <c r="XDZ368" s="39"/>
      <c r="XEA368" s="34"/>
      <c r="XEB368" s="34"/>
      <c r="XEC368" s="34"/>
      <c r="XED368" s="35"/>
      <c r="XEE368" s="35"/>
      <c r="XEF368" s="35"/>
      <c r="XEG368" s="35"/>
      <c r="XEH368" s="35"/>
      <c r="XEI368" s="34"/>
      <c r="XEJ368" s="34"/>
      <c r="XEK368" s="36"/>
      <c r="XEL368" s="36"/>
      <c r="XEM368" s="37"/>
      <c r="XEN368" s="37"/>
      <c r="XEO368" s="38"/>
      <c r="XEP368" s="38"/>
      <c r="XEQ368" s="39"/>
      <c r="XER368" s="34"/>
      <c r="XES368" s="34"/>
      <c r="XET368" s="34"/>
      <c r="XEU368" s="35"/>
      <c r="XEV368" s="35"/>
      <c r="XEW368" s="35"/>
      <c r="XEX368" s="35"/>
      <c r="XEY368" s="35"/>
      <c r="XEZ368" s="34"/>
      <c r="XFA368" s="34"/>
      <c r="XFB368" s="36"/>
      <c r="XFC368" s="36"/>
      <c r="XFD368" s="37"/>
    </row>
    <row r="369" spans="1:35" ht="14.25" customHeight="1" x14ac:dyDescent="0.25">
      <c r="A369" s="47">
        <v>1</v>
      </c>
      <c r="B369" s="47">
        <v>2</v>
      </c>
      <c r="C369" s="47">
        <v>5</v>
      </c>
      <c r="D369" s="48" t="s">
        <v>775</v>
      </c>
      <c r="E369" s="48" t="s">
        <v>772</v>
      </c>
      <c r="F369" s="48" t="s">
        <v>1006</v>
      </c>
      <c r="G369" s="48" t="s">
        <v>190</v>
      </c>
      <c r="H369" s="48" t="s">
        <v>354</v>
      </c>
      <c r="I369" s="47" t="s">
        <v>1007</v>
      </c>
      <c r="J369" s="47">
        <v>99</v>
      </c>
      <c r="K369" s="49" t="s">
        <v>712</v>
      </c>
      <c r="L369" s="49" t="s">
        <v>694</v>
      </c>
      <c r="M369" s="50" t="s">
        <v>1426</v>
      </c>
      <c r="N369" s="50" t="s">
        <v>1735</v>
      </c>
      <c r="O369" s="51"/>
      <c r="P369" s="51"/>
      <c r="Q369" s="48"/>
      <c r="S369" s="1">
        <f t="shared" si="177"/>
        <v>0</v>
      </c>
      <c r="T369" s="1">
        <f t="shared" si="178"/>
        <v>0</v>
      </c>
      <c r="U369" s="1">
        <f t="shared" si="179"/>
        <v>0</v>
      </c>
      <c r="V369" s="1">
        <f t="shared" si="180"/>
        <v>0</v>
      </c>
      <c r="W369" s="1">
        <f t="shared" si="181"/>
        <v>0</v>
      </c>
      <c r="X369" s="1">
        <f t="shared" si="182"/>
        <v>0</v>
      </c>
      <c r="Y369" s="1">
        <f t="shared" si="183"/>
        <v>0</v>
      </c>
      <c r="Z369" s="1">
        <f t="shared" si="184"/>
        <v>0</v>
      </c>
      <c r="AA369" s="1">
        <f t="shared" si="185"/>
        <v>0</v>
      </c>
      <c r="AB369" s="1">
        <f t="shared" si="186"/>
        <v>0</v>
      </c>
      <c r="AD369" s="1">
        <f t="shared" si="187"/>
        <v>0</v>
      </c>
      <c r="AE369" s="1">
        <f t="shared" si="188"/>
        <v>0</v>
      </c>
      <c r="AF369" s="1">
        <f t="shared" si="173"/>
        <v>0</v>
      </c>
      <c r="AG369" s="1">
        <f t="shared" si="174"/>
        <v>0</v>
      </c>
      <c r="AH369" s="1">
        <f t="shared" si="175"/>
        <v>0</v>
      </c>
      <c r="AI369" s="1">
        <f t="shared" si="176"/>
        <v>0</v>
      </c>
    </row>
    <row r="370" spans="1:35" ht="14.25" customHeight="1" x14ac:dyDescent="0.25">
      <c r="A370" s="15">
        <v>0</v>
      </c>
      <c r="B370" s="15">
        <v>2</v>
      </c>
      <c r="C370" s="15">
        <v>5</v>
      </c>
      <c r="D370" s="16" t="s">
        <v>916</v>
      </c>
      <c r="E370" s="16" t="s">
        <v>911</v>
      </c>
      <c r="F370" s="16" t="s">
        <v>929</v>
      </c>
      <c r="G370" s="16" t="s">
        <v>1350</v>
      </c>
      <c r="H370" s="16" t="s">
        <v>354</v>
      </c>
      <c r="I370" s="15" t="s">
        <v>770</v>
      </c>
      <c r="J370" s="15">
        <v>99</v>
      </c>
      <c r="K370" s="10" t="s">
        <v>703</v>
      </c>
      <c r="L370" s="10">
        <v>20</v>
      </c>
      <c r="M370" s="19" t="s">
        <v>1427</v>
      </c>
      <c r="N370" s="19"/>
      <c r="Q370" s="16"/>
      <c r="S370" s="1">
        <f t="shared" si="177"/>
        <v>0</v>
      </c>
      <c r="T370" s="1">
        <f t="shared" si="178"/>
        <v>0</v>
      </c>
      <c r="U370" s="1">
        <f t="shared" si="179"/>
        <v>0</v>
      </c>
      <c r="V370" s="1">
        <f t="shared" si="180"/>
        <v>0</v>
      </c>
      <c r="W370" s="1">
        <f t="shared" si="181"/>
        <v>0</v>
      </c>
      <c r="X370" s="1">
        <f t="shared" si="182"/>
        <v>0</v>
      </c>
      <c r="Y370" s="1">
        <f t="shared" si="183"/>
        <v>0</v>
      </c>
      <c r="Z370" s="1">
        <f t="shared" si="184"/>
        <v>0</v>
      </c>
      <c r="AA370" s="1">
        <f t="shared" si="185"/>
        <v>0</v>
      </c>
      <c r="AB370" s="1">
        <f t="shared" si="186"/>
        <v>0</v>
      </c>
      <c r="AD370" s="1">
        <f t="shared" si="187"/>
        <v>0</v>
      </c>
      <c r="AE370" s="1">
        <f t="shared" si="188"/>
        <v>0</v>
      </c>
      <c r="AF370" s="1">
        <f t="shared" si="173"/>
        <v>0</v>
      </c>
      <c r="AG370" s="1">
        <f t="shared" si="174"/>
        <v>0</v>
      </c>
      <c r="AH370" s="1">
        <f t="shared" si="175"/>
        <v>0</v>
      </c>
      <c r="AI370" s="1">
        <f t="shared" si="176"/>
        <v>1</v>
      </c>
    </row>
    <row r="371" spans="1:35" ht="14.25" customHeight="1" x14ac:dyDescent="0.25">
      <c r="A371" s="52">
        <v>0</v>
      </c>
      <c r="B371" s="52">
        <v>2</v>
      </c>
      <c r="C371" s="52">
        <v>5</v>
      </c>
      <c r="D371" s="58" t="s">
        <v>1790</v>
      </c>
      <c r="E371" s="53" t="s">
        <v>167</v>
      </c>
      <c r="F371" s="53" t="s">
        <v>1768</v>
      </c>
      <c r="G371" s="53"/>
      <c r="H371" s="53" t="s">
        <v>354</v>
      </c>
      <c r="I371" s="52" t="s">
        <v>1769</v>
      </c>
      <c r="J371" s="52"/>
      <c r="K371" s="54" t="s">
        <v>703</v>
      </c>
      <c r="L371" s="54">
        <v>30</v>
      </c>
      <c r="M371" s="55" t="s">
        <v>1770</v>
      </c>
      <c r="N371" s="55" t="s">
        <v>1748</v>
      </c>
      <c r="O371" s="56">
        <v>1</v>
      </c>
      <c r="P371" s="56"/>
      <c r="Q371" s="53"/>
      <c r="S371" s="1">
        <f t="shared" si="177"/>
        <v>0</v>
      </c>
      <c r="T371" s="1">
        <f t="shared" si="178"/>
        <v>0</v>
      </c>
      <c r="U371" s="1">
        <f t="shared" si="179"/>
        <v>0</v>
      </c>
      <c r="V371" s="1">
        <f t="shared" si="180"/>
        <v>0</v>
      </c>
      <c r="W371" s="1">
        <f t="shared" si="181"/>
        <v>0</v>
      </c>
      <c r="X371" s="1">
        <f t="shared" si="182"/>
        <v>0</v>
      </c>
      <c r="Y371" s="1">
        <f t="shared" si="183"/>
        <v>0</v>
      </c>
      <c r="Z371" s="1">
        <f t="shared" si="184"/>
        <v>0</v>
      </c>
      <c r="AA371" s="1">
        <f t="shared" si="185"/>
        <v>0</v>
      </c>
      <c r="AB371" s="1">
        <f t="shared" si="186"/>
        <v>0</v>
      </c>
      <c r="AD371" s="1">
        <f t="shared" si="187"/>
        <v>0</v>
      </c>
      <c r="AE371" s="1">
        <f t="shared" si="188"/>
        <v>1</v>
      </c>
      <c r="AF371" s="1">
        <f t="shared" si="173"/>
        <v>0</v>
      </c>
      <c r="AG371" s="1">
        <f t="shared" si="174"/>
        <v>1</v>
      </c>
      <c r="AH371" s="1">
        <f t="shared" si="175"/>
        <v>0</v>
      </c>
      <c r="AI371" s="1">
        <f t="shared" si="176"/>
        <v>1</v>
      </c>
    </row>
    <row r="372" spans="1:35" ht="14.25" customHeight="1" x14ac:dyDescent="0.25">
      <c r="A372" s="34"/>
      <c r="B372" s="34">
        <v>2</v>
      </c>
      <c r="C372" s="34">
        <v>5</v>
      </c>
      <c r="D372" s="35" t="s">
        <v>1921</v>
      </c>
      <c r="E372" s="35"/>
      <c r="F372" s="35" t="s">
        <v>1922</v>
      </c>
      <c r="G372" s="35" t="s">
        <v>208</v>
      </c>
      <c r="H372" s="35" t="s">
        <v>354</v>
      </c>
      <c r="I372" s="34" t="s">
        <v>1923</v>
      </c>
      <c r="J372" s="34">
        <v>3</v>
      </c>
      <c r="K372" s="36" t="s">
        <v>703</v>
      </c>
      <c r="L372" s="36"/>
      <c r="M372" s="37"/>
      <c r="N372" s="37" t="s">
        <v>1727</v>
      </c>
      <c r="O372" s="38">
        <v>1</v>
      </c>
      <c r="P372" s="38">
        <v>1</v>
      </c>
      <c r="Q372" s="35" t="s">
        <v>1924</v>
      </c>
      <c r="S372" s="1">
        <f t="shared" si="177"/>
        <v>0</v>
      </c>
      <c r="T372" s="1">
        <f t="shared" si="178"/>
        <v>0</v>
      </c>
      <c r="U372" s="1">
        <f t="shared" si="179"/>
        <v>1</v>
      </c>
      <c r="V372" s="1">
        <f t="shared" si="180"/>
        <v>0</v>
      </c>
      <c r="W372" s="1">
        <f t="shared" si="181"/>
        <v>0</v>
      </c>
      <c r="X372" s="1">
        <f t="shared" si="182"/>
        <v>0</v>
      </c>
      <c r="Y372" s="1">
        <f t="shared" si="183"/>
        <v>0</v>
      </c>
      <c r="Z372" s="1">
        <f t="shared" si="184"/>
        <v>0</v>
      </c>
      <c r="AA372" s="1">
        <f t="shared" si="185"/>
        <v>0</v>
      </c>
      <c r="AB372" s="1">
        <f t="shared" si="186"/>
        <v>0</v>
      </c>
      <c r="AD372" s="1">
        <f t="shared" si="187"/>
        <v>1</v>
      </c>
      <c r="AE372" s="1">
        <f t="shared" si="188"/>
        <v>0</v>
      </c>
      <c r="AF372" s="1">
        <f t="shared" si="173"/>
        <v>1</v>
      </c>
      <c r="AG372" s="1">
        <f t="shared" si="174"/>
        <v>0</v>
      </c>
      <c r="AH372" s="1">
        <f t="shared" si="175"/>
        <v>1</v>
      </c>
      <c r="AI372" s="1">
        <f t="shared" si="176"/>
        <v>0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1270</v>
      </c>
      <c r="E373" s="35" t="s">
        <v>1271</v>
      </c>
      <c r="F373" s="35" t="s">
        <v>1272</v>
      </c>
      <c r="G373" s="35" t="s">
        <v>220</v>
      </c>
      <c r="H373" s="35" t="s">
        <v>354</v>
      </c>
      <c r="I373" s="34" t="s">
        <v>1723</v>
      </c>
      <c r="J373" s="34">
        <v>8</v>
      </c>
      <c r="K373" s="36" t="s">
        <v>713</v>
      </c>
      <c r="L373" s="36" t="s">
        <v>39</v>
      </c>
      <c r="M373" s="37" t="s">
        <v>39</v>
      </c>
      <c r="N373" s="37" t="s">
        <v>1727</v>
      </c>
      <c r="O373" s="38">
        <v>1</v>
      </c>
      <c r="P373" s="38">
        <v>1</v>
      </c>
      <c r="Q373" s="35"/>
      <c r="S373" s="1">
        <f t="shared" si="177"/>
        <v>0</v>
      </c>
      <c r="T373" s="1">
        <f t="shared" si="178"/>
        <v>0</v>
      </c>
      <c r="U373" s="1">
        <f t="shared" si="179"/>
        <v>0</v>
      </c>
      <c r="V373" s="1">
        <f t="shared" si="180"/>
        <v>0</v>
      </c>
      <c r="W373" s="1">
        <f t="shared" si="181"/>
        <v>0</v>
      </c>
      <c r="X373" s="1">
        <f t="shared" si="182"/>
        <v>0</v>
      </c>
      <c r="Y373" s="1">
        <f t="shared" si="183"/>
        <v>0</v>
      </c>
      <c r="Z373" s="1">
        <f t="shared" si="184"/>
        <v>1</v>
      </c>
      <c r="AA373" s="1">
        <f t="shared" si="185"/>
        <v>0</v>
      </c>
      <c r="AB373" s="1">
        <f t="shared" si="186"/>
        <v>0</v>
      </c>
      <c r="AD373" s="1">
        <f t="shared" si="187"/>
        <v>1</v>
      </c>
      <c r="AE373" s="1">
        <f t="shared" si="188"/>
        <v>0</v>
      </c>
      <c r="AF373" s="1">
        <f t="shared" si="173"/>
        <v>1</v>
      </c>
      <c r="AG373" s="1">
        <f t="shared" si="174"/>
        <v>0</v>
      </c>
      <c r="AH373" s="1">
        <f t="shared" si="175"/>
        <v>1</v>
      </c>
      <c r="AI373" s="1">
        <f t="shared" si="176"/>
        <v>0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1082</v>
      </c>
      <c r="E374" s="35" t="s">
        <v>155</v>
      </c>
      <c r="F374" s="35" t="s">
        <v>1066</v>
      </c>
      <c r="G374" s="35" t="s">
        <v>321</v>
      </c>
      <c r="H374" s="35" t="s">
        <v>354</v>
      </c>
      <c r="I374" s="34" t="s">
        <v>1067</v>
      </c>
      <c r="J374" s="34">
        <v>99</v>
      </c>
      <c r="K374" s="36" t="s">
        <v>713</v>
      </c>
      <c r="L374" s="36" t="s">
        <v>694</v>
      </c>
      <c r="M374" s="37" t="s">
        <v>1428</v>
      </c>
      <c r="N374" s="37" t="s">
        <v>1756</v>
      </c>
      <c r="O374" s="38">
        <v>1</v>
      </c>
      <c r="P374" s="38"/>
      <c r="Q374" s="35"/>
      <c r="S374" s="1">
        <f t="shared" si="177"/>
        <v>0</v>
      </c>
      <c r="T374" s="1">
        <f t="shared" si="178"/>
        <v>0</v>
      </c>
      <c r="U374" s="1">
        <f t="shared" si="179"/>
        <v>0</v>
      </c>
      <c r="V374" s="1">
        <f t="shared" si="180"/>
        <v>0</v>
      </c>
      <c r="W374" s="1">
        <f t="shared" si="181"/>
        <v>0</v>
      </c>
      <c r="X374" s="1">
        <f t="shared" si="182"/>
        <v>0</v>
      </c>
      <c r="Y374" s="1">
        <f t="shared" si="183"/>
        <v>0</v>
      </c>
      <c r="Z374" s="1">
        <f t="shared" si="184"/>
        <v>0</v>
      </c>
      <c r="AA374" s="1">
        <f t="shared" si="185"/>
        <v>0</v>
      </c>
      <c r="AB374" s="1">
        <f t="shared" si="186"/>
        <v>0</v>
      </c>
      <c r="AD374" s="1">
        <f t="shared" si="187"/>
        <v>0</v>
      </c>
      <c r="AE374" s="1">
        <f t="shared" si="188"/>
        <v>1</v>
      </c>
      <c r="AF374" s="1">
        <f t="shared" si="173"/>
        <v>0</v>
      </c>
      <c r="AG374" s="1">
        <f t="shared" si="174"/>
        <v>1</v>
      </c>
      <c r="AH374" s="1">
        <f t="shared" si="175"/>
        <v>0</v>
      </c>
      <c r="AI374" s="1">
        <f t="shared" si="176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796</v>
      </c>
      <c r="E375" s="35" t="s">
        <v>772</v>
      </c>
      <c r="F375" s="35" t="s">
        <v>932</v>
      </c>
      <c r="G375" s="35" t="s">
        <v>220</v>
      </c>
      <c r="H375" s="35" t="s">
        <v>354</v>
      </c>
      <c r="I375" s="34" t="s">
        <v>797</v>
      </c>
      <c r="J375" s="34">
        <v>8</v>
      </c>
      <c r="K375" s="36" t="s">
        <v>703</v>
      </c>
      <c r="L375" s="36">
        <v>20</v>
      </c>
      <c r="M375" s="37" t="s">
        <v>1419</v>
      </c>
      <c r="N375" s="37" t="s">
        <v>1825</v>
      </c>
      <c r="O375" s="38">
        <v>1</v>
      </c>
      <c r="P375" s="38"/>
      <c r="Q375" s="35"/>
      <c r="S375" s="1">
        <f t="shared" ref="S375:S377" si="195">IF(J375=$S$7,1,0)</f>
        <v>0</v>
      </c>
      <c r="T375" s="1">
        <f t="shared" ref="T375:T377" si="196">IF(J375=$T$7,1,0)</f>
        <v>0</v>
      </c>
      <c r="U375" s="1">
        <f t="shared" ref="U375:U377" si="197">IF(J375=$U$7,1,0)</f>
        <v>0</v>
      </c>
      <c r="V375" s="1">
        <f t="shared" ref="V375:V377" si="198">IF(J375=$V$7,1,0)</f>
        <v>0</v>
      </c>
      <c r="W375" s="1">
        <f t="shared" ref="W375:W377" si="199">IF(J375=$W$7,1,0)</f>
        <v>0</v>
      </c>
      <c r="X375" s="1">
        <f t="shared" ref="X375:X377" si="200">IF(J375=$X$7,1,0)</f>
        <v>0</v>
      </c>
      <c r="Y375" s="1">
        <f t="shared" ref="Y375:Y377" si="201">IF(J375=$Y$7,1,0)</f>
        <v>0</v>
      </c>
      <c r="Z375" s="1">
        <f t="shared" ref="Z375:Z377" si="202">IF(J375=$Z$7,1,0)</f>
        <v>1</v>
      </c>
      <c r="AA375" s="1">
        <f t="shared" ref="AA375:AA377" si="203">IF(J375=$AA$7,1,0)</f>
        <v>0</v>
      </c>
      <c r="AB375" s="1">
        <f t="shared" ref="AB375:AB377" si="204">IF(J375=$AB$7,1,0)</f>
        <v>0</v>
      </c>
      <c r="AD375" s="1">
        <f t="shared" ref="AD375:AD377" si="205">+O375*P375</f>
        <v>0</v>
      </c>
      <c r="AE375" s="1">
        <f t="shared" ref="AE375:AE377" si="206">O375*(1-P375)</f>
        <v>1</v>
      </c>
      <c r="AF375" s="1">
        <f t="shared" si="173"/>
        <v>0</v>
      </c>
      <c r="AG375" s="1">
        <f t="shared" si="174"/>
        <v>1</v>
      </c>
      <c r="AH375" s="1">
        <f t="shared" si="175"/>
        <v>0</v>
      </c>
      <c r="AI375" s="1">
        <f t="shared" si="176"/>
        <v>1</v>
      </c>
    </row>
    <row r="376" spans="1:35" ht="14.25" customHeight="1" x14ac:dyDescent="0.25">
      <c r="A376" s="52">
        <v>0</v>
      </c>
      <c r="B376" s="52">
        <v>2</v>
      </c>
      <c r="C376" s="52">
        <v>5</v>
      </c>
      <c r="D376" s="53" t="s">
        <v>79</v>
      </c>
      <c r="E376" s="53" t="s">
        <v>159</v>
      </c>
      <c r="F376" s="53" t="s">
        <v>268</v>
      </c>
      <c r="G376" s="53" t="s">
        <v>213</v>
      </c>
      <c r="H376" s="53" t="s">
        <v>354</v>
      </c>
      <c r="I376" s="52" t="s">
        <v>425</v>
      </c>
      <c r="J376" s="52">
        <v>1</v>
      </c>
      <c r="K376" s="54" t="s">
        <v>955</v>
      </c>
      <c r="L376" s="54" t="s">
        <v>704</v>
      </c>
      <c r="M376" s="55" t="s">
        <v>727</v>
      </c>
      <c r="N376" s="55" t="s">
        <v>1743</v>
      </c>
      <c r="O376" s="56">
        <v>1</v>
      </c>
      <c r="P376" s="56"/>
      <c r="Q376" s="53"/>
      <c r="S376" s="1">
        <f t="shared" si="195"/>
        <v>1</v>
      </c>
      <c r="T376" s="1">
        <f t="shared" si="196"/>
        <v>0</v>
      </c>
      <c r="U376" s="1">
        <f t="shared" si="197"/>
        <v>0</v>
      </c>
      <c r="V376" s="1">
        <f t="shared" si="198"/>
        <v>0</v>
      </c>
      <c r="W376" s="1">
        <f t="shared" si="199"/>
        <v>0</v>
      </c>
      <c r="X376" s="1">
        <f t="shared" si="200"/>
        <v>0</v>
      </c>
      <c r="Y376" s="1">
        <f t="shared" si="201"/>
        <v>0</v>
      </c>
      <c r="Z376" s="1">
        <f t="shared" si="202"/>
        <v>0</v>
      </c>
      <c r="AA376" s="1">
        <f t="shared" si="203"/>
        <v>0</v>
      </c>
      <c r="AB376" s="1">
        <f t="shared" si="204"/>
        <v>0</v>
      </c>
      <c r="AD376" s="1">
        <f t="shared" si="205"/>
        <v>0</v>
      </c>
      <c r="AE376" s="1">
        <f t="shared" si="206"/>
        <v>1</v>
      </c>
      <c r="AF376" s="1">
        <f t="shared" si="173"/>
        <v>0</v>
      </c>
      <c r="AG376" s="1">
        <f t="shared" si="174"/>
        <v>1</v>
      </c>
      <c r="AH376" s="1">
        <f t="shared" si="175"/>
        <v>0</v>
      </c>
      <c r="AI376" s="1">
        <f t="shared" si="176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1642</v>
      </c>
      <c r="E377" s="35" t="s">
        <v>1654</v>
      </c>
      <c r="F377" s="35" t="s">
        <v>1551</v>
      </c>
      <c r="G377" s="35" t="s">
        <v>262</v>
      </c>
      <c r="H377" s="35" t="s">
        <v>354</v>
      </c>
      <c r="I377" s="34" t="s">
        <v>1552</v>
      </c>
      <c r="J377" s="34">
        <v>99</v>
      </c>
      <c r="K377" s="36" t="s">
        <v>955</v>
      </c>
      <c r="L377" s="36">
        <v>40</v>
      </c>
      <c r="M377" s="37" t="s">
        <v>39</v>
      </c>
      <c r="N377" s="37" t="s">
        <v>1825</v>
      </c>
      <c r="O377" s="38">
        <v>1</v>
      </c>
      <c r="P377" s="38"/>
      <c r="Q377" s="35"/>
      <c r="S377" s="1">
        <f t="shared" si="195"/>
        <v>0</v>
      </c>
      <c r="T377" s="1">
        <f t="shared" si="196"/>
        <v>0</v>
      </c>
      <c r="U377" s="1">
        <f t="shared" si="197"/>
        <v>0</v>
      </c>
      <c r="V377" s="1">
        <f t="shared" si="198"/>
        <v>0</v>
      </c>
      <c r="W377" s="1">
        <f t="shared" si="199"/>
        <v>0</v>
      </c>
      <c r="X377" s="1">
        <f t="shared" si="200"/>
        <v>0</v>
      </c>
      <c r="Y377" s="1">
        <f t="shared" si="201"/>
        <v>0</v>
      </c>
      <c r="Z377" s="1">
        <f t="shared" si="202"/>
        <v>0</v>
      </c>
      <c r="AA377" s="1">
        <f t="shared" si="203"/>
        <v>0</v>
      </c>
      <c r="AB377" s="1">
        <f t="shared" si="204"/>
        <v>0</v>
      </c>
      <c r="AD377" s="1">
        <f t="shared" si="205"/>
        <v>0</v>
      </c>
      <c r="AE377" s="1">
        <f t="shared" si="206"/>
        <v>1</v>
      </c>
      <c r="AF377" s="1">
        <f t="shared" si="173"/>
        <v>0</v>
      </c>
      <c r="AG377" s="1">
        <f t="shared" si="174"/>
        <v>1</v>
      </c>
      <c r="AH377" s="1">
        <f t="shared" si="175"/>
        <v>0</v>
      </c>
      <c r="AI377" s="1">
        <f t="shared" si="176"/>
        <v>1</v>
      </c>
    </row>
    <row r="378" spans="1:35" ht="14.25" customHeight="1" x14ac:dyDescent="0.25">
      <c r="A378" s="34">
        <v>0</v>
      </c>
      <c r="B378" s="34">
        <v>2</v>
      </c>
      <c r="C378" s="34">
        <v>5</v>
      </c>
      <c r="D378" s="35" t="s">
        <v>1297</v>
      </c>
      <c r="E378" s="35" t="s">
        <v>27</v>
      </c>
      <c r="F378" s="35" t="s">
        <v>1298</v>
      </c>
      <c r="G378" s="35" t="s">
        <v>1299</v>
      </c>
      <c r="H378" s="35" t="s">
        <v>354</v>
      </c>
      <c r="I378" s="34" t="s">
        <v>1300</v>
      </c>
      <c r="J378" s="34">
        <v>99</v>
      </c>
      <c r="K378" s="36" t="s">
        <v>955</v>
      </c>
      <c r="L378" s="36" t="s">
        <v>39</v>
      </c>
      <c r="M378" s="37" t="s">
        <v>39</v>
      </c>
      <c r="N378" s="37" t="s">
        <v>1727</v>
      </c>
      <c r="O378" s="38">
        <v>1</v>
      </c>
      <c r="P378" s="38">
        <v>1</v>
      </c>
      <c r="Q378" s="39"/>
      <c r="S378" s="1">
        <f t="shared" si="177"/>
        <v>0</v>
      </c>
      <c r="T378" s="1">
        <f t="shared" si="178"/>
        <v>0</v>
      </c>
      <c r="U378" s="1">
        <f t="shared" si="179"/>
        <v>0</v>
      </c>
      <c r="V378" s="1">
        <f t="shared" si="180"/>
        <v>0</v>
      </c>
      <c r="W378" s="1">
        <f t="shared" si="181"/>
        <v>0</v>
      </c>
      <c r="X378" s="1">
        <f t="shared" si="182"/>
        <v>0</v>
      </c>
      <c r="Y378" s="1">
        <f t="shared" si="183"/>
        <v>0</v>
      </c>
      <c r="Z378" s="1">
        <f t="shared" si="184"/>
        <v>0</v>
      </c>
      <c r="AA378" s="1">
        <f t="shared" si="185"/>
        <v>0</v>
      </c>
      <c r="AB378" s="1">
        <f t="shared" si="186"/>
        <v>0</v>
      </c>
      <c r="AD378" s="1">
        <f t="shared" si="187"/>
        <v>1</v>
      </c>
      <c r="AE378" s="1">
        <f t="shared" si="188"/>
        <v>0</v>
      </c>
      <c r="AF378" s="1">
        <f t="shared" si="173"/>
        <v>1</v>
      </c>
      <c r="AG378" s="1">
        <f t="shared" si="174"/>
        <v>0</v>
      </c>
      <c r="AH378" s="1">
        <f t="shared" si="175"/>
        <v>1</v>
      </c>
      <c r="AI378" s="1">
        <f t="shared" si="176"/>
        <v>0</v>
      </c>
    </row>
    <row r="379" spans="1:35" ht="14.25" customHeight="1" x14ac:dyDescent="0.25">
      <c r="A379" s="47">
        <v>0</v>
      </c>
      <c r="B379" s="47">
        <v>2</v>
      </c>
      <c r="C379" s="47">
        <v>5</v>
      </c>
      <c r="D379" s="48" t="s">
        <v>1603</v>
      </c>
      <c r="E379" s="48" t="s">
        <v>159</v>
      </c>
      <c r="F379" s="48" t="s">
        <v>1675</v>
      </c>
      <c r="G379" s="48" t="s">
        <v>1468</v>
      </c>
      <c r="H379" s="48" t="s">
        <v>354</v>
      </c>
      <c r="I379" s="47" t="s">
        <v>1469</v>
      </c>
      <c r="J379" s="47">
        <v>99</v>
      </c>
      <c r="K379" s="49" t="s">
        <v>713</v>
      </c>
      <c r="L379" s="49" t="s">
        <v>696</v>
      </c>
      <c r="M379" s="50" t="s">
        <v>1470</v>
      </c>
      <c r="N379" s="50" t="s">
        <v>1747</v>
      </c>
      <c r="O379" s="51"/>
      <c r="P379" s="51"/>
      <c r="Q379" s="48"/>
      <c r="S379" s="1">
        <f t="shared" si="177"/>
        <v>0</v>
      </c>
      <c r="T379" s="1">
        <f t="shared" si="178"/>
        <v>0</v>
      </c>
      <c r="U379" s="1">
        <f t="shared" si="179"/>
        <v>0</v>
      </c>
      <c r="V379" s="1">
        <f t="shared" si="180"/>
        <v>0</v>
      </c>
      <c r="W379" s="1">
        <f t="shared" si="181"/>
        <v>0</v>
      </c>
      <c r="X379" s="1">
        <f t="shared" si="182"/>
        <v>0</v>
      </c>
      <c r="Y379" s="1">
        <f t="shared" si="183"/>
        <v>0</v>
      </c>
      <c r="Z379" s="1">
        <f t="shared" si="184"/>
        <v>0</v>
      </c>
      <c r="AA379" s="1">
        <f t="shared" si="185"/>
        <v>0</v>
      </c>
      <c r="AB379" s="1">
        <f t="shared" si="186"/>
        <v>0</v>
      </c>
      <c r="AD379" s="1">
        <f t="shared" si="187"/>
        <v>0</v>
      </c>
      <c r="AE379" s="1">
        <f t="shared" si="188"/>
        <v>0</v>
      </c>
      <c r="AF379" s="1">
        <f t="shared" si="173"/>
        <v>0</v>
      </c>
      <c r="AG379" s="1">
        <f t="shared" si="174"/>
        <v>0</v>
      </c>
      <c r="AH379" s="1">
        <f t="shared" si="175"/>
        <v>0</v>
      </c>
      <c r="AI379" s="1">
        <f t="shared" si="176"/>
        <v>1</v>
      </c>
    </row>
    <row r="380" spans="1:35" ht="14.25" customHeight="1" x14ac:dyDescent="0.25">
      <c r="A380" s="34">
        <v>0</v>
      </c>
      <c r="B380" s="34">
        <v>2</v>
      </c>
      <c r="C380" s="34">
        <v>5</v>
      </c>
      <c r="D380" s="35" t="s">
        <v>1778</v>
      </c>
      <c r="E380" s="35" t="s">
        <v>155</v>
      </c>
      <c r="F380" s="35" t="s">
        <v>1779</v>
      </c>
      <c r="G380" s="35" t="s">
        <v>656</v>
      </c>
      <c r="H380" s="35" t="s">
        <v>354</v>
      </c>
      <c r="I380" s="34" t="s">
        <v>1780</v>
      </c>
      <c r="J380" s="34"/>
      <c r="K380" s="36" t="s">
        <v>703</v>
      </c>
      <c r="L380" s="36">
        <v>40</v>
      </c>
      <c r="M380" s="37" t="s">
        <v>1781</v>
      </c>
      <c r="N380" s="37" t="s">
        <v>1743</v>
      </c>
      <c r="O380" s="38">
        <v>1</v>
      </c>
      <c r="P380" s="38"/>
      <c r="Q380" s="35"/>
      <c r="S380" s="1">
        <f t="shared" si="177"/>
        <v>0</v>
      </c>
      <c r="T380" s="1">
        <f t="shared" si="178"/>
        <v>0</v>
      </c>
      <c r="U380" s="1">
        <f t="shared" si="179"/>
        <v>0</v>
      </c>
      <c r="V380" s="1">
        <f t="shared" si="180"/>
        <v>0</v>
      </c>
      <c r="W380" s="1">
        <f t="shared" si="181"/>
        <v>0</v>
      </c>
      <c r="X380" s="1">
        <f t="shared" si="182"/>
        <v>0</v>
      </c>
      <c r="Y380" s="1">
        <f t="shared" si="183"/>
        <v>0</v>
      </c>
      <c r="Z380" s="1">
        <f t="shared" si="184"/>
        <v>0</v>
      </c>
      <c r="AA380" s="1">
        <f t="shared" si="185"/>
        <v>0</v>
      </c>
      <c r="AB380" s="1">
        <f t="shared" si="186"/>
        <v>0</v>
      </c>
      <c r="AD380" s="1">
        <f t="shared" si="187"/>
        <v>0</v>
      </c>
      <c r="AE380" s="1">
        <f t="shared" si="188"/>
        <v>1</v>
      </c>
      <c r="AF380" s="1">
        <f t="shared" si="173"/>
        <v>0</v>
      </c>
      <c r="AG380" s="1">
        <f t="shared" si="174"/>
        <v>1</v>
      </c>
      <c r="AH380" s="1">
        <f t="shared" si="175"/>
        <v>0</v>
      </c>
      <c r="AI380" s="1">
        <f t="shared" si="176"/>
        <v>1</v>
      </c>
    </row>
    <row r="381" spans="1:35" ht="14.25" customHeight="1" x14ac:dyDescent="0.25">
      <c r="A381" s="47">
        <v>0</v>
      </c>
      <c r="B381" s="47">
        <v>2</v>
      </c>
      <c r="C381" s="47">
        <v>5</v>
      </c>
      <c r="D381" s="48" t="s">
        <v>837</v>
      </c>
      <c r="E381" s="48" t="s">
        <v>831</v>
      </c>
      <c r="F381" s="48" t="s">
        <v>941</v>
      </c>
      <c r="G381" s="48" t="s">
        <v>180</v>
      </c>
      <c r="H381" s="48" t="s">
        <v>354</v>
      </c>
      <c r="I381" s="47" t="s">
        <v>1109</v>
      </c>
      <c r="J381" s="47">
        <v>10</v>
      </c>
      <c r="K381" s="49" t="s">
        <v>712</v>
      </c>
      <c r="L381" s="49" t="s">
        <v>693</v>
      </c>
      <c r="M381" s="50" t="s">
        <v>1429</v>
      </c>
      <c r="N381" s="50" t="s">
        <v>1741</v>
      </c>
      <c r="O381" s="51"/>
      <c r="P381" s="51"/>
      <c r="Q381" s="48"/>
      <c r="S381" s="1">
        <f t="shared" si="177"/>
        <v>0</v>
      </c>
      <c r="T381" s="1">
        <f t="shared" si="178"/>
        <v>0</v>
      </c>
      <c r="U381" s="1">
        <f t="shared" si="179"/>
        <v>0</v>
      </c>
      <c r="V381" s="1">
        <f t="shared" si="180"/>
        <v>0</v>
      </c>
      <c r="W381" s="1">
        <f t="shared" si="181"/>
        <v>0</v>
      </c>
      <c r="X381" s="1">
        <f t="shared" si="182"/>
        <v>0</v>
      </c>
      <c r="Y381" s="1">
        <f t="shared" si="183"/>
        <v>0</v>
      </c>
      <c r="Z381" s="1">
        <f t="shared" si="184"/>
        <v>0</v>
      </c>
      <c r="AA381" s="1">
        <f t="shared" si="185"/>
        <v>0</v>
      </c>
      <c r="AB381" s="1">
        <f t="shared" si="186"/>
        <v>1</v>
      </c>
      <c r="AD381" s="1">
        <f t="shared" si="187"/>
        <v>0</v>
      </c>
      <c r="AE381" s="1">
        <f t="shared" si="188"/>
        <v>0</v>
      </c>
      <c r="AF381" s="1">
        <f t="shared" si="173"/>
        <v>0</v>
      </c>
      <c r="AG381" s="1">
        <f t="shared" si="174"/>
        <v>0</v>
      </c>
      <c r="AH381" s="1">
        <f t="shared" si="175"/>
        <v>0</v>
      </c>
      <c r="AI381" s="1">
        <f t="shared" si="176"/>
        <v>1</v>
      </c>
    </row>
    <row r="382" spans="1:35" ht="14.25" customHeight="1" x14ac:dyDescent="0.25">
      <c r="A382" s="60">
        <v>0</v>
      </c>
      <c r="B382" s="60">
        <v>2</v>
      </c>
      <c r="C382" s="60">
        <v>6</v>
      </c>
      <c r="D382" s="61" t="s">
        <v>1543</v>
      </c>
      <c r="E382" s="61" t="s">
        <v>27</v>
      </c>
      <c r="F382" s="61" t="s">
        <v>1545</v>
      </c>
      <c r="G382" s="61" t="s">
        <v>1534</v>
      </c>
      <c r="H382" s="61" t="s">
        <v>354</v>
      </c>
      <c r="I382" s="60" t="s">
        <v>1544</v>
      </c>
      <c r="J382" s="60">
        <v>5</v>
      </c>
      <c r="K382" s="62" t="s">
        <v>955</v>
      </c>
      <c r="L382" s="62" t="s">
        <v>39</v>
      </c>
      <c r="M382" s="63" t="s">
        <v>39</v>
      </c>
      <c r="N382" s="64"/>
      <c r="O382" s="65"/>
      <c r="P382" s="65"/>
      <c r="Q382" s="69" t="s">
        <v>1900</v>
      </c>
      <c r="S382" s="1">
        <f t="shared" si="177"/>
        <v>0</v>
      </c>
      <c r="T382" s="1">
        <f t="shared" si="178"/>
        <v>0</v>
      </c>
      <c r="U382" s="1">
        <f t="shared" si="179"/>
        <v>0</v>
      </c>
      <c r="V382" s="1">
        <f t="shared" si="180"/>
        <v>0</v>
      </c>
      <c r="W382" s="1">
        <f t="shared" si="181"/>
        <v>1</v>
      </c>
      <c r="X382" s="1">
        <f t="shared" si="182"/>
        <v>0</v>
      </c>
      <c r="Y382" s="1">
        <f t="shared" si="183"/>
        <v>0</v>
      </c>
      <c r="Z382" s="1">
        <f t="shared" si="184"/>
        <v>0</v>
      </c>
      <c r="AA382" s="1">
        <f t="shared" si="185"/>
        <v>0</v>
      </c>
      <c r="AB382" s="1">
        <f t="shared" si="186"/>
        <v>0</v>
      </c>
      <c r="AD382" s="1">
        <f t="shared" si="187"/>
        <v>0</v>
      </c>
      <c r="AE382" s="1">
        <f t="shared" si="188"/>
        <v>0</v>
      </c>
      <c r="AF382" s="1">
        <f t="shared" si="173"/>
        <v>0</v>
      </c>
      <c r="AG382" s="1">
        <f t="shared" si="174"/>
        <v>0</v>
      </c>
      <c r="AH382" s="1">
        <f t="shared" si="175"/>
        <v>0</v>
      </c>
      <c r="AI382" s="1">
        <f t="shared" si="176"/>
        <v>1</v>
      </c>
    </row>
    <row r="383" spans="1:35" ht="14.25" customHeight="1" x14ac:dyDescent="0.25">
      <c r="A383" s="47">
        <v>0</v>
      </c>
      <c r="B383" s="47">
        <v>2</v>
      </c>
      <c r="C383" s="47">
        <v>6</v>
      </c>
      <c r="D383" s="48" t="s">
        <v>519</v>
      </c>
      <c r="E383" s="48" t="s">
        <v>31</v>
      </c>
      <c r="F383" s="48" t="s">
        <v>672</v>
      </c>
      <c r="G383" s="48" t="s">
        <v>200</v>
      </c>
      <c r="H383" s="48" t="s">
        <v>354</v>
      </c>
      <c r="I383" s="47" t="s">
        <v>520</v>
      </c>
      <c r="J383" s="47">
        <v>2</v>
      </c>
      <c r="K383" s="49" t="s">
        <v>954</v>
      </c>
      <c r="L383" s="49" t="s">
        <v>694</v>
      </c>
      <c r="M383" s="50" t="s">
        <v>1430</v>
      </c>
      <c r="N383" s="50" t="s">
        <v>1735</v>
      </c>
      <c r="O383" s="51"/>
      <c r="P383" s="51"/>
      <c r="Q383" s="48"/>
      <c r="S383" s="1">
        <f t="shared" si="177"/>
        <v>0</v>
      </c>
      <c r="T383" s="1">
        <f t="shared" si="178"/>
        <v>1</v>
      </c>
      <c r="U383" s="1">
        <f t="shared" si="179"/>
        <v>0</v>
      </c>
      <c r="V383" s="1">
        <f t="shared" si="180"/>
        <v>0</v>
      </c>
      <c r="W383" s="1">
        <f t="shared" si="181"/>
        <v>0</v>
      </c>
      <c r="X383" s="1">
        <f t="shared" si="182"/>
        <v>0</v>
      </c>
      <c r="Y383" s="1">
        <f t="shared" si="183"/>
        <v>0</v>
      </c>
      <c r="Z383" s="1">
        <f t="shared" si="184"/>
        <v>0</v>
      </c>
      <c r="AA383" s="1">
        <f t="shared" si="185"/>
        <v>0</v>
      </c>
      <c r="AB383" s="1">
        <f t="shared" si="186"/>
        <v>0</v>
      </c>
      <c r="AD383" s="1">
        <f t="shared" si="187"/>
        <v>0</v>
      </c>
      <c r="AE383" s="1">
        <f t="shared" si="188"/>
        <v>0</v>
      </c>
      <c r="AF383" s="1">
        <f t="shared" si="173"/>
        <v>0</v>
      </c>
      <c r="AG383" s="1">
        <f t="shared" si="174"/>
        <v>0</v>
      </c>
      <c r="AH383" s="1">
        <f t="shared" si="175"/>
        <v>0</v>
      </c>
      <c r="AI383" s="1">
        <f t="shared" si="176"/>
        <v>1</v>
      </c>
    </row>
    <row r="384" spans="1:35" ht="14.25" customHeight="1" x14ac:dyDescent="0.25">
      <c r="A384" s="34">
        <v>0</v>
      </c>
      <c r="B384" s="34">
        <v>2</v>
      </c>
      <c r="C384" s="34">
        <v>6</v>
      </c>
      <c r="D384" s="35" t="s">
        <v>53</v>
      </c>
      <c r="E384" s="35" t="s">
        <v>31</v>
      </c>
      <c r="F384" s="35" t="s">
        <v>210</v>
      </c>
      <c r="G384" s="35" t="s">
        <v>211</v>
      </c>
      <c r="H384" s="35" t="s">
        <v>354</v>
      </c>
      <c r="I384" s="34" t="s">
        <v>392</v>
      </c>
      <c r="J384" s="34">
        <v>1</v>
      </c>
      <c r="K384" s="36" t="s">
        <v>712</v>
      </c>
      <c r="L384" s="36" t="s">
        <v>704</v>
      </c>
      <c r="M384" s="37" t="s">
        <v>728</v>
      </c>
      <c r="N384" s="37" t="s">
        <v>1743</v>
      </c>
      <c r="O384" s="38">
        <v>1</v>
      </c>
      <c r="P384" s="38"/>
      <c r="Q384" s="35"/>
      <c r="S384" s="1">
        <f t="shared" si="177"/>
        <v>1</v>
      </c>
      <c r="T384" s="1">
        <f t="shared" si="178"/>
        <v>0</v>
      </c>
      <c r="U384" s="1">
        <f t="shared" si="179"/>
        <v>0</v>
      </c>
      <c r="V384" s="1">
        <f t="shared" si="180"/>
        <v>0</v>
      </c>
      <c r="W384" s="1">
        <f t="shared" si="181"/>
        <v>0</v>
      </c>
      <c r="X384" s="1">
        <f t="shared" si="182"/>
        <v>0</v>
      </c>
      <c r="Y384" s="1">
        <f t="shared" si="183"/>
        <v>0</v>
      </c>
      <c r="Z384" s="1">
        <f t="shared" si="184"/>
        <v>0</v>
      </c>
      <c r="AA384" s="1">
        <f t="shared" si="185"/>
        <v>0</v>
      </c>
      <c r="AB384" s="1">
        <f t="shared" si="186"/>
        <v>0</v>
      </c>
      <c r="AD384" s="1">
        <f t="shared" si="187"/>
        <v>0</v>
      </c>
      <c r="AE384" s="1">
        <f t="shared" si="188"/>
        <v>1</v>
      </c>
      <c r="AF384" s="1">
        <f t="shared" si="173"/>
        <v>0</v>
      </c>
      <c r="AG384" s="1">
        <f t="shared" si="174"/>
        <v>1</v>
      </c>
      <c r="AH384" s="1">
        <f t="shared" si="175"/>
        <v>0</v>
      </c>
      <c r="AI384" s="1">
        <f t="shared" si="176"/>
        <v>1</v>
      </c>
    </row>
    <row r="385" spans="1:35" ht="14.25" customHeight="1" x14ac:dyDescent="0.25">
      <c r="A385" s="15">
        <v>0</v>
      </c>
      <c r="B385" s="15">
        <v>2</v>
      </c>
      <c r="C385" s="15">
        <v>6</v>
      </c>
      <c r="D385" s="16" t="s">
        <v>1862</v>
      </c>
      <c r="E385" s="16" t="s">
        <v>1863</v>
      </c>
      <c r="F385" s="20" t="s">
        <v>1864</v>
      </c>
      <c r="G385" s="16"/>
      <c r="H385" s="20" t="s">
        <v>354</v>
      </c>
      <c r="I385" s="21" t="s">
        <v>1865</v>
      </c>
      <c r="J385" s="15">
        <v>99</v>
      </c>
      <c r="K385" s="10" t="s">
        <v>703</v>
      </c>
      <c r="L385" s="10">
        <v>25</v>
      </c>
      <c r="M385" s="19" t="s">
        <v>1866</v>
      </c>
      <c r="N385" s="19"/>
      <c r="Q385" s="20"/>
      <c r="S385" s="1">
        <f t="shared" si="177"/>
        <v>0</v>
      </c>
      <c r="T385" s="1">
        <f t="shared" si="178"/>
        <v>0</v>
      </c>
      <c r="U385" s="1">
        <f t="shared" si="179"/>
        <v>0</v>
      </c>
      <c r="V385" s="1">
        <f t="shared" si="180"/>
        <v>0</v>
      </c>
      <c r="W385" s="1">
        <f t="shared" si="181"/>
        <v>0</v>
      </c>
      <c r="X385" s="1">
        <f t="shared" si="182"/>
        <v>0</v>
      </c>
      <c r="Y385" s="1">
        <f t="shared" si="183"/>
        <v>0</v>
      </c>
      <c r="Z385" s="1">
        <f t="shared" si="184"/>
        <v>0</v>
      </c>
      <c r="AA385" s="1">
        <f t="shared" si="185"/>
        <v>0</v>
      </c>
      <c r="AB385" s="1">
        <f t="shared" si="186"/>
        <v>0</v>
      </c>
      <c r="AD385" s="1">
        <f t="shared" si="187"/>
        <v>0</v>
      </c>
      <c r="AE385" s="1">
        <f t="shared" si="188"/>
        <v>0</v>
      </c>
      <c r="AF385" s="1">
        <f t="shared" si="173"/>
        <v>0</v>
      </c>
      <c r="AG385" s="1">
        <f t="shared" si="174"/>
        <v>0</v>
      </c>
      <c r="AH385" s="1">
        <f t="shared" si="175"/>
        <v>0</v>
      </c>
      <c r="AI385" s="1">
        <f t="shared" si="176"/>
        <v>1</v>
      </c>
    </row>
    <row r="386" spans="1:35" ht="14.25" customHeight="1" x14ac:dyDescent="0.25">
      <c r="A386" s="15">
        <v>0</v>
      </c>
      <c r="B386" s="15">
        <v>2</v>
      </c>
      <c r="C386" s="15">
        <v>6</v>
      </c>
      <c r="D386" s="16" t="s">
        <v>80</v>
      </c>
      <c r="E386" s="16" t="s">
        <v>31</v>
      </c>
      <c r="F386" s="16" t="s">
        <v>270</v>
      </c>
      <c r="G386" s="16" t="s">
        <v>224</v>
      </c>
      <c r="H386" s="16" t="s">
        <v>354</v>
      </c>
      <c r="I386" s="15" t="s">
        <v>678</v>
      </c>
      <c r="J386" s="15">
        <v>99</v>
      </c>
      <c r="K386" s="10" t="s">
        <v>955</v>
      </c>
      <c r="L386" s="10" t="s">
        <v>694</v>
      </c>
      <c r="M386" s="19" t="s">
        <v>1431</v>
      </c>
      <c r="N386" s="19"/>
      <c r="Q386" s="16"/>
      <c r="S386" s="1">
        <f t="shared" si="177"/>
        <v>0</v>
      </c>
      <c r="T386" s="1">
        <f t="shared" si="178"/>
        <v>0</v>
      </c>
      <c r="U386" s="1">
        <f t="shared" si="179"/>
        <v>0</v>
      </c>
      <c r="V386" s="1">
        <f t="shared" si="180"/>
        <v>0</v>
      </c>
      <c r="W386" s="1">
        <f t="shared" si="181"/>
        <v>0</v>
      </c>
      <c r="X386" s="1">
        <f t="shared" si="182"/>
        <v>0</v>
      </c>
      <c r="Y386" s="1">
        <f t="shared" si="183"/>
        <v>0</v>
      </c>
      <c r="Z386" s="1">
        <f t="shared" si="184"/>
        <v>0</v>
      </c>
      <c r="AA386" s="1">
        <f t="shared" si="185"/>
        <v>0</v>
      </c>
      <c r="AB386" s="1">
        <f t="shared" si="186"/>
        <v>0</v>
      </c>
      <c r="AD386" s="1">
        <f t="shared" si="187"/>
        <v>0</v>
      </c>
      <c r="AE386" s="1">
        <f t="shared" si="188"/>
        <v>0</v>
      </c>
      <c r="AF386" s="1">
        <f t="shared" si="173"/>
        <v>0</v>
      </c>
      <c r="AG386" s="1">
        <f t="shared" si="174"/>
        <v>0</v>
      </c>
      <c r="AH386" s="1">
        <f t="shared" si="175"/>
        <v>0</v>
      </c>
      <c r="AI386" s="1">
        <f t="shared" si="176"/>
        <v>1</v>
      </c>
    </row>
    <row r="387" spans="1:35" ht="14.25" customHeight="1" x14ac:dyDescent="0.25">
      <c r="A387" s="47">
        <v>0</v>
      </c>
      <c r="B387" s="47">
        <v>2</v>
      </c>
      <c r="C387" s="47">
        <v>6</v>
      </c>
      <c r="D387" s="48" t="s">
        <v>639</v>
      </c>
      <c r="E387" s="48" t="s">
        <v>31</v>
      </c>
      <c r="F387" s="48" t="s">
        <v>640</v>
      </c>
      <c r="G387" s="48" t="s">
        <v>240</v>
      </c>
      <c r="H387" s="48" t="s">
        <v>354</v>
      </c>
      <c r="I387" s="47" t="s">
        <v>641</v>
      </c>
      <c r="J387" s="47">
        <v>1</v>
      </c>
      <c r="K387" s="49" t="s">
        <v>713</v>
      </c>
      <c r="L387" s="49" t="s">
        <v>694</v>
      </c>
      <c r="M387" s="50" t="s">
        <v>1432</v>
      </c>
      <c r="N387" s="50" t="s">
        <v>1735</v>
      </c>
      <c r="O387" s="51"/>
      <c r="P387" s="51"/>
      <c r="Q387" s="48"/>
      <c r="S387" s="1">
        <f t="shared" si="177"/>
        <v>1</v>
      </c>
      <c r="T387" s="1">
        <f t="shared" si="178"/>
        <v>0</v>
      </c>
      <c r="U387" s="1">
        <f t="shared" si="179"/>
        <v>0</v>
      </c>
      <c r="V387" s="1">
        <f t="shared" si="180"/>
        <v>0</v>
      </c>
      <c r="W387" s="1">
        <f t="shared" si="181"/>
        <v>0</v>
      </c>
      <c r="X387" s="1">
        <f t="shared" si="182"/>
        <v>0</v>
      </c>
      <c r="Y387" s="1">
        <f t="shared" si="183"/>
        <v>0</v>
      </c>
      <c r="Z387" s="1">
        <f t="shared" si="184"/>
        <v>0</v>
      </c>
      <c r="AA387" s="1">
        <f t="shared" si="185"/>
        <v>0</v>
      </c>
      <c r="AB387" s="1">
        <f t="shared" si="186"/>
        <v>0</v>
      </c>
      <c r="AD387" s="1">
        <f t="shared" si="187"/>
        <v>0</v>
      </c>
      <c r="AE387" s="1">
        <f t="shared" si="188"/>
        <v>0</v>
      </c>
      <c r="AF387" s="1">
        <f t="shared" si="173"/>
        <v>0</v>
      </c>
      <c r="AG387" s="1">
        <f t="shared" si="174"/>
        <v>0</v>
      </c>
      <c r="AH387" s="1">
        <f t="shared" si="175"/>
        <v>0</v>
      </c>
      <c r="AI387" s="1">
        <f t="shared" si="176"/>
        <v>1</v>
      </c>
    </row>
    <row r="388" spans="1:35" ht="14.25" customHeight="1" x14ac:dyDescent="0.25">
      <c r="A388" s="47">
        <v>0</v>
      </c>
      <c r="B388" s="47">
        <v>2</v>
      </c>
      <c r="C388" s="47">
        <v>6</v>
      </c>
      <c r="D388" s="48" t="s">
        <v>1135</v>
      </c>
      <c r="E388" s="48" t="s">
        <v>31</v>
      </c>
      <c r="F388" s="48" t="s">
        <v>672</v>
      </c>
      <c r="G388" s="48" t="s">
        <v>200</v>
      </c>
      <c r="H388" s="48" t="s">
        <v>354</v>
      </c>
      <c r="I388" s="47" t="s">
        <v>520</v>
      </c>
      <c r="J388" s="47">
        <v>2</v>
      </c>
      <c r="K388" s="49" t="s">
        <v>712</v>
      </c>
      <c r="L388" s="49" t="s">
        <v>694</v>
      </c>
      <c r="M388" s="50" t="s">
        <v>728</v>
      </c>
      <c r="N388" s="50" t="s">
        <v>1735</v>
      </c>
      <c r="O388" s="51"/>
      <c r="P388" s="51"/>
      <c r="Q388" s="48"/>
      <c r="S388" s="1">
        <f t="shared" si="177"/>
        <v>0</v>
      </c>
      <c r="T388" s="1">
        <f t="shared" si="178"/>
        <v>1</v>
      </c>
      <c r="U388" s="1">
        <f t="shared" si="179"/>
        <v>0</v>
      </c>
      <c r="V388" s="1">
        <f t="shared" si="180"/>
        <v>0</v>
      </c>
      <c r="W388" s="1">
        <f t="shared" si="181"/>
        <v>0</v>
      </c>
      <c r="X388" s="1">
        <f t="shared" si="182"/>
        <v>0</v>
      </c>
      <c r="Y388" s="1">
        <f t="shared" si="183"/>
        <v>0</v>
      </c>
      <c r="Z388" s="1">
        <f t="shared" si="184"/>
        <v>0</v>
      </c>
      <c r="AA388" s="1">
        <f t="shared" si="185"/>
        <v>0</v>
      </c>
      <c r="AB388" s="1">
        <f t="shared" si="186"/>
        <v>0</v>
      </c>
      <c r="AD388" s="1">
        <f t="shared" si="187"/>
        <v>0</v>
      </c>
      <c r="AE388" s="1">
        <f t="shared" si="188"/>
        <v>0</v>
      </c>
      <c r="AF388" s="1">
        <f t="shared" si="173"/>
        <v>0</v>
      </c>
      <c r="AG388" s="1">
        <f t="shared" si="174"/>
        <v>0</v>
      </c>
      <c r="AH388" s="1">
        <f t="shared" si="175"/>
        <v>0</v>
      </c>
      <c r="AI388" s="1">
        <f t="shared" si="176"/>
        <v>1</v>
      </c>
    </row>
    <row r="389" spans="1:35" ht="14.25" customHeight="1" x14ac:dyDescent="0.25">
      <c r="A389" s="47">
        <v>0</v>
      </c>
      <c r="B389" s="47">
        <v>2</v>
      </c>
      <c r="C389" s="47">
        <v>6</v>
      </c>
      <c r="D389" s="48" t="s">
        <v>1083</v>
      </c>
      <c r="E389" s="48" t="s">
        <v>159</v>
      </c>
      <c r="F389" s="48" t="s">
        <v>198</v>
      </c>
      <c r="G389" s="48" t="s">
        <v>199</v>
      </c>
      <c r="H389" s="48" t="s">
        <v>354</v>
      </c>
      <c r="I389" s="47" t="s">
        <v>388</v>
      </c>
      <c r="J389" s="47">
        <v>99</v>
      </c>
      <c r="K389" s="49" t="s">
        <v>712</v>
      </c>
      <c r="L389" s="49" t="s">
        <v>716</v>
      </c>
      <c r="M389" s="50" t="s">
        <v>730</v>
      </c>
      <c r="N389" s="50" t="s">
        <v>1734</v>
      </c>
      <c r="O389" s="51"/>
      <c r="P389" s="51"/>
      <c r="Q389" s="48"/>
      <c r="S389" s="1">
        <f t="shared" si="177"/>
        <v>0</v>
      </c>
      <c r="T389" s="1">
        <f t="shared" si="178"/>
        <v>0</v>
      </c>
      <c r="U389" s="1">
        <f t="shared" si="179"/>
        <v>0</v>
      </c>
      <c r="V389" s="1">
        <f t="shared" si="180"/>
        <v>0</v>
      </c>
      <c r="W389" s="1">
        <f t="shared" si="181"/>
        <v>0</v>
      </c>
      <c r="X389" s="1">
        <f t="shared" si="182"/>
        <v>0</v>
      </c>
      <c r="Y389" s="1">
        <f t="shared" si="183"/>
        <v>0</v>
      </c>
      <c r="Z389" s="1">
        <f t="shared" si="184"/>
        <v>0</v>
      </c>
      <c r="AA389" s="1">
        <f t="shared" si="185"/>
        <v>0</v>
      </c>
      <c r="AB389" s="1">
        <f t="shared" si="186"/>
        <v>0</v>
      </c>
      <c r="AD389" s="1">
        <f t="shared" si="187"/>
        <v>0</v>
      </c>
      <c r="AE389" s="1">
        <f t="shared" si="188"/>
        <v>0</v>
      </c>
      <c r="AF389" s="1">
        <f t="shared" si="173"/>
        <v>0</v>
      </c>
      <c r="AG389" s="1">
        <f t="shared" si="174"/>
        <v>0</v>
      </c>
      <c r="AH389" s="1">
        <f t="shared" si="175"/>
        <v>0</v>
      </c>
      <c r="AI389" s="1">
        <f t="shared" si="176"/>
        <v>1</v>
      </c>
    </row>
    <row r="390" spans="1:35" ht="14.25" customHeight="1" x14ac:dyDescent="0.25">
      <c r="A390" s="34">
        <v>0</v>
      </c>
      <c r="B390" s="34">
        <v>2</v>
      </c>
      <c r="C390" s="34">
        <v>7</v>
      </c>
      <c r="D390" s="35" t="s">
        <v>509</v>
      </c>
      <c r="E390" s="35" t="s">
        <v>156</v>
      </c>
      <c r="F390" s="35" t="s">
        <v>510</v>
      </c>
      <c r="G390" s="35" t="s">
        <v>39</v>
      </c>
      <c r="H390" s="35" t="s">
        <v>354</v>
      </c>
      <c r="I390" s="34" t="s">
        <v>942</v>
      </c>
      <c r="J390" s="34">
        <v>7</v>
      </c>
      <c r="K390" s="36" t="s">
        <v>955</v>
      </c>
      <c r="L390" s="36" t="s">
        <v>39</v>
      </c>
      <c r="M390" s="37" t="s">
        <v>39</v>
      </c>
      <c r="N390" s="37" t="s">
        <v>1727</v>
      </c>
      <c r="O390" s="38">
        <v>1</v>
      </c>
      <c r="P390" s="38">
        <v>1</v>
      </c>
      <c r="Q390" s="35"/>
      <c r="S390" s="1">
        <f t="shared" si="177"/>
        <v>0</v>
      </c>
      <c r="T390" s="1">
        <f t="shared" si="178"/>
        <v>0</v>
      </c>
      <c r="U390" s="1">
        <f t="shared" si="179"/>
        <v>0</v>
      </c>
      <c r="V390" s="1">
        <f t="shared" si="180"/>
        <v>0</v>
      </c>
      <c r="W390" s="1">
        <f t="shared" si="181"/>
        <v>0</v>
      </c>
      <c r="X390" s="1">
        <f t="shared" si="182"/>
        <v>0</v>
      </c>
      <c r="Y390" s="1">
        <f t="shared" si="183"/>
        <v>1</v>
      </c>
      <c r="Z390" s="1">
        <f t="shared" si="184"/>
        <v>0</v>
      </c>
      <c r="AA390" s="1">
        <f t="shared" si="185"/>
        <v>0</v>
      </c>
      <c r="AB390" s="1">
        <f t="shared" si="186"/>
        <v>0</v>
      </c>
      <c r="AD390" s="1">
        <f t="shared" si="187"/>
        <v>1</v>
      </c>
      <c r="AE390" s="1">
        <f t="shared" si="188"/>
        <v>0</v>
      </c>
      <c r="AF390" s="1">
        <f t="shared" si="173"/>
        <v>1</v>
      </c>
      <c r="AG390" s="1">
        <f t="shared" si="174"/>
        <v>0</v>
      </c>
      <c r="AH390" s="1">
        <f t="shared" si="175"/>
        <v>1</v>
      </c>
      <c r="AI390" s="1">
        <f t="shared" si="176"/>
        <v>0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70</v>
      </c>
      <c r="E391" s="35" t="s">
        <v>28</v>
      </c>
      <c r="F391" s="35" t="s">
        <v>673</v>
      </c>
      <c r="G391" s="35" t="s">
        <v>258</v>
      </c>
      <c r="H391" s="35" t="s">
        <v>354</v>
      </c>
      <c r="I391" s="34" t="s">
        <v>417</v>
      </c>
      <c r="J391" s="34">
        <v>8</v>
      </c>
      <c r="K391" s="36" t="s">
        <v>713</v>
      </c>
      <c r="L391" s="36" t="s">
        <v>713</v>
      </c>
      <c r="M391" s="37" t="s">
        <v>731</v>
      </c>
      <c r="N391" s="37" t="s">
        <v>1743</v>
      </c>
      <c r="O391" s="38">
        <v>1</v>
      </c>
      <c r="P391" s="38"/>
      <c r="Q391" s="35"/>
      <c r="S391" s="1">
        <f t="shared" si="177"/>
        <v>0</v>
      </c>
      <c r="T391" s="1">
        <f t="shared" si="178"/>
        <v>0</v>
      </c>
      <c r="U391" s="1">
        <f t="shared" si="179"/>
        <v>0</v>
      </c>
      <c r="V391" s="1">
        <f t="shared" si="180"/>
        <v>0</v>
      </c>
      <c r="W391" s="1">
        <f t="shared" si="181"/>
        <v>0</v>
      </c>
      <c r="X391" s="1">
        <f t="shared" si="182"/>
        <v>0</v>
      </c>
      <c r="Y391" s="1">
        <f t="shared" si="183"/>
        <v>0</v>
      </c>
      <c r="Z391" s="1">
        <f t="shared" si="184"/>
        <v>1</v>
      </c>
      <c r="AA391" s="1">
        <f t="shared" si="185"/>
        <v>0</v>
      </c>
      <c r="AB391" s="1">
        <f t="shared" si="186"/>
        <v>0</v>
      </c>
      <c r="AD391" s="1">
        <f t="shared" si="187"/>
        <v>0</v>
      </c>
      <c r="AE391" s="1">
        <f t="shared" si="188"/>
        <v>1</v>
      </c>
      <c r="AF391" s="1">
        <f t="shared" si="173"/>
        <v>0</v>
      </c>
      <c r="AG391" s="1">
        <f t="shared" si="174"/>
        <v>1</v>
      </c>
      <c r="AH391" s="1">
        <f t="shared" si="175"/>
        <v>0</v>
      </c>
      <c r="AI391" s="1">
        <f t="shared" si="176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654</v>
      </c>
      <c r="E392" s="35" t="s">
        <v>156</v>
      </c>
      <c r="F392" s="35" t="s">
        <v>585</v>
      </c>
      <c r="G392" s="35" t="s">
        <v>249</v>
      </c>
      <c r="H392" s="35" t="s">
        <v>354</v>
      </c>
      <c r="I392" s="34" t="s">
        <v>679</v>
      </c>
      <c r="J392" s="34">
        <v>7</v>
      </c>
      <c r="K392" s="36" t="s">
        <v>955</v>
      </c>
      <c r="L392" s="36" t="s">
        <v>39</v>
      </c>
      <c r="M392" s="37" t="s">
        <v>39</v>
      </c>
      <c r="N392" s="37" t="s">
        <v>1727</v>
      </c>
      <c r="O392" s="38">
        <v>1</v>
      </c>
      <c r="P392" s="38">
        <v>1</v>
      </c>
      <c r="Q392" s="35"/>
      <c r="S392" s="1">
        <f t="shared" si="177"/>
        <v>0</v>
      </c>
      <c r="T392" s="1">
        <f t="shared" si="178"/>
        <v>0</v>
      </c>
      <c r="U392" s="1">
        <f t="shared" si="179"/>
        <v>0</v>
      </c>
      <c r="V392" s="1">
        <f t="shared" si="180"/>
        <v>0</v>
      </c>
      <c r="W392" s="1">
        <f t="shared" si="181"/>
        <v>0</v>
      </c>
      <c r="X392" s="1">
        <f t="shared" si="182"/>
        <v>0</v>
      </c>
      <c r="Y392" s="1">
        <f t="shared" si="183"/>
        <v>1</v>
      </c>
      <c r="Z392" s="1">
        <f t="shared" si="184"/>
        <v>0</v>
      </c>
      <c r="AA392" s="1">
        <f t="shared" si="185"/>
        <v>0</v>
      </c>
      <c r="AB392" s="1">
        <f t="shared" si="186"/>
        <v>0</v>
      </c>
      <c r="AD392" s="1">
        <f t="shared" si="187"/>
        <v>1</v>
      </c>
      <c r="AE392" s="1">
        <f t="shared" si="188"/>
        <v>0</v>
      </c>
      <c r="AF392" s="1">
        <f t="shared" si="173"/>
        <v>1</v>
      </c>
      <c r="AG392" s="1">
        <f t="shared" si="174"/>
        <v>0</v>
      </c>
      <c r="AH392" s="1">
        <f t="shared" si="175"/>
        <v>1</v>
      </c>
      <c r="AI392" s="1">
        <f t="shared" si="176"/>
        <v>0</v>
      </c>
    </row>
    <row r="393" spans="1:35" ht="14.25" customHeight="1" x14ac:dyDescent="0.25">
      <c r="A393" s="47">
        <v>0</v>
      </c>
      <c r="B393" s="47">
        <v>2</v>
      </c>
      <c r="C393" s="47">
        <v>7</v>
      </c>
      <c r="D393" s="48" t="s">
        <v>1634</v>
      </c>
      <c r="E393" s="48" t="s">
        <v>156</v>
      </c>
      <c r="F393" s="48" t="s">
        <v>1657</v>
      </c>
      <c r="G393" s="48" t="s">
        <v>213</v>
      </c>
      <c r="H393" s="48" t="s">
        <v>354</v>
      </c>
      <c r="I393" s="47" t="s">
        <v>594</v>
      </c>
      <c r="J393" s="47">
        <v>1</v>
      </c>
      <c r="K393" s="49" t="s">
        <v>712</v>
      </c>
      <c r="L393" s="49" t="s">
        <v>722</v>
      </c>
      <c r="M393" s="50" t="s">
        <v>1433</v>
      </c>
      <c r="N393" s="50" t="s">
        <v>1735</v>
      </c>
      <c r="O393" s="51"/>
      <c r="P393" s="51"/>
      <c r="Q393" s="48"/>
      <c r="S393" s="1">
        <f t="shared" si="177"/>
        <v>1</v>
      </c>
      <c r="T393" s="1">
        <f t="shared" si="178"/>
        <v>0</v>
      </c>
      <c r="U393" s="1">
        <f t="shared" si="179"/>
        <v>0</v>
      </c>
      <c r="V393" s="1">
        <f t="shared" si="180"/>
        <v>0</v>
      </c>
      <c r="W393" s="1">
        <f t="shared" si="181"/>
        <v>0</v>
      </c>
      <c r="X393" s="1">
        <f t="shared" si="182"/>
        <v>0</v>
      </c>
      <c r="Y393" s="1">
        <f t="shared" si="183"/>
        <v>0</v>
      </c>
      <c r="Z393" s="1">
        <f t="shared" si="184"/>
        <v>0</v>
      </c>
      <c r="AA393" s="1">
        <f t="shared" si="185"/>
        <v>0</v>
      </c>
      <c r="AB393" s="1">
        <f t="shared" si="186"/>
        <v>0</v>
      </c>
      <c r="AD393" s="1">
        <f t="shared" si="187"/>
        <v>0</v>
      </c>
      <c r="AE393" s="1">
        <f t="shared" si="188"/>
        <v>0</v>
      </c>
      <c r="AF393" s="1">
        <f t="shared" si="173"/>
        <v>0</v>
      </c>
      <c r="AG393" s="1">
        <f t="shared" si="174"/>
        <v>0</v>
      </c>
      <c r="AH393" s="1">
        <f t="shared" si="175"/>
        <v>0</v>
      </c>
      <c r="AI393" s="1">
        <f t="shared" si="176"/>
        <v>1</v>
      </c>
    </row>
    <row r="394" spans="1:35" ht="14.25" customHeight="1" x14ac:dyDescent="0.25">
      <c r="A394" s="47">
        <v>0</v>
      </c>
      <c r="B394" s="47">
        <v>2</v>
      </c>
      <c r="C394" s="47">
        <v>7</v>
      </c>
      <c r="D394" s="48" t="s">
        <v>1070</v>
      </c>
      <c r="E394" s="48" t="s">
        <v>1046</v>
      </c>
      <c r="F394" s="48" t="s">
        <v>1071</v>
      </c>
      <c r="G394" s="48" t="s">
        <v>213</v>
      </c>
      <c r="H394" s="48" t="s">
        <v>354</v>
      </c>
      <c r="I394" s="47" t="s">
        <v>1072</v>
      </c>
      <c r="J394" s="47">
        <v>1</v>
      </c>
      <c r="K394" s="49" t="s">
        <v>955</v>
      </c>
      <c r="L394" s="49" t="s">
        <v>722</v>
      </c>
      <c r="M394" s="50" t="s">
        <v>1434</v>
      </c>
      <c r="N394" s="50" t="s">
        <v>1735</v>
      </c>
      <c r="O394" s="51"/>
      <c r="P394" s="51"/>
      <c r="Q394" s="48" t="s">
        <v>1918</v>
      </c>
      <c r="S394" s="1">
        <f t="shared" si="177"/>
        <v>1</v>
      </c>
      <c r="T394" s="1">
        <f t="shared" si="178"/>
        <v>0</v>
      </c>
      <c r="U394" s="1">
        <f t="shared" si="179"/>
        <v>0</v>
      </c>
      <c r="V394" s="1">
        <f t="shared" si="180"/>
        <v>0</v>
      </c>
      <c r="W394" s="1">
        <f t="shared" si="181"/>
        <v>0</v>
      </c>
      <c r="X394" s="1">
        <f t="shared" si="182"/>
        <v>0</v>
      </c>
      <c r="Y394" s="1">
        <f t="shared" si="183"/>
        <v>0</v>
      </c>
      <c r="Z394" s="1">
        <f t="shared" si="184"/>
        <v>0</v>
      </c>
      <c r="AA394" s="1">
        <f t="shared" si="185"/>
        <v>0</v>
      </c>
      <c r="AB394" s="1">
        <f t="shared" si="186"/>
        <v>0</v>
      </c>
      <c r="AD394" s="1">
        <f t="shared" si="187"/>
        <v>0</v>
      </c>
      <c r="AE394" s="1">
        <f t="shared" si="188"/>
        <v>0</v>
      </c>
      <c r="AF394" s="1">
        <f t="shared" si="173"/>
        <v>0</v>
      </c>
      <c r="AG394" s="1">
        <f t="shared" si="174"/>
        <v>0</v>
      </c>
      <c r="AH394" s="1">
        <f t="shared" si="175"/>
        <v>0</v>
      </c>
      <c r="AI394" s="1">
        <f t="shared" si="176"/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1017</v>
      </c>
      <c r="E395" s="35" t="s">
        <v>156</v>
      </c>
      <c r="F395" s="35" t="s">
        <v>1088</v>
      </c>
      <c r="G395" s="35" t="s">
        <v>1098</v>
      </c>
      <c r="H395" s="35" t="s">
        <v>354</v>
      </c>
      <c r="I395" s="34" t="s">
        <v>1018</v>
      </c>
      <c r="J395" s="34">
        <v>99</v>
      </c>
      <c r="K395" s="36" t="s">
        <v>713</v>
      </c>
      <c r="L395" s="36" t="s">
        <v>722</v>
      </c>
      <c r="M395" s="37" t="s">
        <v>1434</v>
      </c>
      <c r="N395" s="37" t="s">
        <v>1748</v>
      </c>
      <c r="O395" s="38">
        <v>1</v>
      </c>
      <c r="P395" s="38"/>
      <c r="Q395" s="35"/>
      <c r="S395" s="1">
        <f t="shared" si="177"/>
        <v>0</v>
      </c>
      <c r="T395" s="1">
        <f t="shared" si="178"/>
        <v>0</v>
      </c>
      <c r="U395" s="1">
        <f t="shared" si="179"/>
        <v>0</v>
      </c>
      <c r="V395" s="1">
        <f t="shared" si="180"/>
        <v>0</v>
      </c>
      <c r="W395" s="1">
        <f t="shared" si="181"/>
        <v>0</v>
      </c>
      <c r="X395" s="1">
        <f t="shared" si="182"/>
        <v>0</v>
      </c>
      <c r="Y395" s="1">
        <f t="shared" si="183"/>
        <v>0</v>
      </c>
      <c r="Z395" s="1">
        <f t="shared" si="184"/>
        <v>0</v>
      </c>
      <c r="AA395" s="1">
        <f t="shared" si="185"/>
        <v>0</v>
      </c>
      <c r="AB395" s="1">
        <f t="shared" si="186"/>
        <v>0</v>
      </c>
      <c r="AD395" s="1">
        <f t="shared" si="187"/>
        <v>0</v>
      </c>
      <c r="AE395" s="1">
        <f t="shared" si="188"/>
        <v>1</v>
      </c>
      <c r="AF395" s="1">
        <f t="shared" si="173"/>
        <v>0</v>
      </c>
      <c r="AG395" s="1">
        <f t="shared" si="174"/>
        <v>1</v>
      </c>
      <c r="AH395" s="1">
        <f t="shared" si="175"/>
        <v>0</v>
      </c>
      <c r="AI395" s="1">
        <f t="shared" si="176"/>
        <v>1</v>
      </c>
    </row>
    <row r="396" spans="1:35" ht="14.25" customHeight="1" x14ac:dyDescent="0.25">
      <c r="A396" s="34">
        <v>0</v>
      </c>
      <c r="B396" s="34">
        <v>2</v>
      </c>
      <c r="C396" s="34">
        <v>7</v>
      </c>
      <c r="D396" s="35" t="s">
        <v>1205</v>
      </c>
      <c r="E396" s="35" t="s">
        <v>1332</v>
      </c>
      <c r="F396" s="35" t="s">
        <v>1206</v>
      </c>
      <c r="G396" s="35" t="s">
        <v>39</v>
      </c>
      <c r="H396" s="35" t="s">
        <v>354</v>
      </c>
      <c r="I396" s="34" t="s">
        <v>1685</v>
      </c>
      <c r="J396" s="34">
        <v>99</v>
      </c>
      <c r="K396" s="36" t="s">
        <v>955</v>
      </c>
      <c r="L396" s="36" t="s">
        <v>729</v>
      </c>
      <c r="M396" s="37" t="s">
        <v>1435</v>
      </c>
      <c r="N396" s="37" t="s">
        <v>1748</v>
      </c>
      <c r="O396" s="38">
        <v>1</v>
      </c>
      <c r="P396" s="38"/>
      <c r="Q396" s="35"/>
      <c r="S396" s="1">
        <f t="shared" si="177"/>
        <v>0</v>
      </c>
      <c r="T396" s="1">
        <f t="shared" si="178"/>
        <v>0</v>
      </c>
      <c r="U396" s="1">
        <f t="shared" si="179"/>
        <v>0</v>
      </c>
      <c r="V396" s="1">
        <f t="shared" si="180"/>
        <v>0</v>
      </c>
      <c r="W396" s="1">
        <f t="shared" si="181"/>
        <v>0</v>
      </c>
      <c r="X396" s="1">
        <f t="shared" si="182"/>
        <v>0</v>
      </c>
      <c r="Y396" s="1">
        <f t="shared" si="183"/>
        <v>0</v>
      </c>
      <c r="Z396" s="1">
        <f t="shared" si="184"/>
        <v>0</v>
      </c>
      <c r="AA396" s="1">
        <f t="shared" si="185"/>
        <v>0</v>
      </c>
      <c r="AB396" s="1">
        <f t="shared" si="186"/>
        <v>0</v>
      </c>
      <c r="AD396" s="1">
        <f t="shared" si="187"/>
        <v>0</v>
      </c>
      <c r="AE396" s="1">
        <f t="shared" si="188"/>
        <v>1</v>
      </c>
      <c r="AF396" s="1">
        <f t="shared" si="173"/>
        <v>0</v>
      </c>
      <c r="AG396" s="1">
        <f t="shared" si="174"/>
        <v>1</v>
      </c>
      <c r="AH396" s="1">
        <f t="shared" si="175"/>
        <v>0</v>
      </c>
      <c r="AI396" s="1">
        <f t="shared" si="176"/>
        <v>1</v>
      </c>
    </row>
    <row r="397" spans="1:35" ht="14.25" customHeight="1" x14ac:dyDescent="0.25">
      <c r="A397" s="34">
        <v>0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644</v>
      </c>
      <c r="G397" s="35" t="s">
        <v>535</v>
      </c>
      <c r="H397" s="35" t="s">
        <v>354</v>
      </c>
      <c r="I397" s="34" t="s">
        <v>394</v>
      </c>
      <c r="J397" s="34">
        <v>6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77"/>
        <v>0</v>
      </c>
      <c r="T397" s="1">
        <f t="shared" si="178"/>
        <v>0</v>
      </c>
      <c r="U397" s="1">
        <f t="shared" si="179"/>
        <v>0</v>
      </c>
      <c r="V397" s="1">
        <f t="shared" si="180"/>
        <v>0</v>
      </c>
      <c r="W397" s="1">
        <f t="shared" si="181"/>
        <v>0</v>
      </c>
      <c r="X397" s="1">
        <f t="shared" si="182"/>
        <v>1</v>
      </c>
      <c r="Y397" s="1">
        <f t="shared" si="183"/>
        <v>0</v>
      </c>
      <c r="Z397" s="1">
        <f t="shared" si="184"/>
        <v>0</v>
      </c>
      <c r="AA397" s="1">
        <f t="shared" si="185"/>
        <v>0</v>
      </c>
      <c r="AB397" s="1">
        <f t="shared" si="186"/>
        <v>0</v>
      </c>
      <c r="AD397" s="1">
        <f t="shared" si="187"/>
        <v>0</v>
      </c>
      <c r="AE397" s="1">
        <f t="shared" si="188"/>
        <v>1</v>
      </c>
      <c r="AF397" s="1">
        <f t="shared" si="173"/>
        <v>0</v>
      </c>
      <c r="AG397" s="1">
        <f t="shared" si="174"/>
        <v>1</v>
      </c>
      <c r="AH397" s="1">
        <f t="shared" si="175"/>
        <v>0</v>
      </c>
      <c r="AI397" s="1">
        <f t="shared" si="176"/>
        <v>1</v>
      </c>
    </row>
    <row r="398" spans="1:35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216</v>
      </c>
      <c r="G398" s="35" t="s">
        <v>39</v>
      </c>
      <c r="H398" s="35" t="s">
        <v>354</v>
      </c>
      <c r="I398" s="34" t="s">
        <v>30</v>
      </c>
      <c r="J398" s="34">
        <v>99</v>
      </c>
      <c r="K398" s="36" t="s">
        <v>712</v>
      </c>
      <c r="L398" s="36" t="s">
        <v>713</v>
      </c>
      <c r="M398" s="37" t="s">
        <v>731</v>
      </c>
      <c r="N398" s="37" t="s">
        <v>1761</v>
      </c>
      <c r="O398" s="38">
        <v>1</v>
      </c>
      <c r="P398" s="38"/>
      <c r="Q398" s="35"/>
      <c r="S398" s="1">
        <f t="shared" si="177"/>
        <v>0</v>
      </c>
      <c r="T398" s="1">
        <f t="shared" si="178"/>
        <v>0</v>
      </c>
      <c r="U398" s="1">
        <f t="shared" si="179"/>
        <v>0</v>
      </c>
      <c r="V398" s="1">
        <f t="shared" si="180"/>
        <v>0</v>
      </c>
      <c r="W398" s="1">
        <f t="shared" si="181"/>
        <v>0</v>
      </c>
      <c r="X398" s="1">
        <f t="shared" si="182"/>
        <v>0</v>
      </c>
      <c r="Y398" s="1">
        <f t="shared" si="183"/>
        <v>0</v>
      </c>
      <c r="Z398" s="1">
        <f t="shared" si="184"/>
        <v>0</v>
      </c>
      <c r="AA398" s="1">
        <f t="shared" si="185"/>
        <v>0</v>
      </c>
      <c r="AB398" s="1">
        <f t="shared" si="186"/>
        <v>0</v>
      </c>
      <c r="AD398" s="1">
        <f t="shared" si="187"/>
        <v>0</v>
      </c>
      <c r="AE398" s="1">
        <f t="shared" si="188"/>
        <v>1</v>
      </c>
      <c r="AF398" s="1">
        <f t="shared" ref="AF398:AF461" si="207">+O398*P398*(1-A398)</f>
        <v>0</v>
      </c>
      <c r="AG398" s="1">
        <f t="shared" ref="AG398:AG461" si="208">O398*(1-P398)*(1-A398)</f>
        <v>0</v>
      </c>
      <c r="AH398" s="1">
        <f t="shared" ref="AH398:AH461" si="209">+P398*(1-A398)</f>
        <v>0</v>
      </c>
      <c r="AI398" s="1">
        <f t="shared" ref="AI398:AI461" si="210">+(1-A398)*(1-P398)</f>
        <v>0</v>
      </c>
    </row>
    <row r="399" spans="1:35" ht="14.25" customHeight="1" x14ac:dyDescent="0.25">
      <c r="A399" s="34">
        <v>1</v>
      </c>
      <c r="B399" s="34">
        <v>2</v>
      </c>
      <c r="C399" s="34">
        <v>7</v>
      </c>
      <c r="D399" s="35" t="s">
        <v>55</v>
      </c>
      <c r="E399" s="35" t="s">
        <v>28</v>
      </c>
      <c r="F399" s="35" t="s">
        <v>215</v>
      </c>
      <c r="G399" s="35" t="s">
        <v>39</v>
      </c>
      <c r="H399" s="35" t="s">
        <v>354</v>
      </c>
      <c r="I399" s="34" t="s">
        <v>394</v>
      </c>
      <c r="J399" s="34">
        <v>99</v>
      </c>
      <c r="K399" s="36" t="s">
        <v>712</v>
      </c>
      <c r="L399" s="36" t="s">
        <v>713</v>
      </c>
      <c r="M399" s="37" t="s">
        <v>731</v>
      </c>
      <c r="N399" s="37" t="s">
        <v>1761</v>
      </c>
      <c r="O399" s="38">
        <v>1</v>
      </c>
      <c r="P399" s="38"/>
      <c r="Q399" s="35"/>
      <c r="S399" s="1">
        <f t="shared" si="177"/>
        <v>0</v>
      </c>
      <c r="T399" s="1">
        <f t="shared" si="178"/>
        <v>0</v>
      </c>
      <c r="U399" s="1">
        <f t="shared" si="179"/>
        <v>0</v>
      </c>
      <c r="V399" s="1">
        <f t="shared" si="180"/>
        <v>0</v>
      </c>
      <c r="W399" s="1">
        <f t="shared" si="181"/>
        <v>0</v>
      </c>
      <c r="X399" s="1">
        <f t="shared" si="182"/>
        <v>0</v>
      </c>
      <c r="Y399" s="1">
        <f t="shared" si="183"/>
        <v>0</v>
      </c>
      <c r="Z399" s="1">
        <f t="shared" si="184"/>
        <v>0</v>
      </c>
      <c r="AA399" s="1">
        <f t="shared" si="185"/>
        <v>0</v>
      </c>
      <c r="AB399" s="1">
        <f t="shared" si="186"/>
        <v>0</v>
      </c>
      <c r="AD399" s="1">
        <f t="shared" si="187"/>
        <v>0</v>
      </c>
      <c r="AE399" s="1">
        <f t="shared" si="188"/>
        <v>1</v>
      </c>
      <c r="AF399" s="1">
        <f t="shared" si="207"/>
        <v>0</v>
      </c>
      <c r="AG399" s="1">
        <f t="shared" si="208"/>
        <v>0</v>
      </c>
      <c r="AH399" s="1">
        <f t="shared" si="209"/>
        <v>0</v>
      </c>
      <c r="AI399" s="1">
        <f t="shared" si="210"/>
        <v>0</v>
      </c>
    </row>
    <row r="400" spans="1:35" ht="14.25" customHeight="1" x14ac:dyDescent="0.25">
      <c r="A400" s="34">
        <v>1</v>
      </c>
      <c r="B400" s="34">
        <v>2</v>
      </c>
      <c r="C400" s="34">
        <v>7</v>
      </c>
      <c r="D400" s="35" t="s">
        <v>55</v>
      </c>
      <c r="E400" s="35" t="s">
        <v>28</v>
      </c>
      <c r="F400" s="35" t="s">
        <v>217</v>
      </c>
      <c r="G400" s="35" t="s">
        <v>218</v>
      </c>
      <c r="H400" s="35" t="s">
        <v>354</v>
      </c>
      <c r="I400" s="34" t="s">
        <v>395</v>
      </c>
      <c r="J400" s="34">
        <v>99</v>
      </c>
      <c r="K400" s="36" t="s">
        <v>712</v>
      </c>
      <c r="L400" s="36" t="s">
        <v>713</v>
      </c>
      <c r="M400" s="37" t="s">
        <v>731</v>
      </c>
      <c r="N400" s="37" t="s">
        <v>1761</v>
      </c>
      <c r="O400" s="38">
        <v>1</v>
      </c>
      <c r="P400" s="38"/>
      <c r="Q400" s="35"/>
      <c r="S400" s="1">
        <f t="shared" si="177"/>
        <v>0</v>
      </c>
      <c r="T400" s="1">
        <f t="shared" si="178"/>
        <v>0</v>
      </c>
      <c r="U400" s="1">
        <f t="shared" si="179"/>
        <v>0</v>
      </c>
      <c r="V400" s="1">
        <f t="shared" si="180"/>
        <v>0</v>
      </c>
      <c r="W400" s="1">
        <f t="shared" si="181"/>
        <v>0</v>
      </c>
      <c r="X400" s="1">
        <f t="shared" si="182"/>
        <v>0</v>
      </c>
      <c r="Y400" s="1">
        <f t="shared" si="183"/>
        <v>0</v>
      </c>
      <c r="Z400" s="1">
        <f t="shared" si="184"/>
        <v>0</v>
      </c>
      <c r="AA400" s="1">
        <f t="shared" si="185"/>
        <v>0</v>
      </c>
      <c r="AB400" s="1">
        <f t="shared" si="186"/>
        <v>0</v>
      </c>
      <c r="AD400" s="1">
        <f t="shared" si="187"/>
        <v>0</v>
      </c>
      <c r="AE400" s="1">
        <f t="shared" si="188"/>
        <v>1</v>
      </c>
      <c r="AF400" s="1">
        <f t="shared" si="207"/>
        <v>0</v>
      </c>
      <c r="AG400" s="1">
        <f t="shared" si="208"/>
        <v>0</v>
      </c>
      <c r="AH400" s="1">
        <f t="shared" si="209"/>
        <v>0</v>
      </c>
      <c r="AI400" s="1">
        <f t="shared" si="210"/>
        <v>0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68</v>
      </c>
      <c r="E401" s="48" t="s">
        <v>28</v>
      </c>
      <c r="F401" s="48" t="s">
        <v>253</v>
      </c>
      <c r="G401" s="48" t="s">
        <v>254</v>
      </c>
      <c r="H401" s="48" t="s">
        <v>354</v>
      </c>
      <c r="I401" s="47" t="s">
        <v>414</v>
      </c>
      <c r="J401" s="47">
        <v>99</v>
      </c>
      <c r="K401" s="49" t="s">
        <v>713</v>
      </c>
      <c r="L401" s="49" t="s">
        <v>713</v>
      </c>
      <c r="M401" s="50" t="s">
        <v>731</v>
      </c>
      <c r="N401" s="50" t="s">
        <v>1802</v>
      </c>
      <c r="O401" s="51"/>
      <c r="P401" s="51"/>
      <c r="Q401" s="48"/>
      <c r="S401" s="1">
        <f t="shared" ref="S401:S407" si="211">IF(J401=$S$7,1,0)</f>
        <v>0</v>
      </c>
      <c r="T401" s="1">
        <f t="shared" ref="T401:T407" si="212">IF(J401=$T$7,1,0)</f>
        <v>0</v>
      </c>
      <c r="U401" s="1">
        <f t="shared" ref="U401:U407" si="213">IF(J401=$U$7,1,0)</f>
        <v>0</v>
      </c>
      <c r="V401" s="1">
        <f t="shared" ref="V401:V407" si="214">IF(J401=$V$7,1,0)</f>
        <v>0</v>
      </c>
      <c r="W401" s="1">
        <f t="shared" ref="W401:W407" si="215">IF(J401=$W$7,1,0)</f>
        <v>0</v>
      </c>
      <c r="X401" s="1">
        <f t="shared" ref="X401:X407" si="216">IF(J401=$X$7,1,0)</f>
        <v>0</v>
      </c>
      <c r="Y401" s="1">
        <f t="shared" ref="Y401:Y407" si="217">IF(J401=$Y$7,1,0)</f>
        <v>0</v>
      </c>
      <c r="Z401" s="1">
        <f t="shared" ref="Z401:Z407" si="218">IF(J401=$Z$7,1,0)</f>
        <v>0</v>
      </c>
      <c r="AA401" s="1">
        <f t="shared" ref="AA401:AA407" si="219">IF(J401=$AA$7,1,0)</f>
        <v>0</v>
      </c>
      <c r="AB401" s="1">
        <f t="shared" ref="AB401:AB407" si="220">IF(J401=$AB$7,1,0)</f>
        <v>0</v>
      </c>
      <c r="AD401" s="1">
        <f t="shared" ref="AD401:AD407" si="221">+O401*P401</f>
        <v>0</v>
      </c>
      <c r="AE401" s="1">
        <f t="shared" ref="AE401:AE407" si="222">O401*(1-P401)</f>
        <v>0</v>
      </c>
      <c r="AF401" s="1">
        <f t="shared" ref="AF401:AF407" si="223">+O401*P401*(1-A401)</f>
        <v>0</v>
      </c>
      <c r="AG401" s="1">
        <f t="shared" ref="AG401:AG407" si="224">O401*(1-P401)*(1-A401)</f>
        <v>0</v>
      </c>
      <c r="AH401" s="1">
        <f t="shared" ref="AH401:AH407" si="225">+P401*(1-A401)</f>
        <v>0</v>
      </c>
      <c r="AI401" s="1">
        <f t="shared" ref="AI401:AI407" si="226">+(1-A401)*(1-P401)</f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2018</v>
      </c>
      <c r="E402" s="35" t="s">
        <v>28</v>
      </c>
      <c r="F402" s="35" t="s">
        <v>2020</v>
      </c>
      <c r="G402" s="35" t="s">
        <v>1104</v>
      </c>
      <c r="H402" s="35" t="s">
        <v>354</v>
      </c>
      <c r="I402" s="34" t="s">
        <v>2021</v>
      </c>
      <c r="J402" s="34">
        <v>1</v>
      </c>
      <c r="K402" s="36" t="s">
        <v>703</v>
      </c>
      <c r="L402" s="36"/>
      <c r="M402" s="37"/>
      <c r="N402" s="37" t="s">
        <v>1727</v>
      </c>
      <c r="O402" s="38">
        <v>1</v>
      </c>
      <c r="P402" s="38">
        <v>1</v>
      </c>
      <c r="Q402" s="35" t="s">
        <v>2023</v>
      </c>
      <c r="S402" s="1">
        <f t="shared" si="211"/>
        <v>1</v>
      </c>
      <c r="T402" s="1">
        <f t="shared" si="212"/>
        <v>0</v>
      </c>
      <c r="U402" s="1">
        <f t="shared" si="213"/>
        <v>0</v>
      </c>
      <c r="V402" s="1">
        <f t="shared" si="214"/>
        <v>0</v>
      </c>
      <c r="W402" s="1">
        <f t="shared" si="215"/>
        <v>0</v>
      </c>
      <c r="X402" s="1">
        <f t="shared" si="216"/>
        <v>0</v>
      </c>
      <c r="Y402" s="1">
        <f t="shared" si="217"/>
        <v>0</v>
      </c>
      <c r="Z402" s="1">
        <f t="shared" si="218"/>
        <v>0</v>
      </c>
      <c r="AA402" s="1">
        <f t="shared" si="219"/>
        <v>0</v>
      </c>
      <c r="AB402" s="1">
        <f t="shared" si="220"/>
        <v>0</v>
      </c>
      <c r="AD402" s="1">
        <f t="shared" si="221"/>
        <v>1</v>
      </c>
      <c r="AE402" s="1">
        <f t="shared" si="222"/>
        <v>0</v>
      </c>
      <c r="AF402" s="1">
        <f t="shared" si="223"/>
        <v>1</v>
      </c>
      <c r="AG402" s="1">
        <f t="shared" si="224"/>
        <v>0</v>
      </c>
      <c r="AH402" s="1">
        <f t="shared" si="225"/>
        <v>1</v>
      </c>
      <c r="AI402" s="1">
        <f t="shared" si="226"/>
        <v>0</v>
      </c>
    </row>
    <row r="403" spans="1:35" ht="14.25" customHeight="1" x14ac:dyDescent="0.25">
      <c r="A403" s="34">
        <v>1</v>
      </c>
      <c r="B403" s="34">
        <v>2</v>
      </c>
      <c r="C403" s="34">
        <v>7</v>
      </c>
      <c r="D403" s="35" t="s">
        <v>2018</v>
      </c>
      <c r="E403" s="35" t="s">
        <v>28</v>
      </c>
      <c r="F403" s="35" t="s">
        <v>2019</v>
      </c>
      <c r="G403" s="39" t="s">
        <v>2025</v>
      </c>
      <c r="H403" s="35" t="s">
        <v>354</v>
      </c>
      <c r="I403" s="34" t="s">
        <v>2022</v>
      </c>
      <c r="J403" s="34">
        <v>8</v>
      </c>
      <c r="K403" s="36" t="s">
        <v>703</v>
      </c>
      <c r="L403" s="36"/>
      <c r="M403" s="37"/>
      <c r="N403" s="37" t="s">
        <v>1727</v>
      </c>
      <c r="O403" s="38">
        <v>1</v>
      </c>
      <c r="P403" s="38">
        <v>1</v>
      </c>
      <c r="Q403" s="35" t="s">
        <v>2024</v>
      </c>
      <c r="S403" s="1">
        <f t="shared" si="211"/>
        <v>0</v>
      </c>
      <c r="T403" s="1">
        <f t="shared" si="212"/>
        <v>0</v>
      </c>
      <c r="U403" s="1">
        <f t="shared" si="213"/>
        <v>0</v>
      </c>
      <c r="V403" s="1">
        <f t="shared" si="214"/>
        <v>0</v>
      </c>
      <c r="W403" s="1">
        <f t="shared" si="215"/>
        <v>0</v>
      </c>
      <c r="X403" s="1">
        <f t="shared" si="216"/>
        <v>0</v>
      </c>
      <c r="Y403" s="1">
        <f t="shared" si="217"/>
        <v>0</v>
      </c>
      <c r="Z403" s="1">
        <f t="shared" si="218"/>
        <v>1</v>
      </c>
      <c r="AA403" s="1">
        <f t="shared" si="219"/>
        <v>0</v>
      </c>
      <c r="AB403" s="1">
        <f t="shared" si="220"/>
        <v>0</v>
      </c>
      <c r="AD403" s="1">
        <f t="shared" si="221"/>
        <v>1</v>
      </c>
      <c r="AE403" s="1">
        <f t="shared" si="222"/>
        <v>0</v>
      </c>
      <c r="AF403" s="1">
        <f t="shared" si="223"/>
        <v>0</v>
      </c>
      <c r="AG403" s="1">
        <f t="shared" si="224"/>
        <v>0</v>
      </c>
      <c r="AH403" s="1">
        <f t="shared" si="225"/>
        <v>0</v>
      </c>
      <c r="AI403" s="1">
        <f t="shared" si="226"/>
        <v>0</v>
      </c>
    </row>
    <row r="404" spans="1:35" ht="14.25" customHeight="1" x14ac:dyDescent="0.25">
      <c r="A404" s="15">
        <v>0</v>
      </c>
      <c r="B404" s="15">
        <v>2</v>
      </c>
      <c r="C404" s="15">
        <v>7</v>
      </c>
      <c r="D404" s="16" t="s">
        <v>69</v>
      </c>
      <c r="E404" s="16" t="s">
        <v>28</v>
      </c>
      <c r="F404" s="16" t="s">
        <v>255</v>
      </c>
      <c r="G404" s="16" t="s">
        <v>207</v>
      </c>
      <c r="H404" s="16" t="s">
        <v>354</v>
      </c>
      <c r="I404" s="15" t="s">
        <v>415</v>
      </c>
      <c r="J404" s="15">
        <v>99</v>
      </c>
      <c r="K404" s="10" t="s">
        <v>955</v>
      </c>
      <c r="L404" s="10" t="s">
        <v>713</v>
      </c>
      <c r="M404" s="19" t="s">
        <v>731</v>
      </c>
      <c r="N404" s="17"/>
      <c r="Q404" s="16"/>
      <c r="S404" s="1">
        <f t="shared" si="211"/>
        <v>0</v>
      </c>
      <c r="T404" s="1">
        <f t="shared" si="212"/>
        <v>0</v>
      </c>
      <c r="U404" s="1">
        <f t="shared" si="213"/>
        <v>0</v>
      </c>
      <c r="V404" s="1">
        <f t="shared" si="214"/>
        <v>0</v>
      </c>
      <c r="W404" s="1">
        <f t="shared" si="215"/>
        <v>0</v>
      </c>
      <c r="X404" s="1">
        <f t="shared" si="216"/>
        <v>0</v>
      </c>
      <c r="Y404" s="1">
        <f t="shared" si="217"/>
        <v>0</v>
      </c>
      <c r="Z404" s="1">
        <f t="shared" si="218"/>
        <v>0</v>
      </c>
      <c r="AA404" s="1">
        <f t="shared" si="219"/>
        <v>0</v>
      </c>
      <c r="AB404" s="1">
        <f t="shared" si="220"/>
        <v>0</v>
      </c>
      <c r="AD404" s="1">
        <f t="shared" si="221"/>
        <v>0</v>
      </c>
      <c r="AE404" s="1">
        <f t="shared" si="222"/>
        <v>0</v>
      </c>
      <c r="AF404" s="1">
        <f t="shared" si="223"/>
        <v>0</v>
      </c>
      <c r="AG404" s="1">
        <f t="shared" si="224"/>
        <v>0</v>
      </c>
      <c r="AH404" s="1">
        <f t="shared" si="225"/>
        <v>0</v>
      </c>
      <c r="AI404" s="1">
        <f t="shared" si="226"/>
        <v>1</v>
      </c>
    </row>
    <row r="405" spans="1:35" ht="14.25" customHeight="1" x14ac:dyDescent="0.25">
      <c r="A405" s="15">
        <v>1</v>
      </c>
      <c r="B405" s="15">
        <v>2</v>
      </c>
      <c r="C405" s="15">
        <v>7</v>
      </c>
      <c r="D405" s="16" t="s">
        <v>69</v>
      </c>
      <c r="E405" s="16" t="s">
        <v>28</v>
      </c>
      <c r="F405" s="20" t="s">
        <v>1874</v>
      </c>
      <c r="G405" s="16" t="s">
        <v>256</v>
      </c>
      <c r="H405" s="16" t="s">
        <v>354</v>
      </c>
      <c r="I405" s="15" t="s">
        <v>416</v>
      </c>
      <c r="J405" s="15">
        <v>99</v>
      </c>
      <c r="K405" s="10" t="s">
        <v>955</v>
      </c>
      <c r="L405" s="10" t="s">
        <v>713</v>
      </c>
      <c r="M405" s="19" t="s">
        <v>731</v>
      </c>
      <c r="N405" s="17"/>
      <c r="Q405" s="16"/>
      <c r="S405" s="1">
        <f t="shared" si="211"/>
        <v>0</v>
      </c>
      <c r="T405" s="1">
        <f t="shared" si="212"/>
        <v>0</v>
      </c>
      <c r="U405" s="1">
        <f t="shared" si="213"/>
        <v>0</v>
      </c>
      <c r="V405" s="1">
        <f t="shared" si="214"/>
        <v>0</v>
      </c>
      <c r="W405" s="1">
        <f t="shared" si="215"/>
        <v>0</v>
      </c>
      <c r="X405" s="1">
        <f t="shared" si="216"/>
        <v>0</v>
      </c>
      <c r="Y405" s="1">
        <f t="shared" si="217"/>
        <v>0</v>
      </c>
      <c r="Z405" s="1">
        <f t="shared" si="218"/>
        <v>0</v>
      </c>
      <c r="AA405" s="1">
        <f t="shared" si="219"/>
        <v>0</v>
      </c>
      <c r="AB405" s="1">
        <f t="shared" si="220"/>
        <v>0</v>
      </c>
      <c r="AD405" s="1">
        <f t="shared" si="221"/>
        <v>0</v>
      </c>
      <c r="AE405" s="1">
        <f t="shared" si="222"/>
        <v>0</v>
      </c>
      <c r="AF405" s="1">
        <f t="shared" si="223"/>
        <v>0</v>
      </c>
      <c r="AG405" s="1">
        <f t="shared" si="224"/>
        <v>0</v>
      </c>
      <c r="AH405" s="1">
        <f t="shared" si="225"/>
        <v>0</v>
      </c>
      <c r="AI405" s="1">
        <f t="shared" si="226"/>
        <v>0</v>
      </c>
    </row>
    <row r="406" spans="1:35" ht="14.25" customHeight="1" x14ac:dyDescent="0.25">
      <c r="A406" s="15">
        <v>1</v>
      </c>
      <c r="B406" s="15">
        <v>2</v>
      </c>
      <c r="C406" s="15">
        <v>7</v>
      </c>
      <c r="D406" s="16" t="s">
        <v>69</v>
      </c>
      <c r="E406" s="16" t="s">
        <v>28</v>
      </c>
      <c r="F406" s="16" t="s">
        <v>570</v>
      </c>
      <c r="G406" s="16" t="s">
        <v>571</v>
      </c>
      <c r="H406" s="16" t="s">
        <v>354</v>
      </c>
      <c r="I406" s="15" t="s">
        <v>580</v>
      </c>
      <c r="J406" s="15">
        <v>99</v>
      </c>
      <c r="K406" s="10" t="s">
        <v>955</v>
      </c>
      <c r="L406" s="10" t="s">
        <v>713</v>
      </c>
      <c r="M406" s="19" t="s">
        <v>731</v>
      </c>
      <c r="N406" s="17"/>
      <c r="Q406" s="16"/>
      <c r="S406" s="1">
        <f t="shared" si="211"/>
        <v>0</v>
      </c>
      <c r="T406" s="1">
        <f t="shared" si="212"/>
        <v>0</v>
      </c>
      <c r="U406" s="1">
        <f t="shared" si="213"/>
        <v>0</v>
      </c>
      <c r="V406" s="1">
        <f t="shared" si="214"/>
        <v>0</v>
      </c>
      <c r="W406" s="1">
        <f t="shared" si="215"/>
        <v>0</v>
      </c>
      <c r="X406" s="1">
        <f t="shared" si="216"/>
        <v>0</v>
      </c>
      <c r="Y406" s="1">
        <f t="shared" si="217"/>
        <v>0</v>
      </c>
      <c r="Z406" s="1">
        <f t="shared" si="218"/>
        <v>0</v>
      </c>
      <c r="AA406" s="1">
        <f t="shared" si="219"/>
        <v>0</v>
      </c>
      <c r="AB406" s="1">
        <f t="shared" si="220"/>
        <v>0</v>
      </c>
      <c r="AD406" s="1">
        <f t="shared" si="221"/>
        <v>0</v>
      </c>
      <c r="AE406" s="1">
        <f t="shared" si="222"/>
        <v>0</v>
      </c>
      <c r="AF406" s="1">
        <f t="shared" si="223"/>
        <v>0</v>
      </c>
      <c r="AG406" s="1">
        <f t="shared" si="224"/>
        <v>0</v>
      </c>
      <c r="AH406" s="1">
        <f t="shared" si="225"/>
        <v>0</v>
      </c>
      <c r="AI406" s="1">
        <f t="shared" si="226"/>
        <v>0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71</v>
      </c>
      <c r="E407" s="48" t="s">
        <v>28</v>
      </c>
      <c r="F407" s="48" t="s">
        <v>1349</v>
      </c>
      <c r="G407" s="48" t="s">
        <v>259</v>
      </c>
      <c r="H407" s="48" t="s">
        <v>354</v>
      </c>
      <c r="I407" s="47" t="s">
        <v>418</v>
      </c>
      <c r="J407" s="47">
        <v>99</v>
      </c>
      <c r="K407" s="49" t="s">
        <v>713</v>
      </c>
      <c r="L407" s="49" t="s">
        <v>713</v>
      </c>
      <c r="M407" s="50" t="s">
        <v>731</v>
      </c>
      <c r="N407" s="50" t="s">
        <v>1802</v>
      </c>
      <c r="O407" s="51"/>
      <c r="P407" s="51"/>
      <c r="Q407" s="48"/>
      <c r="S407" s="1">
        <f t="shared" si="211"/>
        <v>0</v>
      </c>
      <c r="T407" s="1">
        <f t="shared" si="212"/>
        <v>0</v>
      </c>
      <c r="U407" s="1">
        <f t="shared" si="213"/>
        <v>0</v>
      </c>
      <c r="V407" s="1">
        <f t="shared" si="214"/>
        <v>0</v>
      </c>
      <c r="W407" s="1">
        <f t="shared" si="215"/>
        <v>0</v>
      </c>
      <c r="X407" s="1">
        <f t="shared" si="216"/>
        <v>0</v>
      </c>
      <c r="Y407" s="1">
        <f t="shared" si="217"/>
        <v>0</v>
      </c>
      <c r="Z407" s="1">
        <f t="shared" si="218"/>
        <v>0</v>
      </c>
      <c r="AA407" s="1">
        <f t="shared" si="219"/>
        <v>0</v>
      </c>
      <c r="AB407" s="1">
        <f t="shared" si="220"/>
        <v>0</v>
      </c>
      <c r="AD407" s="1">
        <f t="shared" si="221"/>
        <v>0</v>
      </c>
      <c r="AE407" s="1">
        <f t="shared" si="222"/>
        <v>0</v>
      </c>
      <c r="AF407" s="1">
        <f t="shared" si="223"/>
        <v>0</v>
      </c>
      <c r="AG407" s="1">
        <f t="shared" si="224"/>
        <v>0</v>
      </c>
      <c r="AH407" s="1">
        <f t="shared" si="225"/>
        <v>0</v>
      </c>
      <c r="AI407" s="1">
        <f t="shared" si="226"/>
        <v>1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1062</v>
      </c>
      <c r="E408" s="48" t="s">
        <v>28</v>
      </c>
      <c r="F408" s="48" t="s">
        <v>1063</v>
      </c>
      <c r="G408" s="48" t="s">
        <v>1064</v>
      </c>
      <c r="H408" s="48" t="s">
        <v>354</v>
      </c>
      <c r="I408" s="47" t="s">
        <v>1065</v>
      </c>
      <c r="J408" s="47">
        <v>99</v>
      </c>
      <c r="K408" s="49" t="s">
        <v>713</v>
      </c>
      <c r="L408" s="49" t="s">
        <v>713</v>
      </c>
      <c r="M408" s="50" t="s">
        <v>731</v>
      </c>
      <c r="N408" s="50" t="s">
        <v>1802</v>
      </c>
      <c r="O408" s="51"/>
      <c r="P408" s="51"/>
      <c r="Q408" s="48"/>
      <c r="S408" s="1">
        <f t="shared" ref="S408:S472" si="227">IF(J408=$S$7,1,0)</f>
        <v>0</v>
      </c>
      <c r="T408" s="1">
        <f t="shared" ref="T408:T472" si="228">IF(J408=$T$7,1,0)</f>
        <v>0</v>
      </c>
      <c r="U408" s="1">
        <f t="shared" ref="U408:U472" si="229">IF(J408=$U$7,1,0)</f>
        <v>0</v>
      </c>
      <c r="V408" s="1">
        <f t="shared" ref="V408:V472" si="230">IF(J408=$V$7,1,0)</f>
        <v>0</v>
      </c>
      <c r="W408" s="1">
        <f t="shared" ref="W408:W472" si="231">IF(J408=$W$7,1,0)</f>
        <v>0</v>
      </c>
      <c r="X408" s="1">
        <f t="shared" ref="X408:X472" si="232">IF(J408=$X$7,1,0)</f>
        <v>0</v>
      </c>
      <c r="Y408" s="1">
        <f t="shared" ref="Y408:Y472" si="233">IF(J408=$Y$7,1,0)</f>
        <v>0</v>
      </c>
      <c r="Z408" s="1">
        <f t="shared" ref="Z408:Z472" si="234">IF(J408=$Z$7,1,0)</f>
        <v>0</v>
      </c>
      <c r="AA408" s="1">
        <f t="shared" ref="AA408:AA472" si="235">IF(J408=$AA$7,1,0)</f>
        <v>0</v>
      </c>
      <c r="AB408" s="1">
        <f t="shared" ref="AB408:AB472" si="236">IF(J408=$AB$7,1,0)</f>
        <v>0</v>
      </c>
      <c r="AD408" s="1">
        <f t="shared" ref="AD408:AD472" si="237">+O408*P408</f>
        <v>0</v>
      </c>
      <c r="AE408" s="1">
        <f t="shared" ref="AE408:AE472" si="238">O408*(1-P408)</f>
        <v>0</v>
      </c>
      <c r="AF408" s="1">
        <f t="shared" si="207"/>
        <v>0</v>
      </c>
      <c r="AG408" s="1">
        <f t="shared" si="208"/>
        <v>0</v>
      </c>
      <c r="AH408" s="1">
        <f t="shared" si="209"/>
        <v>0</v>
      </c>
      <c r="AI408" s="1">
        <f t="shared" si="210"/>
        <v>1</v>
      </c>
    </row>
    <row r="409" spans="1:35" ht="14.25" customHeight="1" x14ac:dyDescent="0.25">
      <c r="A409" s="34">
        <v>0</v>
      </c>
      <c r="B409" s="34">
        <v>2</v>
      </c>
      <c r="C409" s="34">
        <v>7</v>
      </c>
      <c r="D409" s="35" t="s">
        <v>1806</v>
      </c>
      <c r="E409" s="35" t="s">
        <v>156</v>
      </c>
      <c r="F409" s="35" t="s">
        <v>1807</v>
      </c>
      <c r="G409" s="35"/>
      <c r="H409" s="35" t="s">
        <v>354</v>
      </c>
      <c r="I409" s="34" t="s">
        <v>1808</v>
      </c>
      <c r="J409" s="34">
        <v>99</v>
      </c>
      <c r="K409" s="36" t="s">
        <v>703</v>
      </c>
      <c r="L409" s="36"/>
      <c r="M409" s="37"/>
      <c r="N409" s="37" t="s">
        <v>1727</v>
      </c>
      <c r="O409" s="38">
        <v>1</v>
      </c>
      <c r="P409" s="38">
        <v>1</v>
      </c>
      <c r="Q409" s="35"/>
      <c r="S409" s="1">
        <f t="shared" si="227"/>
        <v>0</v>
      </c>
      <c r="T409" s="1">
        <f t="shared" si="228"/>
        <v>0</v>
      </c>
      <c r="U409" s="1">
        <f t="shared" si="229"/>
        <v>0</v>
      </c>
      <c r="V409" s="1">
        <f t="shared" si="230"/>
        <v>0</v>
      </c>
      <c r="W409" s="1">
        <f t="shared" si="231"/>
        <v>0</v>
      </c>
      <c r="X409" s="1">
        <f t="shared" si="232"/>
        <v>0</v>
      </c>
      <c r="Y409" s="1">
        <f t="shared" si="233"/>
        <v>0</v>
      </c>
      <c r="Z409" s="1">
        <f t="shared" si="234"/>
        <v>0</v>
      </c>
      <c r="AA409" s="1">
        <f t="shared" si="235"/>
        <v>0</v>
      </c>
      <c r="AB409" s="1">
        <f t="shared" si="236"/>
        <v>0</v>
      </c>
      <c r="AD409" s="1">
        <f t="shared" si="237"/>
        <v>1</v>
      </c>
      <c r="AE409" s="1">
        <f t="shared" si="238"/>
        <v>0</v>
      </c>
      <c r="AF409" s="1">
        <f t="shared" si="207"/>
        <v>1</v>
      </c>
      <c r="AG409" s="1">
        <f t="shared" si="208"/>
        <v>0</v>
      </c>
      <c r="AH409" s="1">
        <f t="shared" si="209"/>
        <v>1</v>
      </c>
      <c r="AI409" s="1">
        <f t="shared" si="210"/>
        <v>0</v>
      </c>
    </row>
    <row r="410" spans="1:35" ht="14.25" customHeight="1" x14ac:dyDescent="0.25">
      <c r="A410" s="34">
        <v>0</v>
      </c>
      <c r="B410" s="34">
        <v>2</v>
      </c>
      <c r="C410" s="34">
        <v>7</v>
      </c>
      <c r="D410" s="35" t="s">
        <v>1178</v>
      </c>
      <c r="E410" s="35" t="s">
        <v>156</v>
      </c>
      <c r="F410" s="35" t="s">
        <v>1179</v>
      </c>
      <c r="G410" s="35" t="s">
        <v>293</v>
      </c>
      <c r="H410" s="35" t="s">
        <v>354</v>
      </c>
      <c r="I410" s="34" t="s">
        <v>1180</v>
      </c>
      <c r="J410" s="34">
        <v>99</v>
      </c>
      <c r="K410" s="36" t="s">
        <v>713</v>
      </c>
      <c r="L410" s="36" t="s">
        <v>722</v>
      </c>
      <c r="M410" s="37" t="s">
        <v>1434</v>
      </c>
      <c r="N410" s="37" t="s">
        <v>1748</v>
      </c>
      <c r="O410" s="38">
        <v>1</v>
      </c>
      <c r="P410" s="38"/>
      <c r="Q410" s="35"/>
      <c r="S410" s="1">
        <f t="shared" si="227"/>
        <v>0</v>
      </c>
      <c r="T410" s="1">
        <f t="shared" si="228"/>
        <v>0</v>
      </c>
      <c r="U410" s="1">
        <f t="shared" si="229"/>
        <v>0</v>
      </c>
      <c r="V410" s="1">
        <f t="shared" si="230"/>
        <v>0</v>
      </c>
      <c r="W410" s="1">
        <f t="shared" si="231"/>
        <v>0</v>
      </c>
      <c r="X410" s="1">
        <f t="shared" si="232"/>
        <v>0</v>
      </c>
      <c r="Y410" s="1">
        <f t="shared" si="233"/>
        <v>0</v>
      </c>
      <c r="Z410" s="1">
        <f t="shared" si="234"/>
        <v>0</v>
      </c>
      <c r="AA410" s="1">
        <f t="shared" si="235"/>
        <v>0</v>
      </c>
      <c r="AB410" s="1">
        <f t="shared" si="236"/>
        <v>0</v>
      </c>
      <c r="AD410" s="1">
        <f t="shared" si="237"/>
        <v>0</v>
      </c>
      <c r="AE410" s="1">
        <f t="shared" si="238"/>
        <v>1</v>
      </c>
      <c r="AF410" s="1">
        <f t="shared" si="207"/>
        <v>0</v>
      </c>
      <c r="AG410" s="1">
        <f t="shared" si="208"/>
        <v>1</v>
      </c>
      <c r="AH410" s="1">
        <f t="shared" si="209"/>
        <v>0</v>
      </c>
      <c r="AI410" s="1">
        <f t="shared" si="210"/>
        <v>1</v>
      </c>
    </row>
    <row r="411" spans="1:35" ht="14.25" customHeight="1" x14ac:dyDescent="0.25">
      <c r="A411" s="34">
        <v>0</v>
      </c>
      <c r="B411" s="34">
        <v>2</v>
      </c>
      <c r="C411" s="34">
        <v>7</v>
      </c>
      <c r="D411" s="35" t="s">
        <v>1153</v>
      </c>
      <c r="E411" s="35" t="s">
        <v>1154</v>
      </c>
      <c r="F411" s="39" t="s">
        <v>1878</v>
      </c>
      <c r="G411" s="35" t="s">
        <v>628</v>
      </c>
      <c r="H411" s="35" t="s">
        <v>354</v>
      </c>
      <c r="I411" s="34" t="s">
        <v>1155</v>
      </c>
      <c r="J411" s="34">
        <v>99</v>
      </c>
      <c r="K411" s="36" t="s">
        <v>713</v>
      </c>
      <c r="L411" s="36" t="s">
        <v>713</v>
      </c>
      <c r="M411" s="37" t="s">
        <v>731</v>
      </c>
      <c r="N411" s="37" t="s">
        <v>1743</v>
      </c>
      <c r="O411" s="38">
        <v>1</v>
      </c>
      <c r="P411" s="38"/>
      <c r="Q411" s="39" t="s">
        <v>1898</v>
      </c>
      <c r="S411" s="1">
        <f t="shared" si="227"/>
        <v>0</v>
      </c>
      <c r="T411" s="1">
        <f t="shared" si="228"/>
        <v>0</v>
      </c>
      <c r="U411" s="1">
        <f t="shared" si="229"/>
        <v>0</v>
      </c>
      <c r="V411" s="1">
        <f t="shared" si="230"/>
        <v>0</v>
      </c>
      <c r="W411" s="1">
        <f t="shared" si="231"/>
        <v>0</v>
      </c>
      <c r="X411" s="1">
        <f t="shared" si="232"/>
        <v>0</v>
      </c>
      <c r="Y411" s="1">
        <f t="shared" si="233"/>
        <v>0</v>
      </c>
      <c r="Z411" s="1">
        <f t="shared" si="234"/>
        <v>0</v>
      </c>
      <c r="AA411" s="1">
        <f t="shared" si="235"/>
        <v>0</v>
      </c>
      <c r="AB411" s="1">
        <f t="shared" si="236"/>
        <v>0</v>
      </c>
      <c r="AD411" s="1">
        <f t="shared" si="237"/>
        <v>0</v>
      </c>
      <c r="AE411" s="1">
        <f t="shared" si="238"/>
        <v>1</v>
      </c>
      <c r="AF411" s="1">
        <f t="shared" si="207"/>
        <v>0</v>
      </c>
      <c r="AG411" s="1">
        <f t="shared" si="208"/>
        <v>1</v>
      </c>
      <c r="AH411" s="1">
        <f t="shared" si="209"/>
        <v>0</v>
      </c>
      <c r="AI411" s="1">
        <f t="shared" si="210"/>
        <v>1</v>
      </c>
    </row>
    <row r="412" spans="1:35" ht="14.25" customHeight="1" x14ac:dyDescent="0.25">
      <c r="A412" s="34">
        <v>0</v>
      </c>
      <c r="B412" s="34">
        <v>2</v>
      </c>
      <c r="C412" s="34">
        <v>7</v>
      </c>
      <c r="D412" s="35" t="s">
        <v>542</v>
      </c>
      <c r="E412" s="35" t="s">
        <v>158</v>
      </c>
      <c r="F412" s="35" t="s">
        <v>195</v>
      </c>
      <c r="G412" s="35" t="s">
        <v>196</v>
      </c>
      <c r="H412" s="35" t="s">
        <v>354</v>
      </c>
      <c r="I412" s="34" t="s">
        <v>550</v>
      </c>
      <c r="J412" s="34">
        <v>99</v>
      </c>
      <c r="K412" s="36" t="s">
        <v>955</v>
      </c>
      <c r="L412" s="36" t="s">
        <v>696</v>
      </c>
      <c r="M412" s="37" t="s">
        <v>1436</v>
      </c>
      <c r="N412" s="37" t="s">
        <v>1748</v>
      </c>
      <c r="O412" s="38">
        <v>1</v>
      </c>
      <c r="P412" s="38"/>
      <c r="Q412" s="35"/>
      <c r="S412" s="1">
        <f t="shared" si="227"/>
        <v>0</v>
      </c>
      <c r="T412" s="1">
        <f t="shared" si="228"/>
        <v>0</v>
      </c>
      <c r="U412" s="1">
        <f t="shared" si="229"/>
        <v>0</v>
      </c>
      <c r="V412" s="1">
        <f t="shared" si="230"/>
        <v>0</v>
      </c>
      <c r="W412" s="1">
        <f t="shared" si="231"/>
        <v>0</v>
      </c>
      <c r="X412" s="1">
        <f t="shared" si="232"/>
        <v>0</v>
      </c>
      <c r="Y412" s="1">
        <f t="shared" si="233"/>
        <v>0</v>
      </c>
      <c r="Z412" s="1">
        <f t="shared" si="234"/>
        <v>0</v>
      </c>
      <c r="AA412" s="1">
        <f t="shared" si="235"/>
        <v>0</v>
      </c>
      <c r="AB412" s="1">
        <f t="shared" si="236"/>
        <v>0</v>
      </c>
      <c r="AD412" s="1">
        <f t="shared" si="237"/>
        <v>0</v>
      </c>
      <c r="AE412" s="1">
        <f t="shared" si="238"/>
        <v>1</v>
      </c>
      <c r="AF412" s="1">
        <f t="shared" si="207"/>
        <v>0</v>
      </c>
      <c r="AG412" s="1">
        <f t="shared" si="208"/>
        <v>1</v>
      </c>
      <c r="AH412" s="1">
        <f t="shared" si="209"/>
        <v>0</v>
      </c>
      <c r="AI412" s="1">
        <f t="shared" si="210"/>
        <v>1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46</v>
      </c>
      <c r="E413" s="16" t="s">
        <v>156</v>
      </c>
      <c r="F413" s="16" t="s">
        <v>183</v>
      </c>
      <c r="G413" s="16" t="s">
        <v>179</v>
      </c>
      <c r="H413" s="16" t="s">
        <v>354</v>
      </c>
      <c r="I413" s="15" t="s">
        <v>382</v>
      </c>
      <c r="J413" s="15">
        <v>10</v>
      </c>
      <c r="K413" s="10" t="s">
        <v>955</v>
      </c>
      <c r="L413" s="10" t="s">
        <v>722</v>
      </c>
      <c r="M413" s="19" t="s">
        <v>1434</v>
      </c>
      <c r="N413" s="19"/>
      <c r="Q413" s="16"/>
      <c r="S413" s="1">
        <f t="shared" si="227"/>
        <v>0</v>
      </c>
      <c r="T413" s="1">
        <f t="shared" si="228"/>
        <v>0</v>
      </c>
      <c r="U413" s="1">
        <f t="shared" si="229"/>
        <v>0</v>
      </c>
      <c r="V413" s="1">
        <f t="shared" si="230"/>
        <v>0</v>
      </c>
      <c r="W413" s="1">
        <f t="shared" si="231"/>
        <v>0</v>
      </c>
      <c r="X413" s="1">
        <f t="shared" si="232"/>
        <v>0</v>
      </c>
      <c r="Y413" s="1">
        <f t="shared" si="233"/>
        <v>0</v>
      </c>
      <c r="Z413" s="1">
        <f t="shared" si="234"/>
        <v>0</v>
      </c>
      <c r="AA413" s="1">
        <f t="shared" si="235"/>
        <v>0</v>
      </c>
      <c r="AB413" s="1">
        <f t="shared" si="236"/>
        <v>1</v>
      </c>
      <c r="AD413" s="1">
        <f t="shared" si="237"/>
        <v>0</v>
      </c>
      <c r="AE413" s="1">
        <f t="shared" si="238"/>
        <v>0</v>
      </c>
      <c r="AF413" s="1">
        <f t="shared" si="207"/>
        <v>0</v>
      </c>
      <c r="AG413" s="1">
        <f t="shared" si="208"/>
        <v>0</v>
      </c>
      <c r="AH413" s="1">
        <f t="shared" si="209"/>
        <v>0</v>
      </c>
      <c r="AI413" s="1">
        <f t="shared" si="210"/>
        <v>1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248</v>
      </c>
      <c r="G414" s="48" t="s">
        <v>249</v>
      </c>
      <c r="H414" s="48" t="s">
        <v>354</v>
      </c>
      <c r="I414" s="47" t="s">
        <v>411</v>
      </c>
      <c r="J414" s="47">
        <v>7</v>
      </c>
      <c r="K414" s="49" t="s">
        <v>713</v>
      </c>
      <c r="L414" s="49" t="s">
        <v>713</v>
      </c>
      <c r="M414" s="50" t="s">
        <v>731</v>
      </c>
      <c r="N414" s="50" t="s">
        <v>1734</v>
      </c>
      <c r="O414" s="51"/>
      <c r="P414" s="51"/>
      <c r="Q414" s="48"/>
      <c r="S414" s="1">
        <f t="shared" si="227"/>
        <v>0</v>
      </c>
      <c r="T414" s="1">
        <f t="shared" si="228"/>
        <v>0</v>
      </c>
      <c r="U414" s="1">
        <f t="shared" si="229"/>
        <v>0</v>
      </c>
      <c r="V414" s="1">
        <f t="shared" si="230"/>
        <v>0</v>
      </c>
      <c r="W414" s="1">
        <f t="shared" si="231"/>
        <v>0</v>
      </c>
      <c r="X414" s="1">
        <f t="shared" si="232"/>
        <v>0</v>
      </c>
      <c r="Y414" s="1">
        <f t="shared" si="233"/>
        <v>1</v>
      </c>
      <c r="Z414" s="1">
        <f t="shared" si="234"/>
        <v>0</v>
      </c>
      <c r="AA414" s="1">
        <f t="shared" si="235"/>
        <v>0</v>
      </c>
      <c r="AB414" s="1">
        <f t="shared" si="236"/>
        <v>0</v>
      </c>
      <c r="AD414" s="1">
        <f t="shared" si="237"/>
        <v>0</v>
      </c>
      <c r="AE414" s="1">
        <f t="shared" si="238"/>
        <v>0</v>
      </c>
      <c r="AF414" s="1">
        <f t="shared" si="207"/>
        <v>0</v>
      </c>
      <c r="AG414" s="1">
        <f t="shared" si="208"/>
        <v>0</v>
      </c>
      <c r="AH414" s="1">
        <f t="shared" si="209"/>
        <v>0</v>
      </c>
      <c r="AI414" s="1">
        <f t="shared" si="210"/>
        <v>1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67</v>
      </c>
      <c r="E415" s="48" t="s">
        <v>28</v>
      </c>
      <c r="F415" s="48" t="s">
        <v>1039</v>
      </c>
      <c r="G415" s="48" t="s">
        <v>539</v>
      </c>
      <c r="H415" s="48" t="s">
        <v>354</v>
      </c>
      <c r="I415" s="47" t="s">
        <v>30</v>
      </c>
      <c r="J415" s="47">
        <v>1</v>
      </c>
      <c r="K415" s="49" t="s">
        <v>713</v>
      </c>
      <c r="L415" s="49" t="s">
        <v>713</v>
      </c>
      <c r="M415" s="50" t="s">
        <v>731</v>
      </c>
      <c r="N415" s="50" t="s">
        <v>1734</v>
      </c>
      <c r="O415" s="51"/>
      <c r="P415" s="51"/>
      <c r="Q415" s="48"/>
      <c r="S415" s="1">
        <f t="shared" si="227"/>
        <v>1</v>
      </c>
      <c r="T415" s="1">
        <f t="shared" si="228"/>
        <v>0</v>
      </c>
      <c r="U415" s="1">
        <f t="shared" si="229"/>
        <v>0</v>
      </c>
      <c r="V415" s="1">
        <f t="shared" si="230"/>
        <v>0</v>
      </c>
      <c r="W415" s="1">
        <f t="shared" si="231"/>
        <v>0</v>
      </c>
      <c r="X415" s="1">
        <f t="shared" si="232"/>
        <v>0</v>
      </c>
      <c r="Y415" s="1">
        <f t="shared" si="233"/>
        <v>0</v>
      </c>
      <c r="Z415" s="1">
        <f t="shared" si="234"/>
        <v>0</v>
      </c>
      <c r="AA415" s="1">
        <f t="shared" si="235"/>
        <v>0</v>
      </c>
      <c r="AB415" s="1">
        <f t="shared" si="236"/>
        <v>0</v>
      </c>
      <c r="AD415" s="1">
        <f t="shared" si="237"/>
        <v>0</v>
      </c>
      <c r="AE415" s="1">
        <f t="shared" si="238"/>
        <v>0</v>
      </c>
      <c r="AF415" s="1">
        <f t="shared" si="207"/>
        <v>0</v>
      </c>
      <c r="AG415" s="1">
        <f t="shared" si="208"/>
        <v>0</v>
      </c>
      <c r="AH415" s="1">
        <f t="shared" si="209"/>
        <v>0</v>
      </c>
      <c r="AI415" s="1">
        <f t="shared" si="210"/>
        <v>0</v>
      </c>
    </row>
    <row r="416" spans="1:35" ht="14.25" customHeight="1" x14ac:dyDescent="0.25">
      <c r="A416" s="47">
        <v>1</v>
      </c>
      <c r="B416" s="47">
        <v>2</v>
      </c>
      <c r="C416" s="47">
        <v>7</v>
      </c>
      <c r="D416" s="48" t="s">
        <v>67</v>
      </c>
      <c r="E416" s="48" t="s">
        <v>28</v>
      </c>
      <c r="F416" s="48" t="s">
        <v>250</v>
      </c>
      <c r="G416" s="48" t="s">
        <v>200</v>
      </c>
      <c r="H416" s="48" t="s">
        <v>354</v>
      </c>
      <c r="I416" s="47" t="s">
        <v>412</v>
      </c>
      <c r="J416" s="47">
        <v>2</v>
      </c>
      <c r="K416" s="49" t="s">
        <v>713</v>
      </c>
      <c r="L416" s="49" t="s">
        <v>713</v>
      </c>
      <c r="M416" s="50" t="s">
        <v>731</v>
      </c>
      <c r="N416" s="50" t="s">
        <v>1734</v>
      </c>
      <c r="O416" s="51"/>
      <c r="P416" s="51"/>
      <c r="Q416" s="48"/>
      <c r="S416" s="1">
        <f t="shared" si="227"/>
        <v>0</v>
      </c>
      <c r="T416" s="1">
        <f t="shared" si="228"/>
        <v>1</v>
      </c>
      <c r="U416" s="1">
        <f t="shared" si="229"/>
        <v>0</v>
      </c>
      <c r="V416" s="1">
        <f t="shared" si="230"/>
        <v>0</v>
      </c>
      <c r="W416" s="1">
        <f t="shared" si="231"/>
        <v>0</v>
      </c>
      <c r="X416" s="1">
        <f t="shared" si="232"/>
        <v>0</v>
      </c>
      <c r="Y416" s="1">
        <f t="shared" si="233"/>
        <v>0</v>
      </c>
      <c r="Z416" s="1">
        <f t="shared" si="234"/>
        <v>0</v>
      </c>
      <c r="AA416" s="1">
        <f t="shared" si="235"/>
        <v>0</v>
      </c>
      <c r="AB416" s="1">
        <f t="shared" si="236"/>
        <v>0</v>
      </c>
      <c r="AD416" s="1">
        <f t="shared" si="237"/>
        <v>0</v>
      </c>
      <c r="AE416" s="1">
        <f t="shared" si="238"/>
        <v>0</v>
      </c>
      <c r="AF416" s="1">
        <f t="shared" si="207"/>
        <v>0</v>
      </c>
      <c r="AG416" s="1">
        <f t="shared" si="208"/>
        <v>0</v>
      </c>
      <c r="AH416" s="1">
        <f t="shared" si="209"/>
        <v>0</v>
      </c>
      <c r="AI416" s="1">
        <f t="shared" si="210"/>
        <v>0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67</v>
      </c>
      <c r="E417" s="48" t="s">
        <v>28</v>
      </c>
      <c r="F417" s="48" t="s">
        <v>247</v>
      </c>
      <c r="G417" s="48" t="s">
        <v>1351</v>
      </c>
      <c r="H417" s="48" t="s">
        <v>354</v>
      </c>
      <c r="I417" s="47" t="s">
        <v>30</v>
      </c>
      <c r="J417" s="47">
        <v>1</v>
      </c>
      <c r="K417" s="49" t="s">
        <v>713</v>
      </c>
      <c r="L417" s="49" t="s">
        <v>713</v>
      </c>
      <c r="M417" s="50" t="s">
        <v>731</v>
      </c>
      <c r="N417" s="50" t="s">
        <v>1734</v>
      </c>
      <c r="O417" s="51"/>
      <c r="P417" s="51"/>
      <c r="Q417" s="48" t="s">
        <v>1917</v>
      </c>
      <c r="S417" s="1">
        <f t="shared" si="227"/>
        <v>1</v>
      </c>
      <c r="T417" s="1">
        <f t="shared" si="228"/>
        <v>0</v>
      </c>
      <c r="U417" s="1">
        <f t="shared" si="229"/>
        <v>0</v>
      </c>
      <c r="V417" s="1">
        <f t="shared" si="230"/>
        <v>0</v>
      </c>
      <c r="W417" s="1">
        <f t="shared" si="231"/>
        <v>0</v>
      </c>
      <c r="X417" s="1">
        <f t="shared" si="232"/>
        <v>0</v>
      </c>
      <c r="Y417" s="1">
        <f t="shared" si="233"/>
        <v>0</v>
      </c>
      <c r="Z417" s="1">
        <f t="shared" si="234"/>
        <v>0</v>
      </c>
      <c r="AA417" s="1">
        <f t="shared" si="235"/>
        <v>0</v>
      </c>
      <c r="AB417" s="1">
        <f t="shared" si="236"/>
        <v>0</v>
      </c>
      <c r="AD417" s="1">
        <f t="shared" si="237"/>
        <v>0</v>
      </c>
      <c r="AE417" s="1">
        <f t="shared" si="238"/>
        <v>0</v>
      </c>
      <c r="AF417" s="1">
        <f t="shared" si="207"/>
        <v>0</v>
      </c>
      <c r="AG417" s="1">
        <f t="shared" si="208"/>
        <v>0</v>
      </c>
      <c r="AH417" s="1">
        <f t="shared" si="209"/>
        <v>0</v>
      </c>
      <c r="AI417" s="1">
        <f t="shared" si="210"/>
        <v>0</v>
      </c>
    </row>
    <row r="418" spans="1:35" ht="14.25" customHeight="1" x14ac:dyDescent="0.25">
      <c r="A418" s="47">
        <v>1</v>
      </c>
      <c r="B418" s="47">
        <v>2</v>
      </c>
      <c r="C418" s="47">
        <v>7</v>
      </c>
      <c r="D418" s="48" t="s">
        <v>67</v>
      </c>
      <c r="E418" s="48" t="s">
        <v>28</v>
      </c>
      <c r="F418" s="48" t="s">
        <v>252</v>
      </c>
      <c r="G418" s="48" t="s">
        <v>194</v>
      </c>
      <c r="H418" s="48" t="s">
        <v>354</v>
      </c>
      <c r="I418" s="47" t="s">
        <v>413</v>
      </c>
      <c r="J418" s="47">
        <v>9</v>
      </c>
      <c r="K418" s="49" t="s">
        <v>713</v>
      </c>
      <c r="L418" s="49" t="s">
        <v>713</v>
      </c>
      <c r="M418" s="50" t="s">
        <v>731</v>
      </c>
      <c r="N418" s="50" t="s">
        <v>1734</v>
      </c>
      <c r="O418" s="51"/>
      <c r="P418" s="51"/>
      <c r="Q418" s="48"/>
      <c r="S418" s="1">
        <f t="shared" si="227"/>
        <v>0</v>
      </c>
      <c r="T418" s="1">
        <f t="shared" si="228"/>
        <v>0</v>
      </c>
      <c r="U418" s="1">
        <f t="shared" si="229"/>
        <v>0</v>
      </c>
      <c r="V418" s="1">
        <f t="shared" si="230"/>
        <v>0</v>
      </c>
      <c r="W418" s="1">
        <f t="shared" si="231"/>
        <v>0</v>
      </c>
      <c r="X418" s="1">
        <f t="shared" si="232"/>
        <v>0</v>
      </c>
      <c r="Y418" s="1">
        <f t="shared" si="233"/>
        <v>0</v>
      </c>
      <c r="Z418" s="1">
        <f t="shared" si="234"/>
        <v>0</v>
      </c>
      <c r="AA418" s="1">
        <f t="shared" si="235"/>
        <v>1</v>
      </c>
      <c r="AB418" s="1">
        <f t="shared" si="236"/>
        <v>0</v>
      </c>
      <c r="AD418" s="1">
        <f t="shared" si="237"/>
        <v>0</v>
      </c>
      <c r="AE418" s="1">
        <f t="shared" si="238"/>
        <v>0</v>
      </c>
      <c r="AF418" s="1">
        <f t="shared" si="207"/>
        <v>0</v>
      </c>
      <c r="AG418" s="1">
        <f t="shared" si="208"/>
        <v>0</v>
      </c>
      <c r="AH418" s="1">
        <f t="shared" si="209"/>
        <v>0</v>
      </c>
      <c r="AI418" s="1">
        <f t="shared" si="210"/>
        <v>0</v>
      </c>
    </row>
    <row r="419" spans="1:35" ht="14.25" customHeight="1" x14ac:dyDescent="0.25">
      <c r="A419" s="47">
        <v>0</v>
      </c>
      <c r="B419" s="47">
        <v>2</v>
      </c>
      <c r="C419" s="47">
        <v>7</v>
      </c>
      <c r="D419" s="48" t="s">
        <v>1023</v>
      </c>
      <c r="E419" s="48" t="s">
        <v>28</v>
      </c>
      <c r="F419" s="48" t="s">
        <v>1024</v>
      </c>
      <c r="G419" s="48" t="s">
        <v>194</v>
      </c>
      <c r="H419" s="48" t="s">
        <v>354</v>
      </c>
      <c r="I419" s="47" t="s">
        <v>1025</v>
      </c>
      <c r="J419" s="47">
        <v>9</v>
      </c>
      <c r="K419" s="49" t="s">
        <v>712</v>
      </c>
      <c r="L419" s="49" t="s">
        <v>713</v>
      </c>
      <c r="M419" s="50" t="s">
        <v>731</v>
      </c>
      <c r="N419" s="50" t="s">
        <v>1735</v>
      </c>
      <c r="O419" s="51"/>
      <c r="P419" s="51"/>
      <c r="Q419" s="48"/>
      <c r="S419" s="1">
        <f t="shared" si="227"/>
        <v>0</v>
      </c>
      <c r="T419" s="1">
        <f t="shared" si="228"/>
        <v>0</v>
      </c>
      <c r="U419" s="1">
        <f t="shared" si="229"/>
        <v>0</v>
      </c>
      <c r="V419" s="1">
        <f t="shared" si="230"/>
        <v>0</v>
      </c>
      <c r="W419" s="1">
        <f t="shared" si="231"/>
        <v>0</v>
      </c>
      <c r="X419" s="1">
        <f t="shared" si="232"/>
        <v>0</v>
      </c>
      <c r="Y419" s="1">
        <f t="shared" si="233"/>
        <v>0</v>
      </c>
      <c r="Z419" s="1">
        <f t="shared" si="234"/>
        <v>0</v>
      </c>
      <c r="AA419" s="1">
        <f t="shared" si="235"/>
        <v>1</v>
      </c>
      <c r="AB419" s="1">
        <f t="shared" si="236"/>
        <v>0</v>
      </c>
      <c r="AD419" s="1">
        <f t="shared" si="237"/>
        <v>0</v>
      </c>
      <c r="AE419" s="1">
        <f t="shared" si="238"/>
        <v>0</v>
      </c>
      <c r="AF419" s="1">
        <f t="shared" si="207"/>
        <v>0</v>
      </c>
      <c r="AG419" s="1">
        <f t="shared" si="208"/>
        <v>0</v>
      </c>
      <c r="AH419" s="1">
        <f t="shared" si="209"/>
        <v>0</v>
      </c>
      <c r="AI419" s="1">
        <f t="shared" si="210"/>
        <v>1</v>
      </c>
    </row>
    <row r="420" spans="1:35" ht="14.25" customHeight="1" x14ac:dyDescent="0.25">
      <c r="A420" s="34">
        <v>0</v>
      </c>
      <c r="B420" s="34">
        <v>2</v>
      </c>
      <c r="C420" s="34">
        <v>7</v>
      </c>
      <c r="D420" s="35" t="s">
        <v>1833</v>
      </c>
      <c r="E420" s="35" t="s">
        <v>1834</v>
      </c>
      <c r="F420" s="35" t="s">
        <v>1835</v>
      </c>
      <c r="G420" s="35" t="s">
        <v>207</v>
      </c>
      <c r="H420" s="35" t="s">
        <v>354</v>
      </c>
      <c r="I420" s="34" t="s">
        <v>30</v>
      </c>
      <c r="J420" s="34"/>
      <c r="K420" s="36" t="s">
        <v>703</v>
      </c>
      <c r="L420" s="36">
        <v>20</v>
      </c>
      <c r="M420" s="37" t="s">
        <v>1836</v>
      </c>
      <c r="N420" s="37" t="s">
        <v>1743</v>
      </c>
      <c r="O420" s="38">
        <v>1</v>
      </c>
      <c r="P420" s="38"/>
      <c r="Q420" s="35"/>
      <c r="S420" s="1">
        <f t="shared" si="227"/>
        <v>0</v>
      </c>
      <c r="T420" s="1">
        <f t="shared" si="228"/>
        <v>0</v>
      </c>
      <c r="U420" s="1">
        <f t="shared" si="229"/>
        <v>0</v>
      </c>
      <c r="V420" s="1">
        <f t="shared" si="230"/>
        <v>0</v>
      </c>
      <c r="W420" s="1">
        <f t="shared" si="231"/>
        <v>0</v>
      </c>
      <c r="X420" s="1">
        <f t="shared" si="232"/>
        <v>0</v>
      </c>
      <c r="Y420" s="1">
        <f t="shared" si="233"/>
        <v>0</v>
      </c>
      <c r="Z420" s="1">
        <f t="shared" si="234"/>
        <v>0</v>
      </c>
      <c r="AA420" s="1">
        <f t="shared" si="235"/>
        <v>0</v>
      </c>
      <c r="AB420" s="1">
        <f t="shared" si="236"/>
        <v>0</v>
      </c>
      <c r="AD420" s="1">
        <f t="shared" si="237"/>
        <v>0</v>
      </c>
      <c r="AE420" s="1">
        <f t="shared" si="238"/>
        <v>1</v>
      </c>
      <c r="AF420" s="1">
        <f t="shared" si="207"/>
        <v>0</v>
      </c>
      <c r="AG420" s="1">
        <f t="shared" si="208"/>
        <v>1</v>
      </c>
      <c r="AH420" s="1">
        <f t="shared" si="209"/>
        <v>0</v>
      </c>
      <c r="AI420" s="1">
        <f t="shared" si="210"/>
        <v>1</v>
      </c>
    </row>
    <row r="421" spans="1:35" ht="14.25" customHeight="1" x14ac:dyDescent="0.25">
      <c r="A421" s="52">
        <v>0</v>
      </c>
      <c r="B421" s="52">
        <v>2</v>
      </c>
      <c r="C421" s="52">
        <v>7</v>
      </c>
      <c r="D421" s="53" t="s">
        <v>1079</v>
      </c>
      <c r="E421" s="53" t="s">
        <v>544</v>
      </c>
      <c r="F421" s="53" t="s">
        <v>1060</v>
      </c>
      <c r="G421" s="53" t="s">
        <v>238</v>
      </c>
      <c r="H421" s="53" t="s">
        <v>354</v>
      </c>
      <c r="I421" s="52" t="s">
        <v>1061</v>
      </c>
      <c r="J421" s="52">
        <v>99</v>
      </c>
      <c r="K421" s="54" t="s">
        <v>955</v>
      </c>
      <c r="L421" s="54" t="s">
        <v>722</v>
      </c>
      <c r="M421" s="55" t="s">
        <v>1437</v>
      </c>
      <c r="N421" s="55" t="s">
        <v>1743</v>
      </c>
      <c r="O421" s="56">
        <v>1</v>
      </c>
      <c r="P421" s="56"/>
      <c r="Q421" s="53"/>
      <c r="S421" s="1">
        <f t="shared" ref="S421:S425" si="239">IF(J421=$S$7,1,0)</f>
        <v>0</v>
      </c>
      <c r="T421" s="1">
        <f t="shared" ref="T421:T425" si="240">IF(J421=$T$7,1,0)</f>
        <v>0</v>
      </c>
      <c r="U421" s="1">
        <f t="shared" ref="U421:U425" si="241">IF(J421=$U$7,1,0)</f>
        <v>0</v>
      </c>
      <c r="V421" s="1">
        <f t="shared" ref="V421:V425" si="242">IF(J421=$V$7,1,0)</f>
        <v>0</v>
      </c>
      <c r="W421" s="1">
        <f t="shared" ref="W421:W425" si="243">IF(J421=$W$7,1,0)</f>
        <v>0</v>
      </c>
      <c r="X421" s="1">
        <f t="shared" ref="X421:X425" si="244">IF(J421=$X$7,1,0)</f>
        <v>0</v>
      </c>
      <c r="Y421" s="1">
        <f t="shared" ref="Y421:Y425" si="245">IF(J421=$Y$7,1,0)</f>
        <v>0</v>
      </c>
      <c r="Z421" s="1">
        <f t="shared" ref="Z421:Z425" si="246">IF(J421=$Z$7,1,0)</f>
        <v>0</v>
      </c>
      <c r="AA421" s="1">
        <f t="shared" ref="AA421:AA425" si="247">IF(J421=$AA$7,1,0)</f>
        <v>0</v>
      </c>
      <c r="AB421" s="1">
        <f t="shared" ref="AB421:AB425" si="248">IF(J421=$AB$7,1,0)</f>
        <v>0</v>
      </c>
      <c r="AD421" s="1">
        <f t="shared" ref="AD421:AD425" si="249">+O421*P421</f>
        <v>0</v>
      </c>
      <c r="AE421" s="1">
        <f t="shared" ref="AE421:AE425" si="250">O421*(1-P421)</f>
        <v>1</v>
      </c>
      <c r="AF421" s="1">
        <f t="shared" ref="AF421:AF425" si="251">+O421*P421*(1-A421)</f>
        <v>0</v>
      </c>
      <c r="AG421" s="1">
        <f t="shared" ref="AG421:AG425" si="252">O421*(1-P421)*(1-A421)</f>
        <v>1</v>
      </c>
      <c r="AH421" s="1">
        <f t="shared" ref="AH421:AH425" si="253">+P421*(1-A421)</f>
        <v>0</v>
      </c>
      <c r="AI421" s="1">
        <f t="shared" ref="AI421:AI425" si="254">+(1-A421)*(1-P421)</f>
        <v>1</v>
      </c>
    </row>
    <row r="422" spans="1:35" ht="14.25" customHeight="1" x14ac:dyDescent="0.25">
      <c r="A422" s="34">
        <v>0</v>
      </c>
      <c r="B422" s="34">
        <v>2</v>
      </c>
      <c r="C422" s="34">
        <v>7</v>
      </c>
      <c r="D422" s="35" t="s">
        <v>1226</v>
      </c>
      <c r="E422" s="35" t="s">
        <v>156</v>
      </c>
      <c r="F422" s="35" t="s">
        <v>1227</v>
      </c>
      <c r="G422" s="35" t="s">
        <v>251</v>
      </c>
      <c r="H422" s="35" t="s">
        <v>354</v>
      </c>
      <c r="I422" s="34" t="s">
        <v>1228</v>
      </c>
      <c r="J422" s="34">
        <v>99</v>
      </c>
      <c r="K422" s="36" t="s">
        <v>713</v>
      </c>
      <c r="L422" s="36">
        <v>10</v>
      </c>
      <c r="M422" s="37" t="s">
        <v>1746</v>
      </c>
      <c r="N422" s="37" t="s">
        <v>1727</v>
      </c>
      <c r="O422" s="38">
        <v>1</v>
      </c>
      <c r="P422" s="38">
        <v>1</v>
      </c>
      <c r="Q422" s="35"/>
      <c r="S422" s="1">
        <f t="shared" si="239"/>
        <v>0</v>
      </c>
      <c r="T422" s="1">
        <f t="shared" si="240"/>
        <v>0</v>
      </c>
      <c r="U422" s="1">
        <f t="shared" si="241"/>
        <v>0</v>
      </c>
      <c r="V422" s="1">
        <f t="shared" si="242"/>
        <v>0</v>
      </c>
      <c r="W422" s="1">
        <f t="shared" si="243"/>
        <v>0</v>
      </c>
      <c r="X422" s="1">
        <f t="shared" si="244"/>
        <v>0</v>
      </c>
      <c r="Y422" s="1">
        <f t="shared" si="245"/>
        <v>0</v>
      </c>
      <c r="Z422" s="1">
        <f t="shared" si="246"/>
        <v>0</v>
      </c>
      <c r="AA422" s="1">
        <f t="shared" si="247"/>
        <v>0</v>
      </c>
      <c r="AB422" s="1">
        <f t="shared" si="248"/>
        <v>0</v>
      </c>
      <c r="AD422" s="1">
        <f t="shared" si="249"/>
        <v>1</v>
      </c>
      <c r="AE422" s="1">
        <f t="shared" si="250"/>
        <v>0</v>
      </c>
      <c r="AF422" s="1">
        <f t="shared" si="251"/>
        <v>1</v>
      </c>
      <c r="AG422" s="1">
        <f t="shared" si="252"/>
        <v>0</v>
      </c>
      <c r="AH422" s="1">
        <f t="shared" si="253"/>
        <v>1</v>
      </c>
      <c r="AI422" s="1">
        <f t="shared" si="254"/>
        <v>0</v>
      </c>
    </row>
    <row r="423" spans="1:35" ht="14.25" customHeight="1" x14ac:dyDescent="0.25">
      <c r="A423" s="34">
        <v>0</v>
      </c>
      <c r="B423" s="34">
        <v>2</v>
      </c>
      <c r="C423" s="34">
        <v>7</v>
      </c>
      <c r="D423" s="39" t="s">
        <v>1803</v>
      </c>
      <c r="E423" s="39" t="s">
        <v>28</v>
      </c>
      <c r="F423" s="39" t="s">
        <v>1804</v>
      </c>
      <c r="G423" s="39" t="s">
        <v>180</v>
      </c>
      <c r="H423" s="39" t="s">
        <v>354</v>
      </c>
      <c r="I423" s="40" t="s">
        <v>1805</v>
      </c>
      <c r="J423" s="34">
        <v>10</v>
      </c>
      <c r="K423" s="36" t="s">
        <v>703</v>
      </c>
      <c r="L423" s="36">
        <v>10</v>
      </c>
      <c r="M423" s="37"/>
      <c r="N423" s="37" t="s">
        <v>1727</v>
      </c>
      <c r="O423" s="38">
        <v>1</v>
      </c>
      <c r="P423" s="38">
        <v>1</v>
      </c>
      <c r="Q423" s="39"/>
      <c r="S423" s="1">
        <f t="shared" si="239"/>
        <v>0</v>
      </c>
      <c r="T423" s="1">
        <f t="shared" si="240"/>
        <v>0</v>
      </c>
      <c r="U423" s="1">
        <f t="shared" si="241"/>
        <v>0</v>
      </c>
      <c r="V423" s="1">
        <f t="shared" si="242"/>
        <v>0</v>
      </c>
      <c r="W423" s="1">
        <f t="shared" si="243"/>
        <v>0</v>
      </c>
      <c r="X423" s="1">
        <f t="shared" si="244"/>
        <v>0</v>
      </c>
      <c r="Y423" s="1">
        <f t="shared" si="245"/>
        <v>0</v>
      </c>
      <c r="Z423" s="1">
        <f t="shared" si="246"/>
        <v>0</v>
      </c>
      <c r="AA423" s="1">
        <f t="shared" si="247"/>
        <v>0</v>
      </c>
      <c r="AB423" s="1">
        <f t="shared" si="248"/>
        <v>1</v>
      </c>
      <c r="AD423" s="1">
        <f t="shared" si="249"/>
        <v>1</v>
      </c>
      <c r="AE423" s="1">
        <f t="shared" si="250"/>
        <v>0</v>
      </c>
      <c r="AF423" s="1">
        <f t="shared" si="251"/>
        <v>1</v>
      </c>
      <c r="AG423" s="1">
        <f t="shared" si="252"/>
        <v>0</v>
      </c>
      <c r="AH423" s="1">
        <f t="shared" si="253"/>
        <v>1</v>
      </c>
      <c r="AI423" s="1">
        <f t="shared" si="254"/>
        <v>0</v>
      </c>
    </row>
    <row r="424" spans="1:35" ht="14.25" customHeight="1" x14ac:dyDescent="0.25">
      <c r="A424" s="40">
        <v>0</v>
      </c>
      <c r="B424" s="40">
        <v>2</v>
      </c>
      <c r="C424" s="40">
        <v>7</v>
      </c>
      <c r="D424" s="39" t="s">
        <v>1585</v>
      </c>
      <c r="E424" s="39" t="s">
        <v>1651</v>
      </c>
      <c r="F424" s="39" t="s">
        <v>1586</v>
      </c>
      <c r="G424" s="39" t="s">
        <v>656</v>
      </c>
      <c r="H424" s="39" t="s">
        <v>354</v>
      </c>
      <c r="I424" s="40" t="s">
        <v>1587</v>
      </c>
      <c r="J424" s="40">
        <v>99</v>
      </c>
      <c r="K424" s="36" t="s">
        <v>713</v>
      </c>
      <c r="L424" s="36" t="s">
        <v>39</v>
      </c>
      <c r="M424" s="37" t="s">
        <v>39</v>
      </c>
      <c r="N424" s="37" t="s">
        <v>1727</v>
      </c>
      <c r="O424" s="38">
        <v>1</v>
      </c>
      <c r="P424" s="38">
        <v>1</v>
      </c>
      <c r="Q424" s="39"/>
      <c r="S424" s="1">
        <f t="shared" si="239"/>
        <v>0</v>
      </c>
      <c r="T424" s="1">
        <f t="shared" si="240"/>
        <v>0</v>
      </c>
      <c r="U424" s="1">
        <f t="shared" si="241"/>
        <v>0</v>
      </c>
      <c r="V424" s="1">
        <f t="shared" si="242"/>
        <v>0</v>
      </c>
      <c r="W424" s="1">
        <f t="shared" si="243"/>
        <v>0</v>
      </c>
      <c r="X424" s="1">
        <f t="shared" si="244"/>
        <v>0</v>
      </c>
      <c r="Y424" s="1">
        <f t="shared" si="245"/>
        <v>0</v>
      </c>
      <c r="Z424" s="1">
        <f t="shared" si="246"/>
        <v>0</v>
      </c>
      <c r="AA424" s="1">
        <f t="shared" si="247"/>
        <v>0</v>
      </c>
      <c r="AB424" s="1">
        <f t="shared" si="248"/>
        <v>0</v>
      </c>
      <c r="AD424" s="1">
        <f t="shared" si="249"/>
        <v>1</v>
      </c>
      <c r="AE424" s="1">
        <f t="shared" si="250"/>
        <v>0</v>
      </c>
      <c r="AF424" s="1">
        <f t="shared" si="251"/>
        <v>1</v>
      </c>
      <c r="AG424" s="1">
        <f t="shared" si="252"/>
        <v>0</v>
      </c>
      <c r="AH424" s="1">
        <f t="shared" si="253"/>
        <v>1</v>
      </c>
      <c r="AI424" s="1">
        <f t="shared" si="254"/>
        <v>0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1537</v>
      </c>
      <c r="E425" s="48" t="s">
        <v>28</v>
      </c>
      <c r="F425" s="48" t="s">
        <v>1662</v>
      </c>
      <c r="G425" s="48" t="s">
        <v>287</v>
      </c>
      <c r="H425" s="48" t="s">
        <v>354</v>
      </c>
      <c r="I425" s="47" t="s">
        <v>1688</v>
      </c>
      <c r="J425" s="47">
        <v>99</v>
      </c>
      <c r="K425" s="49" t="s">
        <v>713</v>
      </c>
      <c r="L425" s="49" t="s">
        <v>713</v>
      </c>
      <c r="M425" s="50" t="s">
        <v>731</v>
      </c>
      <c r="N425" s="50" t="s">
        <v>1735</v>
      </c>
      <c r="O425" s="51"/>
      <c r="P425" s="51"/>
      <c r="Q425" s="48"/>
      <c r="S425" s="1">
        <f t="shared" si="239"/>
        <v>0</v>
      </c>
      <c r="T425" s="1">
        <f t="shared" si="240"/>
        <v>0</v>
      </c>
      <c r="U425" s="1">
        <f t="shared" si="241"/>
        <v>0</v>
      </c>
      <c r="V425" s="1">
        <f t="shared" si="242"/>
        <v>0</v>
      </c>
      <c r="W425" s="1">
        <f t="shared" si="243"/>
        <v>0</v>
      </c>
      <c r="X425" s="1">
        <f t="shared" si="244"/>
        <v>0</v>
      </c>
      <c r="Y425" s="1">
        <f t="shared" si="245"/>
        <v>0</v>
      </c>
      <c r="Z425" s="1">
        <f t="shared" si="246"/>
        <v>0</v>
      </c>
      <c r="AA425" s="1">
        <f t="shared" si="247"/>
        <v>0</v>
      </c>
      <c r="AB425" s="1">
        <f t="shared" si="248"/>
        <v>0</v>
      </c>
      <c r="AD425" s="1">
        <f t="shared" si="249"/>
        <v>0</v>
      </c>
      <c r="AE425" s="1">
        <f t="shared" si="250"/>
        <v>0</v>
      </c>
      <c r="AF425" s="1">
        <f t="shared" si="251"/>
        <v>0</v>
      </c>
      <c r="AG425" s="1">
        <f t="shared" si="252"/>
        <v>0</v>
      </c>
      <c r="AH425" s="1">
        <f t="shared" si="253"/>
        <v>0</v>
      </c>
      <c r="AI425" s="1">
        <f t="shared" si="254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1328</v>
      </c>
      <c r="E426" s="48" t="s">
        <v>28</v>
      </c>
      <c r="F426" s="48" t="s">
        <v>572</v>
      </c>
      <c r="G426" s="48" t="s">
        <v>181</v>
      </c>
      <c r="H426" s="48" t="s">
        <v>354</v>
      </c>
      <c r="I426" s="47" t="s">
        <v>430</v>
      </c>
      <c r="J426" s="47">
        <v>7</v>
      </c>
      <c r="K426" s="49" t="s">
        <v>712</v>
      </c>
      <c r="L426" s="49" t="s">
        <v>713</v>
      </c>
      <c r="M426" s="50" t="s">
        <v>731</v>
      </c>
      <c r="N426" s="50" t="s">
        <v>1735</v>
      </c>
      <c r="O426" s="51"/>
      <c r="P426" s="51"/>
      <c r="Q426" s="48"/>
      <c r="S426" s="1">
        <f t="shared" si="227"/>
        <v>0</v>
      </c>
      <c r="T426" s="1">
        <f t="shared" si="228"/>
        <v>0</v>
      </c>
      <c r="U426" s="1">
        <f t="shared" si="229"/>
        <v>0</v>
      </c>
      <c r="V426" s="1">
        <f t="shared" si="230"/>
        <v>0</v>
      </c>
      <c r="W426" s="1">
        <f t="shared" si="231"/>
        <v>0</v>
      </c>
      <c r="X426" s="1">
        <f t="shared" si="232"/>
        <v>0</v>
      </c>
      <c r="Y426" s="1">
        <f t="shared" si="233"/>
        <v>1</v>
      </c>
      <c r="Z426" s="1">
        <f t="shared" si="234"/>
        <v>0</v>
      </c>
      <c r="AA426" s="1">
        <f t="shared" si="235"/>
        <v>0</v>
      </c>
      <c r="AB426" s="1">
        <f t="shared" si="236"/>
        <v>0</v>
      </c>
      <c r="AD426" s="1">
        <f t="shared" si="237"/>
        <v>0</v>
      </c>
      <c r="AE426" s="1">
        <f t="shared" si="238"/>
        <v>0</v>
      </c>
      <c r="AF426" s="1">
        <f t="shared" si="207"/>
        <v>0</v>
      </c>
      <c r="AG426" s="1">
        <f t="shared" si="208"/>
        <v>0</v>
      </c>
      <c r="AH426" s="1">
        <f t="shared" si="209"/>
        <v>0</v>
      </c>
      <c r="AI426" s="1">
        <f t="shared" si="210"/>
        <v>1</v>
      </c>
    </row>
    <row r="427" spans="1:35" ht="14.25" customHeight="1" x14ac:dyDescent="0.25">
      <c r="A427" s="47">
        <v>0</v>
      </c>
      <c r="B427" s="47">
        <v>2</v>
      </c>
      <c r="C427" s="47">
        <v>7</v>
      </c>
      <c r="D427" s="48" t="s">
        <v>72</v>
      </c>
      <c r="E427" s="48" t="s">
        <v>28</v>
      </c>
      <c r="F427" s="68" t="s">
        <v>1875</v>
      </c>
      <c r="G427" s="48" t="s">
        <v>235</v>
      </c>
      <c r="H427" s="48" t="s">
        <v>354</v>
      </c>
      <c r="I427" s="47" t="s">
        <v>680</v>
      </c>
      <c r="J427" s="47">
        <v>99</v>
      </c>
      <c r="K427" s="49" t="s">
        <v>713</v>
      </c>
      <c r="L427" s="49" t="s">
        <v>713</v>
      </c>
      <c r="M427" s="50" t="s">
        <v>731</v>
      </c>
      <c r="N427" s="50" t="s">
        <v>1735</v>
      </c>
      <c r="O427" s="51"/>
      <c r="P427" s="51"/>
      <c r="Q427" s="48"/>
      <c r="S427" s="1">
        <f t="shared" si="227"/>
        <v>0</v>
      </c>
      <c r="T427" s="1">
        <f t="shared" si="228"/>
        <v>0</v>
      </c>
      <c r="U427" s="1">
        <f t="shared" si="229"/>
        <v>0</v>
      </c>
      <c r="V427" s="1">
        <f t="shared" si="230"/>
        <v>0</v>
      </c>
      <c r="W427" s="1">
        <f t="shared" si="231"/>
        <v>0</v>
      </c>
      <c r="X427" s="1">
        <f t="shared" si="232"/>
        <v>0</v>
      </c>
      <c r="Y427" s="1">
        <f t="shared" si="233"/>
        <v>0</v>
      </c>
      <c r="Z427" s="1">
        <f t="shared" si="234"/>
        <v>0</v>
      </c>
      <c r="AA427" s="1">
        <f t="shared" si="235"/>
        <v>0</v>
      </c>
      <c r="AB427" s="1">
        <f t="shared" si="236"/>
        <v>0</v>
      </c>
      <c r="AD427" s="1">
        <f t="shared" si="237"/>
        <v>0</v>
      </c>
      <c r="AE427" s="1">
        <f t="shared" si="238"/>
        <v>0</v>
      </c>
      <c r="AF427" s="1">
        <f t="shared" si="207"/>
        <v>0</v>
      </c>
      <c r="AG427" s="1">
        <f t="shared" si="208"/>
        <v>0</v>
      </c>
      <c r="AH427" s="1">
        <f t="shared" si="209"/>
        <v>0</v>
      </c>
      <c r="AI427" s="1">
        <f t="shared" si="210"/>
        <v>1</v>
      </c>
    </row>
    <row r="428" spans="1:35" ht="14.25" customHeight="1" x14ac:dyDescent="0.25">
      <c r="A428" s="47">
        <v>1</v>
      </c>
      <c r="B428" s="47">
        <v>2</v>
      </c>
      <c r="C428" s="47">
        <v>7</v>
      </c>
      <c r="D428" s="48" t="s">
        <v>72</v>
      </c>
      <c r="E428" s="48" t="s">
        <v>28</v>
      </c>
      <c r="F428" s="48" t="s">
        <v>261</v>
      </c>
      <c r="G428" s="48" t="s">
        <v>220</v>
      </c>
      <c r="H428" s="48" t="s">
        <v>354</v>
      </c>
      <c r="I428" s="47" t="s">
        <v>420</v>
      </c>
      <c r="J428" s="47">
        <v>8</v>
      </c>
      <c r="K428" s="49" t="s">
        <v>713</v>
      </c>
      <c r="L428" s="49" t="s">
        <v>713</v>
      </c>
      <c r="M428" s="50" t="s">
        <v>731</v>
      </c>
      <c r="N428" s="50" t="s">
        <v>1735</v>
      </c>
      <c r="O428" s="51"/>
      <c r="P428" s="51"/>
      <c r="Q428" s="48"/>
      <c r="S428" s="1">
        <f t="shared" si="227"/>
        <v>0</v>
      </c>
      <c r="T428" s="1">
        <f t="shared" si="228"/>
        <v>0</v>
      </c>
      <c r="U428" s="1">
        <f t="shared" si="229"/>
        <v>0</v>
      </c>
      <c r="V428" s="1">
        <f t="shared" si="230"/>
        <v>0</v>
      </c>
      <c r="W428" s="1">
        <f t="shared" si="231"/>
        <v>0</v>
      </c>
      <c r="X428" s="1">
        <f t="shared" si="232"/>
        <v>0</v>
      </c>
      <c r="Y428" s="1">
        <f t="shared" si="233"/>
        <v>0</v>
      </c>
      <c r="Z428" s="1">
        <f t="shared" si="234"/>
        <v>1</v>
      </c>
      <c r="AA428" s="1">
        <f t="shared" si="235"/>
        <v>0</v>
      </c>
      <c r="AB428" s="1">
        <f t="shared" si="236"/>
        <v>0</v>
      </c>
      <c r="AD428" s="1">
        <f t="shared" si="237"/>
        <v>0</v>
      </c>
      <c r="AE428" s="1">
        <f t="shared" si="238"/>
        <v>0</v>
      </c>
      <c r="AF428" s="1">
        <f t="shared" si="207"/>
        <v>0</v>
      </c>
      <c r="AG428" s="1">
        <f t="shared" si="208"/>
        <v>0</v>
      </c>
      <c r="AH428" s="1">
        <f t="shared" si="209"/>
        <v>0</v>
      </c>
      <c r="AI428" s="1">
        <f t="shared" si="210"/>
        <v>0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72</v>
      </c>
      <c r="E429" s="48" t="s">
        <v>28</v>
      </c>
      <c r="F429" s="48" t="s">
        <v>260</v>
      </c>
      <c r="G429" s="48" t="s">
        <v>178</v>
      </c>
      <c r="H429" s="48" t="s">
        <v>354</v>
      </c>
      <c r="I429" s="47" t="s">
        <v>419</v>
      </c>
      <c r="J429" s="47">
        <v>1</v>
      </c>
      <c r="K429" s="49" t="s">
        <v>713</v>
      </c>
      <c r="L429" s="49" t="s">
        <v>713</v>
      </c>
      <c r="M429" s="50" t="s">
        <v>731</v>
      </c>
      <c r="N429" s="50" t="s">
        <v>1735</v>
      </c>
      <c r="O429" s="51"/>
      <c r="P429" s="51"/>
      <c r="Q429" s="48"/>
      <c r="S429" s="1">
        <f t="shared" si="227"/>
        <v>1</v>
      </c>
      <c r="T429" s="1">
        <f t="shared" si="228"/>
        <v>0</v>
      </c>
      <c r="U429" s="1">
        <f t="shared" si="229"/>
        <v>0</v>
      </c>
      <c r="V429" s="1">
        <f t="shared" si="230"/>
        <v>0</v>
      </c>
      <c r="W429" s="1">
        <f t="shared" si="231"/>
        <v>0</v>
      </c>
      <c r="X429" s="1">
        <f t="shared" si="232"/>
        <v>0</v>
      </c>
      <c r="Y429" s="1">
        <f t="shared" si="233"/>
        <v>0</v>
      </c>
      <c r="Z429" s="1">
        <f t="shared" si="234"/>
        <v>0</v>
      </c>
      <c r="AA429" s="1">
        <f t="shared" si="235"/>
        <v>0</v>
      </c>
      <c r="AB429" s="1">
        <f t="shared" si="236"/>
        <v>0</v>
      </c>
      <c r="AD429" s="1">
        <f t="shared" si="237"/>
        <v>0</v>
      </c>
      <c r="AE429" s="1">
        <f t="shared" si="238"/>
        <v>0</v>
      </c>
      <c r="AF429" s="1">
        <f t="shared" si="207"/>
        <v>0</v>
      </c>
      <c r="AG429" s="1">
        <f t="shared" si="208"/>
        <v>0</v>
      </c>
      <c r="AH429" s="1">
        <f t="shared" si="209"/>
        <v>0</v>
      </c>
      <c r="AI429" s="1">
        <f t="shared" si="210"/>
        <v>0</v>
      </c>
    </row>
    <row r="430" spans="1:35" ht="14.25" customHeight="1" x14ac:dyDescent="0.25">
      <c r="A430" s="15">
        <v>0</v>
      </c>
      <c r="B430" s="15">
        <v>2</v>
      </c>
      <c r="C430" s="15">
        <v>7</v>
      </c>
      <c r="D430" s="16" t="s">
        <v>778</v>
      </c>
      <c r="E430" s="16" t="s">
        <v>28</v>
      </c>
      <c r="F430" s="16" t="s">
        <v>779</v>
      </c>
      <c r="G430" s="16" t="s">
        <v>279</v>
      </c>
      <c r="H430" s="16" t="s">
        <v>354</v>
      </c>
      <c r="I430" s="15" t="s">
        <v>780</v>
      </c>
      <c r="J430" s="15">
        <v>99</v>
      </c>
      <c r="K430" s="10" t="s">
        <v>713</v>
      </c>
      <c r="L430" s="10" t="s">
        <v>713</v>
      </c>
      <c r="M430" s="19" t="s">
        <v>731</v>
      </c>
      <c r="N430" s="17"/>
      <c r="Q430" s="16"/>
      <c r="S430" s="1">
        <f t="shared" si="227"/>
        <v>0</v>
      </c>
      <c r="T430" s="1">
        <f t="shared" si="228"/>
        <v>0</v>
      </c>
      <c r="U430" s="1">
        <f t="shared" si="229"/>
        <v>0</v>
      </c>
      <c r="V430" s="1">
        <f t="shared" si="230"/>
        <v>0</v>
      </c>
      <c r="W430" s="1">
        <f t="shared" si="231"/>
        <v>0</v>
      </c>
      <c r="X430" s="1">
        <f t="shared" si="232"/>
        <v>0</v>
      </c>
      <c r="Y430" s="1">
        <f t="shared" si="233"/>
        <v>0</v>
      </c>
      <c r="Z430" s="1">
        <f t="shared" si="234"/>
        <v>0</v>
      </c>
      <c r="AA430" s="1">
        <f t="shared" si="235"/>
        <v>0</v>
      </c>
      <c r="AB430" s="1">
        <f t="shared" si="236"/>
        <v>0</v>
      </c>
      <c r="AD430" s="1">
        <f t="shared" si="237"/>
        <v>0</v>
      </c>
      <c r="AE430" s="1">
        <f t="shared" si="238"/>
        <v>0</v>
      </c>
      <c r="AF430" s="1">
        <f t="shared" si="207"/>
        <v>0</v>
      </c>
      <c r="AG430" s="1">
        <f t="shared" si="208"/>
        <v>0</v>
      </c>
      <c r="AH430" s="1">
        <f t="shared" si="209"/>
        <v>0</v>
      </c>
      <c r="AI430" s="1">
        <f t="shared" si="210"/>
        <v>1</v>
      </c>
    </row>
    <row r="431" spans="1:35" ht="14.25" customHeight="1" x14ac:dyDescent="0.25">
      <c r="A431" s="15">
        <v>0</v>
      </c>
      <c r="B431" s="15">
        <v>2</v>
      </c>
      <c r="C431" s="15">
        <v>7</v>
      </c>
      <c r="D431" s="16" t="s">
        <v>85</v>
      </c>
      <c r="E431" s="16" t="s">
        <v>28</v>
      </c>
      <c r="F431" s="16" t="s">
        <v>278</v>
      </c>
      <c r="G431" s="16" t="s">
        <v>279</v>
      </c>
      <c r="H431" s="16" t="s">
        <v>354</v>
      </c>
      <c r="I431" s="15" t="s">
        <v>434</v>
      </c>
      <c r="J431" s="15">
        <v>99</v>
      </c>
      <c r="K431" s="10" t="s">
        <v>713</v>
      </c>
      <c r="L431" s="10" t="s">
        <v>713</v>
      </c>
      <c r="M431" s="19" t="s">
        <v>731</v>
      </c>
      <c r="N431" s="17"/>
      <c r="Q431" s="16"/>
      <c r="S431" s="1">
        <f t="shared" si="227"/>
        <v>0</v>
      </c>
      <c r="T431" s="1">
        <f t="shared" si="228"/>
        <v>0</v>
      </c>
      <c r="U431" s="1">
        <f t="shared" si="229"/>
        <v>0</v>
      </c>
      <c r="V431" s="1">
        <f t="shared" si="230"/>
        <v>0</v>
      </c>
      <c r="W431" s="1">
        <f t="shared" si="231"/>
        <v>0</v>
      </c>
      <c r="X431" s="1">
        <f t="shared" si="232"/>
        <v>0</v>
      </c>
      <c r="Y431" s="1">
        <f t="shared" si="233"/>
        <v>0</v>
      </c>
      <c r="Z431" s="1">
        <f t="shared" si="234"/>
        <v>0</v>
      </c>
      <c r="AA431" s="1">
        <f t="shared" si="235"/>
        <v>0</v>
      </c>
      <c r="AB431" s="1">
        <f t="shared" si="236"/>
        <v>0</v>
      </c>
      <c r="AD431" s="1">
        <f t="shared" si="237"/>
        <v>0</v>
      </c>
      <c r="AE431" s="1">
        <f t="shared" si="238"/>
        <v>0</v>
      </c>
      <c r="AF431" s="1">
        <f t="shared" si="207"/>
        <v>0</v>
      </c>
      <c r="AG431" s="1">
        <f t="shared" si="208"/>
        <v>0</v>
      </c>
      <c r="AH431" s="1">
        <f t="shared" si="209"/>
        <v>0</v>
      </c>
      <c r="AI431" s="1">
        <f t="shared" si="210"/>
        <v>1</v>
      </c>
    </row>
    <row r="432" spans="1:35" ht="14.25" customHeight="1" x14ac:dyDescent="0.25">
      <c r="A432" s="40">
        <v>0</v>
      </c>
      <c r="B432" s="40">
        <v>2</v>
      </c>
      <c r="C432" s="40">
        <v>7</v>
      </c>
      <c r="D432" s="39" t="s">
        <v>1937</v>
      </c>
      <c r="E432" s="39" t="s">
        <v>28</v>
      </c>
      <c r="F432" s="39" t="s">
        <v>1938</v>
      </c>
      <c r="G432" s="39" t="s">
        <v>185</v>
      </c>
      <c r="H432" s="39" t="s">
        <v>354</v>
      </c>
      <c r="I432" s="40" t="s">
        <v>1939</v>
      </c>
      <c r="J432" s="40">
        <v>99</v>
      </c>
      <c r="K432" s="36" t="s">
        <v>703</v>
      </c>
      <c r="L432" s="36">
        <v>4</v>
      </c>
      <c r="M432" s="37" t="s">
        <v>731</v>
      </c>
      <c r="N432" s="37" t="s">
        <v>1743</v>
      </c>
      <c r="O432" s="38">
        <v>1</v>
      </c>
      <c r="P432" s="38"/>
      <c r="Q432" s="39" t="s">
        <v>1940</v>
      </c>
      <c r="S432" s="1">
        <f t="shared" si="227"/>
        <v>0</v>
      </c>
      <c r="T432" s="1">
        <f t="shared" si="228"/>
        <v>0</v>
      </c>
      <c r="U432" s="1">
        <f t="shared" si="229"/>
        <v>0</v>
      </c>
      <c r="V432" s="1">
        <f t="shared" si="230"/>
        <v>0</v>
      </c>
      <c r="W432" s="1">
        <f t="shared" si="231"/>
        <v>0</v>
      </c>
      <c r="X432" s="1">
        <f t="shared" si="232"/>
        <v>0</v>
      </c>
      <c r="Y432" s="1">
        <f t="shared" si="233"/>
        <v>0</v>
      </c>
      <c r="Z432" s="1">
        <f t="shared" si="234"/>
        <v>0</v>
      </c>
      <c r="AA432" s="1">
        <f t="shared" si="235"/>
        <v>0</v>
      </c>
      <c r="AB432" s="1">
        <f t="shared" si="236"/>
        <v>0</v>
      </c>
      <c r="AD432" s="1">
        <f t="shared" si="237"/>
        <v>0</v>
      </c>
      <c r="AE432" s="1">
        <f t="shared" si="238"/>
        <v>1</v>
      </c>
      <c r="AF432" s="1">
        <f t="shared" si="207"/>
        <v>0</v>
      </c>
      <c r="AG432" s="1">
        <f t="shared" si="208"/>
        <v>1</v>
      </c>
      <c r="AH432" s="1">
        <f t="shared" si="209"/>
        <v>0</v>
      </c>
      <c r="AI432" s="1">
        <f t="shared" si="210"/>
        <v>1</v>
      </c>
    </row>
    <row r="433" spans="1:35" ht="14.25" customHeight="1" x14ac:dyDescent="0.25">
      <c r="A433" s="47">
        <v>0</v>
      </c>
      <c r="B433" s="47">
        <v>2</v>
      </c>
      <c r="C433" s="47">
        <v>7</v>
      </c>
      <c r="D433" s="48" t="s">
        <v>553</v>
      </c>
      <c r="E433" s="48" t="s">
        <v>28</v>
      </c>
      <c r="F433" s="68" t="s">
        <v>1876</v>
      </c>
      <c r="G433" s="48" t="s">
        <v>556</v>
      </c>
      <c r="H433" s="48" t="s">
        <v>354</v>
      </c>
      <c r="I433" s="47" t="s">
        <v>557</v>
      </c>
      <c r="J433" s="47">
        <v>99</v>
      </c>
      <c r="K433" s="49" t="s">
        <v>713</v>
      </c>
      <c r="L433" s="49" t="s">
        <v>713</v>
      </c>
      <c r="M433" s="50" t="s">
        <v>731</v>
      </c>
      <c r="N433" s="50" t="s">
        <v>1802</v>
      </c>
      <c r="O433" s="51"/>
      <c r="P433" s="51"/>
      <c r="Q433" s="48"/>
      <c r="S433" s="1">
        <f t="shared" si="227"/>
        <v>0</v>
      </c>
      <c r="T433" s="1">
        <f t="shared" si="228"/>
        <v>0</v>
      </c>
      <c r="U433" s="1">
        <f t="shared" si="229"/>
        <v>0</v>
      </c>
      <c r="V433" s="1">
        <f t="shared" si="230"/>
        <v>0</v>
      </c>
      <c r="W433" s="1">
        <f t="shared" si="231"/>
        <v>0</v>
      </c>
      <c r="X433" s="1">
        <f t="shared" si="232"/>
        <v>0</v>
      </c>
      <c r="Y433" s="1">
        <f t="shared" si="233"/>
        <v>0</v>
      </c>
      <c r="Z433" s="1">
        <f t="shared" si="234"/>
        <v>0</v>
      </c>
      <c r="AA433" s="1">
        <f t="shared" si="235"/>
        <v>0</v>
      </c>
      <c r="AB433" s="1">
        <f t="shared" si="236"/>
        <v>0</v>
      </c>
      <c r="AD433" s="1">
        <f t="shared" si="237"/>
        <v>0</v>
      </c>
      <c r="AE433" s="1">
        <f t="shared" si="238"/>
        <v>0</v>
      </c>
      <c r="AF433" s="1">
        <f t="shared" si="207"/>
        <v>0</v>
      </c>
      <c r="AG433" s="1">
        <f t="shared" si="208"/>
        <v>0</v>
      </c>
      <c r="AH433" s="1">
        <f t="shared" si="209"/>
        <v>0</v>
      </c>
      <c r="AI433" s="1">
        <f t="shared" si="210"/>
        <v>1</v>
      </c>
    </row>
    <row r="434" spans="1:35" ht="14.25" customHeight="1" x14ac:dyDescent="0.25">
      <c r="A434" s="47">
        <v>1</v>
      </c>
      <c r="B434" s="47">
        <v>2</v>
      </c>
      <c r="C434" s="47">
        <v>7</v>
      </c>
      <c r="D434" s="48" t="s">
        <v>553</v>
      </c>
      <c r="E434" s="48" t="s">
        <v>28</v>
      </c>
      <c r="F434" s="68" t="s">
        <v>1877</v>
      </c>
      <c r="G434" s="48" t="s">
        <v>554</v>
      </c>
      <c r="H434" s="48" t="s">
        <v>354</v>
      </c>
      <c r="I434" s="47" t="s">
        <v>555</v>
      </c>
      <c r="J434" s="47">
        <v>99</v>
      </c>
      <c r="K434" s="49" t="s">
        <v>713</v>
      </c>
      <c r="L434" s="49" t="s">
        <v>713</v>
      </c>
      <c r="M434" s="50" t="s">
        <v>731</v>
      </c>
      <c r="N434" s="50" t="s">
        <v>1802</v>
      </c>
      <c r="O434" s="51"/>
      <c r="P434" s="51"/>
      <c r="Q434" s="48"/>
      <c r="S434" s="1">
        <f t="shared" si="227"/>
        <v>0</v>
      </c>
      <c r="T434" s="1">
        <f t="shared" si="228"/>
        <v>0</v>
      </c>
      <c r="U434" s="1">
        <f t="shared" si="229"/>
        <v>0</v>
      </c>
      <c r="V434" s="1">
        <f t="shared" si="230"/>
        <v>0</v>
      </c>
      <c r="W434" s="1">
        <f t="shared" si="231"/>
        <v>0</v>
      </c>
      <c r="X434" s="1">
        <f t="shared" si="232"/>
        <v>0</v>
      </c>
      <c r="Y434" s="1">
        <f t="shared" si="233"/>
        <v>0</v>
      </c>
      <c r="Z434" s="1">
        <f t="shared" si="234"/>
        <v>0</v>
      </c>
      <c r="AA434" s="1">
        <f t="shared" si="235"/>
        <v>0</v>
      </c>
      <c r="AB434" s="1">
        <f t="shared" si="236"/>
        <v>0</v>
      </c>
      <c r="AD434" s="1">
        <f t="shared" si="237"/>
        <v>0</v>
      </c>
      <c r="AE434" s="1">
        <f t="shared" si="238"/>
        <v>0</v>
      </c>
      <c r="AF434" s="1">
        <f t="shared" si="207"/>
        <v>0</v>
      </c>
      <c r="AG434" s="1">
        <f t="shared" si="208"/>
        <v>0</v>
      </c>
      <c r="AH434" s="1">
        <f t="shared" si="209"/>
        <v>0</v>
      </c>
      <c r="AI434" s="1">
        <f t="shared" si="210"/>
        <v>0</v>
      </c>
    </row>
    <row r="435" spans="1:35" ht="14.25" customHeight="1" x14ac:dyDescent="0.25">
      <c r="A435" s="47">
        <v>0</v>
      </c>
      <c r="B435" s="47">
        <v>2</v>
      </c>
      <c r="C435" s="47">
        <v>7</v>
      </c>
      <c r="D435" s="48" t="s">
        <v>1185</v>
      </c>
      <c r="E435" s="48" t="s">
        <v>28</v>
      </c>
      <c r="F435" s="48" t="s">
        <v>1678</v>
      </c>
      <c r="G435" s="48" t="s">
        <v>235</v>
      </c>
      <c r="H435" s="48" t="s">
        <v>354</v>
      </c>
      <c r="I435" s="47" t="s">
        <v>1366</v>
      </c>
      <c r="J435" s="47">
        <v>99</v>
      </c>
      <c r="K435" s="49" t="s">
        <v>712</v>
      </c>
      <c r="L435" s="49" t="s">
        <v>713</v>
      </c>
      <c r="M435" s="50" t="s">
        <v>731</v>
      </c>
      <c r="N435" s="50" t="s">
        <v>1735</v>
      </c>
      <c r="O435" s="51"/>
      <c r="P435" s="51"/>
      <c r="Q435" s="48"/>
      <c r="S435" s="1">
        <f t="shared" si="227"/>
        <v>0</v>
      </c>
      <c r="T435" s="1">
        <f t="shared" si="228"/>
        <v>0</v>
      </c>
      <c r="U435" s="1">
        <f t="shared" si="229"/>
        <v>0</v>
      </c>
      <c r="V435" s="1">
        <f t="shared" si="230"/>
        <v>0</v>
      </c>
      <c r="W435" s="1">
        <f t="shared" si="231"/>
        <v>0</v>
      </c>
      <c r="X435" s="1">
        <f t="shared" si="232"/>
        <v>0</v>
      </c>
      <c r="Y435" s="1">
        <f t="shared" si="233"/>
        <v>0</v>
      </c>
      <c r="Z435" s="1">
        <f t="shared" si="234"/>
        <v>0</v>
      </c>
      <c r="AA435" s="1">
        <f t="shared" si="235"/>
        <v>0</v>
      </c>
      <c r="AB435" s="1">
        <f t="shared" si="236"/>
        <v>0</v>
      </c>
      <c r="AD435" s="1">
        <f t="shared" si="237"/>
        <v>0</v>
      </c>
      <c r="AE435" s="1">
        <f t="shared" si="238"/>
        <v>0</v>
      </c>
      <c r="AF435" s="1">
        <f t="shared" si="207"/>
        <v>0</v>
      </c>
      <c r="AG435" s="1">
        <f t="shared" si="208"/>
        <v>0</v>
      </c>
      <c r="AH435" s="1">
        <f t="shared" si="209"/>
        <v>0</v>
      </c>
      <c r="AI435" s="1">
        <f t="shared" si="210"/>
        <v>1</v>
      </c>
    </row>
    <row r="436" spans="1:35" ht="14.25" customHeight="1" x14ac:dyDescent="0.25">
      <c r="A436" s="47">
        <v>1</v>
      </c>
      <c r="B436" s="47">
        <v>2</v>
      </c>
      <c r="C436" s="47">
        <v>7</v>
      </c>
      <c r="D436" s="48" t="s">
        <v>1185</v>
      </c>
      <c r="E436" s="48" t="s">
        <v>28</v>
      </c>
      <c r="F436" s="48" t="s">
        <v>1679</v>
      </c>
      <c r="G436" s="48" t="s">
        <v>1352</v>
      </c>
      <c r="H436" s="48" t="s">
        <v>354</v>
      </c>
      <c r="I436" s="47" t="s">
        <v>1367</v>
      </c>
      <c r="J436" s="47">
        <v>99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227"/>
        <v>0</v>
      </c>
      <c r="T436" s="1">
        <f t="shared" si="228"/>
        <v>0</v>
      </c>
      <c r="U436" s="1">
        <f t="shared" si="229"/>
        <v>0</v>
      </c>
      <c r="V436" s="1">
        <f t="shared" si="230"/>
        <v>0</v>
      </c>
      <c r="W436" s="1">
        <f t="shared" si="231"/>
        <v>0</v>
      </c>
      <c r="X436" s="1">
        <f t="shared" si="232"/>
        <v>0</v>
      </c>
      <c r="Y436" s="1">
        <f t="shared" si="233"/>
        <v>0</v>
      </c>
      <c r="Z436" s="1">
        <f t="shared" si="234"/>
        <v>0</v>
      </c>
      <c r="AA436" s="1">
        <f t="shared" si="235"/>
        <v>0</v>
      </c>
      <c r="AB436" s="1">
        <f t="shared" si="236"/>
        <v>0</v>
      </c>
      <c r="AD436" s="1">
        <f t="shared" si="237"/>
        <v>0</v>
      </c>
      <c r="AE436" s="1">
        <f t="shared" si="238"/>
        <v>0</v>
      </c>
      <c r="AF436" s="1">
        <f t="shared" si="207"/>
        <v>0</v>
      </c>
      <c r="AG436" s="1">
        <f t="shared" si="208"/>
        <v>0</v>
      </c>
      <c r="AH436" s="1">
        <f t="shared" si="209"/>
        <v>0</v>
      </c>
      <c r="AI436" s="1">
        <f t="shared" si="210"/>
        <v>0</v>
      </c>
    </row>
    <row r="437" spans="1:35" ht="14.25" customHeight="1" x14ac:dyDescent="0.25">
      <c r="A437" s="34">
        <v>0</v>
      </c>
      <c r="B437" s="34">
        <v>2</v>
      </c>
      <c r="C437" s="34">
        <v>7</v>
      </c>
      <c r="D437" s="35" t="s">
        <v>1253</v>
      </c>
      <c r="E437" s="35" t="s">
        <v>28</v>
      </c>
      <c r="F437" s="35" t="s">
        <v>1252</v>
      </c>
      <c r="G437" s="35" t="s">
        <v>1237</v>
      </c>
      <c r="H437" s="35" t="s">
        <v>354</v>
      </c>
      <c r="I437" s="34" t="s">
        <v>1254</v>
      </c>
      <c r="J437" s="34">
        <v>99</v>
      </c>
      <c r="K437" s="36" t="s">
        <v>703</v>
      </c>
      <c r="L437" s="36" t="s">
        <v>713</v>
      </c>
      <c r="M437" s="37" t="s">
        <v>731</v>
      </c>
      <c r="N437" s="37" t="s">
        <v>1743</v>
      </c>
      <c r="O437" s="38">
        <v>1</v>
      </c>
      <c r="P437" s="38"/>
      <c r="Q437" s="35"/>
      <c r="S437" s="1">
        <f t="shared" si="227"/>
        <v>0</v>
      </c>
      <c r="T437" s="1">
        <f t="shared" si="228"/>
        <v>0</v>
      </c>
      <c r="U437" s="1">
        <f t="shared" si="229"/>
        <v>0</v>
      </c>
      <c r="V437" s="1">
        <f t="shared" si="230"/>
        <v>0</v>
      </c>
      <c r="W437" s="1">
        <f t="shared" si="231"/>
        <v>0</v>
      </c>
      <c r="X437" s="1">
        <f t="shared" si="232"/>
        <v>0</v>
      </c>
      <c r="Y437" s="1">
        <f t="shared" si="233"/>
        <v>0</v>
      </c>
      <c r="Z437" s="1">
        <f t="shared" si="234"/>
        <v>0</v>
      </c>
      <c r="AA437" s="1">
        <f t="shared" si="235"/>
        <v>0</v>
      </c>
      <c r="AB437" s="1">
        <f t="shared" si="236"/>
        <v>0</v>
      </c>
      <c r="AD437" s="1">
        <f t="shared" si="237"/>
        <v>0</v>
      </c>
      <c r="AE437" s="1">
        <f t="shared" si="238"/>
        <v>1</v>
      </c>
      <c r="AF437" s="1">
        <f t="shared" si="207"/>
        <v>0</v>
      </c>
      <c r="AG437" s="1">
        <f t="shared" si="208"/>
        <v>1</v>
      </c>
      <c r="AH437" s="1">
        <f t="shared" si="209"/>
        <v>0</v>
      </c>
      <c r="AI437" s="1">
        <f t="shared" si="210"/>
        <v>1</v>
      </c>
    </row>
    <row r="438" spans="1:35" ht="14.25" customHeight="1" x14ac:dyDescent="0.25">
      <c r="A438" s="34">
        <v>1</v>
      </c>
      <c r="B438" s="34">
        <v>2</v>
      </c>
      <c r="C438" s="34">
        <v>7</v>
      </c>
      <c r="D438" s="35" t="s">
        <v>1253</v>
      </c>
      <c r="E438" s="35" t="s">
        <v>28</v>
      </c>
      <c r="F438" s="35" t="s">
        <v>1251</v>
      </c>
      <c r="G438" s="35" t="s">
        <v>39</v>
      </c>
      <c r="H438" s="35" t="s">
        <v>354</v>
      </c>
      <c r="I438" s="34" t="s">
        <v>1255</v>
      </c>
      <c r="J438" s="34">
        <v>9</v>
      </c>
      <c r="K438" s="36" t="s">
        <v>703</v>
      </c>
      <c r="L438" s="36" t="s">
        <v>713</v>
      </c>
      <c r="M438" s="37" t="s">
        <v>731</v>
      </c>
      <c r="N438" s="37" t="s">
        <v>1743</v>
      </c>
      <c r="O438" s="38">
        <v>1</v>
      </c>
      <c r="P438" s="38"/>
      <c r="Q438" s="35"/>
      <c r="S438" s="1">
        <f t="shared" si="227"/>
        <v>0</v>
      </c>
      <c r="T438" s="1">
        <f t="shared" si="228"/>
        <v>0</v>
      </c>
      <c r="U438" s="1">
        <f t="shared" si="229"/>
        <v>0</v>
      </c>
      <c r="V438" s="1">
        <f t="shared" si="230"/>
        <v>0</v>
      </c>
      <c r="W438" s="1">
        <f t="shared" si="231"/>
        <v>0</v>
      </c>
      <c r="X438" s="1">
        <f t="shared" si="232"/>
        <v>0</v>
      </c>
      <c r="Y438" s="1">
        <f t="shared" si="233"/>
        <v>0</v>
      </c>
      <c r="Z438" s="1">
        <f t="shared" si="234"/>
        <v>0</v>
      </c>
      <c r="AA438" s="1">
        <f t="shared" si="235"/>
        <v>1</v>
      </c>
      <c r="AB438" s="1">
        <f t="shared" si="236"/>
        <v>0</v>
      </c>
      <c r="AD438" s="1">
        <f t="shared" si="237"/>
        <v>0</v>
      </c>
      <c r="AE438" s="1">
        <f t="shared" si="238"/>
        <v>1</v>
      </c>
      <c r="AF438" s="1">
        <f t="shared" si="207"/>
        <v>0</v>
      </c>
      <c r="AG438" s="1">
        <f t="shared" si="208"/>
        <v>0</v>
      </c>
      <c r="AH438" s="1">
        <f t="shared" si="209"/>
        <v>0</v>
      </c>
      <c r="AI438" s="1">
        <f t="shared" si="210"/>
        <v>0</v>
      </c>
    </row>
    <row r="439" spans="1:35" ht="14.25" customHeight="1" x14ac:dyDescent="0.25">
      <c r="A439" s="34">
        <v>1</v>
      </c>
      <c r="B439" s="34">
        <v>2</v>
      </c>
      <c r="C439" s="34">
        <v>7</v>
      </c>
      <c r="D439" s="35" t="s">
        <v>1253</v>
      </c>
      <c r="E439" s="35" t="s">
        <v>28</v>
      </c>
      <c r="F439" s="39" t="s">
        <v>1824</v>
      </c>
      <c r="G439" s="39" t="s">
        <v>258</v>
      </c>
      <c r="H439" s="35" t="s">
        <v>354</v>
      </c>
      <c r="I439" s="40" t="s">
        <v>30</v>
      </c>
      <c r="J439" s="34">
        <v>8</v>
      </c>
      <c r="K439" s="36" t="s">
        <v>703</v>
      </c>
      <c r="L439" s="36" t="s">
        <v>713</v>
      </c>
      <c r="M439" s="37" t="s">
        <v>731</v>
      </c>
      <c r="N439" s="37" t="s">
        <v>1743</v>
      </c>
      <c r="O439" s="38">
        <v>1</v>
      </c>
      <c r="P439" s="38"/>
      <c r="Q439" s="35"/>
      <c r="S439" s="1">
        <f t="shared" si="227"/>
        <v>0</v>
      </c>
      <c r="T439" s="1">
        <f t="shared" si="228"/>
        <v>0</v>
      </c>
      <c r="U439" s="1">
        <f t="shared" si="229"/>
        <v>0</v>
      </c>
      <c r="V439" s="1">
        <f t="shared" si="230"/>
        <v>0</v>
      </c>
      <c r="W439" s="1">
        <f t="shared" si="231"/>
        <v>0</v>
      </c>
      <c r="X439" s="1">
        <f t="shared" si="232"/>
        <v>0</v>
      </c>
      <c r="Y439" s="1">
        <f t="shared" si="233"/>
        <v>0</v>
      </c>
      <c r="Z439" s="1">
        <f t="shared" si="234"/>
        <v>1</v>
      </c>
      <c r="AA439" s="1">
        <f t="shared" si="235"/>
        <v>0</v>
      </c>
      <c r="AB439" s="1">
        <f t="shared" si="236"/>
        <v>0</v>
      </c>
      <c r="AD439" s="1">
        <f t="shared" si="237"/>
        <v>0</v>
      </c>
      <c r="AE439" s="1">
        <f t="shared" si="238"/>
        <v>1</v>
      </c>
      <c r="AF439" s="1">
        <f t="shared" si="207"/>
        <v>0</v>
      </c>
      <c r="AG439" s="1">
        <f t="shared" si="208"/>
        <v>0</v>
      </c>
      <c r="AH439" s="1">
        <f t="shared" si="209"/>
        <v>0</v>
      </c>
      <c r="AI439" s="1">
        <f t="shared" si="210"/>
        <v>0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51</v>
      </c>
      <c r="E440" s="35" t="s">
        <v>28</v>
      </c>
      <c r="F440" s="35" t="s">
        <v>674</v>
      </c>
      <c r="G440" s="35" t="s">
        <v>185</v>
      </c>
      <c r="H440" s="35" t="s">
        <v>354</v>
      </c>
      <c r="I440" s="34" t="s">
        <v>390</v>
      </c>
      <c r="J440" s="34">
        <v>99</v>
      </c>
      <c r="K440" s="36" t="s">
        <v>712</v>
      </c>
      <c r="L440" s="36" t="s">
        <v>713</v>
      </c>
      <c r="M440" s="37" t="s">
        <v>731</v>
      </c>
      <c r="N440" s="37" t="s">
        <v>1749</v>
      </c>
      <c r="O440" s="38">
        <v>1</v>
      </c>
      <c r="P440" s="38"/>
      <c r="Q440" s="35"/>
      <c r="S440" s="1">
        <f t="shared" si="227"/>
        <v>0</v>
      </c>
      <c r="T440" s="1">
        <f t="shared" si="228"/>
        <v>0</v>
      </c>
      <c r="U440" s="1">
        <f t="shared" si="229"/>
        <v>0</v>
      </c>
      <c r="V440" s="1">
        <f t="shared" si="230"/>
        <v>0</v>
      </c>
      <c r="W440" s="1">
        <f t="shared" si="231"/>
        <v>0</v>
      </c>
      <c r="X440" s="1">
        <f t="shared" si="232"/>
        <v>0</v>
      </c>
      <c r="Y440" s="1">
        <f t="shared" si="233"/>
        <v>0</v>
      </c>
      <c r="Z440" s="1">
        <f t="shared" si="234"/>
        <v>0</v>
      </c>
      <c r="AA440" s="1">
        <f t="shared" si="235"/>
        <v>0</v>
      </c>
      <c r="AB440" s="1">
        <f t="shared" si="236"/>
        <v>0</v>
      </c>
      <c r="AD440" s="1">
        <f t="shared" si="237"/>
        <v>0</v>
      </c>
      <c r="AE440" s="1">
        <f t="shared" si="238"/>
        <v>1</v>
      </c>
      <c r="AF440" s="1">
        <f t="shared" si="207"/>
        <v>0</v>
      </c>
      <c r="AG440" s="1">
        <f t="shared" si="208"/>
        <v>1</v>
      </c>
      <c r="AH440" s="1">
        <f t="shared" si="209"/>
        <v>0</v>
      </c>
      <c r="AI440" s="1">
        <f t="shared" si="210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1081</v>
      </c>
      <c r="E441" s="48" t="s">
        <v>28</v>
      </c>
      <c r="F441" s="48" t="s">
        <v>998</v>
      </c>
      <c r="G441" s="48" t="s">
        <v>240</v>
      </c>
      <c r="H441" s="48" t="s">
        <v>354</v>
      </c>
      <c r="I441" s="47" t="s">
        <v>1106</v>
      </c>
      <c r="J441" s="47">
        <v>1</v>
      </c>
      <c r="K441" s="49" t="s">
        <v>712</v>
      </c>
      <c r="L441" s="49" t="s">
        <v>713</v>
      </c>
      <c r="M441" s="50" t="s">
        <v>731</v>
      </c>
      <c r="N441" s="50" t="s">
        <v>1735</v>
      </c>
      <c r="O441" s="51"/>
      <c r="P441" s="51"/>
      <c r="Q441" s="48"/>
      <c r="S441" s="1">
        <f t="shared" si="227"/>
        <v>1</v>
      </c>
      <c r="T441" s="1">
        <f t="shared" si="228"/>
        <v>0</v>
      </c>
      <c r="U441" s="1">
        <f t="shared" si="229"/>
        <v>0</v>
      </c>
      <c r="V441" s="1">
        <f t="shared" si="230"/>
        <v>0</v>
      </c>
      <c r="W441" s="1">
        <f t="shared" si="231"/>
        <v>0</v>
      </c>
      <c r="X441" s="1">
        <f t="shared" si="232"/>
        <v>0</v>
      </c>
      <c r="Y441" s="1">
        <f t="shared" si="233"/>
        <v>0</v>
      </c>
      <c r="Z441" s="1">
        <f t="shared" si="234"/>
        <v>0</v>
      </c>
      <c r="AA441" s="1">
        <f t="shared" si="235"/>
        <v>0</v>
      </c>
      <c r="AB441" s="1">
        <f t="shared" si="236"/>
        <v>0</v>
      </c>
      <c r="AD441" s="1">
        <f t="shared" si="237"/>
        <v>0</v>
      </c>
      <c r="AE441" s="1">
        <f t="shared" si="238"/>
        <v>0</v>
      </c>
      <c r="AF441" s="1">
        <f t="shared" si="207"/>
        <v>0</v>
      </c>
      <c r="AG441" s="1">
        <f t="shared" si="208"/>
        <v>0</v>
      </c>
      <c r="AH441" s="1">
        <f t="shared" si="209"/>
        <v>0</v>
      </c>
      <c r="AI441" s="1">
        <f t="shared" si="210"/>
        <v>1</v>
      </c>
    </row>
    <row r="442" spans="1:35" ht="14.25" customHeight="1" x14ac:dyDescent="0.25">
      <c r="A442" s="47">
        <v>1</v>
      </c>
      <c r="B442" s="47">
        <v>2</v>
      </c>
      <c r="C442" s="47">
        <v>7</v>
      </c>
      <c r="D442" s="48" t="s">
        <v>1081</v>
      </c>
      <c r="E442" s="48" t="s">
        <v>28</v>
      </c>
      <c r="F442" s="48" t="s">
        <v>999</v>
      </c>
      <c r="G442" s="48" t="s">
        <v>1099</v>
      </c>
      <c r="H442" s="48" t="s">
        <v>354</v>
      </c>
      <c r="I442" s="47" t="s">
        <v>1107</v>
      </c>
      <c r="J442" s="47">
        <v>1</v>
      </c>
      <c r="K442" s="49" t="s">
        <v>712</v>
      </c>
      <c r="L442" s="49" t="s">
        <v>713</v>
      </c>
      <c r="M442" s="50" t="s">
        <v>731</v>
      </c>
      <c r="N442" s="50" t="s">
        <v>1735</v>
      </c>
      <c r="O442" s="51"/>
      <c r="P442" s="51"/>
      <c r="Q442" s="48"/>
      <c r="S442" s="1">
        <f t="shared" si="227"/>
        <v>1</v>
      </c>
      <c r="T442" s="1">
        <f t="shared" si="228"/>
        <v>0</v>
      </c>
      <c r="U442" s="1">
        <f t="shared" si="229"/>
        <v>0</v>
      </c>
      <c r="V442" s="1">
        <f t="shared" si="230"/>
        <v>0</v>
      </c>
      <c r="W442" s="1">
        <f t="shared" si="231"/>
        <v>0</v>
      </c>
      <c r="X442" s="1">
        <f t="shared" si="232"/>
        <v>0</v>
      </c>
      <c r="Y442" s="1">
        <f t="shared" si="233"/>
        <v>0</v>
      </c>
      <c r="Z442" s="1">
        <f t="shared" si="234"/>
        <v>0</v>
      </c>
      <c r="AA442" s="1">
        <f t="shared" si="235"/>
        <v>0</v>
      </c>
      <c r="AB442" s="1">
        <f t="shared" si="236"/>
        <v>0</v>
      </c>
      <c r="AD442" s="1">
        <f t="shared" si="237"/>
        <v>0</v>
      </c>
      <c r="AE442" s="1">
        <f t="shared" si="238"/>
        <v>0</v>
      </c>
      <c r="AF442" s="1">
        <f t="shared" si="207"/>
        <v>0</v>
      </c>
      <c r="AG442" s="1">
        <f t="shared" si="208"/>
        <v>0</v>
      </c>
      <c r="AH442" s="1">
        <f t="shared" si="209"/>
        <v>0</v>
      </c>
      <c r="AI442" s="1">
        <f t="shared" si="210"/>
        <v>0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1638</v>
      </c>
      <c r="E443" s="35" t="s">
        <v>156</v>
      </c>
      <c r="F443" s="35" t="s">
        <v>1491</v>
      </c>
      <c r="G443" s="35" t="s">
        <v>1492</v>
      </c>
      <c r="H443" s="35" t="s">
        <v>354</v>
      </c>
      <c r="I443" s="34" t="s">
        <v>1493</v>
      </c>
      <c r="J443" s="34">
        <v>99</v>
      </c>
      <c r="K443" s="36" t="s">
        <v>955</v>
      </c>
      <c r="L443" s="36" t="s">
        <v>722</v>
      </c>
      <c r="M443" s="37" t="s">
        <v>732</v>
      </c>
      <c r="N443" s="37" t="s">
        <v>1748</v>
      </c>
      <c r="O443" s="38">
        <v>1</v>
      </c>
      <c r="P443" s="38"/>
      <c r="Q443" s="35"/>
      <c r="S443" s="1">
        <f t="shared" si="227"/>
        <v>0</v>
      </c>
      <c r="T443" s="1">
        <f t="shared" si="228"/>
        <v>0</v>
      </c>
      <c r="U443" s="1">
        <f t="shared" si="229"/>
        <v>0</v>
      </c>
      <c r="V443" s="1">
        <f t="shared" si="230"/>
        <v>0</v>
      </c>
      <c r="W443" s="1">
        <f t="shared" si="231"/>
        <v>0</v>
      </c>
      <c r="X443" s="1">
        <f t="shared" si="232"/>
        <v>0</v>
      </c>
      <c r="Y443" s="1">
        <f t="shared" si="233"/>
        <v>0</v>
      </c>
      <c r="Z443" s="1">
        <f t="shared" si="234"/>
        <v>0</v>
      </c>
      <c r="AA443" s="1">
        <f t="shared" si="235"/>
        <v>0</v>
      </c>
      <c r="AB443" s="1">
        <f t="shared" si="236"/>
        <v>0</v>
      </c>
      <c r="AD443" s="1">
        <f t="shared" si="237"/>
        <v>0</v>
      </c>
      <c r="AE443" s="1">
        <f t="shared" si="238"/>
        <v>1</v>
      </c>
      <c r="AF443" s="1">
        <f t="shared" si="207"/>
        <v>0</v>
      </c>
      <c r="AG443" s="1">
        <f t="shared" si="208"/>
        <v>1</v>
      </c>
      <c r="AH443" s="1">
        <f t="shared" si="209"/>
        <v>0</v>
      </c>
      <c r="AI443" s="1">
        <f t="shared" si="210"/>
        <v>1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82</v>
      </c>
      <c r="E444" s="48" t="s">
        <v>28</v>
      </c>
      <c r="F444" s="48" t="s">
        <v>274</v>
      </c>
      <c r="G444" s="48" t="s">
        <v>275</v>
      </c>
      <c r="H444" s="48" t="s">
        <v>354</v>
      </c>
      <c r="I444" s="47" t="s">
        <v>429</v>
      </c>
      <c r="J444" s="47">
        <v>7</v>
      </c>
      <c r="K444" s="49" t="s">
        <v>955</v>
      </c>
      <c r="L444" s="49" t="s">
        <v>954</v>
      </c>
      <c r="M444" s="50" t="s">
        <v>968</v>
      </c>
      <c r="N444" s="50" t="s">
        <v>1809</v>
      </c>
      <c r="O444" s="51"/>
      <c r="P444" s="51"/>
      <c r="Q444" s="48"/>
      <c r="S444" s="1">
        <f t="shared" si="227"/>
        <v>0</v>
      </c>
      <c r="T444" s="1">
        <f t="shared" si="228"/>
        <v>0</v>
      </c>
      <c r="U444" s="1">
        <f t="shared" si="229"/>
        <v>0</v>
      </c>
      <c r="V444" s="1">
        <f t="shared" si="230"/>
        <v>0</v>
      </c>
      <c r="W444" s="1">
        <f t="shared" si="231"/>
        <v>0</v>
      </c>
      <c r="X444" s="1">
        <f t="shared" si="232"/>
        <v>0</v>
      </c>
      <c r="Y444" s="1">
        <f t="shared" si="233"/>
        <v>1</v>
      </c>
      <c r="Z444" s="1">
        <f t="shared" si="234"/>
        <v>0</v>
      </c>
      <c r="AA444" s="1">
        <f t="shared" si="235"/>
        <v>0</v>
      </c>
      <c r="AB444" s="1">
        <f t="shared" si="236"/>
        <v>0</v>
      </c>
      <c r="AD444" s="1">
        <f t="shared" si="237"/>
        <v>0</v>
      </c>
      <c r="AE444" s="1">
        <f t="shared" si="238"/>
        <v>0</v>
      </c>
      <c r="AF444" s="1">
        <f t="shared" si="207"/>
        <v>0</v>
      </c>
      <c r="AG444" s="1">
        <f t="shared" si="208"/>
        <v>0</v>
      </c>
      <c r="AH444" s="1">
        <f t="shared" si="209"/>
        <v>0</v>
      </c>
      <c r="AI444" s="1">
        <f t="shared" si="210"/>
        <v>1</v>
      </c>
    </row>
    <row r="445" spans="1:35" ht="14.25" customHeight="1" x14ac:dyDescent="0.25">
      <c r="A445" s="47">
        <v>0</v>
      </c>
      <c r="B445" s="47">
        <v>2</v>
      </c>
      <c r="C445" s="47">
        <v>7</v>
      </c>
      <c r="D445" s="48" t="s">
        <v>76</v>
      </c>
      <c r="E445" s="48" t="s">
        <v>28</v>
      </c>
      <c r="F445" s="48" t="s">
        <v>1681</v>
      </c>
      <c r="G445" s="48" t="s">
        <v>190</v>
      </c>
      <c r="H445" s="48" t="s">
        <v>354</v>
      </c>
      <c r="I445" s="47" t="s">
        <v>423</v>
      </c>
      <c r="J445" s="47">
        <v>99</v>
      </c>
      <c r="K445" s="49" t="s">
        <v>954</v>
      </c>
      <c r="L445" s="49" t="s">
        <v>713</v>
      </c>
      <c r="M445" s="50" t="s">
        <v>731</v>
      </c>
      <c r="N445" s="50" t="s">
        <v>1735</v>
      </c>
      <c r="O445" s="51"/>
      <c r="P445" s="51"/>
      <c r="Q445" s="48"/>
      <c r="S445" s="1">
        <f t="shared" si="227"/>
        <v>0</v>
      </c>
      <c r="T445" s="1">
        <f t="shared" si="228"/>
        <v>0</v>
      </c>
      <c r="U445" s="1">
        <f t="shared" si="229"/>
        <v>0</v>
      </c>
      <c r="V445" s="1">
        <f t="shared" si="230"/>
        <v>0</v>
      </c>
      <c r="W445" s="1">
        <f t="shared" si="231"/>
        <v>0</v>
      </c>
      <c r="X445" s="1">
        <f t="shared" si="232"/>
        <v>0</v>
      </c>
      <c r="Y445" s="1">
        <f t="shared" si="233"/>
        <v>0</v>
      </c>
      <c r="Z445" s="1">
        <f t="shared" si="234"/>
        <v>0</v>
      </c>
      <c r="AA445" s="1">
        <f t="shared" si="235"/>
        <v>0</v>
      </c>
      <c r="AB445" s="1">
        <f t="shared" si="236"/>
        <v>0</v>
      </c>
      <c r="AD445" s="1">
        <f t="shared" si="237"/>
        <v>0</v>
      </c>
      <c r="AE445" s="1">
        <f t="shared" si="238"/>
        <v>0</v>
      </c>
      <c r="AF445" s="1">
        <f t="shared" si="207"/>
        <v>0</v>
      </c>
      <c r="AG445" s="1">
        <f t="shared" si="208"/>
        <v>0</v>
      </c>
      <c r="AH445" s="1">
        <f t="shared" si="209"/>
        <v>0</v>
      </c>
      <c r="AI445" s="1">
        <f t="shared" si="210"/>
        <v>1</v>
      </c>
    </row>
    <row r="446" spans="1:35" ht="14.25" customHeight="1" x14ac:dyDescent="0.25">
      <c r="A446" s="34">
        <v>0</v>
      </c>
      <c r="B446" s="34">
        <v>2</v>
      </c>
      <c r="C446" s="34">
        <v>7</v>
      </c>
      <c r="D446" s="35" t="s">
        <v>1640</v>
      </c>
      <c r="E446" s="35" t="s">
        <v>163</v>
      </c>
      <c r="F446" s="35" t="s">
        <v>244</v>
      </c>
      <c r="G446" s="35" t="s">
        <v>218</v>
      </c>
      <c r="H446" s="35" t="s">
        <v>354</v>
      </c>
      <c r="I446" s="34" t="s">
        <v>408</v>
      </c>
      <c r="J446" s="34">
        <v>99</v>
      </c>
      <c r="K446" s="36" t="s">
        <v>713</v>
      </c>
      <c r="L446" s="36" t="s">
        <v>722</v>
      </c>
      <c r="M446" s="37" t="s">
        <v>732</v>
      </c>
      <c r="N446" s="37" t="s">
        <v>1727</v>
      </c>
      <c r="O446" s="38">
        <v>1</v>
      </c>
      <c r="P446" s="38">
        <v>1</v>
      </c>
      <c r="Q446" s="35"/>
      <c r="S446" s="1">
        <f t="shared" si="227"/>
        <v>0</v>
      </c>
      <c r="T446" s="1">
        <f t="shared" si="228"/>
        <v>0</v>
      </c>
      <c r="U446" s="1">
        <f t="shared" si="229"/>
        <v>0</v>
      </c>
      <c r="V446" s="1">
        <f t="shared" si="230"/>
        <v>0</v>
      </c>
      <c r="W446" s="1">
        <f t="shared" si="231"/>
        <v>0</v>
      </c>
      <c r="X446" s="1">
        <f t="shared" si="232"/>
        <v>0</v>
      </c>
      <c r="Y446" s="1">
        <f t="shared" si="233"/>
        <v>0</v>
      </c>
      <c r="Z446" s="1">
        <f t="shared" si="234"/>
        <v>0</v>
      </c>
      <c r="AA446" s="1">
        <f t="shared" si="235"/>
        <v>0</v>
      </c>
      <c r="AB446" s="1">
        <f t="shared" si="236"/>
        <v>0</v>
      </c>
      <c r="AD446" s="1">
        <f t="shared" si="237"/>
        <v>1</v>
      </c>
      <c r="AE446" s="1">
        <f t="shared" si="238"/>
        <v>0</v>
      </c>
      <c r="AF446" s="1">
        <f t="shared" si="207"/>
        <v>1</v>
      </c>
      <c r="AG446" s="1">
        <f t="shared" si="208"/>
        <v>0</v>
      </c>
      <c r="AH446" s="1">
        <f t="shared" si="209"/>
        <v>1</v>
      </c>
      <c r="AI446" s="1">
        <f t="shared" si="210"/>
        <v>0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1538</v>
      </c>
      <c r="E447" s="35" t="s">
        <v>156</v>
      </c>
      <c r="F447" s="35" t="s">
        <v>1539</v>
      </c>
      <c r="G447" s="35" t="s">
        <v>39</v>
      </c>
      <c r="H447" s="35" t="s">
        <v>354</v>
      </c>
      <c r="I447" s="34" t="s">
        <v>1540</v>
      </c>
      <c r="J447" s="34">
        <v>99</v>
      </c>
      <c r="K447" s="36" t="s">
        <v>713</v>
      </c>
      <c r="L447" s="36" t="s">
        <v>722</v>
      </c>
      <c r="M447" s="37" t="s">
        <v>732</v>
      </c>
      <c r="N447" s="37" t="s">
        <v>1748</v>
      </c>
      <c r="O447" s="38">
        <v>1</v>
      </c>
      <c r="P447" s="38"/>
      <c r="Q447" s="35"/>
      <c r="S447" s="1">
        <f t="shared" si="227"/>
        <v>0</v>
      </c>
      <c r="T447" s="1">
        <f t="shared" si="228"/>
        <v>0</v>
      </c>
      <c r="U447" s="1">
        <f t="shared" si="229"/>
        <v>0</v>
      </c>
      <c r="V447" s="1">
        <f t="shared" si="230"/>
        <v>0</v>
      </c>
      <c r="W447" s="1">
        <f t="shared" si="231"/>
        <v>0</v>
      </c>
      <c r="X447" s="1">
        <f t="shared" si="232"/>
        <v>0</v>
      </c>
      <c r="Y447" s="1">
        <f t="shared" si="233"/>
        <v>0</v>
      </c>
      <c r="Z447" s="1">
        <f t="shared" si="234"/>
        <v>0</v>
      </c>
      <c r="AA447" s="1">
        <f t="shared" si="235"/>
        <v>0</v>
      </c>
      <c r="AB447" s="1">
        <f t="shared" si="236"/>
        <v>0</v>
      </c>
      <c r="AD447" s="1">
        <f t="shared" si="237"/>
        <v>0</v>
      </c>
      <c r="AE447" s="1">
        <f t="shared" si="238"/>
        <v>1</v>
      </c>
      <c r="AF447" s="1">
        <f t="shared" si="207"/>
        <v>0</v>
      </c>
      <c r="AG447" s="1">
        <f t="shared" si="208"/>
        <v>1</v>
      </c>
      <c r="AH447" s="1">
        <f t="shared" si="209"/>
        <v>0</v>
      </c>
      <c r="AI447" s="1">
        <f t="shared" si="210"/>
        <v>1</v>
      </c>
    </row>
    <row r="448" spans="1:35" ht="14.25" customHeight="1" x14ac:dyDescent="0.25">
      <c r="A448" s="47">
        <v>0</v>
      </c>
      <c r="B448" s="47">
        <v>2</v>
      </c>
      <c r="C448" s="47">
        <v>7</v>
      </c>
      <c r="D448" s="48" t="s">
        <v>1262</v>
      </c>
      <c r="E448" s="48" t="s">
        <v>1524</v>
      </c>
      <c r="F448" s="48" t="s">
        <v>1355</v>
      </c>
      <c r="G448" s="48" t="s">
        <v>186</v>
      </c>
      <c r="H448" s="48" t="s">
        <v>354</v>
      </c>
      <c r="I448" s="47" t="s">
        <v>1368</v>
      </c>
      <c r="J448" s="47">
        <v>1</v>
      </c>
      <c r="K448" s="49" t="s">
        <v>713</v>
      </c>
      <c r="L448" s="49" t="s">
        <v>716</v>
      </c>
      <c r="M448" s="50" t="s">
        <v>1438</v>
      </c>
      <c r="N448" s="50" t="s">
        <v>1735</v>
      </c>
      <c r="O448" s="51"/>
      <c r="P448" s="51"/>
      <c r="Q448" s="48"/>
      <c r="S448" s="1">
        <f t="shared" si="227"/>
        <v>1</v>
      </c>
      <c r="T448" s="1">
        <f t="shared" si="228"/>
        <v>0</v>
      </c>
      <c r="U448" s="1">
        <f t="shared" si="229"/>
        <v>0</v>
      </c>
      <c r="V448" s="1">
        <f t="shared" si="230"/>
        <v>0</v>
      </c>
      <c r="W448" s="1">
        <f t="shared" si="231"/>
        <v>0</v>
      </c>
      <c r="X448" s="1">
        <f t="shared" si="232"/>
        <v>0</v>
      </c>
      <c r="Y448" s="1">
        <f t="shared" si="233"/>
        <v>0</v>
      </c>
      <c r="Z448" s="1">
        <f t="shared" si="234"/>
        <v>0</v>
      </c>
      <c r="AA448" s="1">
        <f t="shared" si="235"/>
        <v>0</v>
      </c>
      <c r="AB448" s="1">
        <f t="shared" si="236"/>
        <v>0</v>
      </c>
      <c r="AD448" s="1">
        <f t="shared" si="237"/>
        <v>0</v>
      </c>
      <c r="AE448" s="1">
        <f t="shared" si="238"/>
        <v>0</v>
      </c>
      <c r="AF448" s="1">
        <f t="shared" si="207"/>
        <v>0</v>
      </c>
      <c r="AG448" s="1">
        <f t="shared" si="208"/>
        <v>0</v>
      </c>
      <c r="AH448" s="1">
        <f t="shared" si="209"/>
        <v>0</v>
      </c>
      <c r="AI448" s="1">
        <f t="shared" si="210"/>
        <v>1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974</v>
      </c>
      <c r="G449" s="35" t="s">
        <v>1101</v>
      </c>
      <c r="H449" s="35" t="s">
        <v>354</v>
      </c>
      <c r="I449" s="34" t="s">
        <v>1108</v>
      </c>
      <c r="J449" s="34">
        <v>99</v>
      </c>
      <c r="K449" s="36" t="s">
        <v>713</v>
      </c>
      <c r="L449" s="36" t="s">
        <v>713</v>
      </c>
      <c r="M449" s="37" t="s">
        <v>731</v>
      </c>
      <c r="N449" s="37" t="s">
        <v>1743</v>
      </c>
      <c r="O449" s="38">
        <v>1</v>
      </c>
      <c r="P449" s="38"/>
      <c r="Q449" s="35"/>
      <c r="S449" s="1">
        <f t="shared" si="227"/>
        <v>0</v>
      </c>
      <c r="T449" s="1">
        <f t="shared" si="228"/>
        <v>0</v>
      </c>
      <c r="U449" s="1">
        <f t="shared" si="229"/>
        <v>0</v>
      </c>
      <c r="V449" s="1">
        <f t="shared" si="230"/>
        <v>0</v>
      </c>
      <c r="W449" s="1">
        <f t="shared" si="231"/>
        <v>0</v>
      </c>
      <c r="X449" s="1">
        <f t="shared" si="232"/>
        <v>0</v>
      </c>
      <c r="Y449" s="1">
        <f t="shared" si="233"/>
        <v>0</v>
      </c>
      <c r="Z449" s="1">
        <f t="shared" si="234"/>
        <v>0</v>
      </c>
      <c r="AA449" s="1">
        <f t="shared" si="235"/>
        <v>0</v>
      </c>
      <c r="AB449" s="1">
        <f t="shared" si="236"/>
        <v>0</v>
      </c>
      <c r="AD449" s="1">
        <f t="shared" si="237"/>
        <v>0</v>
      </c>
      <c r="AE449" s="1">
        <f t="shared" si="238"/>
        <v>1</v>
      </c>
      <c r="AF449" s="1">
        <f t="shared" si="207"/>
        <v>0</v>
      </c>
      <c r="AG449" s="1">
        <f t="shared" si="208"/>
        <v>1</v>
      </c>
      <c r="AH449" s="1">
        <f t="shared" si="209"/>
        <v>0</v>
      </c>
      <c r="AI449" s="1">
        <f t="shared" si="210"/>
        <v>1</v>
      </c>
    </row>
    <row r="450" spans="1:35" ht="14.25" customHeight="1" x14ac:dyDescent="0.25">
      <c r="A450" s="34">
        <v>1</v>
      </c>
      <c r="B450" s="34">
        <v>2</v>
      </c>
      <c r="C450" s="34">
        <v>7</v>
      </c>
      <c r="D450" s="35" t="s">
        <v>66</v>
      </c>
      <c r="E450" s="35" t="s">
        <v>28</v>
      </c>
      <c r="F450" s="35" t="s">
        <v>245</v>
      </c>
      <c r="G450" s="35" t="s">
        <v>224</v>
      </c>
      <c r="H450" s="35" t="s">
        <v>354</v>
      </c>
      <c r="I450" s="34" t="s">
        <v>409</v>
      </c>
      <c r="J450" s="34">
        <v>99</v>
      </c>
      <c r="K450" s="36" t="s">
        <v>713</v>
      </c>
      <c r="L450" s="36" t="s">
        <v>713</v>
      </c>
      <c r="M450" s="37" t="s">
        <v>731</v>
      </c>
      <c r="N450" s="37" t="s">
        <v>1743</v>
      </c>
      <c r="O450" s="38">
        <v>1</v>
      </c>
      <c r="P450" s="38"/>
      <c r="Q450" s="35"/>
      <c r="S450" s="1">
        <f t="shared" si="227"/>
        <v>0</v>
      </c>
      <c r="T450" s="1">
        <f t="shared" si="228"/>
        <v>0</v>
      </c>
      <c r="U450" s="1">
        <f t="shared" si="229"/>
        <v>0</v>
      </c>
      <c r="V450" s="1">
        <f t="shared" si="230"/>
        <v>0</v>
      </c>
      <c r="W450" s="1">
        <f t="shared" si="231"/>
        <v>0</v>
      </c>
      <c r="X450" s="1">
        <f t="shared" si="232"/>
        <v>0</v>
      </c>
      <c r="Y450" s="1">
        <f t="shared" si="233"/>
        <v>0</v>
      </c>
      <c r="Z450" s="1">
        <f t="shared" si="234"/>
        <v>0</v>
      </c>
      <c r="AA450" s="1">
        <f t="shared" si="235"/>
        <v>0</v>
      </c>
      <c r="AB450" s="1">
        <f t="shared" si="236"/>
        <v>0</v>
      </c>
      <c r="AD450" s="1">
        <f t="shared" si="237"/>
        <v>0</v>
      </c>
      <c r="AE450" s="1">
        <f t="shared" si="238"/>
        <v>1</v>
      </c>
      <c r="AF450" s="1">
        <f t="shared" si="207"/>
        <v>0</v>
      </c>
      <c r="AG450" s="1">
        <f t="shared" si="208"/>
        <v>0</v>
      </c>
      <c r="AH450" s="1">
        <f t="shared" si="209"/>
        <v>0</v>
      </c>
      <c r="AI450" s="1">
        <f t="shared" si="210"/>
        <v>0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66</v>
      </c>
      <c r="E451" s="35" t="s">
        <v>28</v>
      </c>
      <c r="F451" s="35" t="s">
        <v>246</v>
      </c>
      <c r="G451" s="35" t="s">
        <v>220</v>
      </c>
      <c r="H451" s="35" t="s">
        <v>354</v>
      </c>
      <c r="I451" s="34" t="s">
        <v>410</v>
      </c>
      <c r="J451" s="34">
        <v>8</v>
      </c>
      <c r="K451" s="36" t="s">
        <v>713</v>
      </c>
      <c r="L451" s="36" t="s">
        <v>713</v>
      </c>
      <c r="M451" s="37" t="s">
        <v>731</v>
      </c>
      <c r="N451" s="37" t="s">
        <v>1743</v>
      </c>
      <c r="O451" s="38">
        <v>1</v>
      </c>
      <c r="P451" s="38"/>
      <c r="Q451" s="35" t="s">
        <v>2017</v>
      </c>
      <c r="S451" s="1">
        <f t="shared" si="227"/>
        <v>0</v>
      </c>
      <c r="T451" s="1">
        <f t="shared" si="228"/>
        <v>0</v>
      </c>
      <c r="U451" s="1">
        <f t="shared" si="229"/>
        <v>0</v>
      </c>
      <c r="V451" s="1">
        <f t="shared" si="230"/>
        <v>0</v>
      </c>
      <c r="W451" s="1">
        <f t="shared" si="231"/>
        <v>0</v>
      </c>
      <c r="X451" s="1">
        <f t="shared" si="232"/>
        <v>0</v>
      </c>
      <c r="Y451" s="1">
        <f t="shared" si="233"/>
        <v>0</v>
      </c>
      <c r="Z451" s="1">
        <f t="shared" si="234"/>
        <v>1</v>
      </c>
      <c r="AA451" s="1">
        <f t="shared" si="235"/>
        <v>0</v>
      </c>
      <c r="AB451" s="1">
        <f t="shared" si="236"/>
        <v>0</v>
      </c>
      <c r="AD451" s="1">
        <f t="shared" si="237"/>
        <v>0</v>
      </c>
      <c r="AE451" s="1">
        <f t="shared" si="238"/>
        <v>1</v>
      </c>
      <c r="AF451" s="1">
        <f t="shared" si="207"/>
        <v>0</v>
      </c>
      <c r="AG451" s="1">
        <f t="shared" si="208"/>
        <v>0</v>
      </c>
      <c r="AH451" s="1">
        <f t="shared" si="209"/>
        <v>0</v>
      </c>
      <c r="AI451" s="1">
        <f t="shared" si="210"/>
        <v>0</v>
      </c>
    </row>
    <row r="452" spans="1:35" ht="14.25" customHeight="1" x14ac:dyDescent="0.25">
      <c r="A452" s="34">
        <v>1</v>
      </c>
      <c r="B452" s="34">
        <v>2</v>
      </c>
      <c r="C452" s="34">
        <v>7</v>
      </c>
      <c r="D452" s="35" t="s">
        <v>66</v>
      </c>
      <c r="E452" s="35" t="s">
        <v>28</v>
      </c>
      <c r="F452" s="35" t="s">
        <v>1034</v>
      </c>
      <c r="G452" s="35" t="s">
        <v>39</v>
      </c>
      <c r="H452" s="35" t="s">
        <v>354</v>
      </c>
      <c r="I452" s="34" t="s">
        <v>1035</v>
      </c>
      <c r="J452" s="34">
        <v>1</v>
      </c>
      <c r="K452" s="36" t="s">
        <v>713</v>
      </c>
      <c r="L452" s="36" t="s">
        <v>713</v>
      </c>
      <c r="M452" s="37" t="s">
        <v>731</v>
      </c>
      <c r="N452" s="37" t="s">
        <v>1743</v>
      </c>
      <c r="O452" s="38">
        <v>1</v>
      </c>
      <c r="P452" s="38"/>
      <c r="Q452" s="35"/>
      <c r="S452" s="1">
        <f t="shared" si="227"/>
        <v>1</v>
      </c>
      <c r="T452" s="1">
        <f t="shared" si="228"/>
        <v>0</v>
      </c>
      <c r="U452" s="1">
        <f t="shared" si="229"/>
        <v>0</v>
      </c>
      <c r="V452" s="1">
        <f t="shared" si="230"/>
        <v>0</v>
      </c>
      <c r="W452" s="1">
        <f t="shared" si="231"/>
        <v>0</v>
      </c>
      <c r="X452" s="1">
        <f t="shared" si="232"/>
        <v>0</v>
      </c>
      <c r="Y452" s="1">
        <f t="shared" si="233"/>
        <v>0</v>
      </c>
      <c r="Z452" s="1">
        <f t="shared" si="234"/>
        <v>0</v>
      </c>
      <c r="AA452" s="1">
        <f t="shared" si="235"/>
        <v>0</v>
      </c>
      <c r="AB452" s="1">
        <f t="shared" si="236"/>
        <v>0</v>
      </c>
      <c r="AD452" s="1">
        <f t="shared" si="237"/>
        <v>0</v>
      </c>
      <c r="AE452" s="1">
        <f t="shared" si="238"/>
        <v>1</v>
      </c>
      <c r="AF452" s="1">
        <f t="shared" si="207"/>
        <v>0</v>
      </c>
      <c r="AG452" s="1">
        <f t="shared" si="208"/>
        <v>0</v>
      </c>
      <c r="AH452" s="1">
        <f t="shared" si="209"/>
        <v>0</v>
      </c>
      <c r="AI452" s="1">
        <f t="shared" si="210"/>
        <v>0</v>
      </c>
    </row>
    <row r="453" spans="1:35" ht="14.25" customHeight="1" x14ac:dyDescent="0.25">
      <c r="A453" s="34">
        <v>1</v>
      </c>
      <c r="B453" s="34">
        <v>2</v>
      </c>
      <c r="C453" s="34">
        <v>7</v>
      </c>
      <c r="D453" s="35" t="s">
        <v>66</v>
      </c>
      <c r="E453" s="35" t="s">
        <v>28</v>
      </c>
      <c r="F453" s="35" t="s">
        <v>1036</v>
      </c>
      <c r="G453" s="35" t="s">
        <v>302</v>
      </c>
      <c r="H453" s="35" t="s">
        <v>354</v>
      </c>
      <c r="I453" s="34" t="s">
        <v>1037</v>
      </c>
      <c r="J453" s="34">
        <v>1</v>
      </c>
      <c r="K453" s="36" t="s">
        <v>713</v>
      </c>
      <c r="L453" s="36" t="s">
        <v>713</v>
      </c>
      <c r="M453" s="37" t="s">
        <v>731</v>
      </c>
      <c r="N453" s="37" t="s">
        <v>1743</v>
      </c>
      <c r="O453" s="38">
        <v>1</v>
      </c>
      <c r="P453" s="38"/>
      <c r="Q453" s="35"/>
      <c r="S453" s="1">
        <f t="shared" si="227"/>
        <v>1</v>
      </c>
      <c r="T453" s="1">
        <f t="shared" si="228"/>
        <v>0</v>
      </c>
      <c r="U453" s="1">
        <f t="shared" si="229"/>
        <v>0</v>
      </c>
      <c r="V453" s="1">
        <f t="shared" si="230"/>
        <v>0</v>
      </c>
      <c r="W453" s="1">
        <f t="shared" si="231"/>
        <v>0</v>
      </c>
      <c r="X453" s="1">
        <f t="shared" si="232"/>
        <v>0</v>
      </c>
      <c r="Y453" s="1">
        <f t="shared" si="233"/>
        <v>0</v>
      </c>
      <c r="Z453" s="1">
        <f t="shared" si="234"/>
        <v>0</v>
      </c>
      <c r="AA453" s="1">
        <f t="shared" si="235"/>
        <v>0</v>
      </c>
      <c r="AB453" s="1">
        <f t="shared" si="236"/>
        <v>0</v>
      </c>
      <c r="AD453" s="1">
        <f t="shared" ref="AD453:AD454" si="255">+O453*P453</f>
        <v>0</v>
      </c>
      <c r="AE453" s="1">
        <f t="shared" ref="AE453:AE454" si="256">O453*(1-P453)</f>
        <v>1</v>
      </c>
      <c r="AF453" s="1">
        <f t="shared" si="207"/>
        <v>0</v>
      </c>
      <c r="AG453" s="1">
        <f t="shared" si="208"/>
        <v>0</v>
      </c>
      <c r="AH453" s="1">
        <f t="shared" si="209"/>
        <v>0</v>
      </c>
      <c r="AI453" s="1">
        <f t="shared" si="210"/>
        <v>0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1573</v>
      </c>
      <c r="E454" s="35" t="s">
        <v>156</v>
      </c>
      <c r="F454" s="35" t="s">
        <v>1574</v>
      </c>
      <c r="G454" s="35" t="s">
        <v>207</v>
      </c>
      <c r="H454" s="35" t="s">
        <v>354</v>
      </c>
      <c r="I454" s="34" t="s">
        <v>1575</v>
      </c>
      <c r="J454" s="34">
        <v>99</v>
      </c>
      <c r="K454" s="36" t="s">
        <v>712</v>
      </c>
      <c r="L454" s="36" t="s">
        <v>722</v>
      </c>
      <c r="M454" s="37" t="s">
        <v>732</v>
      </c>
      <c r="N454" s="37" t="s">
        <v>1946</v>
      </c>
      <c r="O454" s="38">
        <v>1</v>
      </c>
      <c r="P454" s="38"/>
      <c r="Q454" s="35"/>
      <c r="S454" s="1">
        <f t="shared" si="227"/>
        <v>0</v>
      </c>
      <c r="T454" s="1">
        <f t="shared" si="228"/>
        <v>0</v>
      </c>
      <c r="U454" s="1">
        <f t="shared" si="229"/>
        <v>0</v>
      </c>
      <c r="V454" s="1">
        <f t="shared" si="230"/>
        <v>0</v>
      </c>
      <c r="W454" s="1">
        <f t="shared" si="231"/>
        <v>0</v>
      </c>
      <c r="X454" s="1">
        <f t="shared" si="232"/>
        <v>0</v>
      </c>
      <c r="Y454" s="1">
        <f t="shared" si="233"/>
        <v>0</v>
      </c>
      <c r="Z454" s="1">
        <f t="shared" si="234"/>
        <v>0</v>
      </c>
      <c r="AA454" s="1">
        <f t="shared" si="235"/>
        <v>0</v>
      </c>
      <c r="AB454" s="1">
        <f t="shared" si="236"/>
        <v>0</v>
      </c>
      <c r="AD454" s="1">
        <f t="shared" si="255"/>
        <v>0</v>
      </c>
      <c r="AE454" s="1">
        <f t="shared" si="256"/>
        <v>1</v>
      </c>
      <c r="AF454" s="1">
        <f t="shared" si="207"/>
        <v>0</v>
      </c>
      <c r="AG454" s="1">
        <f t="shared" si="208"/>
        <v>1</v>
      </c>
      <c r="AH454" s="1">
        <f t="shared" si="209"/>
        <v>0</v>
      </c>
      <c r="AI454" s="1">
        <f t="shared" si="210"/>
        <v>1</v>
      </c>
    </row>
    <row r="455" spans="1:35" ht="14.25" customHeight="1" x14ac:dyDescent="0.25">
      <c r="A455" s="47">
        <v>0</v>
      </c>
      <c r="B455" s="47">
        <v>2</v>
      </c>
      <c r="C455" s="47">
        <v>7</v>
      </c>
      <c r="D455" s="48" t="s">
        <v>1132</v>
      </c>
      <c r="E455" s="48" t="s">
        <v>28</v>
      </c>
      <c r="F455" s="48" t="s">
        <v>1133</v>
      </c>
      <c r="G455" s="48" t="s">
        <v>220</v>
      </c>
      <c r="H455" s="48" t="s">
        <v>354</v>
      </c>
      <c r="I455" s="47" t="s">
        <v>1134</v>
      </c>
      <c r="J455" s="47">
        <v>8</v>
      </c>
      <c r="K455" s="49" t="s">
        <v>955</v>
      </c>
      <c r="L455" s="49" t="s">
        <v>713</v>
      </c>
      <c r="M455" s="50" t="s">
        <v>731</v>
      </c>
      <c r="N455" s="50" t="s">
        <v>1802</v>
      </c>
      <c r="O455" s="51"/>
      <c r="P455" s="51"/>
      <c r="Q455" s="48"/>
      <c r="S455" s="1">
        <f t="shared" si="227"/>
        <v>0</v>
      </c>
      <c r="T455" s="1">
        <f t="shared" si="228"/>
        <v>0</v>
      </c>
      <c r="U455" s="1">
        <f t="shared" si="229"/>
        <v>0</v>
      </c>
      <c r="V455" s="1">
        <f t="shared" si="230"/>
        <v>0</v>
      </c>
      <c r="W455" s="1">
        <f t="shared" si="231"/>
        <v>0</v>
      </c>
      <c r="X455" s="1">
        <f t="shared" si="232"/>
        <v>0</v>
      </c>
      <c r="Y455" s="1">
        <f t="shared" si="233"/>
        <v>0</v>
      </c>
      <c r="Z455" s="1">
        <f t="shared" si="234"/>
        <v>1</v>
      </c>
      <c r="AA455" s="1">
        <f t="shared" si="235"/>
        <v>0</v>
      </c>
      <c r="AB455" s="1">
        <f t="shared" si="236"/>
        <v>0</v>
      </c>
      <c r="AD455" s="1">
        <f t="shared" si="237"/>
        <v>0</v>
      </c>
      <c r="AE455" s="1">
        <f t="shared" si="238"/>
        <v>0</v>
      </c>
      <c r="AF455" s="1">
        <f t="shared" si="207"/>
        <v>0</v>
      </c>
      <c r="AG455" s="1">
        <f t="shared" si="208"/>
        <v>0</v>
      </c>
      <c r="AH455" s="1">
        <f t="shared" si="209"/>
        <v>0</v>
      </c>
      <c r="AI455" s="1">
        <f t="shared" si="210"/>
        <v>1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73</v>
      </c>
      <c r="E456" s="48" t="s">
        <v>28</v>
      </c>
      <c r="F456" s="48" t="s">
        <v>264</v>
      </c>
      <c r="G456" s="48" t="s">
        <v>194</v>
      </c>
      <c r="H456" s="48" t="s">
        <v>354</v>
      </c>
      <c r="I456" s="47" t="s">
        <v>421</v>
      </c>
      <c r="J456" s="47">
        <v>9</v>
      </c>
      <c r="K456" s="49" t="s">
        <v>712</v>
      </c>
      <c r="L456" s="49" t="s">
        <v>713</v>
      </c>
      <c r="M456" s="50" t="s">
        <v>731</v>
      </c>
      <c r="N456" s="50" t="s">
        <v>1735</v>
      </c>
      <c r="O456" s="51"/>
      <c r="P456" s="51"/>
      <c r="Q456" s="48"/>
      <c r="S456" s="1">
        <f t="shared" si="227"/>
        <v>0</v>
      </c>
      <c r="T456" s="1">
        <f t="shared" si="228"/>
        <v>0</v>
      </c>
      <c r="U456" s="1">
        <f t="shared" si="229"/>
        <v>0</v>
      </c>
      <c r="V456" s="1">
        <f t="shared" si="230"/>
        <v>0</v>
      </c>
      <c r="W456" s="1">
        <f t="shared" si="231"/>
        <v>0</v>
      </c>
      <c r="X456" s="1">
        <f t="shared" si="232"/>
        <v>0</v>
      </c>
      <c r="Y456" s="1">
        <f t="shared" si="233"/>
        <v>0</v>
      </c>
      <c r="Z456" s="1">
        <f t="shared" si="234"/>
        <v>0</v>
      </c>
      <c r="AA456" s="1">
        <f t="shared" si="235"/>
        <v>1</v>
      </c>
      <c r="AB456" s="1">
        <f t="shared" si="236"/>
        <v>0</v>
      </c>
      <c r="AD456" s="1">
        <f t="shared" si="237"/>
        <v>0</v>
      </c>
      <c r="AE456" s="1">
        <f t="shared" si="238"/>
        <v>0</v>
      </c>
      <c r="AF456" s="1">
        <f t="shared" si="207"/>
        <v>0</v>
      </c>
      <c r="AG456" s="1">
        <f t="shared" si="208"/>
        <v>0</v>
      </c>
      <c r="AH456" s="1">
        <f t="shared" si="209"/>
        <v>0</v>
      </c>
      <c r="AI456" s="1">
        <f t="shared" si="210"/>
        <v>1</v>
      </c>
    </row>
    <row r="457" spans="1:35" ht="14.25" customHeight="1" x14ac:dyDescent="0.25">
      <c r="A457" s="34">
        <v>0</v>
      </c>
      <c r="B457" s="34">
        <v>2</v>
      </c>
      <c r="C457" s="34">
        <v>7</v>
      </c>
      <c r="D457" s="35" t="s">
        <v>59</v>
      </c>
      <c r="E457" s="35" t="s">
        <v>163</v>
      </c>
      <c r="F457" s="35" t="s">
        <v>225</v>
      </c>
      <c r="G457" s="35" t="s">
        <v>226</v>
      </c>
      <c r="H457" s="35" t="s">
        <v>354</v>
      </c>
      <c r="I457" s="34" t="s">
        <v>398</v>
      </c>
      <c r="J457" s="34">
        <v>99</v>
      </c>
      <c r="K457" s="36" t="s">
        <v>713</v>
      </c>
      <c r="L457" s="36" t="s">
        <v>722</v>
      </c>
      <c r="M457" s="37" t="s">
        <v>732</v>
      </c>
      <c r="N457" s="37" t="s">
        <v>1750</v>
      </c>
      <c r="O457" s="38">
        <v>1</v>
      </c>
      <c r="P457" s="38"/>
      <c r="Q457" s="35"/>
      <c r="S457" s="1">
        <f t="shared" si="227"/>
        <v>0</v>
      </c>
      <c r="T457" s="1">
        <f t="shared" si="228"/>
        <v>0</v>
      </c>
      <c r="U457" s="1">
        <f t="shared" si="229"/>
        <v>0</v>
      </c>
      <c r="V457" s="1">
        <f t="shared" si="230"/>
        <v>0</v>
      </c>
      <c r="W457" s="1">
        <f t="shared" si="231"/>
        <v>0</v>
      </c>
      <c r="X457" s="1">
        <f t="shared" si="232"/>
        <v>0</v>
      </c>
      <c r="Y457" s="1">
        <f t="shared" si="233"/>
        <v>0</v>
      </c>
      <c r="Z457" s="1">
        <f t="shared" si="234"/>
        <v>0</v>
      </c>
      <c r="AA457" s="1">
        <f t="shared" si="235"/>
        <v>0</v>
      </c>
      <c r="AB457" s="1">
        <f t="shared" si="236"/>
        <v>0</v>
      </c>
      <c r="AD457" s="1">
        <f t="shared" si="237"/>
        <v>0</v>
      </c>
      <c r="AE457" s="1">
        <f t="shared" si="238"/>
        <v>1</v>
      </c>
      <c r="AF457" s="1">
        <f t="shared" si="207"/>
        <v>0</v>
      </c>
      <c r="AG457" s="1">
        <f t="shared" si="208"/>
        <v>1</v>
      </c>
      <c r="AH457" s="1">
        <f t="shared" si="209"/>
        <v>0</v>
      </c>
      <c r="AI457" s="1">
        <f t="shared" si="210"/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1075</v>
      </c>
      <c r="E458" s="35" t="s">
        <v>156</v>
      </c>
      <c r="F458" s="35" t="s">
        <v>1076</v>
      </c>
      <c r="G458" s="35" t="s">
        <v>220</v>
      </c>
      <c r="H458" s="35" t="s">
        <v>354</v>
      </c>
      <c r="I458" s="34" t="s">
        <v>1077</v>
      </c>
      <c r="J458" s="34">
        <v>8</v>
      </c>
      <c r="K458" s="36" t="s">
        <v>712</v>
      </c>
      <c r="L458" s="36" t="s">
        <v>722</v>
      </c>
      <c r="M458" s="37" t="s">
        <v>732</v>
      </c>
      <c r="N458" s="37" t="s">
        <v>1748</v>
      </c>
      <c r="O458" s="38">
        <v>1</v>
      </c>
      <c r="P458" s="38"/>
      <c r="Q458" s="35"/>
      <c r="S458" s="1">
        <f t="shared" si="227"/>
        <v>0</v>
      </c>
      <c r="T458" s="1">
        <f t="shared" si="228"/>
        <v>0</v>
      </c>
      <c r="U458" s="1">
        <f t="shared" si="229"/>
        <v>0</v>
      </c>
      <c r="V458" s="1">
        <f t="shared" si="230"/>
        <v>0</v>
      </c>
      <c r="W458" s="1">
        <f t="shared" si="231"/>
        <v>0</v>
      </c>
      <c r="X458" s="1">
        <f t="shared" si="232"/>
        <v>0</v>
      </c>
      <c r="Y458" s="1">
        <f t="shared" si="233"/>
        <v>0</v>
      </c>
      <c r="Z458" s="1">
        <f t="shared" si="234"/>
        <v>1</v>
      </c>
      <c r="AA458" s="1">
        <f t="shared" si="235"/>
        <v>0</v>
      </c>
      <c r="AB458" s="1">
        <f t="shared" si="236"/>
        <v>0</v>
      </c>
      <c r="AD458" s="1">
        <f t="shared" si="237"/>
        <v>0</v>
      </c>
      <c r="AE458" s="1">
        <f t="shared" si="238"/>
        <v>1</v>
      </c>
      <c r="AF458" s="1">
        <f t="shared" si="207"/>
        <v>0</v>
      </c>
      <c r="AG458" s="1">
        <f t="shared" si="208"/>
        <v>1</v>
      </c>
      <c r="AH458" s="1">
        <f t="shared" si="209"/>
        <v>0</v>
      </c>
      <c r="AI458" s="1">
        <f t="shared" si="210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81</v>
      </c>
      <c r="E459" s="35" t="s">
        <v>156</v>
      </c>
      <c r="F459" s="35" t="s">
        <v>273</v>
      </c>
      <c r="G459" s="35" t="s">
        <v>254</v>
      </c>
      <c r="H459" s="35" t="s">
        <v>354</v>
      </c>
      <c r="I459" s="34" t="s">
        <v>428</v>
      </c>
      <c r="J459" s="34">
        <v>99</v>
      </c>
      <c r="K459" s="36" t="s">
        <v>713</v>
      </c>
      <c r="L459" s="36" t="s">
        <v>733</v>
      </c>
      <c r="M459" s="37" t="s">
        <v>734</v>
      </c>
      <c r="N459" s="37" t="s">
        <v>1756</v>
      </c>
      <c r="O459" s="38">
        <v>1</v>
      </c>
      <c r="P459" s="38"/>
      <c r="Q459" s="35"/>
      <c r="S459" s="1">
        <f t="shared" si="227"/>
        <v>0</v>
      </c>
      <c r="T459" s="1">
        <f t="shared" si="228"/>
        <v>0</v>
      </c>
      <c r="U459" s="1">
        <f t="shared" si="229"/>
        <v>0</v>
      </c>
      <c r="V459" s="1">
        <f t="shared" si="230"/>
        <v>0</v>
      </c>
      <c r="W459" s="1">
        <f t="shared" si="231"/>
        <v>0</v>
      </c>
      <c r="X459" s="1">
        <f t="shared" si="232"/>
        <v>0</v>
      </c>
      <c r="Y459" s="1">
        <f t="shared" si="233"/>
        <v>0</v>
      </c>
      <c r="Z459" s="1">
        <f t="shared" si="234"/>
        <v>0</v>
      </c>
      <c r="AA459" s="1">
        <f t="shared" si="235"/>
        <v>0</v>
      </c>
      <c r="AB459" s="1">
        <f t="shared" si="236"/>
        <v>0</v>
      </c>
      <c r="AD459" s="1">
        <f t="shared" si="237"/>
        <v>0</v>
      </c>
      <c r="AE459" s="1">
        <f t="shared" si="238"/>
        <v>1</v>
      </c>
      <c r="AF459" s="1">
        <f t="shared" si="207"/>
        <v>0</v>
      </c>
      <c r="AG459" s="1">
        <f t="shared" si="208"/>
        <v>1</v>
      </c>
      <c r="AH459" s="1">
        <f t="shared" si="209"/>
        <v>0</v>
      </c>
      <c r="AI459" s="1">
        <f t="shared" si="210"/>
        <v>1</v>
      </c>
    </row>
    <row r="460" spans="1:35" ht="14.25" customHeight="1" x14ac:dyDescent="0.25">
      <c r="A460" s="40">
        <v>0</v>
      </c>
      <c r="B460" s="40">
        <v>2</v>
      </c>
      <c r="C460" s="40">
        <v>7</v>
      </c>
      <c r="D460" s="39" t="s">
        <v>1775</v>
      </c>
      <c r="E460" s="39" t="s">
        <v>1776</v>
      </c>
      <c r="F460" s="39" t="s">
        <v>1777</v>
      </c>
      <c r="G460" s="39" t="s">
        <v>190</v>
      </c>
      <c r="H460" s="39" t="s">
        <v>354</v>
      </c>
      <c r="I460" s="40"/>
      <c r="J460" s="40"/>
      <c r="K460" s="36" t="s">
        <v>703</v>
      </c>
      <c r="L460" s="36"/>
      <c r="M460" s="37"/>
      <c r="N460" s="37" t="s">
        <v>1727</v>
      </c>
      <c r="O460" s="38">
        <v>1</v>
      </c>
      <c r="P460" s="38">
        <v>1</v>
      </c>
      <c r="Q460" s="39"/>
      <c r="S460" s="1">
        <f t="shared" si="227"/>
        <v>0</v>
      </c>
      <c r="T460" s="1">
        <f t="shared" si="228"/>
        <v>0</v>
      </c>
      <c r="U460" s="1">
        <f t="shared" si="229"/>
        <v>0</v>
      </c>
      <c r="V460" s="1">
        <f t="shared" si="230"/>
        <v>0</v>
      </c>
      <c r="W460" s="1">
        <f t="shared" si="231"/>
        <v>0</v>
      </c>
      <c r="X460" s="1">
        <f t="shared" si="232"/>
        <v>0</v>
      </c>
      <c r="Y460" s="1">
        <f t="shared" si="233"/>
        <v>0</v>
      </c>
      <c r="Z460" s="1">
        <f t="shared" si="234"/>
        <v>0</v>
      </c>
      <c r="AA460" s="1">
        <f t="shared" si="235"/>
        <v>0</v>
      </c>
      <c r="AB460" s="1">
        <f t="shared" si="236"/>
        <v>0</v>
      </c>
      <c r="AD460" s="1">
        <f t="shared" si="237"/>
        <v>1</v>
      </c>
      <c r="AE460" s="1">
        <f t="shared" si="238"/>
        <v>0</v>
      </c>
      <c r="AF460" s="1">
        <f t="shared" si="207"/>
        <v>1</v>
      </c>
      <c r="AG460" s="1">
        <f t="shared" si="208"/>
        <v>0</v>
      </c>
      <c r="AH460" s="1">
        <f t="shared" si="209"/>
        <v>1</v>
      </c>
      <c r="AI460" s="1">
        <f t="shared" si="210"/>
        <v>0</v>
      </c>
    </row>
    <row r="461" spans="1:35" ht="14.25" customHeight="1" x14ac:dyDescent="0.25">
      <c r="A461" s="47">
        <v>0</v>
      </c>
      <c r="B461" s="47">
        <v>2</v>
      </c>
      <c r="C461" s="47">
        <v>7</v>
      </c>
      <c r="D461" s="48" t="s">
        <v>514</v>
      </c>
      <c r="E461" s="48" t="s">
        <v>156</v>
      </c>
      <c r="F461" s="48" t="s">
        <v>574</v>
      </c>
      <c r="G461" s="48" t="s">
        <v>321</v>
      </c>
      <c r="H461" s="48" t="s">
        <v>354</v>
      </c>
      <c r="I461" s="47" t="s">
        <v>581</v>
      </c>
      <c r="J461" s="47">
        <v>99</v>
      </c>
      <c r="K461" s="49" t="s">
        <v>954</v>
      </c>
      <c r="L461" s="49" t="s">
        <v>722</v>
      </c>
      <c r="M461" s="50" t="s">
        <v>732</v>
      </c>
      <c r="N461" s="50" t="s">
        <v>1738</v>
      </c>
      <c r="O461" s="51"/>
      <c r="P461" s="51"/>
      <c r="Q461" s="48"/>
      <c r="S461" s="1">
        <f t="shared" si="227"/>
        <v>0</v>
      </c>
      <c r="T461" s="1">
        <f t="shared" si="228"/>
        <v>0</v>
      </c>
      <c r="U461" s="1">
        <f t="shared" si="229"/>
        <v>0</v>
      </c>
      <c r="V461" s="1">
        <f t="shared" si="230"/>
        <v>0</v>
      </c>
      <c r="W461" s="1">
        <f t="shared" si="231"/>
        <v>0</v>
      </c>
      <c r="X461" s="1">
        <f t="shared" si="232"/>
        <v>0</v>
      </c>
      <c r="Y461" s="1">
        <f t="shared" si="233"/>
        <v>0</v>
      </c>
      <c r="Z461" s="1">
        <f t="shared" si="234"/>
        <v>0</v>
      </c>
      <c r="AA461" s="1">
        <f t="shared" si="235"/>
        <v>0</v>
      </c>
      <c r="AB461" s="1">
        <f t="shared" si="236"/>
        <v>0</v>
      </c>
      <c r="AD461" s="1">
        <f t="shared" si="237"/>
        <v>0</v>
      </c>
      <c r="AE461" s="1">
        <f t="shared" si="238"/>
        <v>0</v>
      </c>
      <c r="AF461" s="1">
        <f t="shared" si="207"/>
        <v>0</v>
      </c>
      <c r="AG461" s="1">
        <f t="shared" si="208"/>
        <v>0</v>
      </c>
      <c r="AH461" s="1">
        <f t="shared" si="209"/>
        <v>0</v>
      </c>
      <c r="AI461" s="1">
        <f t="shared" si="210"/>
        <v>1</v>
      </c>
    </row>
    <row r="462" spans="1:35" ht="14.25" customHeight="1" x14ac:dyDescent="0.25">
      <c r="A462" s="47">
        <v>0</v>
      </c>
      <c r="B462" s="47">
        <v>2</v>
      </c>
      <c r="C462" s="47">
        <v>7</v>
      </c>
      <c r="D462" s="48" t="s">
        <v>74</v>
      </c>
      <c r="E462" s="48" t="s">
        <v>156</v>
      </c>
      <c r="F462" s="48" t="s">
        <v>675</v>
      </c>
      <c r="G462" s="48" t="s">
        <v>265</v>
      </c>
      <c r="H462" s="48" t="s">
        <v>354</v>
      </c>
      <c r="I462" s="47" t="s">
        <v>422</v>
      </c>
      <c r="J462" s="47">
        <v>99</v>
      </c>
      <c r="K462" s="49" t="s">
        <v>712</v>
      </c>
      <c r="L462" s="49" t="s">
        <v>729</v>
      </c>
      <c r="M462" s="50" t="s">
        <v>732</v>
      </c>
      <c r="N462" s="50" t="s">
        <v>1735</v>
      </c>
      <c r="O462" s="51"/>
      <c r="P462" s="51"/>
      <c r="Q462" s="48"/>
      <c r="S462" s="1">
        <f t="shared" ref="S462:S467" si="257">IF(J462=$S$7,1,0)</f>
        <v>0</v>
      </c>
      <c r="T462" s="1">
        <f t="shared" ref="T462:T467" si="258">IF(J462=$T$7,1,0)</f>
        <v>0</v>
      </c>
      <c r="U462" s="1">
        <f t="shared" ref="U462:U467" si="259">IF(J462=$U$7,1,0)</f>
        <v>0</v>
      </c>
      <c r="V462" s="1">
        <f t="shared" ref="V462:V467" si="260">IF(J462=$V$7,1,0)</f>
        <v>0</v>
      </c>
      <c r="W462" s="1">
        <f t="shared" ref="W462:W467" si="261">IF(J462=$W$7,1,0)</f>
        <v>0</v>
      </c>
      <c r="X462" s="1">
        <f t="shared" ref="X462:X467" si="262">IF(J462=$X$7,1,0)</f>
        <v>0</v>
      </c>
      <c r="Y462" s="1">
        <f t="shared" ref="Y462:Y467" si="263">IF(J462=$Y$7,1,0)</f>
        <v>0</v>
      </c>
      <c r="Z462" s="1">
        <f t="shared" ref="Z462:Z467" si="264">IF(J462=$Z$7,1,0)</f>
        <v>0</v>
      </c>
      <c r="AA462" s="1">
        <f t="shared" ref="AA462:AA467" si="265">IF(J462=$AA$7,1,0)</f>
        <v>0</v>
      </c>
      <c r="AB462" s="1">
        <f t="shared" ref="AB462:AB467" si="266">IF(J462=$AB$7,1,0)</f>
        <v>0</v>
      </c>
      <c r="AD462" s="1">
        <f t="shared" ref="AD462:AD467" si="267">+O462*P462</f>
        <v>0</v>
      </c>
      <c r="AE462" s="1">
        <f t="shared" ref="AE462:AE467" si="268">O462*(1-P462)</f>
        <v>0</v>
      </c>
      <c r="AF462" s="1">
        <f t="shared" ref="AF462:AF467" si="269">+O462*P462*(1-A462)</f>
        <v>0</v>
      </c>
      <c r="AG462" s="1">
        <f t="shared" ref="AG462:AG467" si="270">O462*(1-P462)*(1-A462)</f>
        <v>0</v>
      </c>
      <c r="AH462" s="1">
        <f t="shared" ref="AH462:AH467" si="271">+P462*(1-A462)</f>
        <v>0</v>
      </c>
      <c r="AI462" s="1">
        <f t="shared" ref="AI462:AI467" si="272">+(1-A462)*(1-P462)</f>
        <v>1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2007</v>
      </c>
      <c r="E463" s="35" t="s">
        <v>156</v>
      </c>
      <c r="F463" s="35" t="s">
        <v>2008</v>
      </c>
      <c r="G463" s="35" t="s">
        <v>283</v>
      </c>
      <c r="H463" s="35" t="s">
        <v>354</v>
      </c>
      <c r="I463" s="34" t="s">
        <v>2009</v>
      </c>
      <c r="J463" s="34">
        <v>99</v>
      </c>
      <c r="K463" s="36" t="s">
        <v>703</v>
      </c>
      <c r="L463" s="36" t="s">
        <v>722</v>
      </c>
      <c r="M463" s="37" t="s">
        <v>732</v>
      </c>
      <c r="N463" s="37" t="s">
        <v>1727</v>
      </c>
      <c r="O463" s="38">
        <v>1</v>
      </c>
      <c r="P463" s="38">
        <v>1</v>
      </c>
      <c r="Q463" s="35"/>
      <c r="S463" s="1">
        <f t="shared" si="257"/>
        <v>0</v>
      </c>
      <c r="T463" s="1">
        <f t="shared" si="258"/>
        <v>0</v>
      </c>
      <c r="U463" s="1">
        <f t="shared" si="259"/>
        <v>0</v>
      </c>
      <c r="V463" s="1">
        <f t="shared" si="260"/>
        <v>0</v>
      </c>
      <c r="W463" s="1">
        <f t="shared" si="261"/>
        <v>0</v>
      </c>
      <c r="X463" s="1">
        <f t="shared" si="262"/>
        <v>0</v>
      </c>
      <c r="Y463" s="1">
        <f t="shared" si="263"/>
        <v>0</v>
      </c>
      <c r="Z463" s="1">
        <f t="shared" si="264"/>
        <v>0</v>
      </c>
      <c r="AA463" s="1">
        <f t="shared" si="265"/>
        <v>0</v>
      </c>
      <c r="AB463" s="1">
        <f t="shared" si="266"/>
        <v>0</v>
      </c>
      <c r="AD463" s="1">
        <f t="shared" si="267"/>
        <v>1</v>
      </c>
      <c r="AE463" s="1">
        <f t="shared" si="268"/>
        <v>0</v>
      </c>
      <c r="AF463" s="1">
        <f t="shared" si="269"/>
        <v>1</v>
      </c>
      <c r="AG463" s="1">
        <f t="shared" si="270"/>
        <v>0</v>
      </c>
      <c r="AH463" s="1">
        <f t="shared" si="271"/>
        <v>1</v>
      </c>
      <c r="AI463" s="1">
        <f t="shared" si="272"/>
        <v>0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2007</v>
      </c>
      <c r="E464" s="35" t="s">
        <v>156</v>
      </c>
      <c r="F464" s="35" t="s">
        <v>2010</v>
      </c>
      <c r="G464" s="35" t="s">
        <v>2011</v>
      </c>
      <c r="H464" s="35" t="s">
        <v>354</v>
      </c>
      <c r="I464" s="34" t="s">
        <v>2012</v>
      </c>
      <c r="J464" s="34">
        <v>99</v>
      </c>
      <c r="K464" s="36" t="s">
        <v>703</v>
      </c>
      <c r="L464" s="36" t="s">
        <v>722</v>
      </c>
      <c r="M464" s="37" t="s">
        <v>732</v>
      </c>
      <c r="N464" s="37" t="s">
        <v>1727</v>
      </c>
      <c r="O464" s="38">
        <v>1</v>
      </c>
      <c r="P464" s="38">
        <v>1</v>
      </c>
      <c r="Q464" s="35"/>
      <c r="S464" s="1">
        <f t="shared" si="257"/>
        <v>0</v>
      </c>
      <c r="T464" s="1">
        <f t="shared" si="258"/>
        <v>0</v>
      </c>
      <c r="U464" s="1">
        <f t="shared" si="259"/>
        <v>0</v>
      </c>
      <c r="V464" s="1">
        <f t="shared" si="260"/>
        <v>0</v>
      </c>
      <c r="W464" s="1">
        <f t="shared" si="261"/>
        <v>0</v>
      </c>
      <c r="X464" s="1">
        <f t="shared" si="262"/>
        <v>0</v>
      </c>
      <c r="Y464" s="1">
        <f t="shared" si="263"/>
        <v>0</v>
      </c>
      <c r="Z464" s="1">
        <f t="shared" si="264"/>
        <v>0</v>
      </c>
      <c r="AA464" s="1">
        <f t="shared" si="265"/>
        <v>0</v>
      </c>
      <c r="AB464" s="1">
        <f t="shared" si="266"/>
        <v>0</v>
      </c>
      <c r="AD464" s="1">
        <f t="shared" si="267"/>
        <v>1</v>
      </c>
      <c r="AE464" s="1">
        <f t="shared" si="268"/>
        <v>0</v>
      </c>
      <c r="AF464" s="1">
        <f t="shared" si="269"/>
        <v>0</v>
      </c>
      <c r="AG464" s="1">
        <f t="shared" si="270"/>
        <v>0</v>
      </c>
      <c r="AH464" s="1">
        <f t="shared" si="271"/>
        <v>0</v>
      </c>
      <c r="AI464" s="1">
        <f t="shared" si="272"/>
        <v>0</v>
      </c>
    </row>
    <row r="465" spans="1:35" ht="14.25" customHeight="1" x14ac:dyDescent="0.25">
      <c r="A465" s="15">
        <v>0</v>
      </c>
      <c r="B465" s="15">
        <v>2</v>
      </c>
      <c r="C465" s="15">
        <v>7</v>
      </c>
      <c r="D465" s="20" t="s">
        <v>1858</v>
      </c>
      <c r="E465" s="16" t="s">
        <v>156</v>
      </c>
      <c r="F465" s="20" t="s">
        <v>1859</v>
      </c>
      <c r="G465" s="20" t="s">
        <v>283</v>
      </c>
      <c r="H465" s="20" t="s">
        <v>354</v>
      </c>
      <c r="I465" s="21" t="s">
        <v>1860</v>
      </c>
      <c r="J465" s="15">
        <v>99</v>
      </c>
      <c r="K465" s="10" t="s">
        <v>703</v>
      </c>
      <c r="L465" s="10" t="s">
        <v>722</v>
      </c>
      <c r="M465" s="19" t="s">
        <v>732</v>
      </c>
      <c r="N465" s="19"/>
      <c r="Q465" s="20"/>
      <c r="S465" s="1">
        <f t="shared" si="257"/>
        <v>0</v>
      </c>
      <c r="T465" s="1">
        <f t="shared" si="258"/>
        <v>0</v>
      </c>
      <c r="U465" s="1">
        <f t="shared" si="259"/>
        <v>0</v>
      </c>
      <c r="V465" s="1">
        <f t="shared" si="260"/>
        <v>0</v>
      </c>
      <c r="W465" s="1">
        <f t="shared" si="261"/>
        <v>0</v>
      </c>
      <c r="X465" s="1">
        <f t="shared" si="262"/>
        <v>0</v>
      </c>
      <c r="Y465" s="1">
        <f t="shared" si="263"/>
        <v>0</v>
      </c>
      <c r="Z465" s="1">
        <f t="shared" si="264"/>
        <v>0</v>
      </c>
      <c r="AA465" s="1">
        <f t="shared" si="265"/>
        <v>0</v>
      </c>
      <c r="AB465" s="1">
        <f t="shared" si="266"/>
        <v>0</v>
      </c>
      <c r="AD465" s="1">
        <f t="shared" si="267"/>
        <v>0</v>
      </c>
      <c r="AE465" s="1">
        <f t="shared" si="268"/>
        <v>0</v>
      </c>
      <c r="AF465" s="1">
        <f t="shared" si="269"/>
        <v>0</v>
      </c>
      <c r="AG465" s="1">
        <f t="shared" si="270"/>
        <v>0</v>
      </c>
      <c r="AH465" s="1">
        <f t="shared" si="271"/>
        <v>0</v>
      </c>
      <c r="AI465" s="1">
        <f t="shared" si="272"/>
        <v>1</v>
      </c>
    </row>
    <row r="466" spans="1:35" ht="14.25" customHeight="1" x14ac:dyDescent="0.25">
      <c r="A466" s="34">
        <v>0</v>
      </c>
      <c r="B466" s="34">
        <v>2</v>
      </c>
      <c r="C466" s="34">
        <v>7</v>
      </c>
      <c r="D466" s="35" t="s">
        <v>60</v>
      </c>
      <c r="E466" s="35" t="s">
        <v>163</v>
      </c>
      <c r="F466" s="35" t="s">
        <v>227</v>
      </c>
      <c r="G466" s="35" t="s">
        <v>190</v>
      </c>
      <c r="H466" s="35" t="s">
        <v>354</v>
      </c>
      <c r="I466" s="34" t="s">
        <v>399</v>
      </c>
      <c r="J466" s="34">
        <v>99</v>
      </c>
      <c r="K466" s="36" t="s">
        <v>713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257"/>
        <v>0</v>
      </c>
      <c r="T466" s="1">
        <f t="shared" si="258"/>
        <v>0</v>
      </c>
      <c r="U466" s="1">
        <f t="shared" si="259"/>
        <v>0</v>
      </c>
      <c r="V466" s="1">
        <f t="shared" si="260"/>
        <v>0</v>
      </c>
      <c r="W466" s="1">
        <f t="shared" si="261"/>
        <v>0</v>
      </c>
      <c r="X466" s="1">
        <f t="shared" si="262"/>
        <v>0</v>
      </c>
      <c r="Y466" s="1">
        <f t="shared" si="263"/>
        <v>0</v>
      </c>
      <c r="Z466" s="1">
        <f t="shared" si="264"/>
        <v>0</v>
      </c>
      <c r="AA466" s="1">
        <f t="shared" si="265"/>
        <v>0</v>
      </c>
      <c r="AB466" s="1">
        <f t="shared" si="266"/>
        <v>0</v>
      </c>
      <c r="AD466" s="1">
        <f t="shared" si="267"/>
        <v>0</v>
      </c>
      <c r="AE466" s="1">
        <f t="shared" si="268"/>
        <v>1</v>
      </c>
      <c r="AF466" s="1">
        <f t="shared" si="269"/>
        <v>0</v>
      </c>
      <c r="AG466" s="1">
        <f t="shared" si="270"/>
        <v>1</v>
      </c>
      <c r="AH466" s="1">
        <f t="shared" si="271"/>
        <v>0</v>
      </c>
      <c r="AI466" s="1">
        <f t="shared" si="272"/>
        <v>1</v>
      </c>
    </row>
    <row r="467" spans="1:35" ht="14.25" customHeight="1" x14ac:dyDescent="0.25">
      <c r="A467" s="34">
        <v>0</v>
      </c>
      <c r="B467" s="34">
        <v>2</v>
      </c>
      <c r="C467" s="34">
        <v>7</v>
      </c>
      <c r="D467" s="35" t="s">
        <v>1329</v>
      </c>
      <c r="E467" s="35" t="s">
        <v>156</v>
      </c>
      <c r="F467" s="35" t="s">
        <v>1143</v>
      </c>
      <c r="G467" s="35" t="s">
        <v>192</v>
      </c>
      <c r="H467" s="35" t="s">
        <v>354</v>
      </c>
      <c r="I467" s="34" t="s">
        <v>1369</v>
      </c>
      <c r="J467" s="34">
        <v>99</v>
      </c>
      <c r="K467" s="36" t="s">
        <v>712</v>
      </c>
      <c r="L467" s="36" t="s">
        <v>39</v>
      </c>
      <c r="M467" s="37" t="s">
        <v>39</v>
      </c>
      <c r="N467" s="37" t="s">
        <v>1727</v>
      </c>
      <c r="O467" s="38">
        <v>1</v>
      </c>
      <c r="P467" s="38">
        <v>1</v>
      </c>
      <c r="Q467" s="35"/>
      <c r="S467" s="1">
        <f t="shared" si="257"/>
        <v>0</v>
      </c>
      <c r="T467" s="1">
        <f t="shared" si="258"/>
        <v>0</v>
      </c>
      <c r="U467" s="1">
        <f t="shared" si="259"/>
        <v>0</v>
      </c>
      <c r="V467" s="1">
        <f t="shared" si="260"/>
        <v>0</v>
      </c>
      <c r="W467" s="1">
        <f t="shared" si="261"/>
        <v>0</v>
      </c>
      <c r="X467" s="1">
        <f t="shared" si="262"/>
        <v>0</v>
      </c>
      <c r="Y467" s="1">
        <f t="shared" si="263"/>
        <v>0</v>
      </c>
      <c r="Z467" s="1">
        <f t="shared" si="264"/>
        <v>0</v>
      </c>
      <c r="AA467" s="1">
        <f t="shared" si="265"/>
        <v>0</v>
      </c>
      <c r="AB467" s="1">
        <f t="shared" si="266"/>
        <v>0</v>
      </c>
      <c r="AD467" s="1">
        <f t="shared" si="267"/>
        <v>1</v>
      </c>
      <c r="AE467" s="1">
        <f t="shared" si="268"/>
        <v>0</v>
      </c>
      <c r="AF467" s="1">
        <f t="shared" si="269"/>
        <v>1</v>
      </c>
      <c r="AG467" s="1">
        <f t="shared" si="270"/>
        <v>0</v>
      </c>
      <c r="AH467" s="1">
        <f t="shared" si="271"/>
        <v>1</v>
      </c>
      <c r="AI467" s="1">
        <f t="shared" si="272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589</v>
      </c>
      <c r="E468" s="35" t="s">
        <v>1337</v>
      </c>
      <c r="F468" s="35" t="s">
        <v>676</v>
      </c>
      <c r="G468" s="35" t="s">
        <v>240</v>
      </c>
      <c r="H468" s="35" t="s">
        <v>354</v>
      </c>
      <c r="I468" s="34" t="s">
        <v>405</v>
      </c>
      <c r="J468" s="34">
        <v>1</v>
      </c>
      <c r="K468" s="36" t="s">
        <v>713</v>
      </c>
      <c r="L468" s="36" t="s">
        <v>1711</v>
      </c>
      <c r="M468" s="37" t="s">
        <v>1439</v>
      </c>
      <c r="N468" s="37" t="s">
        <v>1748</v>
      </c>
      <c r="O468" s="38">
        <v>1</v>
      </c>
      <c r="P468" s="38"/>
      <c r="Q468" s="35"/>
      <c r="S468" s="1">
        <f t="shared" si="227"/>
        <v>1</v>
      </c>
      <c r="T468" s="1">
        <f t="shared" si="228"/>
        <v>0</v>
      </c>
      <c r="U468" s="1">
        <f t="shared" si="229"/>
        <v>0</v>
      </c>
      <c r="V468" s="1">
        <f t="shared" si="230"/>
        <v>0</v>
      </c>
      <c r="W468" s="1">
        <f t="shared" si="231"/>
        <v>0</v>
      </c>
      <c r="X468" s="1">
        <f t="shared" si="232"/>
        <v>0</v>
      </c>
      <c r="Y468" s="1">
        <f t="shared" si="233"/>
        <v>0</v>
      </c>
      <c r="Z468" s="1">
        <f t="shared" si="234"/>
        <v>0</v>
      </c>
      <c r="AA468" s="1">
        <f t="shared" si="235"/>
        <v>0</v>
      </c>
      <c r="AB468" s="1">
        <f t="shared" si="236"/>
        <v>0</v>
      </c>
      <c r="AD468" s="1">
        <f t="shared" ref="AD468" si="273">+O468*P468</f>
        <v>0</v>
      </c>
      <c r="AE468" s="1">
        <f t="shared" ref="AE468" si="274">O468*(1-P468)</f>
        <v>1</v>
      </c>
      <c r="AF468" s="1">
        <f t="shared" ref="AF468:AF483" si="275">+O468*P468*(1-A468)</f>
        <v>0</v>
      </c>
      <c r="AG468" s="1">
        <f t="shared" ref="AG468:AG483" si="276">O468*(1-P468)*(1-A468)</f>
        <v>1</v>
      </c>
      <c r="AH468" s="1">
        <f t="shared" ref="AH468:AH483" si="277">+P468*(1-A468)</f>
        <v>0</v>
      </c>
      <c r="AI468" s="1">
        <f t="shared" ref="AI468:AI483" si="278">+(1-A468)*(1-P468)</f>
        <v>1</v>
      </c>
    </row>
    <row r="469" spans="1:35" ht="14.25" customHeight="1" x14ac:dyDescent="0.25">
      <c r="A469" s="34">
        <v>1</v>
      </c>
      <c r="B469" s="34">
        <v>2</v>
      </c>
      <c r="C469" s="34">
        <v>7</v>
      </c>
      <c r="D469" s="35" t="s">
        <v>589</v>
      </c>
      <c r="E469" s="35" t="s">
        <v>1337</v>
      </c>
      <c r="F469" s="35" t="s">
        <v>239</v>
      </c>
      <c r="G469" s="35" t="s">
        <v>178</v>
      </c>
      <c r="H469" s="35" t="s">
        <v>354</v>
      </c>
      <c r="I469" s="34" t="s">
        <v>404</v>
      </c>
      <c r="J469" s="34">
        <v>1</v>
      </c>
      <c r="K469" s="36" t="s">
        <v>713</v>
      </c>
      <c r="L469" s="36" t="s">
        <v>1711</v>
      </c>
      <c r="M469" s="37" t="s">
        <v>1439</v>
      </c>
      <c r="N469" s="37" t="s">
        <v>1748</v>
      </c>
      <c r="O469" s="38">
        <v>1</v>
      </c>
      <c r="P469" s="38"/>
      <c r="Q469" s="39" t="s">
        <v>1911</v>
      </c>
      <c r="S469" s="1">
        <f t="shared" si="227"/>
        <v>1</v>
      </c>
      <c r="T469" s="1">
        <f t="shared" si="228"/>
        <v>0</v>
      </c>
      <c r="U469" s="1">
        <f t="shared" si="229"/>
        <v>0</v>
      </c>
      <c r="V469" s="1">
        <f t="shared" si="230"/>
        <v>0</v>
      </c>
      <c r="W469" s="1">
        <f t="shared" si="231"/>
        <v>0</v>
      </c>
      <c r="X469" s="1">
        <f t="shared" si="232"/>
        <v>0</v>
      </c>
      <c r="Y469" s="1">
        <f t="shared" si="233"/>
        <v>0</v>
      </c>
      <c r="Z469" s="1">
        <f t="shared" si="234"/>
        <v>0</v>
      </c>
      <c r="AA469" s="1">
        <f t="shared" si="235"/>
        <v>0</v>
      </c>
      <c r="AB469" s="1">
        <f t="shared" si="236"/>
        <v>0</v>
      </c>
      <c r="AD469" s="1">
        <f t="shared" si="237"/>
        <v>0</v>
      </c>
      <c r="AE469" s="1">
        <f t="shared" si="238"/>
        <v>1</v>
      </c>
      <c r="AF469" s="1">
        <f t="shared" si="275"/>
        <v>0</v>
      </c>
      <c r="AG469" s="1">
        <f t="shared" si="276"/>
        <v>0</v>
      </c>
      <c r="AH469" s="1">
        <f t="shared" si="277"/>
        <v>0</v>
      </c>
      <c r="AI469" s="1">
        <f t="shared" si="278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1330</v>
      </c>
      <c r="E470" s="35" t="s">
        <v>156</v>
      </c>
      <c r="F470" s="35" t="s">
        <v>1356</v>
      </c>
      <c r="G470" s="35" t="s">
        <v>258</v>
      </c>
      <c r="H470" s="35" t="s">
        <v>354</v>
      </c>
      <c r="I470" s="34" t="s">
        <v>1239</v>
      </c>
      <c r="J470" s="34">
        <v>8</v>
      </c>
      <c r="K470" s="36" t="s">
        <v>955</v>
      </c>
      <c r="L470" s="36" t="s">
        <v>722</v>
      </c>
      <c r="M470" s="37" t="s">
        <v>732</v>
      </c>
      <c r="N470" s="37" t="s">
        <v>1748</v>
      </c>
      <c r="O470" s="38">
        <v>1</v>
      </c>
      <c r="P470" s="38"/>
      <c r="Q470" s="35"/>
      <c r="S470" s="1">
        <f t="shared" si="227"/>
        <v>0</v>
      </c>
      <c r="T470" s="1">
        <f t="shared" si="228"/>
        <v>0</v>
      </c>
      <c r="U470" s="1">
        <f t="shared" si="229"/>
        <v>0</v>
      </c>
      <c r="V470" s="1">
        <f t="shared" si="230"/>
        <v>0</v>
      </c>
      <c r="W470" s="1">
        <f t="shared" si="231"/>
        <v>0</v>
      </c>
      <c r="X470" s="1">
        <f t="shared" si="232"/>
        <v>0</v>
      </c>
      <c r="Y470" s="1">
        <f t="shared" si="233"/>
        <v>0</v>
      </c>
      <c r="Z470" s="1">
        <f t="shared" si="234"/>
        <v>1</v>
      </c>
      <c r="AA470" s="1">
        <f t="shared" si="235"/>
        <v>0</v>
      </c>
      <c r="AB470" s="1">
        <f t="shared" si="236"/>
        <v>0</v>
      </c>
      <c r="AD470" s="1">
        <f t="shared" si="237"/>
        <v>0</v>
      </c>
      <c r="AE470" s="1">
        <f t="shared" si="238"/>
        <v>1</v>
      </c>
      <c r="AF470" s="1">
        <f t="shared" si="275"/>
        <v>0</v>
      </c>
      <c r="AG470" s="1">
        <f t="shared" si="276"/>
        <v>1</v>
      </c>
      <c r="AH470" s="1">
        <f t="shared" si="277"/>
        <v>0</v>
      </c>
      <c r="AI470" s="1">
        <f t="shared" si="278"/>
        <v>1</v>
      </c>
    </row>
    <row r="471" spans="1:35" ht="14.25" customHeight="1" x14ac:dyDescent="0.25">
      <c r="A471" s="34">
        <v>1</v>
      </c>
      <c r="B471" s="34">
        <v>2</v>
      </c>
      <c r="C471" s="34">
        <v>7</v>
      </c>
      <c r="D471" s="35" t="s">
        <v>1330</v>
      </c>
      <c r="E471" s="35" t="s">
        <v>156</v>
      </c>
      <c r="F471" s="35" t="s">
        <v>1218</v>
      </c>
      <c r="G471" s="35" t="s">
        <v>218</v>
      </c>
      <c r="H471" s="35" t="s">
        <v>354</v>
      </c>
      <c r="I471" s="34" t="s">
        <v>1239</v>
      </c>
      <c r="J471" s="34">
        <v>99</v>
      </c>
      <c r="K471" s="36" t="s">
        <v>955</v>
      </c>
      <c r="L471" s="36" t="s">
        <v>722</v>
      </c>
      <c r="M471" s="37" t="s">
        <v>732</v>
      </c>
      <c r="N471" s="37" t="s">
        <v>1748</v>
      </c>
      <c r="O471" s="38">
        <v>1</v>
      </c>
      <c r="P471" s="38"/>
      <c r="Q471" s="35"/>
      <c r="S471" s="1">
        <f t="shared" si="227"/>
        <v>0</v>
      </c>
      <c r="T471" s="1">
        <f t="shared" si="228"/>
        <v>0</v>
      </c>
      <c r="U471" s="1">
        <f t="shared" si="229"/>
        <v>0</v>
      </c>
      <c r="V471" s="1">
        <f t="shared" si="230"/>
        <v>0</v>
      </c>
      <c r="W471" s="1">
        <f t="shared" si="231"/>
        <v>0</v>
      </c>
      <c r="X471" s="1">
        <f t="shared" si="232"/>
        <v>0</v>
      </c>
      <c r="Y471" s="1">
        <f t="shared" si="233"/>
        <v>0</v>
      </c>
      <c r="Z471" s="1">
        <f t="shared" si="234"/>
        <v>0</v>
      </c>
      <c r="AA471" s="1">
        <f t="shared" si="235"/>
        <v>0</v>
      </c>
      <c r="AB471" s="1">
        <f t="shared" si="236"/>
        <v>0</v>
      </c>
      <c r="AD471" s="1">
        <f t="shared" si="237"/>
        <v>0</v>
      </c>
      <c r="AE471" s="1">
        <f t="shared" si="238"/>
        <v>1</v>
      </c>
      <c r="AF471" s="1">
        <f t="shared" si="275"/>
        <v>0</v>
      </c>
      <c r="AG471" s="1">
        <f t="shared" si="276"/>
        <v>0</v>
      </c>
      <c r="AH471" s="1">
        <f t="shared" si="277"/>
        <v>0</v>
      </c>
      <c r="AI471" s="1">
        <f t="shared" si="278"/>
        <v>0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1248</v>
      </c>
      <c r="E472" s="48" t="s">
        <v>156</v>
      </c>
      <c r="F472" s="48" t="s">
        <v>1250</v>
      </c>
      <c r="G472" s="48" t="s">
        <v>220</v>
      </c>
      <c r="H472" s="48" t="s">
        <v>354</v>
      </c>
      <c r="I472" s="47" t="s">
        <v>1370</v>
      </c>
      <c r="J472" s="47">
        <v>8</v>
      </c>
      <c r="K472" s="49" t="s">
        <v>954</v>
      </c>
      <c r="L472" s="49" t="s">
        <v>722</v>
      </c>
      <c r="M472" s="50" t="s">
        <v>732</v>
      </c>
      <c r="N472" s="50" t="s">
        <v>1735</v>
      </c>
      <c r="O472" s="51"/>
      <c r="P472" s="51"/>
      <c r="Q472" s="48"/>
      <c r="S472" s="1">
        <f t="shared" si="227"/>
        <v>0</v>
      </c>
      <c r="T472" s="1">
        <f t="shared" si="228"/>
        <v>0</v>
      </c>
      <c r="U472" s="1">
        <f t="shared" si="229"/>
        <v>0</v>
      </c>
      <c r="V472" s="1">
        <f t="shared" si="230"/>
        <v>0</v>
      </c>
      <c r="W472" s="1">
        <f t="shared" si="231"/>
        <v>0</v>
      </c>
      <c r="X472" s="1">
        <f t="shared" si="232"/>
        <v>0</v>
      </c>
      <c r="Y472" s="1">
        <f t="shared" si="233"/>
        <v>0</v>
      </c>
      <c r="Z472" s="1">
        <f t="shared" si="234"/>
        <v>1</v>
      </c>
      <c r="AA472" s="1">
        <f t="shared" si="235"/>
        <v>0</v>
      </c>
      <c r="AB472" s="1">
        <f t="shared" si="236"/>
        <v>0</v>
      </c>
      <c r="AD472" s="1">
        <f t="shared" si="237"/>
        <v>0</v>
      </c>
      <c r="AE472" s="1">
        <f t="shared" si="238"/>
        <v>0</v>
      </c>
      <c r="AF472" s="1">
        <f t="shared" si="275"/>
        <v>0</v>
      </c>
      <c r="AG472" s="1">
        <f t="shared" si="276"/>
        <v>0</v>
      </c>
      <c r="AH472" s="1">
        <f t="shared" si="277"/>
        <v>0</v>
      </c>
      <c r="AI472" s="1">
        <f t="shared" si="278"/>
        <v>1</v>
      </c>
    </row>
    <row r="473" spans="1:35" ht="14.25" customHeight="1" x14ac:dyDescent="0.25">
      <c r="A473" s="47">
        <v>1</v>
      </c>
      <c r="B473" s="47">
        <v>2</v>
      </c>
      <c r="C473" s="47">
        <v>7</v>
      </c>
      <c r="D473" s="48" t="s">
        <v>1248</v>
      </c>
      <c r="E473" s="48" t="s">
        <v>156</v>
      </c>
      <c r="F473" s="48" t="s">
        <v>1357</v>
      </c>
      <c r="G473" s="48" t="s">
        <v>39</v>
      </c>
      <c r="H473" s="48" t="s">
        <v>355</v>
      </c>
      <c r="I473" s="47" t="s">
        <v>1249</v>
      </c>
      <c r="J473" s="47">
        <v>99</v>
      </c>
      <c r="K473" s="49" t="s">
        <v>954</v>
      </c>
      <c r="L473" s="49" t="s">
        <v>722</v>
      </c>
      <c r="M473" s="50" t="s">
        <v>732</v>
      </c>
      <c r="N473" s="50" t="s">
        <v>1735</v>
      </c>
      <c r="O473" s="51"/>
      <c r="P473" s="51"/>
      <c r="Q473" s="68" t="s">
        <v>1904</v>
      </c>
      <c r="S473" s="1">
        <f t="shared" ref="S473:S483" si="279">IF(J473=$S$7,1,0)</f>
        <v>0</v>
      </c>
      <c r="T473" s="1">
        <f t="shared" ref="T473:T483" si="280">IF(J473=$T$7,1,0)</f>
        <v>0</v>
      </c>
      <c r="U473" s="1">
        <f t="shared" ref="U473:U483" si="281">IF(J473=$U$7,1,0)</f>
        <v>0</v>
      </c>
      <c r="V473" s="1">
        <f t="shared" ref="V473:V483" si="282">IF(J473=$V$7,1,0)</f>
        <v>0</v>
      </c>
      <c r="W473" s="1">
        <f t="shared" ref="W473:W483" si="283">IF(J473=$W$7,1,0)</f>
        <v>0</v>
      </c>
      <c r="X473" s="1">
        <f t="shared" ref="X473:X483" si="284">IF(J473=$X$7,1,0)</f>
        <v>0</v>
      </c>
      <c r="Y473" s="1">
        <f t="shared" ref="Y473:Y483" si="285">IF(J473=$Y$7,1,0)</f>
        <v>0</v>
      </c>
      <c r="Z473" s="1">
        <f t="shared" ref="Z473:Z483" si="286">IF(J473=$Z$7,1,0)</f>
        <v>0</v>
      </c>
      <c r="AA473" s="1">
        <f t="shared" ref="AA473:AA483" si="287">IF(J473=$AA$7,1,0)</f>
        <v>0</v>
      </c>
      <c r="AB473" s="1">
        <f t="shared" ref="AB473:AB483" si="288">IF(J473=$AB$7,1,0)</f>
        <v>0</v>
      </c>
      <c r="AD473" s="1">
        <f>+O473*P473</f>
        <v>0</v>
      </c>
      <c r="AE473" s="1">
        <f>O473*(1-P473)</f>
        <v>0</v>
      </c>
      <c r="AF473" s="1">
        <f t="shared" si="275"/>
        <v>0</v>
      </c>
      <c r="AG473" s="1">
        <f t="shared" si="276"/>
        <v>0</v>
      </c>
      <c r="AH473" s="1">
        <f t="shared" si="277"/>
        <v>0</v>
      </c>
      <c r="AI473" s="1">
        <f t="shared" si="278"/>
        <v>0</v>
      </c>
    </row>
    <row r="474" spans="1:35" ht="14.25" customHeight="1" x14ac:dyDescent="0.25">
      <c r="A474" s="47">
        <v>1</v>
      </c>
      <c r="B474" s="47">
        <v>2</v>
      </c>
      <c r="C474" s="47">
        <v>7</v>
      </c>
      <c r="D474" s="48" t="s">
        <v>1248</v>
      </c>
      <c r="E474" s="48" t="s">
        <v>156</v>
      </c>
      <c r="F474" s="48" t="s">
        <v>1523</v>
      </c>
      <c r="G474" s="48" t="s">
        <v>235</v>
      </c>
      <c r="H474" s="48" t="s">
        <v>354</v>
      </c>
      <c r="I474" s="47" t="s">
        <v>1691</v>
      </c>
      <c r="J474" s="47">
        <v>99</v>
      </c>
      <c r="K474" s="49" t="s">
        <v>954</v>
      </c>
      <c r="L474" s="49" t="s">
        <v>722</v>
      </c>
      <c r="M474" s="50" t="s">
        <v>732</v>
      </c>
      <c r="N474" s="50" t="s">
        <v>1735</v>
      </c>
      <c r="O474" s="51"/>
      <c r="P474" s="51"/>
      <c r="Q474" s="48"/>
      <c r="S474" s="1">
        <f t="shared" si="279"/>
        <v>0</v>
      </c>
      <c r="T474" s="1">
        <f t="shared" si="280"/>
        <v>0</v>
      </c>
      <c r="U474" s="1">
        <f t="shared" si="281"/>
        <v>0</v>
      </c>
      <c r="V474" s="1">
        <f t="shared" si="282"/>
        <v>0</v>
      </c>
      <c r="W474" s="1">
        <f t="shared" si="283"/>
        <v>0</v>
      </c>
      <c r="X474" s="1">
        <f t="shared" si="284"/>
        <v>0</v>
      </c>
      <c r="Y474" s="1">
        <f t="shared" si="285"/>
        <v>0</v>
      </c>
      <c r="Z474" s="1">
        <f t="shared" si="286"/>
        <v>0</v>
      </c>
      <c r="AA474" s="1">
        <f t="shared" si="287"/>
        <v>0</v>
      </c>
      <c r="AB474" s="1">
        <f t="shared" si="288"/>
        <v>0</v>
      </c>
      <c r="AD474" s="1">
        <f>+O474*P474</f>
        <v>0</v>
      </c>
      <c r="AE474" s="1">
        <f>O474*(1-P474)</f>
        <v>0</v>
      </c>
      <c r="AF474" s="1">
        <f t="shared" si="275"/>
        <v>0</v>
      </c>
      <c r="AG474" s="1">
        <f t="shared" si="276"/>
        <v>0</v>
      </c>
      <c r="AH474" s="1">
        <f t="shared" si="277"/>
        <v>0</v>
      </c>
      <c r="AI474" s="1">
        <f t="shared" si="278"/>
        <v>0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1850</v>
      </c>
      <c r="E475" s="35" t="s">
        <v>1851</v>
      </c>
      <c r="F475" s="35" t="s">
        <v>1852</v>
      </c>
      <c r="G475" s="35" t="s">
        <v>265</v>
      </c>
      <c r="H475" s="35" t="s">
        <v>354</v>
      </c>
      <c r="I475" s="34" t="s">
        <v>1853</v>
      </c>
      <c r="J475" s="34">
        <v>99</v>
      </c>
      <c r="K475" s="36" t="s">
        <v>703</v>
      </c>
      <c r="L475" s="36"/>
      <c r="M475" s="37"/>
      <c r="N475" s="37" t="s">
        <v>1727</v>
      </c>
      <c r="O475" s="38">
        <v>1</v>
      </c>
      <c r="P475" s="38">
        <v>1</v>
      </c>
      <c r="Q475" s="35"/>
      <c r="S475" s="1">
        <f t="shared" si="279"/>
        <v>0</v>
      </c>
      <c r="T475" s="1">
        <f t="shared" si="280"/>
        <v>0</v>
      </c>
      <c r="U475" s="1">
        <f t="shared" si="281"/>
        <v>0</v>
      </c>
      <c r="V475" s="1">
        <f t="shared" si="282"/>
        <v>0</v>
      </c>
      <c r="W475" s="1">
        <f t="shared" si="283"/>
        <v>0</v>
      </c>
      <c r="X475" s="1">
        <f t="shared" si="284"/>
        <v>0</v>
      </c>
      <c r="Y475" s="1">
        <f t="shared" si="285"/>
        <v>0</v>
      </c>
      <c r="Z475" s="1">
        <f t="shared" si="286"/>
        <v>0</v>
      </c>
      <c r="AA475" s="1">
        <f t="shared" si="287"/>
        <v>0</v>
      </c>
      <c r="AB475" s="1">
        <f t="shared" si="288"/>
        <v>0</v>
      </c>
      <c r="AD475" s="1">
        <f>+O475*P475</f>
        <v>1</v>
      </c>
      <c r="AE475" s="1">
        <f>O475*(1-P475)</f>
        <v>0</v>
      </c>
      <c r="AF475" s="1">
        <f t="shared" si="275"/>
        <v>1</v>
      </c>
      <c r="AG475" s="1">
        <f t="shared" si="276"/>
        <v>0</v>
      </c>
      <c r="AH475" s="1">
        <f t="shared" si="277"/>
        <v>1</v>
      </c>
      <c r="AI475" s="1">
        <f t="shared" si="278"/>
        <v>0</v>
      </c>
    </row>
    <row r="476" spans="1:35" ht="14.25" customHeight="1" x14ac:dyDescent="0.25">
      <c r="A476" s="47">
        <v>0</v>
      </c>
      <c r="B476" s="47">
        <v>2</v>
      </c>
      <c r="C476" s="47">
        <v>7</v>
      </c>
      <c r="D476" s="48" t="s">
        <v>1243</v>
      </c>
      <c r="E476" s="48" t="s">
        <v>28</v>
      </c>
      <c r="F476" s="48" t="s">
        <v>1236</v>
      </c>
      <c r="G476" s="48" t="s">
        <v>1237</v>
      </c>
      <c r="H476" s="48" t="s">
        <v>354</v>
      </c>
      <c r="I476" s="47" t="s">
        <v>1238</v>
      </c>
      <c r="J476" s="47">
        <v>99</v>
      </c>
      <c r="K476" s="49" t="s">
        <v>712</v>
      </c>
      <c r="L476" s="49" t="s">
        <v>713</v>
      </c>
      <c r="M476" s="50" t="s">
        <v>731</v>
      </c>
      <c r="N476" s="50" t="s">
        <v>1735</v>
      </c>
      <c r="O476" s="51"/>
      <c r="P476" s="51"/>
      <c r="Q476" s="48"/>
      <c r="S476" s="1">
        <f t="shared" si="279"/>
        <v>0</v>
      </c>
      <c r="T476" s="1">
        <f t="shared" si="280"/>
        <v>0</v>
      </c>
      <c r="U476" s="1">
        <f t="shared" si="281"/>
        <v>0</v>
      </c>
      <c r="V476" s="1">
        <f t="shared" si="282"/>
        <v>0</v>
      </c>
      <c r="W476" s="1">
        <f t="shared" si="283"/>
        <v>0</v>
      </c>
      <c r="X476" s="1">
        <f t="shared" si="284"/>
        <v>0</v>
      </c>
      <c r="Y476" s="1">
        <f t="shared" si="285"/>
        <v>0</v>
      </c>
      <c r="Z476" s="1">
        <f t="shared" si="286"/>
        <v>0</v>
      </c>
      <c r="AA476" s="1">
        <f t="shared" si="287"/>
        <v>0</v>
      </c>
      <c r="AB476" s="1">
        <f t="shared" si="288"/>
        <v>0</v>
      </c>
      <c r="AD476" s="1">
        <f t="shared" ref="AD476:AD483" si="289">+O476*P476</f>
        <v>0</v>
      </c>
      <c r="AE476" s="1">
        <f t="shared" ref="AE476:AE483" si="290">O476*(1-P476)</f>
        <v>0</v>
      </c>
      <c r="AF476" s="1">
        <f t="shared" si="275"/>
        <v>0</v>
      </c>
      <c r="AG476" s="1">
        <f t="shared" si="276"/>
        <v>0</v>
      </c>
      <c r="AH476" s="1">
        <f t="shared" si="277"/>
        <v>0</v>
      </c>
      <c r="AI476" s="1">
        <f t="shared" si="278"/>
        <v>1</v>
      </c>
    </row>
    <row r="477" spans="1:35" ht="14.25" customHeight="1" x14ac:dyDescent="0.25">
      <c r="A477" s="47">
        <v>1</v>
      </c>
      <c r="B477" s="47">
        <v>2</v>
      </c>
      <c r="C477" s="47">
        <v>7</v>
      </c>
      <c r="D477" s="48" t="s">
        <v>1240</v>
      </c>
      <c r="E477" s="48" t="s">
        <v>28</v>
      </c>
      <c r="F477" s="48" t="s">
        <v>1241</v>
      </c>
      <c r="G477" s="48" t="s">
        <v>523</v>
      </c>
      <c r="H477" s="48" t="s">
        <v>354</v>
      </c>
      <c r="I477" s="47" t="s">
        <v>1242</v>
      </c>
      <c r="J477" s="47">
        <v>99</v>
      </c>
      <c r="K477" s="49" t="s">
        <v>712</v>
      </c>
      <c r="L477" s="49" t="s">
        <v>713</v>
      </c>
      <c r="M477" s="50" t="s">
        <v>731</v>
      </c>
      <c r="N477" s="50" t="s">
        <v>1735</v>
      </c>
      <c r="O477" s="51"/>
      <c r="P477" s="51"/>
      <c r="Q477" s="48"/>
      <c r="S477" s="1">
        <f t="shared" si="279"/>
        <v>0</v>
      </c>
      <c r="T477" s="1">
        <f t="shared" si="280"/>
        <v>0</v>
      </c>
      <c r="U477" s="1">
        <f t="shared" si="281"/>
        <v>0</v>
      </c>
      <c r="V477" s="1">
        <f t="shared" si="282"/>
        <v>0</v>
      </c>
      <c r="W477" s="1">
        <f t="shared" si="283"/>
        <v>0</v>
      </c>
      <c r="X477" s="1">
        <f t="shared" si="284"/>
        <v>0</v>
      </c>
      <c r="Y477" s="1">
        <f t="shared" si="285"/>
        <v>0</v>
      </c>
      <c r="Z477" s="1">
        <f t="shared" si="286"/>
        <v>0</v>
      </c>
      <c r="AA477" s="1">
        <f t="shared" si="287"/>
        <v>0</v>
      </c>
      <c r="AB477" s="1">
        <f t="shared" si="288"/>
        <v>0</v>
      </c>
      <c r="AD477" s="1">
        <f t="shared" si="289"/>
        <v>0</v>
      </c>
      <c r="AE477" s="1">
        <f t="shared" si="290"/>
        <v>0</v>
      </c>
      <c r="AF477" s="1">
        <f t="shared" si="275"/>
        <v>0</v>
      </c>
      <c r="AG477" s="1">
        <f t="shared" si="276"/>
        <v>0</v>
      </c>
      <c r="AH477" s="1">
        <f t="shared" si="277"/>
        <v>0</v>
      </c>
      <c r="AI477" s="1">
        <f t="shared" si="278"/>
        <v>0</v>
      </c>
    </row>
    <row r="478" spans="1:35" ht="14.25" customHeight="1" x14ac:dyDescent="0.25">
      <c r="A478" s="34">
        <v>0</v>
      </c>
      <c r="B478" s="34">
        <v>2</v>
      </c>
      <c r="C478" s="34">
        <v>7</v>
      </c>
      <c r="D478" s="35" t="s">
        <v>1846</v>
      </c>
      <c r="E478" s="35" t="s">
        <v>1168</v>
      </c>
      <c r="F478" s="35" t="s">
        <v>1847</v>
      </c>
      <c r="G478" s="35"/>
      <c r="H478" s="35" t="s">
        <v>354</v>
      </c>
      <c r="I478" s="34" t="s">
        <v>1848</v>
      </c>
      <c r="J478" s="34">
        <v>6</v>
      </c>
      <c r="K478" s="36" t="s">
        <v>703</v>
      </c>
      <c r="L478" s="36"/>
      <c r="M478" s="37"/>
      <c r="N478" s="37" t="s">
        <v>1748</v>
      </c>
      <c r="O478" s="38">
        <v>1</v>
      </c>
      <c r="P478" s="38"/>
      <c r="Q478" s="35"/>
      <c r="S478" s="1">
        <f t="shared" si="279"/>
        <v>0</v>
      </c>
      <c r="T478" s="1">
        <f t="shared" si="280"/>
        <v>0</v>
      </c>
      <c r="U478" s="1">
        <f t="shared" si="281"/>
        <v>0</v>
      </c>
      <c r="V478" s="1">
        <f t="shared" si="282"/>
        <v>0</v>
      </c>
      <c r="W478" s="1">
        <f t="shared" si="283"/>
        <v>0</v>
      </c>
      <c r="X478" s="1">
        <f t="shared" si="284"/>
        <v>1</v>
      </c>
      <c r="Y478" s="1">
        <f t="shared" si="285"/>
        <v>0</v>
      </c>
      <c r="Z478" s="1">
        <f t="shared" si="286"/>
        <v>0</v>
      </c>
      <c r="AA478" s="1">
        <f t="shared" si="287"/>
        <v>0</v>
      </c>
      <c r="AB478" s="1">
        <f t="shared" si="288"/>
        <v>0</v>
      </c>
      <c r="AD478" s="1">
        <f t="shared" si="289"/>
        <v>0</v>
      </c>
      <c r="AE478" s="1">
        <f t="shared" si="290"/>
        <v>1</v>
      </c>
      <c r="AF478" s="1">
        <f t="shared" si="275"/>
        <v>0</v>
      </c>
      <c r="AG478" s="1">
        <f t="shared" si="276"/>
        <v>1</v>
      </c>
      <c r="AH478" s="1">
        <f t="shared" si="277"/>
        <v>0</v>
      </c>
      <c r="AI478" s="1">
        <f t="shared" si="278"/>
        <v>1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1458</v>
      </c>
      <c r="E479" s="48" t="s">
        <v>28</v>
      </c>
      <c r="F479" s="48" t="s">
        <v>1459</v>
      </c>
      <c r="G479" s="48" t="s">
        <v>1460</v>
      </c>
      <c r="H479" s="48" t="s">
        <v>354</v>
      </c>
      <c r="I479" s="47" t="s">
        <v>1461</v>
      </c>
      <c r="J479" s="47">
        <v>99</v>
      </c>
      <c r="K479" s="49" t="s">
        <v>712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 t="s">
        <v>1931</v>
      </c>
      <c r="S479" s="1">
        <f t="shared" si="279"/>
        <v>0</v>
      </c>
      <c r="T479" s="1">
        <f t="shared" si="280"/>
        <v>0</v>
      </c>
      <c r="U479" s="1">
        <f t="shared" si="281"/>
        <v>0</v>
      </c>
      <c r="V479" s="1">
        <f t="shared" si="282"/>
        <v>0</v>
      </c>
      <c r="W479" s="1">
        <f t="shared" si="283"/>
        <v>0</v>
      </c>
      <c r="X479" s="1">
        <f t="shared" si="284"/>
        <v>0</v>
      </c>
      <c r="Y479" s="1">
        <f t="shared" si="285"/>
        <v>0</v>
      </c>
      <c r="Z479" s="1">
        <f t="shared" si="286"/>
        <v>0</v>
      </c>
      <c r="AA479" s="1">
        <f t="shared" si="287"/>
        <v>0</v>
      </c>
      <c r="AB479" s="1">
        <f t="shared" si="288"/>
        <v>0</v>
      </c>
      <c r="AD479" s="1">
        <f t="shared" si="289"/>
        <v>0</v>
      </c>
      <c r="AE479" s="1">
        <f t="shared" si="290"/>
        <v>0</v>
      </c>
      <c r="AF479" s="1">
        <f t="shared" si="275"/>
        <v>0</v>
      </c>
      <c r="AG479" s="1">
        <f t="shared" si="276"/>
        <v>0</v>
      </c>
      <c r="AH479" s="1">
        <f t="shared" si="277"/>
        <v>0</v>
      </c>
      <c r="AI479" s="1">
        <f t="shared" si="278"/>
        <v>1</v>
      </c>
    </row>
    <row r="480" spans="1:35" ht="14.25" customHeight="1" x14ac:dyDescent="0.25">
      <c r="A480" s="34">
        <v>0</v>
      </c>
      <c r="B480" s="34">
        <v>2</v>
      </c>
      <c r="C480" s="34">
        <v>7</v>
      </c>
      <c r="D480" s="35" t="s">
        <v>43</v>
      </c>
      <c r="E480" s="35" t="s">
        <v>541</v>
      </c>
      <c r="F480" s="35" t="s">
        <v>575</v>
      </c>
      <c r="G480" s="35" t="s">
        <v>235</v>
      </c>
      <c r="H480" s="35" t="s">
        <v>354</v>
      </c>
      <c r="I480" s="34" t="s">
        <v>582</v>
      </c>
      <c r="J480" s="34">
        <v>99</v>
      </c>
      <c r="K480" s="36" t="s">
        <v>712</v>
      </c>
      <c r="L480" s="36" t="s">
        <v>729</v>
      </c>
      <c r="M480" s="37" t="s">
        <v>1440</v>
      </c>
      <c r="N480" s="37" t="s">
        <v>1748</v>
      </c>
      <c r="O480" s="38">
        <v>1</v>
      </c>
      <c r="P480" s="38"/>
      <c r="Q480" s="35"/>
      <c r="S480" s="1">
        <f t="shared" si="279"/>
        <v>0</v>
      </c>
      <c r="T480" s="1">
        <f t="shared" si="280"/>
        <v>0</v>
      </c>
      <c r="U480" s="1">
        <f t="shared" si="281"/>
        <v>0</v>
      </c>
      <c r="V480" s="1">
        <f t="shared" si="282"/>
        <v>0</v>
      </c>
      <c r="W480" s="1">
        <f t="shared" si="283"/>
        <v>0</v>
      </c>
      <c r="X480" s="1">
        <f t="shared" si="284"/>
        <v>0</v>
      </c>
      <c r="Y480" s="1">
        <f t="shared" si="285"/>
        <v>0</v>
      </c>
      <c r="Z480" s="1">
        <f t="shared" si="286"/>
        <v>0</v>
      </c>
      <c r="AA480" s="1">
        <f t="shared" si="287"/>
        <v>0</v>
      </c>
      <c r="AB480" s="1">
        <f t="shared" si="288"/>
        <v>0</v>
      </c>
      <c r="AD480" s="1">
        <f t="shared" si="289"/>
        <v>0</v>
      </c>
      <c r="AE480" s="1">
        <f t="shared" si="290"/>
        <v>1</v>
      </c>
      <c r="AF480" s="1">
        <f t="shared" si="275"/>
        <v>0</v>
      </c>
      <c r="AG480" s="1">
        <f t="shared" si="276"/>
        <v>1</v>
      </c>
      <c r="AH480" s="1">
        <f t="shared" si="277"/>
        <v>0</v>
      </c>
      <c r="AI480" s="1">
        <f t="shared" si="278"/>
        <v>1</v>
      </c>
    </row>
    <row r="481" spans="1:35" ht="14.25" customHeight="1" x14ac:dyDescent="0.25">
      <c r="A481" s="34">
        <v>1</v>
      </c>
      <c r="B481" s="34">
        <v>2</v>
      </c>
      <c r="C481" s="34">
        <v>7</v>
      </c>
      <c r="D481" s="35" t="s">
        <v>43</v>
      </c>
      <c r="E481" s="35" t="s">
        <v>541</v>
      </c>
      <c r="F481" s="35" t="s">
        <v>271</v>
      </c>
      <c r="G481" s="35" t="s">
        <v>180</v>
      </c>
      <c r="H481" s="35" t="s">
        <v>354</v>
      </c>
      <c r="I481" s="34" t="s">
        <v>426</v>
      </c>
      <c r="J481" s="34">
        <v>10</v>
      </c>
      <c r="K481" s="36" t="s">
        <v>712</v>
      </c>
      <c r="L481" s="36" t="s">
        <v>729</v>
      </c>
      <c r="M481" s="37" t="s">
        <v>1440</v>
      </c>
      <c r="N481" s="37" t="s">
        <v>1748</v>
      </c>
      <c r="O481" s="38">
        <v>1</v>
      </c>
      <c r="P481" s="38"/>
      <c r="Q481" s="35"/>
      <c r="S481" s="1">
        <f t="shared" si="279"/>
        <v>0</v>
      </c>
      <c r="T481" s="1">
        <f t="shared" si="280"/>
        <v>0</v>
      </c>
      <c r="U481" s="1">
        <f t="shared" si="281"/>
        <v>0</v>
      </c>
      <c r="V481" s="1">
        <f t="shared" si="282"/>
        <v>0</v>
      </c>
      <c r="W481" s="1">
        <f t="shared" si="283"/>
        <v>0</v>
      </c>
      <c r="X481" s="1">
        <f t="shared" si="284"/>
        <v>0</v>
      </c>
      <c r="Y481" s="1">
        <f t="shared" si="285"/>
        <v>0</v>
      </c>
      <c r="Z481" s="1">
        <f t="shared" si="286"/>
        <v>0</v>
      </c>
      <c r="AA481" s="1">
        <f t="shared" si="287"/>
        <v>0</v>
      </c>
      <c r="AB481" s="1">
        <f t="shared" si="288"/>
        <v>1</v>
      </c>
      <c r="AD481" s="1">
        <f t="shared" si="289"/>
        <v>0</v>
      </c>
      <c r="AE481" s="1">
        <f t="shared" si="290"/>
        <v>1</v>
      </c>
      <c r="AF481" s="1">
        <f t="shared" si="275"/>
        <v>0</v>
      </c>
      <c r="AG481" s="1">
        <f t="shared" si="276"/>
        <v>0</v>
      </c>
      <c r="AH481" s="1">
        <f t="shared" si="277"/>
        <v>0</v>
      </c>
      <c r="AI481" s="1">
        <f t="shared" si="278"/>
        <v>0</v>
      </c>
    </row>
    <row r="482" spans="1:35" ht="14.25" customHeight="1" x14ac:dyDescent="0.25">
      <c r="A482" s="34">
        <v>1</v>
      </c>
      <c r="B482" s="34">
        <v>2</v>
      </c>
      <c r="C482" s="34">
        <v>7</v>
      </c>
      <c r="D482" s="35" t="s">
        <v>43</v>
      </c>
      <c r="E482" s="35" t="s">
        <v>541</v>
      </c>
      <c r="F482" s="35" t="s">
        <v>272</v>
      </c>
      <c r="G482" s="35" t="s">
        <v>39</v>
      </c>
      <c r="H482" s="35" t="s">
        <v>354</v>
      </c>
      <c r="I482" s="34" t="s">
        <v>427</v>
      </c>
      <c r="J482" s="34">
        <v>5</v>
      </c>
      <c r="K482" s="36" t="s">
        <v>712</v>
      </c>
      <c r="L482" s="36" t="s">
        <v>729</v>
      </c>
      <c r="M482" s="37" t="s">
        <v>1440</v>
      </c>
      <c r="N482" s="37" t="s">
        <v>1748</v>
      </c>
      <c r="O482" s="38">
        <v>1</v>
      </c>
      <c r="P482" s="38"/>
      <c r="Q482" s="35"/>
      <c r="S482" s="1">
        <f t="shared" si="279"/>
        <v>0</v>
      </c>
      <c r="T482" s="1">
        <f t="shared" si="280"/>
        <v>0</v>
      </c>
      <c r="U482" s="1">
        <f t="shared" si="281"/>
        <v>0</v>
      </c>
      <c r="V482" s="1">
        <f t="shared" si="282"/>
        <v>0</v>
      </c>
      <c r="W482" s="1">
        <f t="shared" si="283"/>
        <v>1</v>
      </c>
      <c r="X482" s="1">
        <f t="shared" si="284"/>
        <v>0</v>
      </c>
      <c r="Y482" s="1">
        <f t="shared" si="285"/>
        <v>0</v>
      </c>
      <c r="Z482" s="1">
        <f t="shared" si="286"/>
        <v>0</v>
      </c>
      <c r="AA482" s="1">
        <f t="shared" si="287"/>
        <v>0</v>
      </c>
      <c r="AB482" s="1">
        <f t="shared" si="288"/>
        <v>0</v>
      </c>
      <c r="AD482" s="1">
        <f t="shared" si="289"/>
        <v>0</v>
      </c>
      <c r="AE482" s="1">
        <f t="shared" si="290"/>
        <v>1</v>
      </c>
      <c r="AF482" s="1">
        <f t="shared" si="275"/>
        <v>0</v>
      </c>
      <c r="AG482" s="1">
        <f t="shared" si="276"/>
        <v>0</v>
      </c>
      <c r="AH482" s="1">
        <f t="shared" si="277"/>
        <v>0</v>
      </c>
      <c r="AI482" s="1">
        <f t="shared" si="278"/>
        <v>0</v>
      </c>
    </row>
    <row r="483" spans="1:35" ht="14.25" customHeight="1" x14ac:dyDescent="0.25">
      <c r="A483" s="34">
        <v>1</v>
      </c>
      <c r="B483" s="34">
        <v>2</v>
      </c>
      <c r="C483" s="34">
        <v>7</v>
      </c>
      <c r="D483" s="35" t="s">
        <v>43</v>
      </c>
      <c r="E483" s="35" t="s">
        <v>541</v>
      </c>
      <c r="F483" s="35" t="s">
        <v>276</v>
      </c>
      <c r="G483" s="35" t="s">
        <v>194</v>
      </c>
      <c r="H483" s="35" t="s">
        <v>354</v>
      </c>
      <c r="I483" s="34" t="s">
        <v>431</v>
      </c>
      <c r="J483" s="34">
        <v>9</v>
      </c>
      <c r="K483" s="36" t="s">
        <v>712</v>
      </c>
      <c r="L483" s="36" t="s">
        <v>729</v>
      </c>
      <c r="M483" s="37" t="s">
        <v>1440</v>
      </c>
      <c r="N483" s="37" t="s">
        <v>1748</v>
      </c>
      <c r="O483" s="38">
        <v>1</v>
      </c>
      <c r="P483" s="38"/>
      <c r="Q483" s="35"/>
      <c r="S483" s="1">
        <f t="shared" si="279"/>
        <v>0</v>
      </c>
      <c r="T483" s="1">
        <f t="shared" si="280"/>
        <v>0</v>
      </c>
      <c r="U483" s="1">
        <f t="shared" si="281"/>
        <v>0</v>
      </c>
      <c r="V483" s="1">
        <f t="shared" si="282"/>
        <v>0</v>
      </c>
      <c r="W483" s="1">
        <f t="shared" si="283"/>
        <v>0</v>
      </c>
      <c r="X483" s="1">
        <f t="shared" si="284"/>
        <v>0</v>
      </c>
      <c r="Y483" s="1">
        <f t="shared" si="285"/>
        <v>0</v>
      </c>
      <c r="Z483" s="1">
        <f t="shared" si="286"/>
        <v>0</v>
      </c>
      <c r="AA483" s="1">
        <f t="shared" si="287"/>
        <v>1</v>
      </c>
      <c r="AB483" s="1">
        <f t="shared" si="288"/>
        <v>0</v>
      </c>
      <c r="AD483" s="1">
        <f t="shared" si="289"/>
        <v>0</v>
      </c>
      <c r="AE483" s="1">
        <f t="shared" si="290"/>
        <v>1</v>
      </c>
      <c r="AF483" s="1">
        <f t="shared" si="275"/>
        <v>0</v>
      </c>
      <c r="AG483" s="1">
        <f t="shared" si="276"/>
        <v>0</v>
      </c>
      <c r="AH483" s="1">
        <f t="shared" si="277"/>
        <v>0</v>
      </c>
      <c r="AI483" s="1">
        <f t="shared" si="278"/>
        <v>0</v>
      </c>
    </row>
    <row r="484" spans="1:35" ht="14.25" customHeight="1" x14ac:dyDescent="0.25">
      <c r="A484" s="47">
        <v>0</v>
      </c>
      <c r="B484" s="47">
        <v>2</v>
      </c>
      <c r="C484" s="47">
        <v>7</v>
      </c>
      <c r="D484" s="48" t="s">
        <v>1561</v>
      </c>
      <c r="E484" s="48" t="s">
        <v>28</v>
      </c>
      <c r="F484" s="48" t="s">
        <v>1562</v>
      </c>
      <c r="G484" s="48" t="s">
        <v>238</v>
      </c>
      <c r="H484" s="48" t="s">
        <v>354</v>
      </c>
      <c r="I484" s="47" t="s">
        <v>1695</v>
      </c>
      <c r="J484" s="47">
        <v>4</v>
      </c>
      <c r="K484" s="49" t="s">
        <v>713</v>
      </c>
      <c r="L484" s="49" t="s">
        <v>713</v>
      </c>
      <c r="M484" s="50" t="s">
        <v>731</v>
      </c>
      <c r="N484" s="50" t="s">
        <v>1735</v>
      </c>
      <c r="O484" s="51"/>
      <c r="P484" s="51"/>
      <c r="Q484" s="48"/>
      <c r="S484" s="1">
        <f t="shared" ref="S484:S485" si="291">IF(J484=$S$7,1,0)</f>
        <v>0</v>
      </c>
      <c r="T484" s="1">
        <f t="shared" ref="T484:T485" si="292">IF(J484=$T$7,1,0)</f>
        <v>0</v>
      </c>
      <c r="U484" s="1">
        <f t="shared" ref="U484:U485" si="293">IF(J484=$U$7,1,0)</f>
        <v>0</v>
      </c>
      <c r="V484" s="1">
        <f t="shared" ref="V484:V485" si="294">IF(J484=$V$7,1,0)</f>
        <v>1</v>
      </c>
      <c r="W484" s="1">
        <f t="shared" ref="W484:W485" si="295">IF(J484=$W$7,1,0)</f>
        <v>0</v>
      </c>
      <c r="X484" s="1">
        <f t="shared" ref="X484:X485" si="296">IF(J484=$X$7,1,0)</f>
        <v>0</v>
      </c>
      <c r="Y484" s="1">
        <f t="shared" ref="Y484:Y485" si="297">IF(J484=$Y$7,1,0)</f>
        <v>0</v>
      </c>
      <c r="Z484" s="1">
        <f t="shared" ref="Z484:Z485" si="298">IF(J484=$Z$7,1,0)</f>
        <v>0</v>
      </c>
      <c r="AA484" s="1">
        <f t="shared" ref="AA484:AA485" si="299">IF(J484=$AA$7,1,0)</f>
        <v>0</v>
      </c>
      <c r="AB484" s="1">
        <f t="shared" ref="AB484:AB485" si="300">IF(J484=$AB$7,1,0)</f>
        <v>0</v>
      </c>
      <c r="AD484" s="1">
        <f t="shared" ref="AD484:AD485" si="301">+O484*P484</f>
        <v>0</v>
      </c>
      <c r="AE484" s="1">
        <f t="shared" ref="AE484:AE485" si="302">O484*(1-P484)</f>
        <v>0</v>
      </c>
      <c r="AF484" s="1">
        <f t="shared" ref="AF484:AF485" si="303">+O484*P484*(1-A484)</f>
        <v>0</v>
      </c>
      <c r="AG484" s="1">
        <f t="shared" ref="AG484:AG485" si="304">O484*(1-P484)*(1-A484)</f>
        <v>0</v>
      </c>
      <c r="AH484" s="1">
        <f t="shared" ref="AH484:AH485" si="305">+P484*(1-A484)</f>
        <v>0</v>
      </c>
      <c r="AI484" s="1">
        <f t="shared" ref="AI484:AI485" si="306">+(1-A484)*(1-P484)</f>
        <v>1</v>
      </c>
    </row>
    <row r="485" spans="1:35" ht="14.25" customHeight="1" x14ac:dyDescent="0.25">
      <c r="A485" s="47">
        <v>0</v>
      </c>
      <c r="B485" s="47">
        <v>2</v>
      </c>
      <c r="C485" s="47">
        <v>7</v>
      </c>
      <c r="D485" s="48" t="s">
        <v>63</v>
      </c>
      <c r="E485" s="48" t="s">
        <v>44</v>
      </c>
      <c r="F485" s="48" t="s">
        <v>236</v>
      </c>
      <c r="G485" s="48" t="s">
        <v>200</v>
      </c>
      <c r="H485" s="48" t="s">
        <v>354</v>
      </c>
      <c r="I485" s="47" t="s">
        <v>402</v>
      </c>
      <c r="J485" s="47">
        <v>2</v>
      </c>
      <c r="K485" s="49" t="s">
        <v>713</v>
      </c>
      <c r="L485" s="49" t="s">
        <v>722</v>
      </c>
      <c r="M485" s="50" t="s">
        <v>735</v>
      </c>
      <c r="N485" s="50" t="s">
        <v>1735</v>
      </c>
      <c r="O485" s="51"/>
      <c r="P485" s="51"/>
      <c r="Q485" s="48"/>
      <c r="S485" s="1">
        <f t="shared" si="291"/>
        <v>0</v>
      </c>
      <c r="T485" s="1">
        <f t="shared" si="292"/>
        <v>1</v>
      </c>
      <c r="U485" s="1">
        <f t="shared" si="293"/>
        <v>0</v>
      </c>
      <c r="V485" s="1">
        <f t="shared" si="294"/>
        <v>0</v>
      </c>
      <c r="W485" s="1">
        <f t="shared" si="295"/>
        <v>0</v>
      </c>
      <c r="X485" s="1">
        <f t="shared" si="296"/>
        <v>0</v>
      </c>
      <c r="Y485" s="1">
        <f t="shared" si="297"/>
        <v>0</v>
      </c>
      <c r="Z485" s="1">
        <f t="shared" si="298"/>
        <v>0</v>
      </c>
      <c r="AA485" s="1">
        <f t="shared" si="299"/>
        <v>0</v>
      </c>
      <c r="AB485" s="1">
        <f t="shared" si="300"/>
        <v>0</v>
      </c>
      <c r="AD485" s="1">
        <f t="shared" si="301"/>
        <v>0</v>
      </c>
      <c r="AE485" s="1">
        <f t="shared" si="302"/>
        <v>0</v>
      </c>
      <c r="AF485" s="1">
        <f t="shared" si="303"/>
        <v>0</v>
      </c>
      <c r="AG485" s="1">
        <f t="shared" si="304"/>
        <v>0</v>
      </c>
      <c r="AH485" s="1">
        <f t="shared" si="305"/>
        <v>0</v>
      </c>
      <c r="AI485" s="1">
        <f t="shared" si="306"/>
        <v>1</v>
      </c>
    </row>
    <row r="486" spans="1:35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35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35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35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9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9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9"/>
      <c r="N779" s="17"/>
      <c r="Q779" s="16"/>
    </row>
    <row r="780" spans="1:17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M780" s="19"/>
      <c r="N780" s="17"/>
      <c r="Q780" s="16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7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7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7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7"/>
      <c r="N784" s="17"/>
      <c r="Q784" s="16"/>
    </row>
  </sheetData>
  <autoFilter ref="A7:Q485" xr:uid="{AEE30112-88BB-441D-AEFC-A7A733AB1798}">
    <sortState xmlns:xlrd2="http://schemas.microsoft.com/office/spreadsheetml/2017/richdata2" ref="A8:Q459">
      <sortCondition ref="B8:B459"/>
      <sortCondition ref="C8:C459"/>
      <sortCondition ref="D8:D459"/>
      <sortCondition ref="A8:A459"/>
    </sortState>
  </autoFilter>
  <sortState xmlns:xlrd2="http://schemas.microsoft.com/office/spreadsheetml/2017/richdata2" ref="A8:Q485">
    <sortCondition ref="B8:B485"/>
    <sortCondition ref="C8:C485"/>
    <sortCondition ref="D8:D485"/>
    <sortCondition ref="A8:A48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2026-06-21T07:59:40Z</dcterms:modified>
</cp:coreProperties>
</file>