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6563C47-0E27-4918-BCFC-209241B2674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golose'!$A$7:$Q$499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6" l="1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T55" i="6"/>
  <c r="U55" i="6"/>
  <c r="V55" i="6"/>
  <c r="W55" i="6"/>
  <c r="X55" i="6"/>
  <c r="Y55" i="6"/>
  <c r="Z55" i="6"/>
  <c r="AA55" i="6"/>
  <c r="AB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112" i="6" l="1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117" i="6"/>
  <c r="T124" i="6"/>
  <c r="T137" i="6"/>
  <c r="T164" i="6"/>
  <c r="T129" i="6"/>
  <c r="T140" i="6"/>
  <c r="T100" i="6"/>
  <c r="T15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155" i="6"/>
  <c r="T151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375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419" i="6"/>
  <c r="T9" i="6"/>
  <c r="T11" i="6"/>
  <c r="U7" i="6"/>
  <c r="U11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66" i="6" l="1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6" i="6"/>
  <c r="U297" i="6"/>
  <c r="U298" i="6"/>
  <c r="U115" i="6"/>
  <c r="U124" i="6"/>
  <c r="U137" i="6"/>
  <c r="U148" i="6"/>
  <c r="U152" i="6"/>
  <c r="U156" i="6"/>
  <c r="U160" i="6"/>
  <c r="U144" i="6"/>
  <c r="U129" i="6"/>
  <c r="U140" i="6"/>
  <c r="U24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98" i="6"/>
  <c r="U356" i="6"/>
  <c r="U372" i="6"/>
  <c r="U361" i="6"/>
  <c r="U366" i="6"/>
  <c r="U371" i="6"/>
  <c r="U352" i="6"/>
  <c r="U360" i="6"/>
  <c r="U355" i="6"/>
  <c r="U365" i="6"/>
  <c r="U370" i="6"/>
  <c r="U367" i="6"/>
  <c r="U359" i="6"/>
  <c r="U36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351" i="6"/>
  <c r="U369" i="6"/>
  <c r="U354" i="6"/>
  <c r="U358" i="6"/>
  <c r="U374" i="6"/>
  <c r="U363" i="6"/>
  <c r="U368" i="6"/>
  <c r="U357" i="6"/>
  <c r="U373" i="6"/>
  <c r="U362" i="6"/>
  <c r="U353" i="6"/>
  <c r="U484" i="6"/>
  <c r="U488" i="6"/>
  <c r="U490" i="6"/>
  <c r="U492" i="6"/>
  <c r="U494" i="6"/>
  <c r="U495" i="6"/>
  <c r="U496" i="6"/>
  <c r="U49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5" i="6"/>
  <c r="U486" i="6"/>
  <c r="U487" i="6"/>
  <c r="U489" i="6"/>
  <c r="U491" i="6"/>
  <c r="U493" i="6"/>
  <c r="U497" i="6"/>
  <c r="U499" i="6"/>
  <c r="V7" i="6"/>
  <c r="V112" i="6" s="1"/>
  <c r="U9" i="6"/>
  <c r="U11" i="6"/>
  <c r="U10" i="6"/>
  <c r="U8" i="6"/>
  <c r="U12" i="6"/>
  <c r="F5" i="6"/>
  <c r="G5" i="6"/>
  <c r="E5" i="6"/>
  <c r="H4" i="6"/>
  <c r="H3" i="6"/>
  <c r="T5" i="6"/>
  <c r="V166" i="6" l="1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4" i="6"/>
  <c r="V291" i="6"/>
  <c r="V297" i="6"/>
  <c r="V224" i="6"/>
  <c r="V288" i="6"/>
  <c r="V191" i="6"/>
  <c r="V216" i="6"/>
  <c r="V296" i="6"/>
  <c r="V290" i="6"/>
  <c r="V208" i="6"/>
  <c r="V235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183" i="6"/>
  <c r="V223" i="6"/>
  <c r="V219" i="6"/>
  <c r="V292" i="6"/>
  <c r="V295" i="6"/>
  <c r="V298" i="6"/>
  <c r="V199" i="6"/>
  <c r="V211" i="6"/>
  <c r="V293" i="6"/>
  <c r="V289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165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12" i="6"/>
  <c r="V9" i="6"/>
  <c r="W7" i="6"/>
  <c r="W112" i="6" s="1"/>
  <c r="V10" i="6"/>
  <c r="V11" i="6"/>
  <c r="V8" i="6"/>
  <c r="U5" i="6"/>
  <c r="H5" i="6"/>
  <c r="W166" i="6" l="1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4" i="6"/>
  <c r="W297" i="6"/>
  <c r="W293" i="6"/>
  <c r="W296" i="6"/>
  <c r="W229" i="6"/>
  <c r="W227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295" i="6"/>
  <c r="W353" i="6"/>
  <c r="W367" i="6"/>
  <c r="W356" i="6"/>
  <c r="W372" i="6"/>
  <c r="W361" i="6"/>
  <c r="W366" i="6"/>
  <c r="W371" i="6"/>
  <c r="W352" i="6"/>
  <c r="W360" i="6"/>
  <c r="W355" i="6"/>
  <c r="W365" i="6"/>
  <c r="W370" i="6"/>
  <c r="W298" i="6"/>
  <c r="W359" i="6"/>
  <c r="W364" i="6"/>
  <c r="W351" i="6"/>
  <c r="W369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354" i="6"/>
  <c r="W358" i="6"/>
  <c r="W374" i="6"/>
  <c r="W363" i="6"/>
  <c r="W368" i="6"/>
  <c r="W357" i="6"/>
  <c r="W373" i="6"/>
  <c r="W362" i="6"/>
  <c r="W484" i="6"/>
  <c r="W487" i="6"/>
  <c r="W489" i="6"/>
  <c r="W491" i="6"/>
  <c r="W492" i="6"/>
  <c r="W494" i="6"/>
  <c r="W496" i="6"/>
  <c r="W497" i="6"/>
  <c r="W499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5" i="6"/>
  <c r="W486" i="6"/>
  <c r="W488" i="6"/>
  <c r="W490" i="6"/>
  <c r="W493" i="6"/>
  <c r="W495" i="6"/>
  <c r="W498" i="6"/>
  <c r="W12" i="6"/>
  <c r="W8" i="6"/>
  <c r="V5" i="6"/>
  <c r="X7" i="6"/>
  <c r="X112" i="6" s="1"/>
  <c r="W10" i="6"/>
  <c r="W9" i="6"/>
  <c r="W11" i="6"/>
  <c r="X166" i="6" l="1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1" i="6"/>
  <c r="X294" i="6"/>
  <c r="X297" i="6"/>
  <c r="X288" i="6"/>
  <c r="X293" i="6"/>
  <c r="X231" i="6"/>
  <c r="X233" i="6"/>
  <c r="X290" i="6"/>
  <c r="X296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9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292" i="6"/>
  <c r="X289" i="6"/>
  <c r="X298" i="6"/>
  <c r="X362" i="6"/>
  <c r="X367" i="6"/>
  <c r="X295" i="6"/>
  <c r="X356" i="6"/>
  <c r="X372" i="6"/>
  <c r="X361" i="6"/>
  <c r="X366" i="6"/>
  <c r="X371" i="6"/>
  <c r="X360" i="6"/>
  <c r="X365" i="6"/>
  <c r="X370" i="6"/>
  <c r="X359" i="6"/>
  <c r="X364" i="6"/>
  <c r="X369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358" i="6"/>
  <c r="X374" i="6"/>
  <c r="X363" i="6"/>
  <c r="X368" i="6"/>
  <c r="X357" i="6"/>
  <c r="X373" i="6"/>
  <c r="X497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8" i="6"/>
  <c r="X499" i="6"/>
  <c r="W5" i="6"/>
  <c r="X10" i="6"/>
  <c r="Y7" i="6"/>
  <c r="Y112" i="6" s="1"/>
  <c r="X9" i="6"/>
  <c r="X11" i="6"/>
  <c r="X12" i="6"/>
  <c r="X8" i="6"/>
  <c r="Y166" i="6" l="1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299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219" i="6"/>
  <c r="Y211" i="6"/>
  <c r="Y357" i="6"/>
  <c r="Y373" i="6"/>
  <c r="Y362" i="6"/>
  <c r="Y367" i="6"/>
  <c r="Y368" i="6"/>
  <c r="Y356" i="6"/>
  <c r="Y372" i="6"/>
  <c r="Y361" i="6"/>
  <c r="Y366" i="6"/>
  <c r="Y371" i="6"/>
  <c r="Y360" i="6"/>
  <c r="Y365" i="6"/>
  <c r="Y370" i="6"/>
  <c r="Y359" i="6"/>
  <c r="Y364" i="6"/>
  <c r="Y369" i="6"/>
  <c r="Y375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358" i="6"/>
  <c r="Y374" i="6"/>
  <c r="Y363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12" i="6"/>
  <c r="Y9" i="6"/>
  <c r="Y8" i="6"/>
  <c r="Y10" i="6"/>
  <c r="Y11" i="6"/>
  <c r="Z7" i="6"/>
  <c r="Z112" i="6" s="1"/>
  <c r="X5" i="6"/>
  <c r="Z166" i="6" l="1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1" i="6"/>
  <c r="Z294" i="6"/>
  <c r="Z297" i="6"/>
  <c r="Z293" i="6"/>
  <c r="Z231" i="6"/>
  <c r="Z290" i="6"/>
  <c r="Z296" i="6"/>
  <c r="Z287" i="6"/>
  <c r="Z299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295" i="6"/>
  <c r="Z368" i="6"/>
  <c r="Z363" i="6"/>
  <c r="Z353" i="6"/>
  <c r="Z357" i="6"/>
  <c r="Z373" i="6"/>
  <c r="Z362" i="6"/>
  <c r="Z367" i="6"/>
  <c r="Z356" i="6"/>
  <c r="Z372" i="6"/>
  <c r="Z289" i="6"/>
  <c r="Z361" i="6"/>
  <c r="Z352" i="6"/>
  <c r="Z366" i="6"/>
  <c r="Z407" i="6"/>
  <c r="Z355" i="6"/>
  <c r="Z371" i="6"/>
  <c r="Z410" i="6"/>
  <c r="Z360" i="6"/>
  <c r="Z405" i="6"/>
  <c r="Z298" i="6"/>
  <c r="Z365" i="6"/>
  <c r="Z408" i="6"/>
  <c r="Z370" i="6"/>
  <c r="Z404" i="6"/>
  <c r="Z292" i="6"/>
  <c r="Z351" i="6"/>
  <c r="Z359" i="6"/>
  <c r="Z401" i="6"/>
  <c r="Z288" i="6"/>
  <c r="Z354" i="6"/>
  <c r="Z364" i="6"/>
  <c r="Z402" i="6"/>
  <c r="Z369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3" i="6"/>
  <c r="Z406" i="6"/>
  <c r="Z409" i="6"/>
  <c r="Z411" i="6"/>
  <c r="Z412" i="6"/>
  <c r="Z413" i="6"/>
  <c r="Z414" i="6"/>
  <c r="Z415" i="6"/>
  <c r="Z416" i="6"/>
  <c r="Z417" i="6"/>
  <c r="Z418" i="6"/>
  <c r="Z358" i="6"/>
  <c r="Z374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12" i="6"/>
  <c r="Z8" i="6"/>
  <c r="Y5" i="6"/>
  <c r="AA7" i="6"/>
  <c r="AA112" i="6" s="1"/>
  <c r="Z10" i="6"/>
  <c r="Z9" i="6"/>
  <c r="Z11" i="6"/>
  <c r="AA166" i="6" l="1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148" i="6"/>
  <c r="AA152" i="6"/>
  <c r="AA156" i="6"/>
  <c r="AA160" i="6"/>
  <c r="AA238" i="6"/>
  <c r="AA237" i="6"/>
  <c r="AA234" i="6"/>
  <c r="AA236" i="6"/>
  <c r="AA363" i="6"/>
  <c r="AA299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0" i="6"/>
  <c r="AA332" i="6"/>
  <c r="AA334" i="6"/>
  <c r="AA336" i="6"/>
  <c r="AA338" i="6"/>
  <c r="AA340" i="6"/>
  <c r="AA342" i="6"/>
  <c r="AA344" i="6"/>
  <c r="AA346" i="6"/>
  <c r="AA348" i="6"/>
  <c r="AA350" i="6"/>
  <c r="AA368" i="6"/>
  <c r="AA353" i="6"/>
  <c r="AA357" i="6"/>
  <c r="AA373" i="6"/>
  <c r="AA362" i="6"/>
  <c r="AA367" i="6"/>
  <c r="AA356" i="6"/>
  <c r="AA372" i="6"/>
  <c r="AA361" i="6"/>
  <c r="AA358" i="6"/>
  <c r="AA374" i="6"/>
  <c r="AA352" i="6"/>
  <c r="AA366" i="6"/>
  <c r="AA355" i="6"/>
  <c r="AA371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1" i="6"/>
  <c r="AA333" i="6"/>
  <c r="AA335" i="6"/>
  <c r="AA337" i="6"/>
  <c r="AA339" i="6"/>
  <c r="AA341" i="6"/>
  <c r="AA343" i="6"/>
  <c r="AA345" i="6"/>
  <c r="AA347" i="6"/>
  <c r="AA349" i="6"/>
  <c r="AA360" i="6"/>
  <c r="AA365" i="6"/>
  <c r="AA370" i="6"/>
  <c r="AA351" i="6"/>
  <c r="AA359" i="6"/>
  <c r="AA354" i="6"/>
  <c r="AA364" i="6"/>
  <c r="AA369" i="6"/>
  <c r="AA375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83" i="6"/>
  <c r="AA487" i="6"/>
  <c r="AA491" i="6"/>
  <c r="AA493" i="6"/>
  <c r="AA495" i="6"/>
  <c r="AA497" i="6"/>
  <c r="AA499" i="6"/>
  <c r="AA484" i="6"/>
  <c r="AA488" i="6"/>
  <c r="AA490" i="6"/>
  <c r="AA492" i="6"/>
  <c r="AA494" i="6"/>
  <c r="AA49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5" i="6"/>
  <c r="AA486" i="6"/>
  <c r="AA489" i="6"/>
  <c r="AA496" i="6"/>
  <c r="AA11" i="6"/>
  <c r="Z5" i="6"/>
  <c r="AA8" i="6"/>
  <c r="AA10" i="6"/>
  <c r="AA12" i="6"/>
  <c r="AA9" i="6"/>
  <c r="AB7" i="6"/>
  <c r="AB112" i="6" s="1"/>
  <c r="AB166" i="6" l="1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81" i="6"/>
  <c r="AB388" i="6"/>
  <c r="AB393" i="6"/>
  <c r="AB397" i="6"/>
  <c r="AB401" i="6"/>
  <c r="AB405" i="6"/>
  <c r="AB410" i="6"/>
  <c r="AB415" i="6"/>
  <c r="AB418" i="6"/>
  <c r="AB386" i="6"/>
  <c r="AB412" i="6"/>
  <c r="AB377" i="6"/>
  <c r="AB380" i="6"/>
  <c r="AB383" i="6"/>
  <c r="AB385" i="6"/>
  <c r="AB389" i="6"/>
  <c r="AB394" i="6"/>
  <c r="AB398" i="6"/>
  <c r="AB402" i="6"/>
  <c r="AB406" i="6"/>
  <c r="AB411" i="6"/>
  <c r="AB416" i="6"/>
  <c r="AB378" i="6"/>
  <c r="AB396" i="6"/>
  <c r="AB404" i="6"/>
  <c r="AB408" i="6"/>
  <c r="AB413" i="6"/>
  <c r="AB376" i="6"/>
  <c r="AB392" i="6"/>
  <c r="AB400" i="6"/>
  <c r="AB407" i="6"/>
  <c r="AB414" i="6"/>
  <c r="AB390" i="6"/>
  <c r="AB375" i="6"/>
  <c r="AB379" i="6"/>
  <c r="AB382" i="6"/>
  <c r="AB384" i="6"/>
  <c r="AB387" i="6"/>
  <c r="AB391" i="6"/>
  <c r="AB395" i="6"/>
  <c r="AB399" i="6"/>
  <c r="AB403" i="6"/>
  <c r="AB409" i="6"/>
  <c r="AB417" i="6"/>
  <c r="AB493" i="6"/>
  <c r="AB497" i="6"/>
  <c r="AB491" i="6"/>
  <c r="AB495" i="6"/>
  <c r="AB498" i="6"/>
  <c r="AB499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2" i="6"/>
  <c r="AB494" i="6"/>
  <c r="AB496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<sst xmlns="http://schemas.openxmlformats.org/spreadsheetml/2006/main" count="4791" uniqueCount="2104">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</sst>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8"/>
  <sheetViews>
    <sheetView tabSelected="1" zoomScaleNormal="100" workbookViewId="0">
      <pane ySplit="7" topLeftCell="A47" activePane="bottomLeft" state="frozen"/>
      <selection pane="bottomLeft" activeCell="AD51" sqref="AD51:AI5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119</v>
      </c>
      <c r="G3" s="5">
        <f>+AF6</f>
        <v>114</v>
      </c>
      <c r="H3" s="5">
        <f>+E3-G3</f>
        <v>11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233</v>
      </c>
      <c r="G4" s="7">
        <f>+AG6</f>
        <v>207</v>
      </c>
      <c r="H4" s="5">
        <f>+E4-G4</f>
        <v>121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453</v>
      </c>
      <c r="F5" s="8">
        <f>+F3+F4</f>
        <v>352</v>
      </c>
      <c r="G5" s="8">
        <f>+G3+G4</f>
        <v>321</v>
      </c>
      <c r="H5" s="8">
        <f>+H3+H4</f>
        <v>132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SUM(S8:S2441)</f>
        <v>58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SUM(AD8:AD1710)</f>
        <v>119</v>
      </c>
      <c r="AE6" s="1">
        <f t="shared" si="1"/>
        <v>233</v>
      </c>
      <c r="AF6" s="1">
        <f t="shared" si="1"/>
        <v>114</v>
      </c>
      <c r="AG6" s="1">
        <f t="shared" si="1"/>
        <v>207</v>
      </c>
      <c r="AH6" s="1">
        <f t="shared" si="1"/>
        <v>125</v>
      </c>
      <c r="AI6" s="1">
        <f t="shared" si="1"/>
        <v>328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s="1" customFormat="1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s="1" customFormat="1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s="1" customFormat="1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s="1" customFormat="1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s="1" customFormat="1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s="1" customFormat="1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s="1" customFormat="1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s="1" customFormat="1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s="1" customFormat="1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s="1" customFormat="1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s="1" customFormat="1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s="1" customFormat="1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s="1" customFormat="1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s="1" customFormat="1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s="1" customFormat="1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s="1" customFormat="1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s="1" customFormat="1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s="1" customFormat="1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s="1" customFormat="1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s="1" customFormat="1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s="1" customFormat="1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s="1" customFormat="1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s="1" customFormat="1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s="1" customFormat="1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s="1" customFormat="1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s="1" customFormat="1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s="1" customFormat="1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s="1" customFormat="1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s="1" customFormat="1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s="1" customFormat="1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s="1" customFormat="1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s="1" customFormat="1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s="1" customFormat="1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s="1" customFormat="1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s="1" customFormat="1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s="1" customFormat="1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s="1" customFormat="1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s="1" customFormat="1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s="1" customFormat="1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s="1" customFormat="1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s="1" customFormat="1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s="1" customFormat="1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s="1" customFormat="1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s="1" customFormat="1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s="1" customFormat="1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s="1" customFormat="1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s="1" customFormat="1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s="1" customFormat="1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s="1" customFormat="1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s="1" customFormat="1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s="1" customFormat="1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s="1" customFormat="1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s="1" customFormat="1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s="1" customFormat="1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s="1" customFormat="1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s="1" customFormat="1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s="1" customFormat="1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s="1" customFormat="1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s="1" customFormat="1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s="1" customFormat="1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s="1" customFormat="1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s="1" customFormat="1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s="1" customFormat="1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s="1" customFormat="1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s="1" customFormat="1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s="1" customFormat="1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s="1" customFormat="1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s="1" customFormat="1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s="1" customFormat="1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s="1" customFormat="1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s="1" customFormat="1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s="1" customFormat="1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s="1" customFormat="1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s="1" customFormat="1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s="1" customFormat="1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s="1" customFormat="1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s="1" customFormat="1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s="1" customFormat="1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s="1" customFormat="1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s="1" customFormat="1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s="1" customFormat="1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s="1" customFormat="1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s="1" customFormat="1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s="1" customFormat="1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s="1" customFormat="1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s="1" customFormat="1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s="1" customFormat="1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s="1" customFormat="1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s="1" customFormat="1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s="1" customFormat="1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s="1" customFormat="1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s="1" customFormat="1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s="1" customFormat="1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s="1" customFormat="1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s="1" customFormat="1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s="1" customFormat="1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s="1" customFormat="1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s="1" customFormat="1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s="1" customFormat="1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s="1" customFormat="1" ht="14.25" customHeight="1" x14ac:dyDescent="0.25">
      <c r="A184" s="44">
        <v>0</v>
      </c>
      <c r="B184" s="44">
        <v>1</v>
      </c>
      <c r="C184" s="44">
        <v>3</v>
      </c>
      <c r="D184" s="45" t="s">
        <v>977</v>
      </c>
      <c r="E184" s="45" t="s">
        <v>171</v>
      </c>
      <c r="F184" s="45" t="s">
        <v>980</v>
      </c>
      <c r="G184" s="45" t="s">
        <v>39</v>
      </c>
      <c r="H184" s="45" t="s">
        <v>979</v>
      </c>
      <c r="I184" s="44" t="s">
        <v>978</v>
      </c>
      <c r="J184" s="44">
        <v>14</v>
      </c>
      <c r="K184" s="46" t="s">
        <v>718</v>
      </c>
      <c r="L184" s="46" t="s">
        <v>690</v>
      </c>
      <c r="M184" s="47" t="s">
        <v>958</v>
      </c>
      <c r="N184" s="47" t="s">
        <v>1709</v>
      </c>
      <c r="O184" s="48"/>
      <c r="P184" s="48"/>
      <c r="Q184" s="45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0</v>
      </c>
      <c r="AF184" s="1">
        <f t="shared" si="63"/>
        <v>0</v>
      </c>
      <c r="AG184" s="1">
        <f t="shared" si="64"/>
        <v>0</v>
      </c>
      <c r="AH184" s="1">
        <f t="shared" si="65"/>
        <v>0</v>
      </c>
      <c r="AI184" s="1">
        <f t="shared" si="66"/>
        <v>1</v>
      </c>
    </row>
    <row r="185" spans="1:35" s="1" customFormat="1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s="1" customFormat="1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s="1" customFormat="1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s="1" customFormat="1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s="1" customFormat="1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s="1" customFormat="1" ht="14.25" customHeight="1" x14ac:dyDescent="0.25">
      <c r="A201" s="38">
        <v>0</v>
      </c>
      <c r="B201" s="38">
        <v>1</v>
      </c>
      <c r="C201" s="38">
        <v>5</v>
      </c>
      <c r="D201" s="39" t="s">
        <v>2084</v>
      </c>
      <c r="E201" s="39" t="s">
        <v>165</v>
      </c>
      <c r="F201" s="39" t="s">
        <v>2085</v>
      </c>
      <c r="G201" s="39" t="s">
        <v>193</v>
      </c>
      <c r="H201" s="39" t="s">
        <v>352</v>
      </c>
      <c r="I201" s="38" t="s">
        <v>2086</v>
      </c>
      <c r="J201" s="38">
        <v>9</v>
      </c>
      <c r="K201" s="40" t="s">
        <v>699</v>
      </c>
      <c r="L201" s="40"/>
      <c r="M201" s="41"/>
      <c r="N201" s="42"/>
      <c r="O201" s="43"/>
      <c r="P201" s="43"/>
      <c r="Q201" s="54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0</v>
      </c>
      <c r="AE201" s="1">
        <f t="shared" ref="AE201:AE204" si="106">O201*(1-P201)</f>
        <v>0</v>
      </c>
      <c r="AF201" s="1">
        <f t="shared" ref="AF201:AF204" si="107">+O201*P201*(1-A201)</f>
        <v>0</v>
      </c>
      <c r="AG201" s="1">
        <f t="shared" ref="AG201:AG204" si="108">O201*(1-P201)*(1-A201)</f>
        <v>0</v>
      </c>
      <c r="AH201" s="1">
        <f t="shared" ref="AH201:AH204" si="109">+P201*(1-A201)</f>
        <v>0</v>
      </c>
      <c r="AI201" s="1">
        <f t="shared" ref="AI201:AI204" si="110">+(1-A201)*(1-P201)</f>
        <v>1</v>
      </c>
    </row>
    <row r="202" spans="1:35" s="1" customFormat="1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s="1" customFormat="1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s="1" customFormat="1" ht="14.25" customHeight="1" x14ac:dyDescent="0.25">
      <c r="A209" s="44">
        <v>0</v>
      </c>
      <c r="B209" s="44">
        <v>1</v>
      </c>
      <c r="C209" s="44">
        <v>5</v>
      </c>
      <c r="D209" s="45" t="s">
        <v>881</v>
      </c>
      <c r="E209" s="45" t="s">
        <v>882</v>
      </c>
      <c r="F209" s="45" t="s">
        <v>923</v>
      </c>
      <c r="G209" s="45" t="s">
        <v>39</v>
      </c>
      <c r="H209" s="45" t="s">
        <v>883</v>
      </c>
      <c r="I209" s="44" t="s">
        <v>884</v>
      </c>
      <c r="J209" s="44">
        <v>17</v>
      </c>
      <c r="K209" s="46" t="s">
        <v>699</v>
      </c>
      <c r="L209" s="46" t="s">
        <v>693</v>
      </c>
      <c r="M209" s="47" t="s">
        <v>957</v>
      </c>
      <c r="N209" s="47" t="s">
        <v>1715</v>
      </c>
      <c r="O209" s="48"/>
      <c r="P209" s="48"/>
      <c r="Q209" s="45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0</v>
      </c>
      <c r="AF209" s="1">
        <f t="shared" ref="AF209:AF272" si="111">+O209*P209*(1-A209)</f>
        <v>0</v>
      </c>
      <c r="AG209" s="1">
        <f t="shared" ref="AG209:AG272" si="112">O209*(1-P209)*(1-A209)</f>
        <v>0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s="1" customFormat="1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s="1" customFormat="1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s="1" customFormat="1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s="1" customFormat="1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s="1" customFormat="1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s="1" customFormat="1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s="1" customFormat="1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s="1" customFormat="1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s="1" customFormat="1" ht="14.25" customHeight="1" x14ac:dyDescent="0.25">
      <c r="A244" s="44">
        <v>0</v>
      </c>
      <c r="B244" s="44">
        <v>1</v>
      </c>
      <c r="C244" s="44">
        <v>6</v>
      </c>
      <c r="D244" s="45" t="s">
        <v>2043</v>
      </c>
      <c r="E244" s="45" t="s">
        <v>2044</v>
      </c>
      <c r="F244" s="45" t="s">
        <v>2045</v>
      </c>
      <c r="G244" s="45" t="s">
        <v>207</v>
      </c>
      <c r="H244" s="45" t="s">
        <v>352</v>
      </c>
      <c r="I244" s="44" t="s">
        <v>2046</v>
      </c>
      <c r="J244" s="44">
        <v>3</v>
      </c>
      <c r="K244" s="46" t="s">
        <v>699</v>
      </c>
      <c r="L244" s="46">
        <v>30</v>
      </c>
      <c r="M244" s="47" t="s">
        <v>2047</v>
      </c>
      <c r="N244" s="47" t="s">
        <v>1783</v>
      </c>
      <c r="O244" s="48"/>
      <c r="P244" s="48"/>
      <c r="Q244" s="45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s="1" customFormat="1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s="1" customFormat="1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s="1" customFormat="1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s="1" customFormat="1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s="1" customFormat="1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s="1" customFormat="1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s="1" customFormat="1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s="1" customFormat="1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s="1" customFormat="1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s="1" customFormat="1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5" si="127">+O273*P273*(1-A273)</f>
        <v>0</v>
      </c>
      <c r="AG273" s="1">
        <f t="shared" ref="AG273:AG335" si="128">O273*(1-P273)*(1-A273)</f>
        <v>1</v>
      </c>
      <c r="AH273" s="1">
        <f t="shared" ref="AH273:AH335" si="129">+P273*(1-A273)</f>
        <v>0</v>
      </c>
      <c r="AI273" s="1">
        <f t="shared" ref="AI273:AI335" si="130">+(1-A273)*(1-P273)</f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s="1" customFormat="1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s="1" customFormat="1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39" si="131">IF(J277=$S$7,1,0)</f>
        <v>0</v>
      </c>
      <c r="T277" s="1">
        <f t="shared" ref="T277:T339" si="132">IF(J277=$T$7,1,0)</f>
        <v>0</v>
      </c>
      <c r="U277" s="1">
        <f t="shared" ref="U277:U339" si="133">IF(J277=$U$7,1,0)</f>
        <v>0</v>
      </c>
      <c r="V277" s="1">
        <f t="shared" ref="V277:V339" si="134">IF(J277=$V$7,1,0)</f>
        <v>0</v>
      </c>
      <c r="W277" s="1">
        <f t="shared" ref="W277:W339" si="135">IF(J277=$W$7,1,0)</f>
        <v>0</v>
      </c>
      <c r="X277" s="1">
        <f t="shared" ref="X277:X339" si="136">IF(J277=$X$7,1,0)</f>
        <v>0</v>
      </c>
      <c r="Y277" s="1">
        <f t="shared" ref="Y277:Y339" si="137">IF(J277=$Y$7,1,0)</f>
        <v>0</v>
      </c>
      <c r="Z277" s="1">
        <f t="shared" ref="Z277:Z339" si="138">IF(J277=$Z$7,1,0)</f>
        <v>0</v>
      </c>
      <c r="AA277" s="1">
        <f t="shared" ref="AA277:AA339" si="139">IF(J277=$AA$7,1,0)</f>
        <v>1</v>
      </c>
      <c r="AB277" s="1">
        <f t="shared" ref="AB277:AB339" si="140">IF(J277=$AB$7,1,0)</f>
        <v>0</v>
      </c>
      <c r="AD277" s="1">
        <f t="shared" ref="AD277:AD339" si="141">+O277*P277</f>
        <v>0</v>
      </c>
      <c r="AE277" s="1">
        <f t="shared" ref="AE277:AE339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s="1" customFormat="1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s="1" customFormat="1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s="1" customFormat="1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s="1" customFormat="1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s="1" customFormat="1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532</v>
      </c>
      <c r="E291" s="32" t="s">
        <v>34</v>
      </c>
      <c r="F291" s="32" t="s">
        <v>533</v>
      </c>
      <c r="G291" s="32" t="s">
        <v>219</v>
      </c>
      <c r="H291" s="32" t="s">
        <v>352</v>
      </c>
      <c r="I291" s="31" t="s">
        <v>534</v>
      </c>
      <c r="J291" s="31">
        <v>8</v>
      </c>
      <c r="K291" s="33" t="s">
        <v>709</v>
      </c>
      <c r="L291" s="33" t="s">
        <v>709</v>
      </c>
      <c r="M291" s="34" t="s">
        <v>710</v>
      </c>
      <c r="N291" s="34" t="s">
        <v>1722</v>
      </c>
      <c r="O291" s="35">
        <v>1</v>
      </c>
      <c r="P291" s="35"/>
      <c r="Q291" s="32"/>
      <c r="S291" s="1">
        <f t="shared" si="131"/>
        <v>0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1</v>
      </c>
      <c r="AA291" s="1">
        <f t="shared" si="139"/>
        <v>0</v>
      </c>
      <c r="AB291" s="1">
        <f t="shared" si="140"/>
        <v>0</v>
      </c>
      <c r="AD291" s="1">
        <f t="shared" si="141"/>
        <v>0</v>
      </c>
      <c r="AE291" s="1">
        <f t="shared" si="142"/>
        <v>1</v>
      </c>
      <c r="AF291" s="1">
        <f t="shared" si="127"/>
        <v>0</v>
      </c>
      <c r="AG291" s="1">
        <f t="shared" si="128"/>
        <v>1</v>
      </c>
      <c r="AH291" s="1">
        <f t="shared" si="129"/>
        <v>0</v>
      </c>
      <c r="AI291" s="1">
        <f t="shared" si="130"/>
        <v>1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1270</v>
      </c>
      <c r="E292" s="32" t="s">
        <v>557</v>
      </c>
      <c r="F292" s="32" t="s">
        <v>1271</v>
      </c>
      <c r="G292" s="32" t="s">
        <v>229</v>
      </c>
      <c r="H292" s="32" t="s">
        <v>352</v>
      </c>
      <c r="I292" s="31" t="s">
        <v>1272</v>
      </c>
      <c r="J292" s="31">
        <v>7</v>
      </c>
      <c r="K292" s="33" t="s">
        <v>709</v>
      </c>
      <c r="L292" s="33" t="s">
        <v>709</v>
      </c>
      <c r="M292" s="34" t="s">
        <v>710</v>
      </c>
      <c r="N292" s="34" t="s">
        <v>1730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1</v>
      </c>
      <c r="Z292" s="1">
        <f t="shared" si="138"/>
        <v>0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1306</v>
      </c>
      <c r="E293" s="32" t="s">
        <v>557</v>
      </c>
      <c r="F293" s="32" t="s">
        <v>1958</v>
      </c>
      <c r="G293" s="32" t="s">
        <v>212</v>
      </c>
      <c r="H293" s="32" t="s">
        <v>352</v>
      </c>
      <c r="I293" s="31" t="s">
        <v>1140</v>
      </c>
      <c r="J293" s="31">
        <v>1</v>
      </c>
      <c r="K293" s="33" t="s">
        <v>941</v>
      </c>
      <c r="L293" s="33" t="s">
        <v>709</v>
      </c>
      <c r="M293" s="34" t="s">
        <v>710</v>
      </c>
      <c r="N293" s="34" t="s">
        <v>1735</v>
      </c>
      <c r="O293" s="35">
        <v>1</v>
      </c>
      <c r="P293" s="35"/>
      <c r="Q293" s="32"/>
      <c r="S293" s="1">
        <f t="shared" si="131"/>
        <v>1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0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1307</v>
      </c>
      <c r="E294" s="32" t="s">
        <v>557</v>
      </c>
      <c r="F294" s="32" t="s">
        <v>1135</v>
      </c>
      <c r="G294" s="32" t="s">
        <v>283</v>
      </c>
      <c r="H294" s="32" t="s">
        <v>352</v>
      </c>
      <c r="I294" s="31" t="s">
        <v>1136</v>
      </c>
      <c r="J294" s="31">
        <v>10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0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1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s="1" customFormat="1" ht="14.25" customHeight="1" x14ac:dyDescent="0.25">
      <c r="A295" s="15">
        <v>0</v>
      </c>
      <c r="B295" s="15">
        <v>2</v>
      </c>
      <c r="C295" s="15">
        <v>1</v>
      </c>
      <c r="D295" s="20" t="s">
        <v>2038</v>
      </c>
      <c r="E295" s="20" t="s">
        <v>36</v>
      </c>
      <c r="F295" s="20" t="s">
        <v>2039</v>
      </c>
      <c r="G295" s="20" t="s">
        <v>1458</v>
      </c>
      <c r="H295" s="20" t="s">
        <v>352</v>
      </c>
      <c r="I295" s="21" t="s">
        <v>2041</v>
      </c>
      <c r="J295" s="15">
        <v>99</v>
      </c>
      <c r="K295" s="10" t="s">
        <v>699</v>
      </c>
      <c r="L295" s="10">
        <v>7</v>
      </c>
      <c r="M295" s="19" t="s">
        <v>2040</v>
      </c>
      <c r="N295" s="19"/>
      <c r="Q295" s="20" t="s">
        <v>2042</v>
      </c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0</v>
      </c>
      <c r="AD295" s="1">
        <f t="shared" si="141"/>
        <v>0</v>
      </c>
      <c r="AE295" s="1">
        <f t="shared" si="142"/>
        <v>0</v>
      </c>
      <c r="AF295" s="1">
        <f t="shared" si="127"/>
        <v>0</v>
      </c>
      <c r="AG295" s="1">
        <f t="shared" si="128"/>
        <v>0</v>
      </c>
      <c r="AH295" s="1">
        <f t="shared" si="129"/>
        <v>0</v>
      </c>
      <c r="AI295" s="1">
        <f t="shared" si="130"/>
        <v>1</v>
      </c>
    </row>
    <row r="296" spans="1:35" s="1" customFormat="1" ht="14.25" customHeight="1" x14ac:dyDescent="0.25">
      <c r="A296" s="15">
        <v>0</v>
      </c>
      <c r="B296" s="15">
        <v>2</v>
      </c>
      <c r="C296" s="15">
        <v>1</v>
      </c>
      <c r="D296" s="16" t="s">
        <v>508</v>
      </c>
      <c r="E296" s="16" t="s">
        <v>34</v>
      </c>
      <c r="F296" s="16" t="s">
        <v>507</v>
      </c>
      <c r="G296" s="16" t="s">
        <v>542</v>
      </c>
      <c r="H296" s="16" t="s">
        <v>352</v>
      </c>
      <c r="I296" s="15" t="s">
        <v>1342</v>
      </c>
      <c r="J296" s="15">
        <v>99</v>
      </c>
      <c r="K296" s="10" t="s">
        <v>942</v>
      </c>
      <c r="L296" s="10" t="s">
        <v>709</v>
      </c>
      <c r="M296" s="19" t="s">
        <v>710</v>
      </c>
      <c r="N296" s="19"/>
      <c r="Q296" s="20" t="s">
        <v>1982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1029</v>
      </c>
      <c r="E297" s="32" t="s">
        <v>36</v>
      </c>
      <c r="F297" s="32" t="s">
        <v>1633</v>
      </c>
      <c r="G297" s="32" t="s">
        <v>624</v>
      </c>
      <c r="H297" s="32" t="s">
        <v>352</v>
      </c>
      <c r="I297" s="31" t="s">
        <v>1030</v>
      </c>
      <c r="J297" s="31">
        <v>99</v>
      </c>
      <c r="K297" s="33" t="s">
        <v>946</v>
      </c>
      <c r="L297" s="33" t="s">
        <v>709</v>
      </c>
      <c r="M297" s="34" t="s">
        <v>710</v>
      </c>
      <c r="N297" s="34" t="s">
        <v>1707</v>
      </c>
      <c r="O297" s="35">
        <v>1</v>
      </c>
      <c r="P297" s="35">
        <v>1</v>
      </c>
      <c r="Q297" s="32" t="s">
        <v>1873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1</v>
      </c>
      <c r="AE297" s="1">
        <f t="shared" si="142"/>
        <v>0</v>
      </c>
      <c r="AF297" s="1">
        <f t="shared" si="127"/>
        <v>1</v>
      </c>
      <c r="AG297" s="1">
        <f t="shared" si="128"/>
        <v>0</v>
      </c>
      <c r="AH297" s="1">
        <f t="shared" si="129"/>
        <v>1</v>
      </c>
      <c r="AI297" s="1">
        <f t="shared" si="130"/>
        <v>0</v>
      </c>
    </row>
    <row r="298" spans="1:35" s="1" customFormat="1" ht="14.25" customHeight="1" x14ac:dyDescent="0.25">
      <c r="A298" s="31">
        <v>1</v>
      </c>
      <c r="B298" s="31">
        <v>2</v>
      </c>
      <c r="C298" s="31">
        <v>1</v>
      </c>
      <c r="D298" s="32" t="s">
        <v>49</v>
      </c>
      <c r="E298" s="32" t="s">
        <v>1294</v>
      </c>
      <c r="F298" s="32" t="s">
        <v>190</v>
      </c>
      <c r="G298" s="32" t="s">
        <v>191</v>
      </c>
      <c r="H298" s="32" t="s">
        <v>352</v>
      </c>
      <c r="I298" s="31" t="s">
        <v>384</v>
      </c>
      <c r="J298" s="31">
        <v>99</v>
      </c>
      <c r="K298" s="33" t="s">
        <v>708</v>
      </c>
      <c r="L298" s="33" t="s">
        <v>709</v>
      </c>
      <c r="M298" s="34" t="s">
        <v>710</v>
      </c>
      <c r="N298" s="34" t="s">
        <v>1730</v>
      </c>
      <c r="O298" s="35">
        <v>1</v>
      </c>
      <c r="P298" s="35"/>
      <c r="Q298" s="32"/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0</v>
      </c>
      <c r="AE298" s="1">
        <f t="shared" si="142"/>
        <v>1</v>
      </c>
      <c r="AF298" s="1">
        <f t="shared" si="127"/>
        <v>0</v>
      </c>
      <c r="AG298" s="1">
        <f t="shared" si="128"/>
        <v>0</v>
      </c>
      <c r="AH298" s="1">
        <f t="shared" si="129"/>
        <v>0</v>
      </c>
      <c r="AI298" s="1">
        <f t="shared" si="130"/>
        <v>0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1061</v>
      </c>
      <c r="E299" s="32" t="s">
        <v>1294</v>
      </c>
      <c r="F299" s="32" t="s">
        <v>1076</v>
      </c>
      <c r="G299" s="32" t="s">
        <v>201</v>
      </c>
      <c r="H299" s="32" t="s">
        <v>352</v>
      </c>
      <c r="I299" s="31" t="s">
        <v>384</v>
      </c>
      <c r="J299" s="31">
        <v>10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1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1</v>
      </c>
      <c r="AH299" s="1">
        <f t="shared" si="129"/>
        <v>0</v>
      </c>
      <c r="AI299" s="1">
        <f t="shared" si="130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1253</v>
      </c>
      <c r="E300" s="32" t="s">
        <v>557</v>
      </c>
      <c r="F300" s="32" t="s">
        <v>1254</v>
      </c>
      <c r="G300" s="32" t="s">
        <v>257</v>
      </c>
      <c r="H300" s="32" t="s">
        <v>352</v>
      </c>
      <c r="I300" s="31" t="s">
        <v>1255</v>
      </c>
      <c r="J300" s="31">
        <v>8</v>
      </c>
      <c r="K300" s="33" t="s">
        <v>941</v>
      </c>
      <c r="L300" s="33" t="s">
        <v>709</v>
      </c>
      <c r="M300" s="34" t="s">
        <v>710</v>
      </c>
      <c r="N300" s="34" t="s">
        <v>1722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1</v>
      </c>
      <c r="AA300" s="1">
        <f t="shared" si="139"/>
        <v>0</v>
      </c>
      <c r="AB300" s="1">
        <f t="shared" si="140"/>
        <v>0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s="1" customFormat="1" ht="14.25" customHeight="1" x14ac:dyDescent="0.25">
      <c r="A301" s="44">
        <v>0</v>
      </c>
      <c r="B301" s="44">
        <v>2</v>
      </c>
      <c r="C301" s="44">
        <v>1</v>
      </c>
      <c r="D301" s="45" t="s">
        <v>48</v>
      </c>
      <c r="E301" s="45" t="s">
        <v>574</v>
      </c>
      <c r="F301" s="45" t="s">
        <v>188</v>
      </c>
      <c r="G301" s="45" t="s">
        <v>298</v>
      </c>
      <c r="H301" s="45" t="s">
        <v>352</v>
      </c>
      <c r="I301" s="44" t="s">
        <v>383</v>
      </c>
      <c r="J301" s="44">
        <v>99</v>
      </c>
      <c r="K301" s="46" t="s">
        <v>709</v>
      </c>
      <c r="L301" s="46" t="s">
        <v>709</v>
      </c>
      <c r="M301" s="47" t="s">
        <v>710</v>
      </c>
      <c r="N301" s="47" t="s">
        <v>1721</v>
      </c>
      <c r="O301" s="48"/>
      <c r="P301" s="48"/>
      <c r="Q301" s="45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0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0</v>
      </c>
      <c r="AF301" s="1">
        <f t="shared" si="127"/>
        <v>0</v>
      </c>
      <c r="AG301" s="1">
        <f t="shared" si="128"/>
        <v>0</v>
      </c>
      <c r="AH301" s="1">
        <f t="shared" si="129"/>
        <v>0</v>
      </c>
      <c r="AI301" s="1">
        <f t="shared" si="130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57</v>
      </c>
      <c r="E302" s="32" t="s">
        <v>161</v>
      </c>
      <c r="F302" s="32" t="s">
        <v>662</v>
      </c>
      <c r="G302" s="32" t="s">
        <v>220</v>
      </c>
      <c r="H302" s="32" t="s">
        <v>352</v>
      </c>
      <c r="I302" s="31" t="s">
        <v>394</v>
      </c>
      <c r="J302" s="31">
        <v>99</v>
      </c>
      <c r="K302" s="33" t="s">
        <v>948</v>
      </c>
      <c r="L302" s="33" t="s">
        <v>709</v>
      </c>
      <c r="M302" s="34" t="s">
        <v>710</v>
      </c>
      <c r="N302" s="34" t="s">
        <v>1717</v>
      </c>
      <c r="O302" s="35">
        <v>1</v>
      </c>
      <c r="P302" s="35"/>
      <c r="Q302" s="32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1</v>
      </c>
      <c r="AF302" s="1">
        <f t="shared" si="127"/>
        <v>0</v>
      </c>
      <c r="AG302" s="1">
        <f t="shared" si="128"/>
        <v>1</v>
      </c>
      <c r="AH302" s="1">
        <f t="shared" si="129"/>
        <v>0</v>
      </c>
      <c r="AI302" s="1">
        <f t="shared" si="130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511</v>
      </c>
      <c r="E303" s="32" t="s">
        <v>557</v>
      </c>
      <c r="F303" s="32" t="s">
        <v>228</v>
      </c>
      <c r="G303" s="32" t="s">
        <v>229</v>
      </c>
      <c r="H303" s="32" t="s">
        <v>352</v>
      </c>
      <c r="I303" s="31" t="s">
        <v>398</v>
      </c>
      <c r="J303" s="31">
        <v>7</v>
      </c>
      <c r="K303" s="33" t="s">
        <v>941</v>
      </c>
      <c r="L303" s="33" t="s">
        <v>709</v>
      </c>
      <c r="M303" s="34" t="s">
        <v>710</v>
      </c>
      <c r="N303" s="34" t="s">
        <v>1723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1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s="1" customFormat="1" ht="14.25" customHeight="1" x14ac:dyDescent="0.25">
      <c r="A304" s="44">
        <v>0</v>
      </c>
      <c r="B304" s="44">
        <v>2</v>
      </c>
      <c r="C304" s="44">
        <v>1</v>
      </c>
      <c r="D304" s="45" t="s">
        <v>556</v>
      </c>
      <c r="E304" s="45" t="s">
        <v>557</v>
      </c>
      <c r="F304" s="45" t="s">
        <v>558</v>
      </c>
      <c r="G304" s="45" t="s">
        <v>207</v>
      </c>
      <c r="H304" s="45" t="s">
        <v>352</v>
      </c>
      <c r="I304" s="44" t="s">
        <v>559</v>
      </c>
      <c r="J304" s="44">
        <v>3</v>
      </c>
      <c r="K304" s="46" t="s">
        <v>708</v>
      </c>
      <c r="L304" s="46" t="s">
        <v>709</v>
      </c>
      <c r="M304" s="47" t="s">
        <v>710</v>
      </c>
      <c r="N304" s="47" t="s">
        <v>1721</v>
      </c>
      <c r="O304" s="48"/>
      <c r="P304" s="48"/>
      <c r="Q304" s="45"/>
      <c r="S304" s="1">
        <f t="shared" si="131"/>
        <v>0</v>
      </c>
      <c r="T304" s="1">
        <f t="shared" si="132"/>
        <v>0</v>
      </c>
      <c r="U304" s="1">
        <f t="shared" si="133"/>
        <v>1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0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0</v>
      </c>
      <c r="AF304" s="1">
        <f t="shared" si="127"/>
        <v>0</v>
      </c>
      <c r="AG304" s="1">
        <f t="shared" si="128"/>
        <v>0</v>
      </c>
      <c r="AH304" s="1">
        <f t="shared" si="129"/>
        <v>0</v>
      </c>
      <c r="AI304" s="1">
        <f t="shared" si="130"/>
        <v>1</v>
      </c>
    </row>
    <row r="305" spans="1:35" s="1" customFormat="1" ht="14.25" customHeight="1" x14ac:dyDescent="0.25">
      <c r="A305" s="37">
        <v>0</v>
      </c>
      <c r="B305" s="37">
        <v>2</v>
      </c>
      <c r="C305" s="37">
        <v>1</v>
      </c>
      <c r="D305" s="36" t="s">
        <v>1040</v>
      </c>
      <c r="E305" s="36" t="s">
        <v>32</v>
      </c>
      <c r="F305" s="36" t="s">
        <v>1257</v>
      </c>
      <c r="G305" s="36" t="s">
        <v>531</v>
      </c>
      <c r="H305" s="36" t="s">
        <v>352</v>
      </c>
      <c r="I305" s="37" t="s">
        <v>1258</v>
      </c>
      <c r="J305" s="37">
        <v>6</v>
      </c>
      <c r="K305" s="56" t="s">
        <v>709</v>
      </c>
      <c r="L305" s="33" t="s">
        <v>709</v>
      </c>
      <c r="M305" s="34" t="s">
        <v>710</v>
      </c>
      <c r="N305" s="34" t="s">
        <v>1722</v>
      </c>
      <c r="O305" s="35">
        <v>1</v>
      </c>
      <c r="P305" s="35"/>
      <c r="Q305" s="36"/>
      <c r="S305" s="1">
        <f t="shared" si="131"/>
        <v>0</v>
      </c>
      <c r="T305" s="1">
        <f t="shared" si="132"/>
        <v>0</v>
      </c>
      <c r="U305" s="1">
        <f t="shared" si="133"/>
        <v>0</v>
      </c>
      <c r="V305" s="1">
        <f t="shared" si="134"/>
        <v>0</v>
      </c>
      <c r="W305" s="1">
        <f t="shared" si="135"/>
        <v>0</v>
      </c>
      <c r="X305" s="1">
        <f t="shared" si="136"/>
        <v>1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1</v>
      </c>
      <c r="AF305" s="1">
        <f t="shared" si="127"/>
        <v>0</v>
      </c>
      <c r="AG305" s="1">
        <f t="shared" si="128"/>
        <v>1</v>
      </c>
      <c r="AH305" s="1">
        <f t="shared" si="129"/>
        <v>0</v>
      </c>
      <c r="AI305" s="1">
        <f t="shared" si="130"/>
        <v>1</v>
      </c>
    </row>
    <row r="306" spans="1:35" s="1" customFormat="1" ht="14.25" customHeight="1" x14ac:dyDescent="0.25">
      <c r="A306" s="44">
        <v>0</v>
      </c>
      <c r="B306" s="44">
        <v>2</v>
      </c>
      <c r="C306" s="44">
        <v>1</v>
      </c>
      <c r="D306" s="45" t="s">
        <v>906</v>
      </c>
      <c r="E306" s="45" t="s">
        <v>1313</v>
      </c>
      <c r="F306" s="45" t="s">
        <v>780</v>
      </c>
      <c r="G306" s="45" t="s">
        <v>256</v>
      </c>
      <c r="H306" s="45" t="s">
        <v>352</v>
      </c>
      <c r="I306" s="44" t="s">
        <v>932</v>
      </c>
      <c r="J306" s="44">
        <v>99</v>
      </c>
      <c r="K306" s="46" t="s">
        <v>708</v>
      </c>
      <c r="L306" s="46" t="s">
        <v>709</v>
      </c>
      <c r="M306" s="47" t="s">
        <v>710</v>
      </c>
      <c r="N306" s="47" t="s">
        <v>1708</v>
      </c>
      <c r="O306" s="48"/>
      <c r="P306" s="48"/>
      <c r="Q306" s="45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0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0</v>
      </c>
      <c r="AF306" s="1">
        <f t="shared" si="127"/>
        <v>0</v>
      </c>
      <c r="AG306" s="1">
        <f t="shared" si="128"/>
        <v>0</v>
      </c>
      <c r="AH306" s="1">
        <f t="shared" si="129"/>
        <v>0</v>
      </c>
      <c r="AI306" s="1">
        <f t="shared" si="130"/>
        <v>1</v>
      </c>
    </row>
    <row r="307" spans="1:35" s="1" customFormat="1" ht="14.25" customHeight="1" x14ac:dyDescent="0.25">
      <c r="A307" s="37">
        <v>0</v>
      </c>
      <c r="B307" s="37">
        <v>2</v>
      </c>
      <c r="C307" s="37">
        <v>1</v>
      </c>
      <c r="D307" s="36" t="s">
        <v>1745</v>
      </c>
      <c r="E307" s="36" t="s">
        <v>1746</v>
      </c>
      <c r="F307" s="36" t="s">
        <v>1747</v>
      </c>
      <c r="G307" s="36" t="s">
        <v>179</v>
      </c>
      <c r="H307" s="36" t="s">
        <v>352</v>
      </c>
      <c r="I307" s="37" t="s">
        <v>1748</v>
      </c>
      <c r="J307" s="37"/>
      <c r="K307" s="56" t="s">
        <v>699</v>
      </c>
      <c r="L307" s="33">
        <v>4</v>
      </c>
      <c r="M307" s="34" t="s">
        <v>710</v>
      </c>
      <c r="N307" s="34" t="s">
        <v>1717</v>
      </c>
      <c r="O307" s="35">
        <v>1</v>
      </c>
      <c r="P307" s="35"/>
      <c r="Q307" s="36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1</v>
      </c>
      <c r="AF307" s="1">
        <f t="shared" si="127"/>
        <v>0</v>
      </c>
      <c r="AG307" s="1">
        <f t="shared" si="128"/>
        <v>1</v>
      </c>
      <c r="AH307" s="1">
        <f t="shared" si="129"/>
        <v>0</v>
      </c>
      <c r="AI307" s="1">
        <f t="shared" si="130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615</v>
      </c>
      <c r="E308" s="32" t="s">
        <v>616</v>
      </c>
      <c r="F308" s="32" t="s">
        <v>617</v>
      </c>
      <c r="G308" s="32" t="s">
        <v>618</v>
      </c>
      <c r="H308" s="32" t="s">
        <v>352</v>
      </c>
      <c r="I308" s="31" t="s">
        <v>619</v>
      </c>
      <c r="J308" s="31">
        <v>99</v>
      </c>
      <c r="K308" s="33" t="s">
        <v>708</v>
      </c>
      <c r="L308" s="33" t="s">
        <v>709</v>
      </c>
      <c r="M308" s="34" t="s">
        <v>710</v>
      </c>
      <c r="N308" s="34" t="s">
        <v>1730</v>
      </c>
      <c r="O308" s="35">
        <v>1</v>
      </c>
      <c r="P308" s="35"/>
      <c r="Q308" s="32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1067</v>
      </c>
      <c r="E309" s="32" t="s">
        <v>1314</v>
      </c>
      <c r="F309" s="32" t="s">
        <v>1637</v>
      </c>
      <c r="G309" s="32" t="s">
        <v>189</v>
      </c>
      <c r="H309" s="32" t="s">
        <v>352</v>
      </c>
      <c r="I309" s="31" t="s">
        <v>1835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1717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s="1" customFormat="1" ht="14.25" customHeight="1" x14ac:dyDescent="0.25">
      <c r="A310" s="15">
        <v>0</v>
      </c>
      <c r="B310" s="15">
        <v>2</v>
      </c>
      <c r="C310" s="15">
        <v>1</v>
      </c>
      <c r="D310" s="16" t="s">
        <v>647</v>
      </c>
      <c r="E310" s="16" t="s">
        <v>36</v>
      </c>
      <c r="F310" s="16" t="s">
        <v>663</v>
      </c>
      <c r="G310" s="16" t="s">
        <v>200</v>
      </c>
      <c r="H310" s="16" t="s">
        <v>352</v>
      </c>
      <c r="I310" s="15" t="s">
        <v>992</v>
      </c>
      <c r="J310" s="15">
        <v>99</v>
      </c>
      <c r="K310" s="10" t="s">
        <v>699</v>
      </c>
      <c r="L310" s="10">
        <v>4</v>
      </c>
      <c r="M310" s="19" t="s">
        <v>710</v>
      </c>
      <c r="N310" s="17"/>
      <c r="Q310" s="16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0</v>
      </c>
      <c r="AF310" s="1">
        <f t="shared" si="127"/>
        <v>0</v>
      </c>
      <c r="AG310" s="1">
        <f t="shared" si="128"/>
        <v>0</v>
      </c>
      <c r="AH310" s="1">
        <f t="shared" si="129"/>
        <v>0</v>
      </c>
      <c r="AI310" s="1">
        <f t="shared" si="130"/>
        <v>1</v>
      </c>
    </row>
    <row r="311" spans="1:35" s="1" customFormat="1" ht="14.25" customHeight="1" x14ac:dyDescent="0.25">
      <c r="A311" s="44">
        <v>0</v>
      </c>
      <c r="B311" s="44">
        <v>2</v>
      </c>
      <c r="C311" s="44">
        <v>1</v>
      </c>
      <c r="D311" s="45" t="s">
        <v>1244</v>
      </c>
      <c r="E311" s="45" t="s">
        <v>1245</v>
      </c>
      <c r="F311" s="45" t="s">
        <v>1246</v>
      </c>
      <c r="G311" s="45" t="s">
        <v>1149</v>
      </c>
      <c r="H311" s="45" t="s">
        <v>352</v>
      </c>
      <c r="I311" s="44" t="s">
        <v>1247</v>
      </c>
      <c r="J311" s="44">
        <v>11</v>
      </c>
      <c r="K311" s="46" t="s">
        <v>699</v>
      </c>
      <c r="L311" s="46">
        <v>6</v>
      </c>
      <c r="M311" s="47" t="s">
        <v>1702</v>
      </c>
      <c r="N311" s="47" t="s">
        <v>1783</v>
      </c>
      <c r="O311" s="48"/>
      <c r="P311" s="48"/>
      <c r="Q311" s="45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1110</v>
      </c>
      <c r="E312" s="32" t="s">
        <v>1294</v>
      </c>
      <c r="F312" s="32" t="s">
        <v>1108</v>
      </c>
      <c r="G312" s="32" t="s">
        <v>229</v>
      </c>
      <c r="H312" s="32" t="s">
        <v>352</v>
      </c>
      <c r="I312" s="31" t="s">
        <v>1109</v>
      </c>
      <c r="J312" s="31">
        <v>7</v>
      </c>
      <c r="K312" s="33" t="s">
        <v>709</v>
      </c>
      <c r="L312" s="33" t="s">
        <v>1683</v>
      </c>
      <c r="M312" s="34" t="s">
        <v>710</v>
      </c>
      <c r="N312" s="34" t="s">
        <v>1730</v>
      </c>
      <c r="O312" s="35">
        <v>1</v>
      </c>
      <c r="P312" s="35"/>
      <c r="Q312" s="32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1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1</v>
      </c>
      <c r="AF312" s="1">
        <f t="shared" si="127"/>
        <v>0</v>
      </c>
      <c r="AG312" s="1">
        <f t="shared" si="128"/>
        <v>1</v>
      </c>
      <c r="AH312" s="1">
        <f t="shared" si="129"/>
        <v>0</v>
      </c>
      <c r="AI312" s="1">
        <f t="shared" si="130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995</v>
      </c>
      <c r="E313" s="32" t="s">
        <v>1316</v>
      </c>
      <c r="F313" s="32" t="s">
        <v>996</v>
      </c>
      <c r="G313" s="32" t="s">
        <v>1087</v>
      </c>
      <c r="H313" s="32" t="s">
        <v>352</v>
      </c>
      <c r="I313" s="31" t="s">
        <v>406</v>
      </c>
      <c r="J313" s="31">
        <v>99</v>
      </c>
      <c r="K313" s="33" t="s">
        <v>709</v>
      </c>
      <c r="L313" s="33" t="s">
        <v>709</v>
      </c>
      <c r="M313" s="34" t="s">
        <v>710</v>
      </c>
      <c r="N313" s="34" t="s">
        <v>1717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0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1117</v>
      </c>
      <c r="E314" s="32" t="s">
        <v>557</v>
      </c>
      <c r="F314" s="32" t="s">
        <v>1333</v>
      </c>
      <c r="G314" s="32" t="s">
        <v>264</v>
      </c>
      <c r="H314" s="32" t="s">
        <v>352</v>
      </c>
      <c r="I314" s="31" t="s">
        <v>1118</v>
      </c>
      <c r="J314" s="31">
        <v>8</v>
      </c>
      <c r="K314" s="33" t="s">
        <v>708</v>
      </c>
      <c r="L314" s="33" t="s">
        <v>1683</v>
      </c>
      <c r="M314" s="34" t="s">
        <v>710</v>
      </c>
      <c r="N314" s="34" t="s">
        <v>1722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1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1266</v>
      </c>
      <c r="E315" s="32" t="s">
        <v>1314</v>
      </c>
      <c r="F315" s="32" t="s">
        <v>1263</v>
      </c>
      <c r="G315" s="32" t="s">
        <v>1264</v>
      </c>
      <c r="H315" s="32" t="s">
        <v>352</v>
      </c>
      <c r="I315" s="31" t="s">
        <v>1265</v>
      </c>
      <c r="J315" s="31">
        <v>1</v>
      </c>
      <c r="K315" s="33" t="s">
        <v>708</v>
      </c>
      <c r="L315" s="33" t="s">
        <v>709</v>
      </c>
      <c r="M315" s="34" t="s">
        <v>710</v>
      </c>
      <c r="N315" s="34" t="s">
        <v>1735</v>
      </c>
      <c r="O315" s="35">
        <v>1</v>
      </c>
      <c r="P315" s="35"/>
      <c r="Q315" s="32" t="s">
        <v>1876</v>
      </c>
      <c r="S315" s="1">
        <f t="shared" si="131"/>
        <v>1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0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52</v>
      </c>
      <c r="E316" s="32" t="s">
        <v>32</v>
      </c>
      <c r="F316" s="32" t="s">
        <v>205</v>
      </c>
      <c r="G316" s="32" t="s">
        <v>206</v>
      </c>
      <c r="H316" s="32" t="s">
        <v>352</v>
      </c>
      <c r="I316" s="31" t="s">
        <v>389</v>
      </c>
      <c r="J316" s="31">
        <v>99</v>
      </c>
      <c r="K316" s="33" t="s">
        <v>708</v>
      </c>
      <c r="L316" s="33" t="s">
        <v>709</v>
      </c>
      <c r="M316" s="34" t="s">
        <v>710</v>
      </c>
      <c r="N316" s="34" t="s">
        <v>1920</v>
      </c>
      <c r="O316" s="35">
        <v>1</v>
      </c>
      <c r="P316" s="35"/>
      <c r="Q316" s="32"/>
      <c r="S316" s="1">
        <f t="shared" si="131"/>
        <v>0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73</v>
      </c>
      <c r="E317" s="32" t="s">
        <v>557</v>
      </c>
      <c r="F317" s="32" t="s">
        <v>1037</v>
      </c>
      <c r="G317" s="32" t="s">
        <v>189</v>
      </c>
      <c r="H317" s="32" t="s">
        <v>352</v>
      </c>
      <c r="I317" s="31" t="s">
        <v>419</v>
      </c>
      <c r="J317" s="31">
        <v>99</v>
      </c>
      <c r="K317" s="33" t="s">
        <v>941</v>
      </c>
      <c r="L317" s="33" t="s">
        <v>709</v>
      </c>
      <c r="M317" s="34" t="s">
        <v>710</v>
      </c>
      <c r="N317" s="34" t="s">
        <v>1717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47</v>
      </c>
      <c r="E318" s="32" t="s">
        <v>32</v>
      </c>
      <c r="F318" s="32" t="s">
        <v>186</v>
      </c>
      <c r="G318" s="32" t="s">
        <v>179</v>
      </c>
      <c r="H318" s="32" t="s">
        <v>352</v>
      </c>
      <c r="I318" s="31" t="s">
        <v>381</v>
      </c>
      <c r="J318" s="31">
        <v>10</v>
      </c>
      <c r="K318" s="33" t="s">
        <v>942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1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s="1" customFormat="1" ht="14.25" customHeight="1" x14ac:dyDescent="0.25">
      <c r="A319" s="44">
        <v>0</v>
      </c>
      <c r="B319" s="44">
        <v>2</v>
      </c>
      <c r="C319" s="44">
        <v>1</v>
      </c>
      <c r="D319" s="45" t="s">
        <v>648</v>
      </c>
      <c r="E319" s="45" t="s">
        <v>159</v>
      </c>
      <c r="F319" s="45" t="s">
        <v>187</v>
      </c>
      <c r="G319" s="45" t="s">
        <v>664</v>
      </c>
      <c r="H319" s="45" t="s">
        <v>352</v>
      </c>
      <c r="I319" s="44" t="s">
        <v>382</v>
      </c>
      <c r="J319" s="44">
        <v>99</v>
      </c>
      <c r="K319" s="46" t="s">
        <v>708</v>
      </c>
      <c r="L319" s="46" t="s">
        <v>709</v>
      </c>
      <c r="M319" s="47" t="s">
        <v>710</v>
      </c>
      <c r="N319" s="47" t="s">
        <v>1711</v>
      </c>
      <c r="O319" s="48"/>
      <c r="P319" s="48"/>
      <c r="Q319" s="45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0</v>
      </c>
      <c r="AD319" s="1">
        <f t="shared" si="141"/>
        <v>0</v>
      </c>
      <c r="AE319" s="1">
        <f t="shared" si="142"/>
        <v>0</v>
      </c>
      <c r="AF319" s="1">
        <f t="shared" si="127"/>
        <v>0</v>
      </c>
      <c r="AG319" s="1">
        <f t="shared" si="128"/>
        <v>0</v>
      </c>
      <c r="AH319" s="1">
        <f t="shared" si="129"/>
        <v>0</v>
      </c>
      <c r="AI319" s="1">
        <f t="shared" si="130"/>
        <v>1</v>
      </c>
    </row>
    <row r="320" spans="1:35" s="1" customFormat="1" ht="14.25" customHeight="1" x14ac:dyDescent="0.25">
      <c r="A320" s="38">
        <v>0</v>
      </c>
      <c r="B320" s="38">
        <v>2</v>
      </c>
      <c r="C320" s="38">
        <v>1</v>
      </c>
      <c r="D320" s="39" t="s">
        <v>1284</v>
      </c>
      <c r="E320" s="39" t="s">
        <v>36</v>
      </c>
      <c r="F320" s="39" t="s">
        <v>1285</v>
      </c>
      <c r="G320" s="39" t="s">
        <v>257</v>
      </c>
      <c r="H320" s="39" t="s">
        <v>352</v>
      </c>
      <c r="I320" s="38" t="s">
        <v>1286</v>
      </c>
      <c r="J320" s="38">
        <v>8</v>
      </c>
      <c r="K320" s="40" t="s">
        <v>946</v>
      </c>
      <c r="L320" s="40" t="s">
        <v>709</v>
      </c>
      <c r="M320" s="41" t="s">
        <v>710</v>
      </c>
      <c r="N320" s="42"/>
      <c r="O320" s="43"/>
      <c r="P320" s="43">
        <v>1</v>
      </c>
      <c r="Q320" s="39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1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1</v>
      </c>
      <c r="AI320" s="1">
        <f t="shared" si="130"/>
        <v>0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54</v>
      </c>
      <c r="E321" s="32" t="s">
        <v>557</v>
      </c>
      <c r="F321" s="32" t="s">
        <v>211</v>
      </c>
      <c r="G321" s="32" t="s">
        <v>212</v>
      </c>
      <c r="H321" s="32" t="s">
        <v>352</v>
      </c>
      <c r="I321" s="31" t="s">
        <v>391</v>
      </c>
      <c r="J321" s="31">
        <v>1</v>
      </c>
      <c r="K321" s="33" t="s">
        <v>942</v>
      </c>
      <c r="L321" s="33" t="s">
        <v>709</v>
      </c>
      <c r="M321" s="34" t="s">
        <v>39</v>
      </c>
      <c r="N321" s="34" t="s">
        <v>1717</v>
      </c>
      <c r="O321" s="35">
        <v>1</v>
      </c>
      <c r="P321" s="35"/>
      <c r="Q321" s="32"/>
      <c r="S321" s="1">
        <f t="shared" si="131"/>
        <v>1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0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1</v>
      </c>
      <c r="AF321" s="1">
        <f t="shared" si="127"/>
        <v>0</v>
      </c>
      <c r="AG321" s="1">
        <f t="shared" si="128"/>
        <v>1</v>
      </c>
      <c r="AH321" s="1">
        <f t="shared" si="129"/>
        <v>0</v>
      </c>
      <c r="AI321" s="1">
        <f t="shared" si="130"/>
        <v>1</v>
      </c>
    </row>
    <row r="322" spans="1:35" s="1" customFormat="1" ht="14.25" customHeight="1" x14ac:dyDescent="0.25">
      <c r="A322" s="44">
        <v>0</v>
      </c>
      <c r="B322" s="44">
        <v>2</v>
      </c>
      <c r="C322" s="44">
        <v>1</v>
      </c>
      <c r="D322" s="45" t="s">
        <v>61</v>
      </c>
      <c r="E322" s="45" t="s">
        <v>539</v>
      </c>
      <c r="F322" s="45" t="s">
        <v>232</v>
      </c>
      <c r="G322" s="45" t="s">
        <v>203</v>
      </c>
      <c r="H322" s="45" t="s">
        <v>352</v>
      </c>
      <c r="I322" s="44" t="s">
        <v>399</v>
      </c>
      <c r="J322" s="44">
        <v>7</v>
      </c>
      <c r="K322" s="46" t="s">
        <v>708</v>
      </c>
      <c r="L322" s="46" t="s">
        <v>709</v>
      </c>
      <c r="M322" s="47" t="s">
        <v>710</v>
      </c>
      <c r="N322" s="47" t="s">
        <v>1712</v>
      </c>
      <c r="O322" s="48"/>
      <c r="P322" s="48"/>
      <c r="Q322" s="45"/>
      <c r="S322" s="1">
        <f t="shared" si="131"/>
        <v>0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1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0</v>
      </c>
      <c r="AF322" s="1">
        <f t="shared" si="127"/>
        <v>0</v>
      </c>
      <c r="AG322" s="1">
        <f t="shared" si="128"/>
        <v>0</v>
      </c>
      <c r="AH322" s="1">
        <f t="shared" si="129"/>
        <v>0</v>
      </c>
      <c r="AI322" s="1">
        <f t="shared" si="130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1621</v>
      </c>
      <c r="E323" s="32" t="s">
        <v>557</v>
      </c>
      <c r="F323" s="32" t="s">
        <v>1336</v>
      </c>
      <c r="G323" s="32" t="s">
        <v>1264</v>
      </c>
      <c r="H323" s="32" t="s">
        <v>352</v>
      </c>
      <c r="I323" s="31" t="s">
        <v>1151</v>
      </c>
      <c r="J323" s="31">
        <v>99</v>
      </c>
      <c r="K323" s="33" t="s">
        <v>708</v>
      </c>
      <c r="L323" s="33" t="s">
        <v>709</v>
      </c>
      <c r="M323" s="34" t="s">
        <v>710</v>
      </c>
      <c r="N323" s="34" t="s">
        <v>1722</v>
      </c>
      <c r="O323" s="35">
        <v>1</v>
      </c>
      <c r="P323" s="35"/>
      <c r="Q323" s="32" t="s">
        <v>1875</v>
      </c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0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1</v>
      </c>
      <c r="AF323" s="1">
        <f t="shared" si="127"/>
        <v>0</v>
      </c>
      <c r="AG323" s="1">
        <f t="shared" si="128"/>
        <v>1</v>
      </c>
      <c r="AH323" s="1">
        <f t="shared" si="129"/>
        <v>0</v>
      </c>
      <c r="AI323" s="1">
        <f t="shared" si="130"/>
        <v>1</v>
      </c>
    </row>
    <row r="324" spans="1:35" s="1" customFormat="1" ht="14.25" customHeight="1" x14ac:dyDescent="0.25">
      <c r="A324" s="49">
        <v>0</v>
      </c>
      <c r="B324" s="49">
        <v>2</v>
      </c>
      <c r="C324" s="49">
        <v>1</v>
      </c>
      <c r="D324" s="50" t="s">
        <v>1756</v>
      </c>
      <c r="E324" s="50" t="s">
        <v>1757</v>
      </c>
      <c r="F324" s="50" t="s">
        <v>1758</v>
      </c>
      <c r="G324" s="50" t="s">
        <v>1759</v>
      </c>
      <c r="H324" s="50" t="s">
        <v>352</v>
      </c>
      <c r="I324" s="49"/>
      <c r="J324" s="49">
        <v>1</v>
      </c>
      <c r="K324" s="51" t="s">
        <v>699</v>
      </c>
      <c r="L324" s="51"/>
      <c r="M324" s="52"/>
      <c r="N324" s="52" t="s">
        <v>1717</v>
      </c>
      <c r="O324" s="53">
        <v>1</v>
      </c>
      <c r="P324" s="53"/>
      <c r="Q324" s="55" t="s">
        <v>1883</v>
      </c>
      <c r="S324" s="1">
        <f t="shared" si="131"/>
        <v>1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1298</v>
      </c>
      <c r="E325" s="32" t="s">
        <v>1318</v>
      </c>
      <c r="F325" s="32" t="s">
        <v>1281</v>
      </c>
      <c r="G325" s="32" t="s">
        <v>1282</v>
      </c>
      <c r="H325" s="32" t="s">
        <v>352</v>
      </c>
      <c r="I325" s="31" t="s">
        <v>1283</v>
      </c>
      <c r="J325" s="31">
        <v>99</v>
      </c>
      <c r="K325" s="33" t="s">
        <v>942</v>
      </c>
      <c r="L325" s="33" t="s">
        <v>709</v>
      </c>
      <c r="M325" s="34" t="s">
        <v>710</v>
      </c>
      <c r="N325" s="34" t="s">
        <v>1893</v>
      </c>
      <c r="O325" s="35">
        <v>1</v>
      </c>
      <c r="P325" s="35"/>
      <c r="Q325" s="32"/>
      <c r="S325" s="1">
        <f t="shared" si="131"/>
        <v>0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s="1" customFormat="1" ht="14.25" customHeight="1" x14ac:dyDescent="0.25">
      <c r="A326" s="44">
        <v>0</v>
      </c>
      <c r="B326" s="44">
        <v>2</v>
      </c>
      <c r="C326" s="44">
        <v>1</v>
      </c>
      <c r="D326" s="45" t="s">
        <v>1293</v>
      </c>
      <c r="E326" s="45" t="s">
        <v>159</v>
      </c>
      <c r="F326" s="45" t="s">
        <v>1295</v>
      </c>
      <c r="G326" s="45" t="s">
        <v>1296</v>
      </c>
      <c r="H326" s="45" t="s">
        <v>352</v>
      </c>
      <c r="I326" s="44" t="s">
        <v>1297</v>
      </c>
      <c r="J326" s="44">
        <v>8</v>
      </c>
      <c r="K326" s="46" t="s">
        <v>709</v>
      </c>
      <c r="L326" s="46" t="s">
        <v>709</v>
      </c>
      <c r="M326" s="47" t="s">
        <v>710</v>
      </c>
      <c r="N326" s="47" t="s">
        <v>1721</v>
      </c>
      <c r="O326" s="48"/>
      <c r="P326" s="48"/>
      <c r="Q326" s="45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1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0</v>
      </c>
      <c r="AF326" s="1">
        <f t="shared" si="127"/>
        <v>0</v>
      </c>
      <c r="AG326" s="1">
        <f t="shared" si="128"/>
        <v>0</v>
      </c>
      <c r="AH326" s="1">
        <f t="shared" si="129"/>
        <v>0</v>
      </c>
      <c r="AI326" s="1">
        <f t="shared" si="130"/>
        <v>1</v>
      </c>
    </row>
    <row r="327" spans="1:35" s="1" customFormat="1" ht="14.25" customHeight="1" x14ac:dyDescent="0.25">
      <c r="A327" s="44">
        <v>0</v>
      </c>
      <c r="B327" s="44">
        <v>2</v>
      </c>
      <c r="C327" s="44">
        <v>2</v>
      </c>
      <c r="D327" s="45" t="s">
        <v>1620</v>
      </c>
      <c r="E327" s="45" t="s">
        <v>1152</v>
      </c>
      <c r="F327" s="45" t="s">
        <v>1654</v>
      </c>
      <c r="G327" s="45" t="s">
        <v>189</v>
      </c>
      <c r="H327" s="45" t="s">
        <v>352</v>
      </c>
      <c r="I327" s="44" t="s">
        <v>1581</v>
      </c>
      <c r="J327" s="44">
        <v>99</v>
      </c>
      <c r="K327" s="46" t="s">
        <v>709</v>
      </c>
      <c r="L327" s="46" t="s">
        <v>692</v>
      </c>
      <c r="M327" s="47" t="s">
        <v>1582</v>
      </c>
      <c r="N327" s="47" t="s">
        <v>1712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0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s="1" customFormat="1" ht="14.25" customHeight="1" x14ac:dyDescent="0.25">
      <c r="A328" s="49">
        <v>0</v>
      </c>
      <c r="B328" s="49">
        <v>2</v>
      </c>
      <c r="C328" s="49">
        <v>2</v>
      </c>
      <c r="D328" s="50" t="s">
        <v>65</v>
      </c>
      <c r="E328" s="50" t="s">
        <v>163</v>
      </c>
      <c r="F328" s="50" t="s">
        <v>242</v>
      </c>
      <c r="G328" s="50" t="s">
        <v>199</v>
      </c>
      <c r="H328" s="50" t="s">
        <v>352</v>
      </c>
      <c r="I328" s="49" t="s">
        <v>405</v>
      </c>
      <c r="J328" s="49">
        <v>2</v>
      </c>
      <c r="K328" s="51" t="s">
        <v>942</v>
      </c>
      <c r="L328" s="51" t="s">
        <v>692</v>
      </c>
      <c r="M328" s="52" t="s">
        <v>711</v>
      </c>
      <c r="N328" s="52" t="s">
        <v>1717</v>
      </c>
      <c r="O328" s="53">
        <v>1</v>
      </c>
      <c r="P328" s="53"/>
      <c r="Q328" s="50"/>
      <c r="S328" s="1">
        <f t="shared" si="131"/>
        <v>0</v>
      </c>
      <c r="T328" s="1">
        <f t="shared" si="132"/>
        <v>1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1</v>
      </c>
      <c r="AF328" s="1">
        <f t="shared" si="127"/>
        <v>0</v>
      </c>
      <c r="AG328" s="1">
        <f t="shared" si="128"/>
        <v>1</v>
      </c>
      <c r="AH328" s="1">
        <f t="shared" si="129"/>
        <v>0</v>
      </c>
      <c r="AI328" s="1">
        <f t="shared" si="130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1802</v>
      </c>
      <c r="E329" s="32" t="s">
        <v>1803</v>
      </c>
      <c r="F329" s="32" t="s">
        <v>1804</v>
      </c>
      <c r="G329" s="32" t="s">
        <v>195</v>
      </c>
      <c r="H329" s="32" t="s">
        <v>352</v>
      </c>
      <c r="I329" s="31" t="s">
        <v>1805</v>
      </c>
      <c r="J329" s="31"/>
      <c r="K329" s="33" t="s">
        <v>699</v>
      </c>
      <c r="L329" s="33">
        <v>20</v>
      </c>
      <c r="M329" s="34" t="s">
        <v>1806</v>
      </c>
      <c r="N329" s="34" t="s">
        <v>1722</v>
      </c>
      <c r="O329" s="35">
        <v>1</v>
      </c>
      <c r="P329" s="35"/>
      <c r="Q329" s="32"/>
      <c r="S329" s="1">
        <f t="shared" si="131"/>
        <v>0</v>
      </c>
      <c r="T329" s="1">
        <f t="shared" si="132"/>
        <v>0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1550</v>
      </c>
      <c r="E330" s="32" t="s">
        <v>1551</v>
      </c>
      <c r="F330" s="32" t="s">
        <v>1553</v>
      </c>
      <c r="G330" s="32" t="s">
        <v>1554</v>
      </c>
      <c r="H330" s="32" t="s">
        <v>352</v>
      </c>
      <c r="I330" s="31" t="s">
        <v>1552</v>
      </c>
      <c r="J330" s="31">
        <v>99</v>
      </c>
      <c r="K330" s="33" t="s">
        <v>699</v>
      </c>
      <c r="L330" s="33">
        <v>18</v>
      </c>
      <c r="M330" s="34" t="s">
        <v>1555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s="1" customFormat="1" ht="14.25" customHeight="1" x14ac:dyDescent="0.25">
      <c r="A331" s="49">
        <v>0</v>
      </c>
      <c r="B331" s="49">
        <v>2</v>
      </c>
      <c r="C331" s="49">
        <v>2</v>
      </c>
      <c r="D331" s="50" t="s">
        <v>64</v>
      </c>
      <c r="E331" s="50" t="s">
        <v>33</v>
      </c>
      <c r="F331" s="50" t="s">
        <v>240</v>
      </c>
      <c r="G331" s="50" t="s">
        <v>241</v>
      </c>
      <c r="H331" s="50" t="s">
        <v>352</v>
      </c>
      <c r="I331" s="49" t="s">
        <v>404</v>
      </c>
      <c r="J331" s="49">
        <v>1</v>
      </c>
      <c r="K331" s="51" t="s">
        <v>948</v>
      </c>
      <c r="L331" s="51" t="s">
        <v>712</v>
      </c>
      <c r="M331" s="52" t="s">
        <v>713</v>
      </c>
      <c r="N331" s="52" t="s">
        <v>1717</v>
      </c>
      <c r="O331" s="53">
        <v>1</v>
      </c>
      <c r="P331" s="53"/>
      <c r="Q331" s="50"/>
      <c r="S331" s="1">
        <f t="shared" si="131"/>
        <v>1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s="1" customFormat="1" ht="14.25" customHeight="1" x14ac:dyDescent="0.25">
      <c r="A332" s="49">
        <v>0</v>
      </c>
      <c r="B332" s="49">
        <v>2</v>
      </c>
      <c r="C332" s="49">
        <v>2</v>
      </c>
      <c r="D332" s="50" t="s">
        <v>62</v>
      </c>
      <c r="E332" s="50" t="s">
        <v>1073</v>
      </c>
      <c r="F332" s="50" t="s">
        <v>233</v>
      </c>
      <c r="G332" s="50" t="s">
        <v>234</v>
      </c>
      <c r="H332" s="50" t="s">
        <v>352</v>
      </c>
      <c r="I332" s="49" t="s">
        <v>1343</v>
      </c>
      <c r="J332" s="49">
        <v>99</v>
      </c>
      <c r="K332" s="51" t="s">
        <v>942</v>
      </c>
      <c r="L332" s="51" t="s">
        <v>712</v>
      </c>
      <c r="M332" s="52" t="s">
        <v>714</v>
      </c>
      <c r="N332" s="52" t="s">
        <v>1717</v>
      </c>
      <c r="O332" s="53">
        <v>1</v>
      </c>
      <c r="P332" s="53"/>
      <c r="Q332" s="50"/>
      <c r="S332" s="1">
        <f t="shared" si="131"/>
        <v>0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1690</v>
      </c>
      <c r="E333" s="32" t="s">
        <v>1692</v>
      </c>
      <c r="F333" s="32" t="s">
        <v>1691</v>
      </c>
      <c r="G333" s="32"/>
      <c r="H333" s="32" t="s">
        <v>352</v>
      </c>
      <c r="I333" s="31" t="s">
        <v>1693</v>
      </c>
      <c r="J333" s="31"/>
      <c r="K333" s="33" t="s">
        <v>699</v>
      </c>
      <c r="L333" s="33"/>
      <c r="M333" s="34"/>
      <c r="N333" s="34" t="s">
        <v>1701</v>
      </c>
      <c r="O333" s="35">
        <v>1</v>
      </c>
      <c r="P333" s="35">
        <v>1</v>
      </c>
      <c r="Q333" s="32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1</v>
      </c>
      <c r="AE333" s="1">
        <f t="shared" si="142"/>
        <v>0</v>
      </c>
      <c r="AF333" s="1">
        <f t="shared" si="127"/>
        <v>1</v>
      </c>
      <c r="AG333" s="1">
        <f t="shared" si="128"/>
        <v>0</v>
      </c>
      <c r="AH333" s="1">
        <f t="shared" si="129"/>
        <v>1</v>
      </c>
      <c r="AI333" s="1">
        <f t="shared" si="130"/>
        <v>0</v>
      </c>
    </row>
    <row r="334" spans="1:35" s="1" customFormat="1" ht="14.25" customHeight="1" x14ac:dyDescent="0.25">
      <c r="A334" s="44">
        <v>0</v>
      </c>
      <c r="B334" s="44">
        <v>2</v>
      </c>
      <c r="C334" s="44">
        <v>2</v>
      </c>
      <c r="D334" s="45" t="s">
        <v>778</v>
      </c>
      <c r="E334" s="45" t="s">
        <v>898</v>
      </c>
      <c r="F334" s="45" t="s">
        <v>1545</v>
      </c>
      <c r="G334" s="45" t="s">
        <v>229</v>
      </c>
      <c r="H334" s="45" t="s">
        <v>352</v>
      </c>
      <c r="I334" s="44" t="s">
        <v>1668</v>
      </c>
      <c r="J334" s="44">
        <v>7</v>
      </c>
      <c r="K334" s="46" t="s">
        <v>709</v>
      </c>
      <c r="L334" s="46">
        <v>20</v>
      </c>
      <c r="M334" s="47" t="s">
        <v>39</v>
      </c>
      <c r="N334" s="47" t="s">
        <v>1708</v>
      </c>
      <c r="O334" s="48"/>
      <c r="P334" s="48"/>
      <c r="Q334" s="45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1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0</v>
      </c>
      <c r="AE334" s="1">
        <f t="shared" si="142"/>
        <v>0</v>
      </c>
      <c r="AF334" s="1">
        <f t="shared" si="127"/>
        <v>0</v>
      </c>
      <c r="AG334" s="1">
        <f t="shared" si="128"/>
        <v>0</v>
      </c>
      <c r="AH334" s="1">
        <f t="shared" si="129"/>
        <v>0</v>
      </c>
      <c r="AI334" s="1">
        <f t="shared" si="130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843</v>
      </c>
      <c r="E335" s="32" t="s">
        <v>537</v>
      </c>
      <c r="F335" s="32" t="s">
        <v>845</v>
      </c>
      <c r="G335" s="32" t="s">
        <v>219</v>
      </c>
      <c r="H335" s="32" t="s">
        <v>352</v>
      </c>
      <c r="I335" s="31" t="s">
        <v>846</v>
      </c>
      <c r="J335" s="31">
        <v>8</v>
      </c>
      <c r="K335" s="33" t="s">
        <v>709</v>
      </c>
      <c r="L335" s="33" t="s">
        <v>712</v>
      </c>
      <c r="M335" s="34" t="s">
        <v>1389</v>
      </c>
      <c r="N335" s="34" t="s">
        <v>1717</v>
      </c>
      <c r="O335" s="35">
        <v>1</v>
      </c>
      <c r="P335" s="35"/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0</v>
      </c>
      <c r="Z335" s="1">
        <f t="shared" si="138"/>
        <v>1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s="1" customFormat="1" ht="14.25" customHeight="1" x14ac:dyDescent="0.25">
      <c r="A336" s="31">
        <v>1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1332</v>
      </c>
      <c r="G336" s="32" t="s">
        <v>193</v>
      </c>
      <c r="H336" s="32" t="s">
        <v>352</v>
      </c>
      <c r="I336" s="31" t="s">
        <v>844</v>
      </c>
      <c r="J336" s="31">
        <v>9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0</v>
      </c>
      <c r="AA336" s="1">
        <f t="shared" si="139"/>
        <v>1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ref="AF336:AF399" si="143">+O336*P336*(1-A336)</f>
        <v>0</v>
      </c>
      <c r="AG336" s="1">
        <f t="shared" ref="AG336:AG399" si="144">O336*(1-P336)*(1-A336)</f>
        <v>0</v>
      </c>
      <c r="AH336" s="1">
        <f t="shared" ref="AH336:AH399" si="145">+P336*(1-A336)</f>
        <v>0</v>
      </c>
      <c r="AI336" s="1">
        <f t="shared" ref="AI336:AI399" si="146">+(1-A336)*(1-P336)</f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907</v>
      </c>
      <c r="E337" s="32" t="s">
        <v>776</v>
      </c>
      <c r="F337" s="32" t="s">
        <v>777</v>
      </c>
      <c r="G337" s="32" t="s">
        <v>229</v>
      </c>
      <c r="H337" s="32" t="s">
        <v>352</v>
      </c>
      <c r="I337" s="31" t="s">
        <v>779</v>
      </c>
      <c r="J337" s="31">
        <v>7</v>
      </c>
      <c r="K337" s="33" t="s">
        <v>708</v>
      </c>
      <c r="L337" s="33">
        <v>15</v>
      </c>
      <c r="M337" s="34" t="s">
        <v>39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1</v>
      </c>
      <c r="Z337" s="1">
        <f t="shared" si="138"/>
        <v>0</v>
      </c>
      <c r="AA337" s="1">
        <f t="shared" si="139"/>
        <v>0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si="143"/>
        <v>0</v>
      </c>
      <c r="AG337" s="1">
        <f t="shared" si="144"/>
        <v>1</v>
      </c>
      <c r="AH337" s="1">
        <f t="shared" si="145"/>
        <v>0</v>
      </c>
      <c r="AI337" s="1">
        <f t="shared" si="146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83</v>
      </c>
      <c r="E338" s="32" t="s">
        <v>156</v>
      </c>
      <c r="F338" s="32" t="s">
        <v>1846</v>
      </c>
      <c r="G338" s="32" t="s">
        <v>208</v>
      </c>
      <c r="H338" s="32" t="s">
        <v>352</v>
      </c>
      <c r="I338" s="31" t="s">
        <v>430</v>
      </c>
      <c r="J338" s="31">
        <v>99</v>
      </c>
      <c r="K338" s="33" t="s">
        <v>941</v>
      </c>
      <c r="L338" s="33" t="s">
        <v>700</v>
      </c>
      <c r="M338" s="34" t="s">
        <v>715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0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3"/>
        <v>0</v>
      </c>
      <c r="AG338" s="1">
        <f t="shared" si="144"/>
        <v>1</v>
      </c>
      <c r="AH338" s="1">
        <f t="shared" si="145"/>
        <v>0</v>
      </c>
      <c r="AI338" s="1">
        <f t="shared" si="146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1538</v>
      </c>
      <c r="E339" s="32" t="s">
        <v>1314</v>
      </c>
      <c r="F339" s="32" t="s">
        <v>1539</v>
      </c>
      <c r="G339" s="32" t="s">
        <v>1150</v>
      </c>
      <c r="H339" s="32" t="s">
        <v>352</v>
      </c>
      <c r="I339" s="31" t="s">
        <v>1540</v>
      </c>
      <c r="J339" s="31">
        <v>1</v>
      </c>
      <c r="K339" s="33" t="s">
        <v>709</v>
      </c>
      <c r="L339" s="33" t="s">
        <v>39</v>
      </c>
      <c r="M339" s="34" t="s">
        <v>39</v>
      </c>
      <c r="N339" s="34" t="s">
        <v>1701</v>
      </c>
      <c r="O339" s="35">
        <v>1</v>
      </c>
      <c r="P339" s="35">
        <v>1</v>
      </c>
      <c r="Q339" s="32"/>
      <c r="S339" s="1">
        <f t="shared" si="131"/>
        <v>1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1</v>
      </c>
      <c r="AE339" s="1">
        <f t="shared" si="142"/>
        <v>0</v>
      </c>
      <c r="AF339" s="1">
        <f t="shared" si="143"/>
        <v>1</v>
      </c>
      <c r="AG339" s="1">
        <f t="shared" si="144"/>
        <v>0</v>
      </c>
      <c r="AH339" s="1">
        <f t="shared" si="145"/>
        <v>1</v>
      </c>
      <c r="AI339" s="1">
        <f t="shared" si="146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1718</v>
      </c>
      <c r="E340" s="32" t="s">
        <v>27</v>
      </c>
      <c r="F340" s="32" t="s">
        <v>1031</v>
      </c>
      <c r="G340" s="32" t="s">
        <v>219</v>
      </c>
      <c r="H340" s="32" t="s">
        <v>352</v>
      </c>
      <c r="I340" s="31" t="s">
        <v>1032</v>
      </c>
      <c r="J340" s="31">
        <v>8</v>
      </c>
      <c r="K340" s="33" t="s">
        <v>709</v>
      </c>
      <c r="L340" s="33">
        <v>25</v>
      </c>
      <c r="M340" s="34" t="s">
        <v>1719</v>
      </c>
      <c r="N340" s="34" t="s">
        <v>1701</v>
      </c>
      <c r="O340" s="35">
        <v>1</v>
      </c>
      <c r="P340" s="35">
        <v>1</v>
      </c>
      <c r="Q340" s="32"/>
      <c r="S340" s="1">
        <f t="shared" ref="S340:S403" si="147">IF(J340=$S$7,1,0)</f>
        <v>0</v>
      </c>
      <c r="T340" s="1">
        <f t="shared" ref="T340:T403" si="148">IF(J340=$T$7,1,0)</f>
        <v>0</v>
      </c>
      <c r="U340" s="1">
        <f t="shared" ref="U340:U403" si="149">IF(J340=$U$7,1,0)</f>
        <v>0</v>
      </c>
      <c r="V340" s="1">
        <f t="shared" ref="V340:V403" si="150">IF(J340=$V$7,1,0)</f>
        <v>0</v>
      </c>
      <c r="W340" s="1">
        <f t="shared" ref="W340:W403" si="151">IF(J340=$W$7,1,0)</f>
        <v>0</v>
      </c>
      <c r="X340" s="1">
        <f t="shared" ref="X340:X403" si="152">IF(J340=$X$7,1,0)</f>
        <v>0</v>
      </c>
      <c r="Y340" s="1">
        <f t="shared" ref="Y340:Y403" si="153">IF(J340=$Y$7,1,0)</f>
        <v>0</v>
      </c>
      <c r="Z340" s="1">
        <f t="shared" ref="Z340:Z403" si="154">IF(J340=$Z$7,1,0)</f>
        <v>1</v>
      </c>
      <c r="AA340" s="1">
        <f t="shared" ref="AA340:AA403" si="155">IF(J340=$AA$7,1,0)</f>
        <v>0</v>
      </c>
      <c r="AB340" s="1">
        <f t="shared" ref="AB340:AB403" si="156">IF(J340=$AB$7,1,0)</f>
        <v>0</v>
      </c>
      <c r="AD340" s="1">
        <f t="shared" ref="AD340:AD403" si="157">+O340*P340</f>
        <v>1</v>
      </c>
      <c r="AE340" s="1">
        <f t="shared" ref="AE340:AE403" si="158">O340*(1-P340)</f>
        <v>0</v>
      </c>
      <c r="AF340" s="1">
        <f t="shared" si="143"/>
        <v>1</v>
      </c>
      <c r="AG340" s="1">
        <f t="shared" si="144"/>
        <v>0</v>
      </c>
      <c r="AH340" s="1">
        <f t="shared" si="145"/>
        <v>1</v>
      </c>
      <c r="AI340" s="1">
        <f t="shared" si="146"/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45</v>
      </c>
      <c r="E341" s="32" t="s">
        <v>44</v>
      </c>
      <c r="F341" s="32" t="s">
        <v>665</v>
      </c>
      <c r="G341" s="32" t="s">
        <v>179</v>
      </c>
      <c r="H341" s="32" t="s">
        <v>352</v>
      </c>
      <c r="I341" s="31" t="s">
        <v>937</v>
      </c>
      <c r="J341" s="31">
        <v>10</v>
      </c>
      <c r="K341" s="33" t="s">
        <v>709</v>
      </c>
      <c r="L341" s="33" t="s">
        <v>716</v>
      </c>
      <c r="M341" s="34" t="s">
        <v>717</v>
      </c>
      <c r="N341" s="34" t="s">
        <v>1701</v>
      </c>
      <c r="O341" s="35">
        <v>1</v>
      </c>
      <c r="P341" s="35">
        <v>1</v>
      </c>
      <c r="Q341" s="32"/>
      <c r="S341" s="1">
        <f t="shared" si="147"/>
        <v>0</v>
      </c>
      <c r="T341" s="1">
        <f t="shared" si="148"/>
        <v>0</v>
      </c>
      <c r="U341" s="1">
        <f t="shared" si="149"/>
        <v>0</v>
      </c>
      <c r="V341" s="1">
        <f t="shared" si="150"/>
        <v>0</v>
      </c>
      <c r="W341" s="1">
        <f t="shared" si="151"/>
        <v>0</v>
      </c>
      <c r="X341" s="1">
        <f t="shared" si="152"/>
        <v>0</v>
      </c>
      <c r="Y341" s="1">
        <f t="shared" si="153"/>
        <v>0</v>
      </c>
      <c r="Z341" s="1">
        <f t="shared" si="154"/>
        <v>0</v>
      </c>
      <c r="AA341" s="1">
        <f t="shared" si="155"/>
        <v>0</v>
      </c>
      <c r="AB341" s="1">
        <f t="shared" si="156"/>
        <v>1</v>
      </c>
      <c r="AD341" s="1">
        <f t="shared" si="157"/>
        <v>1</v>
      </c>
      <c r="AE341" s="1">
        <f t="shared" si="158"/>
        <v>0</v>
      </c>
      <c r="AF341" s="1">
        <f t="shared" si="143"/>
        <v>1</v>
      </c>
      <c r="AG341" s="1">
        <f t="shared" si="144"/>
        <v>0</v>
      </c>
      <c r="AH341" s="1">
        <f t="shared" si="145"/>
        <v>1</v>
      </c>
      <c r="AI341" s="1">
        <f t="shared" si="146"/>
        <v>0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1423</v>
      </c>
      <c r="E342" s="32" t="s">
        <v>1627</v>
      </c>
      <c r="F342" s="32" t="s">
        <v>1642</v>
      </c>
      <c r="G342" s="32" t="s">
        <v>229</v>
      </c>
      <c r="H342" s="32" t="s">
        <v>352</v>
      </c>
      <c r="I342" s="31" t="s">
        <v>1424</v>
      </c>
      <c r="J342" s="31">
        <v>99</v>
      </c>
      <c r="K342" s="33" t="s">
        <v>942</v>
      </c>
      <c r="L342" s="33">
        <v>20</v>
      </c>
      <c r="M342" s="34" t="s">
        <v>39</v>
      </c>
      <c r="N342" s="34" t="s">
        <v>1701</v>
      </c>
      <c r="O342" s="35">
        <v>1</v>
      </c>
      <c r="P342" s="35">
        <v>1</v>
      </c>
      <c r="Q342" s="32"/>
      <c r="S342" s="1">
        <f t="shared" si="147"/>
        <v>0</v>
      </c>
      <c r="T342" s="1">
        <f t="shared" si="148"/>
        <v>0</v>
      </c>
      <c r="U342" s="1">
        <f t="shared" si="149"/>
        <v>0</v>
      </c>
      <c r="V342" s="1">
        <f t="shared" si="150"/>
        <v>0</v>
      </c>
      <c r="W342" s="1">
        <f t="shared" si="151"/>
        <v>0</v>
      </c>
      <c r="X342" s="1">
        <f t="shared" si="152"/>
        <v>0</v>
      </c>
      <c r="Y342" s="1">
        <f t="shared" si="153"/>
        <v>0</v>
      </c>
      <c r="Z342" s="1">
        <f t="shared" si="154"/>
        <v>0</v>
      </c>
      <c r="AA342" s="1">
        <f t="shared" si="155"/>
        <v>0</v>
      </c>
      <c r="AB342" s="1">
        <f t="shared" si="156"/>
        <v>0</v>
      </c>
      <c r="AD342" s="1">
        <f t="shared" si="157"/>
        <v>1</v>
      </c>
      <c r="AE342" s="1">
        <f t="shared" si="158"/>
        <v>0</v>
      </c>
      <c r="AF342" s="1">
        <f t="shared" si="143"/>
        <v>1</v>
      </c>
      <c r="AG342" s="1">
        <f t="shared" si="144"/>
        <v>0</v>
      </c>
      <c r="AH342" s="1">
        <f t="shared" si="145"/>
        <v>1</v>
      </c>
      <c r="AI342" s="1">
        <f t="shared" si="146"/>
        <v>0</v>
      </c>
    </row>
    <row r="343" spans="1:35" s="1" customFormat="1" ht="14.25" customHeight="1" x14ac:dyDescent="0.25">
      <c r="A343" s="66">
        <v>0</v>
      </c>
      <c r="B343" s="66">
        <v>2</v>
      </c>
      <c r="C343" s="66">
        <v>2</v>
      </c>
      <c r="D343" s="54" t="s">
        <v>1963</v>
      </c>
      <c r="E343" s="54" t="s">
        <v>2048</v>
      </c>
      <c r="F343" s="54" t="s">
        <v>1964</v>
      </c>
      <c r="G343" s="54" t="s">
        <v>178</v>
      </c>
      <c r="H343" s="54" t="s">
        <v>352</v>
      </c>
      <c r="I343" s="66" t="s">
        <v>1965</v>
      </c>
      <c r="J343" s="66"/>
      <c r="K343" s="66" t="s">
        <v>699</v>
      </c>
      <c r="L343" s="66"/>
      <c r="M343" s="54"/>
      <c r="N343" s="54"/>
      <c r="O343" s="67"/>
      <c r="P343" s="67">
        <v>1</v>
      </c>
      <c r="Q343" s="54"/>
      <c r="S343" s="1">
        <f t="shared" si="147"/>
        <v>0</v>
      </c>
      <c r="T343" s="1">
        <f t="shared" si="148"/>
        <v>0</v>
      </c>
      <c r="U343" s="1">
        <f t="shared" si="149"/>
        <v>0</v>
      </c>
      <c r="V343" s="1">
        <f t="shared" si="150"/>
        <v>0</v>
      </c>
      <c r="W343" s="1">
        <f t="shared" si="151"/>
        <v>0</v>
      </c>
      <c r="X343" s="1">
        <f t="shared" si="152"/>
        <v>0</v>
      </c>
      <c r="Y343" s="1">
        <f t="shared" si="153"/>
        <v>0</v>
      </c>
      <c r="Z343" s="1">
        <f t="shared" si="154"/>
        <v>0</v>
      </c>
      <c r="AA343" s="1">
        <f t="shared" si="155"/>
        <v>0</v>
      </c>
      <c r="AB343" s="1">
        <f t="shared" si="156"/>
        <v>0</v>
      </c>
      <c r="AD343" s="1">
        <f t="shared" si="157"/>
        <v>0</v>
      </c>
      <c r="AE343" s="1">
        <f t="shared" si="158"/>
        <v>0</v>
      </c>
      <c r="AF343" s="1">
        <f t="shared" si="143"/>
        <v>0</v>
      </c>
      <c r="AG343" s="1">
        <f t="shared" si="144"/>
        <v>0</v>
      </c>
      <c r="AH343" s="1">
        <f t="shared" si="145"/>
        <v>1</v>
      </c>
      <c r="AI343" s="1">
        <f t="shared" si="146"/>
        <v>0</v>
      </c>
    </row>
    <row r="344" spans="1:35" s="1" customFormat="1" ht="14.25" customHeight="1" x14ac:dyDescent="0.25">
      <c r="A344" s="49">
        <v>0</v>
      </c>
      <c r="B344" s="49">
        <v>2</v>
      </c>
      <c r="C344" s="49">
        <v>2</v>
      </c>
      <c r="D344" s="50" t="s">
        <v>602</v>
      </c>
      <c r="E344" s="50" t="s">
        <v>603</v>
      </c>
      <c r="F344" s="50" t="s">
        <v>604</v>
      </c>
      <c r="G344" s="50" t="s">
        <v>256</v>
      </c>
      <c r="H344" s="50" t="s">
        <v>352</v>
      </c>
      <c r="I344" s="49" t="s">
        <v>605</v>
      </c>
      <c r="J344" s="49">
        <v>99</v>
      </c>
      <c r="K344" s="51" t="s">
        <v>942</v>
      </c>
      <c r="L344" s="51" t="s">
        <v>700</v>
      </c>
      <c r="M344" s="52" t="s">
        <v>1390</v>
      </c>
      <c r="N344" s="52" t="s">
        <v>1717</v>
      </c>
      <c r="O344" s="53">
        <v>1</v>
      </c>
      <c r="P344" s="53"/>
      <c r="Q344" s="50"/>
      <c r="S344" s="1">
        <f t="shared" si="147"/>
        <v>0</v>
      </c>
      <c r="T344" s="1">
        <f t="shared" si="148"/>
        <v>0</v>
      </c>
      <c r="U344" s="1">
        <f t="shared" si="149"/>
        <v>0</v>
      </c>
      <c r="V344" s="1">
        <f t="shared" si="150"/>
        <v>0</v>
      </c>
      <c r="W344" s="1">
        <f t="shared" si="151"/>
        <v>0</v>
      </c>
      <c r="X344" s="1">
        <f t="shared" si="152"/>
        <v>0</v>
      </c>
      <c r="Y344" s="1">
        <f t="shared" si="153"/>
        <v>0</v>
      </c>
      <c r="Z344" s="1">
        <f t="shared" si="154"/>
        <v>0</v>
      </c>
      <c r="AA344" s="1">
        <f t="shared" si="155"/>
        <v>0</v>
      </c>
      <c r="AB344" s="1">
        <f t="shared" si="156"/>
        <v>0</v>
      </c>
      <c r="AD344" s="1">
        <f t="shared" si="157"/>
        <v>0</v>
      </c>
      <c r="AE344" s="1">
        <f t="shared" si="158"/>
        <v>1</v>
      </c>
      <c r="AF344" s="1">
        <f t="shared" si="143"/>
        <v>0</v>
      </c>
      <c r="AG344" s="1">
        <f t="shared" si="144"/>
        <v>1</v>
      </c>
      <c r="AH344" s="1">
        <f t="shared" si="145"/>
        <v>0</v>
      </c>
      <c r="AI344" s="1">
        <f t="shared" si="146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1899</v>
      </c>
      <c r="E345" s="32" t="s">
        <v>1900</v>
      </c>
      <c r="F345" s="32" t="s">
        <v>1901</v>
      </c>
      <c r="G345" s="32" t="s">
        <v>183</v>
      </c>
      <c r="H345" s="32" t="s">
        <v>352</v>
      </c>
      <c r="I345" s="31" t="s">
        <v>1903</v>
      </c>
      <c r="J345" s="31">
        <v>99</v>
      </c>
      <c r="K345" s="33" t="s">
        <v>699</v>
      </c>
      <c r="L345" s="33"/>
      <c r="M345" s="34"/>
      <c r="N345" s="34" t="s">
        <v>1701</v>
      </c>
      <c r="O345" s="35">
        <v>1</v>
      </c>
      <c r="P345" s="35">
        <v>1</v>
      </c>
      <c r="Q345" s="32" t="s">
        <v>1902</v>
      </c>
      <c r="S345" s="1">
        <f t="shared" si="147"/>
        <v>0</v>
      </c>
      <c r="T345" s="1">
        <f t="shared" si="148"/>
        <v>0</v>
      </c>
      <c r="U345" s="1">
        <f t="shared" si="149"/>
        <v>0</v>
      </c>
      <c r="V345" s="1">
        <f t="shared" si="150"/>
        <v>0</v>
      </c>
      <c r="W345" s="1">
        <f t="shared" si="151"/>
        <v>0</v>
      </c>
      <c r="X345" s="1">
        <f t="shared" si="152"/>
        <v>0</v>
      </c>
      <c r="Y345" s="1">
        <f t="shared" si="153"/>
        <v>0</v>
      </c>
      <c r="Z345" s="1">
        <f t="shared" si="154"/>
        <v>0</v>
      </c>
      <c r="AA345" s="1">
        <f t="shared" si="155"/>
        <v>0</v>
      </c>
      <c r="AB345" s="1">
        <f t="shared" si="156"/>
        <v>0</v>
      </c>
      <c r="AD345" s="1">
        <f t="shared" si="157"/>
        <v>1</v>
      </c>
      <c r="AE345" s="1">
        <f t="shared" si="158"/>
        <v>0</v>
      </c>
      <c r="AF345" s="1">
        <f t="shared" si="143"/>
        <v>1</v>
      </c>
      <c r="AG345" s="1">
        <f t="shared" si="144"/>
        <v>0</v>
      </c>
      <c r="AH345" s="1">
        <f t="shared" si="145"/>
        <v>1</v>
      </c>
      <c r="AI345" s="1">
        <f t="shared" si="146"/>
        <v>0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1617</v>
      </c>
      <c r="E346" s="32" t="s">
        <v>1152</v>
      </c>
      <c r="F346" s="32" t="s">
        <v>1648</v>
      </c>
      <c r="G346" s="32" t="s">
        <v>179</v>
      </c>
      <c r="H346" s="32" t="s">
        <v>352</v>
      </c>
      <c r="I346" s="31" t="s">
        <v>1469</v>
      </c>
      <c r="J346" s="31">
        <v>10</v>
      </c>
      <c r="K346" s="33" t="s">
        <v>708</v>
      </c>
      <c r="L346" s="33">
        <v>15</v>
      </c>
      <c r="M346" s="34" t="s">
        <v>39</v>
      </c>
      <c r="N346" s="34" t="s">
        <v>1763</v>
      </c>
      <c r="O346" s="35">
        <v>1</v>
      </c>
      <c r="P346" s="35"/>
      <c r="Q346" s="32"/>
      <c r="S346" s="1">
        <f t="shared" si="147"/>
        <v>0</v>
      </c>
      <c r="T346" s="1">
        <f t="shared" si="148"/>
        <v>0</v>
      </c>
      <c r="U346" s="1">
        <f t="shared" si="149"/>
        <v>0</v>
      </c>
      <c r="V346" s="1">
        <f t="shared" si="150"/>
        <v>0</v>
      </c>
      <c r="W346" s="1">
        <f t="shared" si="151"/>
        <v>0</v>
      </c>
      <c r="X346" s="1">
        <f t="shared" si="152"/>
        <v>0</v>
      </c>
      <c r="Y346" s="1">
        <f t="shared" si="153"/>
        <v>0</v>
      </c>
      <c r="Z346" s="1">
        <f t="shared" si="154"/>
        <v>0</v>
      </c>
      <c r="AA346" s="1">
        <f t="shared" si="155"/>
        <v>0</v>
      </c>
      <c r="AB346" s="1">
        <f t="shared" si="156"/>
        <v>1</v>
      </c>
      <c r="AD346" s="1">
        <f t="shared" si="157"/>
        <v>0</v>
      </c>
      <c r="AE346" s="1">
        <f t="shared" si="158"/>
        <v>1</v>
      </c>
      <c r="AF346" s="1">
        <f t="shared" si="143"/>
        <v>0</v>
      </c>
      <c r="AG346" s="1">
        <f t="shared" si="144"/>
        <v>1</v>
      </c>
      <c r="AH346" s="1">
        <f t="shared" si="145"/>
        <v>0</v>
      </c>
      <c r="AI346" s="1">
        <f t="shared" si="146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2</v>
      </c>
      <c r="D347" s="45" t="s">
        <v>853</v>
      </c>
      <c r="E347" s="45" t="s">
        <v>540</v>
      </c>
      <c r="F347" s="45" t="s">
        <v>854</v>
      </c>
      <c r="G347" s="45" t="s">
        <v>312</v>
      </c>
      <c r="H347" s="45" t="s">
        <v>352</v>
      </c>
      <c r="I347" s="44" t="s">
        <v>855</v>
      </c>
      <c r="J347" s="44">
        <v>1</v>
      </c>
      <c r="K347" s="46" t="s">
        <v>708</v>
      </c>
      <c r="L347" s="46">
        <v>25</v>
      </c>
      <c r="M347" s="47" t="s">
        <v>39</v>
      </c>
      <c r="N347" s="47" t="s">
        <v>1709</v>
      </c>
      <c r="O347" s="48"/>
      <c r="P347" s="48"/>
      <c r="Q347" s="45"/>
      <c r="S347" s="1">
        <f t="shared" si="147"/>
        <v>1</v>
      </c>
      <c r="T347" s="1">
        <f t="shared" si="148"/>
        <v>0</v>
      </c>
      <c r="U347" s="1">
        <f t="shared" si="149"/>
        <v>0</v>
      </c>
      <c r="V347" s="1">
        <f t="shared" si="150"/>
        <v>0</v>
      </c>
      <c r="W347" s="1">
        <f t="shared" si="151"/>
        <v>0</v>
      </c>
      <c r="X347" s="1">
        <f t="shared" si="152"/>
        <v>0</v>
      </c>
      <c r="Y347" s="1">
        <f t="shared" si="153"/>
        <v>0</v>
      </c>
      <c r="Z347" s="1">
        <f t="shared" si="154"/>
        <v>0</v>
      </c>
      <c r="AA347" s="1">
        <f t="shared" si="155"/>
        <v>0</v>
      </c>
      <c r="AB347" s="1">
        <f t="shared" si="156"/>
        <v>0</v>
      </c>
      <c r="AD347" s="1">
        <f t="shared" si="157"/>
        <v>0</v>
      </c>
      <c r="AE347" s="1">
        <f t="shared" si="158"/>
        <v>0</v>
      </c>
      <c r="AF347" s="1">
        <f t="shared" si="143"/>
        <v>0</v>
      </c>
      <c r="AG347" s="1">
        <f t="shared" si="144"/>
        <v>0</v>
      </c>
      <c r="AH347" s="1">
        <f t="shared" si="145"/>
        <v>0</v>
      </c>
      <c r="AI347" s="1">
        <f t="shared" si="146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3</v>
      </c>
      <c r="D348" s="32" t="s">
        <v>564</v>
      </c>
      <c r="E348" s="32" t="s">
        <v>38</v>
      </c>
      <c r="F348" s="32" t="s">
        <v>236</v>
      </c>
      <c r="G348" s="32" t="s">
        <v>535</v>
      </c>
      <c r="H348" s="32" t="s">
        <v>352</v>
      </c>
      <c r="I348" s="31" t="s">
        <v>401</v>
      </c>
      <c r="J348" s="31">
        <v>1</v>
      </c>
      <c r="K348" s="33" t="s">
        <v>708</v>
      </c>
      <c r="L348" s="33" t="s">
        <v>720</v>
      </c>
      <c r="M348" s="34" t="s">
        <v>721</v>
      </c>
      <c r="N348" s="34" t="s">
        <v>1701</v>
      </c>
      <c r="O348" s="35">
        <v>1</v>
      </c>
      <c r="P348" s="35">
        <v>1</v>
      </c>
      <c r="Q348" s="32"/>
      <c r="S348" s="1">
        <f t="shared" si="147"/>
        <v>1</v>
      </c>
      <c r="T348" s="1">
        <f t="shared" si="148"/>
        <v>0</v>
      </c>
      <c r="U348" s="1">
        <f t="shared" si="149"/>
        <v>0</v>
      </c>
      <c r="V348" s="1">
        <f t="shared" si="150"/>
        <v>0</v>
      </c>
      <c r="W348" s="1">
        <f t="shared" si="151"/>
        <v>0</v>
      </c>
      <c r="X348" s="1">
        <f t="shared" si="152"/>
        <v>0</v>
      </c>
      <c r="Y348" s="1">
        <f t="shared" si="153"/>
        <v>0</v>
      </c>
      <c r="Z348" s="1">
        <f t="shared" si="154"/>
        <v>0</v>
      </c>
      <c r="AA348" s="1">
        <f t="shared" si="155"/>
        <v>0</v>
      </c>
      <c r="AB348" s="1">
        <f t="shared" si="156"/>
        <v>0</v>
      </c>
      <c r="AD348" s="1">
        <f t="shared" si="157"/>
        <v>1</v>
      </c>
      <c r="AE348" s="1">
        <f t="shared" si="158"/>
        <v>0</v>
      </c>
      <c r="AF348" s="1">
        <f t="shared" si="143"/>
        <v>1</v>
      </c>
      <c r="AG348" s="1">
        <f t="shared" si="144"/>
        <v>0</v>
      </c>
      <c r="AH348" s="1">
        <f t="shared" si="145"/>
        <v>1</v>
      </c>
      <c r="AI348" s="1">
        <f t="shared" si="146"/>
        <v>0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841</v>
      </c>
      <c r="E349" s="45" t="s">
        <v>34</v>
      </c>
      <c r="F349" s="45" t="s">
        <v>915</v>
      </c>
      <c r="G349" s="45" t="s">
        <v>634</v>
      </c>
      <c r="H349" s="45" t="s">
        <v>352</v>
      </c>
      <c r="I349" s="44" t="s">
        <v>842</v>
      </c>
      <c r="J349" s="44">
        <v>1</v>
      </c>
      <c r="K349" s="46" t="s">
        <v>941</v>
      </c>
      <c r="L349" s="46" t="s">
        <v>725</v>
      </c>
      <c r="M349" s="47" t="s">
        <v>719</v>
      </c>
      <c r="N349" s="47" t="s">
        <v>1709</v>
      </c>
      <c r="O349" s="48"/>
      <c r="P349" s="48"/>
      <c r="Q349" s="45"/>
      <c r="S349" s="1">
        <f t="shared" si="147"/>
        <v>1</v>
      </c>
      <c r="T349" s="1">
        <f t="shared" si="148"/>
        <v>0</v>
      </c>
      <c r="U349" s="1">
        <f t="shared" si="149"/>
        <v>0</v>
      </c>
      <c r="V349" s="1">
        <f t="shared" si="150"/>
        <v>0</v>
      </c>
      <c r="W349" s="1">
        <f t="shared" si="151"/>
        <v>0</v>
      </c>
      <c r="X349" s="1">
        <f t="shared" si="152"/>
        <v>0</v>
      </c>
      <c r="Y349" s="1">
        <f t="shared" si="153"/>
        <v>0</v>
      </c>
      <c r="Z349" s="1">
        <f t="shared" si="154"/>
        <v>0</v>
      </c>
      <c r="AA349" s="1">
        <f t="shared" si="155"/>
        <v>0</v>
      </c>
      <c r="AB349" s="1">
        <f t="shared" si="156"/>
        <v>0</v>
      </c>
      <c r="AD349" s="1">
        <f t="shared" si="157"/>
        <v>0</v>
      </c>
      <c r="AE349" s="1">
        <f t="shared" si="158"/>
        <v>0</v>
      </c>
      <c r="AF349" s="1">
        <f t="shared" si="143"/>
        <v>0</v>
      </c>
      <c r="AG349" s="1">
        <f t="shared" si="144"/>
        <v>0</v>
      </c>
      <c r="AH349" s="1">
        <f t="shared" si="145"/>
        <v>0</v>
      </c>
      <c r="AI349" s="1">
        <f t="shared" si="146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784</v>
      </c>
      <c r="E350" s="45" t="s">
        <v>32</v>
      </c>
      <c r="F350" s="45" t="s">
        <v>785</v>
      </c>
      <c r="G350" s="45" t="s">
        <v>250</v>
      </c>
      <c r="H350" s="45" t="s">
        <v>352</v>
      </c>
      <c r="I350" s="44" t="s">
        <v>786</v>
      </c>
      <c r="J350" s="44">
        <v>99</v>
      </c>
      <c r="K350" s="46" t="s">
        <v>709</v>
      </c>
      <c r="L350" s="46" t="s">
        <v>718</v>
      </c>
      <c r="M350" s="47" t="s">
        <v>719</v>
      </c>
      <c r="N350" s="47" t="s">
        <v>1783</v>
      </c>
      <c r="O350" s="48"/>
      <c r="P350" s="48"/>
      <c r="Q350" s="45"/>
      <c r="S350" s="1">
        <f t="shared" si="147"/>
        <v>0</v>
      </c>
      <c r="T350" s="1">
        <f t="shared" si="148"/>
        <v>0</v>
      </c>
      <c r="U350" s="1">
        <f t="shared" si="149"/>
        <v>0</v>
      </c>
      <c r="V350" s="1">
        <f t="shared" si="150"/>
        <v>0</v>
      </c>
      <c r="W350" s="1">
        <f t="shared" si="151"/>
        <v>0</v>
      </c>
      <c r="X350" s="1">
        <f t="shared" si="152"/>
        <v>0</v>
      </c>
      <c r="Y350" s="1">
        <f t="shared" si="153"/>
        <v>0</v>
      </c>
      <c r="Z350" s="1">
        <f t="shared" si="154"/>
        <v>0</v>
      </c>
      <c r="AA350" s="1">
        <f t="shared" si="155"/>
        <v>0</v>
      </c>
      <c r="AB350" s="1">
        <f t="shared" si="156"/>
        <v>0</v>
      </c>
      <c r="AD350" s="1">
        <f t="shared" si="157"/>
        <v>0</v>
      </c>
      <c r="AE350" s="1">
        <f t="shared" si="158"/>
        <v>0</v>
      </c>
      <c r="AF350" s="1">
        <f t="shared" si="143"/>
        <v>0</v>
      </c>
      <c r="AG350" s="1">
        <f t="shared" si="144"/>
        <v>0</v>
      </c>
      <c r="AH350" s="1">
        <f t="shared" si="145"/>
        <v>0</v>
      </c>
      <c r="AI350" s="1">
        <f t="shared" si="146"/>
        <v>1</v>
      </c>
    </row>
    <row r="351" spans="1:35" s="1" customFormat="1" ht="14.25" customHeight="1" x14ac:dyDescent="0.25">
      <c r="A351" s="44">
        <v>0</v>
      </c>
      <c r="B351" s="44">
        <v>2</v>
      </c>
      <c r="C351" s="44">
        <v>3</v>
      </c>
      <c r="D351" s="45" t="s">
        <v>56</v>
      </c>
      <c r="E351" s="45" t="s">
        <v>160</v>
      </c>
      <c r="F351" s="45" t="s">
        <v>218</v>
      </c>
      <c r="G351" s="45" t="s">
        <v>195</v>
      </c>
      <c r="H351" s="45" t="s">
        <v>352</v>
      </c>
      <c r="I351" s="44" t="s">
        <v>547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1776</v>
      </c>
      <c r="O351" s="48"/>
      <c r="P351" s="48"/>
      <c r="Q351" s="45"/>
      <c r="S351" s="1">
        <f t="shared" si="147"/>
        <v>0</v>
      </c>
      <c r="T351" s="1">
        <f t="shared" si="148"/>
        <v>0</v>
      </c>
      <c r="U351" s="1">
        <f t="shared" si="149"/>
        <v>0</v>
      </c>
      <c r="V351" s="1">
        <f t="shared" si="150"/>
        <v>0</v>
      </c>
      <c r="W351" s="1">
        <f t="shared" si="151"/>
        <v>0</v>
      </c>
      <c r="X351" s="1">
        <f t="shared" si="152"/>
        <v>0</v>
      </c>
      <c r="Y351" s="1">
        <f t="shared" si="153"/>
        <v>0</v>
      </c>
      <c r="Z351" s="1">
        <f t="shared" si="154"/>
        <v>0</v>
      </c>
      <c r="AA351" s="1">
        <f t="shared" si="155"/>
        <v>0</v>
      </c>
      <c r="AB351" s="1">
        <f t="shared" si="156"/>
        <v>0</v>
      </c>
      <c r="AD351" s="1">
        <f t="shared" si="157"/>
        <v>0</v>
      </c>
      <c r="AE351" s="1">
        <f t="shared" si="158"/>
        <v>0</v>
      </c>
      <c r="AF351" s="1">
        <f t="shared" si="143"/>
        <v>0</v>
      </c>
      <c r="AG351" s="1">
        <f t="shared" si="144"/>
        <v>0</v>
      </c>
      <c r="AH351" s="1">
        <f t="shared" si="145"/>
        <v>0</v>
      </c>
      <c r="AI351" s="1">
        <f t="shared" si="146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1159</v>
      </c>
      <c r="E352" s="32" t="s">
        <v>1315</v>
      </c>
      <c r="F352" s="32" t="s">
        <v>1160</v>
      </c>
      <c r="G352" s="32" t="s">
        <v>300</v>
      </c>
      <c r="H352" s="32" t="s">
        <v>352</v>
      </c>
      <c r="I352" s="31" t="s">
        <v>1161</v>
      </c>
      <c r="J352" s="31">
        <v>1</v>
      </c>
      <c r="K352" s="33" t="s">
        <v>942</v>
      </c>
      <c r="L352" s="33" t="s">
        <v>689</v>
      </c>
      <c r="M352" s="34" t="s">
        <v>1391</v>
      </c>
      <c r="N352" s="34" t="s">
        <v>1717</v>
      </c>
      <c r="O352" s="35">
        <v>1</v>
      </c>
      <c r="P352" s="35"/>
      <c r="Q352" s="32"/>
      <c r="S352" s="1">
        <f t="shared" si="147"/>
        <v>1</v>
      </c>
      <c r="T352" s="1">
        <f t="shared" si="148"/>
        <v>0</v>
      </c>
      <c r="U352" s="1">
        <f t="shared" si="149"/>
        <v>0</v>
      </c>
      <c r="V352" s="1">
        <f t="shared" si="150"/>
        <v>0</v>
      </c>
      <c r="W352" s="1">
        <f t="shared" si="151"/>
        <v>0</v>
      </c>
      <c r="X352" s="1">
        <f t="shared" si="152"/>
        <v>0</v>
      </c>
      <c r="Y352" s="1">
        <f t="shared" si="153"/>
        <v>0</v>
      </c>
      <c r="Z352" s="1">
        <f t="shared" si="154"/>
        <v>0</v>
      </c>
      <c r="AA352" s="1">
        <f t="shared" si="155"/>
        <v>0</v>
      </c>
      <c r="AB352" s="1">
        <f t="shared" si="156"/>
        <v>0</v>
      </c>
      <c r="AD352" s="1">
        <f t="shared" si="157"/>
        <v>0</v>
      </c>
      <c r="AE352" s="1">
        <f t="shared" si="158"/>
        <v>1</v>
      </c>
      <c r="AF352" s="1">
        <f t="shared" si="143"/>
        <v>0</v>
      </c>
      <c r="AG352" s="1">
        <f t="shared" si="144"/>
        <v>1</v>
      </c>
      <c r="AH352" s="1">
        <f t="shared" si="145"/>
        <v>0</v>
      </c>
      <c r="AI352" s="1">
        <f t="shared" si="146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1156</v>
      </c>
      <c r="E353" s="32" t="s">
        <v>1315</v>
      </c>
      <c r="F353" s="32" t="s">
        <v>1157</v>
      </c>
      <c r="G353" s="32" t="s">
        <v>1043</v>
      </c>
      <c r="H353" s="32" t="s">
        <v>352</v>
      </c>
      <c r="I353" s="31" t="s">
        <v>1158</v>
      </c>
      <c r="J353" s="31">
        <v>1</v>
      </c>
      <c r="K353" s="33" t="s">
        <v>709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47"/>
        <v>1</v>
      </c>
      <c r="T353" s="1">
        <f t="shared" si="148"/>
        <v>0</v>
      </c>
      <c r="U353" s="1">
        <f t="shared" si="149"/>
        <v>0</v>
      </c>
      <c r="V353" s="1">
        <f t="shared" si="150"/>
        <v>0</v>
      </c>
      <c r="W353" s="1">
        <f t="shared" si="151"/>
        <v>0</v>
      </c>
      <c r="X353" s="1">
        <f t="shared" si="152"/>
        <v>0</v>
      </c>
      <c r="Y353" s="1">
        <f t="shared" si="153"/>
        <v>0</v>
      </c>
      <c r="Z353" s="1">
        <f t="shared" si="154"/>
        <v>0</v>
      </c>
      <c r="AA353" s="1">
        <f t="shared" si="155"/>
        <v>0</v>
      </c>
      <c r="AB353" s="1">
        <f t="shared" si="156"/>
        <v>0</v>
      </c>
      <c r="AD353" s="1">
        <f t="shared" si="157"/>
        <v>0</v>
      </c>
      <c r="AE353" s="1">
        <f t="shared" si="158"/>
        <v>1</v>
      </c>
      <c r="AF353" s="1">
        <f t="shared" si="143"/>
        <v>0</v>
      </c>
      <c r="AG353" s="1">
        <f t="shared" si="144"/>
        <v>1</v>
      </c>
      <c r="AH353" s="1">
        <f t="shared" si="145"/>
        <v>0</v>
      </c>
      <c r="AI353" s="1">
        <f t="shared" si="146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3</v>
      </c>
      <c r="D354" s="32" t="s">
        <v>1274</v>
      </c>
      <c r="E354" s="32" t="s">
        <v>32</v>
      </c>
      <c r="F354" s="32" t="s">
        <v>1275</v>
      </c>
      <c r="G354" s="32" t="s">
        <v>221</v>
      </c>
      <c r="H354" s="32" t="s">
        <v>352</v>
      </c>
      <c r="I354" s="31" t="s">
        <v>1663</v>
      </c>
      <c r="J354" s="31">
        <v>99</v>
      </c>
      <c r="K354" s="33" t="s">
        <v>709</v>
      </c>
      <c r="L354" s="33" t="s">
        <v>712</v>
      </c>
      <c r="M354" s="34" t="s">
        <v>1276</v>
      </c>
      <c r="N354" s="34" t="s">
        <v>1701</v>
      </c>
      <c r="O354" s="35">
        <v>1</v>
      </c>
      <c r="P354" s="35">
        <v>1</v>
      </c>
      <c r="Q354" s="32"/>
      <c r="S354" s="1">
        <f t="shared" si="147"/>
        <v>0</v>
      </c>
      <c r="T354" s="1">
        <f t="shared" si="148"/>
        <v>0</v>
      </c>
      <c r="U354" s="1">
        <f t="shared" si="149"/>
        <v>0</v>
      </c>
      <c r="V354" s="1">
        <f t="shared" si="150"/>
        <v>0</v>
      </c>
      <c r="W354" s="1">
        <f t="shared" si="151"/>
        <v>0</v>
      </c>
      <c r="X354" s="1">
        <f t="shared" si="152"/>
        <v>0</v>
      </c>
      <c r="Y354" s="1">
        <f t="shared" si="153"/>
        <v>0</v>
      </c>
      <c r="Z354" s="1">
        <f t="shared" si="154"/>
        <v>0</v>
      </c>
      <c r="AA354" s="1">
        <f t="shared" si="155"/>
        <v>0</v>
      </c>
      <c r="AB354" s="1">
        <f t="shared" si="156"/>
        <v>0</v>
      </c>
      <c r="AD354" s="1">
        <f t="shared" si="157"/>
        <v>1</v>
      </c>
      <c r="AE354" s="1">
        <f t="shared" si="158"/>
        <v>0</v>
      </c>
      <c r="AF354" s="1">
        <f t="shared" si="143"/>
        <v>1</v>
      </c>
      <c r="AG354" s="1">
        <f t="shared" si="144"/>
        <v>0</v>
      </c>
      <c r="AH354" s="1">
        <f t="shared" si="145"/>
        <v>1</v>
      </c>
      <c r="AI354" s="1">
        <f t="shared" si="146"/>
        <v>0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752</v>
      </c>
      <c r="E355" s="32" t="s">
        <v>902</v>
      </c>
      <c r="F355" s="32" t="s">
        <v>753</v>
      </c>
      <c r="G355" s="32" t="s">
        <v>219</v>
      </c>
      <c r="H355" s="32" t="s">
        <v>352</v>
      </c>
      <c r="I355" s="31" t="s">
        <v>754</v>
      </c>
      <c r="J355" s="31">
        <v>8</v>
      </c>
      <c r="K355" s="33" t="s">
        <v>942</v>
      </c>
      <c r="L355" s="33" t="s">
        <v>725</v>
      </c>
      <c r="M355" s="34" t="s">
        <v>719</v>
      </c>
      <c r="N355" s="34" t="s">
        <v>1722</v>
      </c>
      <c r="O355" s="35">
        <v>1</v>
      </c>
      <c r="P355" s="35"/>
      <c r="Q355" s="32"/>
      <c r="S355" s="1">
        <f t="shared" si="147"/>
        <v>0</v>
      </c>
      <c r="T355" s="1">
        <f t="shared" si="148"/>
        <v>0</v>
      </c>
      <c r="U355" s="1">
        <f t="shared" si="149"/>
        <v>0</v>
      </c>
      <c r="V355" s="1">
        <f t="shared" si="150"/>
        <v>0</v>
      </c>
      <c r="W355" s="1">
        <f t="shared" si="151"/>
        <v>0</v>
      </c>
      <c r="X355" s="1">
        <f t="shared" si="152"/>
        <v>0</v>
      </c>
      <c r="Y355" s="1">
        <f t="shared" si="153"/>
        <v>0</v>
      </c>
      <c r="Z355" s="1">
        <f t="shared" si="154"/>
        <v>1</v>
      </c>
      <c r="AA355" s="1">
        <f t="shared" si="155"/>
        <v>0</v>
      </c>
      <c r="AB355" s="1">
        <f t="shared" si="156"/>
        <v>0</v>
      </c>
      <c r="AD355" s="1">
        <f t="shared" si="157"/>
        <v>0</v>
      </c>
      <c r="AE355" s="1">
        <f t="shared" si="158"/>
        <v>1</v>
      </c>
      <c r="AF355" s="1">
        <f t="shared" si="143"/>
        <v>0</v>
      </c>
      <c r="AG355" s="1">
        <f t="shared" si="144"/>
        <v>1</v>
      </c>
      <c r="AH355" s="1">
        <f t="shared" si="145"/>
        <v>0</v>
      </c>
      <c r="AI355" s="1">
        <f t="shared" si="146"/>
        <v>1</v>
      </c>
    </row>
    <row r="356" spans="1:35" s="1" customFormat="1" ht="14.25" customHeight="1" x14ac:dyDescent="0.25">
      <c r="A356" s="44">
        <v>0</v>
      </c>
      <c r="B356" s="44">
        <v>2</v>
      </c>
      <c r="C356" s="44">
        <v>3</v>
      </c>
      <c r="D356" s="45" t="s">
        <v>1470</v>
      </c>
      <c r="E356" s="45" t="s">
        <v>1471</v>
      </c>
      <c r="F356" s="45" t="s">
        <v>1472</v>
      </c>
      <c r="G356" s="45" t="s">
        <v>237</v>
      </c>
      <c r="H356" s="45" t="s">
        <v>352</v>
      </c>
      <c r="I356" s="44" t="s">
        <v>1473</v>
      </c>
      <c r="J356" s="44">
        <v>4</v>
      </c>
      <c r="K356" s="46" t="s">
        <v>708</v>
      </c>
      <c r="L356" s="46">
        <v>15</v>
      </c>
      <c r="M356" s="47" t="s">
        <v>39</v>
      </c>
      <c r="N356" s="47" t="s">
        <v>1776</v>
      </c>
      <c r="O356" s="48"/>
      <c r="P356" s="48"/>
      <c r="Q356" s="45"/>
      <c r="S356" s="1">
        <f t="shared" si="147"/>
        <v>0</v>
      </c>
      <c r="T356" s="1">
        <f t="shared" si="148"/>
        <v>0</v>
      </c>
      <c r="U356" s="1">
        <f t="shared" si="149"/>
        <v>0</v>
      </c>
      <c r="V356" s="1">
        <f t="shared" si="150"/>
        <v>1</v>
      </c>
      <c r="W356" s="1">
        <f t="shared" si="151"/>
        <v>0</v>
      </c>
      <c r="X356" s="1">
        <f t="shared" si="152"/>
        <v>0</v>
      </c>
      <c r="Y356" s="1">
        <f t="shared" si="153"/>
        <v>0</v>
      </c>
      <c r="Z356" s="1">
        <f t="shared" si="154"/>
        <v>0</v>
      </c>
      <c r="AA356" s="1">
        <f t="shared" si="155"/>
        <v>0</v>
      </c>
      <c r="AB356" s="1">
        <f t="shared" si="156"/>
        <v>0</v>
      </c>
      <c r="AD356" s="1">
        <f t="shared" si="157"/>
        <v>0</v>
      </c>
      <c r="AE356" s="1">
        <f t="shared" si="158"/>
        <v>0</v>
      </c>
      <c r="AF356" s="1">
        <f t="shared" si="143"/>
        <v>0</v>
      </c>
      <c r="AG356" s="1">
        <f t="shared" si="144"/>
        <v>0</v>
      </c>
      <c r="AH356" s="1">
        <f t="shared" si="145"/>
        <v>0</v>
      </c>
      <c r="AI356" s="1">
        <f t="shared" si="146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1527</v>
      </c>
      <c r="E357" s="32" t="s">
        <v>1528</v>
      </c>
      <c r="F357" s="32" t="s">
        <v>1529</v>
      </c>
      <c r="G357" s="32" t="s">
        <v>1530</v>
      </c>
      <c r="H357" s="32" t="s">
        <v>352</v>
      </c>
      <c r="I357" s="31" t="s">
        <v>1531</v>
      </c>
      <c r="J357" s="31">
        <v>7</v>
      </c>
      <c r="K357" s="33" t="s">
        <v>942</v>
      </c>
      <c r="L357" s="33">
        <v>10</v>
      </c>
      <c r="M357" s="34" t="s">
        <v>39</v>
      </c>
      <c r="N357" s="34" t="s">
        <v>1717</v>
      </c>
      <c r="O357" s="35">
        <v>1</v>
      </c>
      <c r="P357" s="35"/>
      <c r="Q357" s="32"/>
      <c r="S357" s="1">
        <f t="shared" si="147"/>
        <v>0</v>
      </c>
      <c r="T357" s="1">
        <f t="shared" si="148"/>
        <v>0</v>
      </c>
      <c r="U357" s="1">
        <f t="shared" si="149"/>
        <v>0</v>
      </c>
      <c r="V357" s="1">
        <f t="shared" si="150"/>
        <v>0</v>
      </c>
      <c r="W357" s="1">
        <f t="shared" si="151"/>
        <v>0</v>
      </c>
      <c r="X357" s="1">
        <f t="shared" si="152"/>
        <v>0</v>
      </c>
      <c r="Y357" s="1">
        <f t="shared" si="153"/>
        <v>1</v>
      </c>
      <c r="Z357" s="1">
        <f t="shared" si="154"/>
        <v>0</v>
      </c>
      <c r="AA357" s="1">
        <f t="shared" si="155"/>
        <v>0</v>
      </c>
      <c r="AB357" s="1">
        <f t="shared" si="156"/>
        <v>0</v>
      </c>
      <c r="AD357" s="1">
        <f t="shared" si="157"/>
        <v>0</v>
      </c>
      <c r="AE357" s="1">
        <f t="shared" si="158"/>
        <v>1</v>
      </c>
      <c r="AF357" s="1">
        <f t="shared" si="143"/>
        <v>0</v>
      </c>
      <c r="AG357" s="1">
        <f t="shared" si="144"/>
        <v>1</v>
      </c>
      <c r="AH357" s="1">
        <f t="shared" si="145"/>
        <v>0</v>
      </c>
      <c r="AI357" s="1">
        <f t="shared" si="146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832</v>
      </c>
      <c r="E358" s="32" t="s">
        <v>32</v>
      </c>
      <c r="F358" s="32" t="s">
        <v>834</v>
      </c>
      <c r="G358" s="32" t="s">
        <v>39</v>
      </c>
      <c r="H358" s="32" t="s">
        <v>352</v>
      </c>
      <c r="I358" s="31" t="s">
        <v>833</v>
      </c>
      <c r="J358" s="31">
        <v>1</v>
      </c>
      <c r="K358" s="33" t="s">
        <v>709</v>
      </c>
      <c r="L358" s="33" t="s">
        <v>690</v>
      </c>
      <c r="M358" s="34" t="s">
        <v>1391</v>
      </c>
      <c r="N358" s="34" t="s">
        <v>1717</v>
      </c>
      <c r="O358" s="35">
        <v>1</v>
      </c>
      <c r="P358" s="35"/>
      <c r="Q358" s="32"/>
      <c r="S358" s="1">
        <f t="shared" si="147"/>
        <v>1</v>
      </c>
      <c r="T358" s="1">
        <f t="shared" si="148"/>
        <v>0</v>
      </c>
      <c r="U358" s="1">
        <f t="shared" si="149"/>
        <v>0</v>
      </c>
      <c r="V358" s="1">
        <f t="shared" si="150"/>
        <v>0</v>
      </c>
      <c r="W358" s="1">
        <f t="shared" si="151"/>
        <v>0</v>
      </c>
      <c r="X358" s="1">
        <f t="shared" si="152"/>
        <v>0</v>
      </c>
      <c r="Y358" s="1">
        <f t="shared" si="153"/>
        <v>0</v>
      </c>
      <c r="Z358" s="1">
        <f t="shared" si="154"/>
        <v>0</v>
      </c>
      <c r="AA358" s="1">
        <f t="shared" si="155"/>
        <v>0</v>
      </c>
      <c r="AB358" s="1">
        <f t="shared" si="156"/>
        <v>0</v>
      </c>
      <c r="AD358" s="1">
        <f t="shared" si="157"/>
        <v>0</v>
      </c>
      <c r="AE358" s="1">
        <f t="shared" si="158"/>
        <v>1</v>
      </c>
      <c r="AF358" s="1">
        <f t="shared" si="143"/>
        <v>0</v>
      </c>
      <c r="AG358" s="1">
        <f t="shared" si="144"/>
        <v>1</v>
      </c>
      <c r="AH358" s="1">
        <f t="shared" si="145"/>
        <v>0</v>
      </c>
      <c r="AI358" s="1">
        <f t="shared" si="146"/>
        <v>1</v>
      </c>
    </row>
    <row r="359" spans="1:35" s="1" customFormat="1" ht="14.25" customHeight="1" x14ac:dyDescent="0.25">
      <c r="A359" s="15">
        <v>0</v>
      </c>
      <c r="B359" s="15">
        <v>2</v>
      </c>
      <c r="C359" s="15">
        <v>4</v>
      </c>
      <c r="D359" s="16" t="s">
        <v>755</v>
      </c>
      <c r="E359" s="16" t="s">
        <v>756</v>
      </c>
      <c r="F359" s="16" t="s">
        <v>757</v>
      </c>
      <c r="G359" s="16" t="s">
        <v>758</v>
      </c>
      <c r="H359" s="16" t="s">
        <v>352</v>
      </c>
      <c r="I359" s="15" t="s">
        <v>759</v>
      </c>
      <c r="J359" s="15">
        <v>99</v>
      </c>
      <c r="K359" s="10" t="s">
        <v>699</v>
      </c>
      <c r="L359" s="10">
        <v>15</v>
      </c>
      <c r="M359" s="19" t="s">
        <v>760</v>
      </c>
      <c r="N359" s="19"/>
      <c r="Q359" s="16"/>
      <c r="S359" s="1">
        <f t="shared" si="147"/>
        <v>0</v>
      </c>
      <c r="T359" s="1">
        <f t="shared" si="148"/>
        <v>0</v>
      </c>
      <c r="U359" s="1">
        <f t="shared" si="149"/>
        <v>0</v>
      </c>
      <c r="V359" s="1">
        <f t="shared" si="150"/>
        <v>0</v>
      </c>
      <c r="W359" s="1">
        <f t="shared" si="151"/>
        <v>0</v>
      </c>
      <c r="X359" s="1">
        <f t="shared" si="152"/>
        <v>0</v>
      </c>
      <c r="Y359" s="1">
        <f t="shared" si="153"/>
        <v>0</v>
      </c>
      <c r="Z359" s="1">
        <f t="shared" si="154"/>
        <v>0</v>
      </c>
      <c r="AA359" s="1">
        <f t="shared" si="155"/>
        <v>0</v>
      </c>
      <c r="AB359" s="1">
        <f t="shared" si="156"/>
        <v>0</v>
      </c>
      <c r="AD359" s="1">
        <f t="shared" si="157"/>
        <v>0</v>
      </c>
      <c r="AE359" s="1">
        <f t="shared" si="158"/>
        <v>0</v>
      </c>
      <c r="AF359" s="1">
        <f t="shared" si="143"/>
        <v>0</v>
      </c>
      <c r="AG359" s="1">
        <f t="shared" si="144"/>
        <v>0</v>
      </c>
      <c r="AH359" s="1">
        <f t="shared" si="145"/>
        <v>0</v>
      </c>
      <c r="AI359" s="1">
        <f t="shared" si="14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789</v>
      </c>
      <c r="E360" s="32" t="s">
        <v>897</v>
      </c>
      <c r="F360" s="32" t="s">
        <v>914</v>
      </c>
      <c r="G360" s="32" t="s">
        <v>207</v>
      </c>
      <c r="H360" s="32" t="s">
        <v>352</v>
      </c>
      <c r="I360" s="31" t="s">
        <v>1341</v>
      </c>
      <c r="J360" s="31">
        <v>3</v>
      </c>
      <c r="K360" s="33" t="s">
        <v>699</v>
      </c>
      <c r="L360" s="33">
        <v>20</v>
      </c>
      <c r="M360" s="34" t="s">
        <v>1393</v>
      </c>
      <c r="N360" s="34" t="s">
        <v>1799</v>
      </c>
      <c r="O360" s="35">
        <v>1</v>
      </c>
      <c r="P360" s="35"/>
      <c r="Q360" s="32"/>
      <c r="S360" s="1">
        <f t="shared" si="147"/>
        <v>0</v>
      </c>
      <c r="T360" s="1">
        <f t="shared" si="148"/>
        <v>0</v>
      </c>
      <c r="U360" s="1">
        <f t="shared" si="149"/>
        <v>1</v>
      </c>
      <c r="V360" s="1">
        <f t="shared" si="150"/>
        <v>0</v>
      </c>
      <c r="W360" s="1">
        <f t="shared" si="151"/>
        <v>0</v>
      </c>
      <c r="X360" s="1">
        <f t="shared" si="152"/>
        <v>0</v>
      </c>
      <c r="Y360" s="1">
        <f t="shared" si="153"/>
        <v>0</v>
      </c>
      <c r="Z360" s="1">
        <f t="shared" si="154"/>
        <v>0</v>
      </c>
      <c r="AA360" s="1">
        <f t="shared" si="155"/>
        <v>0</v>
      </c>
      <c r="AB360" s="1">
        <f t="shared" si="156"/>
        <v>0</v>
      </c>
      <c r="AD360" s="1">
        <f t="shared" si="157"/>
        <v>0</v>
      </c>
      <c r="AE360" s="1">
        <f t="shared" si="158"/>
        <v>1</v>
      </c>
      <c r="AF360" s="1">
        <f t="shared" si="143"/>
        <v>0</v>
      </c>
      <c r="AG360" s="1">
        <f t="shared" si="144"/>
        <v>1</v>
      </c>
      <c r="AH360" s="1">
        <f t="shared" si="145"/>
        <v>0</v>
      </c>
      <c r="AI360" s="1">
        <f t="shared" si="146"/>
        <v>1</v>
      </c>
    </row>
    <row r="361" spans="1:35" s="1" customFormat="1" ht="14.25" customHeight="1" x14ac:dyDescent="0.25">
      <c r="A361" s="57">
        <v>0</v>
      </c>
      <c r="B361" s="57">
        <v>2</v>
      </c>
      <c r="C361" s="57">
        <v>4</v>
      </c>
      <c r="D361" s="58" t="s">
        <v>563</v>
      </c>
      <c r="E361" s="58" t="s">
        <v>37</v>
      </c>
      <c r="F361" s="58" t="s">
        <v>204</v>
      </c>
      <c r="G361" s="58" t="s">
        <v>39</v>
      </c>
      <c r="H361" s="58" t="s">
        <v>352</v>
      </c>
      <c r="I361" s="57" t="s">
        <v>387</v>
      </c>
      <c r="J361" s="57">
        <v>6</v>
      </c>
      <c r="K361" s="59" t="s">
        <v>699</v>
      </c>
      <c r="L361" s="59" t="s">
        <v>39</v>
      </c>
      <c r="M361" s="60" t="s">
        <v>39</v>
      </c>
      <c r="N361" s="61"/>
      <c r="O361" s="62"/>
      <c r="P361" s="62"/>
      <c r="Q361" s="58"/>
      <c r="S361" s="1">
        <f t="shared" si="147"/>
        <v>0</v>
      </c>
      <c r="T361" s="1">
        <f t="shared" si="148"/>
        <v>0</v>
      </c>
      <c r="U361" s="1">
        <f t="shared" si="149"/>
        <v>0</v>
      </c>
      <c r="V361" s="1">
        <f t="shared" si="150"/>
        <v>0</v>
      </c>
      <c r="W361" s="1">
        <f t="shared" si="151"/>
        <v>0</v>
      </c>
      <c r="X361" s="1">
        <f t="shared" si="152"/>
        <v>1</v>
      </c>
      <c r="Y361" s="1">
        <f t="shared" si="153"/>
        <v>0</v>
      </c>
      <c r="Z361" s="1">
        <f t="shared" si="154"/>
        <v>0</v>
      </c>
      <c r="AA361" s="1">
        <f t="shared" si="155"/>
        <v>0</v>
      </c>
      <c r="AB361" s="1">
        <f t="shared" si="156"/>
        <v>0</v>
      </c>
      <c r="AD361" s="1">
        <f t="shared" si="157"/>
        <v>0</v>
      </c>
      <c r="AE361" s="1">
        <f t="shared" si="158"/>
        <v>0</v>
      </c>
      <c r="AF361" s="1">
        <f t="shared" si="143"/>
        <v>0</v>
      </c>
      <c r="AG361" s="1">
        <f t="shared" si="144"/>
        <v>0</v>
      </c>
      <c r="AH361" s="1">
        <f t="shared" si="145"/>
        <v>0</v>
      </c>
      <c r="AI361" s="1">
        <f t="shared" si="146"/>
        <v>1</v>
      </c>
    </row>
    <row r="362" spans="1:35" s="1" customFormat="1" ht="14.25" customHeight="1" x14ac:dyDescent="0.25">
      <c r="A362" s="44">
        <v>0</v>
      </c>
      <c r="B362" s="44">
        <v>2</v>
      </c>
      <c r="C362" s="44">
        <v>4</v>
      </c>
      <c r="D362" s="45" t="s">
        <v>649</v>
      </c>
      <c r="E362" s="45" t="s">
        <v>899</v>
      </c>
      <c r="F362" s="45" t="s">
        <v>620</v>
      </c>
      <c r="G362" s="45" t="s">
        <v>339</v>
      </c>
      <c r="H362" s="45" t="s">
        <v>352</v>
      </c>
      <c r="I362" s="44" t="s">
        <v>621</v>
      </c>
      <c r="J362" s="44">
        <v>10</v>
      </c>
      <c r="K362" s="46" t="s">
        <v>941</v>
      </c>
      <c r="L362" s="46" t="s">
        <v>700</v>
      </c>
      <c r="M362" s="47" t="s">
        <v>1394</v>
      </c>
      <c r="N362" s="47" t="s">
        <v>1708</v>
      </c>
      <c r="O362" s="48"/>
      <c r="P362" s="48"/>
      <c r="Q362" s="45"/>
      <c r="S362" s="1">
        <f t="shared" si="147"/>
        <v>0</v>
      </c>
      <c r="T362" s="1">
        <f t="shared" si="148"/>
        <v>0</v>
      </c>
      <c r="U362" s="1">
        <f t="shared" si="149"/>
        <v>0</v>
      </c>
      <c r="V362" s="1">
        <f t="shared" si="150"/>
        <v>0</v>
      </c>
      <c r="W362" s="1">
        <f t="shared" si="151"/>
        <v>0</v>
      </c>
      <c r="X362" s="1">
        <f t="shared" si="152"/>
        <v>0</v>
      </c>
      <c r="Y362" s="1">
        <f t="shared" si="153"/>
        <v>0</v>
      </c>
      <c r="Z362" s="1">
        <f t="shared" si="154"/>
        <v>0</v>
      </c>
      <c r="AA362" s="1">
        <f t="shared" si="155"/>
        <v>0</v>
      </c>
      <c r="AB362" s="1">
        <f t="shared" si="156"/>
        <v>1</v>
      </c>
      <c r="AD362" s="1">
        <f t="shared" si="157"/>
        <v>0</v>
      </c>
      <c r="AE362" s="1">
        <f t="shared" si="158"/>
        <v>0</v>
      </c>
      <c r="AF362" s="1">
        <f t="shared" si="143"/>
        <v>0</v>
      </c>
      <c r="AG362" s="1">
        <f t="shared" si="144"/>
        <v>0</v>
      </c>
      <c r="AH362" s="1">
        <f t="shared" si="145"/>
        <v>0</v>
      </c>
      <c r="AI362" s="1">
        <f t="shared" si="146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75</v>
      </c>
      <c r="E363" s="32" t="s">
        <v>35</v>
      </c>
      <c r="F363" s="32" t="s">
        <v>265</v>
      </c>
      <c r="G363" s="32" t="s">
        <v>212</v>
      </c>
      <c r="H363" s="32" t="s">
        <v>352</v>
      </c>
      <c r="I363" s="31" t="s">
        <v>933</v>
      </c>
      <c r="J363" s="31">
        <v>1</v>
      </c>
      <c r="K363" s="33" t="s">
        <v>709</v>
      </c>
      <c r="L363" s="33" t="s">
        <v>700</v>
      </c>
      <c r="M363" s="34" t="s">
        <v>1395</v>
      </c>
      <c r="N363" s="34" t="s">
        <v>1717</v>
      </c>
      <c r="O363" s="35">
        <v>1</v>
      </c>
      <c r="P363" s="35"/>
      <c r="Q363" s="32"/>
      <c r="S363" s="1">
        <f t="shared" si="147"/>
        <v>1</v>
      </c>
      <c r="T363" s="1">
        <f t="shared" si="148"/>
        <v>0</v>
      </c>
      <c r="U363" s="1">
        <f t="shared" si="149"/>
        <v>0</v>
      </c>
      <c r="V363" s="1">
        <f t="shared" si="150"/>
        <v>0</v>
      </c>
      <c r="W363" s="1">
        <f t="shared" si="151"/>
        <v>0</v>
      </c>
      <c r="X363" s="1">
        <f t="shared" si="152"/>
        <v>0</v>
      </c>
      <c r="Y363" s="1">
        <f t="shared" si="153"/>
        <v>0</v>
      </c>
      <c r="Z363" s="1">
        <f t="shared" si="154"/>
        <v>0</v>
      </c>
      <c r="AA363" s="1">
        <f t="shared" si="155"/>
        <v>0</v>
      </c>
      <c r="AB363" s="1">
        <f t="shared" si="156"/>
        <v>0</v>
      </c>
      <c r="AD363" s="1">
        <f t="shared" si="157"/>
        <v>0</v>
      </c>
      <c r="AE363" s="1">
        <f t="shared" si="158"/>
        <v>1</v>
      </c>
      <c r="AF363" s="1">
        <f t="shared" si="143"/>
        <v>0</v>
      </c>
      <c r="AG363" s="1">
        <f t="shared" si="144"/>
        <v>1</v>
      </c>
      <c r="AH363" s="1">
        <f t="shared" si="145"/>
        <v>0</v>
      </c>
      <c r="AI363" s="1">
        <f t="shared" si="146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908</v>
      </c>
      <c r="E364" s="32" t="s">
        <v>901</v>
      </c>
      <c r="F364" s="32" t="s">
        <v>773</v>
      </c>
      <c r="G364" s="32" t="s">
        <v>283</v>
      </c>
      <c r="H364" s="32" t="s">
        <v>352</v>
      </c>
      <c r="I364" s="31" t="s">
        <v>934</v>
      </c>
      <c r="J364" s="31">
        <v>4</v>
      </c>
      <c r="K364" s="33" t="s">
        <v>709</v>
      </c>
      <c r="L364" s="33" t="s">
        <v>692</v>
      </c>
      <c r="M364" s="34" t="s">
        <v>1396</v>
      </c>
      <c r="N364" s="34" t="s">
        <v>1723</v>
      </c>
      <c r="O364" s="35">
        <v>1</v>
      </c>
      <c r="P364" s="35"/>
      <c r="Q364" s="32"/>
      <c r="S364" s="1">
        <f t="shared" si="147"/>
        <v>0</v>
      </c>
      <c r="T364" s="1">
        <f t="shared" si="148"/>
        <v>0</v>
      </c>
      <c r="U364" s="1">
        <f t="shared" si="149"/>
        <v>0</v>
      </c>
      <c r="V364" s="1">
        <f t="shared" si="150"/>
        <v>1</v>
      </c>
      <c r="W364" s="1">
        <f t="shared" si="151"/>
        <v>0</v>
      </c>
      <c r="X364" s="1">
        <f t="shared" si="152"/>
        <v>0</v>
      </c>
      <c r="Y364" s="1">
        <f t="shared" si="153"/>
        <v>0</v>
      </c>
      <c r="Z364" s="1">
        <f t="shared" si="154"/>
        <v>0</v>
      </c>
      <c r="AA364" s="1">
        <f t="shared" si="155"/>
        <v>0</v>
      </c>
      <c r="AB364" s="1">
        <f t="shared" si="156"/>
        <v>0</v>
      </c>
      <c r="AD364" s="1">
        <f t="shared" si="157"/>
        <v>0</v>
      </c>
      <c r="AE364" s="1">
        <f t="shared" si="158"/>
        <v>1</v>
      </c>
      <c r="AF364" s="1">
        <f t="shared" si="143"/>
        <v>0</v>
      </c>
      <c r="AG364" s="1">
        <f t="shared" si="144"/>
        <v>1</v>
      </c>
      <c r="AH364" s="1">
        <f t="shared" si="145"/>
        <v>0</v>
      </c>
      <c r="AI364" s="1">
        <f t="shared" si="146"/>
        <v>1</v>
      </c>
    </row>
    <row r="365" spans="1:35" s="1" customFormat="1" ht="14.25" customHeight="1" x14ac:dyDescent="0.25">
      <c r="A365" s="15">
        <v>0</v>
      </c>
      <c r="B365" s="15">
        <v>2</v>
      </c>
      <c r="C365" s="15">
        <v>4</v>
      </c>
      <c r="D365" s="16" t="s">
        <v>625</v>
      </c>
      <c r="E365" s="16" t="s">
        <v>681</v>
      </c>
      <c r="F365" s="16" t="s">
        <v>666</v>
      </c>
      <c r="G365" s="16" t="s">
        <v>624</v>
      </c>
      <c r="H365" s="16" t="s">
        <v>352</v>
      </c>
      <c r="I365" s="15" t="s">
        <v>626</v>
      </c>
      <c r="J365" s="15">
        <v>99</v>
      </c>
      <c r="K365" s="10" t="s">
        <v>942</v>
      </c>
      <c r="L365" s="10" t="s">
        <v>39</v>
      </c>
      <c r="M365" s="19" t="s">
        <v>39</v>
      </c>
      <c r="N365" s="17"/>
      <c r="Q365" s="20" t="s">
        <v>1871</v>
      </c>
      <c r="S365" s="1">
        <f t="shared" si="147"/>
        <v>0</v>
      </c>
      <c r="T365" s="1">
        <f t="shared" si="148"/>
        <v>0</v>
      </c>
      <c r="U365" s="1">
        <f t="shared" si="149"/>
        <v>0</v>
      </c>
      <c r="V365" s="1">
        <f t="shared" si="150"/>
        <v>0</v>
      </c>
      <c r="W365" s="1">
        <f t="shared" si="151"/>
        <v>0</v>
      </c>
      <c r="X365" s="1">
        <f t="shared" si="152"/>
        <v>0</v>
      </c>
      <c r="Y365" s="1">
        <f t="shared" si="153"/>
        <v>0</v>
      </c>
      <c r="Z365" s="1">
        <f t="shared" si="154"/>
        <v>0</v>
      </c>
      <c r="AA365" s="1">
        <f t="shared" si="155"/>
        <v>0</v>
      </c>
      <c r="AB365" s="1">
        <f t="shared" si="156"/>
        <v>0</v>
      </c>
      <c r="AD365" s="1">
        <f t="shared" si="157"/>
        <v>0</v>
      </c>
      <c r="AE365" s="1">
        <f t="shared" si="158"/>
        <v>0</v>
      </c>
      <c r="AF365" s="1">
        <f t="shared" si="143"/>
        <v>0</v>
      </c>
      <c r="AG365" s="1">
        <f t="shared" si="144"/>
        <v>0</v>
      </c>
      <c r="AH365" s="1">
        <f t="shared" si="145"/>
        <v>0</v>
      </c>
      <c r="AI365" s="1">
        <f t="shared" si="146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84</v>
      </c>
      <c r="E366" s="32" t="s">
        <v>35</v>
      </c>
      <c r="F366" s="32" t="s">
        <v>276</v>
      </c>
      <c r="G366" s="32" t="s">
        <v>223</v>
      </c>
      <c r="H366" s="32" t="s">
        <v>352</v>
      </c>
      <c r="I366" s="31" t="s">
        <v>431</v>
      </c>
      <c r="J366" s="31">
        <v>99</v>
      </c>
      <c r="K366" s="33" t="s">
        <v>941</v>
      </c>
      <c r="L366" s="33" t="s">
        <v>700</v>
      </c>
      <c r="M366" s="34" t="s">
        <v>722</v>
      </c>
      <c r="N366" s="34" t="s">
        <v>1735</v>
      </c>
      <c r="O366" s="35">
        <v>1</v>
      </c>
      <c r="P366" s="35"/>
      <c r="Q366" s="32"/>
      <c r="S366" s="1">
        <f t="shared" si="147"/>
        <v>0</v>
      </c>
      <c r="T366" s="1">
        <f t="shared" si="148"/>
        <v>0</v>
      </c>
      <c r="U366" s="1">
        <f t="shared" si="149"/>
        <v>0</v>
      </c>
      <c r="V366" s="1">
        <f t="shared" si="150"/>
        <v>0</v>
      </c>
      <c r="W366" s="1">
        <f t="shared" si="151"/>
        <v>0</v>
      </c>
      <c r="X366" s="1">
        <f t="shared" si="152"/>
        <v>0</v>
      </c>
      <c r="Y366" s="1">
        <f t="shared" si="153"/>
        <v>0</v>
      </c>
      <c r="Z366" s="1">
        <f t="shared" si="154"/>
        <v>0</v>
      </c>
      <c r="AA366" s="1">
        <f t="shared" si="155"/>
        <v>0</v>
      </c>
      <c r="AB366" s="1">
        <f t="shared" si="156"/>
        <v>0</v>
      </c>
      <c r="AD366" s="1">
        <f t="shared" si="157"/>
        <v>0</v>
      </c>
      <c r="AE366" s="1">
        <f t="shared" si="158"/>
        <v>1</v>
      </c>
      <c r="AF366" s="1">
        <f t="shared" si="143"/>
        <v>0</v>
      </c>
      <c r="AG366" s="1">
        <f t="shared" si="144"/>
        <v>1</v>
      </c>
      <c r="AH366" s="1">
        <f t="shared" si="145"/>
        <v>0</v>
      </c>
      <c r="AI366" s="1">
        <f t="shared" si="146"/>
        <v>1</v>
      </c>
    </row>
    <row r="367" spans="1:35" s="1" customFormat="1" ht="14.25" customHeight="1" x14ac:dyDescent="0.25">
      <c r="A367" s="15">
        <v>0</v>
      </c>
      <c r="B367" s="15">
        <v>2</v>
      </c>
      <c r="C367" s="15">
        <v>4</v>
      </c>
      <c r="D367" s="16" t="s">
        <v>870</v>
      </c>
      <c r="E367" s="16" t="s">
        <v>763</v>
      </c>
      <c r="F367" s="16" t="s">
        <v>868</v>
      </c>
      <c r="G367" s="16" t="s">
        <v>278</v>
      </c>
      <c r="H367" s="16" t="s">
        <v>352</v>
      </c>
      <c r="I367" s="15" t="s">
        <v>869</v>
      </c>
      <c r="J367" s="15">
        <v>99</v>
      </c>
      <c r="K367" s="10" t="s">
        <v>699</v>
      </c>
      <c r="L367" s="10">
        <v>25</v>
      </c>
      <c r="M367" s="19" t="s">
        <v>1397</v>
      </c>
      <c r="N367" s="19"/>
      <c r="Q367" s="16"/>
      <c r="S367" s="1">
        <f t="shared" si="147"/>
        <v>0</v>
      </c>
      <c r="T367" s="1">
        <f t="shared" si="148"/>
        <v>0</v>
      </c>
      <c r="U367" s="1">
        <f t="shared" si="149"/>
        <v>0</v>
      </c>
      <c r="V367" s="1">
        <f t="shared" si="150"/>
        <v>0</v>
      </c>
      <c r="W367" s="1">
        <f t="shared" si="151"/>
        <v>0</v>
      </c>
      <c r="X367" s="1">
        <f t="shared" si="152"/>
        <v>0</v>
      </c>
      <c r="Y367" s="1">
        <f t="shared" si="153"/>
        <v>0</v>
      </c>
      <c r="Z367" s="1">
        <f t="shared" si="154"/>
        <v>0</v>
      </c>
      <c r="AA367" s="1">
        <f t="shared" si="155"/>
        <v>0</v>
      </c>
      <c r="AB367" s="1">
        <f t="shared" si="156"/>
        <v>0</v>
      </c>
      <c r="AD367" s="1">
        <f t="shared" si="157"/>
        <v>0</v>
      </c>
      <c r="AE367" s="1">
        <f t="shared" si="158"/>
        <v>0</v>
      </c>
      <c r="AF367" s="1">
        <f t="shared" si="143"/>
        <v>0</v>
      </c>
      <c r="AG367" s="1">
        <f t="shared" si="144"/>
        <v>0</v>
      </c>
      <c r="AH367" s="1">
        <f t="shared" si="145"/>
        <v>0</v>
      </c>
      <c r="AI367" s="1">
        <f t="shared" si="146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911</v>
      </c>
      <c r="E368" s="32" t="s">
        <v>763</v>
      </c>
      <c r="F368" s="32" t="s">
        <v>835</v>
      </c>
      <c r="G368" s="32" t="s">
        <v>208</v>
      </c>
      <c r="H368" s="32" t="s">
        <v>352</v>
      </c>
      <c r="I368" s="31" t="s">
        <v>836</v>
      </c>
      <c r="J368" s="31">
        <v>99</v>
      </c>
      <c r="K368" s="33" t="s">
        <v>708</v>
      </c>
      <c r="L368" s="33" t="s">
        <v>700</v>
      </c>
      <c r="M368" s="34" t="s">
        <v>722</v>
      </c>
      <c r="N368" s="34" t="s">
        <v>1730</v>
      </c>
      <c r="O368" s="35">
        <v>1</v>
      </c>
      <c r="P368" s="35"/>
      <c r="Q368" s="32"/>
      <c r="S368" s="1">
        <f t="shared" si="147"/>
        <v>0</v>
      </c>
      <c r="T368" s="1">
        <f t="shared" si="148"/>
        <v>0</v>
      </c>
      <c r="U368" s="1">
        <f t="shared" si="149"/>
        <v>0</v>
      </c>
      <c r="V368" s="1">
        <f t="shared" si="150"/>
        <v>0</v>
      </c>
      <c r="W368" s="1">
        <f t="shared" si="151"/>
        <v>0</v>
      </c>
      <c r="X368" s="1">
        <f t="shared" si="152"/>
        <v>0</v>
      </c>
      <c r="Y368" s="1">
        <f t="shared" si="153"/>
        <v>0</v>
      </c>
      <c r="Z368" s="1">
        <f t="shared" si="154"/>
        <v>0</v>
      </c>
      <c r="AA368" s="1">
        <f t="shared" si="155"/>
        <v>0</v>
      </c>
      <c r="AB368" s="1">
        <f t="shared" si="156"/>
        <v>0</v>
      </c>
      <c r="AD368" s="1">
        <f t="shared" si="157"/>
        <v>0</v>
      </c>
      <c r="AE368" s="1">
        <f t="shared" si="158"/>
        <v>1</v>
      </c>
      <c r="AF368" s="1">
        <f t="shared" si="143"/>
        <v>0</v>
      </c>
      <c r="AG368" s="1">
        <f t="shared" si="144"/>
        <v>1</v>
      </c>
      <c r="AH368" s="1">
        <f t="shared" si="145"/>
        <v>0</v>
      </c>
      <c r="AI368" s="1">
        <f t="shared" si="146"/>
        <v>1</v>
      </c>
    </row>
    <row r="369" spans="1:35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1998</v>
      </c>
      <c r="E369" s="32" t="s">
        <v>35</v>
      </c>
      <c r="F369" s="32" t="s">
        <v>1999</v>
      </c>
      <c r="G369" s="32" t="s">
        <v>208</v>
      </c>
      <c r="H369" s="32" t="s">
        <v>352</v>
      </c>
      <c r="I369" s="31" t="s">
        <v>2000</v>
      </c>
      <c r="J369" s="31">
        <v>99</v>
      </c>
      <c r="K369" s="33" t="s">
        <v>699</v>
      </c>
      <c r="L369" s="33">
        <v>25</v>
      </c>
      <c r="M369" s="34" t="s">
        <v>2002</v>
      </c>
      <c r="N369" s="34" t="s">
        <v>1823</v>
      </c>
      <c r="O369" s="35">
        <v>1</v>
      </c>
      <c r="P369" s="35"/>
      <c r="Q369" s="32" t="s">
        <v>2001</v>
      </c>
      <c r="S369" s="1">
        <f t="shared" si="147"/>
        <v>0</v>
      </c>
      <c r="T369" s="1">
        <f t="shared" si="148"/>
        <v>0</v>
      </c>
      <c r="U369" s="1">
        <f t="shared" si="149"/>
        <v>0</v>
      </c>
      <c r="V369" s="1">
        <f t="shared" si="150"/>
        <v>0</v>
      </c>
      <c r="W369" s="1">
        <f t="shared" si="151"/>
        <v>0</v>
      </c>
      <c r="X369" s="1">
        <f t="shared" si="152"/>
        <v>0</v>
      </c>
      <c r="Y369" s="1">
        <f t="shared" si="153"/>
        <v>0</v>
      </c>
      <c r="Z369" s="1">
        <f t="shared" si="154"/>
        <v>0</v>
      </c>
      <c r="AA369" s="1">
        <f t="shared" si="155"/>
        <v>0</v>
      </c>
      <c r="AB369" s="1">
        <f t="shared" si="156"/>
        <v>0</v>
      </c>
      <c r="AD369" s="1">
        <f t="shared" si="157"/>
        <v>0</v>
      </c>
      <c r="AE369" s="1">
        <f t="shared" si="158"/>
        <v>1</v>
      </c>
      <c r="AF369" s="1">
        <f t="shared" si="143"/>
        <v>0</v>
      </c>
      <c r="AG369" s="1">
        <f t="shared" si="144"/>
        <v>1</v>
      </c>
      <c r="AH369" s="1">
        <f t="shared" si="145"/>
        <v>0</v>
      </c>
      <c r="AI369" s="1">
        <f t="shared" si="146"/>
        <v>1</v>
      </c>
    </row>
    <row r="370" spans="1:35" s="1" customFormat="1" ht="14.25" customHeight="1" x14ac:dyDescent="0.25">
      <c r="A370" s="44">
        <v>0</v>
      </c>
      <c r="B370" s="44">
        <v>2</v>
      </c>
      <c r="C370" s="44">
        <v>4</v>
      </c>
      <c r="D370" s="45" t="s">
        <v>1204</v>
      </c>
      <c r="E370" s="45" t="s">
        <v>1203</v>
      </c>
      <c r="F370" s="45" t="s">
        <v>1205</v>
      </c>
      <c r="G370" s="45" t="s">
        <v>531</v>
      </c>
      <c r="H370" s="45" t="s">
        <v>352</v>
      </c>
      <c r="I370" s="44" t="s">
        <v>1206</v>
      </c>
      <c r="J370" s="44">
        <v>99</v>
      </c>
      <c r="K370" s="46" t="s">
        <v>709</v>
      </c>
      <c r="L370" s="46" t="s">
        <v>690</v>
      </c>
      <c r="M370" s="47" t="s">
        <v>1398</v>
      </c>
      <c r="N370" s="47" t="s">
        <v>1721</v>
      </c>
      <c r="O370" s="48"/>
      <c r="P370" s="48"/>
      <c r="Q370" s="45"/>
      <c r="S370" s="1">
        <f t="shared" si="147"/>
        <v>0</v>
      </c>
      <c r="T370" s="1">
        <f t="shared" si="148"/>
        <v>0</v>
      </c>
      <c r="U370" s="1">
        <f t="shared" si="149"/>
        <v>0</v>
      </c>
      <c r="V370" s="1">
        <f t="shared" si="150"/>
        <v>0</v>
      </c>
      <c r="W370" s="1">
        <f t="shared" si="151"/>
        <v>0</v>
      </c>
      <c r="X370" s="1">
        <f t="shared" si="152"/>
        <v>0</v>
      </c>
      <c r="Y370" s="1">
        <f t="shared" si="153"/>
        <v>0</v>
      </c>
      <c r="Z370" s="1">
        <f t="shared" si="154"/>
        <v>0</v>
      </c>
      <c r="AA370" s="1">
        <f t="shared" si="155"/>
        <v>0</v>
      </c>
      <c r="AB370" s="1">
        <f t="shared" si="156"/>
        <v>0</v>
      </c>
      <c r="AD370" s="1">
        <f t="shared" si="157"/>
        <v>0</v>
      </c>
      <c r="AE370" s="1">
        <f t="shared" si="158"/>
        <v>0</v>
      </c>
      <c r="AF370" s="1">
        <f t="shared" si="143"/>
        <v>0</v>
      </c>
      <c r="AG370" s="1">
        <f t="shared" si="144"/>
        <v>0</v>
      </c>
      <c r="AH370" s="1">
        <f t="shared" si="145"/>
        <v>0</v>
      </c>
      <c r="AI370" s="1">
        <f t="shared" si="146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814</v>
      </c>
      <c r="E371" s="32" t="s">
        <v>586</v>
      </c>
      <c r="F371" s="32" t="s">
        <v>815</v>
      </c>
      <c r="G371" s="32" t="s">
        <v>925</v>
      </c>
      <c r="H371" s="32" t="s">
        <v>352</v>
      </c>
      <c r="I371" s="31" t="s">
        <v>938</v>
      </c>
      <c r="J371" s="31">
        <v>7</v>
      </c>
      <c r="K371" s="33" t="s">
        <v>708</v>
      </c>
      <c r="L371" s="33" t="s">
        <v>39</v>
      </c>
      <c r="M371" s="34" t="s">
        <v>39</v>
      </c>
      <c r="N371" s="34" t="s">
        <v>1701</v>
      </c>
      <c r="O371" s="35">
        <v>1</v>
      </c>
      <c r="P371" s="35">
        <v>1</v>
      </c>
      <c r="Q371" s="32"/>
      <c r="S371" s="1">
        <f t="shared" si="147"/>
        <v>0</v>
      </c>
      <c r="T371" s="1">
        <f t="shared" si="148"/>
        <v>0</v>
      </c>
      <c r="U371" s="1">
        <f t="shared" si="149"/>
        <v>0</v>
      </c>
      <c r="V371" s="1">
        <f t="shared" si="150"/>
        <v>0</v>
      </c>
      <c r="W371" s="1">
        <f t="shared" si="151"/>
        <v>0</v>
      </c>
      <c r="X371" s="1">
        <f t="shared" si="152"/>
        <v>0</v>
      </c>
      <c r="Y371" s="1">
        <f t="shared" si="153"/>
        <v>1</v>
      </c>
      <c r="Z371" s="1">
        <f t="shared" si="154"/>
        <v>0</v>
      </c>
      <c r="AA371" s="1">
        <f t="shared" si="155"/>
        <v>0</v>
      </c>
      <c r="AB371" s="1">
        <f t="shared" si="156"/>
        <v>0</v>
      </c>
      <c r="AD371" s="1">
        <f t="shared" si="157"/>
        <v>1</v>
      </c>
      <c r="AE371" s="1">
        <f t="shared" si="158"/>
        <v>0</v>
      </c>
      <c r="AF371" s="1">
        <f t="shared" si="143"/>
        <v>1</v>
      </c>
      <c r="AG371" s="1">
        <f t="shared" si="144"/>
        <v>0</v>
      </c>
      <c r="AH371" s="1">
        <f t="shared" si="145"/>
        <v>1</v>
      </c>
      <c r="AI371" s="1">
        <f t="shared" si="146"/>
        <v>0</v>
      </c>
    </row>
    <row r="372" spans="1:35" s="1" customFormat="1" ht="14.25" customHeight="1" x14ac:dyDescent="0.25">
      <c r="A372" s="44">
        <v>0</v>
      </c>
      <c r="B372" s="44">
        <v>2</v>
      </c>
      <c r="C372" s="44">
        <v>4</v>
      </c>
      <c r="D372" s="45" t="s">
        <v>1579</v>
      </c>
      <c r="E372" s="45" t="s">
        <v>1629</v>
      </c>
      <c r="F372" s="45" t="s">
        <v>1580</v>
      </c>
      <c r="G372" s="45" t="s">
        <v>331</v>
      </c>
      <c r="H372" s="45" t="s">
        <v>352</v>
      </c>
      <c r="I372" s="44" t="s">
        <v>30</v>
      </c>
      <c r="J372" s="44">
        <v>99</v>
      </c>
      <c r="K372" s="46" t="s">
        <v>709</v>
      </c>
      <c r="L372" s="46">
        <v>20</v>
      </c>
      <c r="M372" s="47" t="s">
        <v>39</v>
      </c>
      <c r="N372" s="47" t="s">
        <v>1715</v>
      </c>
      <c r="O372" s="48"/>
      <c r="P372" s="48"/>
      <c r="Q372" s="45"/>
      <c r="S372" s="1">
        <f t="shared" si="147"/>
        <v>0</v>
      </c>
      <c r="T372" s="1">
        <f t="shared" si="148"/>
        <v>0</v>
      </c>
      <c r="U372" s="1">
        <f t="shared" si="149"/>
        <v>0</v>
      </c>
      <c r="V372" s="1">
        <f t="shared" si="150"/>
        <v>0</v>
      </c>
      <c r="W372" s="1">
        <f t="shared" si="151"/>
        <v>0</v>
      </c>
      <c r="X372" s="1">
        <f t="shared" si="152"/>
        <v>0</v>
      </c>
      <c r="Y372" s="1">
        <f t="shared" si="153"/>
        <v>0</v>
      </c>
      <c r="Z372" s="1">
        <f t="shared" si="154"/>
        <v>0</v>
      </c>
      <c r="AA372" s="1">
        <f t="shared" si="155"/>
        <v>0</v>
      </c>
      <c r="AB372" s="1">
        <f t="shared" si="156"/>
        <v>0</v>
      </c>
      <c r="AD372" s="1">
        <f t="shared" si="157"/>
        <v>0</v>
      </c>
      <c r="AE372" s="1">
        <f t="shared" si="158"/>
        <v>0</v>
      </c>
      <c r="AF372" s="1">
        <f t="shared" si="143"/>
        <v>0</v>
      </c>
      <c r="AG372" s="1">
        <f t="shared" si="144"/>
        <v>0</v>
      </c>
      <c r="AH372" s="1">
        <f t="shared" si="145"/>
        <v>0</v>
      </c>
      <c r="AI372" s="1">
        <f t="shared" si="146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5</v>
      </c>
      <c r="D373" s="32" t="s">
        <v>58</v>
      </c>
      <c r="E373" s="32" t="s">
        <v>44</v>
      </c>
      <c r="F373" s="32" t="s">
        <v>667</v>
      </c>
      <c r="G373" s="32" t="s">
        <v>222</v>
      </c>
      <c r="H373" s="32" t="s">
        <v>352</v>
      </c>
      <c r="I373" s="31" t="s">
        <v>395</v>
      </c>
      <c r="J373" s="31">
        <v>8</v>
      </c>
      <c r="K373" s="33" t="s">
        <v>709</v>
      </c>
      <c r="L373" s="33" t="s">
        <v>712</v>
      </c>
      <c r="M373" s="34" t="s">
        <v>1399</v>
      </c>
      <c r="N373" s="34" t="s">
        <v>1722</v>
      </c>
      <c r="O373" s="35">
        <v>1</v>
      </c>
      <c r="P373" s="35"/>
      <c r="Q373" s="32"/>
      <c r="S373" s="1">
        <f t="shared" si="147"/>
        <v>0</v>
      </c>
      <c r="T373" s="1">
        <f t="shared" si="148"/>
        <v>0</v>
      </c>
      <c r="U373" s="1">
        <f t="shared" si="149"/>
        <v>0</v>
      </c>
      <c r="V373" s="1">
        <f t="shared" si="150"/>
        <v>0</v>
      </c>
      <c r="W373" s="1">
        <f t="shared" si="151"/>
        <v>0</v>
      </c>
      <c r="X373" s="1">
        <f t="shared" si="152"/>
        <v>0</v>
      </c>
      <c r="Y373" s="1">
        <f t="shared" si="153"/>
        <v>0</v>
      </c>
      <c r="Z373" s="1">
        <f t="shared" si="154"/>
        <v>1</v>
      </c>
      <c r="AA373" s="1">
        <f t="shared" si="155"/>
        <v>0</v>
      </c>
      <c r="AB373" s="1">
        <f t="shared" si="156"/>
        <v>0</v>
      </c>
      <c r="AD373" s="1">
        <f t="shared" si="157"/>
        <v>0</v>
      </c>
      <c r="AE373" s="1">
        <f t="shared" si="158"/>
        <v>1</v>
      </c>
      <c r="AF373" s="1">
        <f t="shared" si="143"/>
        <v>0</v>
      </c>
      <c r="AG373" s="1">
        <f t="shared" si="144"/>
        <v>1</v>
      </c>
      <c r="AH373" s="1">
        <f t="shared" si="145"/>
        <v>0</v>
      </c>
      <c r="AI373" s="1">
        <f t="shared" si="146"/>
        <v>1</v>
      </c>
    </row>
    <row r="374" spans="1:35" s="1" customFormat="1" ht="14.25" customHeight="1" x14ac:dyDescent="0.25">
      <c r="A374" s="44">
        <v>0</v>
      </c>
      <c r="B374" s="44">
        <v>2</v>
      </c>
      <c r="C374" s="44">
        <v>5</v>
      </c>
      <c r="D374" s="45" t="s">
        <v>823</v>
      </c>
      <c r="E374" s="45" t="s">
        <v>822</v>
      </c>
      <c r="F374" s="45" t="s">
        <v>913</v>
      </c>
      <c r="G374" s="45" t="s">
        <v>212</v>
      </c>
      <c r="H374" s="45" t="s">
        <v>352</v>
      </c>
      <c r="I374" s="44" t="s">
        <v>824</v>
      </c>
      <c r="J374" s="44">
        <v>1</v>
      </c>
      <c r="K374" s="46" t="s">
        <v>708</v>
      </c>
      <c r="L374" s="46" t="s">
        <v>689</v>
      </c>
      <c r="M374" s="47" t="s">
        <v>1400</v>
      </c>
      <c r="N374" s="47" t="s">
        <v>1709</v>
      </c>
      <c r="O374" s="48"/>
      <c r="P374" s="48"/>
      <c r="Q374" s="45"/>
      <c r="S374" s="1">
        <f t="shared" si="147"/>
        <v>1</v>
      </c>
      <c r="T374" s="1">
        <f t="shared" si="148"/>
        <v>0</v>
      </c>
      <c r="U374" s="1">
        <f t="shared" si="149"/>
        <v>0</v>
      </c>
      <c r="V374" s="1">
        <f t="shared" si="150"/>
        <v>0</v>
      </c>
      <c r="W374" s="1">
        <f t="shared" si="151"/>
        <v>0</v>
      </c>
      <c r="X374" s="1">
        <f t="shared" si="152"/>
        <v>0</v>
      </c>
      <c r="Y374" s="1">
        <f t="shared" si="153"/>
        <v>0</v>
      </c>
      <c r="Z374" s="1">
        <f t="shared" si="154"/>
        <v>0</v>
      </c>
      <c r="AA374" s="1">
        <f t="shared" si="155"/>
        <v>0</v>
      </c>
      <c r="AB374" s="1">
        <f t="shared" si="156"/>
        <v>0</v>
      </c>
      <c r="AD374" s="1">
        <f t="shared" si="157"/>
        <v>0</v>
      </c>
      <c r="AE374" s="1">
        <f t="shared" si="158"/>
        <v>0</v>
      </c>
      <c r="AF374" s="1">
        <f t="shared" si="143"/>
        <v>0</v>
      </c>
      <c r="AG374" s="1">
        <f t="shared" si="144"/>
        <v>0</v>
      </c>
      <c r="AH374" s="1">
        <f t="shared" si="145"/>
        <v>0</v>
      </c>
      <c r="AI374" s="1">
        <f t="shared" si="146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5</v>
      </c>
      <c r="D375" s="36" t="s">
        <v>2031</v>
      </c>
      <c r="E375" s="36" t="s">
        <v>169</v>
      </c>
      <c r="F375" s="36" t="s">
        <v>2032</v>
      </c>
      <c r="G375" s="36" t="s">
        <v>1508</v>
      </c>
      <c r="H375" s="36" t="s">
        <v>352</v>
      </c>
      <c r="I375" s="37" t="s">
        <v>2033</v>
      </c>
      <c r="J375" s="31">
        <v>5</v>
      </c>
      <c r="K375" s="33" t="s">
        <v>699</v>
      </c>
      <c r="L375" s="33"/>
      <c r="M375" s="34"/>
      <c r="N375" s="34" t="s">
        <v>1701</v>
      </c>
      <c r="O375" s="35">
        <v>1</v>
      </c>
      <c r="P375" s="35">
        <v>1</v>
      </c>
      <c r="Q375" s="36" t="s">
        <v>2034</v>
      </c>
      <c r="S375" s="1">
        <f t="shared" si="147"/>
        <v>0</v>
      </c>
      <c r="T375" s="1">
        <f t="shared" si="148"/>
        <v>0</v>
      </c>
      <c r="U375" s="1">
        <f t="shared" si="149"/>
        <v>0</v>
      </c>
      <c r="V375" s="1">
        <f t="shared" si="150"/>
        <v>0</v>
      </c>
      <c r="W375" s="1">
        <f t="shared" si="151"/>
        <v>1</v>
      </c>
      <c r="X375" s="1">
        <f t="shared" si="152"/>
        <v>0</v>
      </c>
      <c r="Y375" s="1">
        <f t="shared" si="153"/>
        <v>0</v>
      </c>
      <c r="Z375" s="1">
        <f t="shared" si="154"/>
        <v>0</v>
      </c>
      <c r="AA375" s="1">
        <f t="shared" si="155"/>
        <v>0</v>
      </c>
      <c r="AB375" s="1">
        <f t="shared" si="156"/>
        <v>0</v>
      </c>
      <c r="AD375" s="1">
        <f t="shared" si="157"/>
        <v>1</v>
      </c>
      <c r="AE375" s="1">
        <f t="shared" si="158"/>
        <v>0</v>
      </c>
      <c r="AF375" s="1">
        <f t="shared" si="143"/>
        <v>1</v>
      </c>
      <c r="AG375" s="1">
        <f t="shared" si="144"/>
        <v>0</v>
      </c>
      <c r="AH375" s="1">
        <f t="shared" si="145"/>
        <v>1</v>
      </c>
      <c r="AI375" s="1">
        <f t="shared" si="146"/>
        <v>0</v>
      </c>
    </row>
    <row r="376" spans="1:35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65</v>
      </c>
      <c r="E376" s="32" t="s">
        <v>163</v>
      </c>
      <c r="F376" s="32" t="s">
        <v>543</v>
      </c>
      <c r="G376" s="32" t="s">
        <v>193</v>
      </c>
      <c r="H376" s="32" t="s">
        <v>352</v>
      </c>
      <c r="I376" s="31" t="s">
        <v>548</v>
      </c>
      <c r="J376" s="31">
        <v>9</v>
      </c>
      <c r="K376" s="33" t="s">
        <v>709</v>
      </c>
      <c r="L376" s="33" t="s">
        <v>683</v>
      </c>
      <c r="M376" s="34" t="s">
        <v>1418</v>
      </c>
      <c r="N376" s="34" t="s">
        <v>1735</v>
      </c>
      <c r="O376" s="35">
        <v>1</v>
      </c>
      <c r="P376" s="35"/>
      <c r="Q376" s="32"/>
      <c r="S376" s="1">
        <f t="shared" si="147"/>
        <v>0</v>
      </c>
      <c r="T376" s="1">
        <f t="shared" si="148"/>
        <v>0</v>
      </c>
      <c r="U376" s="1">
        <f t="shared" si="149"/>
        <v>0</v>
      </c>
      <c r="V376" s="1">
        <f t="shared" si="150"/>
        <v>0</v>
      </c>
      <c r="W376" s="1">
        <f t="shared" si="151"/>
        <v>0</v>
      </c>
      <c r="X376" s="1">
        <f t="shared" si="152"/>
        <v>0</v>
      </c>
      <c r="Y376" s="1">
        <f t="shared" si="153"/>
        <v>0</v>
      </c>
      <c r="Z376" s="1">
        <f t="shared" si="154"/>
        <v>0</v>
      </c>
      <c r="AA376" s="1">
        <f t="shared" si="155"/>
        <v>1</v>
      </c>
      <c r="AB376" s="1">
        <f t="shared" si="156"/>
        <v>0</v>
      </c>
      <c r="AD376" s="1">
        <f t="shared" si="157"/>
        <v>0</v>
      </c>
      <c r="AE376" s="1">
        <f t="shared" si="158"/>
        <v>1</v>
      </c>
      <c r="AF376" s="1">
        <f t="shared" si="143"/>
        <v>0</v>
      </c>
      <c r="AG376" s="1">
        <f t="shared" si="144"/>
        <v>1</v>
      </c>
      <c r="AH376" s="1">
        <f t="shared" si="145"/>
        <v>0</v>
      </c>
      <c r="AI376" s="1">
        <f t="shared" si="146"/>
        <v>1</v>
      </c>
    </row>
    <row r="377" spans="1:35" s="1" customFormat="1" ht="14.25" customHeight="1" x14ac:dyDescent="0.25">
      <c r="A377" s="44">
        <v>0</v>
      </c>
      <c r="B377" s="44">
        <v>2</v>
      </c>
      <c r="C377" s="44">
        <v>5</v>
      </c>
      <c r="D377" s="45" t="s">
        <v>1461</v>
      </c>
      <c r="E377" s="45" t="s">
        <v>35</v>
      </c>
      <c r="F377" s="64" t="s">
        <v>1847</v>
      </c>
      <c r="G377" s="45" t="s">
        <v>221</v>
      </c>
      <c r="H377" s="45" t="s">
        <v>352</v>
      </c>
      <c r="I377" s="44" t="s">
        <v>1660</v>
      </c>
      <c r="J377" s="44">
        <v>99</v>
      </c>
      <c r="K377" s="46" t="s">
        <v>709</v>
      </c>
      <c r="L377" s="46">
        <v>25</v>
      </c>
      <c r="M377" s="47" t="s">
        <v>39</v>
      </c>
      <c r="N377" s="47" t="s">
        <v>1711</v>
      </c>
      <c r="O377" s="48"/>
      <c r="P377" s="48"/>
      <c r="Q377" s="45"/>
      <c r="S377" s="1">
        <f t="shared" si="147"/>
        <v>0</v>
      </c>
      <c r="T377" s="1">
        <f t="shared" si="148"/>
        <v>0</v>
      </c>
      <c r="U377" s="1">
        <f t="shared" si="149"/>
        <v>0</v>
      </c>
      <c r="V377" s="1">
        <f t="shared" si="150"/>
        <v>0</v>
      </c>
      <c r="W377" s="1">
        <f t="shared" si="151"/>
        <v>0</v>
      </c>
      <c r="X377" s="1">
        <f t="shared" si="152"/>
        <v>0</v>
      </c>
      <c r="Y377" s="1">
        <f t="shared" si="153"/>
        <v>0</v>
      </c>
      <c r="Z377" s="1">
        <f t="shared" si="154"/>
        <v>0</v>
      </c>
      <c r="AA377" s="1">
        <f t="shared" si="155"/>
        <v>0</v>
      </c>
      <c r="AB377" s="1">
        <f t="shared" si="156"/>
        <v>0</v>
      </c>
      <c r="AD377" s="1">
        <f t="shared" si="157"/>
        <v>0</v>
      </c>
      <c r="AE377" s="1">
        <f t="shared" si="158"/>
        <v>0</v>
      </c>
      <c r="AF377" s="1">
        <f t="shared" si="143"/>
        <v>0</v>
      </c>
      <c r="AG377" s="1">
        <f t="shared" si="144"/>
        <v>0</v>
      </c>
      <c r="AH377" s="1">
        <f t="shared" si="145"/>
        <v>0</v>
      </c>
      <c r="AI377" s="1">
        <f t="shared" si="146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1793</v>
      </c>
      <c r="E378" s="32" t="s">
        <v>763</v>
      </c>
      <c r="F378" s="32" t="s">
        <v>1794</v>
      </c>
      <c r="G378" s="32" t="s">
        <v>223</v>
      </c>
      <c r="H378" s="32" t="s">
        <v>352</v>
      </c>
      <c r="I378" s="31" t="s">
        <v>1795</v>
      </c>
      <c r="J378" s="31">
        <v>99</v>
      </c>
      <c r="K378" s="33" t="s">
        <v>1796</v>
      </c>
      <c r="L378" s="33">
        <v>40</v>
      </c>
      <c r="M378" s="34" t="s">
        <v>1797</v>
      </c>
      <c r="N378" s="34" t="s">
        <v>1823</v>
      </c>
      <c r="O378" s="35">
        <v>1</v>
      </c>
      <c r="P378" s="35"/>
      <c r="Q378" s="32"/>
      <c r="S378" s="1">
        <f t="shared" si="147"/>
        <v>0</v>
      </c>
      <c r="T378" s="1">
        <f t="shared" si="148"/>
        <v>0</v>
      </c>
      <c r="U378" s="1">
        <f t="shared" si="149"/>
        <v>0</v>
      </c>
      <c r="V378" s="1">
        <f t="shared" si="150"/>
        <v>0</v>
      </c>
      <c r="W378" s="1">
        <f t="shared" si="151"/>
        <v>0</v>
      </c>
      <c r="X378" s="1">
        <f t="shared" si="152"/>
        <v>0</v>
      </c>
      <c r="Y378" s="1">
        <f t="shared" si="153"/>
        <v>0</v>
      </c>
      <c r="Z378" s="1">
        <f t="shared" si="154"/>
        <v>0</v>
      </c>
      <c r="AA378" s="1">
        <f t="shared" si="155"/>
        <v>0</v>
      </c>
      <c r="AB378" s="1">
        <f t="shared" si="156"/>
        <v>0</v>
      </c>
      <c r="AD378" s="1">
        <f t="shared" si="157"/>
        <v>0</v>
      </c>
      <c r="AE378" s="1">
        <f t="shared" si="158"/>
        <v>1</v>
      </c>
      <c r="AF378" s="1">
        <f t="shared" si="143"/>
        <v>0</v>
      </c>
      <c r="AG378" s="1">
        <f t="shared" si="144"/>
        <v>1</v>
      </c>
      <c r="AH378" s="1">
        <f t="shared" si="145"/>
        <v>0</v>
      </c>
      <c r="AI378" s="1">
        <f t="shared" si="146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612</v>
      </c>
      <c r="E379" s="32" t="s">
        <v>682</v>
      </c>
      <c r="F379" s="32" t="s">
        <v>613</v>
      </c>
      <c r="G379" s="32" t="s">
        <v>285</v>
      </c>
      <c r="H379" s="32" t="s">
        <v>352</v>
      </c>
      <c r="I379" s="31" t="s">
        <v>614</v>
      </c>
      <c r="J379" s="31">
        <v>99</v>
      </c>
      <c r="K379" s="33" t="s">
        <v>708</v>
      </c>
      <c r="L379" s="33" t="s">
        <v>700</v>
      </c>
      <c r="M379" s="34" t="s">
        <v>1401</v>
      </c>
      <c r="N379" s="34" t="s">
        <v>1717</v>
      </c>
      <c r="O379" s="35">
        <v>1</v>
      </c>
      <c r="P379" s="35"/>
      <c r="Q379" s="32"/>
      <c r="S379" s="1">
        <f t="shared" si="147"/>
        <v>0</v>
      </c>
      <c r="T379" s="1">
        <f t="shared" si="148"/>
        <v>0</v>
      </c>
      <c r="U379" s="1">
        <f t="shared" si="149"/>
        <v>0</v>
      </c>
      <c r="V379" s="1">
        <f t="shared" si="150"/>
        <v>0</v>
      </c>
      <c r="W379" s="1">
        <f t="shared" si="151"/>
        <v>0</v>
      </c>
      <c r="X379" s="1">
        <f t="shared" si="152"/>
        <v>0</v>
      </c>
      <c r="Y379" s="1">
        <f t="shared" si="153"/>
        <v>0</v>
      </c>
      <c r="Z379" s="1">
        <f t="shared" si="154"/>
        <v>0</v>
      </c>
      <c r="AA379" s="1">
        <f t="shared" si="155"/>
        <v>0</v>
      </c>
      <c r="AB379" s="1">
        <f t="shared" si="156"/>
        <v>0</v>
      </c>
      <c r="AD379" s="1">
        <f t="shared" si="157"/>
        <v>0</v>
      </c>
      <c r="AE379" s="1">
        <f t="shared" si="158"/>
        <v>1</v>
      </c>
      <c r="AF379" s="1">
        <f t="shared" si="143"/>
        <v>0</v>
      </c>
      <c r="AG379" s="1">
        <f t="shared" si="144"/>
        <v>1</v>
      </c>
      <c r="AH379" s="1">
        <f t="shared" si="145"/>
        <v>0</v>
      </c>
      <c r="AI379" s="1">
        <f t="shared" si="146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1463</v>
      </c>
      <c r="E380" s="32" t="s">
        <v>763</v>
      </c>
      <c r="F380" s="32" t="s">
        <v>1464</v>
      </c>
      <c r="G380" s="32" t="s">
        <v>195</v>
      </c>
      <c r="H380" s="32" t="s">
        <v>352</v>
      </c>
      <c r="I380" s="31" t="s">
        <v>1465</v>
      </c>
      <c r="J380" s="31">
        <v>99</v>
      </c>
      <c r="K380" s="33" t="s">
        <v>941</v>
      </c>
      <c r="L380" s="33" t="s">
        <v>689</v>
      </c>
      <c r="M380" s="34" t="s">
        <v>1392</v>
      </c>
      <c r="N380" s="34" t="s">
        <v>1717</v>
      </c>
      <c r="O380" s="35">
        <v>1</v>
      </c>
      <c r="P380" s="35"/>
      <c r="Q380" s="32"/>
      <c r="S380" s="1">
        <f t="shared" si="147"/>
        <v>0</v>
      </c>
      <c r="T380" s="1">
        <f t="shared" si="148"/>
        <v>0</v>
      </c>
      <c r="U380" s="1">
        <f t="shared" si="149"/>
        <v>0</v>
      </c>
      <c r="V380" s="1">
        <f t="shared" si="150"/>
        <v>0</v>
      </c>
      <c r="W380" s="1">
        <f t="shared" si="151"/>
        <v>0</v>
      </c>
      <c r="X380" s="1">
        <f t="shared" si="152"/>
        <v>0</v>
      </c>
      <c r="Y380" s="1">
        <f t="shared" si="153"/>
        <v>0</v>
      </c>
      <c r="Z380" s="1">
        <f t="shared" si="154"/>
        <v>0</v>
      </c>
      <c r="AA380" s="1">
        <f t="shared" si="155"/>
        <v>0</v>
      </c>
      <c r="AB380" s="1">
        <f t="shared" si="156"/>
        <v>0</v>
      </c>
      <c r="AD380" s="1">
        <f t="shared" si="157"/>
        <v>0</v>
      </c>
      <c r="AE380" s="1">
        <f t="shared" si="158"/>
        <v>1</v>
      </c>
      <c r="AF380" s="1">
        <f t="shared" si="143"/>
        <v>0</v>
      </c>
      <c r="AG380" s="1">
        <f t="shared" si="144"/>
        <v>1</v>
      </c>
      <c r="AH380" s="1">
        <f t="shared" si="145"/>
        <v>0</v>
      </c>
      <c r="AI380" s="1">
        <f t="shared" si="146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766</v>
      </c>
      <c r="E381" s="32" t="s">
        <v>763</v>
      </c>
      <c r="F381" s="32" t="s">
        <v>768</v>
      </c>
      <c r="G381" s="32" t="s">
        <v>206</v>
      </c>
      <c r="H381" s="32" t="s">
        <v>352</v>
      </c>
      <c r="I381" s="31" t="s">
        <v>767</v>
      </c>
      <c r="J381" s="31">
        <v>99</v>
      </c>
      <c r="K381" s="33" t="s">
        <v>708</v>
      </c>
      <c r="L381" s="33" t="s">
        <v>690</v>
      </c>
      <c r="M381" s="34" t="s">
        <v>1402</v>
      </c>
      <c r="N381" s="34" t="s">
        <v>1717</v>
      </c>
      <c r="O381" s="35">
        <v>1</v>
      </c>
      <c r="P381" s="35"/>
      <c r="Q381" s="32"/>
      <c r="S381" s="1">
        <f t="shared" si="147"/>
        <v>0</v>
      </c>
      <c r="T381" s="1">
        <f t="shared" si="148"/>
        <v>0</v>
      </c>
      <c r="U381" s="1">
        <f t="shared" si="149"/>
        <v>0</v>
      </c>
      <c r="V381" s="1">
        <f t="shared" si="150"/>
        <v>0</v>
      </c>
      <c r="W381" s="1">
        <f t="shared" si="151"/>
        <v>0</v>
      </c>
      <c r="X381" s="1">
        <f t="shared" si="152"/>
        <v>0</v>
      </c>
      <c r="Y381" s="1">
        <f t="shared" si="153"/>
        <v>0</v>
      </c>
      <c r="Z381" s="1">
        <f t="shared" si="154"/>
        <v>0</v>
      </c>
      <c r="AA381" s="1">
        <f t="shared" si="155"/>
        <v>0</v>
      </c>
      <c r="AB381" s="1">
        <f t="shared" si="156"/>
        <v>0</v>
      </c>
      <c r="AD381" s="1">
        <f t="shared" si="157"/>
        <v>0</v>
      </c>
      <c r="AE381" s="1">
        <f t="shared" si="158"/>
        <v>1</v>
      </c>
      <c r="AF381" s="1">
        <f t="shared" si="143"/>
        <v>0</v>
      </c>
      <c r="AG381" s="1">
        <f t="shared" si="144"/>
        <v>1</v>
      </c>
      <c r="AH381" s="1">
        <f t="shared" si="145"/>
        <v>0</v>
      </c>
      <c r="AI381" s="1">
        <f t="shared" si="146"/>
        <v>1</v>
      </c>
    </row>
    <row r="382" spans="1:35" s="1" customFormat="1" ht="14.25" customHeight="1" x14ac:dyDescent="0.25">
      <c r="A382" s="31">
        <v>1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993</v>
      </c>
      <c r="G382" s="32" t="s">
        <v>189</v>
      </c>
      <c r="H382" s="32" t="s">
        <v>352</v>
      </c>
      <c r="I382" s="31" t="s">
        <v>994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47"/>
        <v>0</v>
      </c>
      <c r="T382" s="1">
        <f t="shared" si="148"/>
        <v>0</v>
      </c>
      <c r="U382" s="1">
        <f t="shared" si="149"/>
        <v>0</v>
      </c>
      <c r="V382" s="1">
        <f t="shared" si="150"/>
        <v>0</v>
      </c>
      <c r="W382" s="1">
        <f t="shared" si="151"/>
        <v>0</v>
      </c>
      <c r="X382" s="1">
        <f t="shared" si="152"/>
        <v>0</v>
      </c>
      <c r="Y382" s="1">
        <f t="shared" si="153"/>
        <v>0</v>
      </c>
      <c r="Z382" s="1">
        <f t="shared" si="154"/>
        <v>0</v>
      </c>
      <c r="AA382" s="1">
        <f t="shared" si="155"/>
        <v>0</v>
      </c>
      <c r="AB382" s="1">
        <f t="shared" si="156"/>
        <v>0</v>
      </c>
      <c r="AD382" s="1">
        <f t="shared" si="157"/>
        <v>0</v>
      </c>
      <c r="AE382" s="1">
        <f t="shared" si="158"/>
        <v>1</v>
      </c>
      <c r="AF382" s="1">
        <f t="shared" si="143"/>
        <v>0</v>
      </c>
      <c r="AG382" s="1">
        <f t="shared" si="144"/>
        <v>0</v>
      </c>
      <c r="AH382" s="1">
        <f t="shared" si="145"/>
        <v>0</v>
      </c>
      <c r="AI382" s="1">
        <f t="shared" si="146"/>
        <v>0</v>
      </c>
    </row>
    <row r="383" spans="1:35" s="1" customFormat="1" ht="14.25" customHeight="1" x14ac:dyDescent="0.25">
      <c r="A383" s="15">
        <v>0</v>
      </c>
      <c r="B383" s="15">
        <v>2</v>
      </c>
      <c r="C383" s="15">
        <v>5</v>
      </c>
      <c r="D383" s="16" t="s">
        <v>905</v>
      </c>
      <c r="E383" s="16" t="s">
        <v>900</v>
      </c>
      <c r="F383" s="16" t="s">
        <v>918</v>
      </c>
      <c r="G383" s="16" t="s">
        <v>1329</v>
      </c>
      <c r="H383" s="16" t="s">
        <v>352</v>
      </c>
      <c r="I383" s="15" t="s">
        <v>761</v>
      </c>
      <c r="J383" s="15">
        <v>99</v>
      </c>
      <c r="K383" s="10" t="s">
        <v>699</v>
      </c>
      <c r="L383" s="10">
        <v>20</v>
      </c>
      <c r="M383" s="19" t="s">
        <v>1403</v>
      </c>
      <c r="N383" s="19"/>
      <c r="Q383" s="16"/>
      <c r="S383" s="1">
        <f t="shared" si="147"/>
        <v>0</v>
      </c>
      <c r="T383" s="1">
        <f t="shared" si="148"/>
        <v>0</v>
      </c>
      <c r="U383" s="1">
        <f t="shared" si="149"/>
        <v>0</v>
      </c>
      <c r="V383" s="1">
        <f t="shared" si="150"/>
        <v>0</v>
      </c>
      <c r="W383" s="1">
        <f t="shared" si="151"/>
        <v>0</v>
      </c>
      <c r="X383" s="1">
        <f t="shared" si="152"/>
        <v>0</v>
      </c>
      <c r="Y383" s="1">
        <f t="shared" si="153"/>
        <v>0</v>
      </c>
      <c r="Z383" s="1">
        <f t="shared" si="154"/>
        <v>0</v>
      </c>
      <c r="AA383" s="1">
        <f t="shared" si="155"/>
        <v>0</v>
      </c>
      <c r="AB383" s="1">
        <f t="shared" si="156"/>
        <v>0</v>
      </c>
      <c r="AD383" s="1">
        <f t="shared" si="157"/>
        <v>0</v>
      </c>
      <c r="AE383" s="1">
        <f t="shared" si="158"/>
        <v>0</v>
      </c>
      <c r="AF383" s="1">
        <f t="shared" si="143"/>
        <v>0</v>
      </c>
      <c r="AG383" s="1">
        <f t="shared" si="144"/>
        <v>0</v>
      </c>
      <c r="AH383" s="1">
        <f t="shared" si="145"/>
        <v>0</v>
      </c>
      <c r="AI383" s="1">
        <f t="shared" si="146"/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1895</v>
      </c>
      <c r="E384" s="32"/>
      <c r="F384" s="32" t="s">
        <v>1896</v>
      </c>
      <c r="G384" s="32" t="s">
        <v>207</v>
      </c>
      <c r="H384" s="32" t="s">
        <v>352</v>
      </c>
      <c r="I384" s="31" t="s">
        <v>1897</v>
      </c>
      <c r="J384" s="31">
        <v>3</v>
      </c>
      <c r="K384" s="33" t="s">
        <v>699</v>
      </c>
      <c r="L384" s="33"/>
      <c r="M384" s="34"/>
      <c r="N384" s="34" t="s">
        <v>1701</v>
      </c>
      <c r="O384" s="35">
        <v>1</v>
      </c>
      <c r="P384" s="35">
        <v>1</v>
      </c>
      <c r="Q384" s="32" t="s">
        <v>1898</v>
      </c>
      <c r="S384" s="1">
        <f t="shared" si="147"/>
        <v>0</v>
      </c>
      <c r="T384" s="1">
        <f t="shared" si="148"/>
        <v>0</v>
      </c>
      <c r="U384" s="1">
        <f t="shared" si="149"/>
        <v>1</v>
      </c>
      <c r="V384" s="1">
        <f t="shared" si="150"/>
        <v>0</v>
      </c>
      <c r="W384" s="1">
        <f t="shared" si="151"/>
        <v>0</v>
      </c>
      <c r="X384" s="1">
        <f t="shared" si="152"/>
        <v>0</v>
      </c>
      <c r="Y384" s="1">
        <f t="shared" si="153"/>
        <v>0</v>
      </c>
      <c r="Z384" s="1">
        <f t="shared" si="154"/>
        <v>0</v>
      </c>
      <c r="AA384" s="1">
        <f t="shared" si="155"/>
        <v>0</v>
      </c>
      <c r="AB384" s="1">
        <f t="shared" si="156"/>
        <v>0</v>
      </c>
      <c r="AD384" s="1">
        <f t="shared" si="157"/>
        <v>1</v>
      </c>
      <c r="AE384" s="1">
        <f t="shared" si="158"/>
        <v>0</v>
      </c>
      <c r="AF384" s="1">
        <f t="shared" si="143"/>
        <v>1</v>
      </c>
      <c r="AG384" s="1">
        <f t="shared" si="144"/>
        <v>0</v>
      </c>
      <c r="AH384" s="1">
        <f t="shared" si="145"/>
        <v>1</v>
      </c>
      <c r="AI384" s="1">
        <f t="shared" si="146"/>
        <v>0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1250</v>
      </c>
      <c r="E385" s="32" t="s">
        <v>1251</v>
      </c>
      <c r="F385" s="32" t="s">
        <v>1252</v>
      </c>
      <c r="G385" s="32" t="s">
        <v>219</v>
      </c>
      <c r="H385" s="32" t="s">
        <v>352</v>
      </c>
      <c r="I385" s="31" t="s">
        <v>1697</v>
      </c>
      <c r="J385" s="31">
        <v>8</v>
      </c>
      <c r="K385" s="33" t="s">
        <v>709</v>
      </c>
      <c r="L385" s="33" t="s">
        <v>39</v>
      </c>
      <c r="M385" s="34" t="s">
        <v>39</v>
      </c>
      <c r="N385" s="34" t="s">
        <v>1701</v>
      </c>
      <c r="O385" s="35">
        <v>1</v>
      </c>
      <c r="P385" s="35">
        <v>1</v>
      </c>
      <c r="Q385" s="32"/>
      <c r="S385" s="1">
        <f t="shared" si="147"/>
        <v>0</v>
      </c>
      <c r="T385" s="1">
        <f t="shared" si="148"/>
        <v>0</v>
      </c>
      <c r="U385" s="1">
        <f t="shared" si="149"/>
        <v>0</v>
      </c>
      <c r="V385" s="1">
        <f t="shared" si="150"/>
        <v>0</v>
      </c>
      <c r="W385" s="1">
        <f t="shared" si="151"/>
        <v>0</v>
      </c>
      <c r="X385" s="1">
        <f t="shared" si="152"/>
        <v>0</v>
      </c>
      <c r="Y385" s="1">
        <f t="shared" si="153"/>
        <v>0</v>
      </c>
      <c r="Z385" s="1">
        <f t="shared" si="154"/>
        <v>1</v>
      </c>
      <c r="AA385" s="1">
        <f t="shared" si="155"/>
        <v>0</v>
      </c>
      <c r="AB385" s="1">
        <f t="shared" si="156"/>
        <v>0</v>
      </c>
      <c r="AD385" s="1">
        <f t="shared" si="157"/>
        <v>1</v>
      </c>
      <c r="AE385" s="1">
        <f t="shared" si="158"/>
        <v>0</v>
      </c>
      <c r="AF385" s="1">
        <f t="shared" si="143"/>
        <v>1</v>
      </c>
      <c r="AG385" s="1">
        <f t="shared" si="144"/>
        <v>0</v>
      </c>
      <c r="AH385" s="1">
        <f t="shared" si="145"/>
        <v>1</v>
      </c>
      <c r="AI385" s="1">
        <f t="shared" si="146"/>
        <v>0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1069</v>
      </c>
      <c r="E386" s="32" t="s">
        <v>154</v>
      </c>
      <c r="F386" s="32" t="s">
        <v>1053</v>
      </c>
      <c r="G386" s="32" t="s">
        <v>319</v>
      </c>
      <c r="H386" s="32" t="s">
        <v>352</v>
      </c>
      <c r="I386" s="31" t="s">
        <v>1054</v>
      </c>
      <c r="J386" s="31">
        <v>99</v>
      </c>
      <c r="K386" s="33" t="s">
        <v>709</v>
      </c>
      <c r="L386" s="33" t="s">
        <v>690</v>
      </c>
      <c r="M386" s="34" t="s">
        <v>1404</v>
      </c>
      <c r="N386" s="34" t="s">
        <v>1730</v>
      </c>
      <c r="O386" s="35">
        <v>1</v>
      </c>
      <c r="P386" s="35"/>
      <c r="Q386" s="32"/>
      <c r="S386" s="1">
        <f t="shared" si="147"/>
        <v>0</v>
      </c>
      <c r="T386" s="1">
        <f t="shared" si="148"/>
        <v>0</v>
      </c>
      <c r="U386" s="1">
        <f t="shared" si="149"/>
        <v>0</v>
      </c>
      <c r="V386" s="1">
        <f t="shared" si="150"/>
        <v>0</v>
      </c>
      <c r="W386" s="1">
        <f t="shared" si="151"/>
        <v>0</v>
      </c>
      <c r="X386" s="1">
        <f t="shared" si="152"/>
        <v>0</v>
      </c>
      <c r="Y386" s="1">
        <f t="shared" si="153"/>
        <v>0</v>
      </c>
      <c r="Z386" s="1">
        <f t="shared" si="154"/>
        <v>0</v>
      </c>
      <c r="AA386" s="1">
        <f t="shared" si="155"/>
        <v>0</v>
      </c>
      <c r="AB386" s="1">
        <f t="shared" si="156"/>
        <v>0</v>
      </c>
      <c r="AD386" s="1">
        <f t="shared" si="157"/>
        <v>0</v>
      </c>
      <c r="AE386" s="1">
        <f t="shared" si="158"/>
        <v>1</v>
      </c>
      <c r="AF386" s="1">
        <f t="shared" si="143"/>
        <v>0</v>
      </c>
      <c r="AG386" s="1">
        <f t="shared" si="144"/>
        <v>1</v>
      </c>
      <c r="AH386" s="1">
        <f t="shared" si="145"/>
        <v>0</v>
      </c>
      <c r="AI386" s="1">
        <f t="shared" si="146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787</v>
      </c>
      <c r="E387" s="32" t="s">
        <v>763</v>
      </c>
      <c r="F387" s="32" t="s">
        <v>921</v>
      </c>
      <c r="G387" s="32" t="s">
        <v>219</v>
      </c>
      <c r="H387" s="32" t="s">
        <v>352</v>
      </c>
      <c r="I387" s="31" t="s">
        <v>788</v>
      </c>
      <c r="J387" s="31">
        <v>8</v>
      </c>
      <c r="K387" s="33" t="s">
        <v>699</v>
      </c>
      <c r="L387" s="33">
        <v>20</v>
      </c>
      <c r="M387" s="34" t="s">
        <v>1395</v>
      </c>
      <c r="N387" s="34" t="s">
        <v>1799</v>
      </c>
      <c r="O387" s="35">
        <v>1</v>
      </c>
      <c r="P387" s="35"/>
      <c r="Q387" s="32"/>
      <c r="S387" s="1">
        <f t="shared" si="147"/>
        <v>0</v>
      </c>
      <c r="T387" s="1">
        <f t="shared" si="148"/>
        <v>0</v>
      </c>
      <c r="U387" s="1">
        <f t="shared" si="149"/>
        <v>0</v>
      </c>
      <c r="V387" s="1">
        <f t="shared" si="150"/>
        <v>0</v>
      </c>
      <c r="W387" s="1">
        <f t="shared" si="151"/>
        <v>0</v>
      </c>
      <c r="X387" s="1">
        <f t="shared" si="152"/>
        <v>0</v>
      </c>
      <c r="Y387" s="1">
        <f t="shared" si="153"/>
        <v>0</v>
      </c>
      <c r="Z387" s="1">
        <f t="shared" si="154"/>
        <v>1</v>
      </c>
      <c r="AA387" s="1">
        <f t="shared" si="155"/>
        <v>0</v>
      </c>
      <c r="AB387" s="1">
        <f t="shared" si="156"/>
        <v>0</v>
      </c>
      <c r="AD387" s="1">
        <f t="shared" si="157"/>
        <v>0</v>
      </c>
      <c r="AE387" s="1">
        <f t="shared" si="158"/>
        <v>1</v>
      </c>
      <c r="AF387" s="1">
        <f t="shared" si="143"/>
        <v>0</v>
      </c>
      <c r="AG387" s="1">
        <f t="shared" si="144"/>
        <v>1</v>
      </c>
      <c r="AH387" s="1">
        <f t="shared" si="145"/>
        <v>0</v>
      </c>
      <c r="AI387" s="1">
        <f t="shared" si="146"/>
        <v>1</v>
      </c>
    </row>
    <row r="388" spans="1:35" s="1" customFormat="1" ht="14.25" customHeight="1" x14ac:dyDescent="0.25">
      <c r="A388" s="49">
        <v>0</v>
      </c>
      <c r="B388" s="49">
        <v>2</v>
      </c>
      <c r="C388" s="49">
        <v>5</v>
      </c>
      <c r="D388" s="50" t="s">
        <v>79</v>
      </c>
      <c r="E388" s="50" t="s">
        <v>158</v>
      </c>
      <c r="F388" s="50" t="s">
        <v>267</v>
      </c>
      <c r="G388" s="50" t="s">
        <v>212</v>
      </c>
      <c r="H388" s="50" t="s">
        <v>352</v>
      </c>
      <c r="I388" s="49" t="s">
        <v>423</v>
      </c>
      <c r="J388" s="49">
        <v>1</v>
      </c>
      <c r="K388" s="51" t="s">
        <v>942</v>
      </c>
      <c r="L388" s="51" t="s">
        <v>700</v>
      </c>
      <c r="M388" s="52" t="s">
        <v>723</v>
      </c>
      <c r="N388" s="52" t="s">
        <v>1717</v>
      </c>
      <c r="O388" s="53">
        <v>1</v>
      </c>
      <c r="P388" s="53"/>
      <c r="Q388" s="50"/>
      <c r="S388" s="1">
        <f t="shared" si="147"/>
        <v>1</v>
      </c>
      <c r="T388" s="1">
        <f t="shared" si="148"/>
        <v>0</v>
      </c>
      <c r="U388" s="1">
        <f t="shared" si="149"/>
        <v>0</v>
      </c>
      <c r="V388" s="1">
        <f t="shared" si="150"/>
        <v>0</v>
      </c>
      <c r="W388" s="1">
        <f t="shared" si="151"/>
        <v>0</v>
      </c>
      <c r="X388" s="1">
        <f t="shared" si="152"/>
        <v>0</v>
      </c>
      <c r="Y388" s="1">
        <f t="shared" si="153"/>
        <v>0</v>
      </c>
      <c r="Z388" s="1">
        <f t="shared" si="154"/>
        <v>0</v>
      </c>
      <c r="AA388" s="1">
        <f t="shared" si="155"/>
        <v>0</v>
      </c>
      <c r="AB388" s="1">
        <f t="shared" si="156"/>
        <v>0</v>
      </c>
      <c r="AD388" s="1">
        <f t="shared" si="157"/>
        <v>0</v>
      </c>
      <c r="AE388" s="1">
        <f t="shared" si="158"/>
        <v>1</v>
      </c>
      <c r="AF388" s="1">
        <f t="shared" si="143"/>
        <v>0</v>
      </c>
      <c r="AG388" s="1">
        <f t="shared" si="144"/>
        <v>1</v>
      </c>
      <c r="AH388" s="1">
        <f t="shared" si="145"/>
        <v>0</v>
      </c>
      <c r="AI388" s="1">
        <f t="shared" si="146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2057</v>
      </c>
      <c r="E389" s="32" t="s">
        <v>171</v>
      </c>
      <c r="F389" s="32" t="s">
        <v>2058</v>
      </c>
      <c r="G389" s="32" t="s">
        <v>206</v>
      </c>
      <c r="H389" s="32" t="s">
        <v>352</v>
      </c>
      <c r="I389" s="31" t="s">
        <v>2059</v>
      </c>
      <c r="J389" s="31">
        <v>99</v>
      </c>
      <c r="K389" s="33" t="s">
        <v>699</v>
      </c>
      <c r="L389" s="33">
        <v>30</v>
      </c>
      <c r="M389" s="34" t="s">
        <v>957</v>
      </c>
      <c r="N389" s="34" t="s">
        <v>1717</v>
      </c>
      <c r="O389" s="35">
        <v>1</v>
      </c>
      <c r="P389" s="35"/>
      <c r="Q389" s="32" t="s">
        <v>2060</v>
      </c>
      <c r="S389" s="1">
        <f t="shared" si="147"/>
        <v>0</v>
      </c>
      <c r="T389" s="1">
        <f t="shared" si="148"/>
        <v>0</v>
      </c>
      <c r="U389" s="1">
        <f t="shared" si="149"/>
        <v>0</v>
      </c>
      <c r="V389" s="1">
        <f t="shared" si="150"/>
        <v>0</v>
      </c>
      <c r="W389" s="1">
        <f t="shared" si="151"/>
        <v>0</v>
      </c>
      <c r="X389" s="1">
        <f t="shared" si="152"/>
        <v>0</v>
      </c>
      <c r="Y389" s="1">
        <f t="shared" si="153"/>
        <v>0</v>
      </c>
      <c r="Z389" s="1">
        <f t="shared" si="154"/>
        <v>0</v>
      </c>
      <c r="AA389" s="1">
        <f t="shared" si="155"/>
        <v>0</v>
      </c>
      <c r="AB389" s="1">
        <f t="shared" si="156"/>
        <v>0</v>
      </c>
      <c r="AD389" s="1">
        <f t="shared" si="157"/>
        <v>0</v>
      </c>
      <c r="AE389" s="1">
        <f t="shared" si="158"/>
        <v>1</v>
      </c>
      <c r="AF389" s="1">
        <f t="shared" si="143"/>
        <v>0</v>
      </c>
      <c r="AG389" s="1">
        <f t="shared" si="144"/>
        <v>1</v>
      </c>
      <c r="AH389" s="1">
        <f t="shared" si="145"/>
        <v>0</v>
      </c>
      <c r="AI389" s="1">
        <f t="shared" si="146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1616</v>
      </c>
      <c r="E390" s="32" t="s">
        <v>1628</v>
      </c>
      <c r="F390" s="32" t="s">
        <v>1525</v>
      </c>
      <c r="G390" s="32" t="s">
        <v>261</v>
      </c>
      <c r="H390" s="32" t="s">
        <v>352</v>
      </c>
      <c r="I390" s="31" t="s">
        <v>1526</v>
      </c>
      <c r="J390" s="31">
        <v>99</v>
      </c>
      <c r="K390" s="33" t="s">
        <v>942</v>
      </c>
      <c r="L390" s="33">
        <v>40</v>
      </c>
      <c r="M390" s="34" t="s">
        <v>39</v>
      </c>
      <c r="N390" s="34" t="s">
        <v>1799</v>
      </c>
      <c r="O390" s="35">
        <v>1</v>
      </c>
      <c r="P390" s="35"/>
      <c r="Q390" s="32"/>
      <c r="S390" s="1">
        <f t="shared" si="147"/>
        <v>0</v>
      </c>
      <c r="T390" s="1">
        <f t="shared" si="148"/>
        <v>0</v>
      </c>
      <c r="U390" s="1">
        <f t="shared" si="149"/>
        <v>0</v>
      </c>
      <c r="V390" s="1">
        <f t="shared" si="150"/>
        <v>0</v>
      </c>
      <c r="W390" s="1">
        <f t="shared" si="151"/>
        <v>0</v>
      </c>
      <c r="X390" s="1">
        <f t="shared" si="152"/>
        <v>0</v>
      </c>
      <c r="Y390" s="1">
        <f t="shared" si="153"/>
        <v>0</v>
      </c>
      <c r="Z390" s="1">
        <f t="shared" si="154"/>
        <v>0</v>
      </c>
      <c r="AA390" s="1">
        <f t="shared" si="155"/>
        <v>0</v>
      </c>
      <c r="AB390" s="1">
        <f t="shared" si="156"/>
        <v>0</v>
      </c>
      <c r="AD390" s="1">
        <f t="shared" si="157"/>
        <v>0</v>
      </c>
      <c r="AE390" s="1">
        <f t="shared" si="158"/>
        <v>1</v>
      </c>
      <c r="AF390" s="1">
        <f t="shared" si="143"/>
        <v>0</v>
      </c>
      <c r="AG390" s="1">
        <f t="shared" si="144"/>
        <v>1</v>
      </c>
      <c r="AH390" s="1">
        <f t="shared" si="145"/>
        <v>0</v>
      </c>
      <c r="AI390" s="1">
        <f t="shared" si="146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1277</v>
      </c>
      <c r="E391" s="32" t="s">
        <v>27</v>
      </c>
      <c r="F391" s="32" t="s">
        <v>1278</v>
      </c>
      <c r="G391" s="32" t="s">
        <v>1279</v>
      </c>
      <c r="H391" s="32" t="s">
        <v>352</v>
      </c>
      <c r="I391" s="31" t="s">
        <v>1280</v>
      </c>
      <c r="J391" s="31">
        <v>99</v>
      </c>
      <c r="K391" s="33" t="s">
        <v>942</v>
      </c>
      <c r="L391" s="33" t="s">
        <v>39</v>
      </c>
      <c r="M391" s="34" t="s">
        <v>39</v>
      </c>
      <c r="N391" s="34" t="s">
        <v>1701</v>
      </c>
      <c r="O391" s="35">
        <v>1</v>
      </c>
      <c r="P391" s="35">
        <v>1</v>
      </c>
      <c r="Q391" s="36"/>
      <c r="S391" s="1">
        <f t="shared" si="147"/>
        <v>0</v>
      </c>
      <c r="T391" s="1">
        <f t="shared" si="148"/>
        <v>0</v>
      </c>
      <c r="U391" s="1">
        <f t="shared" si="149"/>
        <v>0</v>
      </c>
      <c r="V391" s="1">
        <f t="shared" si="150"/>
        <v>0</v>
      </c>
      <c r="W391" s="1">
        <f t="shared" si="151"/>
        <v>0</v>
      </c>
      <c r="X391" s="1">
        <f t="shared" si="152"/>
        <v>0</v>
      </c>
      <c r="Y391" s="1">
        <f t="shared" si="153"/>
        <v>0</v>
      </c>
      <c r="Z391" s="1">
        <f t="shared" si="154"/>
        <v>0</v>
      </c>
      <c r="AA391" s="1">
        <f t="shared" si="155"/>
        <v>0</v>
      </c>
      <c r="AB391" s="1">
        <f t="shared" si="156"/>
        <v>0</v>
      </c>
      <c r="AD391" s="1">
        <f t="shared" si="157"/>
        <v>1</v>
      </c>
      <c r="AE391" s="1">
        <f t="shared" si="158"/>
        <v>0</v>
      </c>
      <c r="AF391" s="1">
        <f t="shared" si="143"/>
        <v>1</v>
      </c>
      <c r="AG391" s="1">
        <f t="shared" si="144"/>
        <v>0</v>
      </c>
      <c r="AH391" s="1">
        <f t="shared" si="145"/>
        <v>1</v>
      </c>
      <c r="AI391" s="1">
        <f t="shared" si="146"/>
        <v>0</v>
      </c>
    </row>
    <row r="392" spans="1:35" s="1" customFormat="1" ht="14.25" customHeight="1" x14ac:dyDescent="0.25">
      <c r="A392" s="44">
        <v>0</v>
      </c>
      <c r="B392" s="44">
        <v>2</v>
      </c>
      <c r="C392" s="44">
        <v>5</v>
      </c>
      <c r="D392" s="45" t="s">
        <v>1577</v>
      </c>
      <c r="E392" s="45" t="s">
        <v>158</v>
      </c>
      <c r="F392" s="45" t="s">
        <v>1649</v>
      </c>
      <c r="G392" s="45" t="s">
        <v>1443</v>
      </c>
      <c r="H392" s="45" t="s">
        <v>352</v>
      </c>
      <c r="I392" s="44" t="s">
        <v>1444</v>
      </c>
      <c r="J392" s="44">
        <v>99</v>
      </c>
      <c r="K392" s="46" t="s">
        <v>709</v>
      </c>
      <c r="L392" s="46" t="s">
        <v>692</v>
      </c>
      <c r="M392" s="47" t="s">
        <v>1445</v>
      </c>
      <c r="N392" s="47" t="s">
        <v>1721</v>
      </c>
      <c r="O392" s="48"/>
      <c r="P392" s="48"/>
      <c r="Q392" s="45"/>
      <c r="S392" s="1">
        <f t="shared" si="147"/>
        <v>0</v>
      </c>
      <c r="T392" s="1">
        <f t="shared" si="148"/>
        <v>0</v>
      </c>
      <c r="U392" s="1">
        <f t="shared" si="149"/>
        <v>0</v>
      </c>
      <c r="V392" s="1">
        <f t="shared" si="150"/>
        <v>0</v>
      </c>
      <c r="W392" s="1">
        <f t="shared" si="151"/>
        <v>0</v>
      </c>
      <c r="X392" s="1">
        <f t="shared" si="152"/>
        <v>0</v>
      </c>
      <c r="Y392" s="1">
        <f t="shared" si="153"/>
        <v>0</v>
      </c>
      <c r="Z392" s="1">
        <f t="shared" si="154"/>
        <v>0</v>
      </c>
      <c r="AA392" s="1">
        <f t="shared" si="155"/>
        <v>0</v>
      </c>
      <c r="AB392" s="1">
        <f t="shared" si="156"/>
        <v>0</v>
      </c>
      <c r="AD392" s="1">
        <f t="shared" si="157"/>
        <v>0</v>
      </c>
      <c r="AE392" s="1">
        <f t="shared" si="158"/>
        <v>0</v>
      </c>
      <c r="AF392" s="1">
        <f t="shared" si="143"/>
        <v>0</v>
      </c>
      <c r="AG392" s="1">
        <f t="shared" si="144"/>
        <v>0</v>
      </c>
      <c r="AH392" s="1">
        <f t="shared" si="145"/>
        <v>0</v>
      </c>
      <c r="AI392" s="1">
        <f t="shared" si="146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2015</v>
      </c>
      <c r="E393" s="32" t="s">
        <v>2016</v>
      </c>
      <c r="F393" s="32" t="s">
        <v>2017</v>
      </c>
      <c r="G393" s="32" t="s">
        <v>2020</v>
      </c>
      <c r="H393" s="32" t="s">
        <v>352</v>
      </c>
      <c r="I393" s="31" t="s">
        <v>2018</v>
      </c>
      <c r="J393" s="31"/>
      <c r="K393" s="33" t="s">
        <v>1796</v>
      </c>
      <c r="L393" s="33"/>
      <c r="M393" s="34"/>
      <c r="N393" s="34" t="s">
        <v>1701</v>
      </c>
      <c r="O393" s="35">
        <v>1</v>
      </c>
      <c r="P393" s="35">
        <v>1</v>
      </c>
      <c r="Q393" s="32" t="s">
        <v>2019</v>
      </c>
      <c r="S393" s="1">
        <f t="shared" si="147"/>
        <v>0</v>
      </c>
      <c r="T393" s="1">
        <f t="shared" si="148"/>
        <v>0</v>
      </c>
      <c r="U393" s="1">
        <f t="shared" si="149"/>
        <v>0</v>
      </c>
      <c r="V393" s="1">
        <f t="shared" si="150"/>
        <v>0</v>
      </c>
      <c r="W393" s="1">
        <f t="shared" si="151"/>
        <v>0</v>
      </c>
      <c r="X393" s="1">
        <f t="shared" si="152"/>
        <v>0</v>
      </c>
      <c r="Y393" s="1">
        <f t="shared" si="153"/>
        <v>0</v>
      </c>
      <c r="Z393" s="1">
        <f t="shared" si="154"/>
        <v>0</v>
      </c>
      <c r="AA393" s="1">
        <f t="shared" si="155"/>
        <v>0</v>
      </c>
      <c r="AB393" s="1">
        <f t="shared" si="156"/>
        <v>0</v>
      </c>
      <c r="AD393" s="1">
        <f t="shared" si="157"/>
        <v>1</v>
      </c>
      <c r="AE393" s="1">
        <f t="shared" si="158"/>
        <v>0</v>
      </c>
      <c r="AF393" s="1">
        <f t="shared" si="143"/>
        <v>1</v>
      </c>
      <c r="AG393" s="1">
        <f t="shared" si="144"/>
        <v>0</v>
      </c>
      <c r="AH393" s="1">
        <f t="shared" si="145"/>
        <v>1</v>
      </c>
      <c r="AI393" s="1">
        <f t="shared" si="146"/>
        <v>0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1752</v>
      </c>
      <c r="E394" s="32" t="s">
        <v>154</v>
      </c>
      <c r="F394" s="32" t="s">
        <v>1753</v>
      </c>
      <c r="G394" s="32" t="s">
        <v>652</v>
      </c>
      <c r="H394" s="32" t="s">
        <v>352</v>
      </c>
      <c r="I394" s="31" t="s">
        <v>1754</v>
      </c>
      <c r="J394" s="31"/>
      <c r="K394" s="33" t="s">
        <v>699</v>
      </c>
      <c r="L394" s="33">
        <v>40</v>
      </c>
      <c r="M394" s="34" t="s">
        <v>1755</v>
      </c>
      <c r="N394" s="34" t="s">
        <v>1717</v>
      </c>
      <c r="O394" s="35">
        <v>1</v>
      </c>
      <c r="P394" s="35"/>
      <c r="Q394" s="32"/>
      <c r="S394" s="1">
        <f t="shared" si="147"/>
        <v>0</v>
      </c>
      <c r="T394" s="1">
        <f t="shared" si="148"/>
        <v>0</v>
      </c>
      <c r="U394" s="1">
        <f t="shared" si="149"/>
        <v>0</v>
      </c>
      <c r="V394" s="1">
        <f t="shared" si="150"/>
        <v>0</v>
      </c>
      <c r="W394" s="1">
        <f t="shared" si="151"/>
        <v>0</v>
      </c>
      <c r="X394" s="1">
        <f t="shared" si="152"/>
        <v>0</v>
      </c>
      <c r="Y394" s="1">
        <f t="shared" si="153"/>
        <v>0</v>
      </c>
      <c r="Z394" s="1">
        <f t="shared" si="154"/>
        <v>0</v>
      </c>
      <c r="AA394" s="1">
        <f t="shared" si="155"/>
        <v>0</v>
      </c>
      <c r="AB394" s="1">
        <f t="shared" si="156"/>
        <v>0</v>
      </c>
      <c r="AD394" s="1">
        <f t="shared" si="157"/>
        <v>0</v>
      </c>
      <c r="AE394" s="1">
        <f t="shared" si="158"/>
        <v>1</v>
      </c>
      <c r="AF394" s="1">
        <f t="shared" si="143"/>
        <v>0</v>
      </c>
      <c r="AG394" s="1">
        <f t="shared" si="144"/>
        <v>1</v>
      </c>
      <c r="AH394" s="1">
        <f t="shared" si="145"/>
        <v>0</v>
      </c>
      <c r="AI394" s="1">
        <f t="shared" si="146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828</v>
      </c>
      <c r="E395" s="32" t="s">
        <v>822</v>
      </c>
      <c r="F395" s="32" t="s">
        <v>929</v>
      </c>
      <c r="G395" s="32" t="s">
        <v>179</v>
      </c>
      <c r="H395" s="32" t="s">
        <v>352</v>
      </c>
      <c r="I395" s="31" t="s">
        <v>1096</v>
      </c>
      <c r="J395" s="31">
        <v>10</v>
      </c>
      <c r="K395" s="33" t="s">
        <v>708</v>
      </c>
      <c r="L395" s="33" t="s">
        <v>689</v>
      </c>
      <c r="M395" s="34" t="s">
        <v>1405</v>
      </c>
      <c r="N395" s="34" t="s">
        <v>1729</v>
      </c>
      <c r="O395" s="35">
        <v>1</v>
      </c>
      <c r="P395" s="35"/>
      <c r="Q395" s="32"/>
      <c r="S395" s="1">
        <f t="shared" si="147"/>
        <v>0</v>
      </c>
      <c r="T395" s="1">
        <f t="shared" si="148"/>
        <v>0</v>
      </c>
      <c r="U395" s="1">
        <f t="shared" si="149"/>
        <v>0</v>
      </c>
      <c r="V395" s="1">
        <f t="shared" si="150"/>
        <v>0</v>
      </c>
      <c r="W395" s="1">
        <f t="shared" si="151"/>
        <v>0</v>
      </c>
      <c r="X395" s="1">
        <f t="shared" si="152"/>
        <v>0</v>
      </c>
      <c r="Y395" s="1">
        <f t="shared" si="153"/>
        <v>0</v>
      </c>
      <c r="Z395" s="1">
        <f t="shared" si="154"/>
        <v>0</v>
      </c>
      <c r="AA395" s="1">
        <f t="shared" si="155"/>
        <v>0</v>
      </c>
      <c r="AB395" s="1">
        <f t="shared" si="156"/>
        <v>1</v>
      </c>
      <c r="AD395" s="1">
        <f t="shared" si="157"/>
        <v>0</v>
      </c>
      <c r="AE395" s="1">
        <f t="shared" si="158"/>
        <v>1</v>
      </c>
      <c r="AF395" s="1">
        <f t="shared" si="143"/>
        <v>0</v>
      </c>
      <c r="AG395" s="1">
        <f t="shared" si="144"/>
        <v>1</v>
      </c>
      <c r="AH395" s="1">
        <f t="shared" si="145"/>
        <v>0</v>
      </c>
      <c r="AI395" s="1">
        <f t="shared" si="146"/>
        <v>1</v>
      </c>
    </row>
    <row r="396" spans="1:35" s="1" customFormat="1" ht="14.25" customHeight="1" x14ac:dyDescent="0.25">
      <c r="A396" s="57">
        <v>0</v>
      </c>
      <c r="B396" s="57">
        <v>2</v>
      </c>
      <c r="C396" s="57">
        <v>6</v>
      </c>
      <c r="D396" s="58" t="s">
        <v>1517</v>
      </c>
      <c r="E396" s="58" t="s">
        <v>27</v>
      </c>
      <c r="F396" s="58" t="s">
        <v>1519</v>
      </c>
      <c r="G396" s="58" t="s">
        <v>1508</v>
      </c>
      <c r="H396" s="58" t="s">
        <v>352</v>
      </c>
      <c r="I396" s="57" t="s">
        <v>1518</v>
      </c>
      <c r="J396" s="57">
        <v>5</v>
      </c>
      <c r="K396" s="59" t="s">
        <v>942</v>
      </c>
      <c r="L396" s="59" t="s">
        <v>39</v>
      </c>
      <c r="M396" s="60" t="s">
        <v>39</v>
      </c>
      <c r="N396" s="61"/>
      <c r="O396" s="62"/>
      <c r="P396" s="62"/>
      <c r="Q396" s="65" t="s">
        <v>1874</v>
      </c>
      <c r="S396" s="1">
        <f t="shared" si="147"/>
        <v>0</v>
      </c>
      <c r="T396" s="1">
        <f t="shared" si="148"/>
        <v>0</v>
      </c>
      <c r="U396" s="1">
        <f t="shared" si="149"/>
        <v>0</v>
      </c>
      <c r="V396" s="1">
        <f t="shared" si="150"/>
        <v>0</v>
      </c>
      <c r="W396" s="1">
        <f t="shared" si="151"/>
        <v>1</v>
      </c>
      <c r="X396" s="1">
        <f t="shared" si="152"/>
        <v>0</v>
      </c>
      <c r="Y396" s="1">
        <f t="shared" si="153"/>
        <v>0</v>
      </c>
      <c r="Z396" s="1">
        <f t="shared" si="154"/>
        <v>0</v>
      </c>
      <c r="AA396" s="1">
        <f t="shared" si="155"/>
        <v>0</v>
      </c>
      <c r="AB396" s="1">
        <f t="shared" si="156"/>
        <v>0</v>
      </c>
      <c r="AD396" s="1">
        <f t="shared" si="157"/>
        <v>0</v>
      </c>
      <c r="AE396" s="1">
        <f t="shared" si="158"/>
        <v>0</v>
      </c>
      <c r="AF396" s="1">
        <f t="shared" si="143"/>
        <v>0</v>
      </c>
      <c r="AG396" s="1">
        <f t="shared" si="144"/>
        <v>0</v>
      </c>
      <c r="AH396" s="1">
        <f t="shared" si="145"/>
        <v>0</v>
      </c>
      <c r="AI396" s="1">
        <f t="shared" si="146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6</v>
      </c>
      <c r="D397" s="32" t="s">
        <v>515</v>
      </c>
      <c r="E397" s="32" t="s">
        <v>31</v>
      </c>
      <c r="F397" s="32" t="s">
        <v>668</v>
      </c>
      <c r="G397" s="32" t="s">
        <v>199</v>
      </c>
      <c r="H397" s="32" t="s">
        <v>352</v>
      </c>
      <c r="I397" s="31" t="s">
        <v>516</v>
      </c>
      <c r="J397" s="31">
        <v>2</v>
      </c>
      <c r="K397" s="33" t="s">
        <v>941</v>
      </c>
      <c r="L397" s="33" t="s">
        <v>690</v>
      </c>
      <c r="M397" s="34" t="s">
        <v>1406</v>
      </c>
      <c r="N397" s="34" t="s">
        <v>1717</v>
      </c>
      <c r="O397" s="35">
        <v>1</v>
      </c>
      <c r="P397" s="35"/>
      <c r="Q397" s="32"/>
      <c r="S397" s="1">
        <f t="shared" si="147"/>
        <v>0</v>
      </c>
      <c r="T397" s="1">
        <f t="shared" si="148"/>
        <v>1</v>
      </c>
      <c r="U397" s="1">
        <f t="shared" si="149"/>
        <v>0</v>
      </c>
      <c r="V397" s="1">
        <f t="shared" si="150"/>
        <v>0</v>
      </c>
      <c r="W397" s="1">
        <f t="shared" si="151"/>
        <v>0</v>
      </c>
      <c r="X397" s="1">
        <f t="shared" si="152"/>
        <v>0</v>
      </c>
      <c r="Y397" s="1">
        <f t="shared" si="153"/>
        <v>0</v>
      </c>
      <c r="Z397" s="1">
        <f t="shared" si="154"/>
        <v>0</v>
      </c>
      <c r="AA397" s="1">
        <f t="shared" si="155"/>
        <v>0</v>
      </c>
      <c r="AB397" s="1">
        <f t="shared" si="156"/>
        <v>0</v>
      </c>
      <c r="AD397" s="1">
        <f t="shared" si="157"/>
        <v>0</v>
      </c>
      <c r="AE397" s="1">
        <f t="shared" si="158"/>
        <v>1</v>
      </c>
      <c r="AF397" s="1">
        <f t="shared" si="143"/>
        <v>0</v>
      </c>
      <c r="AG397" s="1">
        <f t="shared" si="144"/>
        <v>1</v>
      </c>
      <c r="AH397" s="1">
        <f t="shared" si="145"/>
        <v>0</v>
      </c>
      <c r="AI397" s="1">
        <f t="shared" si="146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6</v>
      </c>
      <c r="D398" s="32" t="s">
        <v>53</v>
      </c>
      <c r="E398" s="32" t="s">
        <v>31</v>
      </c>
      <c r="F398" s="32" t="s">
        <v>209</v>
      </c>
      <c r="G398" s="32" t="s">
        <v>210</v>
      </c>
      <c r="H398" s="32" t="s">
        <v>352</v>
      </c>
      <c r="I398" s="31" t="s">
        <v>390</v>
      </c>
      <c r="J398" s="31">
        <v>1</v>
      </c>
      <c r="K398" s="33" t="s">
        <v>708</v>
      </c>
      <c r="L398" s="33" t="s">
        <v>700</v>
      </c>
      <c r="M398" s="34" t="s">
        <v>724</v>
      </c>
      <c r="N398" s="34" t="s">
        <v>1717</v>
      </c>
      <c r="O398" s="35">
        <v>1</v>
      </c>
      <c r="P398" s="35"/>
      <c r="Q398" s="32"/>
      <c r="S398" s="1">
        <f t="shared" si="147"/>
        <v>1</v>
      </c>
      <c r="T398" s="1">
        <f t="shared" si="148"/>
        <v>0</v>
      </c>
      <c r="U398" s="1">
        <f t="shared" si="149"/>
        <v>0</v>
      </c>
      <c r="V398" s="1">
        <f t="shared" si="150"/>
        <v>0</v>
      </c>
      <c r="W398" s="1">
        <f t="shared" si="151"/>
        <v>0</v>
      </c>
      <c r="X398" s="1">
        <f t="shared" si="152"/>
        <v>0</v>
      </c>
      <c r="Y398" s="1">
        <f t="shared" si="153"/>
        <v>0</v>
      </c>
      <c r="Z398" s="1">
        <f t="shared" si="154"/>
        <v>0</v>
      </c>
      <c r="AA398" s="1">
        <f t="shared" si="155"/>
        <v>0</v>
      </c>
      <c r="AB398" s="1">
        <f t="shared" si="156"/>
        <v>0</v>
      </c>
      <c r="AD398" s="1">
        <f t="shared" si="157"/>
        <v>0</v>
      </c>
      <c r="AE398" s="1">
        <f t="shared" si="158"/>
        <v>1</v>
      </c>
      <c r="AF398" s="1">
        <f t="shared" si="143"/>
        <v>0</v>
      </c>
      <c r="AG398" s="1">
        <f t="shared" si="144"/>
        <v>1</v>
      </c>
      <c r="AH398" s="1">
        <f t="shared" si="145"/>
        <v>0</v>
      </c>
      <c r="AI398" s="1">
        <f t="shared" si="146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6</v>
      </c>
      <c r="D399" s="32" t="s">
        <v>1836</v>
      </c>
      <c r="E399" s="32" t="s">
        <v>1837</v>
      </c>
      <c r="F399" s="32" t="s">
        <v>1838</v>
      </c>
      <c r="G399" s="32"/>
      <c r="H399" s="32" t="s">
        <v>352</v>
      </c>
      <c r="I399" s="31" t="s">
        <v>1839</v>
      </c>
      <c r="J399" s="31">
        <v>99</v>
      </c>
      <c r="K399" s="33" t="s">
        <v>699</v>
      </c>
      <c r="L399" s="33">
        <v>25</v>
      </c>
      <c r="M399" s="34" t="s">
        <v>1840</v>
      </c>
      <c r="N399" s="34" t="s">
        <v>1717</v>
      </c>
      <c r="O399" s="35">
        <v>1</v>
      </c>
      <c r="P399" s="35"/>
      <c r="Q399" s="32" t="s">
        <v>2021</v>
      </c>
      <c r="S399" s="1">
        <f t="shared" si="147"/>
        <v>0</v>
      </c>
      <c r="T399" s="1">
        <f t="shared" si="148"/>
        <v>0</v>
      </c>
      <c r="U399" s="1">
        <f t="shared" si="149"/>
        <v>0</v>
      </c>
      <c r="V399" s="1">
        <f t="shared" si="150"/>
        <v>0</v>
      </c>
      <c r="W399" s="1">
        <f t="shared" si="151"/>
        <v>0</v>
      </c>
      <c r="X399" s="1">
        <f t="shared" si="152"/>
        <v>0</v>
      </c>
      <c r="Y399" s="1">
        <f t="shared" si="153"/>
        <v>0</v>
      </c>
      <c r="Z399" s="1">
        <f t="shared" si="154"/>
        <v>0</v>
      </c>
      <c r="AA399" s="1">
        <f t="shared" si="155"/>
        <v>0</v>
      </c>
      <c r="AB399" s="1">
        <f t="shared" si="156"/>
        <v>0</v>
      </c>
      <c r="AD399" s="1">
        <f t="shared" si="157"/>
        <v>0</v>
      </c>
      <c r="AE399" s="1">
        <f t="shared" si="158"/>
        <v>1</v>
      </c>
      <c r="AF399" s="1">
        <f t="shared" si="143"/>
        <v>0</v>
      </c>
      <c r="AG399" s="1">
        <f t="shared" si="144"/>
        <v>1</v>
      </c>
      <c r="AH399" s="1">
        <f t="shared" si="145"/>
        <v>0</v>
      </c>
      <c r="AI399" s="1">
        <f t="shared" si="146"/>
        <v>1</v>
      </c>
    </row>
    <row r="400" spans="1:35" s="1" customFormat="1" ht="14.25" customHeight="1" x14ac:dyDescent="0.25">
      <c r="A400" s="44">
        <v>0</v>
      </c>
      <c r="B400" s="44">
        <v>2</v>
      </c>
      <c r="C400" s="44">
        <v>6</v>
      </c>
      <c r="D400" s="45" t="s">
        <v>80</v>
      </c>
      <c r="E400" s="45" t="s">
        <v>31</v>
      </c>
      <c r="F400" s="45" t="s">
        <v>269</v>
      </c>
      <c r="G400" s="45" t="s">
        <v>223</v>
      </c>
      <c r="H400" s="45" t="s">
        <v>352</v>
      </c>
      <c r="I400" s="44" t="s">
        <v>674</v>
      </c>
      <c r="J400" s="44">
        <v>99</v>
      </c>
      <c r="K400" s="46" t="s">
        <v>942</v>
      </c>
      <c r="L400" s="46" t="s">
        <v>690</v>
      </c>
      <c r="M400" s="47" t="s">
        <v>1407</v>
      </c>
      <c r="N400" s="47" t="s">
        <v>1783</v>
      </c>
      <c r="O400" s="48"/>
      <c r="P400" s="48"/>
      <c r="Q400" s="45"/>
      <c r="S400" s="1">
        <f t="shared" si="147"/>
        <v>0</v>
      </c>
      <c r="T400" s="1">
        <f t="shared" si="148"/>
        <v>0</v>
      </c>
      <c r="U400" s="1">
        <f t="shared" si="149"/>
        <v>0</v>
      </c>
      <c r="V400" s="1">
        <f t="shared" si="150"/>
        <v>0</v>
      </c>
      <c r="W400" s="1">
        <f t="shared" si="151"/>
        <v>0</v>
      </c>
      <c r="X400" s="1">
        <f t="shared" si="152"/>
        <v>0</v>
      </c>
      <c r="Y400" s="1">
        <f t="shared" si="153"/>
        <v>0</v>
      </c>
      <c r="Z400" s="1">
        <f t="shared" si="154"/>
        <v>0</v>
      </c>
      <c r="AA400" s="1">
        <f t="shared" si="155"/>
        <v>0</v>
      </c>
      <c r="AB400" s="1">
        <f t="shared" si="156"/>
        <v>0</v>
      </c>
      <c r="AD400" s="1">
        <f t="shared" si="157"/>
        <v>0</v>
      </c>
      <c r="AE400" s="1">
        <f t="shared" si="158"/>
        <v>0</v>
      </c>
      <c r="AF400" s="1">
        <f t="shared" ref="AF400:AF418" si="159">+O400*P400*(1-A400)</f>
        <v>0</v>
      </c>
      <c r="AG400" s="1">
        <f t="shared" ref="AG400:AG418" si="160">O400*(1-P400)*(1-A400)</f>
        <v>0</v>
      </c>
      <c r="AH400" s="1">
        <f t="shared" ref="AH400:AH418" si="161">+P400*(1-A400)</f>
        <v>0</v>
      </c>
      <c r="AI400" s="1">
        <f t="shared" ref="AI400:AI418" si="162">+(1-A400)*(1-P400)</f>
        <v>1</v>
      </c>
    </row>
    <row r="401" spans="1:35" s="1" customFormat="1" ht="14.25" customHeight="1" x14ac:dyDescent="0.25">
      <c r="A401" s="44">
        <v>0</v>
      </c>
      <c r="B401" s="44">
        <v>2</v>
      </c>
      <c r="C401" s="44">
        <v>6</v>
      </c>
      <c r="D401" s="45" t="s">
        <v>635</v>
      </c>
      <c r="E401" s="45" t="s">
        <v>31</v>
      </c>
      <c r="F401" s="45" t="s">
        <v>636</v>
      </c>
      <c r="G401" s="45" t="s">
        <v>239</v>
      </c>
      <c r="H401" s="45" t="s">
        <v>352</v>
      </c>
      <c r="I401" s="44" t="s">
        <v>637</v>
      </c>
      <c r="J401" s="44">
        <v>1</v>
      </c>
      <c r="K401" s="46" t="s">
        <v>709</v>
      </c>
      <c r="L401" s="46" t="s">
        <v>690</v>
      </c>
      <c r="M401" s="47" t="s">
        <v>1408</v>
      </c>
      <c r="N401" s="47" t="s">
        <v>1709</v>
      </c>
      <c r="O401" s="48"/>
      <c r="P401" s="48"/>
      <c r="Q401" s="45"/>
      <c r="S401" s="1">
        <f t="shared" si="147"/>
        <v>1</v>
      </c>
      <c r="T401" s="1">
        <f t="shared" si="148"/>
        <v>0</v>
      </c>
      <c r="U401" s="1">
        <f t="shared" si="149"/>
        <v>0</v>
      </c>
      <c r="V401" s="1">
        <f t="shared" si="150"/>
        <v>0</v>
      </c>
      <c r="W401" s="1">
        <f t="shared" si="151"/>
        <v>0</v>
      </c>
      <c r="X401" s="1">
        <f t="shared" si="152"/>
        <v>0</v>
      </c>
      <c r="Y401" s="1">
        <f t="shared" si="153"/>
        <v>0</v>
      </c>
      <c r="Z401" s="1">
        <f t="shared" si="154"/>
        <v>0</v>
      </c>
      <c r="AA401" s="1">
        <f t="shared" si="155"/>
        <v>0</v>
      </c>
      <c r="AB401" s="1">
        <f t="shared" si="156"/>
        <v>0</v>
      </c>
      <c r="AD401" s="1">
        <f t="shared" si="157"/>
        <v>0</v>
      </c>
      <c r="AE401" s="1">
        <f t="shared" si="158"/>
        <v>0</v>
      </c>
      <c r="AF401" s="1">
        <f t="shared" si="159"/>
        <v>0</v>
      </c>
      <c r="AG401" s="1">
        <f t="shared" si="160"/>
        <v>0</v>
      </c>
      <c r="AH401" s="1">
        <f t="shared" si="161"/>
        <v>0</v>
      </c>
      <c r="AI401" s="1">
        <f t="shared" si="162"/>
        <v>1</v>
      </c>
    </row>
    <row r="402" spans="1:35" s="1" customFormat="1" ht="14.25" customHeight="1" x14ac:dyDescent="0.25">
      <c r="A402" s="44">
        <v>0</v>
      </c>
      <c r="B402" s="44">
        <v>2</v>
      </c>
      <c r="C402" s="44">
        <v>6</v>
      </c>
      <c r="D402" s="45" t="s">
        <v>1119</v>
      </c>
      <c r="E402" s="45" t="s">
        <v>31</v>
      </c>
      <c r="F402" s="45" t="s">
        <v>668</v>
      </c>
      <c r="G402" s="45" t="s">
        <v>199</v>
      </c>
      <c r="H402" s="45" t="s">
        <v>352</v>
      </c>
      <c r="I402" s="44" t="s">
        <v>516</v>
      </c>
      <c r="J402" s="44">
        <v>2</v>
      </c>
      <c r="K402" s="46" t="s">
        <v>708</v>
      </c>
      <c r="L402" s="46" t="s">
        <v>690</v>
      </c>
      <c r="M402" s="47" t="s">
        <v>724</v>
      </c>
      <c r="N402" s="47" t="s">
        <v>1709</v>
      </c>
      <c r="O402" s="48"/>
      <c r="P402" s="48"/>
      <c r="Q402" s="45"/>
      <c r="S402" s="1">
        <f t="shared" si="147"/>
        <v>0</v>
      </c>
      <c r="T402" s="1">
        <f t="shared" si="148"/>
        <v>1</v>
      </c>
      <c r="U402" s="1">
        <f t="shared" si="149"/>
        <v>0</v>
      </c>
      <c r="V402" s="1">
        <f t="shared" si="150"/>
        <v>0</v>
      </c>
      <c r="W402" s="1">
        <f t="shared" si="151"/>
        <v>0</v>
      </c>
      <c r="X402" s="1">
        <f t="shared" si="152"/>
        <v>0</v>
      </c>
      <c r="Y402" s="1">
        <f t="shared" si="153"/>
        <v>0</v>
      </c>
      <c r="Z402" s="1">
        <f t="shared" si="154"/>
        <v>0</v>
      </c>
      <c r="AA402" s="1">
        <f t="shared" si="155"/>
        <v>0</v>
      </c>
      <c r="AB402" s="1">
        <f t="shared" si="156"/>
        <v>0</v>
      </c>
      <c r="AD402" s="1">
        <f t="shared" si="157"/>
        <v>0</v>
      </c>
      <c r="AE402" s="1">
        <f t="shared" si="158"/>
        <v>0</v>
      </c>
      <c r="AF402" s="1">
        <f t="shared" si="159"/>
        <v>0</v>
      </c>
      <c r="AG402" s="1">
        <f t="shared" si="160"/>
        <v>0</v>
      </c>
      <c r="AH402" s="1">
        <f t="shared" si="161"/>
        <v>0</v>
      </c>
      <c r="AI402" s="1">
        <f t="shared" si="162"/>
        <v>1</v>
      </c>
    </row>
    <row r="403" spans="1:35" s="1" customFormat="1" ht="14.25" customHeight="1" x14ac:dyDescent="0.25">
      <c r="A403" s="44">
        <v>0</v>
      </c>
      <c r="B403" s="44">
        <v>2</v>
      </c>
      <c r="C403" s="44">
        <v>6</v>
      </c>
      <c r="D403" s="45" t="s">
        <v>1070</v>
      </c>
      <c r="E403" s="45" t="s">
        <v>158</v>
      </c>
      <c r="F403" s="45" t="s">
        <v>197</v>
      </c>
      <c r="G403" s="45" t="s">
        <v>198</v>
      </c>
      <c r="H403" s="45" t="s">
        <v>352</v>
      </c>
      <c r="I403" s="44" t="s">
        <v>386</v>
      </c>
      <c r="J403" s="44">
        <v>99</v>
      </c>
      <c r="K403" s="46" t="s">
        <v>708</v>
      </c>
      <c r="L403" s="46" t="s">
        <v>712</v>
      </c>
      <c r="M403" s="47" t="s">
        <v>726</v>
      </c>
      <c r="N403" s="47" t="s">
        <v>1708</v>
      </c>
      <c r="O403" s="48"/>
      <c r="P403" s="48"/>
      <c r="Q403" s="45"/>
      <c r="S403" s="1">
        <f t="shared" si="147"/>
        <v>0</v>
      </c>
      <c r="T403" s="1">
        <f t="shared" si="148"/>
        <v>0</v>
      </c>
      <c r="U403" s="1">
        <f t="shared" si="149"/>
        <v>0</v>
      </c>
      <c r="V403" s="1">
        <f t="shared" si="150"/>
        <v>0</v>
      </c>
      <c r="W403" s="1">
        <f t="shared" si="151"/>
        <v>0</v>
      </c>
      <c r="X403" s="1">
        <f t="shared" si="152"/>
        <v>0</v>
      </c>
      <c r="Y403" s="1">
        <f t="shared" si="153"/>
        <v>0</v>
      </c>
      <c r="Z403" s="1">
        <f t="shared" si="154"/>
        <v>0</v>
      </c>
      <c r="AA403" s="1">
        <f t="shared" si="155"/>
        <v>0</v>
      </c>
      <c r="AB403" s="1">
        <f t="shared" si="156"/>
        <v>0</v>
      </c>
      <c r="AD403" s="1">
        <f t="shared" si="157"/>
        <v>0</v>
      </c>
      <c r="AE403" s="1">
        <f t="shared" si="158"/>
        <v>0</v>
      </c>
      <c r="AF403" s="1">
        <f t="shared" si="159"/>
        <v>0</v>
      </c>
      <c r="AG403" s="1">
        <f t="shared" si="160"/>
        <v>0</v>
      </c>
      <c r="AH403" s="1">
        <f t="shared" si="161"/>
        <v>0</v>
      </c>
      <c r="AI403" s="1">
        <f t="shared" si="162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505</v>
      </c>
      <c r="E404" s="32" t="s">
        <v>155</v>
      </c>
      <c r="F404" s="32" t="s">
        <v>506</v>
      </c>
      <c r="G404" s="32" t="s">
        <v>39</v>
      </c>
      <c r="H404" s="32" t="s">
        <v>352</v>
      </c>
      <c r="I404" s="31" t="s">
        <v>930</v>
      </c>
      <c r="J404" s="31">
        <v>7</v>
      </c>
      <c r="K404" s="33" t="s">
        <v>942</v>
      </c>
      <c r="L404" s="33" t="s">
        <v>39</v>
      </c>
      <c r="M404" s="34" t="s">
        <v>39</v>
      </c>
      <c r="N404" s="34" t="s">
        <v>1701</v>
      </c>
      <c r="O404" s="35">
        <v>1</v>
      </c>
      <c r="P404" s="35">
        <v>1</v>
      </c>
      <c r="Q404" s="32"/>
      <c r="S404" s="1">
        <f t="shared" ref="S404:S418" si="163">IF(J404=$S$7,1,0)</f>
        <v>0</v>
      </c>
      <c r="T404" s="1">
        <f t="shared" ref="T404:T418" si="164">IF(J404=$T$7,1,0)</f>
        <v>0</v>
      </c>
      <c r="U404" s="1">
        <f t="shared" ref="U404:U418" si="165">IF(J404=$U$7,1,0)</f>
        <v>0</v>
      </c>
      <c r="V404" s="1">
        <f t="shared" ref="V404:V418" si="166">IF(J404=$V$7,1,0)</f>
        <v>0</v>
      </c>
      <c r="W404" s="1">
        <f t="shared" ref="W404:W418" si="167">IF(J404=$W$7,1,0)</f>
        <v>0</v>
      </c>
      <c r="X404" s="1">
        <f t="shared" ref="X404:X418" si="168">IF(J404=$X$7,1,0)</f>
        <v>0</v>
      </c>
      <c r="Y404" s="1">
        <f t="shared" ref="Y404:Y418" si="169">IF(J404=$Y$7,1,0)</f>
        <v>1</v>
      </c>
      <c r="Z404" s="1">
        <f t="shared" ref="Z404:Z418" si="170">IF(J404=$Z$7,1,0)</f>
        <v>0</v>
      </c>
      <c r="AA404" s="1">
        <f t="shared" ref="AA404:AA418" si="171">IF(J404=$AA$7,1,0)</f>
        <v>0</v>
      </c>
      <c r="AB404" s="1">
        <f t="shared" ref="AB404:AB418" si="172">IF(J404=$AB$7,1,0)</f>
        <v>0</v>
      </c>
      <c r="AD404" s="1">
        <f t="shared" ref="AD404:AD418" si="173">+O404*P404</f>
        <v>1</v>
      </c>
      <c r="AE404" s="1">
        <f t="shared" ref="AE404:AE418" si="174">O404*(1-P404)</f>
        <v>0</v>
      </c>
      <c r="AF404" s="1">
        <f t="shared" si="159"/>
        <v>1</v>
      </c>
      <c r="AG404" s="1">
        <f t="shared" si="160"/>
        <v>0</v>
      </c>
      <c r="AH404" s="1">
        <f t="shared" si="161"/>
        <v>1</v>
      </c>
      <c r="AI404" s="1">
        <f t="shared" si="162"/>
        <v>0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70</v>
      </c>
      <c r="E405" s="32" t="s">
        <v>28</v>
      </c>
      <c r="F405" s="32" t="s">
        <v>669</v>
      </c>
      <c r="G405" s="32" t="s">
        <v>257</v>
      </c>
      <c r="H405" s="32" t="s">
        <v>352</v>
      </c>
      <c r="I405" s="31" t="s">
        <v>415</v>
      </c>
      <c r="J405" s="31">
        <v>8</v>
      </c>
      <c r="K405" s="33" t="s">
        <v>709</v>
      </c>
      <c r="L405" s="33" t="s">
        <v>709</v>
      </c>
      <c r="M405" s="34" t="s">
        <v>727</v>
      </c>
      <c r="N405" s="34" t="s">
        <v>1717</v>
      </c>
      <c r="O405" s="35">
        <v>1</v>
      </c>
      <c r="P405" s="35"/>
      <c r="Q405" s="32"/>
      <c r="S405" s="1">
        <f t="shared" si="163"/>
        <v>0</v>
      </c>
      <c r="T405" s="1">
        <f t="shared" si="164"/>
        <v>0</v>
      </c>
      <c r="U405" s="1">
        <f t="shared" si="165"/>
        <v>0</v>
      </c>
      <c r="V405" s="1">
        <f t="shared" si="166"/>
        <v>0</v>
      </c>
      <c r="W405" s="1">
        <f t="shared" si="167"/>
        <v>0</v>
      </c>
      <c r="X405" s="1">
        <f t="shared" si="168"/>
        <v>0</v>
      </c>
      <c r="Y405" s="1">
        <f t="shared" si="169"/>
        <v>0</v>
      </c>
      <c r="Z405" s="1">
        <f t="shared" si="170"/>
        <v>1</v>
      </c>
      <c r="AA405" s="1">
        <f t="shared" si="171"/>
        <v>0</v>
      </c>
      <c r="AB405" s="1">
        <f t="shared" si="172"/>
        <v>0</v>
      </c>
      <c r="AD405" s="1">
        <f t="shared" si="173"/>
        <v>0</v>
      </c>
      <c r="AE405" s="1">
        <f t="shared" si="174"/>
        <v>1</v>
      </c>
      <c r="AF405" s="1">
        <f t="shared" si="159"/>
        <v>0</v>
      </c>
      <c r="AG405" s="1">
        <f t="shared" si="160"/>
        <v>1</v>
      </c>
      <c r="AH405" s="1">
        <f t="shared" si="161"/>
        <v>0</v>
      </c>
      <c r="AI405" s="1">
        <f t="shared" si="162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650</v>
      </c>
      <c r="E406" s="32" t="s">
        <v>155</v>
      </c>
      <c r="F406" s="32" t="s">
        <v>581</v>
      </c>
      <c r="G406" s="32" t="s">
        <v>248</v>
      </c>
      <c r="H406" s="32" t="s">
        <v>352</v>
      </c>
      <c r="I406" s="31" t="s">
        <v>675</v>
      </c>
      <c r="J406" s="31">
        <v>7</v>
      </c>
      <c r="K406" s="33" t="s">
        <v>942</v>
      </c>
      <c r="L406" s="33" t="s">
        <v>39</v>
      </c>
      <c r="M406" s="34" t="s">
        <v>39</v>
      </c>
      <c r="N406" s="34" t="s">
        <v>1701</v>
      </c>
      <c r="O406" s="35">
        <v>1</v>
      </c>
      <c r="P406" s="35">
        <v>1</v>
      </c>
      <c r="Q406" s="32"/>
      <c r="S406" s="1">
        <f t="shared" si="163"/>
        <v>0</v>
      </c>
      <c r="T406" s="1">
        <f t="shared" si="164"/>
        <v>0</v>
      </c>
      <c r="U406" s="1">
        <f t="shared" si="165"/>
        <v>0</v>
      </c>
      <c r="V406" s="1">
        <f t="shared" si="166"/>
        <v>0</v>
      </c>
      <c r="W406" s="1">
        <f t="shared" si="167"/>
        <v>0</v>
      </c>
      <c r="X406" s="1">
        <f t="shared" si="168"/>
        <v>0</v>
      </c>
      <c r="Y406" s="1">
        <f t="shared" si="169"/>
        <v>1</v>
      </c>
      <c r="Z406" s="1">
        <f t="shared" si="170"/>
        <v>0</v>
      </c>
      <c r="AA406" s="1">
        <f t="shared" si="171"/>
        <v>0</v>
      </c>
      <c r="AB406" s="1">
        <f t="shared" si="172"/>
        <v>0</v>
      </c>
      <c r="AD406" s="1">
        <f t="shared" si="173"/>
        <v>1</v>
      </c>
      <c r="AE406" s="1">
        <f t="shared" si="174"/>
        <v>0</v>
      </c>
      <c r="AF406" s="1">
        <f t="shared" si="159"/>
        <v>1</v>
      </c>
      <c r="AG406" s="1">
        <f t="shared" si="160"/>
        <v>0</v>
      </c>
      <c r="AH406" s="1">
        <f t="shared" si="161"/>
        <v>1</v>
      </c>
      <c r="AI406" s="1">
        <f t="shared" si="162"/>
        <v>0</v>
      </c>
    </row>
    <row r="407" spans="1:35" s="1" customFormat="1" ht="14.25" customHeight="1" x14ac:dyDescent="0.25">
      <c r="A407" s="44">
        <v>0</v>
      </c>
      <c r="B407" s="44">
        <v>2</v>
      </c>
      <c r="C407" s="44">
        <v>7</v>
      </c>
      <c r="D407" s="45" t="s">
        <v>1608</v>
      </c>
      <c r="E407" s="45" t="s">
        <v>155</v>
      </c>
      <c r="F407" s="45" t="s">
        <v>1631</v>
      </c>
      <c r="G407" s="45" t="s">
        <v>212</v>
      </c>
      <c r="H407" s="45" t="s">
        <v>352</v>
      </c>
      <c r="I407" s="44" t="s">
        <v>590</v>
      </c>
      <c r="J407" s="44">
        <v>1</v>
      </c>
      <c r="K407" s="46" t="s">
        <v>708</v>
      </c>
      <c r="L407" s="46" t="s">
        <v>718</v>
      </c>
      <c r="M407" s="47" t="s">
        <v>1409</v>
      </c>
      <c r="N407" s="47" t="s">
        <v>1709</v>
      </c>
      <c r="O407" s="48"/>
      <c r="P407" s="48"/>
      <c r="Q407" s="45"/>
      <c r="S407" s="1">
        <f t="shared" si="163"/>
        <v>1</v>
      </c>
      <c r="T407" s="1">
        <f t="shared" si="164"/>
        <v>0</v>
      </c>
      <c r="U407" s="1">
        <f t="shared" si="165"/>
        <v>0</v>
      </c>
      <c r="V407" s="1">
        <f t="shared" si="166"/>
        <v>0</v>
      </c>
      <c r="W407" s="1">
        <f t="shared" si="167"/>
        <v>0</v>
      </c>
      <c r="X407" s="1">
        <f t="shared" si="168"/>
        <v>0</v>
      </c>
      <c r="Y407" s="1">
        <f t="shared" si="169"/>
        <v>0</v>
      </c>
      <c r="Z407" s="1">
        <f t="shared" si="170"/>
        <v>0</v>
      </c>
      <c r="AA407" s="1">
        <f t="shared" si="171"/>
        <v>0</v>
      </c>
      <c r="AB407" s="1">
        <f t="shared" si="172"/>
        <v>0</v>
      </c>
      <c r="AD407" s="1">
        <f t="shared" si="173"/>
        <v>0</v>
      </c>
      <c r="AE407" s="1">
        <f t="shared" si="174"/>
        <v>0</v>
      </c>
      <c r="AF407" s="1">
        <f t="shared" si="159"/>
        <v>0</v>
      </c>
      <c r="AG407" s="1">
        <f t="shared" si="160"/>
        <v>0</v>
      </c>
      <c r="AH407" s="1">
        <f t="shared" si="161"/>
        <v>0</v>
      </c>
      <c r="AI407" s="1">
        <f t="shared" si="162"/>
        <v>1</v>
      </c>
    </row>
    <row r="408" spans="1:35" s="1" customFormat="1" ht="14.25" customHeight="1" x14ac:dyDescent="0.25">
      <c r="A408" s="44">
        <v>0</v>
      </c>
      <c r="B408" s="44">
        <v>2</v>
      </c>
      <c r="C408" s="44">
        <v>7</v>
      </c>
      <c r="D408" s="45" t="s">
        <v>1057</v>
      </c>
      <c r="E408" s="45" t="s">
        <v>1033</v>
      </c>
      <c r="F408" s="45" t="s">
        <v>1058</v>
      </c>
      <c r="G408" s="45" t="s">
        <v>212</v>
      </c>
      <c r="H408" s="45" t="s">
        <v>352</v>
      </c>
      <c r="I408" s="44" t="s">
        <v>1059</v>
      </c>
      <c r="J408" s="44">
        <v>1</v>
      </c>
      <c r="K408" s="46" t="s">
        <v>942</v>
      </c>
      <c r="L408" s="46" t="s">
        <v>718</v>
      </c>
      <c r="M408" s="47" t="s">
        <v>1410</v>
      </c>
      <c r="N408" s="47" t="s">
        <v>1709</v>
      </c>
      <c r="O408" s="48"/>
      <c r="P408" s="48"/>
      <c r="Q408" s="45" t="s">
        <v>1892</v>
      </c>
      <c r="S408" s="1">
        <f t="shared" si="163"/>
        <v>1</v>
      </c>
      <c r="T408" s="1">
        <f t="shared" si="164"/>
        <v>0</v>
      </c>
      <c r="U408" s="1">
        <f t="shared" si="165"/>
        <v>0</v>
      </c>
      <c r="V408" s="1">
        <f t="shared" si="166"/>
        <v>0</v>
      </c>
      <c r="W408" s="1">
        <f t="shared" si="167"/>
        <v>0</v>
      </c>
      <c r="X408" s="1">
        <f t="shared" si="168"/>
        <v>0</v>
      </c>
      <c r="Y408" s="1">
        <f t="shared" si="169"/>
        <v>0</v>
      </c>
      <c r="Z408" s="1">
        <f t="shared" si="170"/>
        <v>0</v>
      </c>
      <c r="AA408" s="1">
        <f t="shared" si="171"/>
        <v>0</v>
      </c>
      <c r="AB408" s="1">
        <f t="shared" si="172"/>
        <v>0</v>
      </c>
      <c r="AD408" s="1">
        <f t="shared" si="173"/>
        <v>0</v>
      </c>
      <c r="AE408" s="1">
        <f t="shared" si="174"/>
        <v>0</v>
      </c>
      <c r="AF408" s="1">
        <f t="shared" si="159"/>
        <v>0</v>
      </c>
      <c r="AG408" s="1">
        <f t="shared" si="160"/>
        <v>0</v>
      </c>
      <c r="AH408" s="1">
        <f t="shared" si="161"/>
        <v>0</v>
      </c>
      <c r="AI408" s="1">
        <f t="shared" si="162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1004</v>
      </c>
      <c r="E409" s="32" t="s">
        <v>155</v>
      </c>
      <c r="F409" s="32" t="s">
        <v>1075</v>
      </c>
      <c r="G409" s="32" t="s">
        <v>1085</v>
      </c>
      <c r="H409" s="32" t="s">
        <v>352</v>
      </c>
      <c r="I409" s="31" t="s">
        <v>1005</v>
      </c>
      <c r="J409" s="31">
        <v>99</v>
      </c>
      <c r="K409" s="33" t="s">
        <v>709</v>
      </c>
      <c r="L409" s="33" t="s">
        <v>718</v>
      </c>
      <c r="M409" s="34" t="s">
        <v>1410</v>
      </c>
      <c r="N409" s="34" t="s">
        <v>1722</v>
      </c>
      <c r="O409" s="35">
        <v>1</v>
      </c>
      <c r="P409" s="35"/>
      <c r="Q409" s="32"/>
      <c r="S409" s="1">
        <f t="shared" si="163"/>
        <v>0</v>
      </c>
      <c r="T409" s="1">
        <f t="shared" si="164"/>
        <v>0</v>
      </c>
      <c r="U409" s="1">
        <f t="shared" si="165"/>
        <v>0</v>
      </c>
      <c r="V409" s="1">
        <f t="shared" si="166"/>
        <v>0</v>
      </c>
      <c r="W409" s="1">
        <f t="shared" si="167"/>
        <v>0</v>
      </c>
      <c r="X409" s="1">
        <f t="shared" si="168"/>
        <v>0</v>
      </c>
      <c r="Y409" s="1">
        <f t="shared" si="169"/>
        <v>0</v>
      </c>
      <c r="Z409" s="1">
        <f t="shared" si="170"/>
        <v>0</v>
      </c>
      <c r="AA409" s="1">
        <f t="shared" si="171"/>
        <v>0</v>
      </c>
      <c r="AB409" s="1">
        <f t="shared" si="172"/>
        <v>0</v>
      </c>
      <c r="AD409" s="1">
        <f t="shared" si="173"/>
        <v>0</v>
      </c>
      <c r="AE409" s="1">
        <f t="shared" si="174"/>
        <v>1</v>
      </c>
      <c r="AF409" s="1">
        <f t="shared" si="159"/>
        <v>0</v>
      </c>
      <c r="AG409" s="1">
        <f t="shared" si="160"/>
        <v>1</v>
      </c>
      <c r="AH409" s="1">
        <f t="shared" si="161"/>
        <v>0</v>
      </c>
      <c r="AI409" s="1">
        <f t="shared" si="162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2" t="s">
        <v>1186</v>
      </c>
      <c r="E410" s="32" t="s">
        <v>1312</v>
      </c>
      <c r="F410" s="32" t="s">
        <v>1187</v>
      </c>
      <c r="G410" s="32" t="s">
        <v>39</v>
      </c>
      <c r="H410" s="32" t="s">
        <v>352</v>
      </c>
      <c r="I410" s="31" t="s">
        <v>1659</v>
      </c>
      <c r="J410" s="31">
        <v>99</v>
      </c>
      <c r="K410" s="33" t="s">
        <v>942</v>
      </c>
      <c r="L410" s="33" t="s">
        <v>725</v>
      </c>
      <c r="M410" s="34" t="s">
        <v>1411</v>
      </c>
      <c r="N410" s="34" t="s">
        <v>1722</v>
      </c>
      <c r="O410" s="35">
        <v>1</v>
      </c>
      <c r="P410" s="35"/>
      <c r="Q410" s="32"/>
      <c r="S410" s="1">
        <f t="shared" si="163"/>
        <v>0</v>
      </c>
      <c r="T410" s="1">
        <f t="shared" si="164"/>
        <v>0</v>
      </c>
      <c r="U410" s="1">
        <f t="shared" si="165"/>
        <v>0</v>
      </c>
      <c r="V410" s="1">
        <f t="shared" si="166"/>
        <v>0</v>
      </c>
      <c r="W410" s="1">
        <f t="shared" si="167"/>
        <v>0</v>
      </c>
      <c r="X410" s="1">
        <f t="shared" si="168"/>
        <v>0</v>
      </c>
      <c r="Y410" s="1">
        <f t="shared" si="169"/>
        <v>0</v>
      </c>
      <c r="Z410" s="1">
        <f t="shared" si="170"/>
        <v>0</v>
      </c>
      <c r="AA410" s="1">
        <f t="shared" si="171"/>
        <v>0</v>
      </c>
      <c r="AB410" s="1">
        <f t="shared" si="172"/>
        <v>0</v>
      </c>
      <c r="AD410" s="1">
        <f t="shared" si="173"/>
        <v>0</v>
      </c>
      <c r="AE410" s="1">
        <f t="shared" si="174"/>
        <v>1</v>
      </c>
      <c r="AF410" s="1">
        <f t="shared" si="159"/>
        <v>0</v>
      </c>
      <c r="AG410" s="1">
        <f t="shared" si="160"/>
        <v>1</v>
      </c>
      <c r="AH410" s="1">
        <f t="shared" si="161"/>
        <v>0</v>
      </c>
      <c r="AI410" s="1">
        <f t="shared" si="162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640</v>
      </c>
      <c r="G411" s="32" t="s">
        <v>531</v>
      </c>
      <c r="H411" s="32" t="s">
        <v>352</v>
      </c>
      <c r="I411" s="31" t="s">
        <v>392</v>
      </c>
      <c r="J411" s="31">
        <v>6</v>
      </c>
      <c r="K411" s="33" t="s">
        <v>708</v>
      </c>
      <c r="L411" s="33" t="s">
        <v>709</v>
      </c>
      <c r="M411" s="34" t="s">
        <v>727</v>
      </c>
      <c r="N411" s="34" t="s">
        <v>1735</v>
      </c>
      <c r="O411" s="35">
        <v>1</v>
      </c>
      <c r="P411" s="35"/>
      <c r="Q411" s="32"/>
      <c r="S411" s="1">
        <f t="shared" si="163"/>
        <v>0</v>
      </c>
      <c r="T411" s="1">
        <f t="shared" si="164"/>
        <v>0</v>
      </c>
      <c r="U411" s="1">
        <f t="shared" si="165"/>
        <v>0</v>
      </c>
      <c r="V411" s="1">
        <f t="shared" si="166"/>
        <v>0</v>
      </c>
      <c r="W411" s="1">
        <f t="shared" si="167"/>
        <v>0</v>
      </c>
      <c r="X411" s="1">
        <f t="shared" si="168"/>
        <v>1</v>
      </c>
      <c r="Y411" s="1">
        <f t="shared" si="169"/>
        <v>0</v>
      </c>
      <c r="Z411" s="1">
        <f t="shared" si="170"/>
        <v>0</v>
      </c>
      <c r="AA411" s="1">
        <f t="shared" si="171"/>
        <v>0</v>
      </c>
      <c r="AB411" s="1">
        <f t="shared" si="172"/>
        <v>0</v>
      </c>
      <c r="AD411" s="1">
        <f t="shared" si="173"/>
        <v>0</v>
      </c>
      <c r="AE411" s="1">
        <f t="shared" si="174"/>
        <v>1</v>
      </c>
      <c r="AF411" s="1">
        <f t="shared" si="159"/>
        <v>0</v>
      </c>
      <c r="AG411" s="1">
        <f t="shared" si="160"/>
        <v>1</v>
      </c>
      <c r="AH411" s="1">
        <f t="shared" si="161"/>
        <v>0</v>
      </c>
      <c r="AI411" s="1">
        <f t="shared" si="162"/>
        <v>1</v>
      </c>
    </row>
    <row r="412" spans="1:35" s="1" customFormat="1" ht="14.25" customHeight="1" x14ac:dyDescent="0.25">
      <c r="A412" s="31">
        <v>1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215</v>
      </c>
      <c r="G412" s="32" t="s">
        <v>39</v>
      </c>
      <c r="H412" s="32" t="s">
        <v>352</v>
      </c>
      <c r="I412" s="31" t="s">
        <v>30</v>
      </c>
      <c r="J412" s="31">
        <v>99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3"/>
        <v>0</v>
      </c>
      <c r="T412" s="1">
        <f t="shared" si="164"/>
        <v>0</v>
      </c>
      <c r="U412" s="1">
        <f t="shared" si="165"/>
        <v>0</v>
      </c>
      <c r="V412" s="1">
        <f t="shared" si="166"/>
        <v>0</v>
      </c>
      <c r="W412" s="1">
        <f t="shared" si="167"/>
        <v>0</v>
      </c>
      <c r="X412" s="1">
        <f t="shared" si="168"/>
        <v>0</v>
      </c>
      <c r="Y412" s="1">
        <f t="shared" si="169"/>
        <v>0</v>
      </c>
      <c r="Z412" s="1">
        <f t="shared" si="170"/>
        <v>0</v>
      </c>
      <c r="AA412" s="1">
        <f t="shared" si="171"/>
        <v>0</v>
      </c>
      <c r="AB412" s="1">
        <f t="shared" si="172"/>
        <v>0</v>
      </c>
      <c r="AD412" s="1">
        <f t="shared" si="173"/>
        <v>0</v>
      </c>
      <c r="AE412" s="1">
        <f t="shared" si="174"/>
        <v>1</v>
      </c>
      <c r="AF412" s="1">
        <f t="shared" si="159"/>
        <v>0</v>
      </c>
      <c r="AG412" s="1">
        <f t="shared" si="160"/>
        <v>0</v>
      </c>
      <c r="AH412" s="1">
        <f t="shared" si="161"/>
        <v>0</v>
      </c>
      <c r="AI412" s="1">
        <f t="shared" si="162"/>
        <v>0</v>
      </c>
    </row>
    <row r="413" spans="1:35" s="1" customFormat="1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214</v>
      </c>
      <c r="G413" s="32" t="s">
        <v>39</v>
      </c>
      <c r="H413" s="32" t="s">
        <v>352</v>
      </c>
      <c r="I413" s="31" t="s">
        <v>392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3"/>
        <v>0</v>
      </c>
      <c r="T413" s="1">
        <f t="shared" si="164"/>
        <v>0</v>
      </c>
      <c r="U413" s="1">
        <f t="shared" si="165"/>
        <v>0</v>
      </c>
      <c r="V413" s="1">
        <f t="shared" si="166"/>
        <v>0</v>
      </c>
      <c r="W413" s="1">
        <f t="shared" si="167"/>
        <v>0</v>
      </c>
      <c r="X413" s="1">
        <f t="shared" si="168"/>
        <v>0</v>
      </c>
      <c r="Y413" s="1">
        <f t="shared" si="169"/>
        <v>0</v>
      </c>
      <c r="Z413" s="1">
        <f t="shared" si="170"/>
        <v>0</v>
      </c>
      <c r="AA413" s="1">
        <f t="shared" si="171"/>
        <v>0</v>
      </c>
      <c r="AB413" s="1">
        <f t="shared" si="172"/>
        <v>0</v>
      </c>
      <c r="AD413" s="1">
        <f t="shared" si="173"/>
        <v>0</v>
      </c>
      <c r="AE413" s="1">
        <f t="shared" si="174"/>
        <v>1</v>
      </c>
      <c r="AF413" s="1">
        <f t="shared" si="159"/>
        <v>0</v>
      </c>
      <c r="AG413" s="1">
        <f t="shared" si="160"/>
        <v>0</v>
      </c>
      <c r="AH413" s="1">
        <f t="shared" si="161"/>
        <v>0</v>
      </c>
      <c r="AI413" s="1">
        <f t="shared" si="162"/>
        <v>0</v>
      </c>
    </row>
    <row r="414" spans="1:35" s="1" customFormat="1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216</v>
      </c>
      <c r="G414" s="32" t="s">
        <v>217</v>
      </c>
      <c r="H414" s="32" t="s">
        <v>352</v>
      </c>
      <c r="I414" s="31" t="s">
        <v>393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3"/>
        <v>0</v>
      </c>
      <c r="T414" s="1">
        <f t="shared" si="164"/>
        <v>0</v>
      </c>
      <c r="U414" s="1">
        <f t="shared" si="165"/>
        <v>0</v>
      </c>
      <c r="V414" s="1">
        <f t="shared" si="166"/>
        <v>0</v>
      </c>
      <c r="W414" s="1">
        <f t="shared" si="167"/>
        <v>0</v>
      </c>
      <c r="X414" s="1">
        <f t="shared" si="168"/>
        <v>0</v>
      </c>
      <c r="Y414" s="1">
        <f t="shared" si="169"/>
        <v>0</v>
      </c>
      <c r="Z414" s="1">
        <f t="shared" si="170"/>
        <v>0</v>
      </c>
      <c r="AA414" s="1">
        <f t="shared" si="171"/>
        <v>0</v>
      </c>
      <c r="AB414" s="1">
        <f t="shared" si="172"/>
        <v>0</v>
      </c>
      <c r="AD414" s="1">
        <f t="shared" si="173"/>
        <v>0</v>
      </c>
      <c r="AE414" s="1">
        <f t="shared" si="174"/>
        <v>1</v>
      </c>
      <c r="AF414" s="1">
        <f t="shared" si="159"/>
        <v>0</v>
      </c>
      <c r="AG414" s="1">
        <f t="shared" si="160"/>
        <v>0</v>
      </c>
      <c r="AH414" s="1">
        <f t="shared" si="161"/>
        <v>0</v>
      </c>
      <c r="AI414" s="1">
        <f t="shared" si="162"/>
        <v>0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6" t="s">
        <v>2023</v>
      </c>
      <c r="E415" s="36" t="s">
        <v>155</v>
      </c>
      <c r="F415" s="36" t="s">
        <v>2024</v>
      </c>
      <c r="G415" s="36" t="s">
        <v>219</v>
      </c>
      <c r="H415" s="36" t="s">
        <v>352</v>
      </c>
      <c r="I415" s="37" t="s">
        <v>2025</v>
      </c>
      <c r="J415" s="31">
        <v>99</v>
      </c>
      <c r="K415" s="33" t="s">
        <v>699</v>
      </c>
      <c r="L415" s="33">
        <v>10</v>
      </c>
      <c r="M415" s="34" t="s">
        <v>2026</v>
      </c>
      <c r="N415" s="34" t="s">
        <v>1722</v>
      </c>
      <c r="O415" s="35">
        <v>1</v>
      </c>
      <c r="P415" s="35"/>
      <c r="Q415" s="32"/>
      <c r="S415" s="1">
        <f t="shared" si="163"/>
        <v>0</v>
      </c>
      <c r="T415" s="1">
        <f t="shared" si="164"/>
        <v>0</v>
      </c>
      <c r="U415" s="1">
        <f t="shared" si="165"/>
        <v>0</v>
      </c>
      <c r="V415" s="1">
        <f t="shared" si="166"/>
        <v>0</v>
      </c>
      <c r="W415" s="1">
        <f t="shared" si="167"/>
        <v>0</v>
      </c>
      <c r="X415" s="1">
        <f t="shared" si="168"/>
        <v>0</v>
      </c>
      <c r="Y415" s="1">
        <f t="shared" si="169"/>
        <v>0</v>
      </c>
      <c r="Z415" s="1">
        <f t="shared" si="170"/>
        <v>0</v>
      </c>
      <c r="AA415" s="1">
        <f t="shared" si="171"/>
        <v>0</v>
      </c>
      <c r="AB415" s="1">
        <f t="shared" si="172"/>
        <v>0</v>
      </c>
      <c r="AD415" s="1">
        <f t="shared" si="173"/>
        <v>0</v>
      </c>
      <c r="AE415" s="1">
        <f t="shared" si="174"/>
        <v>1</v>
      </c>
      <c r="AF415" s="1">
        <f t="shared" si="159"/>
        <v>0</v>
      </c>
      <c r="AG415" s="1">
        <f t="shared" si="160"/>
        <v>1</v>
      </c>
      <c r="AH415" s="1">
        <f t="shared" si="161"/>
        <v>0</v>
      </c>
      <c r="AI415" s="1">
        <f t="shared" si="162"/>
        <v>1</v>
      </c>
    </row>
    <row r="416" spans="1:35" s="1" customFormat="1" ht="14.25" customHeight="1" x14ac:dyDescent="0.25">
      <c r="A416" s="44">
        <v>0</v>
      </c>
      <c r="B416" s="44">
        <v>2</v>
      </c>
      <c r="C416" s="44">
        <v>7</v>
      </c>
      <c r="D416" s="45" t="s">
        <v>68</v>
      </c>
      <c r="E416" s="45" t="s">
        <v>28</v>
      </c>
      <c r="F416" s="45" t="s">
        <v>252</v>
      </c>
      <c r="G416" s="45" t="s">
        <v>253</v>
      </c>
      <c r="H416" s="45" t="s">
        <v>352</v>
      </c>
      <c r="I416" s="44" t="s">
        <v>412</v>
      </c>
      <c r="J416" s="44">
        <v>99</v>
      </c>
      <c r="K416" s="46" t="s">
        <v>709</v>
      </c>
      <c r="L416" s="46" t="s">
        <v>709</v>
      </c>
      <c r="M416" s="47" t="s">
        <v>727</v>
      </c>
      <c r="N416" s="47" t="s">
        <v>1776</v>
      </c>
      <c r="O416" s="48"/>
      <c r="P416" s="48"/>
      <c r="Q416" s="45"/>
      <c r="S416" s="1">
        <f t="shared" si="163"/>
        <v>0</v>
      </c>
      <c r="T416" s="1">
        <f t="shared" si="164"/>
        <v>0</v>
      </c>
      <c r="U416" s="1">
        <f t="shared" si="165"/>
        <v>0</v>
      </c>
      <c r="V416" s="1">
        <f t="shared" si="166"/>
        <v>0</v>
      </c>
      <c r="W416" s="1">
        <f t="shared" si="167"/>
        <v>0</v>
      </c>
      <c r="X416" s="1">
        <f t="shared" si="168"/>
        <v>0</v>
      </c>
      <c r="Y416" s="1">
        <f t="shared" si="169"/>
        <v>0</v>
      </c>
      <c r="Z416" s="1">
        <f t="shared" si="170"/>
        <v>0</v>
      </c>
      <c r="AA416" s="1">
        <f t="shared" si="171"/>
        <v>0</v>
      </c>
      <c r="AB416" s="1">
        <f t="shared" si="172"/>
        <v>0</v>
      </c>
      <c r="AD416" s="1">
        <f t="shared" si="173"/>
        <v>0</v>
      </c>
      <c r="AE416" s="1">
        <f t="shared" si="174"/>
        <v>0</v>
      </c>
      <c r="AF416" s="1">
        <f t="shared" si="159"/>
        <v>0</v>
      </c>
      <c r="AG416" s="1">
        <f t="shared" si="160"/>
        <v>0</v>
      </c>
      <c r="AH416" s="1">
        <f t="shared" si="161"/>
        <v>0</v>
      </c>
      <c r="AI416" s="1">
        <f t="shared" si="162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1987</v>
      </c>
      <c r="E417" s="32" t="s">
        <v>28</v>
      </c>
      <c r="F417" s="32" t="s">
        <v>1989</v>
      </c>
      <c r="G417" s="32" t="s">
        <v>1091</v>
      </c>
      <c r="H417" s="32" t="s">
        <v>352</v>
      </c>
      <c r="I417" s="31" t="s">
        <v>1990</v>
      </c>
      <c r="J417" s="31">
        <v>1</v>
      </c>
      <c r="K417" s="33" t="s">
        <v>699</v>
      </c>
      <c r="L417" s="33"/>
      <c r="M417" s="34"/>
      <c r="N417" s="34" t="s">
        <v>1701</v>
      </c>
      <c r="O417" s="35">
        <v>1</v>
      </c>
      <c r="P417" s="35">
        <v>1</v>
      </c>
      <c r="Q417" s="32" t="s">
        <v>1992</v>
      </c>
      <c r="S417" s="1">
        <f t="shared" si="163"/>
        <v>1</v>
      </c>
      <c r="T417" s="1">
        <f t="shared" si="164"/>
        <v>0</v>
      </c>
      <c r="U417" s="1">
        <f t="shared" si="165"/>
        <v>0</v>
      </c>
      <c r="V417" s="1">
        <f t="shared" si="166"/>
        <v>0</v>
      </c>
      <c r="W417" s="1">
        <f t="shared" si="167"/>
        <v>0</v>
      </c>
      <c r="X417" s="1">
        <f t="shared" si="168"/>
        <v>0</v>
      </c>
      <c r="Y417" s="1">
        <f t="shared" si="169"/>
        <v>0</v>
      </c>
      <c r="Z417" s="1">
        <f t="shared" si="170"/>
        <v>0</v>
      </c>
      <c r="AA417" s="1">
        <f t="shared" si="171"/>
        <v>0</v>
      </c>
      <c r="AB417" s="1">
        <f t="shared" si="172"/>
        <v>0</v>
      </c>
      <c r="AD417" s="1">
        <f t="shared" si="173"/>
        <v>1</v>
      </c>
      <c r="AE417" s="1">
        <f t="shared" si="174"/>
        <v>0</v>
      </c>
      <c r="AF417" s="1">
        <f t="shared" si="159"/>
        <v>1</v>
      </c>
      <c r="AG417" s="1">
        <f t="shared" si="160"/>
        <v>0</v>
      </c>
      <c r="AH417" s="1">
        <f t="shared" si="161"/>
        <v>1</v>
      </c>
      <c r="AI417" s="1">
        <f t="shared" si="162"/>
        <v>0</v>
      </c>
    </row>
    <row r="418" spans="1:35" s="1" customFormat="1" ht="14.25" customHeight="1" x14ac:dyDescent="0.25">
      <c r="A418" s="31">
        <v>1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1988</v>
      </c>
      <c r="G418" s="36" t="s">
        <v>1994</v>
      </c>
      <c r="H418" s="32" t="s">
        <v>352</v>
      </c>
      <c r="I418" s="31" t="s">
        <v>1991</v>
      </c>
      <c r="J418" s="31">
        <v>8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1993</v>
      </c>
      <c r="S418" s="1">
        <f t="shared" si="163"/>
        <v>0</v>
      </c>
      <c r="T418" s="1">
        <f t="shared" si="164"/>
        <v>0</v>
      </c>
      <c r="U418" s="1">
        <f t="shared" si="165"/>
        <v>0</v>
      </c>
      <c r="V418" s="1">
        <f t="shared" si="166"/>
        <v>0</v>
      </c>
      <c r="W418" s="1">
        <f t="shared" si="167"/>
        <v>0</v>
      </c>
      <c r="X418" s="1">
        <f t="shared" si="168"/>
        <v>0</v>
      </c>
      <c r="Y418" s="1">
        <f t="shared" si="169"/>
        <v>0</v>
      </c>
      <c r="Z418" s="1">
        <f t="shared" si="170"/>
        <v>1</v>
      </c>
      <c r="AA418" s="1">
        <f t="shared" si="171"/>
        <v>0</v>
      </c>
      <c r="AB418" s="1">
        <f t="shared" si="172"/>
        <v>0</v>
      </c>
      <c r="AD418" s="1">
        <f t="shared" si="173"/>
        <v>1</v>
      </c>
      <c r="AE418" s="1">
        <f t="shared" si="174"/>
        <v>0</v>
      </c>
      <c r="AF418" s="1">
        <f t="shared" si="159"/>
        <v>0</v>
      </c>
      <c r="AG418" s="1">
        <f t="shared" si="160"/>
        <v>0</v>
      </c>
      <c r="AH418" s="1">
        <f t="shared" si="161"/>
        <v>0</v>
      </c>
      <c r="AI418" s="1">
        <f t="shared" si="162"/>
        <v>0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69</v>
      </c>
      <c r="E419" s="32" t="s">
        <v>28</v>
      </c>
      <c r="F419" s="32" t="s">
        <v>254</v>
      </c>
      <c r="G419" s="36" t="s">
        <v>206</v>
      </c>
      <c r="H419" s="32" t="s">
        <v>352</v>
      </c>
      <c r="I419" s="31" t="s">
        <v>413</v>
      </c>
      <c r="J419" s="31">
        <v>99</v>
      </c>
      <c r="K419" s="33" t="s">
        <v>942</v>
      </c>
      <c r="L419" s="33" t="s">
        <v>709</v>
      </c>
      <c r="M419" s="34" t="s">
        <v>727</v>
      </c>
      <c r="N419" s="34" t="s">
        <v>1707</v>
      </c>
      <c r="O419" s="35">
        <v>1</v>
      </c>
      <c r="P419" s="35">
        <v>1</v>
      </c>
      <c r="Q419" s="32"/>
      <c r="S419" s="1">
        <f t="shared" ref="S419:S468" si="175">IF(J419=$S$7,1,0)</f>
        <v>0</v>
      </c>
      <c r="T419" s="1">
        <f t="shared" ref="T419:T468" si="176">IF(J419=$T$7,1,0)</f>
        <v>0</v>
      </c>
      <c r="U419" s="1">
        <f t="shared" ref="U419:U468" si="177">IF(J419=$U$7,1,0)</f>
        <v>0</v>
      </c>
      <c r="V419" s="1">
        <f t="shared" ref="V419:V468" si="178">IF(J419=$V$7,1,0)</f>
        <v>0</v>
      </c>
      <c r="W419" s="1">
        <f t="shared" ref="W419:W468" si="179">IF(J419=$W$7,1,0)</f>
        <v>0</v>
      </c>
      <c r="X419" s="1">
        <f t="shared" ref="X419:X468" si="180">IF(J419=$X$7,1,0)</f>
        <v>0</v>
      </c>
      <c r="Y419" s="1">
        <f t="shared" ref="Y419:Y468" si="181">IF(J419=$Y$7,1,0)</f>
        <v>0</v>
      </c>
      <c r="Z419" s="1">
        <f t="shared" ref="Z419:Z468" si="182">IF(J419=$Z$7,1,0)</f>
        <v>0</v>
      </c>
      <c r="AA419" s="1">
        <f t="shared" ref="AA419:AA468" si="183">IF(J419=$AA$7,1,0)</f>
        <v>0</v>
      </c>
      <c r="AB419" s="1">
        <f t="shared" ref="AB419:AB468" si="184">IF(J419=$AB$7,1,0)</f>
        <v>0</v>
      </c>
      <c r="AD419" s="1">
        <f t="shared" ref="AD419:AD468" si="185">+O419*P419</f>
        <v>1</v>
      </c>
      <c r="AE419" s="1">
        <f t="shared" ref="AE419:AE468" si="186">O419*(1-P419)</f>
        <v>0</v>
      </c>
      <c r="AF419" s="1">
        <f t="shared" ref="AF419:AF464" si="187">+O419*P419*(1-A419)</f>
        <v>1</v>
      </c>
      <c r="AG419" s="1">
        <f t="shared" ref="AG419:AG464" si="188">O419*(1-P419)*(1-A419)</f>
        <v>0</v>
      </c>
      <c r="AH419" s="1">
        <f t="shared" ref="AH419:AH464" si="189">+P419*(1-A419)</f>
        <v>1</v>
      </c>
      <c r="AI419" s="1">
        <f t="shared" ref="AI419:AI464" si="190">+(1-A419)*(1-P419)</f>
        <v>0</v>
      </c>
    </row>
    <row r="420" spans="1:35" s="1" customFormat="1" ht="14.25" customHeight="1" x14ac:dyDescent="0.25">
      <c r="A420" s="31">
        <v>1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1848</v>
      </c>
      <c r="G420" s="36" t="s">
        <v>255</v>
      </c>
      <c r="H420" s="32" t="s">
        <v>352</v>
      </c>
      <c r="I420" s="31" t="s">
        <v>414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si="175"/>
        <v>0</v>
      </c>
      <c r="T420" s="1">
        <f t="shared" si="176"/>
        <v>0</v>
      </c>
      <c r="U420" s="1">
        <f t="shared" si="177"/>
        <v>0</v>
      </c>
      <c r="V420" s="1">
        <f t="shared" si="178"/>
        <v>0</v>
      </c>
      <c r="W420" s="1">
        <f t="shared" si="179"/>
        <v>0</v>
      </c>
      <c r="X420" s="1">
        <f t="shared" si="180"/>
        <v>0</v>
      </c>
      <c r="Y420" s="1">
        <f t="shared" si="181"/>
        <v>0</v>
      </c>
      <c r="Z420" s="1">
        <f t="shared" si="182"/>
        <v>0</v>
      </c>
      <c r="AA420" s="1">
        <f t="shared" si="183"/>
        <v>0</v>
      </c>
      <c r="AB420" s="1">
        <f t="shared" si="184"/>
        <v>0</v>
      </c>
      <c r="AD420" s="1">
        <f t="shared" si="185"/>
        <v>1</v>
      </c>
      <c r="AE420" s="1">
        <f t="shared" si="186"/>
        <v>0</v>
      </c>
      <c r="AF420" s="1">
        <f t="shared" si="187"/>
        <v>0</v>
      </c>
      <c r="AG420" s="1">
        <f t="shared" si="188"/>
        <v>0</v>
      </c>
      <c r="AH420" s="1">
        <f t="shared" si="189"/>
        <v>0</v>
      </c>
      <c r="AI420" s="1">
        <f t="shared" si="190"/>
        <v>0</v>
      </c>
    </row>
    <row r="421" spans="1:35" s="1" customFormat="1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566</v>
      </c>
      <c r="G421" s="36" t="s">
        <v>567</v>
      </c>
      <c r="H421" s="32" t="s">
        <v>352</v>
      </c>
      <c r="I421" s="31" t="s">
        <v>576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75"/>
        <v>0</v>
      </c>
      <c r="T421" s="1">
        <f t="shared" si="176"/>
        <v>0</v>
      </c>
      <c r="U421" s="1">
        <f t="shared" si="177"/>
        <v>0</v>
      </c>
      <c r="V421" s="1">
        <f t="shared" si="178"/>
        <v>0</v>
      </c>
      <c r="W421" s="1">
        <f t="shared" si="179"/>
        <v>0</v>
      </c>
      <c r="X421" s="1">
        <f t="shared" si="180"/>
        <v>0</v>
      </c>
      <c r="Y421" s="1">
        <f t="shared" si="181"/>
        <v>0</v>
      </c>
      <c r="Z421" s="1">
        <f t="shared" si="182"/>
        <v>0</v>
      </c>
      <c r="AA421" s="1">
        <f t="shared" si="183"/>
        <v>0</v>
      </c>
      <c r="AB421" s="1">
        <f t="shared" si="184"/>
        <v>0</v>
      </c>
      <c r="AD421" s="1">
        <f t="shared" si="185"/>
        <v>1</v>
      </c>
      <c r="AE421" s="1">
        <f t="shared" si="186"/>
        <v>0</v>
      </c>
      <c r="AF421" s="1">
        <f t="shared" si="187"/>
        <v>0</v>
      </c>
      <c r="AG421" s="1">
        <f t="shared" si="188"/>
        <v>0</v>
      </c>
      <c r="AH421" s="1">
        <f t="shared" si="189"/>
        <v>0</v>
      </c>
      <c r="AI421" s="1">
        <f t="shared" si="190"/>
        <v>0</v>
      </c>
    </row>
    <row r="422" spans="1:35" s="1" customFormat="1" ht="14.25" customHeight="1" x14ac:dyDescent="0.25">
      <c r="A422" s="44">
        <v>0</v>
      </c>
      <c r="B422" s="44">
        <v>2</v>
      </c>
      <c r="C422" s="44">
        <v>7</v>
      </c>
      <c r="D422" s="45" t="s">
        <v>71</v>
      </c>
      <c r="E422" s="45" t="s">
        <v>28</v>
      </c>
      <c r="F422" s="45" t="s">
        <v>1328</v>
      </c>
      <c r="G422" s="45" t="s">
        <v>258</v>
      </c>
      <c r="H422" s="45" t="s">
        <v>352</v>
      </c>
      <c r="I422" s="44" t="s">
        <v>416</v>
      </c>
      <c r="J422" s="44">
        <v>99</v>
      </c>
      <c r="K422" s="46" t="s">
        <v>709</v>
      </c>
      <c r="L422" s="46" t="s">
        <v>709</v>
      </c>
      <c r="M422" s="47" t="s">
        <v>727</v>
      </c>
      <c r="N422" s="47" t="s">
        <v>1776</v>
      </c>
      <c r="O422" s="48"/>
      <c r="P422" s="48"/>
      <c r="Q422" s="45"/>
      <c r="S422" s="1">
        <f t="shared" si="175"/>
        <v>0</v>
      </c>
      <c r="T422" s="1">
        <f t="shared" si="176"/>
        <v>0</v>
      </c>
      <c r="U422" s="1">
        <f t="shared" si="177"/>
        <v>0</v>
      </c>
      <c r="V422" s="1">
        <f t="shared" si="178"/>
        <v>0</v>
      </c>
      <c r="W422" s="1">
        <f t="shared" si="179"/>
        <v>0</v>
      </c>
      <c r="X422" s="1">
        <f t="shared" si="180"/>
        <v>0</v>
      </c>
      <c r="Y422" s="1">
        <f t="shared" si="181"/>
        <v>0</v>
      </c>
      <c r="Z422" s="1">
        <f t="shared" si="182"/>
        <v>0</v>
      </c>
      <c r="AA422" s="1">
        <f t="shared" si="183"/>
        <v>0</v>
      </c>
      <c r="AB422" s="1">
        <f t="shared" si="184"/>
        <v>0</v>
      </c>
      <c r="AD422" s="1">
        <f t="shared" si="185"/>
        <v>0</v>
      </c>
      <c r="AE422" s="1">
        <f t="shared" si="186"/>
        <v>0</v>
      </c>
      <c r="AF422" s="1">
        <f t="shared" si="187"/>
        <v>0</v>
      </c>
      <c r="AG422" s="1">
        <f t="shared" si="188"/>
        <v>0</v>
      </c>
      <c r="AH422" s="1">
        <f t="shared" si="189"/>
        <v>0</v>
      </c>
      <c r="AI422" s="1">
        <f t="shared" si="190"/>
        <v>1</v>
      </c>
    </row>
    <row r="423" spans="1:35" s="1" customFormat="1" ht="14.25" customHeight="1" x14ac:dyDescent="0.25">
      <c r="A423" s="44">
        <v>0</v>
      </c>
      <c r="B423" s="44">
        <v>2</v>
      </c>
      <c r="C423" s="44">
        <v>7</v>
      </c>
      <c r="D423" s="45" t="s">
        <v>1049</v>
      </c>
      <c r="E423" s="45" t="s">
        <v>28</v>
      </c>
      <c r="F423" s="45" t="s">
        <v>1050</v>
      </c>
      <c r="G423" s="45" t="s">
        <v>1051</v>
      </c>
      <c r="H423" s="45" t="s">
        <v>352</v>
      </c>
      <c r="I423" s="44" t="s">
        <v>1052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75"/>
        <v>0</v>
      </c>
      <c r="T423" s="1">
        <f t="shared" si="176"/>
        <v>0</v>
      </c>
      <c r="U423" s="1">
        <f t="shared" si="177"/>
        <v>0</v>
      </c>
      <c r="V423" s="1">
        <f t="shared" si="178"/>
        <v>0</v>
      </c>
      <c r="W423" s="1">
        <f t="shared" si="179"/>
        <v>0</v>
      </c>
      <c r="X423" s="1">
        <f t="shared" si="180"/>
        <v>0</v>
      </c>
      <c r="Y423" s="1">
        <f t="shared" si="181"/>
        <v>0</v>
      </c>
      <c r="Z423" s="1">
        <f t="shared" si="182"/>
        <v>0</v>
      </c>
      <c r="AA423" s="1">
        <f t="shared" si="183"/>
        <v>0</v>
      </c>
      <c r="AB423" s="1">
        <f t="shared" si="184"/>
        <v>0</v>
      </c>
      <c r="AD423" s="1">
        <f t="shared" si="185"/>
        <v>0</v>
      </c>
      <c r="AE423" s="1">
        <f t="shared" si="186"/>
        <v>0</v>
      </c>
      <c r="AF423" s="1">
        <f t="shared" si="187"/>
        <v>0</v>
      </c>
      <c r="AG423" s="1">
        <f t="shared" si="188"/>
        <v>0</v>
      </c>
      <c r="AH423" s="1">
        <f t="shared" si="189"/>
        <v>0</v>
      </c>
      <c r="AI423" s="1">
        <f t="shared" si="190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1780</v>
      </c>
      <c r="E424" s="32" t="s">
        <v>155</v>
      </c>
      <c r="F424" s="32" t="s">
        <v>1781</v>
      </c>
      <c r="G424" s="32"/>
      <c r="H424" s="32" t="s">
        <v>352</v>
      </c>
      <c r="I424" s="31" t="s">
        <v>1782</v>
      </c>
      <c r="J424" s="31">
        <v>99</v>
      </c>
      <c r="K424" s="33" t="s">
        <v>699</v>
      </c>
      <c r="L424" s="33"/>
      <c r="M424" s="34"/>
      <c r="N424" s="34" t="s">
        <v>1701</v>
      </c>
      <c r="O424" s="35">
        <v>1</v>
      </c>
      <c r="P424" s="35">
        <v>1</v>
      </c>
      <c r="Q424" s="32"/>
      <c r="S424" s="1">
        <f t="shared" si="175"/>
        <v>0</v>
      </c>
      <c r="T424" s="1">
        <f t="shared" si="176"/>
        <v>0</v>
      </c>
      <c r="U424" s="1">
        <f t="shared" si="177"/>
        <v>0</v>
      </c>
      <c r="V424" s="1">
        <f t="shared" si="178"/>
        <v>0</v>
      </c>
      <c r="W424" s="1">
        <f t="shared" si="179"/>
        <v>0</v>
      </c>
      <c r="X424" s="1">
        <f t="shared" si="180"/>
        <v>0</v>
      </c>
      <c r="Y424" s="1">
        <f t="shared" si="181"/>
        <v>0</v>
      </c>
      <c r="Z424" s="1">
        <f t="shared" si="182"/>
        <v>0</v>
      </c>
      <c r="AA424" s="1">
        <f t="shared" si="183"/>
        <v>0</v>
      </c>
      <c r="AB424" s="1">
        <f t="shared" si="184"/>
        <v>0</v>
      </c>
      <c r="AD424" s="1">
        <f t="shared" si="185"/>
        <v>1</v>
      </c>
      <c r="AE424" s="1">
        <f t="shared" si="186"/>
        <v>0</v>
      </c>
      <c r="AF424" s="1">
        <f t="shared" si="187"/>
        <v>1</v>
      </c>
      <c r="AG424" s="1">
        <f t="shared" si="188"/>
        <v>0</v>
      </c>
      <c r="AH424" s="1">
        <f t="shared" si="189"/>
        <v>1</v>
      </c>
      <c r="AI424" s="1">
        <f t="shared" si="190"/>
        <v>0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1162</v>
      </c>
      <c r="E425" s="32" t="s">
        <v>155</v>
      </c>
      <c r="F425" s="32" t="s">
        <v>1163</v>
      </c>
      <c r="G425" s="32" t="s">
        <v>291</v>
      </c>
      <c r="H425" s="32" t="s">
        <v>352</v>
      </c>
      <c r="I425" s="31" t="s">
        <v>1164</v>
      </c>
      <c r="J425" s="31">
        <v>99</v>
      </c>
      <c r="K425" s="33" t="s">
        <v>709</v>
      </c>
      <c r="L425" s="33" t="s">
        <v>718</v>
      </c>
      <c r="M425" s="34" t="s">
        <v>1410</v>
      </c>
      <c r="N425" s="34" t="s">
        <v>1722</v>
      </c>
      <c r="O425" s="35">
        <v>1</v>
      </c>
      <c r="P425" s="35"/>
      <c r="Q425" s="32"/>
      <c r="S425" s="1">
        <f t="shared" si="175"/>
        <v>0</v>
      </c>
      <c r="T425" s="1">
        <f t="shared" si="176"/>
        <v>0</v>
      </c>
      <c r="U425" s="1">
        <f t="shared" si="177"/>
        <v>0</v>
      </c>
      <c r="V425" s="1">
        <f t="shared" si="178"/>
        <v>0</v>
      </c>
      <c r="W425" s="1">
        <f t="shared" si="179"/>
        <v>0</v>
      </c>
      <c r="X425" s="1">
        <f t="shared" si="180"/>
        <v>0</v>
      </c>
      <c r="Y425" s="1">
        <f t="shared" si="181"/>
        <v>0</v>
      </c>
      <c r="Z425" s="1">
        <f t="shared" si="182"/>
        <v>0</v>
      </c>
      <c r="AA425" s="1">
        <f t="shared" si="183"/>
        <v>0</v>
      </c>
      <c r="AB425" s="1">
        <f t="shared" si="184"/>
        <v>0</v>
      </c>
      <c r="AD425" s="1">
        <f t="shared" si="185"/>
        <v>0</v>
      </c>
      <c r="AE425" s="1">
        <f t="shared" si="186"/>
        <v>1</v>
      </c>
      <c r="AF425" s="1">
        <f t="shared" si="187"/>
        <v>0</v>
      </c>
      <c r="AG425" s="1">
        <f t="shared" si="188"/>
        <v>1</v>
      </c>
      <c r="AH425" s="1">
        <f t="shared" si="189"/>
        <v>0</v>
      </c>
      <c r="AI425" s="1">
        <f t="shared" si="190"/>
        <v>1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2" t="s">
        <v>1137</v>
      </c>
      <c r="E426" s="32" t="s">
        <v>1138</v>
      </c>
      <c r="F426" s="36" t="s">
        <v>1852</v>
      </c>
      <c r="G426" s="32" t="s">
        <v>624</v>
      </c>
      <c r="H426" s="32" t="s">
        <v>352</v>
      </c>
      <c r="I426" s="31" t="s">
        <v>1139</v>
      </c>
      <c r="J426" s="31">
        <v>99</v>
      </c>
      <c r="K426" s="33" t="s">
        <v>709</v>
      </c>
      <c r="L426" s="33" t="s">
        <v>709</v>
      </c>
      <c r="M426" s="34" t="s">
        <v>727</v>
      </c>
      <c r="N426" s="34" t="s">
        <v>1717</v>
      </c>
      <c r="O426" s="35">
        <v>1</v>
      </c>
      <c r="P426" s="35"/>
      <c r="Q426" s="36" t="s">
        <v>1872</v>
      </c>
      <c r="S426" s="1">
        <f t="shared" si="175"/>
        <v>0</v>
      </c>
      <c r="T426" s="1">
        <f t="shared" si="176"/>
        <v>0</v>
      </c>
      <c r="U426" s="1">
        <f t="shared" si="177"/>
        <v>0</v>
      </c>
      <c r="V426" s="1">
        <f t="shared" si="178"/>
        <v>0</v>
      </c>
      <c r="W426" s="1">
        <f t="shared" si="179"/>
        <v>0</v>
      </c>
      <c r="X426" s="1">
        <f t="shared" si="180"/>
        <v>0</v>
      </c>
      <c r="Y426" s="1">
        <f t="shared" si="181"/>
        <v>0</v>
      </c>
      <c r="Z426" s="1">
        <f t="shared" si="182"/>
        <v>0</v>
      </c>
      <c r="AA426" s="1">
        <f t="shared" si="183"/>
        <v>0</v>
      </c>
      <c r="AB426" s="1">
        <f t="shared" si="184"/>
        <v>0</v>
      </c>
      <c r="AD426" s="1">
        <f t="shared" si="185"/>
        <v>0</v>
      </c>
      <c r="AE426" s="1">
        <f t="shared" si="186"/>
        <v>1</v>
      </c>
      <c r="AF426" s="1">
        <f t="shared" si="187"/>
        <v>0</v>
      </c>
      <c r="AG426" s="1">
        <f t="shared" si="188"/>
        <v>1</v>
      </c>
      <c r="AH426" s="1">
        <f t="shared" si="189"/>
        <v>0</v>
      </c>
      <c r="AI426" s="1">
        <f t="shared" si="190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538</v>
      </c>
      <c r="E427" s="32" t="s">
        <v>157</v>
      </c>
      <c r="F427" s="32" t="s">
        <v>194</v>
      </c>
      <c r="G427" s="32" t="s">
        <v>195</v>
      </c>
      <c r="H427" s="32" t="s">
        <v>352</v>
      </c>
      <c r="I427" s="31" t="s">
        <v>546</v>
      </c>
      <c r="J427" s="31">
        <v>99</v>
      </c>
      <c r="K427" s="33" t="s">
        <v>942</v>
      </c>
      <c r="L427" s="33" t="s">
        <v>692</v>
      </c>
      <c r="M427" s="34" t="s">
        <v>1412</v>
      </c>
      <c r="N427" s="34" t="s">
        <v>1722</v>
      </c>
      <c r="O427" s="35">
        <v>1</v>
      </c>
      <c r="P427" s="35"/>
      <c r="Q427" s="32"/>
      <c r="S427" s="1">
        <f t="shared" si="175"/>
        <v>0</v>
      </c>
      <c r="T427" s="1">
        <f t="shared" si="176"/>
        <v>0</v>
      </c>
      <c r="U427" s="1">
        <f t="shared" si="177"/>
        <v>0</v>
      </c>
      <c r="V427" s="1">
        <f t="shared" si="178"/>
        <v>0</v>
      </c>
      <c r="W427" s="1">
        <f t="shared" si="179"/>
        <v>0</v>
      </c>
      <c r="X427" s="1">
        <f t="shared" si="180"/>
        <v>0</v>
      </c>
      <c r="Y427" s="1">
        <f t="shared" si="181"/>
        <v>0</v>
      </c>
      <c r="Z427" s="1">
        <f t="shared" si="182"/>
        <v>0</v>
      </c>
      <c r="AA427" s="1">
        <f t="shared" si="183"/>
        <v>0</v>
      </c>
      <c r="AB427" s="1">
        <f t="shared" si="184"/>
        <v>0</v>
      </c>
      <c r="AD427" s="1">
        <f t="shared" si="185"/>
        <v>0</v>
      </c>
      <c r="AE427" s="1">
        <f t="shared" si="186"/>
        <v>1</v>
      </c>
      <c r="AF427" s="1">
        <f t="shared" si="187"/>
        <v>0</v>
      </c>
      <c r="AG427" s="1">
        <f t="shared" si="188"/>
        <v>1</v>
      </c>
      <c r="AH427" s="1">
        <f t="shared" si="189"/>
        <v>0</v>
      </c>
      <c r="AI427" s="1">
        <f t="shared" si="190"/>
        <v>1</v>
      </c>
    </row>
    <row r="428" spans="1:35" s="1" customFormat="1" ht="14.25" customHeight="1" x14ac:dyDescent="0.25">
      <c r="A428" s="44">
        <v>0</v>
      </c>
      <c r="B428" s="44">
        <v>2</v>
      </c>
      <c r="C428" s="44">
        <v>7</v>
      </c>
      <c r="D428" s="45" t="s">
        <v>46</v>
      </c>
      <c r="E428" s="45" t="s">
        <v>155</v>
      </c>
      <c r="F428" s="45" t="s">
        <v>182</v>
      </c>
      <c r="G428" s="45" t="s">
        <v>178</v>
      </c>
      <c r="H428" s="45" t="s">
        <v>352</v>
      </c>
      <c r="I428" s="44" t="s">
        <v>380</v>
      </c>
      <c r="J428" s="44">
        <v>10</v>
      </c>
      <c r="K428" s="46" t="s">
        <v>942</v>
      </c>
      <c r="L428" s="46" t="s">
        <v>718</v>
      </c>
      <c r="M428" s="47" t="s">
        <v>1410</v>
      </c>
      <c r="N428" s="47" t="s">
        <v>1783</v>
      </c>
      <c r="O428" s="48"/>
      <c r="P428" s="48"/>
      <c r="Q428" s="45"/>
      <c r="S428" s="1">
        <f t="shared" si="175"/>
        <v>0</v>
      </c>
      <c r="T428" s="1">
        <f t="shared" si="176"/>
        <v>0</v>
      </c>
      <c r="U428" s="1">
        <f t="shared" si="177"/>
        <v>0</v>
      </c>
      <c r="V428" s="1">
        <f t="shared" si="178"/>
        <v>0</v>
      </c>
      <c r="W428" s="1">
        <f t="shared" si="179"/>
        <v>0</v>
      </c>
      <c r="X428" s="1">
        <f t="shared" si="180"/>
        <v>0</v>
      </c>
      <c r="Y428" s="1">
        <f t="shared" si="181"/>
        <v>0</v>
      </c>
      <c r="Z428" s="1">
        <f t="shared" si="182"/>
        <v>0</v>
      </c>
      <c r="AA428" s="1">
        <f t="shared" si="183"/>
        <v>0</v>
      </c>
      <c r="AB428" s="1">
        <f t="shared" si="184"/>
        <v>1</v>
      </c>
      <c r="AD428" s="1">
        <f t="shared" si="185"/>
        <v>0</v>
      </c>
      <c r="AE428" s="1">
        <f t="shared" si="186"/>
        <v>0</v>
      </c>
      <c r="AF428" s="1">
        <f t="shared" si="187"/>
        <v>0</v>
      </c>
      <c r="AG428" s="1">
        <f t="shared" si="188"/>
        <v>0</v>
      </c>
      <c r="AH428" s="1">
        <f t="shared" si="189"/>
        <v>0</v>
      </c>
      <c r="AI428" s="1">
        <f t="shared" si="190"/>
        <v>1</v>
      </c>
    </row>
    <row r="429" spans="1:35" s="1" customFormat="1" ht="14.25" customHeight="1" x14ac:dyDescent="0.25">
      <c r="A429" s="44">
        <v>0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247</v>
      </c>
      <c r="G429" s="45" t="s">
        <v>248</v>
      </c>
      <c r="H429" s="45" t="s">
        <v>352</v>
      </c>
      <c r="I429" s="44" t="s">
        <v>409</v>
      </c>
      <c r="J429" s="44">
        <v>7</v>
      </c>
      <c r="K429" s="46" t="s">
        <v>709</v>
      </c>
      <c r="L429" s="46" t="s">
        <v>709</v>
      </c>
      <c r="M429" s="47" t="s">
        <v>727</v>
      </c>
      <c r="N429" s="47" t="s">
        <v>1708</v>
      </c>
      <c r="O429" s="48"/>
      <c r="P429" s="48"/>
      <c r="Q429" s="45"/>
      <c r="S429" s="1">
        <f t="shared" si="175"/>
        <v>0</v>
      </c>
      <c r="T429" s="1">
        <f t="shared" si="176"/>
        <v>0</v>
      </c>
      <c r="U429" s="1">
        <f t="shared" si="177"/>
        <v>0</v>
      </c>
      <c r="V429" s="1">
        <f t="shared" si="178"/>
        <v>0</v>
      </c>
      <c r="W429" s="1">
        <f t="shared" si="179"/>
        <v>0</v>
      </c>
      <c r="X429" s="1">
        <f t="shared" si="180"/>
        <v>0</v>
      </c>
      <c r="Y429" s="1">
        <f t="shared" si="181"/>
        <v>1</v>
      </c>
      <c r="Z429" s="1">
        <f t="shared" si="182"/>
        <v>0</v>
      </c>
      <c r="AA429" s="1">
        <f t="shared" si="183"/>
        <v>0</v>
      </c>
      <c r="AB429" s="1">
        <f t="shared" si="184"/>
        <v>0</v>
      </c>
      <c r="AD429" s="1">
        <f t="shared" si="185"/>
        <v>0</v>
      </c>
      <c r="AE429" s="1">
        <f t="shared" si="186"/>
        <v>0</v>
      </c>
      <c r="AF429" s="1">
        <f t="shared" si="187"/>
        <v>0</v>
      </c>
      <c r="AG429" s="1">
        <f t="shared" si="188"/>
        <v>0</v>
      </c>
      <c r="AH429" s="1">
        <f t="shared" si="189"/>
        <v>0</v>
      </c>
      <c r="AI429" s="1">
        <f t="shared" si="190"/>
        <v>1</v>
      </c>
    </row>
    <row r="430" spans="1:35" s="1" customFormat="1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1026</v>
      </c>
      <c r="G430" s="45" t="s">
        <v>535</v>
      </c>
      <c r="H430" s="45" t="s">
        <v>352</v>
      </c>
      <c r="I430" s="44" t="s">
        <v>30</v>
      </c>
      <c r="J430" s="44">
        <v>1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75"/>
        <v>1</v>
      </c>
      <c r="T430" s="1">
        <f t="shared" si="176"/>
        <v>0</v>
      </c>
      <c r="U430" s="1">
        <f t="shared" si="177"/>
        <v>0</v>
      </c>
      <c r="V430" s="1">
        <f t="shared" si="178"/>
        <v>0</v>
      </c>
      <c r="W430" s="1">
        <f t="shared" si="179"/>
        <v>0</v>
      </c>
      <c r="X430" s="1">
        <f t="shared" si="180"/>
        <v>0</v>
      </c>
      <c r="Y430" s="1">
        <f t="shared" si="181"/>
        <v>0</v>
      </c>
      <c r="Z430" s="1">
        <f t="shared" si="182"/>
        <v>0</v>
      </c>
      <c r="AA430" s="1">
        <f t="shared" si="183"/>
        <v>0</v>
      </c>
      <c r="AB430" s="1">
        <f t="shared" si="184"/>
        <v>0</v>
      </c>
      <c r="AD430" s="1">
        <f t="shared" si="185"/>
        <v>0</v>
      </c>
      <c r="AE430" s="1">
        <f t="shared" si="186"/>
        <v>0</v>
      </c>
      <c r="AF430" s="1">
        <f t="shared" si="187"/>
        <v>0</v>
      </c>
      <c r="AG430" s="1">
        <f t="shared" si="188"/>
        <v>0</v>
      </c>
      <c r="AH430" s="1">
        <f t="shared" si="189"/>
        <v>0</v>
      </c>
      <c r="AI430" s="1">
        <f t="shared" si="190"/>
        <v>0</v>
      </c>
    </row>
    <row r="431" spans="1:35" s="1" customFormat="1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249</v>
      </c>
      <c r="G431" s="45" t="s">
        <v>199</v>
      </c>
      <c r="H431" s="45" t="s">
        <v>352</v>
      </c>
      <c r="I431" s="44" t="s">
        <v>410</v>
      </c>
      <c r="J431" s="44">
        <v>2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75"/>
        <v>0</v>
      </c>
      <c r="T431" s="1">
        <f t="shared" si="176"/>
        <v>1</v>
      </c>
      <c r="U431" s="1">
        <f t="shared" si="177"/>
        <v>0</v>
      </c>
      <c r="V431" s="1">
        <f t="shared" si="178"/>
        <v>0</v>
      </c>
      <c r="W431" s="1">
        <f t="shared" si="179"/>
        <v>0</v>
      </c>
      <c r="X431" s="1">
        <f t="shared" si="180"/>
        <v>0</v>
      </c>
      <c r="Y431" s="1">
        <f t="shared" si="181"/>
        <v>0</v>
      </c>
      <c r="Z431" s="1">
        <f t="shared" si="182"/>
        <v>0</v>
      </c>
      <c r="AA431" s="1">
        <f t="shared" si="183"/>
        <v>0</v>
      </c>
      <c r="AB431" s="1">
        <f t="shared" si="184"/>
        <v>0</v>
      </c>
      <c r="AD431" s="1">
        <f t="shared" si="185"/>
        <v>0</v>
      </c>
      <c r="AE431" s="1">
        <f t="shared" si="186"/>
        <v>0</v>
      </c>
      <c r="AF431" s="1">
        <f t="shared" si="187"/>
        <v>0</v>
      </c>
      <c r="AG431" s="1">
        <f t="shared" si="188"/>
        <v>0</v>
      </c>
      <c r="AH431" s="1">
        <f t="shared" si="189"/>
        <v>0</v>
      </c>
      <c r="AI431" s="1">
        <f t="shared" si="190"/>
        <v>0</v>
      </c>
    </row>
    <row r="432" spans="1:35" s="1" customFormat="1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246</v>
      </c>
      <c r="G432" s="45" t="s">
        <v>1330</v>
      </c>
      <c r="H432" s="45" t="s">
        <v>352</v>
      </c>
      <c r="I432" s="44" t="s">
        <v>30</v>
      </c>
      <c r="J432" s="44">
        <v>1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 t="s">
        <v>1891</v>
      </c>
      <c r="S432" s="1">
        <f t="shared" si="175"/>
        <v>1</v>
      </c>
      <c r="T432" s="1">
        <f t="shared" si="176"/>
        <v>0</v>
      </c>
      <c r="U432" s="1">
        <f t="shared" si="177"/>
        <v>0</v>
      </c>
      <c r="V432" s="1">
        <f t="shared" si="178"/>
        <v>0</v>
      </c>
      <c r="W432" s="1">
        <f t="shared" si="179"/>
        <v>0</v>
      </c>
      <c r="X432" s="1">
        <f t="shared" si="180"/>
        <v>0</v>
      </c>
      <c r="Y432" s="1">
        <f t="shared" si="181"/>
        <v>0</v>
      </c>
      <c r="Z432" s="1">
        <f t="shared" si="182"/>
        <v>0</v>
      </c>
      <c r="AA432" s="1">
        <f t="shared" si="183"/>
        <v>0</v>
      </c>
      <c r="AB432" s="1">
        <f t="shared" si="184"/>
        <v>0</v>
      </c>
      <c r="AD432" s="1">
        <f t="shared" si="185"/>
        <v>0</v>
      </c>
      <c r="AE432" s="1">
        <f t="shared" si="186"/>
        <v>0</v>
      </c>
      <c r="AF432" s="1">
        <f t="shared" si="187"/>
        <v>0</v>
      </c>
      <c r="AG432" s="1">
        <f t="shared" si="188"/>
        <v>0</v>
      </c>
      <c r="AH432" s="1">
        <f t="shared" si="189"/>
        <v>0</v>
      </c>
      <c r="AI432" s="1">
        <f t="shared" si="190"/>
        <v>0</v>
      </c>
    </row>
    <row r="433" spans="1:35" s="1" customFormat="1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251</v>
      </c>
      <c r="G433" s="45" t="s">
        <v>193</v>
      </c>
      <c r="H433" s="45" t="s">
        <v>352</v>
      </c>
      <c r="I433" s="44" t="s">
        <v>411</v>
      </c>
      <c r="J433" s="44">
        <v>9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/>
      <c r="S433" s="1">
        <f t="shared" si="175"/>
        <v>0</v>
      </c>
      <c r="T433" s="1">
        <f t="shared" si="176"/>
        <v>0</v>
      </c>
      <c r="U433" s="1">
        <f t="shared" si="177"/>
        <v>0</v>
      </c>
      <c r="V433" s="1">
        <f t="shared" si="178"/>
        <v>0</v>
      </c>
      <c r="W433" s="1">
        <f t="shared" si="179"/>
        <v>0</v>
      </c>
      <c r="X433" s="1">
        <f t="shared" si="180"/>
        <v>0</v>
      </c>
      <c r="Y433" s="1">
        <f t="shared" si="181"/>
        <v>0</v>
      </c>
      <c r="Z433" s="1">
        <f t="shared" si="182"/>
        <v>0</v>
      </c>
      <c r="AA433" s="1">
        <f t="shared" si="183"/>
        <v>1</v>
      </c>
      <c r="AB433" s="1">
        <f t="shared" si="184"/>
        <v>0</v>
      </c>
      <c r="AD433" s="1">
        <f t="shared" si="185"/>
        <v>0</v>
      </c>
      <c r="AE433" s="1">
        <f t="shared" si="186"/>
        <v>0</v>
      </c>
      <c r="AF433" s="1">
        <f t="shared" si="187"/>
        <v>0</v>
      </c>
      <c r="AG433" s="1">
        <f t="shared" si="188"/>
        <v>0</v>
      </c>
      <c r="AH433" s="1">
        <f t="shared" si="189"/>
        <v>0</v>
      </c>
      <c r="AI433" s="1">
        <f t="shared" si="190"/>
        <v>0</v>
      </c>
    </row>
    <row r="434" spans="1:35" s="1" customFormat="1" ht="14.25" customHeight="1" x14ac:dyDescent="0.25">
      <c r="A434" s="44">
        <v>0</v>
      </c>
      <c r="B434" s="44">
        <v>2</v>
      </c>
      <c r="C434" s="44">
        <v>7</v>
      </c>
      <c r="D434" s="45" t="s">
        <v>1010</v>
      </c>
      <c r="E434" s="45" t="s">
        <v>28</v>
      </c>
      <c r="F434" s="45" t="s">
        <v>1011</v>
      </c>
      <c r="G434" s="45" t="s">
        <v>193</v>
      </c>
      <c r="H434" s="45" t="s">
        <v>352</v>
      </c>
      <c r="I434" s="44" t="s">
        <v>1012</v>
      </c>
      <c r="J434" s="44">
        <v>9</v>
      </c>
      <c r="K434" s="46" t="s">
        <v>708</v>
      </c>
      <c r="L434" s="46" t="s">
        <v>709</v>
      </c>
      <c r="M434" s="47" t="s">
        <v>727</v>
      </c>
      <c r="N434" s="47" t="s">
        <v>1709</v>
      </c>
      <c r="O434" s="48"/>
      <c r="P434" s="48"/>
      <c r="Q434" s="45"/>
      <c r="S434" s="1">
        <f t="shared" si="175"/>
        <v>0</v>
      </c>
      <c r="T434" s="1">
        <f t="shared" si="176"/>
        <v>0</v>
      </c>
      <c r="U434" s="1">
        <f t="shared" si="177"/>
        <v>0</v>
      </c>
      <c r="V434" s="1">
        <f t="shared" si="178"/>
        <v>0</v>
      </c>
      <c r="W434" s="1">
        <f t="shared" si="179"/>
        <v>0</v>
      </c>
      <c r="X434" s="1">
        <f t="shared" si="180"/>
        <v>0</v>
      </c>
      <c r="Y434" s="1">
        <f t="shared" si="181"/>
        <v>0</v>
      </c>
      <c r="Z434" s="1">
        <f t="shared" si="182"/>
        <v>0</v>
      </c>
      <c r="AA434" s="1">
        <f t="shared" si="183"/>
        <v>1</v>
      </c>
      <c r="AB434" s="1">
        <f t="shared" si="184"/>
        <v>0</v>
      </c>
      <c r="AD434" s="1">
        <f t="shared" si="185"/>
        <v>0</v>
      </c>
      <c r="AE434" s="1">
        <f t="shared" si="186"/>
        <v>0</v>
      </c>
      <c r="AF434" s="1">
        <f t="shared" si="187"/>
        <v>0</v>
      </c>
      <c r="AG434" s="1">
        <f t="shared" si="188"/>
        <v>0</v>
      </c>
      <c r="AH434" s="1">
        <f t="shared" si="189"/>
        <v>0</v>
      </c>
      <c r="AI434" s="1">
        <f t="shared" si="190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1807</v>
      </c>
      <c r="E435" s="32" t="s">
        <v>1808</v>
      </c>
      <c r="F435" s="32" t="s">
        <v>1809</v>
      </c>
      <c r="G435" s="32" t="s">
        <v>206</v>
      </c>
      <c r="H435" s="32" t="s">
        <v>352</v>
      </c>
      <c r="I435" s="31" t="s">
        <v>30</v>
      </c>
      <c r="J435" s="31"/>
      <c r="K435" s="33" t="s">
        <v>699</v>
      </c>
      <c r="L435" s="33">
        <v>20</v>
      </c>
      <c r="M435" s="34" t="s">
        <v>1810</v>
      </c>
      <c r="N435" s="34" t="s">
        <v>1717</v>
      </c>
      <c r="O435" s="35">
        <v>1</v>
      </c>
      <c r="P435" s="35"/>
      <c r="Q435" s="32"/>
      <c r="S435" s="1">
        <f t="shared" si="175"/>
        <v>0</v>
      </c>
      <c r="T435" s="1">
        <f t="shared" si="176"/>
        <v>0</v>
      </c>
      <c r="U435" s="1">
        <f t="shared" si="177"/>
        <v>0</v>
      </c>
      <c r="V435" s="1">
        <f t="shared" si="178"/>
        <v>0</v>
      </c>
      <c r="W435" s="1">
        <f t="shared" si="179"/>
        <v>0</v>
      </c>
      <c r="X435" s="1">
        <f t="shared" si="180"/>
        <v>0</v>
      </c>
      <c r="Y435" s="1">
        <f t="shared" si="181"/>
        <v>0</v>
      </c>
      <c r="Z435" s="1">
        <f t="shared" si="182"/>
        <v>0</v>
      </c>
      <c r="AA435" s="1">
        <f t="shared" si="183"/>
        <v>0</v>
      </c>
      <c r="AB435" s="1">
        <f t="shared" si="184"/>
        <v>0</v>
      </c>
      <c r="AD435" s="1">
        <f t="shared" si="185"/>
        <v>0</v>
      </c>
      <c r="AE435" s="1">
        <f t="shared" si="186"/>
        <v>1</v>
      </c>
      <c r="AF435" s="1">
        <f t="shared" si="187"/>
        <v>0</v>
      </c>
      <c r="AG435" s="1">
        <f t="shared" si="188"/>
        <v>1</v>
      </c>
      <c r="AH435" s="1">
        <f t="shared" si="189"/>
        <v>0</v>
      </c>
      <c r="AI435" s="1">
        <f t="shared" si="190"/>
        <v>1</v>
      </c>
    </row>
    <row r="436" spans="1:35" s="1" customFormat="1" ht="14.25" customHeight="1" x14ac:dyDescent="0.25">
      <c r="A436" s="49">
        <v>0</v>
      </c>
      <c r="B436" s="49">
        <v>2</v>
      </c>
      <c r="C436" s="49">
        <v>7</v>
      </c>
      <c r="D436" s="50" t="s">
        <v>1066</v>
      </c>
      <c r="E436" s="50" t="s">
        <v>540</v>
      </c>
      <c r="F436" s="50" t="s">
        <v>1047</v>
      </c>
      <c r="G436" s="50" t="s">
        <v>237</v>
      </c>
      <c r="H436" s="50" t="s">
        <v>352</v>
      </c>
      <c r="I436" s="49" t="s">
        <v>1048</v>
      </c>
      <c r="J436" s="49">
        <v>99</v>
      </c>
      <c r="K436" s="51" t="s">
        <v>942</v>
      </c>
      <c r="L436" s="51" t="s">
        <v>718</v>
      </c>
      <c r="M436" s="52" t="s">
        <v>1413</v>
      </c>
      <c r="N436" s="52" t="s">
        <v>1717</v>
      </c>
      <c r="O436" s="53">
        <v>1</v>
      </c>
      <c r="P436" s="53"/>
      <c r="Q436" s="50"/>
      <c r="S436" s="1">
        <f t="shared" si="175"/>
        <v>0</v>
      </c>
      <c r="T436" s="1">
        <f t="shared" si="176"/>
        <v>0</v>
      </c>
      <c r="U436" s="1">
        <f t="shared" si="177"/>
        <v>0</v>
      </c>
      <c r="V436" s="1">
        <f t="shared" si="178"/>
        <v>0</v>
      </c>
      <c r="W436" s="1">
        <f t="shared" si="179"/>
        <v>0</v>
      </c>
      <c r="X436" s="1">
        <f t="shared" si="180"/>
        <v>0</v>
      </c>
      <c r="Y436" s="1">
        <f t="shared" si="181"/>
        <v>0</v>
      </c>
      <c r="Z436" s="1">
        <f t="shared" si="182"/>
        <v>0</v>
      </c>
      <c r="AA436" s="1">
        <f t="shared" si="183"/>
        <v>0</v>
      </c>
      <c r="AB436" s="1">
        <f t="shared" si="184"/>
        <v>0</v>
      </c>
      <c r="AD436" s="1">
        <f t="shared" si="185"/>
        <v>0</v>
      </c>
      <c r="AE436" s="1">
        <f t="shared" si="186"/>
        <v>1</v>
      </c>
      <c r="AF436" s="1">
        <f t="shared" si="187"/>
        <v>0</v>
      </c>
      <c r="AG436" s="1">
        <f t="shared" si="188"/>
        <v>1</v>
      </c>
      <c r="AH436" s="1">
        <f t="shared" si="189"/>
        <v>0</v>
      </c>
      <c r="AI436" s="1">
        <f t="shared" si="190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1207</v>
      </c>
      <c r="E437" s="32" t="s">
        <v>155</v>
      </c>
      <c r="F437" s="32" t="s">
        <v>1208</v>
      </c>
      <c r="G437" s="32" t="s">
        <v>250</v>
      </c>
      <c r="H437" s="32" t="s">
        <v>352</v>
      </c>
      <c r="I437" s="31" t="s">
        <v>1209</v>
      </c>
      <c r="J437" s="31">
        <v>99</v>
      </c>
      <c r="K437" s="33" t="s">
        <v>709</v>
      </c>
      <c r="L437" s="33">
        <v>10</v>
      </c>
      <c r="M437" s="34" t="s">
        <v>1720</v>
      </c>
      <c r="N437" s="34" t="s">
        <v>1701</v>
      </c>
      <c r="O437" s="35">
        <v>1</v>
      </c>
      <c r="P437" s="35">
        <v>1</v>
      </c>
      <c r="Q437" s="32"/>
      <c r="S437" s="1">
        <f t="shared" si="175"/>
        <v>0</v>
      </c>
      <c r="T437" s="1">
        <f t="shared" si="176"/>
        <v>0</v>
      </c>
      <c r="U437" s="1">
        <f t="shared" si="177"/>
        <v>0</v>
      </c>
      <c r="V437" s="1">
        <f t="shared" si="178"/>
        <v>0</v>
      </c>
      <c r="W437" s="1">
        <f t="shared" si="179"/>
        <v>0</v>
      </c>
      <c r="X437" s="1">
        <f t="shared" si="180"/>
        <v>0</v>
      </c>
      <c r="Y437" s="1">
        <f t="shared" si="181"/>
        <v>0</v>
      </c>
      <c r="Z437" s="1">
        <f t="shared" si="182"/>
        <v>0</v>
      </c>
      <c r="AA437" s="1">
        <f t="shared" si="183"/>
        <v>0</v>
      </c>
      <c r="AB437" s="1">
        <f t="shared" si="184"/>
        <v>0</v>
      </c>
      <c r="AD437" s="1">
        <f t="shared" si="185"/>
        <v>1</v>
      </c>
      <c r="AE437" s="1">
        <f t="shared" si="186"/>
        <v>0</v>
      </c>
      <c r="AF437" s="1">
        <f t="shared" si="187"/>
        <v>1</v>
      </c>
      <c r="AG437" s="1">
        <f t="shared" si="188"/>
        <v>0</v>
      </c>
      <c r="AH437" s="1">
        <f t="shared" si="189"/>
        <v>1</v>
      </c>
      <c r="AI437" s="1">
        <f t="shared" si="190"/>
        <v>0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6" t="s">
        <v>1777</v>
      </c>
      <c r="E438" s="36" t="s">
        <v>28</v>
      </c>
      <c r="F438" s="36" t="s">
        <v>1778</v>
      </c>
      <c r="G438" s="36" t="s">
        <v>179</v>
      </c>
      <c r="H438" s="36" t="s">
        <v>352</v>
      </c>
      <c r="I438" s="37" t="s">
        <v>1779</v>
      </c>
      <c r="J438" s="31">
        <v>10</v>
      </c>
      <c r="K438" s="33" t="s">
        <v>699</v>
      </c>
      <c r="L438" s="33">
        <v>10</v>
      </c>
      <c r="M438" s="34"/>
      <c r="N438" s="34" t="s">
        <v>1701</v>
      </c>
      <c r="O438" s="35">
        <v>1</v>
      </c>
      <c r="P438" s="35">
        <v>1</v>
      </c>
      <c r="Q438" s="36"/>
      <c r="S438" s="1">
        <f t="shared" si="175"/>
        <v>0</v>
      </c>
      <c r="T438" s="1">
        <f t="shared" si="176"/>
        <v>0</v>
      </c>
      <c r="U438" s="1">
        <f t="shared" si="177"/>
        <v>0</v>
      </c>
      <c r="V438" s="1">
        <f t="shared" si="178"/>
        <v>0</v>
      </c>
      <c r="W438" s="1">
        <f t="shared" si="179"/>
        <v>0</v>
      </c>
      <c r="X438" s="1">
        <f t="shared" si="180"/>
        <v>0</v>
      </c>
      <c r="Y438" s="1">
        <f t="shared" si="181"/>
        <v>0</v>
      </c>
      <c r="Z438" s="1">
        <f t="shared" si="182"/>
        <v>0</v>
      </c>
      <c r="AA438" s="1">
        <f t="shared" si="183"/>
        <v>0</v>
      </c>
      <c r="AB438" s="1">
        <f t="shared" si="184"/>
        <v>1</v>
      </c>
      <c r="AD438" s="1">
        <f t="shared" si="185"/>
        <v>1</v>
      </c>
      <c r="AE438" s="1">
        <f t="shared" si="186"/>
        <v>0</v>
      </c>
      <c r="AF438" s="1">
        <f t="shared" si="187"/>
        <v>1</v>
      </c>
      <c r="AG438" s="1">
        <f t="shared" si="188"/>
        <v>0</v>
      </c>
      <c r="AH438" s="1">
        <f t="shared" si="189"/>
        <v>1</v>
      </c>
      <c r="AI438" s="1">
        <f t="shared" si="190"/>
        <v>0</v>
      </c>
    </row>
    <row r="439" spans="1:35" s="1" customFormat="1" ht="14.25" customHeight="1" x14ac:dyDescent="0.25">
      <c r="A439" s="37">
        <v>0</v>
      </c>
      <c r="B439" s="37">
        <v>2</v>
      </c>
      <c r="C439" s="37">
        <v>7</v>
      </c>
      <c r="D439" s="36" t="s">
        <v>1559</v>
      </c>
      <c r="E439" s="36" t="s">
        <v>1625</v>
      </c>
      <c r="F439" s="36" t="s">
        <v>1560</v>
      </c>
      <c r="G439" s="36" t="s">
        <v>652</v>
      </c>
      <c r="H439" s="36" t="s">
        <v>352</v>
      </c>
      <c r="I439" s="37" t="s">
        <v>1561</v>
      </c>
      <c r="J439" s="37">
        <v>99</v>
      </c>
      <c r="K439" s="33" t="s">
        <v>709</v>
      </c>
      <c r="L439" s="33" t="s">
        <v>39</v>
      </c>
      <c r="M439" s="34" t="s">
        <v>39</v>
      </c>
      <c r="N439" s="34" t="s">
        <v>1701</v>
      </c>
      <c r="O439" s="35">
        <v>1</v>
      </c>
      <c r="P439" s="35">
        <v>1</v>
      </c>
      <c r="Q439" s="36"/>
      <c r="S439" s="1">
        <f t="shared" si="175"/>
        <v>0</v>
      </c>
      <c r="T439" s="1">
        <f t="shared" si="176"/>
        <v>0</v>
      </c>
      <c r="U439" s="1">
        <f t="shared" si="177"/>
        <v>0</v>
      </c>
      <c r="V439" s="1">
        <f t="shared" si="178"/>
        <v>0</v>
      </c>
      <c r="W439" s="1">
        <f t="shared" si="179"/>
        <v>0</v>
      </c>
      <c r="X439" s="1">
        <f t="shared" si="180"/>
        <v>0</v>
      </c>
      <c r="Y439" s="1">
        <f t="shared" si="181"/>
        <v>0</v>
      </c>
      <c r="Z439" s="1">
        <f t="shared" si="182"/>
        <v>0</v>
      </c>
      <c r="AA439" s="1">
        <f t="shared" si="183"/>
        <v>0</v>
      </c>
      <c r="AB439" s="1">
        <f t="shared" si="184"/>
        <v>0</v>
      </c>
      <c r="AD439" s="1">
        <f t="shared" si="185"/>
        <v>1</v>
      </c>
      <c r="AE439" s="1">
        <f t="shared" si="186"/>
        <v>0</v>
      </c>
      <c r="AF439" s="1">
        <f t="shared" si="187"/>
        <v>1</v>
      </c>
      <c r="AG439" s="1">
        <f t="shared" si="188"/>
        <v>0</v>
      </c>
      <c r="AH439" s="1">
        <f t="shared" si="189"/>
        <v>1</v>
      </c>
      <c r="AI439" s="1">
        <f t="shared" si="190"/>
        <v>0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1511</v>
      </c>
      <c r="E440" s="32" t="s">
        <v>28</v>
      </c>
      <c r="F440" s="32" t="s">
        <v>1636</v>
      </c>
      <c r="G440" s="32" t="s">
        <v>285</v>
      </c>
      <c r="H440" s="32" t="s">
        <v>352</v>
      </c>
      <c r="I440" s="31" t="s">
        <v>1662</v>
      </c>
      <c r="J440" s="31">
        <v>99</v>
      </c>
      <c r="K440" s="33" t="s">
        <v>709</v>
      </c>
      <c r="L440" s="33" t="s">
        <v>709</v>
      </c>
      <c r="M440" s="34" t="s">
        <v>727</v>
      </c>
      <c r="N440" s="34" t="s">
        <v>1717</v>
      </c>
      <c r="O440" s="35">
        <v>1</v>
      </c>
      <c r="P440" s="35"/>
      <c r="Q440" s="32"/>
      <c r="S440" s="1">
        <f t="shared" si="175"/>
        <v>0</v>
      </c>
      <c r="T440" s="1">
        <f t="shared" si="176"/>
        <v>0</v>
      </c>
      <c r="U440" s="1">
        <f t="shared" si="177"/>
        <v>0</v>
      </c>
      <c r="V440" s="1">
        <f t="shared" si="178"/>
        <v>0</v>
      </c>
      <c r="W440" s="1">
        <f t="shared" si="179"/>
        <v>0</v>
      </c>
      <c r="X440" s="1">
        <f t="shared" si="180"/>
        <v>0</v>
      </c>
      <c r="Y440" s="1">
        <f t="shared" si="181"/>
        <v>0</v>
      </c>
      <c r="Z440" s="1">
        <f t="shared" si="182"/>
        <v>0</v>
      </c>
      <c r="AA440" s="1">
        <f t="shared" si="183"/>
        <v>0</v>
      </c>
      <c r="AB440" s="1">
        <f t="shared" si="184"/>
        <v>0</v>
      </c>
      <c r="AD440" s="1">
        <f t="shared" si="185"/>
        <v>0</v>
      </c>
      <c r="AE440" s="1">
        <f t="shared" si="186"/>
        <v>1</v>
      </c>
      <c r="AF440" s="1">
        <f t="shared" si="187"/>
        <v>0</v>
      </c>
      <c r="AG440" s="1">
        <f t="shared" si="188"/>
        <v>1</v>
      </c>
      <c r="AH440" s="1">
        <f t="shared" si="189"/>
        <v>0</v>
      </c>
      <c r="AI440" s="1">
        <f t="shared" si="190"/>
        <v>1</v>
      </c>
    </row>
    <row r="441" spans="1:35" s="1" customFormat="1" ht="14.25" customHeight="1" x14ac:dyDescent="0.25">
      <c r="A441" s="44">
        <v>0</v>
      </c>
      <c r="B441" s="44">
        <v>2</v>
      </c>
      <c r="C441" s="44">
        <v>7</v>
      </c>
      <c r="D441" s="45" t="s">
        <v>1308</v>
      </c>
      <c r="E441" s="45" t="s">
        <v>28</v>
      </c>
      <c r="F441" s="45" t="s">
        <v>568</v>
      </c>
      <c r="G441" s="45" t="s">
        <v>180</v>
      </c>
      <c r="H441" s="45" t="s">
        <v>352</v>
      </c>
      <c r="I441" s="44" t="s">
        <v>428</v>
      </c>
      <c r="J441" s="44">
        <v>7</v>
      </c>
      <c r="K441" s="46" t="s">
        <v>708</v>
      </c>
      <c r="L441" s="46" t="s">
        <v>709</v>
      </c>
      <c r="M441" s="47" t="s">
        <v>727</v>
      </c>
      <c r="N441" s="47" t="s">
        <v>1709</v>
      </c>
      <c r="O441" s="48"/>
      <c r="P441" s="48"/>
      <c r="Q441" s="45"/>
      <c r="S441" s="1">
        <f t="shared" si="175"/>
        <v>0</v>
      </c>
      <c r="T441" s="1">
        <f t="shared" si="176"/>
        <v>0</v>
      </c>
      <c r="U441" s="1">
        <f t="shared" si="177"/>
        <v>0</v>
      </c>
      <c r="V441" s="1">
        <f t="shared" si="178"/>
        <v>0</v>
      </c>
      <c r="W441" s="1">
        <f t="shared" si="179"/>
        <v>0</v>
      </c>
      <c r="X441" s="1">
        <f t="shared" si="180"/>
        <v>0</v>
      </c>
      <c r="Y441" s="1">
        <f t="shared" si="181"/>
        <v>1</v>
      </c>
      <c r="Z441" s="1">
        <f t="shared" si="182"/>
        <v>0</v>
      </c>
      <c r="AA441" s="1">
        <f t="shared" si="183"/>
        <v>0</v>
      </c>
      <c r="AB441" s="1">
        <f t="shared" si="184"/>
        <v>0</v>
      </c>
      <c r="AD441" s="1">
        <f t="shared" si="185"/>
        <v>0</v>
      </c>
      <c r="AE441" s="1">
        <f t="shared" si="186"/>
        <v>0</v>
      </c>
      <c r="AF441" s="1">
        <f t="shared" si="187"/>
        <v>0</v>
      </c>
      <c r="AG441" s="1">
        <f t="shared" si="188"/>
        <v>0</v>
      </c>
      <c r="AH441" s="1">
        <f t="shared" si="189"/>
        <v>0</v>
      </c>
      <c r="AI441" s="1">
        <f t="shared" si="190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72</v>
      </c>
      <c r="E442" s="32" t="s">
        <v>28</v>
      </c>
      <c r="F442" s="32" t="s">
        <v>1849</v>
      </c>
      <c r="G442" s="32" t="s">
        <v>234</v>
      </c>
      <c r="H442" s="32" t="s">
        <v>352</v>
      </c>
      <c r="I442" s="31" t="s">
        <v>676</v>
      </c>
      <c r="J442" s="31">
        <v>99</v>
      </c>
      <c r="K442" s="33" t="s">
        <v>709</v>
      </c>
      <c r="L442" s="33" t="s">
        <v>709</v>
      </c>
      <c r="M442" s="34" t="s">
        <v>727</v>
      </c>
      <c r="N442" s="34" t="s">
        <v>1717</v>
      </c>
      <c r="O442" s="35">
        <v>1</v>
      </c>
      <c r="P442" s="35"/>
      <c r="Q442" s="32"/>
      <c r="S442" s="1">
        <f t="shared" si="175"/>
        <v>0</v>
      </c>
      <c r="T442" s="1">
        <f t="shared" si="176"/>
        <v>0</v>
      </c>
      <c r="U442" s="1">
        <f t="shared" si="177"/>
        <v>0</v>
      </c>
      <c r="V442" s="1">
        <f t="shared" si="178"/>
        <v>0</v>
      </c>
      <c r="W442" s="1">
        <f t="shared" si="179"/>
        <v>0</v>
      </c>
      <c r="X442" s="1">
        <f t="shared" si="180"/>
        <v>0</v>
      </c>
      <c r="Y442" s="1">
        <f t="shared" si="181"/>
        <v>0</v>
      </c>
      <c r="Z442" s="1">
        <f t="shared" si="182"/>
        <v>0</v>
      </c>
      <c r="AA442" s="1">
        <f t="shared" si="183"/>
        <v>0</v>
      </c>
      <c r="AB442" s="1">
        <f t="shared" si="184"/>
        <v>0</v>
      </c>
      <c r="AD442" s="1">
        <f t="shared" si="185"/>
        <v>0</v>
      </c>
      <c r="AE442" s="1">
        <f t="shared" si="186"/>
        <v>1</v>
      </c>
      <c r="AF442" s="1">
        <f t="shared" si="187"/>
        <v>0</v>
      </c>
      <c r="AG442" s="1">
        <f t="shared" si="188"/>
        <v>1</v>
      </c>
      <c r="AH442" s="1">
        <f t="shared" si="189"/>
        <v>0</v>
      </c>
      <c r="AI442" s="1">
        <f t="shared" si="190"/>
        <v>1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260</v>
      </c>
      <c r="G443" s="32" t="s">
        <v>219</v>
      </c>
      <c r="H443" s="32" t="s">
        <v>352</v>
      </c>
      <c r="I443" s="31" t="s">
        <v>418</v>
      </c>
      <c r="J443" s="31">
        <v>8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75"/>
        <v>0</v>
      </c>
      <c r="T443" s="1">
        <f t="shared" si="176"/>
        <v>0</v>
      </c>
      <c r="U443" s="1">
        <f t="shared" si="177"/>
        <v>0</v>
      </c>
      <c r="V443" s="1">
        <f t="shared" si="178"/>
        <v>0</v>
      </c>
      <c r="W443" s="1">
        <f t="shared" si="179"/>
        <v>0</v>
      </c>
      <c r="X443" s="1">
        <f t="shared" si="180"/>
        <v>0</v>
      </c>
      <c r="Y443" s="1">
        <f t="shared" si="181"/>
        <v>0</v>
      </c>
      <c r="Z443" s="1">
        <f t="shared" si="182"/>
        <v>1</v>
      </c>
      <c r="AA443" s="1">
        <f t="shared" si="183"/>
        <v>0</v>
      </c>
      <c r="AB443" s="1">
        <f t="shared" si="184"/>
        <v>0</v>
      </c>
      <c r="AD443" s="1">
        <f t="shared" si="185"/>
        <v>0</v>
      </c>
      <c r="AE443" s="1">
        <f t="shared" si="186"/>
        <v>1</v>
      </c>
      <c r="AF443" s="1">
        <f t="shared" si="187"/>
        <v>0</v>
      </c>
      <c r="AG443" s="1">
        <f t="shared" si="188"/>
        <v>0</v>
      </c>
      <c r="AH443" s="1">
        <f t="shared" si="189"/>
        <v>0</v>
      </c>
      <c r="AI443" s="1">
        <f t="shared" si="190"/>
        <v>0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259</v>
      </c>
      <c r="G444" s="32" t="s">
        <v>177</v>
      </c>
      <c r="H444" s="32" t="s">
        <v>352</v>
      </c>
      <c r="I444" s="31" t="s">
        <v>417</v>
      </c>
      <c r="J444" s="31">
        <v>1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75"/>
        <v>1</v>
      </c>
      <c r="T444" s="1">
        <f t="shared" si="176"/>
        <v>0</v>
      </c>
      <c r="U444" s="1">
        <f t="shared" si="177"/>
        <v>0</v>
      </c>
      <c r="V444" s="1">
        <f t="shared" si="178"/>
        <v>0</v>
      </c>
      <c r="W444" s="1">
        <f t="shared" si="179"/>
        <v>0</v>
      </c>
      <c r="X444" s="1">
        <f t="shared" si="180"/>
        <v>0</v>
      </c>
      <c r="Y444" s="1">
        <f t="shared" si="181"/>
        <v>0</v>
      </c>
      <c r="Z444" s="1">
        <f t="shared" si="182"/>
        <v>0</v>
      </c>
      <c r="AA444" s="1">
        <f t="shared" si="183"/>
        <v>0</v>
      </c>
      <c r="AB444" s="1">
        <f t="shared" si="184"/>
        <v>0</v>
      </c>
      <c r="AD444" s="1">
        <f t="shared" si="185"/>
        <v>0</v>
      </c>
      <c r="AE444" s="1">
        <f t="shared" si="186"/>
        <v>1</v>
      </c>
      <c r="AF444" s="1">
        <f t="shared" si="187"/>
        <v>0</v>
      </c>
      <c r="AG444" s="1">
        <f t="shared" si="188"/>
        <v>0</v>
      </c>
      <c r="AH444" s="1">
        <f t="shared" si="189"/>
        <v>0</v>
      </c>
      <c r="AI444" s="1">
        <f t="shared" si="190"/>
        <v>0</v>
      </c>
    </row>
    <row r="445" spans="1:35" s="1" customFormat="1" ht="14.25" customHeight="1" x14ac:dyDescent="0.25">
      <c r="A445" s="15">
        <v>0</v>
      </c>
      <c r="B445" s="15">
        <v>2</v>
      </c>
      <c r="C445" s="15">
        <v>7</v>
      </c>
      <c r="D445" s="16" t="s">
        <v>769</v>
      </c>
      <c r="E445" s="16" t="s">
        <v>28</v>
      </c>
      <c r="F445" s="16" t="s">
        <v>770</v>
      </c>
      <c r="G445" s="16" t="s">
        <v>278</v>
      </c>
      <c r="H445" s="16" t="s">
        <v>352</v>
      </c>
      <c r="I445" s="15" t="s">
        <v>771</v>
      </c>
      <c r="J445" s="15">
        <v>99</v>
      </c>
      <c r="K445" s="10" t="s">
        <v>709</v>
      </c>
      <c r="L445" s="10" t="s">
        <v>709</v>
      </c>
      <c r="M445" s="19" t="s">
        <v>727</v>
      </c>
      <c r="N445" s="17"/>
      <c r="Q445" s="16"/>
      <c r="S445" s="1">
        <f t="shared" si="175"/>
        <v>0</v>
      </c>
      <c r="T445" s="1">
        <f t="shared" si="176"/>
        <v>0</v>
      </c>
      <c r="U445" s="1">
        <f t="shared" si="177"/>
        <v>0</v>
      </c>
      <c r="V445" s="1">
        <f t="shared" si="178"/>
        <v>0</v>
      </c>
      <c r="W445" s="1">
        <f t="shared" si="179"/>
        <v>0</v>
      </c>
      <c r="X445" s="1">
        <f t="shared" si="180"/>
        <v>0</v>
      </c>
      <c r="Y445" s="1">
        <f t="shared" si="181"/>
        <v>0</v>
      </c>
      <c r="Z445" s="1">
        <f t="shared" si="182"/>
        <v>0</v>
      </c>
      <c r="AA445" s="1">
        <f t="shared" si="183"/>
        <v>0</v>
      </c>
      <c r="AB445" s="1">
        <f t="shared" si="184"/>
        <v>0</v>
      </c>
      <c r="AD445" s="1">
        <f t="shared" si="185"/>
        <v>0</v>
      </c>
      <c r="AE445" s="1">
        <f t="shared" si="186"/>
        <v>0</v>
      </c>
      <c r="AF445" s="1">
        <f t="shared" si="187"/>
        <v>0</v>
      </c>
      <c r="AG445" s="1">
        <f t="shared" si="188"/>
        <v>0</v>
      </c>
      <c r="AH445" s="1">
        <f t="shared" si="189"/>
        <v>0</v>
      </c>
      <c r="AI445" s="1">
        <f t="shared" si="190"/>
        <v>1</v>
      </c>
    </row>
    <row r="446" spans="1:35" s="1" customFormat="1" ht="14.25" customHeight="1" x14ac:dyDescent="0.25">
      <c r="A446" s="15">
        <v>0</v>
      </c>
      <c r="B446" s="15">
        <v>2</v>
      </c>
      <c r="C446" s="15">
        <v>7</v>
      </c>
      <c r="D446" s="16" t="s">
        <v>85</v>
      </c>
      <c r="E446" s="16" t="s">
        <v>28</v>
      </c>
      <c r="F446" s="16" t="s">
        <v>277</v>
      </c>
      <c r="G446" s="16" t="s">
        <v>278</v>
      </c>
      <c r="H446" s="16" t="s">
        <v>352</v>
      </c>
      <c r="I446" s="15" t="s">
        <v>432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75"/>
        <v>0</v>
      </c>
      <c r="T446" s="1">
        <f t="shared" si="176"/>
        <v>0</v>
      </c>
      <c r="U446" s="1">
        <f t="shared" si="177"/>
        <v>0</v>
      </c>
      <c r="V446" s="1">
        <f t="shared" si="178"/>
        <v>0</v>
      </c>
      <c r="W446" s="1">
        <f t="shared" si="179"/>
        <v>0</v>
      </c>
      <c r="X446" s="1">
        <f t="shared" si="180"/>
        <v>0</v>
      </c>
      <c r="Y446" s="1">
        <f t="shared" si="181"/>
        <v>0</v>
      </c>
      <c r="Z446" s="1">
        <f t="shared" si="182"/>
        <v>0</v>
      </c>
      <c r="AA446" s="1">
        <f t="shared" si="183"/>
        <v>0</v>
      </c>
      <c r="AB446" s="1">
        <f t="shared" si="184"/>
        <v>0</v>
      </c>
      <c r="AD446" s="1">
        <f t="shared" si="185"/>
        <v>0</v>
      </c>
      <c r="AE446" s="1">
        <f t="shared" si="186"/>
        <v>0</v>
      </c>
      <c r="AF446" s="1">
        <f t="shared" si="187"/>
        <v>0</v>
      </c>
      <c r="AG446" s="1">
        <f t="shared" si="188"/>
        <v>0</v>
      </c>
      <c r="AH446" s="1">
        <f t="shared" si="189"/>
        <v>0</v>
      </c>
      <c r="AI446" s="1">
        <f t="shared" si="190"/>
        <v>1</v>
      </c>
    </row>
    <row r="447" spans="1:35" s="1" customFormat="1" ht="14.25" customHeight="1" x14ac:dyDescent="0.25">
      <c r="A447" s="37">
        <v>0</v>
      </c>
      <c r="B447" s="37">
        <v>2</v>
      </c>
      <c r="C447" s="37">
        <v>7</v>
      </c>
      <c r="D447" s="36" t="s">
        <v>1911</v>
      </c>
      <c r="E447" s="36" t="s">
        <v>28</v>
      </c>
      <c r="F447" s="36" t="s">
        <v>1912</v>
      </c>
      <c r="G447" s="36" t="s">
        <v>184</v>
      </c>
      <c r="H447" s="36" t="s">
        <v>352</v>
      </c>
      <c r="I447" s="37" t="s">
        <v>1913</v>
      </c>
      <c r="J447" s="37">
        <v>99</v>
      </c>
      <c r="K447" s="33" t="s">
        <v>699</v>
      </c>
      <c r="L447" s="33">
        <v>4</v>
      </c>
      <c r="M447" s="34" t="s">
        <v>727</v>
      </c>
      <c r="N447" s="34" t="s">
        <v>1717</v>
      </c>
      <c r="O447" s="35">
        <v>1</v>
      </c>
      <c r="P447" s="35"/>
      <c r="Q447" s="36" t="s">
        <v>1914</v>
      </c>
      <c r="S447" s="1">
        <f t="shared" si="175"/>
        <v>0</v>
      </c>
      <c r="T447" s="1">
        <f t="shared" si="176"/>
        <v>0</v>
      </c>
      <c r="U447" s="1">
        <f t="shared" si="177"/>
        <v>0</v>
      </c>
      <c r="V447" s="1">
        <f t="shared" si="178"/>
        <v>0</v>
      </c>
      <c r="W447" s="1">
        <f t="shared" si="179"/>
        <v>0</v>
      </c>
      <c r="X447" s="1">
        <f t="shared" si="180"/>
        <v>0</v>
      </c>
      <c r="Y447" s="1">
        <f t="shared" si="181"/>
        <v>0</v>
      </c>
      <c r="Z447" s="1">
        <f t="shared" si="182"/>
        <v>0</v>
      </c>
      <c r="AA447" s="1">
        <f t="shared" si="183"/>
        <v>0</v>
      </c>
      <c r="AB447" s="1">
        <f t="shared" si="184"/>
        <v>0</v>
      </c>
      <c r="AD447" s="1">
        <f t="shared" si="185"/>
        <v>0</v>
      </c>
      <c r="AE447" s="1">
        <f t="shared" si="186"/>
        <v>1</v>
      </c>
      <c r="AF447" s="1">
        <f t="shared" si="187"/>
        <v>0</v>
      </c>
      <c r="AG447" s="1">
        <f t="shared" si="188"/>
        <v>1</v>
      </c>
      <c r="AH447" s="1">
        <f t="shared" si="189"/>
        <v>0</v>
      </c>
      <c r="AI447" s="1">
        <f t="shared" si="190"/>
        <v>1</v>
      </c>
    </row>
    <row r="448" spans="1:35" s="1" customFormat="1" ht="14.25" customHeight="1" x14ac:dyDescent="0.25">
      <c r="A448" s="37">
        <v>0</v>
      </c>
      <c r="B448" s="37">
        <v>2</v>
      </c>
      <c r="C448" s="37">
        <v>7</v>
      </c>
      <c r="D448" s="36" t="s">
        <v>549</v>
      </c>
      <c r="E448" s="36" t="s">
        <v>28</v>
      </c>
      <c r="F448" s="36" t="s">
        <v>1850</v>
      </c>
      <c r="G448" s="36" t="s">
        <v>552</v>
      </c>
      <c r="H448" s="36" t="s">
        <v>352</v>
      </c>
      <c r="I448" s="37" t="s">
        <v>553</v>
      </c>
      <c r="J448" s="37">
        <v>99</v>
      </c>
      <c r="K448" s="33" t="s">
        <v>709</v>
      </c>
      <c r="L448" s="33" t="s">
        <v>709</v>
      </c>
      <c r="M448" s="34" t="s">
        <v>727</v>
      </c>
      <c r="N448" s="34" t="s">
        <v>1799</v>
      </c>
      <c r="O448" s="35">
        <v>1</v>
      </c>
      <c r="P448" s="35"/>
      <c r="Q448" s="36"/>
      <c r="S448" s="1">
        <f t="shared" si="175"/>
        <v>0</v>
      </c>
      <c r="T448" s="1">
        <f t="shared" si="176"/>
        <v>0</v>
      </c>
      <c r="U448" s="1">
        <f t="shared" si="177"/>
        <v>0</v>
      </c>
      <c r="V448" s="1">
        <f t="shared" si="178"/>
        <v>0</v>
      </c>
      <c r="W448" s="1">
        <f t="shared" si="179"/>
        <v>0</v>
      </c>
      <c r="X448" s="1">
        <f t="shared" si="180"/>
        <v>0</v>
      </c>
      <c r="Y448" s="1">
        <f t="shared" si="181"/>
        <v>0</v>
      </c>
      <c r="Z448" s="1">
        <f t="shared" si="182"/>
        <v>0</v>
      </c>
      <c r="AA448" s="1">
        <f t="shared" si="183"/>
        <v>0</v>
      </c>
      <c r="AB448" s="1">
        <f t="shared" si="184"/>
        <v>0</v>
      </c>
      <c r="AD448" s="1">
        <f t="shared" si="185"/>
        <v>0</v>
      </c>
      <c r="AE448" s="1">
        <f t="shared" si="186"/>
        <v>1</v>
      </c>
      <c r="AF448" s="1">
        <f t="shared" si="187"/>
        <v>0</v>
      </c>
      <c r="AG448" s="1">
        <f t="shared" si="188"/>
        <v>1</v>
      </c>
      <c r="AH448" s="1">
        <f t="shared" si="189"/>
        <v>0</v>
      </c>
      <c r="AI448" s="1">
        <f t="shared" si="190"/>
        <v>1</v>
      </c>
    </row>
    <row r="449" spans="1:35" s="1" customFormat="1" ht="14.25" customHeight="1" x14ac:dyDescent="0.25">
      <c r="A449" s="37">
        <v>1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1851</v>
      </c>
      <c r="G449" s="36" t="s">
        <v>550</v>
      </c>
      <c r="H449" s="36" t="s">
        <v>352</v>
      </c>
      <c r="I449" s="37" t="s">
        <v>551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75"/>
        <v>0</v>
      </c>
      <c r="T449" s="1">
        <f t="shared" si="176"/>
        <v>0</v>
      </c>
      <c r="U449" s="1">
        <f t="shared" si="177"/>
        <v>0</v>
      </c>
      <c r="V449" s="1">
        <f t="shared" si="178"/>
        <v>0</v>
      </c>
      <c r="W449" s="1">
        <f t="shared" si="179"/>
        <v>0</v>
      </c>
      <c r="X449" s="1">
        <f t="shared" si="180"/>
        <v>0</v>
      </c>
      <c r="Y449" s="1">
        <f t="shared" si="181"/>
        <v>0</v>
      </c>
      <c r="Z449" s="1">
        <f t="shared" si="182"/>
        <v>0</v>
      </c>
      <c r="AA449" s="1">
        <f t="shared" si="183"/>
        <v>0</v>
      </c>
      <c r="AB449" s="1">
        <f t="shared" si="184"/>
        <v>0</v>
      </c>
      <c r="AD449" s="1">
        <f t="shared" si="185"/>
        <v>0</v>
      </c>
      <c r="AE449" s="1">
        <f t="shared" si="186"/>
        <v>1</v>
      </c>
      <c r="AF449" s="1">
        <f t="shared" si="187"/>
        <v>0</v>
      </c>
      <c r="AG449" s="1">
        <f t="shared" si="188"/>
        <v>0</v>
      </c>
      <c r="AH449" s="1">
        <f t="shared" si="189"/>
        <v>0</v>
      </c>
      <c r="AI449" s="1">
        <f t="shared" si="190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1166</v>
      </c>
      <c r="E450" s="32" t="s">
        <v>28</v>
      </c>
      <c r="F450" s="32" t="s">
        <v>1652</v>
      </c>
      <c r="G450" s="32" t="s">
        <v>234</v>
      </c>
      <c r="H450" s="32" t="s">
        <v>352</v>
      </c>
      <c r="I450" s="31" t="s">
        <v>1344</v>
      </c>
      <c r="J450" s="31">
        <v>99</v>
      </c>
      <c r="K450" s="33" t="s">
        <v>708</v>
      </c>
      <c r="L450" s="33" t="s">
        <v>709</v>
      </c>
      <c r="M450" s="34" t="s">
        <v>727</v>
      </c>
      <c r="N450" s="34" t="s">
        <v>1717</v>
      </c>
      <c r="O450" s="35">
        <v>1</v>
      </c>
      <c r="P450" s="35"/>
      <c r="Q450" s="32"/>
      <c r="S450" s="1">
        <f t="shared" si="175"/>
        <v>0</v>
      </c>
      <c r="T450" s="1">
        <f t="shared" si="176"/>
        <v>0</v>
      </c>
      <c r="U450" s="1">
        <f t="shared" si="177"/>
        <v>0</v>
      </c>
      <c r="V450" s="1">
        <f t="shared" si="178"/>
        <v>0</v>
      </c>
      <c r="W450" s="1">
        <f t="shared" si="179"/>
        <v>0</v>
      </c>
      <c r="X450" s="1">
        <f t="shared" si="180"/>
        <v>0</v>
      </c>
      <c r="Y450" s="1">
        <f t="shared" si="181"/>
        <v>0</v>
      </c>
      <c r="Z450" s="1">
        <f t="shared" si="182"/>
        <v>0</v>
      </c>
      <c r="AA450" s="1">
        <f t="shared" si="183"/>
        <v>0</v>
      </c>
      <c r="AB450" s="1">
        <f t="shared" si="184"/>
        <v>0</v>
      </c>
      <c r="AD450" s="1">
        <f t="shared" si="185"/>
        <v>0</v>
      </c>
      <c r="AE450" s="1">
        <f t="shared" si="186"/>
        <v>1</v>
      </c>
      <c r="AF450" s="1">
        <f t="shared" si="187"/>
        <v>0</v>
      </c>
      <c r="AG450" s="1">
        <f t="shared" si="188"/>
        <v>1</v>
      </c>
      <c r="AH450" s="1">
        <f t="shared" si="189"/>
        <v>0</v>
      </c>
      <c r="AI450" s="1">
        <f t="shared" si="190"/>
        <v>1</v>
      </c>
    </row>
    <row r="451" spans="1:35" s="1" customFormat="1" ht="14.25" customHeight="1" x14ac:dyDescent="0.25">
      <c r="A451" s="31">
        <v>1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1653</v>
      </c>
      <c r="G451" s="32" t="s">
        <v>1331</v>
      </c>
      <c r="H451" s="32" t="s">
        <v>352</v>
      </c>
      <c r="I451" s="31" t="s">
        <v>1345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75"/>
        <v>0</v>
      </c>
      <c r="T451" s="1">
        <f t="shared" si="176"/>
        <v>0</v>
      </c>
      <c r="U451" s="1">
        <f t="shared" si="177"/>
        <v>0</v>
      </c>
      <c r="V451" s="1">
        <f t="shared" si="178"/>
        <v>0</v>
      </c>
      <c r="W451" s="1">
        <f t="shared" si="179"/>
        <v>0</v>
      </c>
      <c r="X451" s="1">
        <f t="shared" si="180"/>
        <v>0</v>
      </c>
      <c r="Y451" s="1">
        <f t="shared" si="181"/>
        <v>0</v>
      </c>
      <c r="Z451" s="1">
        <f t="shared" si="182"/>
        <v>0</v>
      </c>
      <c r="AA451" s="1">
        <f t="shared" si="183"/>
        <v>0</v>
      </c>
      <c r="AB451" s="1">
        <f t="shared" si="184"/>
        <v>0</v>
      </c>
      <c r="AD451" s="1">
        <f t="shared" si="185"/>
        <v>0</v>
      </c>
      <c r="AE451" s="1">
        <f t="shared" si="186"/>
        <v>1</v>
      </c>
      <c r="AF451" s="1">
        <f t="shared" si="187"/>
        <v>0</v>
      </c>
      <c r="AG451" s="1">
        <f t="shared" si="188"/>
        <v>0</v>
      </c>
      <c r="AH451" s="1">
        <f t="shared" si="189"/>
        <v>0</v>
      </c>
      <c r="AI451" s="1">
        <f t="shared" si="190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1234</v>
      </c>
      <c r="E452" s="32" t="s">
        <v>28</v>
      </c>
      <c r="F452" s="32" t="s">
        <v>1233</v>
      </c>
      <c r="G452" s="32" t="s">
        <v>1218</v>
      </c>
      <c r="H452" s="32" t="s">
        <v>352</v>
      </c>
      <c r="I452" s="31" t="s">
        <v>1235</v>
      </c>
      <c r="J452" s="31">
        <v>99</v>
      </c>
      <c r="K452" s="33" t="s">
        <v>699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75"/>
        <v>0</v>
      </c>
      <c r="T452" s="1">
        <f t="shared" si="176"/>
        <v>0</v>
      </c>
      <c r="U452" s="1">
        <f t="shared" si="177"/>
        <v>0</v>
      </c>
      <c r="V452" s="1">
        <f t="shared" si="178"/>
        <v>0</v>
      </c>
      <c r="W452" s="1">
        <f t="shared" si="179"/>
        <v>0</v>
      </c>
      <c r="X452" s="1">
        <f t="shared" si="180"/>
        <v>0</v>
      </c>
      <c r="Y452" s="1">
        <f t="shared" si="181"/>
        <v>0</v>
      </c>
      <c r="Z452" s="1">
        <f t="shared" si="182"/>
        <v>0</v>
      </c>
      <c r="AA452" s="1">
        <f t="shared" si="183"/>
        <v>0</v>
      </c>
      <c r="AB452" s="1">
        <f t="shared" si="184"/>
        <v>0</v>
      </c>
      <c r="AD452" s="1">
        <f t="shared" si="185"/>
        <v>0</v>
      </c>
      <c r="AE452" s="1">
        <f t="shared" si="186"/>
        <v>1</v>
      </c>
      <c r="AF452" s="1">
        <f t="shared" si="187"/>
        <v>0</v>
      </c>
      <c r="AG452" s="1">
        <f t="shared" si="188"/>
        <v>1</v>
      </c>
      <c r="AH452" s="1">
        <f t="shared" si="189"/>
        <v>0</v>
      </c>
      <c r="AI452" s="1">
        <f t="shared" si="190"/>
        <v>1</v>
      </c>
    </row>
    <row r="453" spans="1:35" s="1" customFormat="1" ht="14.25" customHeight="1" x14ac:dyDescent="0.25">
      <c r="A453" s="31">
        <v>1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1232</v>
      </c>
      <c r="G453" s="32" t="s">
        <v>39</v>
      </c>
      <c r="H453" s="32" t="s">
        <v>352</v>
      </c>
      <c r="I453" s="31" t="s">
        <v>1236</v>
      </c>
      <c r="J453" s="31">
        <v>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75"/>
        <v>0</v>
      </c>
      <c r="T453" s="1">
        <f t="shared" si="176"/>
        <v>0</v>
      </c>
      <c r="U453" s="1">
        <f t="shared" si="177"/>
        <v>0</v>
      </c>
      <c r="V453" s="1">
        <f t="shared" si="178"/>
        <v>0</v>
      </c>
      <c r="W453" s="1">
        <f t="shared" si="179"/>
        <v>0</v>
      </c>
      <c r="X453" s="1">
        <f t="shared" si="180"/>
        <v>0</v>
      </c>
      <c r="Y453" s="1">
        <f t="shared" si="181"/>
        <v>0</v>
      </c>
      <c r="Z453" s="1">
        <f t="shared" si="182"/>
        <v>0</v>
      </c>
      <c r="AA453" s="1">
        <f t="shared" si="183"/>
        <v>1</v>
      </c>
      <c r="AB453" s="1">
        <f t="shared" si="184"/>
        <v>0</v>
      </c>
      <c r="AD453" s="1">
        <f t="shared" si="185"/>
        <v>0</v>
      </c>
      <c r="AE453" s="1">
        <f t="shared" si="186"/>
        <v>1</v>
      </c>
      <c r="AF453" s="1">
        <f t="shared" si="187"/>
        <v>0</v>
      </c>
      <c r="AG453" s="1">
        <f t="shared" si="188"/>
        <v>0</v>
      </c>
      <c r="AH453" s="1">
        <f t="shared" si="189"/>
        <v>0</v>
      </c>
      <c r="AI453" s="1">
        <f t="shared" si="190"/>
        <v>0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6" t="s">
        <v>1798</v>
      </c>
      <c r="G454" s="36" t="s">
        <v>257</v>
      </c>
      <c r="H454" s="32" t="s">
        <v>352</v>
      </c>
      <c r="I454" s="37" t="s">
        <v>30</v>
      </c>
      <c r="J454" s="31">
        <v>8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75"/>
        <v>0</v>
      </c>
      <c r="T454" s="1">
        <f t="shared" si="176"/>
        <v>0</v>
      </c>
      <c r="U454" s="1">
        <f t="shared" si="177"/>
        <v>0</v>
      </c>
      <c r="V454" s="1">
        <f t="shared" si="178"/>
        <v>0</v>
      </c>
      <c r="W454" s="1">
        <f t="shared" si="179"/>
        <v>0</v>
      </c>
      <c r="X454" s="1">
        <f t="shared" si="180"/>
        <v>0</v>
      </c>
      <c r="Y454" s="1">
        <f t="shared" si="181"/>
        <v>0</v>
      </c>
      <c r="Z454" s="1">
        <f t="shared" si="182"/>
        <v>1</v>
      </c>
      <c r="AA454" s="1">
        <f t="shared" si="183"/>
        <v>0</v>
      </c>
      <c r="AB454" s="1">
        <f t="shared" si="184"/>
        <v>0</v>
      </c>
      <c r="AD454" s="1">
        <f t="shared" si="185"/>
        <v>0</v>
      </c>
      <c r="AE454" s="1">
        <f t="shared" si="186"/>
        <v>1</v>
      </c>
      <c r="AF454" s="1">
        <f t="shared" si="187"/>
        <v>0</v>
      </c>
      <c r="AG454" s="1">
        <f t="shared" si="188"/>
        <v>0</v>
      </c>
      <c r="AH454" s="1">
        <f t="shared" si="189"/>
        <v>0</v>
      </c>
      <c r="AI454" s="1">
        <f t="shared" si="190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51</v>
      </c>
      <c r="E455" s="32" t="s">
        <v>28</v>
      </c>
      <c r="F455" s="32" t="s">
        <v>670</v>
      </c>
      <c r="G455" s="32" t="s">
        <v>184</v>
      </c>
      <c r="H455" s="32" t="s">
        <v>352</v>
      </c>
      <c r="I455" s="31" t="s">
        <v>388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1723</v>
      </c>
      <c r="O455" s="35">
        <v>1</v>
      </c>
      <c r="P455" s="35"/>
      <c r="Q455" s="32"/>
      <c r="S455" s="1">
        <f t="shared" si="175"/>
        <v>0</v>
      </c>
      <c r="T455" s="1">
        <f t="shared" si="176"/>
        <v>0</v>
      </c>
      <c r="U455" s="1">
        <f t="shared" si="177"/>
        <v>0</v>
      </c>
      <c r="V455" s="1">
        <f t="shared" si="178"/>
        <v>0</v>
      </c>
      <c r="W455" s="1">
        <f t="shared" si="179"/>
        <v>0</v>
      </c>
      <c r="X455" s="1">
        <f t="shared" si="180"/>
        <v>0</v>
      </c>
      <c r="Y455" s="1">
        <f t="shared" si="181"/>
        <v>0</v>
      </c>
      <c r="Z455" s="1">
        <f t="shared" si="182"/>
        <v>0</v>
      </c>
      <c r="AA455" s="1">
        <f t="shared" si="183"/>
        <v>0</v>
      </c>
      <c r="AB455" s="1">
        <f t="shared" si="184"/>
        <v>0</v>
      </c>
      <c r="AD455" s="1">
        <f t="shared" si="185"/>
        <v>0</v>
      </c>
      <c r="AE455" s="1">
        <f t="shared" si="186"/>
        <v>1</v>
      </c>
      <c r="AF455" s="1">
        <f t="shared" si="187"/>
        <v>0</v>
      </c>
      <c r="AG455" s="1">
        <f t="shared" si="188"/>
        <v>1</v>
      </c>
      <c r="AH455" s="1">
        <f t="shared" si="189"/>
        <v>0</v>
      </c>
      <c r="AI455" s="1">
        <f t="shared" si="190"/>
        <v>1</v>
      </c>
    </row>
    <row r="456" spans="1:35" s="1" customFormat="1" ht="14.25" customHeight="1" x14ac:dyDescent="0.25">
      <c r="A456" s="44">
        <v>0</v>
      </c>
      <c r="B456" s="44">
        <v>2</v>
      </c>
      <c r="C456" s="44">
        <v>7</v>
      </c>
      <c r="D456" s="45" t="s">
        <v>1068</v>
      </c>
      <c r="E456" s="45" t="s">
        <v>28</v>
      </c>
      <c r="F456" s="45" t="s">
        <v>985</v>
      </c>
      <c r="G456" s="45" t="s">
        <v>239</v>
      </c>
      <c r="H456" s="45" t="s">
        <v>352</v>
      </c>
      <c r="I456" s="44" t="s">
        <v>1093</v>
      </c>
      <c r="J456" s="44">
        <v>1</v>
      </c>
      <c r="K456" s="46" t="s">
        <v>708</v>
      </c>
      <c r="L456" s="46" t="s">
        <v>709</v>
      </c>
      <c r="M456" s="47" t="s">
        <v>727</v>
      </c>
      <c r="N456" s="47" t="s">
        <v>1709</v>
      </c>
      <c r="O456" s="48"/>
      <c r="P456" s="48"/>
      <c r="Q456" s="45"/>
      <c r="S456" s="1">
        <f t="shared" si="175"/>
        <v>1</v>
      </c>
      <c r="T456" s="1">
        <f t="shared" si="176"/>
        <v>0</v>
      </c>
      <c r="U456" s="1">
        <f t="shared" si="177"/>
        <v>0</v>
      </c>
      <c r="V456" s="1">
        <f t="shared" si="178"/>
        <v>0</v>
      </c>
      <c r="W456" s="1">
        <f t="shared" si="179"/>
        <v>0</v>
      </c>
      <c r="X456" s="1">
        <f t="shared" si="180"/>
        <v>0</v>
      </c>
      <c r="Y456" s="1">
        <f t="shared" si="181"/>
        <v>0</v>
      </c>
      <c r="Z456" s="1">
        <f t="shared" si="182"/>
        <v>0</v>
      </c>
      <c r="AA456" s="1">
        <f t="shared" si="183"/>
        <v>0</v>
      </c>
      <c r="AB456" s="1">
        <f t="shared" si="184"/>
        <v>0</v>
      </c>
      <c r="AD456" s="1">
        <f t="shared" si="185"/>
        <v>0</v>
      </c>
      <c r="AE456" s="1">
        <f t="shared" si="186"/>
        <v>0</v>
      </c>
      <c r="AF456" s="1">
        <f t="shared" si="187"/>
        <v>0</v>
      </c>
      <c r="AG456" s="1">
        <f t="shared" si="188"/>
        <v>0</v>
      </c>
      <c r="AH456" s="1">
        <f t="shared" si="189"/>
        <v>0</v>
      </c>
      <c r="AI456" s="1">
        <f t="shared" si="190"/>
        <v>1</v>
      </c>
    </row>
    <row r="457" spans="1:35" s="1" customFormat="1" ht="14.25" customHeight="1" x14ac:dyDescent="0.25">
      <c r="A457" s="44">
        <v>1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986</v>
      </c>
      <c r="G457" s="45" t="s">
        <v>1086</v>
      </c>
      <c r="H457" s="45" t="s">
        <v>352</v>
      </c>
      <c r="I457" s="44" t="s">
        <v>1094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75"/>
        <v>1</v>
      </c>
      <c r="T457" s="1">
        <f t="shared" si="176"/>
        <v>0</v>
      </c>
      <c r="U457" s="1">
        <f t="shared" si="177"/>
        <v>0</v>
      </c>
      <c r="V457" s="1">
        <f t="shared" si="178"/>
        <v>0</v>
      </c>
      <c r="W457" s="1">
        <f t="shared" si="179"/>
        <v>0</v>
      </c>
      <c r="X457" s="1">
        <f t="shared" si="180"/>
        <v>0</v>
      </c>
      <c r="Y457" s="1">
        <f t="shared" si="181"/>
        <v>0</v>
      </c>
      <c r="Z457" s="1">
        <f t="shared" si="182"/>
        <v>0</v>
      </c>
      <c r="AA457" s="1">
        <f t="shared" si="183"/>
        <v>0</v>
      </c>
      <c r="AB457" s="1">
        <f t="shared" si="184"/>
        <v>0</v>
      </c>
      <c r="AD457" s="1">
        <f t="shared" si="185"/>
        <v>0</v>
      </c>
      <c r="AE457" s="1">
        <f t="shared" si="186"/>
        <v>0</v>
      </c>
      <c r="AF457" s="1">
        <f t="shared" si="187"/>
        <v>0</v>
      </c>
      <c r="AG457" s="1">
        <f t="shared" si="188"/>
        <v>0</v>
      </c>
      <c r="AH457" s="1">
        <f t="shared" si="189"/>
        <v>0</v>
      </c>
      <c r="AI457" s="1">
        <f t="shared" si="190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1612</v>
      </c>
      <c r="E458" s="32" t="s">
        <v>155</v>
      </c>
      <c r="F458" s="32" t="s">
        <v>1466</v>
      </c>
      <c r="G458" s="32" t="s">
        <v>1467</v>
      </c>
      <c r="H458" s="32" t="s">
        <v>352</v>
      </c>
      <c r="I458" s="31" t="s">
        <v>1468</v>
      </c>
      <c r="J458" s="31">
        <v>99</v>
      </c>
      <c r="K458" s="33" t="s">
        <v>942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/>
      <c r="Q458" s="32"/>
      <c r="S458" s="1">
        <f t="shared" si="175"/>
        <v>0</v>
      </c>
      <c r="T458" s="1">
        <f t="shared" si="176"/>
        <v>0</v>
      </c>
      <c r="U458" s="1">
        <f t="shared" si="177"/>
        <v>0</v>
      </c>
      <c r="V458" s="1">
        <f t="shared" si="178"/>
        <v>0</v>
      </c>
      <c r="W458" s="1">
        <f t="shared" si="179"/>
        <v>0</v>
      </c>
      <c r="X458" s="1">
        <f t="shared" si="180"/>
        <v>0</v>
      </c>
      <c r="Y458" s="1">
        <f t="shared" si="181"/>
        <v>0</v>
      </c>
      <c r="Z458" s="1">
        <f t="shared" si="182"/>
        <v>0</v>
      </c>
      <c r="AA458" s="1">
        <f t="shared" si="183"/>
        <v>0</v>
      </c>
      <c r="AB458" s="1">
        <f t="shared" si="184"/>
        <v>0</v>
      </c>
      <c r="AD458" s="1">
        <f t="shared" si="185"/>
        <v>0</v>
      </c>
      <c r="AE458" s="1">
        <f t="shared" si="186"/>
        <v>1</v>
      </c>
      <c r="AF458" s="1">
        <f t="shared" si="187"/>
        <v>0</v>
      </c>
      <c r="AG458" s="1">
        <f t="shared" si="188"/>
        <v>1</v>
      </c>
      <c r="AH458" s="1">
        <f t="shared" si="189"/>
        <v>0</v>
      </c>
      <c r="AI458" s="1">
        <f t="shared" si="190"/>
        <v>1</v>
      </c>
    </row>
    <row r="459" spans="1:35" s="1" customFormat="1" ht="14.25" customHeight="1" x14ac:dyDescent="0.25">
      <c r="A459" s="44">
        <v>0</v>
      </c>
      <c r="B459" s="44">
        <v>2</v>
      </c>
      <c r="C459" s="44">
        <v>7</v>
      </c>
      <c r="D459" s="45" t="s">
        <v>82</v>
      </c>
      <c r="E459" s="45" t="s">
        <v>28</v>
      </c>
      <c r="F459" s="45" t="s">
        <v>273</v>
      </c>
      <c r="G459" s="45" t="s">
        <v>274</v>
      </c>
      <c r="H459" s="45" t="s">
        <v>352</v>
      </c>
      <c r="I459" s="44" t="s">
        <v>427</v>
      </c>
      <c r="J459" s="44">
        <v>7</v>
      </c>
      <c r="K459" s="46" t="s">
        <v>942</v>
      </c>
      <c r="L459" s="46" t="s">
        <v>941</v>
      </c>
      <c r="M459" s="47" t="s">
        <v>955</v>
      </c>
      <c r="N459" s="47" t="s">
        <v>1783</v>
      </c>
      <c r="O459" s="48"/>
      <c r="P459" s="48"/>
      <c r="Q459" s="45"/>
      <c r="S459" s="1">
        <f t="shared" si="175"/>
        <v>0</v>
      </c>
      <c r="T459" s="1">
        <f t="shared" si="176"/>
        <v>0</v>
      </c>
      <c r="U459" s="1">
        <f t="shared" si="177"/>
        <v>0</v>
      </c>
      <c r="V459" s="1">
        <f t="shared" si="178"/>
        <v>0</v>
      </c>
      <c r="W459" s="1">
        <f t="shared" si="179"/>
        <v>0</v>
      </c>
      <c r="X459" s="1">
        <f t="shared" si="180"/>
        <v>0</v>
      </c>
      <c r="Y459" s="1">
        <f t="shared" si="181"/>
        <v>1</v>
      </c>
      <c r="Z459" s="1">
        <f t="shared" si="182"/>
        <v>0</v>
      </c>
      <c r="AA459" s="1">
        <f t="shared" si="183"/>
        <v>0</v>
      </c>
      <c r="AB459" s="1">
        <f t="shared" si="184"/>
        <v>0</v>
      </c>
      <c r="AD459" s="1">
        <f t="shared" si="185"/>
        <v>0</v>
      </c>
      <c r="AE459" s="1">
        <f t="shared" si="186"/>
        <v>0</v>
      </c>
      <c r="AF459" s="1">
        <f t="shared" si="187"/>
        <v>0</v>
      </c>
      <c r="AG459" s="1">
        <f t="shared" si="188"/>
        <v>0</v>
      </c>
      <c r="AH459" s="1">
        <f t="shared" si="189"/>
        <v>0</v>
      </c>
      <c r="AI459" s="1">
        <f t="shared" si="190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76</v>
      </c>
      <c r="E460" s="32" t="s">
        <v>28</v>
      </c>
      <c r="F460" s="32" t="s">
        <v>1655</v>
      </c>
      <c r="G460" s="32" t="s">
        <v>189</v>
      </c>
      <c r="H460" s="32" t="s">
        <v>352</v>
      </c>
      <c r="I460" s="31" t="s">
        <v>421</v>
      </c>
      <c r="J460" s="31">
        <v>99</v>
      </c>
      <c r="K460" s="33" t="s">
        <v>941</v>
      </c>
      <c r="L460" s="33" t="s">
        <v>709</v>
      </c>
      <c r="M460" s="34" t="s">
        <v>727</v>
      </c>
      <c r="N460" s="34" t="s">
        <v>1717</v>
      </c>
      <c r="O460" s="35">
        <v>1</v>
      </c>
      <c r="P460" s="35"/>
      <c r="Q460" s="32"/>
      <c r="S460" s="1">
        <f t="shared" si="175"/>
        <v>0</v>
      </c>
      <c r="T460" s="1">
        <f t="shared" si="176"/>
        <v>0</v>
      </c>
      <c r="U460" s="1">
        <f t="shared" si="177"/>
        <v>0</v>
      </c>
      <c r="V460" s="1">
        <f t="shared" si="178"/>
        <v>0</v>
      </c>
      <c r="W460" s="1">
        <f t="shared" si="179"/>
        <v>0</v>
      </c>
      <c r="X460" s="1">
        <f t="shared" si="180"/>
        <v>0</v>
      </c>
      <c r="Y460" s="1">
        <f t="shared" si="181"/>
        <v>0</v>
      </c>
      <c r="Z460" s="1">
        <f t="shared" si="182"/>
        <v>0</v>
      </c>
      <c r="AA460" s="1">
        <f t="shared" si="183"/>
        <v>0</v>
      </c>
      <c r="AB460" s="1">
        <f t="shared" si="184"/>
        <v>0</v>
      </c>
      <c r="AD460" s="1">
        <f t="shared" si="185"/>
        <v>0</v>
      </c>
      <c r="AE460" s="1">
        <f t="shared" si="186"/>
        <v>1</v>
      </c>
      <c r="AF460" s="1">
        <f t="shared" si="187"/>
        <v>0</v>
      </c>
      <c r="AG460" s="1">
        <f t="shared" si="188"/>
        <v>1</v>
      </c>
      <c r="AH460" s="1">
        <f t="shared" si="189"/>
        <v>0</v>
      </c>
      <c r="AI460" s="1">
        <f t="shared" si="190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6" t="s">
        <v>2003</v>
      </c>
      <c r="E461" s="32" t="s">
        <v>2007</v>
      </c>
      <c r="F461" s="36" t="s">
        <v>2004</v>
      </c>
      <c r="G461" s="36" t="s">
        <v>2005</v>
      </c>
      <c r="H461" s="36" t="s">
        <v>352</v>
      </c>
      <c r="I461" s="37" t="s">
        <v>2006</v>
      </c>
      <c r="J461" s="31">
        <v>99</v>
      </c>
      <c r="K461" s="33" t="s">
        <v>699</v>
      </c>
      <c r="L461" s="33">
        <v>20</v>
      </c>
      <c r="M461" s="34" t="s">
        <v>2009</v>
      </c>
      <c r="N461" s="34" t="s">
        <v>1722</v>
      </c>
      <c r="O461" s="35">
        <v>1</v>
      </c>
      <c r="P461" s="35"/>
      <c r="Q461" s="36" t="s">
        <v>2008</v>
      </c>
      <c r="S461" s="1">
        <f t="shared" si="175"/>
        <v>0</v>
      </c>
      <c r="T461" s="1">
        <f t="shared" si="176"/>
        <v>0</v>
      </c>
      <c r="U461" s="1">
        <f t="shared" si="177"/>
        <v>0</v>
      </c>
      <c r="V461" s="1">
        <f t="shared" si="178"/>
        <v>0</v>
      </c>
      <c r="W461" s="1">
        <f t="shared" si="179"/>
        <v>0</v>
      </c>
      <c r="X461" s="1">
        <f t="shared" si="180"/>
        <v>0</v>
      </c>
      <c r="Y461" s="1">
        <f t="shared" si="181"/>
        <v>0</v>
      </c>
      <c r="Z461" s="1">
        <f t="shared" si="182"/>
        <v>0</v>
      </c>
      <c r="AA461" s="1">
        <f t="shared" si="183"/>
        <v>0</v>
      </c>
      <c r="AB461" s="1">
        <f t="shared" si="184"/>
        <v>0</v>
      </c>
      <c r="AD461" s="1">
        <f t="shared" si="185"/>
        <v>0</v>
      </c>
      <c r="AE461" s="1">
        <f t="shared" si="186"/>
        <v>1</v>
      </c>
      <c r="AF461" s="1">
        <f t="shared" si="187"/>
        <v>0</v>
      </c>
      <c r="AG461" s="1">
        <f t="shared" si="188"/>
        <v>1</v>
      </c>
      <c r="AH461" s="1">
        <f t="shared" si="189"/>
        <v>0</v>
      </c>
      <c r="AI461" s="1">
        <f t="shared" si="190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1614</v>
      </c>
      <c r="E462" s="32" t="s">
        <v>162</v>
      </c>
      <c r="F462" s="32" t="s">
        <v>243</v>
      </c>
      <c r="G462" s="32" t="s">
        <v>217</v>
      </c>
      <c r="H462" s="32" t="s">
        <v>352</v>
      </c>
      <c r="I462" s="31" t="s">
        <v>406</v>
      </c>
      <c r="J462" s="31">
        <v>99</v>
      </c>
      <c r="K462" s="33" t="s">
        <v>709</v>
      </c>
      <c r="L462" s="33" t="s">
        <v>718</v>
      </c>
      <c r="M462" s="34" t="s">
        <v>728</v>
      </c>
      <c r="N462" s="34" t="s">
        <v>1701</v>
      </c>
      <c r="O462" s="35">
        <v>1</v>
      </c>
      <c r="P462" s="35">
        <v>1</v>
      </c>
      <c r="Q462" s="32"/>
      <c r="S462" s="1">
        <f t="shared" si="175"/>
        <v>0</v>
      </c>
      <c r="T462" s="1">
        <f t="shared" si="176"/>
        <v>0</v>
      </c>
      <c r="U462" s="1">
        <f t="shared" si="177"/>
        <v>0</v>
      </c>
      <c r="V462" s="1">
        <f t="shared" si="178"/>
        <v>0</v>
      </c>
      <c r="W462" s="1">
        <f t="shared" si="179"/>
        <v>0</v>
      </c>
      <c r="X462" s="1">
        <f t="shared" si="180"/>
        <v>0</v>
      </c>
      <c r="Y462" s="1">
        <f t="shared" si="181"/>
        <v>0</v>
      </c>
      <c r="Z462" s="1">
        <f t="shared" si="182"/>
        <v>0</v>
      </c>
      <c r="AA462" s="1">
        <f t="shared" si="183"/>
        <v>0</v>
      </c>
      <c r="AB462" s="1">
        <f t="shared" si="184"/>
        <v>0</v>
      </c>
      <c r="AD462" s="1">
        <f t="shared" si="185"/>
        <v>1</v>
      </c>
      <c r="AE462" s="1">
        <f t="shared" si="186"/>
        <v>0</v>
      </c>
      <c r="AF462" s="1">
        <f t="shared" si="187"/>
        <v>1</v>
      </c>
      <c r="AG462" s="1">
        <f t="shared" si="188"/>
        <v>0</v>
      </c>
      <c r="AH462" s="1">
        <f t="shared" si="189"/>
        <v>1</v>
      </c>
      <c r="AI462" s="1">
        <f t="shared" si="190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1512</v>
      </c>
      <c r="E463" s="32" t="s">
        <v>155</v>
      </c>
      <c r="F463" s="32" t="s">
        <v>1513</v>
      </c>
      <c r="G463" s="32" t="s">
        <v>39</v>
      </c>
      <c r="H463" s="32" t="s">
        <v>352</v>
      </c>
      <c r="I463" s="31" t="s">
        <v>1514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1722</v>
      </c>
      <c r="O463" s="35">
        <v>1</v>
      </c>
      <c r="P463" s="35"/>
      <c r="Q463" s="32"/>
      <c r="S463" s="1">
        <f t="shared" si="175"/>
        <v>0</v>
      </c>
      <c r="T463" s="1">
        <f t="shared" si="176"/>
        <v>0</v>
      </c>
      <c r="U463" s="1">
        <f t="shared" si="177"/>
        <v>0</v>
      </c>
      <c r="V463" s="1">
        <f t="shared" si="178"/>
        <v>0</v>
      </c>
      <c r="W463" s="1">
        <f t="shared" si="179"/>
        <v>0</v>
      </c>
      <c r="X463" s="1">
        <f t="shared" si="180"/>
        <v>0</v>
      </c>
      <c r="Y463" s="1">
        <f t="shared" si="181"/>
        <v>0</v>
      </c>
      <c r="Z463" s="1">
        <f t="shared" si="182"/>
        <v>0</v>
      </c>
      <c r="AA463" s="1">
        <f t="shared" si="183"/>
        <v>0</v>
      </c>
      <c r="AB463" s="1">
        <f t="shared" si="184"/>
        <v>0</v>
      </c>
      <c r="AD463" s="1">
        <f t="shared" si="185"/>
        <v>0</v>
      </c>
      <c r="AE463" s="1">
        <f t="shared" si="186"/>
        <v>1</v>
      </c>
      <c r="AF463" s="1">
        <f t="shared" si="187"/>
        <v>0</v>
      </c>
      <c r="AG463" s="1">
        <f t="shared" si="188"/>
        <v>1</v>
      </c>
      <c r="AH463" s="1">
        <f t="shared" si="189"/>
        <v>0</v>
      </c>
      <c r="AI463" s="1">
        <f t="shared" si="190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961</v>
      </c>
      <c r="G464" s="32" t="s">
        <v>1088</v>
      </c>
      <c r="H464" s="32" t="s">
        <v>352</v>
      </c>
      <c r="I464" s="31" t="s">
        <v>1095</v>
      </c>
      <c r="J464" s="31">
        <v>99</v>
      </c>
      <c r="K464" s="33" t="s">
        <v>709</v>
      </c>
      <c r="L464" s="33" t="s">
        <v>709</v>
      </c>
      <c r="M464" s="34" t="s">
        <v>727</v>
      </c>
      <c r="N464" s="34" t="s">
        <v>1717</v>
      </c>
      <c r="O464" s="35">
        <v>1</v>
      </c>
      <c r="P464" s="35"/>
      <c r="Q464" s="32"/>
      <c r="S464" s="1">
        <f t="shared" si="175"/>
        <v>0</v>
      </c>
      <c r="T464" s="1">
        <f t="shared" si="176"/>
        <v>0</v>
      </c>
      <c r="U464" s="1">
        <f t="shared" si="177"/>
        <v>0</v>
      </c>
      <c r="V464" s="1">
        <f t="shared" si="178"/>
        <v>0</v>
      </c>
      <c r="W464" s="1">
        <f t="shared" si="179"/>
        <v>0</v>
      </c>
      <c r="X464" s="1">
        <f t="shared" si="180"/>
        <v>0</v>
      </c>
      <c r="Y464" s="1">
        <f t="shared" si="181"/>
        <v>0</v>
      </c>
      <c r="Z464" s="1">
        <f t="shared" si="182"/>
        <v>0</v>
      </c>
      <c r="AA464" s="1">
        <f t="shared" si="183"/>
        <v>0</v>
      </c>
      <c r="AB464" s="1">
        <f t="shared" si="184"/>
        <v>0</v>
      </c>
      <c r="AD464" s="1">
        <f t="shared" si="185"/>
        <v>0</v>
      </c>
      <c r="AE464" s="1">
        <f t="shared" si="186"/>
        <v>1</v>
      </c>
      <c r="AF464" s="1">
        <f t="shared" si="187"/>
        <v>0</v>
      </c>
      <c r="AG464" s="1">
        <f t="shared" si="188"/>
        <v>1</v>
      </c>
      <c r="AH464" s="1">
        <f t="shared" si="189"/>
        <v>0</v>
      </c>
      <c r="AI464" s="1">
        <f t="shared" si="190"/>
        <v>1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244</v>
      </c>
      <c r="G465" s="32" t="s">
        <v>223</v>
      </c>
      <c r="H465" s="32" t="s">
        <v>352</v>
      </c>
      <c r="I465" s="31" t="s">
        <v>407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75"/>
        <v>0</v>
      </c>
      <c r="T465" s="1">
        <f t="shared" si="176"/>
        <v>0</v>
      </c>
      <c r="U465" s="1">
        <f t="shared" si="177"/>
        <v>0</v>
      </c>
      <c r="V465" s="1">
        <f t="shared" si="178"/>
        <v>0</v>
      </c>
      <c r="W465" s="1">
        <f t="shared" si="179"/>
        <v>0</v>
      </c>
      <c r="X465" s="1">
        <f t="shared" si="180"/>
        <v>0</v>
      </c>
      <c r="Y465" s="1">
        <f t="shared" si="181"/>
        <v>0</v>
      </c>
      <c r="Z465" s="1">
        <f t="shared" si="182"/>
        <v>0</v>
      </c>
      <c r="AA465" s="1">
        <f t="shared" si="183"/>
        <v>0</v>
      </c>
      <c r="AB465" s="1">
        <f t="shared" si="184"/>
        <v>0</v>
      </c>
      <c r="AD465" s="1">
        <f t="shared" si="185"/>
        <v>0</v>
      </c>
      <c r="AE465" s="1">
        <f t="shared" si="186"/>
        <v>1</v>
      </c>
      <c r="AF465" s="1">
        <f t="shared" ref="AF465:AF499" si="191">+O465*P465*(1-A465)</f>
        <v>0</v>
      </c>
      <c r="AG465" s="1">
        <f t="shared" ref="AG465:AG499" si="192">O465*(1-P465)*(1-A465)</f>
        <v>0</v>
      </c>
      <c r="AH465" s="1">
        <f t="shared" ref="AH465:AH499" si="193">+P465*(1-A465)</f>
        <v>0</v>
      </c>
      <c r="AI465" s="1">
        <f t="shared" ref="AI465:AI499" si="194">+(1-A465)*(1-P465)</f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245</v>
      </c>
      <c r="G466" s="32" t="s">
        <v>219</v>
      </c>
      <c r="H466" s="32" t="s">
        <v>352</v>
      </c>
      <c r="I466" s="31" t="s">
        <v>408</v>
      </c>
      <c r="J466" s="31">
        <v>8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 t="s">
        <v>1986</v>
      </c>
      <c r="S466" s="1">
        <f t="shared" si="175"/>
        <v>0</v>
      </c>
      <c r="T466" s="1">
        <f t="shared" si="176"/>
        <v>0</v>
      </c>
      <c r="U466" s="1">
        <f t="shared" si="177"/>
        <v>0</v>
      </c>
      <c r="V466" s="1">
        <f t="shared" si="178"/>
        <v>0</v>
      </c>
      <c r="W466" s="1">
        <f t="shared" si="179"/>
        <v>0</v>
      </c>
      <c r="X466" s="1">
        <f t="shared" si="180"/>
        <v>0</v>
      </c>
      <c r="Y466" s="1">
        <f t="shared" si="181"/>
        <v>0</v>
      </c>
      <c r="Z466" s="1">
        <f t="shared" si="182"/>
        <v>1</v>
      </c>
      <c r="AA466" s="1">
        <f t="shared" si="183"/>
        <v>0</v>
      </c>
      <c r="AB466" s="1">
        <f t="shared" si="184"/>
        <v>0</v>
      </c>
      <c r="AD466" s="1">
        <f t="shared" si="185"/>
        <v>0</v>
      </c>
      <c r="AE466" s="1">
        <f t="shared" si="186"/>
        <v>1</v>
      </c>
      <c r="AF466" s="1">
        <f t="shared" si="191"/>
        <v>0</v>
      </c>
      <c r="AG466" s="1">
        <f t="shared" si="192"/>
        <v>0</v>
      </c>
      <c r="AH466" s="1">
        <f t="shared" si="193"/>
        <v>0</v>
      </c>
      <c r="AI466" s="1">
        <f t="shared" si="194"/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1021</v>
      </c>
      <c r="G467" s="32" t="s">
        <v>39</v>
      </c>
      <c r="H467" s="32" t="s">
        <v>352</v>
      </c>
      <c r="I467" s="31" t="s">
        <v>1022</v>
      </c>
      <c r="J467" s="31">
        <v>1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/>
      <c r="S467" s="1">
        <f t="shared" si="175"/>
        <v>1</v>
      </c>
      <c r="T467" s="1">
        <f t="shared" si="176"/>
        <v>0</v>
      </c>
      <c r="U467" s="1">
        <f t="shared" si="177"/>
        <v>0</v>
      </c>
      <c r="V467" s="1">
        <f t="shared" si="178"/>
        <v>0</v>
      </c>
      <c r="W467" s="1">
        <f t="shared" si="179"/>
        <v>0</v>
      </c>
      <c r="X467" s="1">
        <f t="shared" si="180"/>
        <v>0</v>
      </c>
      <c r="Y467" s="1">
        <f t="shared" si="181"/>
        <v>0</v>
      </c>
      <c r="Z467" s="1">
        <f t="shared" si="182"/>
        <v>0</v>
      </c>
      <c r="AA467" s="1">
        <f t="shared" si="183"/>
        <v>0</v>
      </c>
      <c r="AB467" s="1">
        <f t="shared" si="184"/>
        <v>0</v>
      </c>
      <c r="AD467" s="1">
        <f t="shared" si="185"/>
        <v>0</v>
      </c>
      <c r="AE467" s="1">
        <f t="shared" si="186"/>
        <v>1</v>
      </c>
      <c r="AF467" s="1">
        <f t="shared" si="191"/>
        <v>0</v>
      </c>
      <c r="AG467" s="1">
        <f t="shared" si="192"/>
        <v>0</v>
      </c>
      <c r="AH467" s="1">
        <f t="shared" si="193"/>
        <v>0</v>
      </c>
      <c r="AI467" s="1">
        <f t="shared" si="194"/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1023</v>
      </c>
      <c r="G468" s="32" t="s">
        <v>300</v>
      </c>
      <c r="H468" s="32" t="s">
        <v>352</v>
      </c>
      <c r="I468" s="31" t="s">
        <v>1024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75"/>
        <v>1</v>
      </c>
      <c r="T468" s="1">
        <f t="shared" si="176"/>
        <v>0</v>
      </c>
      <c r="U468" s="1">
        <f t="shared" si="177"/>
        <v>0</v>
      </c>
      <c r="V468" s="1">
        <f t="shared" si="178"/>
        <v>0</v>
      </c>
      <c r="W468" s="1">
        <f t="shared" si="179"/>
        <v>0</v>
      </c>
      <c r="X468" s="1">
        <f t="shared" si="180"/>
        <v>0</v>
      </c>
      <c r="Y468" s="1">
        <f t="shared" si="181"/>
        <v>0</v>
      </c>
      <c r="Z468" s="1">
        <f t="shared" si="182"/>
        <v>0</v>
      </c>
      <c r="AA468" s="1">
        <f t="shared" si="183"/>
        <v>0</v>
      </c>
      <c r="AB468" s="1">
        <f t="shared" si="184"/>
        <v>0</v>
      </c>
      <c r="AD468" s="1">
        <f t="shared" si="185"/>
        <v>0</v>
      </c>
      <c r="AE468" s="1">
        <f t="shared" si="186"/>
        <v>1</v>
      </c>
      <c r="AF468" s="1">
        <f t="shared" si="191"/>
        <v>0</v>
      </c>
      <c r="AG468" s="1">
        <f t="shared" si="192"/>
        <v>0</v>
      </c>
      <c r="AH468" s="1">
        <f t="shared" si="193"/>
        <v>0</v>
      </c>
      <c r="AI468" s="1">
        <f t="shared" si="194"/>
        <v>0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1547</v>
      </c>
      <c r="E469" s="32" t="s">
        <v>155</v>
      </c>
      <c r="F469" s="32" t="s">
        <v>1548</v>
      </c>
      <c r="G469" s="32" t="s">
        <v>206</v>
      </c>
      <c r="H469" s="32" t="s">
        <v>352</v>
      </c>
      <c r="I469" s="31" t="s">
        <v>1549</v>
      </c>
      <c r="J469" s="31">
        <v>99</v>
      </c>
      <c r="K469" s="33" t="s">
        <v>708</v>
      </c>
      <c r="L469" s="33" t="s">
        <v>718</v>
      </c>
      <c r="M469" s="34" t="s">
        <v>728</v>
      </c>
      <c r="N469" s="34" t="s">
        <v>1920</v>
      </c>
      <c r="O469" s="35">
        <v>1</v>
      </c>
      <c r="P469" s="35"/>
      <c r="Q469" s="32"/>
      <c r="S469" s="1">
        <f t="shared" ref="S469:S499" si="195">IF(J469=$S$7,1,0)</f>
        <v>0</v>
      </c>
      <c r="T469" s="1">
        <f t="shared" ref="T469:T499" si="196">IF(J469=$T$7,1,0)</f>
        <v>0</v>
      </c>
      <c r="U469" s="1">
        <f t="shared" ref="U469:U499" si="197">IF(J469=$U$7,1,0)</f>
        <v>0</v>
      </c>
      <c r="V469" s="1">
        <f t="shared" ref="V469:V499" si="198">IF(J469=$V$7,1,0)</f>
        <v>0</v>
      </c>
      <c r="W469" s="1">
        <f t="shared" ref="W469:W499" si="199">IF(J469=$W$7,1,0)</f>
        <v>0</v>
      </c>
      <c r="X469" s="1">
        <f t="shared" ref="X469:X499" si="200">IF(J469=$X$7,1,0)</f>
        <v>0</v>
      </c>
      <c r="Y469" s="1">
        <f t="shared" ref="Y469:Y499" si="201">IF(J469=$Y$7,1,0)</f>
        <v>0</v>
      </c>
      <c r="Z469" s="1">
        <f t="shared" ref="Z469:Z499" si="202">IF(J469=$Z$7,1,0)</f>
        <v>0</v>
      </c>
      <c r="AA469" s="1">
        <f t="shared" ref="AA469:AA499" si="203">IF(J469=$AA$7,1,0)</f>
        <v>0</v>
      </c>
      <c r="AB469" s="1">
        <f t="shared" ref="AB469:AB499" si="204">IF(J469=$AB$7,1,0)</f>
        <v>0</v>
      </c>
      <c r="AD469" s="1">
        <f t="shared" ref="AD469:AD499" si="205">+O469*P469</f>
        <v>0</v>
      </c>
      <c r="AE469" s="1">
        <f t="shared" ref="AE469:AE499" si="206">O469*(1-P469)</f>
        <v>1</v>
      </c>
      <c r="AF469" s="1">
        <f t="shared" si="191"/>
        <v>0</v>
      </c>
      <c r="AG469" s="1">
        <f t="shared" si="192"/>
        <v>1</v>
      </c>
      <c r="AH469" s="1">
        <f t="shared" si="193"/>
        <v>0</v>
      </c>
      <c r="AI469" s="1">
        <f t="shared" si="194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73</v>
      </c>
      <c r="E470" s="32" t="s">
        <v>28</v>
      </c>
      <c r="F470" s="32" t="s">
        <v>263</v>
      </c>
      <c r="G470" s="32" t="s">
        <v>193</v>
      </c>
      <c r="H470" s="32" t="s">
        <v>352</v>
      </c>
      <c r="I470" s="31" t="s">
        <v>419</v>
      </c>
      <c r="J470" s="31">
        <v>9</v>
      </c>
      <c r="K470" s="33" t="s">
        <v>708</v>
      </c>
      <c r="L470" s="33" t="s">
        <v>709</v>
      </c>
      <c r="M470" s="34" t="s">
        <v>727</v>
      </c>
      <c r="N470" s="34" t="s">
        <v>1717</v>
      </c>
      <c r="O470" s="35">
        <v>1</v>
      </c>
      <c r="P470" s="35"/>
      <c r="Q470" s="32"/>
      <c r="S470" s="1">
        <f t="shared" si="195"/>
        <v>0</v>
      </c>
      <c r="T470" s="1">
        <f t="shared" si="196"/>
        <v>0</v>
      </c>
      <c r="U470" s="1">
        <f t="shared" si="197"/>
        <v>0</v>
      </c>
      <c r="V470" s="1">
        <f t="shared" si="198"/>
        <v>0</v>
      </c>
      <c r="W470" s="1">
        <f t="shared" si="199"/>
        <v>0</v>
      </c>
      <c r="X470" s="1">
        <f t="shared" si="200"/>
        <v>0</v>
      </c>
      <c r="Y470" s="1">
        <f t="shared" si="201"/>
        <v>0</v>
      </c>
      <c r="Z470" s="1">
        <f t="shared" si="202"/>
        <v>0</v>
      </c>
      <c r="AA470" s="1">
        <f t="shared" si="203"/>
        <v>1</v>
      </c>
      <c r="AB470" s="1">
        <f t="shared" si="204"/>
        <v>0</v>
      </c>
      <c r="AD470" s="1">
        <f t="shared" si="205"/>
        <v>0</v>
      </c>
      <c r="AE470" s="1">
        <f t="shared" si="206"/>
        <v>1</v>
      </c>
      <c r="AF470" s="1">
        <f t="shared" si="191"/>
        <v>0</v>
      </c>
      <c r="AG470" s="1">
        <f t="shared" si="192"/>
        <v>1</v>
      </c>
      <c r="AH470" s="1">
        <f t="shared" si="193"/>
        <v>0</v>
      </c>
      <c r="AI470" s="1">
        <f t="shared" si="194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59</v>
      </c>
      <c r="E471" s="32" t="s">
        <v>162</v>
      </c>
      <c r="F471" s="32" t="s">
        <v>224</v>
      </c>
      <c r="G471" s="32" t="s">
        <v>225</v>
      </c>
      <c r="H471" s="32" t="s">
        <v>352</v>
      </c>
      <c r="I471" s="31" t="s">
        <v>396</v>
      </c>
      <c r="J471" s="31">
        <v>99</v>
      </c>
      <c r="K471" s="33" t="s">
        <v>709</v>
      </c>
      <c r="L471" s="33" t="s">
        <v>718</v>
      </c>
      <c r="M471" s="34" t="s">
        <v>728</v>
      </c>
      <c r="N471" s="34" t="s">
        <v>1724</v>
      </c>
      <c r="O471" s="35">
        <v>1</v>
      </c>
      <c r="P471" s="35"/>
      <c r="Q471" s="32"/>
      <c r="S471" s="1">
        <f t="shared" si="195"/>
        <v>0</v>
      </c>
      <c r="T471" s="1">
        <f t="shared" si="196"/>
        <v>0</v>
      </c>
      <c r="U471" s="1">
        <f t="shared" si="197"/>
        <v>0</v>
      </c>
      <c r="V471" s="1">
        <f t="shared" si="198"/>
        <v>0</v>
      </c>
      <c r="W471" s="1">
        <f t="shared" si="199"/>
        <v>0</v>
      </c>
      <c r="X471" s="1">
        <f t="shared" si="200"/>
        <v>0</v>
      </c>
      <c r="Y471" s="1">
        <f t="shared" si="201"/>
        <v>0</v>
      </c>
      <c r="Z471" s="1">
        <f t="shared" si="202"/>
        <v>0</v>
      </c>
      <c r="AA471" s="1">
        <f t="shared" si="203"/>
        <v>0</v>
      </c>
      <c r="AB471" s="1">
        <f t="shared" si="204"/>
        <v>0</v>
      </c>
      <c r="AD471" s="1">
        <f t="shared" si="205"/>
        <v>0</v>
      </c>
      <c r="AE471" s="1">
        <f t="shared" si="206"/>
        <v>1</v>
      </c>
      <c r="AF471" s="1">
        <f t="shared" si="191"/>
        <v>0</v>
      </c>
      <c r="AG471" s="1">
        <f t="shared" si="192"/>
        <v>1</v>
      </c>
      <c r="AH471" s="1">
        <f t="shared" si="193"/>
        <v>0</v>
      </c>
      <c r="AI471" s="1">
        <f t="shared" si="194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1062</v>
      </c>
      <c r="E472" s="32" t="s">
        <v>155</v>
      </c>
      <c r="F472" s="32" t="s">
        <v>1063</v>
      </c>
      <c r="G472" s="32" t="s">
        <v>219</v>
      </c>
      <c r="H472" s="32" t="s">
        <v>352</v>
      </c>
      <c r="I472" s="31" t="s">
        <v>1064</v>
      </c>
      <c r="J472" s="31">
        <v>8</v>
      </c>
      <c r="K472" s="33" t="s">
        <v>708</v>
      </c>
      <c r="L472" s="33" t="s">
        <v>718</v>
      </c>
      <c r="M472" s="34" t="s">
        <v>728</v>
      </c>
      <c r="N472" s="34" t="s">
        <v>1722</v>
      </c>
      <c r="O472" s="35">
        <v>1</v>
      </c>
      <c r="P472" s="35"/>
      <c r="Q472" s="32"/>
      <c r="S472" s="1">
        <f t="shared" si="195"/>
        <v>0</v>
      </c>
      <c r="T472" s="1">
        <f t="shared" si="196"/>
        <v>0</v>
      </c>
      <c r="U472" s="1">
        <f t="shared" si="197"/>
        <v>0</v>
      </c>
      <c r="V472" s="1">
        <f t="shared" si="198"/>
        <v>0</v>
      </c>
      <c r="W472" s="1">
        <f t="shared" si="199"/>
        <v>0</v>
      </c>
      <c r="X472" s="1">
        <f t="shared" si="200"/>
        <v>0</v>
      </c>
      <c r="Y472" s="1">
        <f t="shared" si="201"/>
        <v>0</v>
      </c>
      <c r="Z472" s="1">
        <f t="shared" si="202"/>
        <v>1</v>
      </c>
      <c r="AA472" s="1">
        <f t="shared" si="203"/>
        <v>0</v>
      </c>
      <c r="AB472" s="1">
        <f t="shared" si="204"/>
        <v>0</v>
      </c>
      <c r="AD472" s="1">
        <f t="shared" si="205"/>
        <v>0</v>
      </c>
      <c r="AE472" s="1">
        <f t="shared" si="206"/>
        <v>1</v>
      </c>
      <c r="AF472" s="1">
        <f t="shared" si="191"/>
        <v>0</v>
      </c>
      <c r="AG472" s="1">
        <f t="shared" si="192"/>
        <v>1</v>
      </c>
      <c r="AH472" s="1">
        <f t="shared" si="193"/>
        <v>0</v>
      </c>
      <c r="AI472" s="1">
        <f t="shared" si="194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81</v>
      </c>
      <c r="E473" s="32" t="s">
        <v>155</v>
      </c>
      <c r="F473" s="32" t="s">
        <v>272</v>
      </c>
      <c r="G473" s="32" t="s">
        <v>253</v>
      </c>
      <c r="H473" s="32" t="s">
        <v>352</v>
      </c>
      <c r="I473" s="31" t="s">
        <v>426</v>
      </c>
      <c r="J473" s="31">
        <v>99</v>
      </c>
      <c r="K473" s="33" t="s">
        <v>709</v>
      </c>
      <c r="L473" s="33" t="s">
        <v>729</v>
      </c>
      <c r="M473" s="34" t="s">
        <v>730</v>
      </c>
      <c r="N473" s="34" t="s">
        <v>1730</v>
      </c>
      <c r="O473" s="35">
        <v>1</v>
      </c>
      <c r="P473" s="35"/>
      <c r="Q473" s="32"/>
      <c r="S473" s="1">
        <f t="shared" si="195"/>
        <v>0</v>
      </c>
      <c r="T473" s="1">
        <f t="shared" si="196"/>
        <v>0</v>
      </c>
      <c r="U473" s="1">
        <f t="shared" si="197"/>
        <v>0</v>
      </c>
      <c r="V473" s="1">
        <f t="shared" si="198"/>
        <v>0</v>
      </c>
      <c r="W473" s="1">
        <f t="shared" si="199"/>
        <v>0</v>
      </c>
      <c r="X473" s="1">
        <f t="shared" si="200"/>
        <v>0</v>
      </c>
      <c r="Y473" s="1">
        <f t="shared" si="201"/>
        <v>0</v>
      </c>
      <c r="Z473" s="1">
        <f t="shared" si="202"/>
        <v>0</v>
      </c>
      <c r="AA473" s="1">
        <f t="shared" si="203"/>
        <v>0</v>
      </c>
      <c r="AB473" s="1">
        <f t="shared" si="204"/>
        <v>0</v>
      </c>
      <c r="AD473" s="1">
        <f t="shared" si="205"/>
        <v>0</v>
      </c>
      <c r="AE473" s="1">
        <f t="shared" si="206"/>
        <v>1</v>
      </c>
      <c r="AF473" s="1">
        <f t="shared" si="191"/>
        <v>0</v>
      </c>
      <c r="AG473" s="1">
        <f t="shared" si="192"/>
        <v>1</v>
      </c>
      <c r="AH473" s="1">
        <f t="shared" si="193"/>
        <v>0</v>
      </c>
      <c r="AI473" s="1">
        <f t="shared" si="194"/>
        <v>1</v>
      </c>
    </row>
    <row r="474" spans="1:35" s="1" customFormat="1" ht="14.25" customHeight="1" x14ac:dyDescent="0.25">
      <c r="A474" s="37">
        <v>0</v>
      </c>
      <c r="B474" s="37">
        <v>2</v>
      </c>
      <c r="C474" s="37">
        <v>7</v>
      </c>
      <c r="D474" s="36" t="s">
        <v>1749</v>
      </c>
      <c r="E474" s="36" t="s">
        <v>1750</v>
      </c>
      <c r="F474" s="36" t="s">
        <v>1751</v>
      </c>
      <c r="G474" s="36" t="s">
        <v>189</v>
      </c>
      <c r="H474" s="36" t="s">
        <v>352</v>
      </c>
      <c r="I474" s="37"/>
      <c r="J474" s="37"/>
      <c r="K474" s="33" t="s">
        <v>699</v>
      </c>
      <c r="L474" s="33"/>
      <c r="M474" s="34"/>
      <c r="N474" s="34" t="s">
        <v>1701</v>
      </c>
      <c r="O474" s="35">
        <v>1</v>
      </c>
      <c r="P474" s="35">
        <v>1</v>
      </c>
      <c r="Q474" s="36"/>
      <c r="S474" s="1">
        <f t="shared" si="195"/>
        <v>0</v>
      </c>
      <c r="T474" s="1">
        <f t="shared" si="196"/>
        <v>0</v>
      </c>
      <c r="U474" s="1">
        <f t="shared" si="197"/>
        <v>0</v>
      </c>
      <c r="V474" s="1">
        <f t="shared" si="198"/>
        <v>0</v>
      </c>
      <c r="W474" s="1">
        <f t="shared" si="199"/>
        <v>0</v>
      </c>
      <c r="X474" s="1">
        <f t="shared" si="200"/>
        <v>0</v>
      </c>
      <c r="Y474" s="1">
        <f t="shared" si="201"/>
        <v>0</v>
      </c>
      <c r="Z474" s="1">
        <f t="shared" si="202"/>
        <v>0</v>
      </c>
      <c r="AA474" s="1">
        <f t="shared" si="203"/>
        <v>0</v>
      </c>
      <c r="AB474" s="1">
        <f t="shared" si="204"/>
        <v>0</v>
      </c>
      <c r="AD474" s="1">
        <f t="shared" si="205"/>
        <v>1</v>
      </c>
      <c r="AE474" s="1">
        <f t="shared" si="206"/>
        <v>0</v>
      </c>
      <c r="AF474" s="1">
        <f t="shared" si="191"/>
        <v>1</v>
      </c>
      <c r="AG474" s="1">
        <f t="shared" si="192"/>
        <v>0</v>
      </c>
      <c r="AH474" s="1">
        <f t="shared" si="193"/>
        <v>1</v>
      </c>
      <c r="AI474" s="1">
        <f t="shared" si="194"/>
        <v>0</v>
      </c>
    </row>
    <row r="475" spans="1:35" s="1" customFormat="1" ht="14.25" customHeight="1" x14ac:dyDescent="0.25">
      <c r="A475" s="37">
        <v>0</v>
      </c>
      <c r="B475" s="37">
        <v>2</v>
      </c>
      <c r="C475" s="37">
        <v>7</v>
      </c>
      <c r="D475" s="36" t="s">
        <v>510</v>
      </c>
      <c r="E475" s="36" t="s">
        <v>155</v>
      </c>
      <c r="F475" s="36" t="s">
        <v>570</v>
      </c>
      <c r="G475" s="36" t="s">
        <v>319</v>
      </c>
      <c r="H475" s="36" t="s">
        <v>352</v>
      </c>
      <c r="I475" s="37" t="s">
        <v>577</v>
      </c>
      <c r="J475" s="37">
        <v>99</v>
      </c>
      <c r="K475" s="33" t="s">
        <v>941</v>
      </c>
      <c r="L475" s="33" t="s">
        <v>718</v>
      </c>
      <c r="M475" s="34" t="s">
        <v>728</v>
      </c>
      <c r="N475" s="34" t="s">
        <v>1735</v>
      </c>
      <c r="O475" s="35">
        <v>1</v>
      </c>
      <c r="P475" s="35"/>
      <c r="Q475" s="36"/>
      <c r="S475" s="1">
        <f t="shared" si="195"/>
        <v>0</v>
      </c>
      <c r="T475" s="1">
        <f t="shared" si="196"/>
        <v>0</v>
      </c>
      <c r="U475" s="1">
        <f t="shared" si="197"/>
        <v>0</v>
      </c>
      <c r="V475" s="1">
        <f t="shared" si="198"/>
        <v>0</v>
      </c>
      <c r="W475" s="1">
        <f t="shared" si="199"/>
        <v>0</v>
      </c>
      <c r="X475" s="1">
        <f t="shared" si="200"/>
        <v>0</v>
      </c>
      <c r="Y475" s="1">
        <f t="shared" si="201"/>
        <v>0</v>
      </c>
      <c r="Z475" s="1">
        <f t="shared" si="202"/>
        <v>0</v>
      </c>
      <c r="AA475" s="1">
        <f t="shared" si="203"/>
        <v>0</v>
      </c>
      <c r="AB475" s="1">
        <f t="shared" si="204"/>
        <v>0</v>
      </c>
      <c r="AD475" s="1">
        <f t="shared" si="205"/>
        <v>0</v>
      </c>
      <c r="AE475" s="1">
        <f t="shared" si="206"/>
        <v>1</v>
      </c>
      <c r="AF475" s="1">
        <f t="shared" si="191"/>
        <v>0</v>
      </c>
      <c r="AG475" s="1">
        <f t="shared" si="192"/>
        <v>1</v>
      </c>
      <c r="AH475" s="1">
        <f t="shared" si="193"/>
        <v>0</v>
      </c>
      <c r="AI475" s="1">
        <f t="shared" si="194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74</v>
      </c>
      <c r="E476" s="32" t="s">
        <v>155</v>
      </c>
      <c r="F476" s="32" t="s">
        <v>671</v>
      </c>
      <c r="G476" s="32" t="s">
        <v>264</v>
      </c>
      <c r="H476" s="32" t="s">
        <v>352</v>
      </c>
      <c r="I476" s="31" t="s">
        <v>420</v>
      </c>
      <c r="J476" s="31">
        <v>99</v>
      </c>
      <c r="K476" s="33" t="s">
        <v>708</v>
      </c>
      <c r="L476" s="33" t="s">
        <v>725</v>
      </c>
      <c r="M476" s="34" t="s">
        <v>728</v>
      </c>
      <c r="N476" s="34" t="s">
        <v>1717</v>
      </c>
      <c r="O476" s="35">
        <v>1</v>
      </c>
      <c r="P476" s="35"/>
      <c r="Q476" s="32"/>
      <c r="S476" s="1">
        <f t="shared" si="195"/>
        <v>0</v>
      </c>
      <c r="T476" s="1">
        <f t="shared" si="196"/>
        <v>0</v>
      </c>
      <c r="U476" s="1">
        <f t="shared" si="197"/>
        <v>0</v>
      </c>
      <c r="V476" s="1">
        <f t="shared" si="198"/>
        <v>0</v>
      </c>
      <c r="W476" s="1">
        <f t="shared" si="199"/>
        <v>0</v>
      </c>
      <c r="X476" s="1">
        <f t="shared" si="200"/>
        <v>0</v>
      </c>
      <c r="Y476" s="1">
        <f t="shared" si="201"/>
        <v>0</v>
      </c>
      <c r="Z476" s="1">
        <f t="shared" si="202"/>
        <v>0</v>
      </c>
      <c r="AA476" s="1">
        <f t="shared" si="203"/>
        <v>0</v>
      </c>
      <c r="AB476" s="1">
        <f t="shared" si="204"/>
        <v>0</v>
      </c>
      <c r="AD476" s="1">
        <f t="shared" si="205"/>
        <v>0</v>
      </c>
      <c r="AE476" s="1">
        <f t="shared" si="206"/>
        <v>1</v>
      </c>
      <c r="AF476" s="1">
        <f t="shared" si="191"/>
        <v>0</v>
      </c>
      <c r="AG476" s="1">
        <f t="shared" si="192"/>
        <v>1</v>
      </c>
      <c r="AH476" s="1">
        <f t="shared" si="193"/>
        <v>0</v>
      </c>
      <c r="AI476" s="1">
        <f t="shared" si="194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1976</v>
      </c>
      <c r="E477" s="32" t="s">
        <v>155</v>
      </c>
      <c r="F477" s="32" t="s">
        <v>1977</v>
      </c>
      <c r="G477" s="32" t="s">
        <v>281</v>
      </c>
      <c r="H477" s="32" t="s">
        <v>352</v>
      </c>
      <c r="I477" s="31" t="s">
        <v>1978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1701</v>
      </c>
      <c r="O477" s="35">
        <v>1</v>
      </c>
      <c r="P477" s="35">
        <v>1</v>
      </c>
      <c r="Q477" s="32"/>
      <c r="S477" s="1">
        <f t="shared" si="195"/>
        <v>0</v>
      </c>
      <c r="T477" s="1">
        <f t="shared" si="196"/>
        <v>0</v>
      </c>
      <c r="U477" s="1">
        <f t="shared" si="197"/>
        <v>0</v>
      </c>
      <c r="V477" s="1">
        <f t="shared" si="198"/>
        <v>0</v>
      </c>
      <c r="W477" s="1">
        <f t="shared" si="199"/>
        <v>0</v>
      </c>
      <c r="X477" s="1">
        <f t="shared" si="200"/>
        <v>0</v>
      </c>
      <c r="Y477" s="1">
        <f t="shared" si="201"/>
        <v>0</v>
      </c>
      <c r="Z477" s="1">
        <f t="shared" si="202"/>
        <v>0</v>
      </c>
      <c r="AA477" s="1">
        <f t="shared" si="203"/>
        <v>0</v>
      </c>
      <c r="AB477" s="1">
        <f t="shared" si="204"/>
        <v>0</v>
      </c>
      <c r="AD477" s="1">
        <f t="shared" si="205"/>
        <v>1</v>
      </c>
      <c r="AE477" s="1">
        <f t="shared" si="206"/>
        <v>0</v>
      </c>
      <c r="AF477" s="1">
        <f t="shared" si="191"/>
        <v>1</v>
      </c>
      <c r="AG477" s="1">
        <f t="shared" si="192"/>
        <v>0</v>
      </c>
      <c r="AH477" s="1">
        <f t="shared" si="193"/>
        <v>1</v>
      </c>
      <c r="AI477" s="1">
        <f t="shared" si="194"/>
        <v>0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1979</v>
      </c>
      <c r="G478" s="32" t="s">
        <v>1980</v>
      </c>
      <c r="H478" s="32" t="s">
        <v>352</v>
      </c>
      <c r="I478" s="31" t="s">
        <v>1981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195"/>
        <v>0</v>
      </c>
      <c r="T478" s="1">
        <f t="shared" si="196"/>
        <v>0</v>
      </c>
      <c r="U478" s="1">
        <f t="shared" si="197"/>
        <v>0</v>
      </c>
      <c r="V478" s="1">
        <f t="shared" si="198"/>
        <v>0</v>
      </c>
      <c r="W478" s="1">
        <f t="shared" si="199"/>
        <v>0</v>
      </c>
      <c r="X478" s="1">
        <f t="shared" si="200"/>
        <v>0</v>
      </c>
      <c r="Y478" s="1">
        <f t="shared" si="201"/>
        <v>0</v>
      </c>
      <c r="Z478" s="1">
        <f t="shared" si="202"/>
        <v>0</v>
      </c>
      <c r="AA478" s="1">
        <f t="shared" si="203"/>
        <v>0</v>
      </c>
      <c r="AB478" s="1">
        <f t="shared" si="204"/>
        <v>0</v>
      </c>
      <c r="AD478" s="1">
        <f t="shared" si="205"/>
        <v>1</v>
      </c>
      <c r="AE478" s="1">
        <f t="shared" si="206"/>
        <v>0</v>
      </c>
      <c r="AF478" s="1">
        <f t="shared" si="191"/>
        <v>0</v>
      </c>
      <c r="AG478" s="1">
        <f t="shared" si="192"/>
        <v>0</v>
      </c>
      <c r="AH478" s="1">
        <f t="shared" si="193"/>
        <v>0</v>
      </c>
      <c r="AI478" s="1">
        <f t="shared" si="194"/>
        <v>0</v>
      </c>
    </row>
    <row r="479" spans="1:35" s="1" customFormat="1" ht="14.25" customHeight="1" x14ac:dyDescent="0.25">
      <c r="A479" s="15">
        <v>0</v>
      </c>
      <c r="B479" s="15">
        <v>2</v>
      </c>
      <c r="C479" s="15">
        <v>7</v>
      </c>
      <c r="D479" s="20" t="s">
        <v>1832</v>
      </c>
      <c r="E479" s="16" t="s">
        <v>155</v>
      </c>
      <c r="F479" s="20" t="s">
        <v>1833</v>
      </c>
      <c r="G479" s="20" t="s">
        <v>281</v>
      </c>
      <c r="H479" s="20" t="s">
        <v>352</v>
      </c>
      <c r="I479" s="21" t="s">
        <v>1834</v>
      </c>
      <c r="J479" s="15">
        <v>99</v>
      </c>
      <c r="K479" s="10" t="s">
        <v>699</v>
      </c>
      <c r="L479" s="10" t="s">
        <v>718</v>
      </c>
      <c r="M479" s="19" t="s">
        <v>728</v>
      </c>
      <c r="N479" s="19"/>
      <c r="Q479" s="20"/>
      <c r="S479" s="1">
        <f t="shared" si="195"/>
        <v>0</v>
      </c>
      <c r="T479" s="1">
        <f t="shared" si="196"/>
        <v>0</v>
      </c>
      <c r="U479" s="1">
        <f t="shared" si="197"/>
        <v>0</v>
      </c>
      <c r="V479" s="1">
        <f t="shared" si="198"/>
        <v>0</v>
      </c>
      <c r="W479" s="1">
        <f t="shared" si="199"/>
        <v>0</v>
      </c>
      <c r="X479" s="1">
        <f t="shared" si="200"/>
        <v>0</v>
      </c>
      <c r="Y479" s="1">
        <f t="shared" si="201"/>
        <v>0</v>
      </c>
      <c r="Z479" s="1">
        <f t="shared" si="202"/>
        <v>0</v>
      </c>
      <c r="AA479" s="1">
        <f t="shared" si="203"/>
        <v>0</v>
      </c>
      <c r="AB479" s="1">
        <f t="shared" si="204"/>
        <v>0</v>
      </c>
      <c r="AD479" s="1">
        <f t="shared" si="205"/>
        <v>0</v>
      </c>
      <c r="AE479" s="1">
        <f t="shared" si="206"/>
        <v>0</v>
      </c>
      <c r="AF479" s="1">
        <f t="shared" si="191"/>
        <v>0</v>
      </c>
      <c r="AG479" s="1">
        <f t="shared" si="192"/>
        <v>0</v>
      </c>
      <c r="AH479" s="1">
        <f t="shared" si="193"/>
        <v>0</v>
      </c>
      <c r="AI479" s="1">
        <f t="shared" si="194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60</v>
      </c>
      <c r="E480" s="32" t="s">
        <v>162</v>
      </c>
      <c r="F480" s="32" t="s">
        <v>226</v>
      </c>
      <c r="G480" s="32" t="s">
        <v>189</v>
      </c>
      <c r="H480" s="32" t="s">
        <v>352</v>
      </c>
      <c r="I480" s="31" t="s">
        <v>397</v>
      </c>
      <c r="J480" s="31">
        <v>99</v>
      </c>
      <c r="K480" s="33" t="s">
        <v>709</v>
      </c>
      <c r="L480" s="33" t="s">
        <v>718</v>
      </c>
      <c r="M480" s="34" t="s">
        <v>728</v>
      </c>
      <c r="N480" s="34" t="s">
        <v>1722</v>
      </c>
      <c r="O480" s="35">
        <v>1</v>
      </c>
      <c r="P480" s="35"/>
      <c r="Q480" s="32"/>
      <c r="S480" s="1">
        <f t="shared" si="195"/>
        <v>0</v>
      </c>
      <c r="T480" s="1">
        <f t="shared" si="196"/>
        <v>0</v>
      </c>
      <c r="U480" s="1">
        <f t="shared" si="197"/>
        <v>0</v>
      </c>
      <c r="V480" s="1">
        <f t="shared" si="198"/>
        <v>0</v>
      </c>
      <c r="W480" s="1">
        <f t="shared" si="199"/>
        <v>0</v>
      </c>
      <c r="X480" s="1">
        <f t="shared" si="200"/>
        <v>0</v>
      </c>
      <c r="Y480" s="1">
        <f t="shared" si="201"/>
        <v>0</v>
      </c>
      <c r="Z480" s="1">
        <f t="shared" si="202"/>
        <v>0</v>
      </c>
      <c r="AA480" s="1">
        <f t="shared" si="203"/>
        <v>0</v>
      </c>
      <c r="AB480" s="1">
        <f t="shared" si="204"/>
        <v>0</v>
      </c>
      <c r="AD480" s="1">
        <f t="shared" si="205"/>
        <v>0</v>
      </c>
      <c r="AE480" s="1">
        <f t="shared" si="206"/>
        <v>1</v>
      </c>
      <c r="AF480" s="1">
        <f t="shared" si="191"/>
        <v>0</v>
      </c>
      <c r="AG480" s="1">
        <f t="shared" si="192"/>
        <v>1</v>
      </c>
      <c r="AH480" s="1">
        <f t="shared" si="193"/>
        <v>0</v>
      </c>
      <c r="AI480" s="1">
        <f t="shared" si="194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1309</v>
      </c>
      <c r="E481" s="32" t="s">
        <v>155</v>
      </c>
      <c r="F481" s="32" t="s">
        <v>1127</v>
      </c>
      <c r="G481" s="32" t="s">
        <v>191</v>
      </c>
      <c r="H481" s="32" t="s">
        <v>352</v>
      </c>
      <c r="I481" s="31" t="s">
        <v>1346</v>
      </c>
      <c r="J481" s="31">
        <v>99</v>
      </c>
      <c r="K481" s="33" t="s">
        <v>708</v>
      </c>
      <c r="L481" s="33" t="s">
        <v>39</v>
      </c>
      <c r="M481" s="34" t="s">
        <v>39</v>
      </c>
      <c r="N481" s="34" t="s">
        <v>1701</v>
      </c>
      <c r="O481" s="35">
        <v>1</v>
      </c>
      <c r="P481" s="35">
        <v>1</v>
      </c>
      <c r="Q481" s="32"/>
      <c r="S481" s="1">
        <f t="shared" si="195"/>
        <v>0</v>
      </c>
      <c r="T481" s="1">
        <f t="shared" si="196"/>
        <v>0</v>
      </c>
      <c r="U481" s="1">
        <f t="shared" si="197"/>
        <v>0</v>
      </c>
      <c r="V481" s="1">
        <f t="shared" si="198"/>
        <v>0</v>
      </c>
      <c r="W481" s="1">
        <f t="shared" si="199"/>
        <v>0</v>
      </c>
      <c r="X481" s="1">
        <f t="shared" si="200"/>
        <v>0</v>
      </c>
      <c r="Y481" s="1">
        <f t="shared" si="201"/>
        <v>0</v>
      </c>
      <c r="Z481" s="1">
        <f t="shared" si="202"/>
        <v>0</v>
      </c>
      <c r="AA481" s="1">
        <f t="shared" si="203"/>
        <v>0</v>
      </c>
      <c r="AB481" s="1">
        <f t="shared" si="204"/>
        <v>0</v>
      </c>
      <c r="AD481" s="1">
        <f t="shared" si="205"/>
        <v>1</v>
      </c>
      <c r="AE481" s="1">
        <f t="shared" si="206"/>
        <v>0</v>
      </c>
      <c r="AF481" s="1">
        <f t="shared" si="191"/>
        <v>1</v>
      </c>
      <c r="AG481" s="1">
        <f t="shared" si="192"/>
        <v>0</v>
      </c>
      <c r="AH481" s="1">
        <f t="shared" si="193"/>
        <v>1</v>
      </c>
      <c r="AI481" s="1">
        <f t="shared" si="194"/>
        <v>0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585</v>
      </c>
      <c r="E482" s="32" t="s">
        <v>1317</v>
      </c>
      <c r="F482" s="32" t="s">
        <v>672</v>
      </c>
      <c r="G482" s="32" t="s">
        <v>239</v>
      </c>
      <c r="H482" s="32" t="s">
        <v>352</v>
      </c>
      <c r="I482" s="31" t="s">
        <v>403</v>
      </c>
      <c r="J482" s="31">
        <v>1</v>
      </c>
      <c r="K482" s="33" t="s">
        <v>709</v>
      </c>
      <c r="L482" s="33" t="s">
        <v>1685</v>
      </c>
      <c r="M482" s="34" t="s">
        <v>1414</v>
      </c>
      <c r="N482" s="34" t="s">
        <v>1722</v>
      </c>
      <c r="O482" s="35">
        <v>1</v>
      </c>
      <c r="P482" s="35"/>
      <c r="Q482" s="32"/>
      <c r="S482" s="1">
        <f t="shared" si="195"/>
        <v>1</v>
      </c>
      <c r="T482" s="1">
        <f t="shared" si="196"/>
        <v>0</v>
      </c>
      <c r="U482" s="1">
        <f t="shared" si="197"/>
        <v>0</v>
      </c>
      <c r="V482" s="1">
        <f t="shared" si="198"/>
        <v>0</v>
      </c>
      <c r="W482" s="1">
        <f t="shared" si="199"/>
        <v>0</v>
      </c>
      <c r="X482" s="1">
        <f t="shared" si="200"/>
        <v>0</v>
      </c>
      <c r="Y482" s="1">
        <f t="shared" si="201"/>
        <v>0</v>
      </c>
      <c r="Z482" s="1">
        <f t="shared" si="202"/>
        <v>0</v>
      </c>
      <c r="AA482" s="1">
        <f t="shared" si="203"/>
        <v>0</v>
      </c>
      <c r="AB482" s="1">
        <f t="shared" si="204"/>
        <v>0</v>
      </c>
      <c r="AD482" s="1">
        <f t="shared" si="205"/>
        <v>0</v>
      </c>
      <c r="AE482" s="1">
        <f t="shared" si="206"/>
        <v>1</v>
      </c>
      <c r="AF482" s="1">
        <f t="shared" si="191"/>
        <v>0</v>
      </c>
      <c r="AG482" s="1">
        <f t="shared" si="192"/>
        <v>1</v>
      </c>
      <c r="AH482" s="1">
        <f t="shared" si="193"/>
        <v>0</v>
      </c>
      <c r="AI482" s="1">
        <f t="shared" si="194"/>
        <v>1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238</v>
      </c>
      <c r="G483" s="32" t="s">
        <v>177</v>
      </c>
      <c r="H483" s="32" t="s">
        <v>352</v>
      </c>
      <c r="I483" s="31" t="s">
        <v>402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6" t="s">
        <v>1885</v>
      </c>
      <c r="S483" s="1">
        <f t="shared" si="195"/>
        <v>1</v>
      </c>
      <c r="T483" s="1">
        <f t="shared" si="196"/>
        <v>0</v>
      </c>
      <c r="U483" s="1">
        <f t="shared" si="197"/>
        <v>0</v>
      </c>
      <c r="V483" s="1">
        <f t="shared" si="198"/>
        <v>0</v>
      </c>
      <c r="W483" s="1">
        <f t="shared" si="199"/>
        <v>0</v>
      </c>
      <c r="X483" s="1">
        <f t="shared" si="200"/>
        <v>0</v>
      </c>
      <c r="Y483" s="1">
        <f t="shared" si="201"/>
        <v>0</v>
      </c>
      <c r="Z483" s="1">
        <f t="shared" si="202"/>
        <v>0</v>
      </c>
      <c r="AA483" s="1">
        <f t="shared" si="203"/>
        <v>0</v>
      </c>
      <c r="AB483" s="1">
        <f t="shared" si="204"/>
        <v>0</v>
      </c>
      <c r="AD483" s="1">
        <f t="shared" si="205"/>
        <v>0</v>
      </c>
      <c r="AE483" s="1">
        <f t="shared" si="206"/>
        <v>1</v>
      </c>
      <c r="AF483" s="1">
        <f t="shared" si="191"/>
        <v>0</v>
      </c>
      <c r="AG483" s="1">
        <f t="shared" si="192"/>
        <v>0</v>
      </c>
      <c r="AH483" s="1">
        <f t="shared" si="193"/>
        <v>0</v>
      </c>
      <c r="AI483" s="1">
        <f t="shared" si="194"/>
        <v>0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1310</v>
      </c>
      <c r="E484" s="32" t="s">
        <v>155</v>
      </c>
      <c r="F484" s="32" t="s">
        <v>1334</v>
      </c>
      <c r="G484" s="32" t="s">
        <v>257</v>
      </c>
      <c r="H484" s="32" t="s">
        <v>352</v>
      </c>
      <c r="I484" s="31" t="s">
        <v>1220</v>
      </c>
      <c r="J484" s="31">
        <v>8</v>
      </c>
      <c r="K484" s="33" t="s">
        <v>942</v>
      </c>
      <c r="L484" s="33" t="s">
        <v>718</v>
      </c>
      <c r="M484" s="34" t="s">
        <v>728</v>
      </c>
      <c r="N484" s="34" t="s">
        <v>1722</v>
      </c>
      <c r="O484" s="35">
        <v>1</v>
      </c>
      <c r="P484" s="35"/>
      <c r="Q484" s="32"/>
      <c r="S484" s="1">
        <f t="shared" si="195"/>
        <v>0</v>
      </c>
      <c r="T484" s="1">
        <f t="shared" si="196"/>
        <v>0</v>
      </c>
      <c r="U484" s="1">
        <f t="shared" si="197"/>
        <v>0</v>
      </c>
      <c r="V484" s="1">
        <f t="shared" si="198"/>
        <v>0</v>
      </c>
      <c r="W484" s="1">
        <f t="shared" si="199"/>
        <v>0</v>
      </c>
      <c r="X484" s="1">
        <f t="shared" si="200"/>
        <v>0</v>
      </c>
      <c r="Y484" s="1">
        <f t="shared" si="201"/>
        <v>0</v>
      </c>
      <c r="Z484" s="1">
        <f t="shared" si="202"/>
        <v>1</v>
      </c>
      <c r="AA484" s="1">
        <f t="shared" si="203"/>
        <v>0</v>
      </c>
      <c r="AB484" s="1">
        <f t="shared" si="204"/>
        <v>0</v>
      </c>
      <c r="AD484" s="1">
        <f t="shared" si="205"/>
        <v>0</v>
      </c>
      <c r="AE484" s="1">
        <f t="shared" si="206"/>
        <v>1</v>
      </c>
      <c r="AF484" s="1">
        <f t="shared" si="191"/>
        <v>0</v>
      </c>
      <c r="AG484" s="1">
        <f t="shared" si="192"/>
        <v>1</v>
      </c>
      <c r="AH484" s="1">
        <f t="shared" si="193"/>
        <v>0</v>
      </c>
      <c r="AI484" s="1">
        <f t="shared" si="194"/>
        <v>1</v>
      </c>
    </row>
    <row r="485" spans="1:35" s="1" customFormat="1" ht="14.25" customHeight="1" x14ac:dyDescent="0.25">
      <c r="A485" s="31">
        <v>1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1199</v>
      </c>
      <c r="G485" s="32" t="s">
        <v>217</v>
      </c>
      <c r="H485" s="32" t="s">
        <v>352</v>
      </c>
      <c r="I485" s="31" t="s">
        <v>1220</v>
      </c>
      <c r="J485" s="31">
        <v>99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195"/>
        <v>0</v>
      </c>
      <c r="T485" s="1">
        <f t="shared" si="196"/>
        <v>0</v>
      </c>
      <c r="U485" s="1">
        <f t="shared" si="197"/>
        <v>0</v>
      </c>
      <c r="V485" s="1">
        <f t="shared" si="198"/>
        <v>0</v>
      </c>
      <c r="W485" s="1">
        <f t="shared" si="199"/>
        <v>0</v>
      </c>
      <c r="X485" s="1">
        <f t="shared" si="200"/>
        <v>0</v>
      </c>
      <c r="Y485" s="1">
        <f t="shared" si="201"/>
        <v>0</v>
      </c>
      <c r="Z485" s="1">
        <f t="shared" si="202"/>
        <v>0</v>
      </c>
      <c r="AA485" s="1">
        <f t="shared" si="203"/>
        <v>0</v>
      </c>
      <c r="AB485" s="1">
        <f t="shared" si="204"/>
        <v>0</v>
      </c>
      <c r="AD485" s="1">
        <f t="shared" si="205"/>
        <v>0</v>
      </c>
      <c r="AE485" s="1">
        <f t="shared" si="206"/>
        <v>1</v>
      </c>
      <c r="AF485" s="1">
        <f t="shared" si="191"/>
        <v>0</v>
      </c>
      <c r="AG485" s="1">
        <f t="shared" si="192"/>
        <v>0</v>
      </c>
      <c r="AH485" s="1">
        <f t="shared" si="193"/>
        <v>0</v>
      </c>
      <c r="AI485" s="1">
        <f t="shared" si="194"/>
        <v>0</v>
      </c>
    </row>
    <row r="486" spans="1:35" s="1" customFormat="1" ht="14.25" customHeight="1" x14ac:dyDescent="0.25">
      <c r="A486" s="44">
        <v>0</v>
      </c>
      <c r="B486" s="44">
        <v>2</v>
      </c>
      <c r="C486" s="44">
        <v>7</v>
      </c>
      <c r="D486" s="45" t="s">
        <v>1229</v>
      </c>
      <c r="E486" s="45" t="s">
        <v>155</v>
      </c>
      <c r="F486" s="45" t="s">
        <v>1231</v>
      </c>
      <c r="G486" s="45" t="s">
        <v>219</v>
      </c>
      <c r="H486" s="45" t="s">
        <v>352</v>
      </c>
      <c r="I486" s="44" t="s">
        <v>1347</v>
      </c>
      <c r="J486" s="44">
        <v>8</v>
      </c>
      <c r="K486" s="46" t="s">
        <v>941</v>
      </c>
      <c r="L486" s="46" t="s">
        <v>718</v>
      </c>
      <c r="M486" s="47" t="s">
        <v>728</v>
      </c>
      <c r="N486" s="47" t="s">
        <v>1709</v>
      </c>
      <c r="O486" s="48"/>
      <c r="P486" s="48"/>
      <c r="Q486" s="45"/>
      <c r="S486" s="1">
        <f t="shared" si="195"/>
        <v>0</v>
      </c>
      <c r="T486" s="1">
        <f t="shared" si="196"/>
        <v>0</v>
      </c>
      <c r="U486" s="1">
        <f t="shared" si="197"/>
        <v>0</v>
      </c>
      <c r="V486" s="1">
        <f t="shared" si="198"/>
        <v>0</v>
      </c>
      <c r="W486" s="1">
        <f t="shared" si="199"/>
        <v>0</v>
      </c>
      <c r="X486" s="1">
        <f t="shared" si="200"/>
        <v>0</v>
      </c>
      <c r="Y486" s="1">
        <f t="shared" si="201"/>
        <v>0</v>
      </c>
      <c r="Z486" s="1">
        <f t="shared" si="202"/>
        <v>1</v>
      </c>
      <c r="AA486" s="1">
        <f t="shared" si="203"/>
        <v>0</v>
      </c>
      <c r="AB486" s="1">
        <f t="shared" si="204"/>
        <v>0</v>
      </c>
      <c r="AD486" s="1">
        <f t="shared" si="205"/>
        <v>0</v>
      </c>
      <c r="AE486" s="1">
        <f t="shared" si="206"/>
        <v>0</v>
      </c>
      <c r="AF486" s="1">
        <f t="shared" si="191"/>
        <v>0</v>
      </c>
      <c r="AG486" s="1">
        <f t="shared" si="192"/>
        <v>0</v>
      </c>
      <c r="AH486" s="1">
        <f t="shared" si="193"/>
        <v>0</v>
      </c>
      <c r="AI486" s="1">
        <f t="shared" si="194"/>
        <v>1</v>
      </c>
    </row>
    <row r="487" spans="1:35" s="1" customFormat="1" ht="14.25" customHeight="1" x14ac:dyDescent="0.25">
      <c r="A487" s="44">
        <v>1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1335</v>
      </c>
      <c r="G487" s="45" t="s">
        <v>39</v>
      </c>
      <c r="H487" s="45" t="s">
        <v>353</v>
      </c>
      <c r="I487" s="44" t="s">
        <v>1230</v>
      </c>
      <c r="J487" s="44">
        <v>99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64" t="s">
        <v>1878</v>
      </c>
      <c r="S487" s="1">
        <f t="shared" si="195"/>
        <v>0</v>
      </c>
      <c r="T487" s="1">
        <f t="shared" si="196"/>
        <v>0</v>
      </c>
      <c r="U487" s="1">
        <f t="shared" si="197"/>
        <v>0</v>
      </c>
      <c r="V487" s="1">
        <f t="shared" si="198"/>
        <v>0</v>
      </c>
      <c r="W487" s="1">
        <f t="shared" si="199"/>
        <v>0</v>
      </c>
      <c r="X487" s="1">
        <f t="shared" si="200"/>
        <v>0</v>
      </c>
      <c r="Y487" s="1">
        <f t="shared" si="201"/>
        <v>0</v>
      </c>
      <c r="Z487" s="1">
        <f t="shared" si="202"/>
        <v>0</v>
      </c>
      <c r="AA487" s="1">
        <f t="shared" si="203"/>
        <v>0</v>
      </c>
      <c r="AB487" s="1">
        <f t="shared" si="204"/>
        <v>0</v>
      </c>
      <c r="AD487" s="1">
        <f t="shared" si="205"/>
        <v>0</v>
      </c>
      <c r="AE487" s="1">
        <f t="shared" si="206"/>
        <v>0</v>
      </c>
      <c r="AF487" s="1">
        <f t="shared" si="191"/>
        <v>0</v>
      </c>
      <c r="AG487" s="1">
        <f t="shared" si="192"/>
        <v>0</v>
      </c>
      <c r="AH487" s="1">
        <f t="shared" si="193"/>
        <v>0</v>
      </c>
      <c r="AI487" s="1">
        <f t="shared" si="194"/>
        <v>0</v>
      </c>
    </row>
    <row r="488" spans="1:35" s="1" customFormat="1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1498</v>
      </c>
      <c r="G488" s="45" t="s">
        <v>234</v>
      </c>
      <c r="H488" s="45" t="s">
        <v>352</v>
      </c>
      <c r="I488" s="44" t="s">
        <v>1665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45"/>
      <c r="S488" s="1">
        <f t="shared" si="195"/>
        <v>0</v>
      </c>
      <c r="T488" s="1">
        <f t="shared" si="196"/>
        <v>0</v>
      </c>
      <c r="U488" s="1">
        <f t="shared" si="197"/>
        <v>0</v>
      </c>
      <c r="V488" s="1">
        <f t="shared" si="198"/>
        <v>0</v>
      </c>
      <c r="W488" s="1">
        <f t="shared" si="199"/>
        <v>0</v>
      </c>
      <c r="X488" s="1">
        <f t="shared" si="200"/>
        <v>0</v>
      </c>
      <c r="Y488" s="1">
        <f t="shared" si="201"/>
        <v>0</v>
      </c>
      <c r="Z488" s="1">
        <f t="shared" si="202"/>
        <v>0</v>
      </c>
      <c r="AA488" s="1">
        <f t="shared" si="203"/>
        <v>0</v>
      </c>
      <c r="AB488" s="1">
        <f t="shared" si="204"/>
        <v>0</v>
      </c>
      <c r="AD488" s="1">
        <f t="shared" si="205"/>
        <v>0</v>
      </c>
      <c r="AE488" s="1">
        <f t="shared" si="206"/>
        <v>0</v>
      </c>
      <c r="AF488" s="1">
        <f t="shared" si="191"/>
        <v>0</v>
      </c>
      <c r="AG488" s="1">
        <f t="shared" si="192"/>
        <v>0</v>
      </c>
      <c r="AH488" s="1">
        <f t="shared" si="193"/>
        <v>0</v>
      </c>
      <c r="AI488" s="1">
        <f t="shared" si="194"/>
        <v>0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1824</v>
      </c>
      <c r="E489" s="32" t="s">
        <v>1825</v>
      </c>
      <c r="F489" s="32" t="s">
        <v>1826</v>
      </c>
      <c r="G489" s="32" t="s">
        <v>264</v>
      </c>
      <c r="H489" s="32" t="s">
        <v>352</v>
      </c>
      <c r="I489" s="31" t="s">
        <v>1827</v>
      </c>
      <c r="J489" s="31">
        <v>99</v>
      </c>
      <c r="K489" s="33" t="s">
        <v>699</v>
      </c>
      <c r="L489" s="33"/>
      <c r="M489" s="34"/>
      <c r="N489" s="34" t="s">
        <v>1701</v>
      </c>
      <c r="O489" s="35">
        <v>1</v>
      </c>
      <c r="P489" s="35">
        <v>1</v>
      </c>
      <c r="Q489" s="32"/>
      <c r="S489" s="1">
        <f t="shared" si="195"/>
        <v>0</v>
      </c>
      <c r="T489" s="1">
        <f t="shared" si="196"/>
        <v>0</v>
      </c>
      <c r="U489" s="1">
        <f t="shared" si="197"/>
        <v>0</v>
      </c>
      <c r="V489" s="1">
        <f t="shared" si="198"/>
        <v>0</v>
      </c>
      <c r="W489" s="1">
        <f t="shared" si="199"/>
        <v>0</v>
      </c>
      <c r="X489" s="1">
        <f t="shared" si="200"/>
        <v>0</v>
      </c>
      <c r="Y489" s="1">
        <f t="shared" si="201"/>
        <v>0</v>
      </c>
      <c r="Z489" s="1">
        <f t="shared" si="202"/>
        <v>0</v>
      </c>
      <c r="AA489" s="1">
        <f t="shared" si="203"/>
        <v>0</v>
      </c>
      <c r="AB489" s="1">
        <f t="shared" si="204"/>
        <v>0</v>
      </c>
      <c r="AD489" s="1">
        <f t="shared" si="205"/>
        <v>1</v>
      </c>
      <c r="AE489" s="1">
        <f t="shared" si="206"/>
        <v>0</v>
      </c>
      <c r="AF489" s="1">
        <f t="shared" si="191"/>
        <v>1</v>
      </c>
      <c r="AG489" s="1">
        <f t="shared" si="192"/>
        <v>0</v>
      </c>
      <c r="AH489" s="1">
        <f t="shared" si="193"/>
        <v>1</v>
      </c>
      <c r="AI489" s="1">
        <f t="shared" si="194"/>
        <v>0</v>
      </c>
    </row>
    <row r="490" spans="1:35" s="1" customFormat="1" ht="14.25" customHeight="1" x14ac:dyDescent="0.25">
      <c r="A490" s="44">
        <v>0</v>
      </c>
      <c r="B490" s="44">
        <v>2</v>
      </c>
      <c r="C490" s="44">
        <v>7</v>
      </c>
      <c r="D490" s="45" t="s">
        <v>1224</v>
      </c>
      <c r="E490" s="45" t="s">
        <v>28</v>
      </c>
      <c r="F490" s="45" t="s">
        <v>1217</v>
      </c>
      <c r="G490" s="45" t="s">
        <v>1218</v>
      </c>
      <c r="H490" s="45" t="s">
        <v>352</v>
      </c>
      <c r="I490" s="44" t="s">
        <v>1219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1709</v>
      </c>
      <c r="O490" s="48"/>
      <c r="P490" s="48"/>
      <c r="Q490" s="45"/>
      <c r="S490" s="1">
        <f t="shared" si="195"/>
        <v>0</v>
      </c>
      <c r="T490" s="1">
        <f t="shared" si="196"/>
        <v>0</v>
      </c>
      <c r="U490" s="1">
        <f t="shared" si="197"/>
        <v>0</v>
      </c>
      <c r="V490" s="1">
        <f t="shared" si="198"/>
        <v>0</v>
      </c>
      <c r="W490" s="1">
        <f t="shared" si="199"/>
        <v>0</v>
      </c>
      <c r="X490" s="1">
        <f t="shared" si="200"/>
        <v>0</v>
      </c>
      <c r="Y490" s="1">
        <f t="shared" si="201"/>
        <v>0</v>
      </c>
      <c r="Z490" s="1">
        <f t="shared" si="202"/>
        <v>0</v>
      </c>
      <c r="AA490" s="1">
        <f t="shared" si="203"/>
        <v>0</v>
      </c>
      <c r="AB490" s="1">
        <f t="shared" si="204"/>
        <v>0</v>
      </c>
      <c r="AD490" s="1">
        <f t="shared" si="205"/>
        <v>0</v>
      </c>
      <c r="AE490" s="1">
        <f t="shared" si="206"/>
        <v>0</v>
      </c>
      <c r="AF490" s="1">
        <f t="shared" si="191"/>
        <v>0</v>
      </c>
      <c r="AG490" s="1">
        <f t="shared" si="192"/>
        <v>0</v>
      </c>
      <c r="AH490" s="1">
        <f t="shared" si="193"/>
        <v>0</v>
      </c>
      <c r="AI490" s="1">
        <f t="shared" si="194"/>
        <v>1</v>
      </c>
    </row>
    <row r="491" spans="1:35" s="1" customFormat="1" ht="14.25" customHeight="1" x14ac:dyDescent="0.25">
      <c r="A491" s="44">
        <v>1</v>
      </c>
      <c r="B491" s="44">
        <v>2</v>
      </c>
      <c r="C491" s="44">
        <v>7</v>
      </c>
      <c r="D491" s="45" t="s">
        <v>1221</v>
      </c>
      <c r="E491" s="45" t="s">
        <v>28</v>
      </c>
      <c r="F491" s="45" t="s">
        <v>1222</v>
      </c>
      <c r="G491" s="45" t="s">
        <v>519</v>
      </c>
      <c r="H491" s="45" t="s">
        <v>352</v>
      </c>
      <c r="I491" s="44" t="s">
        <v>1223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195"/>
        <v>0</v>
      </c>
      <c r="T491" s="1">
        <f t="shared" si="196"/>
        <v>0</v>
      </c>
      <c r="U491" s="1">
        <f t="shared" si="197"/>
        <v>0</v>
      </c>
      <c r="V491" s="1">
        <f t="shared" si="198"/>
        <v>0</v>
      </c>
      <c r="W491" s="1">
        <f t="shared" si="199"/>
        <v>0</v>
      </c>
      <c r="X491" s="1">
        <f t="shared" si="200"/>
        <v>0</v>
      </c>
      <c r="Y491" s="1">
        <f t="shared" si="201"/>
        <v>0</v>
      </c>
      <c r="Z491" s="1">
        <f t="shared" si="202"/>
        <v>0</v>
      </c>
      <c r="AA491" s="1">
        <f t="shared" si="203"/>
        <v>0</v>
      </c>
      <c r="AB491" s="1">
        <f t="shared" si="204"/>
        <v>0</v>
      </c>
      <c r="AD491" s="1">
        <f t="shared" si="205"/>
        <v>0</v>
      </c>
      <c r="AE491" s="1">
        <f t="shared" si="206"/>
        <v>0</v>
      </c>
      <c r="AF491" s="1">
        <f t="shared" si="191"/>
        <v>0</v>
      </c>
      <c r="AG491" s="1">
        <f t="shared" si="192"/>
        <v>0</v>
      </c>
      <c r="AH491" s="1">
        <f t="shared" si="193"/>
        <v>0</v>
      </c>
      <c r="AI491" s="1">
        <f t="shared" si="194"/>
        <v>0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1820</v>
      </c>
      <c r="E492" s="32" t="s">
        <v>1152</v>
      </c>
      <c r="F492" s="32" t="s">
        <v>1821</v>
      </c>
      <c r="G492" s="32"/>
      <c r="H492" s="32" t="s">
        <v>352</v>
      </c>
      <c r="I492" s="31" t="s">
        <v>1822</v>
      </c>
      <c r="J492" s="31">
        <v>6</v>
      </c>
      <c r="K492" s="33" t="s">
        <v>699</v>
      </c>
      <c r="L492" s="33"/>
      <c r="M492" s="34"/>
      <c r="N492" s="34" t="s">
        <v>1722</v>
      </c>
      <c r="O492" s="35">
        <v>1</v>
      </c>
      <c r="P492" s="35"/>
      <c r="Q492" s="32"/>
      <c r="S492" s="1">
        <f t="shared" si="195"/>
        <v>0</v>
      </c>
      <c r="T492" s="1">
        <f t="shared" si="196"/>
        <v>0</v>
      </c>
      <c r="U492" s="1">
        <f t="shared" si="197"/>
        <v>0</v>
      </c>
      <c r="V492" s="1">
        <f t="shared" si="198"/>
        <v>0</v>
      </c>
      <c r="W492" s="1">
        <f t="shared" si="199"/>
        <v>0</v>
      </c>
      <c r="X492" s="1">
        <f t="shared" si="200"/>
        <v>1</v>
      </c>
      <c r="Y492" s="1">
        <f t="shared" si="201"/>
        <v>0</v>
      </c>
      <c r="Z492" s="1">
        <f t="shared" si="202"/>
        <v>0</v>
      </c>
      <c r="AA492" s="1">
        <f t="shared" si="203"/>
        <v>0</v>
      </c>
      <c r="AB492" s="1">
        <f t="shared" si="204"/>
        <v>0</v>
      </c>
      <c r="AD492" s="1">
        <f t="shared" si="205"/>
        <v>0</v>
      </c>
      <c r="AE492" s="1">
        <f t="shared" si="206"/>
        <v>1</v>
      </c>
      <c r="AF492" s="1">
        <f t="shared" si="191"/>
        <v>0</v>
      </c>
      <c r="AG492" s="1">
        <f t="shared" si="192"/>
        <v>1</v>
      </c>
      <c r="AH492" s="1">
        <f t="shared" si="193"/>
        <v>0</v>
      </c>
      <c r="AI492" s="1">
        <f t="shared" si="194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1433</v>
      </c>
      <c r="E493" s="32" t="s">
        <v>28</v>
      </c>
      <c r="F493" s="32" t="s">
        <v>1434</v>
      </c>
      <c r="G493" s="32" t="s">
        <v>1435</v>
      </c>
      <c r="H493" s="32" t="s">
        <v>352</v>
      </c>
      <c r="I493" s="31" t="s">
        <v>1436</v>
      </c>
      <c r="J493" s="31">
        <v>99</v>
      </c>
      <c r="K493" s="33" t="s">
        <v>708</v>
      </c>
      <c r="L493" s="33" t="s">
        <v>709</v>
      </c>
      <c r="M493" s="34" t="s">
        <v>727</v>
      </c>
      <c r="N493" s="34" t="s">
        <v>1717</v>
      </c>
      <c r="O493" s="35">
        <v>1</v>
      </c>
      <c r="P493" s="35"/>
      <c r="Q493" s="32" t="s">
        <v>1905</v>
      </c>
      <c r="S493" s="1">
        <f t="shared" si="195"/>
        <v>0</v>
      </c>
      <c r="T493" s="1">
        <f t="shared" si="196"/>
        <v>0</v>
      </c>
      <c r="U493" s="1">
        <f t="shared" si="197"/>
        <v>0</v>
      </c>
      <c r="V493" s="1">
        <f t="shared" si="198"/>
        <v>0</v>
      </c>
      <c r="W493" s="1">
        <f t="shared" si="199"/>
        <v>0</v>
      </c>
      <c r="X493" s="1">
        <f t="shared" si="200"/>
        <v>0</v>
      </c>
      <c r="Y493" s="1">
        <f t="shared" si="201"/>
        <v>0</v>
      </c>
      <c r="Z493" s="1">
        <f t="shared" si="202"/>
        <v>0</v>
      </c>
      <c r="AA493" s="1">
        <f t="shared" si="203"/>
        <v>0</v>
      </c>
      <c r="AB493" s="1">
        <f t="shared" si="204"/>
        <v>0</v>
      </c>
      <c r="AD493" s="1">
        <f t="shared" si="205"/>
        <v>0</v>
      </c>
      <c r="AE493" s="1">
        <f t="shared" si="206"/>
        <v>1</v>
      </c>
      <c r="AF493" s="1">
        <f t="shared" si="191"/>
        <v>0</v>
      </c>
      <c r="AG493" s="1">
        <f t="shared" si="192"/>
        <v>1</v>
      </c>
      <c r="AH493" s="1">
        <f t="shared" si="193"/>
        <v>0</v>
      </c>
      <c r="AI493" s="1">
        <f t="shared" si="194"/>
        <v>1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571</v>
      </c>
      <c r="G494" s="32" t="s">
        <v>234</v>
      </c>
      <c r="H494" s="32" t="s">
        <v>352</v>
      </c>
      <c r="I494" s="31" t="s">
        <v>578</v>
      </c>
      <c r="J494" s="31">
        <v>99</v>
      </c>
      <c r="K494" s="33" t="s">
        <v>708</v>
      </c>
      <c r="L494" s="33" t="s">
        <v>725</v>
      </c>
      <c r="M494" s="34" t="s">
        <v>1415</v>
      </c>
      <c r="N494" s="34" t="s">
        <v>1722</v>
      </c>
      <c r="O494" s="35">
        <v>1</v>
      </c>
      <c r="P494" s="35"/>
      <c r="Q494" s="32"/>
      <c r="S494" s="1">
        <f t="shared" si="195"/>
        <v>0</v>
      </c>
      <c r="T494" s="1">
        <f t="shared" si="196"/>
        <v>0</v>
      </c>
      <c r="U494" s="1">
        <f t="shared" si="197"/>
        <v>0</v>
      </c>
      <c r="V494" s="1">
        <f t="shared" si="198"/>
        <v>0</v>
      </c>
      <c r="W494" s="1">
        <f t="shared" si="199"/>
        <v>0</v>
      </c>
      <c r="X494" s="1">
        <f t="shared" si="200"/>
        <v>0</v>
      </c>
      <c r="Y494" s="1">
        <f t="shared" si="201"/>
        <v>0</v>
      </c>
      <c r="Z494" s="1">
        <f t="shared" si="202"/>
        <v>0</v>
      </c>
      <c r="AA494" s="1">
        <f t="shared" si="203"/>
        <v>0</v>
      </c>
      <c r="AB494" s="1">
        <f t="shared" si="204"/>
        <v>0</v>
      </c>
      <c r="AD494" s="1">
        <f t="shared" si="205"/>
        <v>0</v>
      </c>
      <c r="AE494" s="1">
        <f t="shared" si="206"/>
        <v>1</v>
      </c>
      <c r="AF494" s="1">
        <f t="shared" si="191"/>
        <v>0</v>
      </c>
      <c r="AG494" s="1">
        <f t="shared" si="192"/>
        <v>1</v>
      </c>
      <c r="AH494" s="1">
        <f t="shared" si="193"/>
        <v>0</v>
      </c>
      <c r="AI494" s="1">
        <f t="shared" si="194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270</v>
      </c>
      <c r="G495" s="32" t="s">
        <v>179</v>
      </c>
      <c r="H495" s="32" t="s">
        <v>352</v>
      </c>
      <c r="I495" s="31" t="s">
        <v>424</v>
      </c>
      <c r="J495" s="31">
        <v>10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195"/>
        <v>0</v>
      </c>
      <c r="T495" s="1">
        <f t="shared" si="196"/>
        <v>0</v>
      </c>
      <c r="U495" s="1">
        <f t="shared" si="197"/>
        <v>0</v>
      </c>
      <c r="V495" s="1">
        <f t="shared" si="198"/>
        <v>0</v>
      </c>
      <c r="W495" s="1">
        <f t="shared" si="199"/>
        <v>0</v>
      </c>
      <c r="X495" s="1">
        <f t="shared" si="200"/>
        <v>0</v>
      </c>
      <c r="Y495" s="1">
        <f t="shared" si="201"/>
        <v>0</v>
      </c>
      <c r="Z495" s="1">
        <f t="shared" si="202"/>
        <v>0</v>
      </c>
      <c r="AA495" s="1">
        <f t="shared" si="203"/>
        <v>0</v>
      </c>
      <c r="AB495" s="1">
        <f t="shared" si="204"/>
        <v>1</v>
      </c>
      <c r="AD495" s="1">
        <f t="shared" si="205"/>
        <v>0</v>
      </c>
      <c r="AE495" s="1">
        <f t="shared" si="206"/>
        <v>1</v>
      </c>
      <c r="AF495" s="1">
        <f t="shared" si="191"/>
        <v>0</v>
      </c>
      <c r="AG495" s="1">
        <f t="shared" si="192"/>
        <v>0</v>
      </c>
      <c r="AH495" s="1">
        <f t="shared" si="193"/>
        <v>0</v>
      </c>
      <c r="AI495" s="1">
        <f t="shared" si="194"/>
        <v>0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271</v>
      </c>
      <c r="G496" s="32" t="s">
        <v>39</v>
      </c>
      <c r="H496" s="32" t="s">
        <v>352</v>
      </c>
      <c r="I496" s="31" t="s">
        <v>425</v>
      </c>
      <c r="J496" s="31">
        <v>5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195"/>
        <v>0</v>
      </c>
      <c r="T496" s="1">
        <f t="shared" si="196"/>
        <v>0</v>
      </c>
      <c r="U496" s="1">
        <f t="shared" si="197"/>
        <v>0</v>
      </c>
      <c r="V496" s="1">
        <f t="shared" si="198"/>
        <v>0</v>
      </c>
      <c r="W496" s="1">
        <f t="shared" si="199"/>
        <v>1</v>
      </c>
      <c r="X496" s="1">
        <f t="shared" si="200"/>
        <v>0</v>
      </c>
      <c r="Y496" s="1">
        <f t="shared" si="201"/>
        <v>0</v>
      </c>
      <c r="Z496" s="1">
        <f t="shared" si="202"/>
        <v>0</v>
      </c>
      <c r="AA496" s="1">
        <f t="shared" si="203"/>
        <v>0</v>
      </c>
      <c r="AB496" s="1">
        <f t="shared" si="204"/>
        <v>0</v>
      </c>
      <c r="AD496" s="1">
        <f t="shared" si="205"/>
        <v>0</v>
      </c>
      <c r="AE496" s="1">
        <f t="shared" si="206"/>
        <v>1</v>
      </c>
      <c r="AF496" s="1">
        <f t="shared" si="191"/>
        <v>0</v>
      </c>
      <c r="AG496" s="1">
        <f t="shared" si="192"/>
        <v>0</v>
      </c>
      <c r="AH496" s="1">
        <f t="shared" si="193"/>
        <v>0</v>
      </c>
      <c r="AI496" s="1">
        <f t="shared" si="194"/>
        <v>0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275</v>
      </c>
      <c r="G497" s="32" t="s">
        <v>193</v>
      </c>
      <c r="H497" s="32" t="s">
        <v>352</v>
      </c>
      <c r="I497" s="31" t="s">
        <v>429</v>
      </c>
      <c r="J497" s="31">
        <v>9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195"/>
        <v>0</v>
      </c>
      <c r="T497" s="1">
        <f t="shared" si="196"/>
        <v>0</v>
      </c>
      <c r="U497" s="1">
        <f t="shared" si="197"/>
        <v>0</v>
      </c>
      <c r="V497" s="1">
        <f t="shared" si="198"/>
        <v>0</v>
      </c>
      <c r="W497" s="1">
        <f t="shared" si="199"/>
        <v>0</v>
      </c>
      <c r="X497" s="1">
        <f t="shared" si="200"/>
        <v>0</v>
      </c>
      <c r="Y497" s="1">
        <f t="shared" si="201"/>
        <v>0</v>
      </c>
      <c r="Z497" s="1">
        <f t="shared" si="202"/>
        <v>0</v>
      </c>
      <c r="AA497" s="1">
        <f t="shared" si="203"/>
        <v>1</v>
      </c>
      <c r="AB497" s="1">
        <f t="shared" si="204"/>
        <v>0</v>
      </c>
      <c r="AD497" s="1">
        <f t="shared" si="205"/>
        <v>0</v>
      </c>
      <c r="AE497" s="1">
        <f t="shared" si="206"/>
        <v>1</v>
      </c>
      <c r="AF497" s="1">
        <f t="shared" si="191"/>
        <v>0</v>
      </c>
      <c r="AG497" s="1">
        <f t="shared" si="192"/>
        <v>0</v>
      </c>
      <c r="AH497" s="1">
        <f t="shared" si="193"/>
        <v>0</v>
      </c>
      <c r="AI497" s="1">
        <f t="shared" si="194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1535</v>
      </c>
      <c r="E498" s="32" t="s">
        <v>28</v>
      </c>
      <c r="F498" s="32" t="s">
        <v>1536</v>
      </c>
      <c r="G498" s="32" t="s">
        <v>237</v>
      </c>
      <c r="H498" s="32" t="s">
        <v>352</v>
      </c>
      <c r="I498" s="31" t="s">
        <v>1669</v>
      </c>
      <c r="J498" s="31">
        <v>4</v>
      </c>
      <c r="K498" s="33" t="s">
        <v>709</v>
      </c>
      <c r="L498" s="33" t="s">
        <v>709</v>
      </c>
      <c r="M498" s="34" t="s">
        <v>727</v>
      </c>
      <c r="N498" s="34" t="s">
        <v>1717</v>
      </c>
      <c r="O498" s="35">
        <v>1</v>
      </c>
      <c r="P498" s="35"/>
      <c r="Q498" s="32"/>
      <c r="S498" s="1">
        <f t="shared" si="195"/>
        <v>0</v>
      </c>
      <c r="T498" s="1">
        <f t="shared" si="196"/>
        <v>0</v>
      </c>
      <c r="U498" s="1">
        <f t="shared" si="197"/>
        <v>0</v>
      </c>
      <c r="V498" s="1">
        <f t="shared" si="198"/>
        <v>1</v>
      </c>
      <c r="W498" s="1">
        <f t="shared" si="199"/>
        <v>0</v>
      </c>
      <c r="X498" s="1">
        <f t="shared" si="200"/>
        <v>0</v>
      </c>
      <c r="Y498" s="1">
        <f t="shared" si="201"/>
        <v>0</v>
      </c>
      <c r="Z498" s="1">
        <f t="shared" si="202"/>
        <v>0</v>
      </c>
      <c r="AA498" s="1">
        <f t="shared" si="203"/>
        <v>0</v>
      </c>
      <c r="AB498" s="1">
        <f t="shared" si="204"/>
        <v>0</v>
      </c>
      <c r="AD498" s="1">
        <f t="shared" si="205"/>
        <v>0</v>
      </c>
      <c r="AE498" s="1">
        <f t="shared" si="206"/>
        <v>1</v>
      </c>
      <c r="AF498" s="1">
        <f t="shared" si="191"/>
        <v>0</v>
      </c>
      <c r="AG498" s="1">
        <f t="shared" si="192"/>
        <v>1</v>
      </c>
      <c r="AH498" s="1">
        <f t="shared" si="193"/>
        <v>0</v>
      </c>
      <c r="AI498" s="1">
        <f t="shared" si="194"/>
        <v>1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63</v>
      </c>
      <c r="E499" s="32" t="s">
        <v>44</v>
      </c>
      <c r="F499" s="32" t="s">
        <v>235</v>
      </c>
      <c r="G499" s="32" t="s">
        <v>199</v>
      </c>
      <c r="H499" s="32" t="s">
        <v>352</v>
      </c>
      <c r="I499" s="31" t="s">
        <v>400</v>
      </c>
      <c r="J499" s="31">
        <v>2</v>
      </c>
      <c r="K499" s="33" t="s">
        <v>709</v>
      </c>
      <c r="L499" s="33" t="s">
        <v>718</v>
      </c>
      <c r="M499" s="34" t="s">
        <v>731</v>
      </c>
      <c r="N499" s="34" t="s">
        <v>1717</v>
      </c>
      <c r="O499" s="35">
        <v>1</v>
      </c>
      <c r="P499" s="35"/>
      <c r="Q499" s="32"/>
      <c r="S499" s="1">
        <f t="shared" si="195"/>
        <v>0</v>
      </c>
      <c r="T499" s="1">
        <f t="shared" si="196"/>
        <v>1</v>
      </c>
      <c r="U499" s="1">
        <f t="shared" si="197"/>
        <v>0</v>
      </c>
      <c r="V499" s="1">
        <f t="shared" si="198"/>
        <v>0</v>
      </c>
      <c r="W499" s="1">
        <f t="shared" si="199"/>
        <v>0</v>
      </c>
      <c r="X499" s="1">
        <f t="shared" si="200"/>
        <v>0</v>
      </c>
      <c r="Y499" s="1">
        <f t="shared" si="201"/>
        <v>0</v>
      </c>
      <c r="Z499" s="1">
        <f t="shared" si="202"/>
        <v>0</v>
      </c>
      <c r="AA499" s="1">
        <f t="shared" si="203"/>
        <v>0</v>
      </c>
      <c r="AB499" s="1">
        <f t="shared" si="204"/>
        <v>0</v>
      </c>
      <c r="AD499" s="1">
        <f t="shared" si="205"/>
        <v>0</v>
      </c>
      <c r="AE499" s="1">
        <f t="shared" si="206"/>
        <v>1</v>
      </c>
      <c r="AF499" s="1">
        <f t="shared" si="191"/>
        <v>0</v>
      </c>
      <c r="AG499" s="1">
        <f t="shared" si="192"/>
        <v>1</v>
      </c>
      <c r="AH499" s="1">
        <f t="shared" si="193"/>
        <v>0</v>
      </c>
      <c r="AI499" s="1">
        <f t="shared" si="194"/>
        <v>1</v>
      </c>
    </row>
    <row r="500" spans="1:35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9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9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7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7"/>
      <c r="N798" s="17"/>
      <c r="Q798" s="16"/>
    </row>
  </sheetData>
  <autoFilter ref="A7:Q499" xr:uid="{AEE30112-88BB-441D-AEFC-A7A733AB1798}">
    <sortState xmlns:xlrd2="http://schemas.microsoft.com/office/spreadsheetml/2017/richdata2" ref="A8:Q499">
      <sortCondition ref="B8:B499"/>
      <sortCondition ref="C8:C499"/>
      <sortCondition ref="D8:D499"/>
      <sortCondition ref="A8:A499"/>
    </sortState>
  </autoFilter>
  <sortState xmlns:xlrd2="http://schemas.microsoft.com/office/spreadsheetml/2017/richdata2" ref="A8:Q499">
    <sortCondition ref="B8:B499"/>
    <sortCondition ref="C8:C499"/>
    <sortCondition ref="D8:D499"/>
    <sortCondition ref="A8:A49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2026-08-29T09:16:56Z</dcterms:modified>
</cp:coreProperties>
</file>