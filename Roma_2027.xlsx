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C112F6C-4826-4DD7-BE71-188B99CF362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golose'!$A$7:$Q$499</definedName>
    <definedName name="_xlnm.Print_Area" localSheetId="0">'Tavole e pause golose'!$D$7:$I$184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4" i="6" l="1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3" i="6" l="1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108" i="6"/>
  <c r="T124" i="6"/>
  <c r="T132" i="6"/>
  <c r="T101" i="6"/>
  <c r="T117" i="6"/>
  <c r="T141" i="6"/>
  <c r="T145" i="6"/>
  <c r="T110" i="6"/>
  <c r="T129" i="6"/>
  <c r="T161" i="6"/>
  <c r="T103" i="6"/>
  <c r="T119" i="6"/>
  <c r="T137" i="6"/>
  <c r="T112" i="6"/>
  <c r="T126" i="6"/>
  <c r="T134" i="6"/>
  <c r="T105" i="6"/>
  <c r="T121" i="6"/>
  <c r="T140" i="6"/>
  <c r="T144" i="6"/>
  <c r="T148" i="6"/>
  <c r="T152" i="6"/>
  <c r="T156" i="6"/>
  <c r="T160" i="6"/>
  <c r="T98" i="6"/>
  <c r="T114" i="6"/>
  <c r="T131" i="6"/>
  <c r="T107" i="6"/>
  <c r="T123" i="6"/>
  <c r="T100" i="6"/>
  <c r="T116" i="6"/>
  <c r="T128" i="6"/>
  <c r="T136" i="6"/>
  <c r="T109" i="6"/>
  <c r="T139" i="6"/>
  <c r="T143" i="6"/>
  <c r="T147" i="6"/>
  <c r="T151" i="6"/>
  <c r="T155" i="6"/>
  <c r="T159" i="6"/>
  <c r="T102" i="6"/>
  <c r="T118" i="6"/>
  <c r="T125" i="6"/>
  <c r="T133" i="6"/>
  <c r="T111" i="6"/>
  <c r="T104" i="6"/>
  <c r="T120" i="6"/>
  <c r="T130" i="6"/>
  <c r="T163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113" i="6"/>
  <c r="T142" i="6"/>
  <c r="T146" i="6"/>
  <c r="T150" i="6"/>
  <c r="T154" i="6"/>
  <c r="T158" i="6"/>
  <c r="T10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115" i="6"/>
  <c r="T122" i="6"/>
  <c r="T135" i="6"/>
  <c r="T162" i="6"/>
  <c r="T127" i="6"/>
  <c r="T138" i="6"/>
  <c r="T99" i="6"/>
  <c r="T15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153" i="6"/>
  <c r="T149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375" i="6"/>
  <c r="T374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419" i="6"/>
  <c r="T418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02" i="6" l="1"/>
  <c r="U199" i="6"/>
  <c r="U200" i="6"/>
  <c r="U201" i="6"/>
  <c r="U13" i="6"/>
  <c r="U14" i="6"/>
  <c r="U15" i="6"/>
  <c r="U16" i="6"/>
  <c r="U17" i="6"/>
  <c r="U18" i="6"/>
  <c r="U19" i="6"/>
  <c r="U20" i="6"/>
  <c r="U21" i="6"/>
  <c r="U22" i="6"/>
  <c r="U52" i="6"/>
  <c r="U60" i="6"/>
  <c r="U68" i="6"/>
  <c r="U76" i="6"/>
  <c r="U84" i="6"/>
  <c r="U44" i="6"/>
  <c r="U96" i="6"/>
  <c r="U49" i="6"/>
  <c r="U57" i="6"/>
  <c r="U65" i="6"/>
  <c r="U73" i="6"/>
  <c r="U81" i="6"/>
  <c r="U89" i="6"/>
  <c r="U95" i="6"/>
  <c r="U46" i="6"/>
  <c r="U54" i="6"/>
  <c r="U62" i="6"/>
  <c r="U70" i="6"/>
  <c r="U78" i="6"/>
  <c r="U86" i="6"/>
  <c r="U94" i="6"/>
  <c r="U51" i="6"/>
  <c r="U59" i="6"/>
  <c r="U67" i="6"/>
  <c r="U75" i="6"/>
  <c r="U83" i="6"/>
  <c r="U23" i="6"/>
  <c r="U25" i="6"/>
  <c r="U27" i="6"/>
  <c r="U29" i="6"/>
  <c r="U31" i="6"/>
  <c r="U33" i="6"/>
  <c r="U35" i="6"/>
  <c r="U37" i="6"/>
  <c r="U39" i="6"/>
  <c r="U41" i="6"/>
  <c r="U93" i="6"/>
  <c r="U43" i="6"/>
  <c r="U48" i="6"/>
  <c r="U56" i="6"/>
  <c r="U64" i="6"/>
  <c r="U72" i="6"/>
  <c r="U80" i="6"/>
  <c r="U88" i="6"/>
  <c r="U92" i="6"/>
  <c r="U45" i="6"/>
  <c r="U53" i="6"/>
  <c r="U61" i="6"/>
  <c r="U69" i="6"/>
  <c r="U77" i="6"/>
  <c r="U85" i="6"/>
  <c r="U91" i="6"/>
  <c r="U50" i="6"/>
  <c r="U58" i="6"/>
  <c r="U66" i="6"/>
  <c r="U74" i="6"/>
  <c r="U82" i="6"/>
  <c r="U90" i="6"/>
  <c r="U87" i="6"/>
  <c r="U99" i="6"/>
  <c r="U115" i="6"/>
  <c r="U162" i="6"/>
  <c r="U108" i="6"/>
  <c r="U124" i="6"/>
  <c r="U132" i="6"/>
  <c r="U101" i="6"/>
  <c r="U117" i="6"/>
  <c r="U141" i="6"/>
  <c r="U145" i="6"/>
  <c r="U149" i="6"/>
  <c r="U153" i="6"/>
  <c r="U157" i="6"/>
  <c r="U110" i="6"/>
  <c r="U129" i="6"/>
  <c r="U161" i="6"/>
  <c r="U55" i="6"/>
  <c r="U103" i="6"/>
  <c r="U119" i="6"/>
  <c r="U137" i="6"/>
  <c r="U42" i="6"/>
  <c r="U79" i="6"/>
  <c r="U112" i="6"/>
  <c r="U126" i="6"/>
  <c r="U134" i="6"/>
  <c r="U40" i="6"/>
  <c r="U105" i="6"/>
  <c r="U121" i="6"/>
  <c r="U140" i="6"/>
  <c r="U144" i="6"/>
  <c r="U148" i="6"/>
  <c r="U152" i="6"/>
  <c r="U156" i="6"/>
  <c r="U160" i="6"/>
  <c r="U38" i="6"/>
  <c r="U98" i="6"/>
  <c r="U114" i="6"/>
  <c r="U131" i="6"/>
  <c r="U36" i="6"/>
  <c r="U107" i="6"/>
  <c r="U123" i="6"/>
  <c r="U34" i="6"/>
  <c r="U47" i="6"/>
  <c r="U100" i="6"/>
  <c r="U116" i="6"/>
  <c r="U128" i="6"/>
  <c r="U136" i="6"/>
  <c r="U32" i="6"/>
  <c r="U71" i="6"/>
  <c r="U109" i="6"/>
  <c r="U139" i="6"/>
  <c r="U143" i="6"/>
  <c r="U147" i="6"/>
  <c r="U151" i="6"/>
  <c r="U155" i="6"/>
  <c r="U159" i="6"/>
  <c r="U30" i="6"/>
  <c r="U102" i="6"/>
  <c r="U118" i="6"/>
  <c r="U125" i="6"/>
  <c r="U133" i="6"/>
  <c r="U28" i="6"/>
  <c r="U111" i="6"/>
  <c r="U26" i="6"/>
  <c r="U104" i="6"/>
  <c r="U120" i="6"/>
  <c r="U130" i="6"/>
  <c r="U163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63" i="6"/>
  <c r="U106" i="6"/>
  <c r="U237" i="6"/>
  <c r="U238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4" i="6"/>
  <c r="U295" i="6"/>
  <c r="U296" i="6"/>
  <c r="U113" i="6"/>
  <c r="U122" i="6"/>
  <c r="U135" i="6"/>
  <c r="U146" i="6"/>
  <c r="U150" i="6"/>
  <c r="U154" i="6"/>
  <c r="U158" i="6"/>
  <c r="U142" i="6"/>
  <c r="U127" i="6"/>
  <c r="U138" i="6"/>
  <c r="U24" i="6"/>
  <c r="U297" i="6"/>
  <c r="U298" i="6"/>
  <c r="U299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97" i="6"/>
  <c r="U355" i="6"/>
  <c r="U371" i="6"/>
  <c r="U360" i="6"/>
  <c r="U365" i="6"/>
  <c r="U370" i="6"/>
  <c r="U351" i="6"/>
  <c r="U359" i="6"/>
  <c r="U354" i="6"/>
  <c r="U364" i="6"/>
  <c r="U369" i="6"/>
  <c r="U366" i="6"/>
  <c r="U358" i="6"/>
  <c r="U36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350" i="6"/>
  <c r="U368" i="6"/>
  <c r="U353" i="6"/>
  <c r="U357" i="6"/>
  <c r="U373" i="6"/>
  <c r="U362" i="6"/>
  <c r="U367" i="6"/>
  <c r="U356" i="6"/>
  <c r="U372" i="6"/>
  <c r="U361" i="6"/>
  <c r="U352" i="6"/>
  <c r="U484" i="6"/>
  <c r="U488" i="6"/>
  <c r="U490" i="6"/>
  <c r="U492" i="6"/>
  <c r="U494" i="6"/>
  <c r="U495" i="6"/>
  <c r="U496" i="6"/>
  <c r="U498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5" i="6"/>
  <c r="U486" i="6"/>
  <c r="U487" i="6"/>
  <c r="U489" i="6"/>
  <c r="U491" i="6"/>
  <c r="U493" i="6"/>
  <c r="U497" i="6"/>
  <c r="U499" i="6"/>
  <c r="V7" i="6"/>
  <c r="U9" i="6"/>
  <c r="U11" i="6"/>
  <c r="U10" i="6"/>
  <c r="U8" i="6"/>
  <c r="U12" i="6"/>
  <c r="F5" i="6"/>
  <c r="G5" i="6"/>
  <c r="E5" i="6"/>
  <c r="H4" i="6"/>
  <c r="H3" i="6"/>
  <c r="T5" i="6"/>
  <c r="V199" i="6" l="1"/>
  <c r="V200" i="6"/>
  <c r="V201" i="6"/>
  <c r="V20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96" i="6"/>
  <c r="V95" i="6"/>
  <c r="V94" i="6"/>
  <c r="V93" i="6"/>
  <c r="V92" i="6"/>
  <c r="V91" i="6"/>
  <c r="V161" i="6"/>
  <c r="V90" i="6"/>
  <c r="V160" i="6"/>
  <c r="V232" i="6"/>
  <c r="V178" i="6"/>
  <c r="V186" i="6"/>
  <c r="V194" i="6"/>
  <c r="V203" i="6"/>
  <c r="V211" i="6"/>
  <c r="V219" i="6"/>
  <c r="V175" i="6"/>
  <c r="V183" i="6"/>
  <c r="V191" i="6"/>
  <c r="V208" i="6"/>
  <c r="V216" i="6"/>
  <c r="V224" i="6"/>
  <c r="V231" i="6"/>
  <c r="V237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27" i="6"/>
  <c r="V236" i="6"/>
  <c r="V172" i="6"/>
  <c r="V180" i="6"/>
  <c r="V188" i="6"/>
  <c r="V196" i="6"/>
  <c r="V205" i="6"/>
  <c r="V213" i="6"/>
  <c r="V162" i="6"/>
  <c r="V177" i="6"/>
  <c r="V185" i="6"/>
  <c r="V193" i="6"/>
  <c r="V210" i="6"/>
  <c r="V218" i="6"/>
  <c r="V230" i="6"/>
  <c r="V235" i="6"/>
  <c r="V174" i="6"/>
  <c r="V182" i="6"/>
  <c r="V190" i="6"/>
  <c r="V198" i="6"/>
  <c r="V207" i="6"/>
  <c r="V215" i="6"/>
  <c r="V223" i="6"/>
  <c r="V226" i="6"/>
  <c r="V234" i="6"/>
  <c r="V171" i="6"/>
  <c r="V179" i="6"/>
  <c r="V187" i="6"/>
  <c r="V195" i="6"/>
  <c r="V204" i="6"/>
  <c r="V212" i="6"/>
  <c r="V220" i="6"/>
  <c r="V229" i="6"/>
  <c r="V176" i="6"/>
  <c r="V184" i="6"/>
  <c r="V192" i="6"/>
  <c r="V225" i="6"/>
  <c r="V173" i="6"/>
  <c r="V228" i="6"/>
  <c r="V292" i="6"/>
  <c r="V289" i="6"/>
  <c r="V295" i="6"/>
  <c r="V222" i="6"/>
  <c r="V286" i="6"/>
  <c r="V189" i="6"/>
  <c r="V214" i="6"/>
  <c r="V294" i="6"/>
  <c r="V288" i="6"/>
  <c r="V206" i="6"/>
  <c r="V233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181" i="6"/>
  <c r="V221" i="6"/>
  <c r="V217" i="6"/>
  <c r="V290" i="6"/>
  <c r="V293" i="6"/>
  <c r="V296" i="6"/>
  <c r="V197" i="6"/>
  <c r="V209" i="6"/>
  <c r="V291" i="6"/>
  <c r="V287" i="6"/>
  <c r="V374" i="6"/>
  <c r="V375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163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12" i="6"/>
  <c r="V9" i="6"/>
  <c r="W7" i="6"/>
  <c r="V10" i="6"/>
  <c r="V11" i="6"/>
  <c r="V8" i="6"/>
  <c r="U5" i="6"/>
  <c r="H5" i="6"/>
  <c r="W199" i="6" l="1"/>
  <c r="W200" i="6"/>
  <c r="W201" i="6"/>
  <c r="W20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89" i="6"/>
  <c r="W96" i="6"/>
  <c r="W95" i="6"/>
  <c r="W94" i="6"/>
  <c r="W93" i="6"/>
  <c r="W92" i="6"/>
  <c r="W91" i="6"/>
  <c r="W90" i="6"/>
  <c r="W173" i="6"/>
  <c r="W181" i="6"/>
  <c r="W189" i="6"/>
  <c r="W197" i="6"/>
  <c r="W206" i="6"/>
  <c r="W214" i="6"/>
  <c r="W222" i="6"/>
  <c r="W228" i="6"/>
  <c r="W232" i="6"/>
  <c r="W178" i="6"/>
  <c r="W186" i="6"/>
  <c r="W194" i="6"/>
  <c r="W203" i="6"/>
  <c r="W211" i="6"/>
  <c r="W219" i="6"/>
  <c r="W175" i="6"/>
  <c r="W183" i="6"/>
  <c r="W191" i="6"/>
  <c r="W208" i="6"/>
  <c r="W216" i="6"/>
  <c r="W224" i="6"/>
  <c r="W231" i="6"/>
  <c r="W237" i="6"/>
  <c r="W238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172" i="6"/>
  <c r="W180" i="6"/>
  <c r="W188" i="6"/>
  <c r="W196" i="6"/>
  <c r="W205" i="6"/>
  <c r="W213" i="6"/>
  <c r="W221" i="6"/>
  <c r="W177" i="6"/>
  <c r="W185" i="6"/>
  <c r="W193" i="6"/>
  <c r="W210" i="6"/>
  <c r="W218" i="6"/>
  <c r="W230" i="6"/>
  <c r="W235" i="6"/>
  <c r="W174" i="6"/>
  <c r="W182" i="6"/>
  <c r="W190" i="6"/>
  <c r="W198" i="6"/>
  <c r="W207" i="6"/>
  <c r="W215" i="6"/>
  <c r="W223" i="6"/>
  <c r="W226" i="6"/>
  <c r="W234" i="6"/>
  <c r="W171" i="6"/>
  <c r="W179" i="6"/>
  <c r="W187" i="6"/>
  <c r="W195" i="6"/>
  <c r="W204" i="6"/>
  <c r="W212" i="6"/>
  <c r="W220" i="6"/>
  <c r="W229" i="6"/>
  <c r="W176" i="6"/>
  <c r="W184" i="6"/>
  <c r="W192" i="6"/>
  <c r="W209" i="6"/>
  <c r="W217" i="6"/>
  <c r="W233" i="6"/>
  <c r="W236" i="6"/>
  <c r="W292" i="6"/>
  <c r="W295" i="6"/>
  <c r="W291" i="6"/>
  <c r="W294" i="6"/>
  <c r="W227" i="6"/>
  <c r="W225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293" i="6"/>
  <c r="W352" i="6"/>
  <c r="W366" i="6"/>
  <c r="W355" i="6"/>
  <c r="W371" i="6"/>
  <c r="W360" i="6"/>
  <c r="W365" i="6"/>
  <c r="W370" i="6"/>
  <c r="W351" i="6"/>
  <c r="W359" i="6"/>
  <c r="W354" i="6"/>
  <c r="W364" i="6"/>
  <c r="W369" i="6"/>
  <c r="W296" i="6"/>
  <c r="W358" i="6"/>
  <c r="W363" i="6"/>
  <c r="W350" i="6"/>
  <c r="W368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353" i="6"/>
  <c r="W357" i="6"/>
  <c r="W373" i="6"/>
  <c r="W362" i="6"/>
  <c r="W367" i="6"/>
  <c r="W356" i="6"/>
  <c r="W372" i="6"/>
  <c r="W361" i="6"/>
  <c r="W484" i="6"/>
  <c r="W487" i="6"/>
  <c r="W489" i="6"/>
  <c r="W491" i="6"/>
  <c r="W492" i="6"/>
  <c r="W494" i="6"/>
  <c r="W496" i="6"/>
  <c r="W497" i="6"/>
  <c r="W499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5" i="6"/>
  <c r="W486" i="6"/>
  <c r="W488" i="6"/>
  <c r="W490" i="6"/>
  <c r="W493" i="6"/>
  <c r="W495" i="6"/>
  <c r="W498" i="6"/>
  <c r="W12" i="6"/>
  <c r="W8" i="6"/>
  <c r="V5" i="6"/>
  <c r="X7" i="6"/>
  <c r="W10" i="6"/>
  <c r="W9" i="6"/>
  <c r="W11" i="6"/>
  <c r="X199" i="6" l="1"/>
  <c r="X200" i="6"/>
  <c r="X201" i="6"/>
  <c r="X20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96" i="6"/>
  <c r="X95" i="6"/>
  <c r="X94" i="6"/>
  <c r="X93" i="6"/>
  <c r="X92" i="6"/>
  <c r="X91" i="6"/>
  <c r="X127" i="6"/>
  <c r="X135" i="6"/>
  <c r="X138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124" i="6"/>
  <c r="X132" i="6"/>
  <c r="X162" i="6"/>
  <c r="X141" i="6"/>
  <c r="X145" i="6"/>
  <c r="X149" i="6"/>
  <c r="X153" i="6"/>
  <c r="X157" i="6"/>
  <c r="X129" i="6"/>
  <c r="X137" i="6"/>
  <c r="X161" i="6"/>
  <c r="X126" i="6"/>
  <c r="X134" i="6"/>
  <c r="X140" i="6"/>
  <c r="X144" i="6"/>
  <c r="X148" i="6"/>
  <c r="X152" i="6"/>
  <c r="X156" i="6"/>
  <c r="X131" i="6"/>
  <c r="X160" i="6"/>
  <c r="X128" i="6"/>
  <c r="X136" i="6"/>
  <c r="X139" i="6"/>
  <c r="X143" i="6"/>
  <c r="X147" i="6"/>
  <c r="X151" i="6"/>
  <c r="X155" i="6"/>
  <c r="X159" i="6"/>
  <c r="X125" i="6"/>
  <c r="X133" i="6"/>
  <c r="X130" i="6"/>
  <c r="X163" i="6"/>
  <c r="X225" i="6"/>
  <c r="X228" i="6"/>
  <c r="X232" i="6"/>
  <c r="X227" i="6"/>
  <c r="X236" i="6"/>
  <c r="X146" i="6"/>
  <c r="X150" i="6"/>
  <c r="X154" i="6"/>
  <c r="X158" i="6"/>
  <c r="X230" i="6"/>
  <c r="X235" i="6"/>
  <c r="X142" i="6"/>
  <c r="X226" i="6"/>
  <c r="X234" i="6"/>
  <c r="X224" i="6"/>
  <c r="X238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9" i="6"/>
  <c r="X292" i="6"/>
  <c r="X295" i="6"/>
  <c r="X286" i="6"/>
  <c r="X291" i="6"/>
  <c r="X229" i="6"/>
  <c r="X231" i="6"/>
  <c r="X288" i="6"/>
  <c r="X294" i="6"/>
  <c r="X233" i="6"/>
  <c r="X237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97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290" i="6"/>
  <c r="X287" i="6"/>
  <c r="X296" i="6"/>
  <c r="X361" i="6"/>
  <c r="X366" i="6"/>
  <c r="X293" i="6"/>
  <c r="X355" i="6"/>
  <c r="X371" i="6"/>
  <c r="X360" i="6"/>
  <c r="X365" i="6"/>
  <c r="X370" i="6"/>
  <c r="X359" i="6"/>
  <c r="X364" i="6"/>
  <c r="X369" i="6"/>
  <c r="X358" i="6"/>
  <c r="X363" i="6"/>
  <c r="X368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357" i="6"/>
  <c r="X373" i="6"/>
  <c r="X362" i="6"/>
  <c r="X367" i="6"/>
  <c r="X356" i="6"/>
  <c r="X372" i="6"/>
  <c r="X49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8" i="6"/>
  <c r="X499" i="6"/>
  <c r="W5" i="6"/>
  <c r="X10" i="6"/>
  <c r="Y7" i="6"/>
  <c r="X9" i="6"/>
  <c r="X11" i="6"/>
  <c r="X12" i="6"/>
  <c r="X8" i="6"/>
  <c r="Y199" i="6" l="1"/>
  <c r="Y200" i="6"/>
  <c r="Y201" i="6"/>
  <c r="Y20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0" i="6"/>
  <c r="Y68" i="6"/>
  <c r="Y76" i="6"/>
  <c r="Y84" i="6"/>
  <c r="Y90" i="6"/>
  <c r="Y44" i="6"/>
  <c r="Y49" i="6"/>
  <c r="Y57" i="6"/>
  <c r="Y65" i="6"/>
  <c r="Y73" i="6"/>
  <c r="Y81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89" i="6"/>
  <c r="Y46" i="6"/>
  <c r="Y54" i="6"/>
  <c r="Y62" i="6"/>
  <c r="Y70" i="6"/>
  <c r="Y78" i="6"/>
  <c r="Y86" i="6"/>
  <c r="Y96" i="6"/>
  <c r="Y51" i="6"/>
  <c r="Y59" i="6"/>
  <c r="Y67" i="6"/>
  <c r="Y75" i="6"/>
  <c r="Y83" i="6"/>
  <c r="Y95" i="6"/>
  <c r="Y43" i="6"/>
  <c r="Y48" i="6"/>
  <c r="Y56" i="6"/>
  <c r="Y64" i="6"/>
  <c r="Y72" i="6"/>
  <c r="Y80" i="6"/>
  <c r="Y88" i="6"/>
  <c r="Y94" i="6"/>
  <c r="Y45" i="6"/>
  <c r="Y53" i="6"/>
  <c r="Y61" i="6"/>
  <c r="Y69" i="6"/>
  <c r="Y77" i="6"/>
  <c r="Y85" i="6"/>
  <c r="Y93" i="6"/>
  <c r="Y50" i="6"/>
  <c r="Y58" i="6"/>
  <c r="Y66" i="6"/>
  <c r="Y74" i="6"/>
  <c r="Y82" i="6"/>
  <c r="Y92" i="6"/>
  <c r="Y63" i="6"/>
  <c r="Y142" i="6"/>
  <c r="Y146" i="6"/>
  <c r="Y150" i="6"/>
  <c r="Y154" i="6"/>
  <c r="Y158" i="6"/>
  <c r="Y163" i="6"/>
  <c r="Y87" i="6"/>
  <c r="Y91" i="6"/>
  <c r="Y162" i="6"/>
  <c r="Y141" i="6"/>
  <c r="Y145" i="6"/>
  <c r="Y149" i="6"/>
  <c r="Y153" i="6"/>
  <c r="Y157" i="6"/>
  <c r="Y55" i="6"/>
  <c r="Y79" i="6"/>
  <c r="Y161" i="6"/>
  <c r="Y140" i="6"/>
  <c r="Y144" i="6"/>
  <c r="Y148" i="6"/>
  <c r="Y152" i="6"/>
  <c r="Y156" i="6"/>
  <c r="Y160" i="6"/>
  <c r="Y47" i="6"/>
  <c r="Y71" i="6"/>
  <c r="Y139" i="6"/>
  <c r="Y143" i="6"/>
  <c r="Y147" i="6"/>
  <c r="Y151" i="6"/>
  <c r="Y155" i="6"/>
  <c r="Y159" i="6"/>
  <c r="Y233" i="6"/>
  <c r="Y173" i="6"/>
  <c r="Y181" i="6"/>
  <c r="Y189" i="6"/>
  <c r="Y197" i="6"/>
  <c r="Y206" i="6"/>
  <c r="Y214" i="6"/>
  <c r="Y222" i="6"/>
  <c r="Y225" i="6"/>
  <c r="Y228" i="6"/>
  <c r="Y178" i="6"/>
  <c r="Y186" i="6"/>
  <c r="Y194" i="6"/>
  <c r="Y203" i="6"/>
  <c r="Y211" i="6"/>
  <c r="Y219" i="6"/>
  <c r="Y232" i="6"/>
  <c r="Y175" i="6"/>
  <c r="Y183" i="6"/>
  <c r="Y191" i="6"/>
  <c r="Y208" i="6"/>
  <c r="Y224" i="6"/>
  <c r="Y231" i="6"/>
  <c r="Y237" i="6"/>
  <c r="Y238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172" i="6"/>
  <c r="Y180" i="6"/>
  <c r="Y188" i="6"/>
  <c r="Y196" i="6"/>
  <c r="Y205" i="6"/>
  <c r="Y213" i="6"/>
  <c r="Y221" i="6"/>
  <c r="Y227" i="6"/>
  <c r="Y236" i="6"/>
  <c r="Y177" i="6"/>
  <c r="Y185" i="6"/>
  <c r="Y193" i="6"/>
  <c r="Y210" i="6"/>
  <c r="Y218" i="6"/>
  <c r="Y230" i="6"/>
  <c r="Y235" i="6"/>
  <c r="Y174" i="6"/>
  <c r="Y182" i="6"/>
  <c r="Y190" i="6"/>
  <c r="Y198" i="6"/>
  <c r="Y207" i="6"/>
  <c r="Y215" i="6"/>
  <c r="Y223" i="6"/>
  <c r="Y226" i="6"/>
  <c r="Y171" i="6"/>
  <c r="Y179" i="6"/>
  <c r="Y187" i="6"/>
  <c r="Y195" i="6"/>
  <c r="Y204" i="6"/>
  <c r="Y229" i="6"/>
  <c r="Y184" i="6"/>
  <c r="Y234" i="6"/>
  <c r="Y220" i="6"/>
  <c r="Y216" i="6"/>
  <c r="Y212" i="6"/>
  <c r="Y176" i="6"/>
  <c r="Y192" i="6"/>
  <c r="Y297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217" i="6"/>
  <c r="Y209" i="6"/>
  <c r="Y356" i="6"/>
  <c r="Y372" i="6"/>
  <c r="Y361" i="6"/>
  <c r="Y366" i="6"/>
  <c r="Y367" i="6"/>
  <c r="Y355" i="6"/>
  <c r="Y371" i="6"/>
  <c r="Y360" i="6"/>
  <c r="Y365" i="6"/>
  <c r="Y370" i="6"/>
  <c r="Y359" i="6"/>
  <c r="Y364" i="6"/>
  <c r="Y369" i="6"/>
  <c r="Y358" i="6"/>
  <c r="Y363" i="6"/>
  <c r="Y368" i="6"/>
  <c r="Y374" i="6"/>
  <c r="Y375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357" i="6"/>
  <c r="Y373" i="6"/>
  <c r="Y362" i="6"/>
  <c r="Y418" i="6"/>
  <c r="Y419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12" i="6"/>
  <c r="Y9" i="6"/>
  <c r="Y8" i="6"/>
  <c r="Y10" i="6"/>
  <c r="Y11" i="6"/>
  <c r="Z7" i="6"/>
  <c r="X5" i="6"/>
  <c r="Z199" i="6" l="1"/>
  <c r="Z200" i="6"/>
  <c r="Z201" i="6"/>
  <c r="Z20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1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96" i="6"/>
  <c r="Z95" i="6"/>
  <c r="Z94" i="6"/>
  <c r="Z93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92" i="6"/>
  <c r="Z233" i="6"/>
  <c r="Z228" i="6"/>
  <c r="Z232" i="6"/>
  <c r="Z231" i="6"/>
  <c r="Z237" i="6"/>
  <c r="Z238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36" i="6"/>
  <c r="Z230" i="6"/>
  <c r="Z235" i="6"/>
  <c r="Z234" i="6"/>
  <c r="Z284" i="6"/>
  <c r="Z289" i="6"/>
  <c r="Z292" i="6"/>
  <c r="Z295" i="6"/>
  <c r="Z291" i="6"/>
  <c r="Z229" i="6"/>
  <c r="Z288" i="6"/>
  <c r="Z294" i="6"/>
  <c r="Z285" i="6"/>
  <c r="Z297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293" i="6"/>
  <c r="Z367" i="6"/>
  <c r="Z362" i="6"/>
  <c r="Z352" i="6"/>
  <c r="Z356" i="6"/>
  <c r="Z372" i="6"/>
  <c r="Z361" i="6"/>
  <c r="Z366" i="6"/>
  <c r="Z355" i="6"/>
  <c r="Z371" i="6"/>
  <c r="Z287" i="6"/>
  <c r="Z360" i="6"/>
  <c r="Z351" i="6"/>
  <c r="Z365" i="6"/>
  <c r="Z406" i="6"/>
  <c r="Z354" i="6"/>
  <c r="Z370" i="6"/>
  <c r="Z409" i="6"/>
  <c r="Z359" i="6"/>
  <c r="Z404" i="6"/>
  <c r="Z296" i="6"/>
  <c r="Z364" i="6"/>
  <c r="Z407" i="6"/>
  <c r="Z369" i="6"/>
  <c r="Z403" i="6"/>
  <c r="Z290" i="6"/>
  <c r="Z350" i="6"/>
  <c r="Z358" i="6"/>
  <c r="Z400" i="6"/>
  <c r="Z286" i="6"/>
  <c r="Z353" i="6"/>
  <c r="Z363" i="6"/>
  <c r="Z401" i="6"/>
  <c r="Z368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2" i="6"/>
  <c r="Z405" i="6"/>
  <c r="Z408" i="6"/>
  <c r="Z410" i="6"/>
  <c r="Z411" i="6"/>
  <c r="Z412" i="6"/>
  <c r="Z413" i="6"/>
  <c r="Z414" i="6"/>
  <c r="Z415" i="6"/>
  <c r="Z416" i="6"/>
  <c r="Z417" i="6"/>
  <c r="Z357" i="6"/>
  <c r="Z373" i="6"/>
  <c r="Z418" i="6"/>
  <c r="Z419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12" i="6"/>
  <c r="Z8" i="6"/>
  <c r="Y5" i="6"/>
  <c r="AA7" i="6"/>
  <c r="Z10" i="6"/>
  <c r="Z9" i="6"/>
  <c r="Z11" i="6"/>
  <c r="AA199" i="6" l="1"/>
  <c r="AA200" i="6"/>
  <c r="AA201" i="6"/>
  <c r="AA20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5" i="6"/>
  <c r="AA63" i="6"/>
  <c r="AA71" i="6"/>
  <c r="AA79" i="6"/>
  <c r="AA87" i="6"/>
  <c r="AA91" i="6"/>
  <c r="AA52" i="6"/>
  <c r="AA60" i="6"/>
  <c r="AA68" i="6"/>
  <c r="AA76" i="6"/>
  <c r="AA84" i="6"/>
  <c r="AA90" i="6"/>
  <c r="AA49" i="6"/>
  <c r="AA57" i="6"/>
  <c r="AA65" i="6"/>
  <c r="AA73" i="6"/>
  <c r="AA81" i="6"/>
  <c r="AA89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46" i="6"/>
  <c r="AA54" i="6"/>
  <c r="AA62" i="6"/>
  <c r="AA70" i="6"/>
  <c r="AA78" i="6"/>
  <c r="AA86" i="6"/>
  <c r="AA96" i="6"/>
  <c r="AA51" i="6"/>
  <c r="AA59" i="6"/>
  <c r="AA67" i="6"/>
  <c r="AA75" i="6"/>
  <c r="AA83" i="6"/>
  <c r="AA95" i="6"/>
  <c r="AA48" i="6"/>
  <c r="AA56" i="6"/>
  <c r="AA64" i="6"/>
  <c r="AA72" i="6"/>
  <c r="AA80" i="6"/>
  <c r="AA88" i="6"/>
  <c r="AA94" i="6"/>
  <c r="AA45" i="6"/>
  <c r="AA53" i="6"/>
  <c r="AA61" i="6"/>
  <c r="AA69" i="6"/>
  <c r="AA77" i="6"/>
  <c r="AA85" i="6"/>
  <c r="AA93" i="6"/>
  <c r="AA50" i="6"/>
  <c r="AA74" i="6"/>
  <c r="AA138" i="6"/>
  <c r="AA142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162" i="6"/>
  <c r="AA141" i="6"/>
  <c r="AA145" i="6"/>
  <c r="AA149" i="6"/>
  <c r="AA153" i="6"/>
  <c r="AA157" i="6"/>
  <c r="AA66" i="6"/>
  <c r="AA137" i="6"/>
  <c r="AA161" i="6"/>
  <c r="AA140" i="6"/>
  <c r="AA144" i="6"/>
  <c r="AA148" i="6"/>
  <c r="AA152" i="6"/>
  <c r="AA156" i="6"/>
  <c r="AA92" i="6"/>
  <c r="AA160" i="6"/>
  <c r="AA58" i="6"/>
  <c r="AA136" i="6"/>
  <c r="AA82" i="6"/>
  <c r="AA139" i="6"/>
  <c r="AA143" i="6"/>
  <c r="AA147" i="6"/>
  <c r="AA151" i="6"/>
  <c r="AA155" i="6"/>
  <c r="AA159" i="6"/>
  <c r="AA163" i="6"/>
  <c r="AA233" i="6"/>
  <c r="AA231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146" i="6"/>
  <c r="AA150" i="6"/>
  <c r="AA154" i="6"/>
  <c r="AA158" i="6"/>
  <c r="AA236" i="6"/>
  <c r="AA235" i="6"/>
  <c r="AA232" i="6"/>
  <c r="AA234" i="6"/>
  <c r="AA362" i="6"/>
  <c r="AA297" i="6"/>
  <c r="AA299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3" i="6"/>
  <c r="AA335" i="6"/>
  <c r="AA337" i="6"/>
  <c r="AA339" i="6"/>
  <c r="AA341" i="6"/>
  <c r="AA343" i="6"/>
  <c r="AA345" i="6"/>
  <c r="AA347" i="6"/>
  <c r="AA349" i="6"/>
  <c r="AA367" i="6"/>
  <c r="AA352" i="6"/>
  <c r="AA356" i="6"/>
  <c r="AA372" i="6"/>
  <c r="AA361" i="6"/>
  <c r="AA366" i="6"/>
  <c r="AA355" i="6"/>
  <c r="AA371" i="6"/>
  <c r="AA360" i="6"/>
  <c r="AA357" i="6"/>
  <c r="AA373" i="6"/>
  <c r="AA351" i="6"/>
  <c r="AA365" i="6"/>
  <c r="AA354" i="6"/>
  <c r="AA370" i="6"/>
  <c r="AA298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2" i="6"/>
  <c r="AA334" i="6"/>
  <c r="AA336" i="6"/>
  <c r="AA338" i="6"/>
  <c r="AA340" i="6"/>
  <c r="AA342" i="6"/>
  <c r="AA344" i="6"/>
  <c r="AA346" i="6"/>
  <c r="AA348" i="6"/>
  <c r="AA359" i="6"/>
  <c r="AA364" i="6"/>
  <c r="AA369" i="6"/>
  <c r="AA350" i="6"/>
  <c r="AA358" i="6"/>
  <c r="AA353" i="6"/>
  <c r="AA363" i="6"/>
  <c r="AA368" i="6"/>
  <c r="AA374" i="6"/>
  <c r="AA375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83" i="6"/>
  <c r="AA487" i="6"/>
  <c r="AA491" i="6"/>
  <c r="AA493" i="6"/>
  <c r="AA495" i="6"/>
  <c r="AA497" i="6"/>
  <c r="AA499" i="6"/>
  <c r="AA484" i="6"/>
  <c r="AA488" i="6"/>
  <c r="AA490" i="6"/>
  <c r="AA492" i="6"/>
  <c r="AA494" i="6"/>
  <c r="AA498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5" i="6"/>
  <c r="AA486" i="6"/>
  <c r="AA489" i="6"/>
  <c r="AA496" i="6"/>
  <c r="AA11" i="6"/>
  <c r="Z5" i="6"/>
  <c r="AA8" i="6"/>
  <c r="AA10" i="6"/>
  <c r="AA12" i="6"/>
  <c r="AA9" i="6"/>
  <c r="AB7" i="6"/>
  <c r="AB199" i="6" l="1"/>
  <c r="AB200" i="6"/>
  <c r="AB201" i="6"/>
  <c r="AB20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80" i="6"/>
  <c r="AB387" i="6"/>
  <c r="AB392" i="6"/>
  <c r="AB396" i="6"/>
  <c r="AB400" i="6"/>
  <c r="AB404" i="6"/>
  <c r="AB409" i="6"/>
  <c r="AB414" i="6"/>
  <c r="AB417" i="6"/>
  <c r="AB385" i="6"/>
  <c r="AB411" i="6"/>
  <c r="AB376" i="6"/>
  <c r="AB379" i="6"/>
  <c r="AB382" i="6"/>
  <c r="AB384" i="6"/>
  <c r="AB388" i="6"/>
  <c r="AB393" i="6"/>
  <c r="AB397" i="6"/>
  <c r="AB401" i="6"/>
  <c r="AB405" i="6"/>
  <c r="AB410" i="6"/>
  <c r="AB415" i="6"/>
  <c r="AB377" i="6"/>
  <c r="AB395" i="6"/>
  <c r="AB403" i="6"/>
  <c r="AB407" i="6"/>
  <c r="AB412" i="6"/>
  <c r="AB375" i="6"/>
  <c r="AB391" i="6"/>
  <c r="AB399" i="6"/>
  <c r="AB406" i="6"/>
  <c r="AB413" i="6"/>
  <c r="AB389" i="6"/>
  <c r="AB374" i="6"/>
  <c r="AB378" i="6"/>
  <c r="AB381" i="6"/>
  <c r="AB383" i="6"/>
  <c r="AB386" i="6"/>
  <c r="AB390" i="6"/>
  <c r="AB394" i="6"/>
  <c r="AB398" i="6"/>
  <c r="AB402" i="6"/>
  <c r="AB408" i="6"/>
  <c r="AB416" i="6"/>
  <c r="AB493" i="6"/>
  <c r="AB497" i="6"/>
  <c r="AB491" i="6"/>
  <c r="AB495" i="6"/>
  <c r="AB498" i="6"/>
  <c r="AB499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2" i="6"/>
  <c r="AB494" i="6"/>
  <c r="AB496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<sst xmlns="http://schemas.openxmlformats.org/spreadsheetml/2006/main" count="4790" uniqueCount="2103">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</sst>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8"/>
  <sheetViews>
    <sheetView tabSelected="1" zoomScaleNormal="100" workbookViewId="0">
      <pane ySplit="7" topLeftCell="A146" activePane="bottomLeft" state="frozen"/>
      <selection pane="bottomLeft" activeCell="A4" sqref="A4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124</v>
      </c>
      <c r="F3" s="5">
        <f>+AD6</f>
        <v>117</v>
      </c>
      <c r="G3" s="5">
        <f>+AF6</f>
        <v>112</v>
      </c>
      <c r="H3" s="5">
        <f>+E3-G3</f>
        <v>12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203</v>
      </c>
      <c r="G4" s="7">
        <f>+AG6</f>
        <v>184</v>
      </c>
      <c r="H4" s="5">
        <f>+E4-G4</f>
        <v>145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453</v>
      </c>
      <c r="F5" s="8">
        <f>+F3+F4</f>
        <v>320</v>
      </c>
      <c r="G5" s="8">
        <f>+G3+G4</f>
        <v>296</v>
      </c>
      <c r="H5" s="8">
        <f>+H3+H4</f>
        <v>157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SUM(S8:S2441)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SUM(AD8:AD1710)</f>
        <v>117</v>
      </c>
      <c r="AE6" s="1">
        <f t="shared" si="1"/>
        <v>203</v>
      </c>
      <c r="AF6" s="1">
        <f t="shared" si="1"/>
        <v>112</v>
      </c>
      <c r="AG6" s="1">
        <f t="shared" si="1"/>
        <v>184</v>
      </c>
      <c r="AH6" s="1">
        <f t="shared" si="1"/>
        <v>124</v>
      </c>
      <c r="AI6" s="1">
        <f t="shared" si="1"/>
        <v>329</v>
      </c>
    </row>
    <row r="7" spans="1:35" s="69" customFormat="1" ht="14.25" customHeight="1" x14ac:dyDescent="0.25">
      <c r="A7" s="27" t="s">
        <v>1355</v>
      </c>
      <c r="B7" s="27" t="s">
        <v>1356</v>
      </c>
      <c r="C7" s="27" t="s">
        <v>1357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1358</v>
      </c>
      <c r="K7" s="27" t="s">
        <v>1617</v>
      </c>
      <c r="L7" s="27" t="s">
        <v>17</v>
      </c>
      <c r="M7" s="29" t="s">
        <v>1359</v>
      </c>
      <c r="N7" s="28" t="s">
        <v>0</v>
      </c>
      <c r="O7" s="18" t="s">
        <v>1</v>
      </c>
      <c r="P7" s="18" t="s">
        <v>2</v>
      </c>
      <c r="Q7" s="29" t="s">
        <v>1865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1727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1575</v>
      </c>
      <c r="E9" s="32" t="s">
        <v>170</v>
      </c>
      <c r="F9" s="32" t="s">
        <v>1525</v>
      </c>
      <c r="G9" s="32" t="s">
        <v>39</v>
      </c>
      <c r="H9" s="32" t="s">
        <v>361</v>
      </c>
      <c r="I9" s="31" t="s">
        <v>1526</v>
      </c>
      <c r="J9" s="31">
        <v>99</v>
      </c>
      <c r="K9" s="33" t="s">
        <v>951</v>
      </c>
      <c r="L9" s="33" t="s">
        <v>1685</v>
      </c>
      <c r="M9" s="34" t="s">
        <v>1363</v>
      </c>
      <c r="N9" s="34" t="s">
        <v>1711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1686</v>
      </c>
      <c r="M10" s="47" t="s">
        <v>1360</v>
      </c>
      <c r="N10" s="47" t="s">
        <v>1731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1361</v>
      </c>
      <c r="N11" s="34" t="s">
        <v>1809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1689</v>
      </c>
      <c r="M12" s="47" t="s">
        <v>1106</v>
      </c>
      <c r="N12" s="47" t="s">
        <v>1720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1690</v>
      </c>
      <c r="M13" s="47" t="s">
        <v>1106</v>
      </c>
      <c r="N13" s="47" t="s">
        <v>1720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6" si="19">+O13*P13*(1-A13)</f>
        <v>0</v>
      </c>
      <c r="AG13" s="1">
        <f t="shared" ref="AG13:AG76" si="20">O13*(1-P13)*(1-A13)</f>
        <v>0</v>
      </c>
      <c r="AH13" s="1">
        <f t="shared" ref="AH13:AH76" si="21">+P13*(1-A13)</f>
        <v>0</v>
      </c>
      <c r="AI13" s="1">
        <f t="shared" ref="AI13:AI76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1277</v>
      </c>
      <c r="G14" s="32" t="s">
        <v>239</v>
      </c>
      <c r="H14" s="32" t="s">
        <v>352</v>
      </c>
      <c r="I14" s="31" t="s">
        <v>1344</v>
      </c>
      <c r="J14" s="31">
        <v>1</v>
      </c>
      <c r="K14" s="33" t="s">
        <v>947</v>
      </c>
      <c r="L14" s="33" t="s">
        <v>1692</v>
      </c>
      <c r="M14" s="34" t="s">
        <v>1362</v>
      </c>
      <c r="N14" s="34" t="s">
        <v>1732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1690</v>
      </c>
      <c r="M15" s="47" t="s">
        <v>1106</v>
      </c>
      <c r="N15" s="47" t="s">
        <v>1731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1682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1698</v>
      </c>
      <c r="M17" s="47" t="s">
        <v>1363</v>
      </c>
      <c r="N17" s="47" t="s">
        <v>1725</v>
      </c>
      <c r="O17" s="48"/>
      <c r="P17" s="48"/>
      <c r="Q17" s="45"/>
      <c r="S17" s="1">
        <f t="shared" ref="S17:S80" si="23">IF(J17=$S$7,1,0)</f>
        <v>0</v>
      </c>
      <c r="T17" s="1">
        <f t="shared" ref="T17:T80" si="24">IF(J17=$T$7,1,0)</f>
        <v>0</v>
      </c>
      <c r="U17" s="1">
        <f t="shared" ref="U17:U80" si="25">IF(J17=$U$7,1,0)</f>
        <v>0</v>
      </c>
      <c r="V17" s="1">
        <f t="shared" ref="V17:V80" si="26">IF(J17=$V$7,1,0)</f>
        <v>0</v>
      </c>
      <c r="W17" s="1">
        <f t="shared" ref="W17:W80" si="27">IF(J17=$W$7,1,0)</f>
        <v>0</v>
      </c>
      <c r="X17" s="1">
        <f t="shared" ref="X17:X80" si="28">IF(J17=$X$7,1,0)</f>
        <v>0</v>
      </c>
      <c r="Y17" s="1">
        <f t="shared" ref="Y17:Y80" si="29">IF(J17=$Y$7,1,0)</f>
        <v>0</v>
      </c>
      <c r="Z17" s="1">
        <f t="shared" ref="Z17:Z80" si="30">IF(J17=$Z$7,1,0)</f>
        <v>0</v>
      </c>
      <c r="AA17" s="1">
        <f t="shared" ref="AA17:AA80" si="31">IF(J17=$AA$7,1,0)</f>
        <v>0</v>
      </c>
      <c r="AB17" s="1">
        <f t="shared" ref="AB17:AB80" si="32">IF(J17=$AB$7,1,0)</f>
        <v>0</v>
      </c>
      <c r="AD17" s="1">
        <f t="shared" ref="AD17:AD80" si="33">+O17*P17</f>
        <v>0</v>
      </c>
      <c r="AE17" s="1">
        <f t="shared" ref="AE17:AE80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1363</v>
      </c>
      <c r="N18" s="47" t="s">
        <v>1786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1833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954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1877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1711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1717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1690</v>
      </c>
      <c r="M23" s="34" t="s">
        <v>1106</v>
      </c>
      <c r="N23" s="34" t="s">
        <v>1727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1572</v>
      </c>
      <c r="E24" s="32" t="s">
        <v>170</v>
      </c>
      <c r="F24" s="32" t="s">
        <v>1573</v>
      </c>
      <c r="G24" s="32" t="s">
        <v>212</v>
      </c>
      <c r="H24" s="32" t="s">
        <v>352</v>
      </c>
      <c r="I24" s="31" t="s">
        <v>1574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1711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1733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1699</v>
      </c>
      <c r="M27" s="47" t="s">
        <v>1364</v>
      </c>
      <c r="N27" s="47" t="s">
        <v>1720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1717</v>
      </c>
      <c r="O28" s="35">
        <v>1</v>
      </c>
      <c r="P28" s="35">
        <v>1</v>
      </c>
      <c r="Q28" s="32" t="s">
        <v>1896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1694</v>
      </c>
      <c r="M29" s="34" t="s">
        <v>1544</v>
      </c>
      <c r="N29" s="34" t="s">
        <v>1740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1717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1365</v>
      </c>
      <c r="N31" s="47" t="s">
        <v>1718</v>
      </c>
      <c r="O31" s="48"/>
      <c r="P31" s="48"/>
      <c r="Q31" s="65" t="s">
        <v>1890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1690</v>
      </c>
      <c r="M32" s="34" t="s">
        <v>1366</v>
      </c>
      <c r="N32" s="34" t="s">
        <v>1740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1533</v>
      </c>
      <c r="E33" s="36" t="s">
        <v>1230</v>
      </c>
      <c r="F33" s="36" t="s">
        <v>1534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1773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1446</v>
      </c>
      <c r="E34" s="36" t="s">
        <v>1448</v>
      </c>
      <c r="F34" s="36" t="s">
        <v>1447</v>
      </c>
      <c r="G34" s="36"/>
      <c r="H34" s="36" t="s">
        <v>1122</v>
      </c>
      <c r="I34" s="37" t="s">
        <v>1449</v>
      </c>
      <c r="J34" s="31">
        <v>99</v>
      </c>
      <c r="K34" s="33" t="s">
        <v>699</v>
      </c>
      <c r="L34" s="33"/>
      <c r="M34" s="34"/>
      <c r="N34" s="34" t="s">
        <v>1711</v>
      </c>
      <c r="O34" s="35">
        <v>1</v>
      </c>
      <c r="P34" s="35">
        <v>1</v>
      </c>
      <c r="Q34" s="36" t="s">
        <v>1904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1367</v>
      </c>
      <c r="N35" s="47" t="s">
        <v>1731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1852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1786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1746</v>
      </c>
      <c r="E37" s="36" t="s">
        <v>154</v>
      </c>
      <c r="F37" s="36" t="s">
        <v>1747</v>
      </c>
      <c r="G37" s="36"/>
      <c r="H37" s="36" t="s">
        <v>1748</v>
      </c>
      <c r="I37" s="37" t="s">
        <v>1749</v>
      </c>
      <c r="J37" s="31">
        <v>18</v>
      </c>
      <c r="K37" s="33" t="s">
        <v>699</v>
      </c>
      <c r="L37" s="33">
        <v>55</v>
      </c>
      <c r="M37" s="34" t="s">
        <v>1461</v>
      </c>
      <c r="N37" s="34" t="s">
        <v>1717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1687</v>
      </c>
      <c r="M38" s="34" t="s">
        <v>1366</v>
      </c>
      <c r="N38" s="34" t="s">
        <v>1732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1735</v>
      </c>
      <c r="E39" s="36" t="s">
        <v>1736</v>
      </c>
      <c r="F39" s="36" t="s">
        <v>1737</v>
      </c>
      <c r="G39" s="36" t="s">
        <v>319</v>
      </c>
      <c r="H39" s="36" t="s">
        <v>352</v>
      </c>
      <c r="I39" s="37" t="s">
        <v>1738</v>
      </c>
      <c r="J39" s="31">
        <v>99</v>
      </c>
      <c r="K39" s="33" t="s">
        <v>699</v>
      </c>
      <c r="L39" s="33"/>
      <c r="M39" s="34"/>
      <c r="N39" s="34" t="s">
        <v>1717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1684</v>
      </c>
      <c r="M40" s="47" t="s">
        <v>1361</v>
      </c>
      <c r="N40" s="47" t="s">
        <v>1721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1496</v>
      </c>
      <c r="E41" s="36" t="s">
        <v>174</v>
      </c>
      <c r="F41" s="36" t="s">
        <v>1644</v>
      </c>
      <c r="G41" s="36" t="s">
        <v>1498</v>
      </c>
      <c r="H41" s="36" t="s">
        <v>352</v>
      </c>
      <c r="I41" s="37" t="s">
        <v>1497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1711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1688</v>
      </c>
      <c r="M42" s="34" t="s">
        <v>1368</v>
      </c>
      <c r="N42" s="34" t="s">
        <v>1809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1799</v>
      </c>
      <c r="E43" s="45" t="s">
        <v>174</v>
      </c>
      <c r="F43" s="45" t="s">
        <v>1800</v>
      </c>
      <c r="G43" s="45" t="s">
        <v>193</v>
      </c>
      <c r="H43" s="45" t="s">
        <v>352</v>
      </c>
      <c r="I43" s="44" t="s">
        <v>1801</v>
      </c>
      <c r="J43" s="44">
        <v>9</v>
      </c>
      <c r="K43" s="46" t="s">
        <v>699</v>
      </c>
      <c r="L43" s="46">
        <v>60</v>
      </c>
      <c r="M43" s="47" t="s">
        <v>1802</v>
      </c>
      <c r="N43" s="47" t="s">
        <v>1793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1863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1722</v>
      </c>
      <c r="O44" s="48"/>
      <c r="P44" s="48"/>
      <c r="Q44" s="65" t="s">
        <v>1891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1717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1683</v>
      </c>
      <c r="M46" s="47" t="s">
        <v>1106</v>
      </c>
      <c r="N46" s="47" t="s">
        <v>1786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1619</v>
      </c>
      <c r="E47" s="32" t="s">
        <v>173</v>
      </c>
      <c r="F47" s="32" t="s">
        <v>1645</v>
      </c>
      <c r="G47" s="32" t="s">
        <v>250</v>
      </c>
      <c r="H47" s="32" t="s">
        <v>352</v>
      </c>
      <c r="I47" s="31" t="s">
        <v>1547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1711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1515</v>
      </c>
      <c r="E48" s="32" t="s">
        <v>1633</v>
      </c>
      <c r="F48" s="32" t="s">
        <v>1516</v>
      </c>
      <c r="G48" s="32" t="s">
        <v>199</v>
      </c>
      <c r="H48" s="32" t="s">
        <v>352</v>
      </c>
      <c r="I48" s="31" t="s">
        <v>1517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1773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1451</v>
      </c>
      <c r="E49" s="45" t="s">
        <v>1634</v>
      </c>
      <c r="F49" s="45" t="s">
        <v>1450</v>
      </c>
      <c r="G49" s="45" t="s">
        <v>219</v>
      </c>
      <c r="H49" s="45" t="s">
        <v>352</v>
      </c>
      <c r="I49" s="44" t="s">
        <v>1671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1721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1930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1455</v>
      </c>
      <c r="E51" s="32"/>
      <c r="F51" s="32" t="s">
        <v>1456</v>
      </c>
      <c r="G51" s="32" t="s">
        <v>1457</v>
      </c>
      <c r="H51" s="32" t="s">
        <v>352</v>
      </c>
      <c r="I51" s="31" t="s">
        <v>1458</v>
      </c>
      <c r="J51" s="31">
        <v>99</v>
      </c>
      <c r="K51" s="33" t="s">
        <v>699</v>
      </c>
      <c r="L51" s="33">
        <v>35</v>
      </c>
      <c r="M51" s="34" t="s">
        <v>1463</v>
      </c>
      <c r="N51" s="34" t="s">
        <v>1732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1981</v>
      </c>
      <c r="E52" s="32" t="s">
        <v>174</v>
      </c>
      <c r="F52" s="32" t="s">
        <v>1982</v>
      </c>
      <c r="G52" s="32" t="s">
        <v>1983</v>
      </c>
      <c r="H52" s="32" t="s">
        <v>352</v>
      </c>
      <c r="I52" s="31" t="s">
        <v>1984</v>
      </c>
      <c r="J52" s="31">
        <v>99</v>
      </c>
      <c r="K52" s="33" t="s">
        <v>699</v>
      </c>
      <c r="L52" s="33"/>
      <c r="M52" s="34"/>
      <c r="N52" s="34" t="s">
        <v>1717</v>
      </c>
      <c r="O52" s="35">
        <v>1</v>
      </c>
      <c r="P52" s="35">
        <v>1</v>
      </c>
      <c r="Q52" s="32" t="s">
        <v>1985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1786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1773</v>
      </c>
      <c r="O54" s="35">
        <v>1</v>
      </c>
      <c r="P54" s="35"/>
      <c r="Q54" s="32" t="s">
        <v>1894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1623</v>
      </c>
      <c r="E55" s="32" t="s">
        <v>174</v>
      </c>
      <c r="F55" s="32" t="s">
        <v>1649</v>
      </c>
      <c r="G55" s="32" t="s">
        <v>1650</v>
      </c>
      <c r="H55" s="32" t="s">
        <v>352</v>
      </c>
      <c r="I55" s="31" t="s">
        <v>1462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1739</v>
      </c>
      <c r="O55" s="35">
        <v>1</v>
      </c>
      <c r="P55" s="35"/>
      <c r="Q55" s="32" t="s">
        <v>2032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1684</v>
      </c>
      <c r="M56" s="47" t="s">
        <v>1369</v>
      </c>
      <c r="N56" s="47" t="s">
        <v>1719</v>
      </c>
      <c r="O56" s="48"/>
      <c r="P56" s="48"/>
      <c r="Q56" s="45"/>
      <c r="S56" s="1">
        <f t="shared" si="23"/>
        <v>1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1174</v>
      </c>
      <c r="E57" s="16" t="s">
        <v>173</v>
      </c>
      <c r="F57" s="16" t="s">
        <v>1175</v>
      </c>
      <c r="G57" s="16" t="s">
        <v>39</v>
      </c>
      <c r="H57" s="16" t="s">
        <v>1177</v>
      </c>
      <c r="I57" s="15" t="s">
        <v>1176</v>
      </c>
      <c r="J57" s="15">
        <v>17</v>
      </c>
      <c r="K57" s="10" t="s">
        <v>699</v>
      </c>
      <c r="L57" s="10" t="s">
        <v>1370</v>
      </c>
      <c r="M57" s="19" t="s">
        <v>1371</v>
      </c>
      <c r="N57" s="17"/>
      <c r="Q57" s="16" t="s">
        <v>1870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0</v>
      </c>
      <c r="AF57" s="1">
        <f t="shared" si="19"/>
        <v>0</v>
      </c>
      <c r="AG57" s="1">
        <f t="shared" si="20"/>
        <v>0</v>
      </c>
      <c r="AH57" s="1">
        <f t="shared" si="21"/>
        <v>0</v>
      </c>
      <c r="AI57" s="1">
        <f t="shared" si="22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1185</v>
      </c>
      <c r="E58" s="16" t="s">
        <v>173</v>
      </c>
      <c r="F58" s="16" t="s">
        <v>1186</v>
      </c>
      <c r="G58" s="16" t="s">
        <v>39</v>
      </c>
      <c r="H58" s="16" t="s">
        <v>1187</v>
      </c>
      <c r="I58" s="15" t="s">
        <v>1188</v>
      </c>
      <c r="J58" s="15">
        <v>18</v>
      </c>
      <c r="K58" s="10" t="s">
        <v>944</v>
      </c>
      <c r="L58" s="10" t="s">
        <v>691</v>
      </c>
      <c r="M58" s="19" t="s">
        <v>957</v>
      </c>
      <c r="N58" s="17"/>
      <c r="Q58" s="16" t="s">
        <v>1869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1016</v>
      </c>
      <c r="E59" s="16" t="s">
        <v>174</v>
      </c>
      <c r="F59" s="16" t="s">
        <v>1018</v>
      </c>
      <c r="G59" s="16" t="s">
        <v>39</v>
      </c>
      <c r="H59" s="16" t="s">
        <v>363</v>
      </c>
      <c r="I59" s="15" t="s">
        <v>1017</v>
      </c>
      <c r="J59" s="15">
        <v>18</v>
      </c>
      <c r="K59" s="10" t="s">
        <v>698</v>
      </c>
      <c r="L59" s="10" t="s">
        <v>1125</v>
      </c>
      <c r="M59" s="19" t="s">
        <v>687</v>
      </c>
      <c r="N59" s="17"/>
      <c r="Q59" s="16"/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1576</v>
      </c>
      <c r="E60" s="32" t="s">
        <v>174</v>
      </c>
      <c r="F60" s="32" t="s">
        <v>1577</v>
      </c>
      <c r="G60" s="32" t="s">
        <v>1578</v>
      </c>
      <c r="H60" s="32" t="s">
        <v>352</v>
      </c>
      <c r="I60" s="31" t="s">
        <v>1471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1711</v>
      </c>
      <c r="O60" s="35">
        <v>1</v>
      </c>
      <c r="P60" s="35">
        <v>1</v>
      </c>
      <c r="Q60" s="32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1604</v>
      </c>
      <c r="E61" s="32" t="s">
        <v>169</v>
      </c>
      <c r="F61" s="32" t="s">
        <v>1605</v>
      </c>
      <c r="G61" s="32" t="s">
        <v>39</v>
      </c>
      <c r="H61" s="32" t="s">
        <v>353</v>
      </c>
      <c r="I61" s="31" t="s">
        <v>1606</v>
      </c>
      <c r="J61" s="31">
        <v>11</v>
      </c>
      <c r="K61" s="33" t="s">
        <v>944</v>
      </c>
      <c r="L61" s="33" t="s">
        <v>39</v>
      </c>
      <c r="M61" s="34" t="s">
        <v>39</v>
      </c>
      <c r="N61" s="34" t="s">
        <v>1711</v>
      </c>
      <c r="O61" s="35">
        <v>1</v>
      </c>
      <c r="P61" s="35">
        <v>1</v>
      </c>
      <c r="Q61" s="36" t="s">
        <v>1889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1601</v>
      </c>
      <c r="E62" s="32" t="s">
        <v>173</v>
      </c>
      <c r="F62" s="32" t="s">
        <v>1602</v>
      </c>
      <c r="G62" s="32" t="s">
        <v>1467</v>
      </c>
      <c r="H62" s="32" t="s">
        <v>352</v>
      </c>
      <c r="I62" s="31" t="s">
        <v>1603</v>
      </c>
      <c r="J62" s="31">
        <v>99</v>
      </c>
      <c r="K62" s="33" t="s">
        <v>949</v>
      </c>
      <c r="L62" s="33" t="s">
        <v>39</v>
      </c>
      <c r="M62" s="34" t="s">
        <v>39</v>
      </c>
      <c r="N62" s="34" t="s">
        <v>1711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943</v>
      </c>
      <c r="L63" s="33" t="s">
        <v>39</v>
      </c>
      <c r="M63" s="34" t="s">
        <v>39</v>
      </c>
      <c r="N63" s="34" t="s">
        <v>1711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790</v>
      </c>
      <c r="E64" s="32" t="s">
        <v>173</v>
      </c>
      <c r="F64" s="32" t="s">
        <v>792</v>
      </c>
      <c r="G64" s="32" t="s">
        <v>39</v>
      </c>
      <c r="H64" s="32" t="s">
        <v>791</v>
      </c>
      <c r="I64" s="31" t="s">
        <v>793</v>
      </c>
      <c r="J64" s="31">
        <v>14</v>
      </c>
      <c r="K64" s="33" t="s">
        <v>951</v>
      </c>
      <c r="L64" s="33" t="s">
        <v>1690</v>
      </c>
      <c r="M64" s="34" t="s">
        <v>1363</v>
      </c>
      <c r="N64" s="34" t="s">
        <v>1733</v>
      </c>
      <c r="O64" s="35">
        <v>1</v>
      </c>
      <c r="P64" s="35"/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0</v>
      </c>
      <c r="AE64" s="1">
        <f t="shared" si="34"/>
        <v>1</v>
      </c>
      <c r="AF64" s="1">
        <f t="shared" si="19"/>
        <v>0</v>
      </c>
      <c r="AG64" s="1">
        <f t="shared" si="20"/>
        <v>1</v>
      </c>
      <c r="AH64" s="1">
        <f t="shared" si="21"/>
        <v>0</v>
      </c>
      <c r="AI64" s="1">
        <f t="shared" si="22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1306</v>
      </c>
      <c r="E65" s="16" t="s">
        <v>174</v>
      </c>
      <c r="F65" s="16" t="s">
        <v>1330</v>
      </c>
      <c r="G65" s="16" t="s">
        <v>39</v>
      </c>
      <c r="H65" s="16" t="s">
        <v>361</v>
      </c>
      <c r="I65" s="15" t="s">
        <v>1126</v>
      </c>
      <c r="J65" s="15">
        <v>14</v>
      </c>
      <c r="K65" s="10" t="s">
        <v>718</v>
      </c>
      <c r="L65" s="10" t="s">
        <v>1683</v>
      </c>
      <c r="M65" s="19" t="s">
        <v>959</v>
      </c>
      <c r="N65" s="17"/>
      <c r="Q65" s="16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1499</v>
      </c>
      <c r="E66" s="45" t="s">
        <v>169</v>
      </c>
      <c r="F66" s="45" t="s">
        <v>1501</v>
      </c>
      <c r="G66" s="45" t="s">
        <v>1149</v>
      </c>
      <c r="H66" s="45" t="s">
        <v>352</v>
      </c>
      <c r="I66" s="44" t="s">
        <v>1500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1793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1121</v>
      </c>
      <c r="E67" s="32" t="s">
        <v>174</v>
      </c>
      <c r="F67" s="32" t="s">
        <v>1124</v>
      </c>
      <c r="G67" s="32" t="s">
        <v>39</v>
      </c>
      <c r="H67" s="32" t="s">
        <v>1122</v>
      </c>
      <c r="I67" s="31" t="s">
        <v>1123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1733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2071</v>
      </c>
      <c r="G68" s="32" t="s">
        <v>2072</v>
      </c>
      <c r="H68" s="32" t="s">
        <v>352</v>
      </c>
      <c r="I68" s="31"/>
      <c r="J68" s="31">
        <v>1</v>
      </c>
      <c r="K68" s="33" t="s">
        <v>947</v>
      </c>
      <c r="L68" s="33" t="s">
        <v>39</v>
      </c>
      <c r="M68" s="34" t="s">
        <v>39</v>
      </c>
      <c r="N68" s="34" t="s">
        <v>1717</v>
      </c>
      <c r="O68" s="35">
        <v>1</v>
      </c>
      <c r="P68" s="35">
        <v>1</v>
      </c>
      <c r="Q68" s="32" t="s">
        <v>2073</v>
      </c>
      <c r="S68" s="1">
        <f t="shared" si="23"/>
        <v>1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1</v>
      </c>
      <c r="AE68" s="1">
        <f t="shared" si="34"/>
        <v>0</v>
      </c>
      <c r="AF68" s="1">
        <f t="shared" si="19"/>
        <v>1</v>
      </c>
      <c r="AG68" s="1">
        <f t="shared" si="20"/>
        <v>0</v>
      </c>
      <c r="AH68" s="1">
        <f t="shared" si="21"/>
        <v>1</v>
      </c>
      <c r="AI68" s="1">
        <f t="shared" si="22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1431</v>
      </c>
      <c r="E69" s="32" t="s">
        <v>174</v>
      </c>
      <c r="F69" s="32" t="s">
        <v>1428</v>
      </c>
      <c r="G69" s="32" t="s">
        <v>39</v>
      </c>
      <c r="H69" s="32" t="s">
        <v>352</v>
      </c>
      <c r="I69" s="31" t="s">
        <v>1429</v>
      </c>
      <c r="J69" s="31">
        <v>99</v>
      </c>
      <c r="K69" s="33" t="s">
        <v>698</v>
      </c>
      <c r="L69" s="33" t="s">
        <v>685</v>
      </c>
      <c r="M69" s="34" t="s">
        <v>1430</v>
      </c>
      <c r="N69" s="34" t="s">
        <v>1711</v>
      </c>
      <c r="O69" s="35">
        <v>1</v>
      </c>
      <c r="P69" s="35">
        <v>1</v>
      </c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806</v>
      </c>
      <c r="E70" s="39" t="s">
        <v>174</v>
      </c>
      <c r="F70" s="39" t="s">
        <v>924</v>
      </c>
      <c r="G70" s="39" t="s">
        <v>212</v>
      </c>
      <c r="H70" s="39" t="s">
        <v>352</v>
      </c>
      <c r="I70" s="38" t="s">
        <v>807</v>
      </c>
      <c r="J70" s="38">
        <v>1</v>
      </c>
      <c r="K70" s="40" t="s">
        <v>943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1307</v>
      </c>
      <c r="E71" s="32" t="s">
        <v>174</v>
      </c>
      <c r="F71" s="32" t="s">
        <v>1113</v>
      </c>
      <c r="G71" s="32" t="s">
        <v>39</v>
      </c>
      <c r="H71" s="32" t="s">
        <v>1112</v>
      </c>
      <c r="I71" s="31" t="s">
        <v>1111</v>
      </c>
      <c r="J71" s="31">
        <v>15</v>
      </c>
      <c r="K71" s="33" t="s">
        <v>944</v>
      </c>
      <c r="L71" s="33">
        <v>75</v>
      </c>
      <c r="M71" s="34" t="s">
        <v>1372</v>
      </c>
      <c r="N71" s="34" t="s">
        <v>1717</v>
      </c>
      <c r="O71" s="35">
        <v>1</v>
      </c>
      <c r="P71" s="35">
        <v>1</v>
      </c>
      <c r="Q71" s="32" t="s">
        <v>1967</v>
      </c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19"/>
        <v>1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1034</v>
      </c>
      <c r="E72" s="32" t="s">
        <v>173</v>
      </c>
      <c r="F72" s="32" t="s">
        <v>1035</v>
      </c>
      <c r="G72" s="32" t="s">
        <v>624</v>
      </c>
      <c r="H72" s="32" t="s">
        <v>352</v>
      </c>
      <c r="I72" s="31" t="s">
        <v>1036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1717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2037</v>
      </c>
      <c r="E73" s="32" t="s">
        <v>1963</v>
      </c>
      <c r="F73" s="32" t="s">
        <v>2038</v>
      </c>
      <c r="G73" s="32" t="s">
        <v>283</v>
      </c>
      <c r="H73" s="32" t="s">
        <v>352</v>
      </c>
      <c r="I73" s="31" t="s">
        <v>2039</v>
      </c>
      <c r="J73" s="31">
        <v>10</v>
      </c>
      <c r="K73" s="33" t="s">
        <v>699</v>
      </c>
      <c r="L73" s="33"/>
      <c r="M73" s="34"/>
      <c r="N73" s="34" t="s">
        <v>1717</v>
      </c>
      <c r="O73" s="35">
        <v>1</v>
      </c>
      <c r="P73" s="35">
        <v>1</v>
      </c>
      <c r="Q73" s="36" t="s">
        <v>2040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1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1993</v>
      </c>
      <c r="E74" s="32" t="s">
        <v>174</v>
      </c>
      <c r="F74" s="36" t="s">
        <v>1994</v>
      </c>
      <c r="G74" s="36" t="s">
        <v>219</v>
      </c>
      <c r="H74" s="36" t="s">
        <v>352</v>
      </c>
      <c r="I74" s="37" t="s">
        <v>1995</v>
      </c>
      <c r="J74" s="31">
        <v>8</v>
      </c>
      <c r="K74" s="33" t="s">
        <v>699</v>
      </c>
      <c r="L74" s="33"/>
      <c r="M74" s="34"/>
      <c r="N74" s="34" t="s">
        <v>1717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1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947</v>
      </c>
      <c r="L75" s="46" t="s">
        <v>1696</v>
      </c>
      <c r="M75" s="47" t="s">
        <v>1363</v>
      </c>
      <c r="N75" s="47" t="s">
        <v>1722</v>
      </c>
      <c r="O75" s="48"/>
      <c r="P75" s="48"/>
      <c r="Q75" s="4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1826</v>
      </c>
      <c r="E76" s="32" t="s">
        <v>173</v>
      </c>
      <c r="F76" s="32" t="s">
        <v>1827</v>
      </c>
      <c r="G76" s="32"/>
      <c r="H76" s="32" t="s">
        <v>1828</v>
      </c>
      <c r="I76" s="31" t="s">
        <v>1829</v>
      </c>
      <c r="J76" s="31">
        <v>14</v>
      </c>
      <c r="K76" s="33" t="s">
        <v>699</v>
      </c>
      <c r="L76" s="33">
        <v>75</v>
      </c>
      <c r="M76" s="34" t="s">
        <v>958</v>
      </c>
      <c r="N76" s="34" t="s">
        <v>1727</v>
      </c>
      <c r="O76" s="35">
        <v>1</v>
      </c>
      <c r="P76" s="35"/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1708</v>
      </c>
      <c r="E77" s="32" t="s">
        <v>174</v>
      </c>
      <c r="F77" s="36" t="s">
        <v>1709</v>
      </c>
      <c r="G77" s="36" t="s">
        <v>206</v>
      </c>
      <c r="H77" s="36" t="s">
        <v>352</v>
      </c>
      <c r="I77" s="37" t="s">
        <v>1710</v>
      </c>
      <c r="J77" s="31">
        <v>99</v>
      </c>
      <c r="K77" s="33" t="s">
        <v>699</v>
      </c>
      <c r="L77" s="33"/>
      <c r="M77" s="34"/>
      <c r="N77" s="34" t="s">
        <v>1711</v>
      </c>
      <c r="O77" s="35">
        <v>1</v>
      </c>
      <c r="P77" s="35">
        <v>1</v>
      </c>
      <c r="Q77" s="36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ref="AF77:AF140" si="35">+O77*P77*(1-A77)</f>
        <v>1</v>
      </c>
      <c r="AG77" s="1">
        <f t="shared" ref="AG77:AG140" si="36">O77*(1-P77)*(1-A77)</f>
        <v>0</v>
      </c>
      <c r="AH77" s="1">
        <f t="shared" ref="AH77:AH140" si="37">+P77*(1-A77)</f>
        <v>1</v>
      </c>
      <c r="AI77" s="1">
        <f t="shared" ref="AI77:AI140" si="38">+(1-A77)*(1-P77)</f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1045</v>
      </c>
      <c r="E78" s="32" t="s">
        <v>174</v>
      </c>
      <c r="F78" s="36" t="s">
        <v>1084</v>
      </c>
      <c r="G78" s="36" t="s">
        <v>39</v>
      </c>
      <c r="H78" s="36" t="s">
        <v>1046</v>
      </c>
      <c r="I78" s="37" t="s">
        <v>1145</v>
      </c>
      <c r="J78" s="31">
        <v>13</v>
      </c>
      <c r="K78" s="33" t="s">
        <v>698</v>
      </c>
      <c r="L78" s="33" t="s">
        <v>685</v>
      </c>
      <c r="M78" s="34" t="s">
        <v>1425</v>
      </c>
      <c r="N78" s="34" t="s">
        <v>1733</v>
      </c>
      <c r="O78" s="35">
        <v>1</v>
      </c>
      <c r="P78" s="35"/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1579</v>
      </c>
      <c r="E79" s="32" t="s">
        <v>174</v>
      </c>
      <c r="F79" s="36" t="s">
        <v>1580</v>
      </c>
      <c r="G79" s="36" t="s">
        <v>234</v>
      </c>
      <c r="H79" s="36" t="s">
        <v>352</v>
      </c>
      <c r="I79" s="37" t="s">
        <v>1581</v>
      </c>
      <c r="J79" s="31">
        <v>99</v>
      </c>
      <c r="K79" s="33" t="s">
        <v>943</v>
      </c>
      <c r="L79" s="33">
        <v>45</v>
      </c>
      <c r="M79" s="34" t="s">
        <v>39</v>
      </c>
      <c r="N79" s="34" t="s">
        <v>1773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1309</v>
      </c>
      <c r="E80" s="32" t="s">
        <v>173</v>
      </c>
      <c r="F80" s="36" t="s">
        <v>1252</v>
      </c>
      <c r="G80" s="36" t="s">
        <v>206</v>
      </c>
      <c r="H80" s="36" t="s">
        <v>352</v>
      </c>
      <c r="I80" s="37" t="s">
        <v>1253</v>
      </c>
      <c r="J80" s="31">
        <v>99</v>
      </c>
      <c r="K80" s="33" t="s">
        <v>949</v>
      </c>
      <c r="L80" s="33" t="s">
        <v>39</v>
      </c>
      <c r="M80" s="34" t="s">
        <v>39</v>
      </c>
      <c r="N80" s="34" t="s">
        <v>1711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1783</v>
      </c>
      <c r="E81" s="32" t="s">
        <v>169</v>
      </c>
      <c r="F81" s="36" t="s">
        <v>1781</v>
      </c>
      <c r="G81" s="36" t="s">
        <v>231</v>
      </c>
      <c r="H81" s="36" t="s">
        <v>352</v>
      </c>
      <c r="I81" s="37" t="s">
        <v>1782</v>
      </c>
      <c r="J81" s="31">
        <v>99</v>
      </c>
      <c r="K81" s="33" t="s">
        <v>699</v>
      </c>
      <c r="L81" s="33"/>
      <c r="M81" s="34"/>
      <c r="N81" s="34" t="s">
        <v>1711</v>
      </c>
      <c r="O81" s="35">
        <v>1</v>
      </c>
      <c r="P81" s="35">
        <v>1</v>
      </c>
      <c r="Q81" s="36"/>
      <c r="S81" s="1">
        <f t="shared" ref="S81:S144" si="39">IF(J81=$S$7,1,0)</f>
        <v>0</v>
      </c>
      <c r="T81" s="1">
        <f t="shared" ref="T81:T144" si="40">IF(J81=$T$7,1,0)</f>
        <v>0</v>
      </c>
      <c r="U81" s="1">
        <f t="shared" ref="U81:U144" si="41">IF(J81=$U$7,1,0)</f>
        <v>0</v>
      </c>
      <c r="V81" s="1">
        <f t="shared" ref="V81:V144" si="42">IF(J81=$V$7,1,0)</f>
        <v>0</v>
      </c>
      <c r="W81" s="1">
        <f t="shared" ref="W81:W144" si="43">IF(J81=$W$7,1,0)</f>
        <v>0</v>
      </c>
      <c r="X81" s="1">
        <f t="shared" ref="X81:X144" si="44">IF(J81=$X$7,1,0)</f>
        <v>0</v>
      </c>
      <c r="Y81" s="1">
        <f t="shared" ref="Y81:Y144" si="45">IF(J81=$Y$7,1,0)</f>
        <v>0</v>
      </c>
      <c r="Z81" s="1">
        <f t="shared" ref="Z81:Z144" si="46">IF(J81=$Z$7,1,0)</f>
        <v>0</v>
      </c>
      <c r="AA81" s="1">
        <f t="shared" ref="AA81:AA144" si="47">IF(J81=$AA$7,1,0)</f>
        <v>0</v>
      </c>
      <c r="AB81" s="1">
        <f t="shared" ref="AB81:AB144" si="48">IF(J81=$AB$7,1,0)</f>
        <v>0</v>
      </c>
      <c r="AD81" s="1">
        <f t="shared" ref="AD81:AD144" si="49">+O81*P81</f>
        <v>1</v>
      </c>
      <c r="AE81" s="1">
        <f t="shared" ref="AE81:AE144" si="50">O81*(1-P81)</f>
        <v>0</v>
      </c>
      <c r="AF81" s="1">
        <f t="shared" si="35"/>
        <v>1</v>
      </c>
      <c r="AG81" s="1">
        <f t="shared" si="36"/>
        <v>0</v>
      </c>
      <c r="AH81" s="1">
        <f t="shared" si="37"/>
        <v>1</v>
      </c>
      <c r="AI81" s="1">
        <f t="shared" si="38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1142</v>
      </c>
      <c r="E82" s="32" t="s">
        <v>169</v>
      </c>
      <c r="F82" s="36" t="s">
        <v>1143</v>
      </c>
      <c r="G82" s="36" t="s">
        <v>39</v>
      </c>
      <c r="H82" s="36" t="s">
        <v>1343</v>
      </c>
      <c r="I82" s="37" t="s">
        <v>1144</v>
      </c>
      <c r="J82" s="31">
        <v>11</v>
      </c>
      <c r="K82" s="33" t="s">
        <v>698</v>
      </c>
      <c r="L82" s="33" t="s">
        <v>1683</v>
      </c>
      <c r="M82" s="34" t="s">
        <v>1373</v>
      </c>
      <c r="N82" s="34" t="s">
        <v>1733</v>
      </c>
      <c r="O82" s="35">
        <v>1</v>
      </c>
      <c r="P82" s="35"/>
      <c r="Q82" s="36"/>
      <c r="S82" s="1">
        <f t="shared" si="39"/>
        <v>0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D82" s="1">
        <f t="shared" si="49"/>
        <v>0</v>
      </c>
      <c r="AE82" s="1">
        <f t="shared" si="50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1809</v>
      </c>
      <c r="O83" s="35">
        <v>1</v>
      </c>
      <c r="P83" s="35"/>
      <c r="Q83" s="36" t="s">
        <v>1866</v>
      </c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997</v>
      </c>
      <c r="E84" s="32" t="s">
        <v>171</v>
      </c>
      <c r="F84" s="36" t="s">
        <v>998</v>
      </c>
      <c r="G84" s="36" t="s">
        <v>999</v>
      </c>
      <c r="H84" s="36" t="s">
        <v>352</v>
      </c>
      <c r="I84" s="37" t="s">
        <v>1000</v>
      </c>
      <c r="J84" s="31">
        <v>99</v>
      </c>
      <c r="K84" s="33" t="s">
        <v>943</v>
      </c>
      <c r="L84" s="33" t="s">
        <v>39</v>
      </c>
      <c r="M84" s="34" t="s">
        <v>39</v>
      </c>
      <c r="N84" s="34" t="s">
        <v>1717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944</v>
      </c>
      <c r="L85" s="33" t="s">
        <v>683</v>
      </c>
      <c r="M85" s="34" t="s">
        <v>687</v>
      </c>
      <c r="N85" s="34" t="s">
        <v>1727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1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8">
        <v>0</v>
      </c>
      <c r="B86" s="38">
        <v>1</v>
      </c>
      <c r="C86" s="38">
        <v>3</v>
      </c>
      <c r="D86" s="39" t="s">
        <v>2090</v>
      </c>
      <c r="E86" s="39" t="s">
        <v>169</v>
      </c>
      <c r="F86" s="54" t="s">
        <v>2091</v>
      </c>
      <c r="G86" s="39" t="s">
        <v>206</v>
      </c>
      <c r="H86" s="39" t="s">
        <v>352</v>
      </c>
      <c r="I86" s="38" t="s">
        <v>2092</v>
      </c>
      <c r="J86" s="38">
        <v>99</v>
      </c>
      <c r="K86" s="40" t="s">
        <v>699</v>
      </c>
      <c r="L86" s="40"/>
      <c r="M86" s="41"/>
      <c r="N86" s="42"/>
      <c r="O86" s="43"/>
      <c r="P86" s="43">
        <v>1</v>
      </c>
      <c r="Q86" s="54" t="s">
        <v>2093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0</v>
      </c>
      <c r="AF86" s="1">
        <f t="shared" si="35"/>
        <v>0</v>
      </c>
      <c r="AG86" s="1">
        <f t="shared" si="36"/>
        <v>0</v>
      </c>
      <c r="AH86" s="1">
        <f t="shared" si="37"/>
        <v>1</v>
      </c>
      <c r="AI86" s="1">
        <f t="shared" si="38"/>
        <v>0</v>
      </c>
    </row>
    <row r="87" spans="1:35" ht="14.25" customHeight="1" x14ac:dyDescent="0.25">
      <c r="A87" s="15">
        <v>0</v>
      </c>
      <c r="B87" s="15">
        <v>1</v>
      </c>
      <c r="C87" s="15">
        <v>3</v>
      </c>
      <c r="D87" s="16" t="s">
        <v>1770</v>
      </c>
      <c r="E87" s="16" t="s">
        <v>171</v>
      </c>
      <c r="F87" s="16" t="s">
        <v>1772</v>
      </c>
      <c r="G87" s="16"/>
      <c r="H87" s="16" t="s">
        <v>362</v>
      </c>
      <c r="I87" s="15" t="s">
        <v>1771</v>
      </c>
      <c r="J87" s="15">
        <v>17</v>
      </c>
      <c r="K87" s="10" t="s">
        <v>699</v>
      </c>
      <c r="L87" s="10" t="s">
        <v>1726</v>
      </c>
      <c r="M87" s="19" t="s">
        <v>687</v>
      </c>
      <c r="N87" s="17"/>
      <c r="Q87" s="20" t="s">
        <v>1898</v>
      </c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0</v>
      </c>
      <c r="AF87" s="1">
        <f t="shared" si="35"/>
        <v>0</v>
      </c>
      <c r="AG87" s="1">
        <f t="shared" si="36"/>
        <v>0</v>
      </c>
      <c r="AH87" s="1">
        <f t="shared" si="37"/>
        <v>0</v>
      </c>
      <c r="AI87" s="1">
        <f t="shared" si="38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2" t="s">
        <v>1794</v>
      </c>
      <c r="E88" s="32" t="s">
        <v>171</v>
      </c>
      <c r="F88" s="32" t="s">
        <v>1795</v>
      </c>
      <c r="G88" s="32" t="s">
        <v>1796</v>
      </c>
      <c r="H88" s="32" t="s">
        <v>352</v>
      </c>
      <c r="I88" s="31" t="s">
        <v>1797</v>
      </c>
      <c r="J88" s="31">
        <v>1</v>
      </c>
      <c r="K88" s="33" t="s">
        <v>699</v>
      </c>
      <c r="L88" s="33">
        <v>60</v>
      </c>
      <c r="M88" s="34" t="s">
        <v>1798</v>
      </c>
      <c r="N88" s="34" t="s">
        <v>1833</v>
      </c>
      <c r="O88" s="35">
        <v>1</v>
      </c>
      <c r="P88" s="35"/>
      <c r="Q88" s="32"/>
      <c r="S88" s="1">
        <f t="shared" si="39"/>
        <v>1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1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2047</v>
      </c>
      <c r="E89" s="36" t="s">
        <v>175</v>
      </c>
      <c r="F89" s="36" t="s">
        <v>2045</v>
      </c>
      <c r="G89" s="36" t="s">
        <v>219</v>
      </c>
      <c r="H89" s="36" t="s">
        <v>352</v>
      </c>
      <c r="I89" s="37" t="s">
        <v>2046</v>
      </c>
      <c r="J89" s="31">
        <v>8</v>
      </c>
      <c r="K89" s="33" t="s">
        <v>699</v>
      </c>
      <c r="L89" s="33"/>
      <c r="M89" s="34"/>
      <c r="N89" s="34" t="s">
        <v>1717</v>
      </c>
      <c r="O89" s="35">
        <v>1</v>
      </c>
      <c r="P89" s="35">
        <v>1</v>
      </c>
      <c r="Q89" s="36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1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35"/>
        <v>1</v>
      </c>
      <c r="AG89" s="1">
        <f t="shared" si="36"/>
        <v>0</v>
      </c>
      <c r="AH89" s="1">
        <f t="shared" si="37"/>
        <v>1</v>
      </c>
      <c r="AI89" s="1">
        <f t="shared" si="38"/>
        <v>0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1582</v>
      </c>
      <c r="E90" s="32" t="s">
        <v>174</v>
      </c>
      <c r="F90" s="36" t="s">
        <v>317</v>
      </c>
      <c r="G90" s="36" t="s">
        <v>268</v>
      </c>
      <c r="H90" s="36" t="s">
        <v>352</v>
      </c>
      <c r="I90" s="37" t="s">
        <v>463</v>
      </c>
      <c r="J90" s="31">
        <v>8</v>
      </c>
      <c r="K90" s="33" t="s">
        <v>698</v>
      </c>
      <c r="L90" s="33" t="s">
        <v>685</v>
      </c>
      <c r="M90" s="34" t="s">
        <v>687</v>
      </c>
      <c r="N90" s="34" t="s">
        <v>1739</v>
      </c>
      <c r="O90" s="35">
        <v>1</v>
      </c>
      <c r="P90" s="35"/>
      <c r="Q90" s="36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1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35"/>
        <v>0</v>
      </c>
      <c r="AG90" s="1">
        <f t="shared" si="36"/>
        <v>1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8">
        <v>0</v>
      </c>
      <c r="B91" s="38">
        <v>1</v>
      </c>
      <c r="C91" s="38">
        <v>3</v>
      </c>
      <c r="D91" s="39" t="s">
        <v>135</v>
      </c>
      <c r="E91" s="39" t="s">
        <v>171</v>
      </c>
      <c r="F91" s="54" t="s">
        <v>1864</v>
      </c>
      <c r="G91" s="39" t="s">
        <v>239</v>
      </c>
      <c r="H91" s="39" t="s">
        <v>352</v>
      </c>
      <c r="I91" s="38" t="s">
        <v>481</v>
      </c>
      <c r="J91" s="38">
        <v>1</v>
      </c>
      <c r="K91" s="40" t="s">
        <v>943</v>
      </c>
      <c r="L91" s="40" t="s">
        <v>685</v>
      </c>
      <c r="M91" s="41" t="s">
        <v>687</v>
      </c>
      <c r="N91" s="42"/>
      <c r="O91" s="43"/>
      <c r="P91" s="43">
        <v>1</v>
      </c>
      <c r="Q91" s="39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0</v>
      </c>
      <c r="AF91" s="1">
        <f t="shared" si="35"/>
        <v>0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781</v>
      </c>
      <c r="E92" s="45" t="s">
        <v>606</v>
      </c>
      <c r="F92" s="45" t="s">
        <v>783</v>
      </c>
      <c r="G92" s="45" t="s">
        <v>213</v>
      </c>
      <c r="H92" s="45" t="s">
        <v>352</v>
      </c>
      <c r="I92" s="44" t="s">
        <v>782</v>
      </c>
      <c r="J92" s="44">
        <v>99</v>
      </c>
      <c r="K92" s="46" t="s">
        <v>718</v>
      </c>
      <c r="L92" s="46" t="s">
        <v>1683</v>
      </c>
      <c r="M92" s="47" t="s">
        <v>1374</v>
      </c>
      <c r="N92" s="47" t="s">
        <v>1731</v>
      </c>
      <c r="O92" s="48"/>
      <c r="P92" s="48"/>
      <c r="Q92" s="45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0</v>
      </c>
      <c r="AF92" s="1">
        <f t="shared" si="35"/>
        <v>0</v>
      </c>
      <c r="AG92" s="1">
        <f t="shared" si="36"/>
        <v>0</v>
      </c>
      <c r="AH92" s="1">
        <f t="shared" si="37"/>
        <v>0</v>
      </c>
      <c r="AI92" s="1">
        <f t="shared" si="38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2" t="s">
        <v>77</v>
      </c>
      <c r="E93" s="32" t="s">
        <v>171</v>
      </c>
      <c r="F93" s="32" t="s">
        <v>266</v>
      </c>
      <c r="G93" s="32" t="s">
        <v>262</v>
      </c>
      <c r="H93" s="32" t="s">
        <v>352</v>
      </c>
      <c r="I93" s="31" t="s">
        <v>422</v>
      </c>
      <c r="J93" s="31">
        <v>1</v>
      </c>
      <c r="K93" s="33" t="s">
        <v>943</v>
      </c>
      <c r="L93" s="33" t="s">
        <v>1683</v>
      </c>
      <c r="M93" s="34" t="s">
        <v>957</v>
      </c>
      <c r="N93" s="34" t="s">
        <v>1727</v>
      </c>
      <c r="O93" s="35">
        <v>1</v>
      </c>
      <c r="P93" s="35"/>
      <c r="Q93" s="32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35"/>
        <v>0</v>
      </c>
      <c r="AG93" s="1">
        <f t="shared" si="36"/>
        <v>1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20" t="s">
        <v>1935</v>
      </c>
      <c r="E94" s="20" t="s">
        <v>1963</v>
      </c>
      <c r="F94" s="20" t="s">
        <v>1964</v>
      </c>
      <c r="G94" s="20"/>
      <c r="H94" s="20" t="s">
        <v>1962</v>
      </c>
      <c r="I94" s="21" t="s">
        <v>1965</v>
      </c>
      <c r="J94" s="15">
        <v>18</v>
      </c>
      <c r="K94" s="10" t="s">
        <v>699</v>
      </c>
      <c r="L94" s="10" t="s">
        <v>1726</v>
      </c>
      <c r="M94" s="19" t="s">
        <v>958</v>
      </c>
      <c r="N94" s="17"/>
      <c r="Q94" s="20" t="s">
        <v>1966</v>
      </c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35"/>
        <v>0</v>
      </c>
      <c r="AG94" s="1">
        <f t="shared" si="36"/>
        <v>0</v>
      </c>
      <c r="AH94" s="1">
        <f t="shared" si="37"/>
        <v>0</v>
      </c>
      <c r="AI94" s="1">
        <f t="shared" si="38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1509</v>
      </c>
      <c r="E95" s="32" t="s">
        <v>175</v>
      </c>
      <c r="F95" s="36" t="s">
        <v>1510</v>
      </c>
      <c r="G95" s="36" t="s">
        <v>39</v>
      </c>
      <c r="H95" s="36" t="s">
        <v>895</v>
      </c>
      <c r="I95" s="37" t="s">
        <v>1511</v>
      </c>
      <c r="J95" s="31">
        <v>11</v>
      </c>
      <c r="K95" s="33" t="s">
        <v>951</v>
      </c>
      <c r="L95" s="33" t="s">
        <v>39</v>
      </c>
      <c r="M95" s="34" t="s">
        <v>39</v>
      </c>
      <c r="N95" s="34" t="s">
        <v>1717</v>
      </c>
      <c r="O95" s="35">
        <v>1</v>
      </c>
      <c r="P95" s="35">
        <v>1</v>
      </c>
      <c r="Q95" s="3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1838</v>
      </c>
      <c r="E96" s="36" t="s">
        <v>171</v>
      </c>
      <c r="F96" s="36" t="s">
        <v>1839</v>
      </c>
      <c r="G96" s="36"/>
      <c r="H96" s="36" t="s">
        <v>1840</v>
      </c>
      <c r="I96" s="37" t="s">
        <v>1841</v>
      </c>
      <c r="J96" s="31">
        <v>15</v>
      </c>
      <c r="K96" s="33" t="s">
        <v>699</v>
      </c>
      <c r="L96" s="33"/>
      <c r="M96" s="34"/>
      <c r="N96" s="34" t="s">
        <v>1717</v>
      </c>
      <c r="O96" s="35">
        <v>1</v>
      </c>
      <c r="P96" s="35">
        <v>1</v>
      </c>
      <c r="Q96" s="36" t="s">
        <v>1876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1</v>
      </c>
      <c r="AE96" s="1">
        <f t="shared" si="50"/>
        <v>0</v>
      </c>
      <c r="AF96" s="1">
        <f t="shared" si="35"/>
        <v>1</v>
      </c>
      <c r="AG96" s="1">
        <f t="shared" si="36"/>
        <v>0</v>
      </c>
      <c r="AH96" s="1">
        <f t="shared" si="37"/>
        <v>1</v>
      </c>
      <c r="AI96" s="1">
        <f t="shared" si="38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732</v>
      </c>
      <c r="E97" s="32" t="s">
        <v>1315</v>
      </c>
      <c r="F97" s="32" t="s">
        <v>1642</v>
      </c>
      <c r="G97" s="32" t="s">
        <v>39</v>
      </c>
      <c r="H97" s="32" t="s">
        <v>733</v>
      </c>
      <c r="I97" s="31" t="s">
        <v>734</v>
      </c>
      <c r="J97" s="31">
        <v>18</v>
      </c>
      <c r="K97" s="33" t="s">
        <v>698</v>
      </c>
      <c r="L97" s="33" t="s">
        <v>684</v>
      </c>
      <c r="M97" s="34" t="s">
        <v>957</v>
      </c>
      <c r="N97" s="34" t="s">
        <v>1833</v>
      </c>
      <c r="O97" s="35">
        <v>1</v>
      </c>
      <c r="P97" s="35"/>
      <c r="Q97" s="32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1</v>
      </c>
      <c r="AF97" s="1">
        <f t="shared" si="35"/>
        <v>0</v>
      </c>
      <c r="AG97" s="1">
        <f t="shared" si="36"/>
        <v>1</v>
      </c>
      <c r="AH97" s="1">
        <f t="shared" si="37"/>
        <v>0</v>
      </c>
      <c r="AI97" s="1">
        <f t="shared" si="38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1530</v>
      </c>
      <c r="E98" s="32" t="s">
        <v>171</v>
      </c>
      <c r="F98" s="32" t="s">
        <v>1531</v>
      </c>
      <c r="G98" s="32" t="s">
        <v>39</v>
      </c>
      <c r="H98" s="32" t="s">
        <v>362</v>
      </c>
      <c r="I98" s="31" t="s">
        <v>1532</v>
      </c>
      <c r="J98" s="31">
        <v>17</v>
      </c>
      <c r="K98" s="33" t="s">
        <v>718</v>
      </c>
      <c r="L98" s="33" t="s">
        <v>684</v>
      </c>
      <c r="M98" s="34" t="s">
        <v>39</v>
      </c>
      <c r="N98" s="34" t="s">
        <v>1711</v>
      </c>
      <c r="O98" s="35">
        <v>1</v>
      </c>
      <c r="P98" s="35">
        <v>1</v>
      </c>
      <c r="Q98" s="36" t="s">
        <v>1900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35"/>
        <v>1</v>
      </c>
      <c r="AG98" s="1">
        <f t="shared" si="36"/>
        <v>0</v>
      </c>
      <c r="AH98" s="1">
        <f t="shared" si="37"/>
        <v>1</v>
      </c>
      <c r="AI98" s="1">
        <f t="shared" si="38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118</v>
      </c>
      <c r="E99" s="32" t="s">
        <v>171</v>
      </c>
      <c r="F99" s="36" t="s">
        <v>318</v>
      </c>
      <c r="G99" s="36" t="s">
        <v>39</v>
      </c>
      <c r="H99" s="36" t="s">
        <v>368</v>
      </c>
      <c r="I99" s="37" t="s">
        <v>464</v>
      </c>
      <c r="J99" s="31">
        <v>14</v>
      </c>
      <c r="K99" s="33" t="s">
        <v>943</v>
      </c>
      <c r="L99" s="33" t="s">
        <v>690</v>
      </c>
      <c r="M99" s="34" t="s">
        <v>687</v>
      </c>
      <c r="N99" s="34" t="s">
        <v>1732</v>
      </c>
      <c r="O99" s="35">
        <v>1</v>
      </c>
      <c r="P99" s="35"/>
      <c r="Q99" s="36" t="s">
        <v>1873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1</v>
      </c>
      <c r="AH99" s="1">
        <f t="shared" si="37"/>
        <v>0</v>
      </c>
      <c r="AI99" s="1">
        <f t="shared" si="38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114</v>
      </c>
      <c r="E100" s="32" t="s">
        <v>169</v>
      </c>
      <c r="F100" s="36" t="s">
        <v>324</v>
      </c>
      <c r="G100" s="36" t="s">
        <v>229</v>
      </c>
      <c r="H100" s="36" t="s">
        <v>352</v>
      </c>
      <c r="I100" s="37" t="s">
        <v>471</v>
      </c>
      <c r="J100" s="31">
        <v>7</v>
      </c>
      <c r="K100" s="33" t="s">
        <v>698</v>
      </c>
      <c r="L100" s="33" t="s">
        <v>39</v>
      </c>
      <c r="M100" s="34" t="s">
        <v>39</v>
      </c>
      <c r="N100" s="34" t="s">
        <v>1717</v>
      </c>
      <c r="O100" s="35">
        <v>1</v>
      </c>
      <c r="P100" s="35">
        <v>1</v>
      </c>
      <c r="Q100" s="36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1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35"/>
        <v>1</v>
      </c>
      <c r="AG100" s="1">
        <f t="shared" si="36"/>
        <v>0</v>
      </c>
      <c r="AH100" s="1">
        <f t="shared" si="37"/>
        <v>1</v>
      </c>
      <c r="AI100" s="1">
        <f t="shared" si="38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1916</v>
      </c>
      <c r="E101" s="32" t="s">
        <v>1917</v>
      </c>
      <c r="F101" s="36" t="s">
        <v>1918</v>
      </c>
      <c r="G101" s="36"/>
      <c r="H101" s="36" t="s">
        <v>364</v>
      </c>
      <c r="I101" s="37" t="s">
        <v>1920</v>
      </c>
      <c r="J101" s="31">
        <v>18</v>
      </c>
      <c r="K101" s="33" t="s">
        <v>699</v>
      </c>
      <c r="L101" s="33"/>
      <c r="M101" s="34"/>
      <c r="N101" s="34" t="s">
        <v>1717</v>
      </c>
      <c r="O101" s="35">
        <v>1</v>
      </c>
      <c r="P101" s="35">
        <v>1</v>
      </c>
      <c r="Q101" s="36" t="s">
        <v>1919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35"/>
        <v>1</v>
      </c>
      <c r="AG101" s="1">
        <f t="shared" si="36"/>
        <v>0</v>
      </c>
      <c r="AH101" s="1">
        <f t="shared" si="37"/>
        <v>1</v>
      </c>
      <c r="AI101" s="1">
        <f t="shared" si="38"/>
        <v>0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1191</v>
      </c>
      <c r="E102" s="45" t="s">
        <v>174</v>
      </c>
      <c r="F102" s="45" t="s">
        <v>1323</v>
      </c>
      <c r="G102" s="45" t="s">
        <v>39</v>
      </c>
      <c r="H102" s="45" t="s">
        <v>607</v>
      </c>
      <c r="I102" s="44" t="s">
        <v>1192</v>
      </c>
      <c r="J102" s="44">
        <v>14</v>
      </c>
      <c r="K102" s="46" t="s">
        <v>943</v>
      </c>
      <c r="L102" s="46" t="s">
        <v>1683</v>
      </c>
      <c r="M102" s="47" t="s">
        <v>1375</v>
      </c>
      <c r="N102" s="47" t="s">
        <v>1786</v>
      </c>
      <c r="O102" s="48"/>
      <c r="P102" s="48"/>
      <c r="Q102" s="4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812</v>
      </c>
      <c r="E103" s="32" t="s">
        <v>175</v>
      </c>
      <c r="F103" s="36" t="s">
        <v>916</v>
      </c>
      <c r="G103" s="36" t="s">
        <v>39</v>
      </c>
      <c r="H103" s="36" t="s">
        <v>370</v>
      </c>
      <c r="I103" s="37" t="s">
        <v>813</v>
      </c>
      <c r="J103" s="31">
        <v>16</v>
      </c>
      <c r="K103" s="33" t="s">
        <v>944</v>
      </c>
      <c r="L103" s="33" t="s">
        <v>684</v>
      </c>
      <c r="M103" s="34" t="s">
        <v>957</v>
      </c>
      <c r="N103" s="34" t="s">
        <v>1711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35"/>
        <v>1</v>
      </c>
      <c r="AG103" s="1">
        <f t="shared" si="36"/>
        <v>0</v>
      </c>
      <c r="AH103" s="1">
        <f t="shared" si="37"/>
        <v>1</v>
      </c>
      <c r="AI103" s="1">
        <f t="shared" si="38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103</v>
      </c>
      <c r="E104" s="45" t="s">
        <v>169</v>
      </c>
      <c r="F104" s="45" t="s">
        <v>301</v>
      </c>
      <c r="G104" s="45" t="s">
        <v>39</v>
      </c>
      <c r="H104" s="45" t="s">
        <v>355</v>
      </c>
      <c r="I104" s="44" t="s">
        <v>448</v>
      </c>
      <c r="J104" s="44">
        <v>18</v>
      </c>
      <c r="K104" s="46" t="s">
        <v>698</v>
      </c>
      <c r="L104" s="46" t="s">
        <v>684</v>
      </c>
      <c r="M104" s="47" t="s">
        <v>687</v>
      </c>
      <c r="N104" s="47" t="s">
        <v>1719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35"/>
        <v>0</v>
      </c>
      <c r="AG104" s="1">
        <f t="shared" si="36"/>
        <v>0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512</v>
      </c>
      <c r="E105" s="45" t="s">
        <v>169</v>
      </c>
      <c r="F105" s="45" t="s">
        <v>513</v>
      </c>
      <c r="G105" s="45" t="s">
        <v>500</v>
      </c>
      <c r="H105" s="45" t="s">
        <v>352</v>
      </c>
      <c r="I105" s="44" t="s">
        <v>514</v>
      </c>
      <c r="J105" s="44">
        <v>99</v>
      </c>
      <c r="K105" s="46" t="s">
        <v>943</v>
      </c>
      <c r="L105" s="46" t="s">
        <v>690</v>
      </c>
      <c r="M105" s="47" t="s">
        <v>687</v>
      </c>
      <c r="N105" s="47" t="s">
        <v>1731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35"/>
        <v>0</v>
      </c>
      <c r="AG105" s="1">
        <f t="shared" si="36"/>
        <v>0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1629</v>
      </c>
      <c r="E106" s="16" t="s">
        <v>1074</v>
      </c>
      <c r="F106" s="16" t="s">
        <v>1203</v>
      </c>
      <c r="G106" s="16" t="s">
        <v>39</v>
      </c>
      <c r="H106" s="16" t="s">
        <v>1204</v>
      </c>
      <c r="I106" s="15" t="s">
        <v>1205</v>
      </c>
      <c r="J106" s="15">
        <v>18</v>
      </c>
      <c r="K106" s="10" t="s">
        <v>945</v>
      </c>
      <c r="L106" s="10" t="s">
        <v>684</v>
      </c>
      <c r="M106" s="19" t="s">
        <v>957</v>
      </c>
      <c r="N106" s="17"/>
      <c r="Q106" s="16" t="s">
        <v>1868</v>
      </c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0</v>
      </c>
      <c r="AF106" s="1">
        <f t="shared" si="35"/>
        <v>0</v>
      </c>
      <c r="AG106" s="1">
        <f t="shared" si="36"/>
        <v>0</v>
      </c>
      <c r="AH106" s="1">
        <f t="shared" si="37"/>
        <v>0</v>
      </c>
      <c r="AI106" s="1">
        <f t="shared" si="38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1542</v>
      </c>
      <c r="E107" s="45" t="s">
        <v>169</v>
      </c>
      <c r="F107" s="45" t="s">
        <v>1661</v>
      </c>
      <c r="G107" s="45" t="s">
        <v>39</v>
      </c>
      <c r="H107" s="45" t="s">
        <v>355</v>
      </c>
      <c r="I107" s="44" t="s">
        <v>1543</v>
      </c>
      <c r="J107" s="44">
        <v>18</v>
      </c>
      <c r="K107" s="46" t="s">
        <v>718</v>
      </c>
      <c r="L107" s="46" t="s">
        <v>684</v>
      </c>
      <c r="M107" s="47" t="s">
        <v>687</v>
      </c>
      <c r="N107" s="47" t="s">
        <v>1719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35"/>
        <v>0</v>
      </c>
      <c r="AG107" s="1">
        <f t="shared" si="36"/>
        <v>0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1303</v>
      </c>
      <c r="E108" s="32" t="s">
        <v>174</v>
      </c>
      <c r="F108" s="32" t="s">
        <v>1324</v>
      </c>
      <c r="G108" s="32" t="s">
        <v>39</v>
      </c>
      <c r="H108" s="32" t="s">
        <v>352</v>
      </c>
      <c r="I108" s="31" t="s">
        <v>1120</v>
      </c>
      <c r="J108" s="31">
        <v>99</v>
      </c>
      <c r="K108" s="33" t="s">
        <v>698</v>
      </c>
      <c r="L108" s="33" t="s">
        <v>1683</v>
      </c>
      <c r="M108" s="34" t="s">
        <v>1376</v>
      </c>
      <c r="N108" s="34" t="s">
        <v>1733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35"/>
        <v>0</v>
      </c>
      <c r="AG108" s="1">
        <f t="shared" si="36"/>
        <v>1</v>
      </c>
      <c r="AH108" s="1">
        <f t="shared" si="37"/>
        <v>0</v>
      </c>
      <c r="AI108" s="1">
        <f t="shared" si="38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1247</v>
      </c>
      <c r="E109" s="32" t="s">
        <v>169</v>
      </c>
      <c r="F109" s="32" t="s">
        <v>1325</v>
      </c>
      <c r="G109" s="32" t="s">
        <v>1178</v>
      </c>
      <c r="H109" s="32" t="s">
        <v>352</v>
      </c>
      <c r="I109" s="31" t="s">
        <v>1179</v>
      </c>
      <c r="J109" s="31">
        <v>99</v>
      </c>
      <c r="K109" s="33" t="s">
        <v>718</v>
      </c>
      <c r="L109" s="33">
        <v>50</v>
      </c>
      <c r="M109" s="34" t="s">
        <v>39</v>
      </c>
      <c r="N109" s="34" t="s">
        <v>1785</v>
      </c>
      <c r="O109" s="35">
        <v>1</v>
      </c>
      <c r="P109" s="35"/>
      <c r="Q109" s="32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35"/>
        <v>0</v>
      </c>
      <c r="AG109" s="1">
        <f t="shared" si="36"/>
        <v>1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1006</v>
      </c>
      <c r="E110" s="32" t="s">
        <v>606</v>
      </c>
      <c r="F110" s="32" t="s">
        <v>1007</v>
      </c>
      <c r="G110" s="32" t="s">
        <v>1008</v>
      </c>
      <c r="H110" s="32" t="s">
        <v>352</v>
      </c>
      <c r="I110" s="31" t="s">
        <v>1009</v>
      </c>
      <c r="J110" s="31">
        <v>99</v>
      </c>
      <c r="K110" s="33" t="s">
        <v>943</v>
      </c>
      <c r="L110" s="33" t="s">
        <v>39</v>
      </c>
      <c r="M110" s="34" t="s">
        <v>39</v>
      </c>
      <c r="N110" s="34" t="s">
        <v>1717</v>
      </c>
      <c r="O110" s="35">
        <v>1</v>
      </c>
      <c r="P110" s="35">
        <v>1</v>
      </c>
      <c r="Q110" s="32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140</v>
      </c>
      <c r="E111" s="32" t="s">
        <v>174</v>
      </c>
      <c r="F111" s="32" t="s">
        <v>340</v>
      </c>
      <c r="G111" s="32" t="s">
        <v>39</v>
      </c>
      <c r="H111" s="32" t="s">
        <v>374</v>
      </c>
      <c r="I111" s="31" t="s">
        <v>486</v>
      </c>
      <c r="J111" s="31">
        <v>16</v>
      </c>
      <c r="K111" s="33" t="s">
        <v>698</v>
      </c>
      <c r="L111" s="33" t="s">
        <v>684</v>
      </c>
      <c r="M111" s="34" t="s">
        <v>1377</v>
      </c>
      <c r="N111" s="34" t="s">
        <v>1732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35"/>
        <v>0</v>
      </c>
      <c r="AG111" s="1">
        <f t="shared" si="36"/>
        <v>1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808</v>
      </c>
      <c r="E112" s="32" t="s">
        <v>171</v>
      </c>
      <c r="F112" s="32" t="s">
        <v>809</v>
      </c>
      <c r="G112" s="32" t="s">
        <v>39</v>
      </c>
      <c r="H112" s="32" t="s">
        <v>810</v>
      </c>
      <c r="I112" s="31" t="s">
        <v>811</v>
      </c>
      <c r="J112" s="31">
        <v>16</v>
      </c>
      <c r="K112" s="33" t="s">
        <v>698</v>
      </c>
      <c r="L112" s="33" t="s">
        <v>684</v>
      </c>
      <c r="M112" s="34" t="s">
        <v>1377</v>
      </c>
      <c r="N112" s="34" t="s">
        <v>1711</v>
      </c>
      <c r="O112" s="35">
        <v>1</v>
      </c>
      <c r="P112" s="35">
        <v>1</v>
      </c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1</v>
      </c>
      <c r="AE112" s="1">
        <f t="shared" si="50"/>
        <v>0</v>
      </c>
      <c r="AF112" s="1">
        <f t="shared" si="35"/>
        <v>1</v>
      </c>
      <c r="AG112" s="1">
        <f t="shared" si="36"/>
        <v>0</v>
      </c>
      <c r="AH112" s="1">
        <f t="shared" si="37"/>
        <v>1</v>
      </c>
      <c r="AI112" s="1">
        <f t="shared" si="38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107</v>
      </c>
      <c r="E113" s="16" t="s">
        <v>169</v>
      </c>
      <c r="F113" s="16" t="s">
        <v>304</v>
      </c>
      <c r="G113" s="16" t="s">
        <v>39</v>
      </c>
      <c r="H113" s="16" t="s">
        <v>359</v>
      </c>
      <c r="I113" s="15" t="s">
        <v>452</v>
      </c>
      <c r="J113" s="15">
        <v>18</v>
      </c>
      <c r="K113" s="10" t="s">
        <v>699</v>
      </c>
      <c r="L113" s="10" t="s">
        <v>684</v>
      </c>
      <c r="M113" s="19" t="s">
        <v>687</v>
      </c>
      <c r="N113" s="17"/>
      <c r="Q113" s="20" t="s">
        <v>1867</v>
      </c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1489</v>
      </c>
      <c r="E114" s="32" t="s">
        <v>169</v>
      </c>
      <c r="F114" s="32" t="s">
        <v>1490</v>
      </c>
      <c r="G114" s="32" t="s">
        <v>39</v>
      </c>
      <c r="H114" s="32" t="s">
        <v>372</v>
      </c>
      <c r="I114" s="31" t="s">
        <v>1491</v>
      </c>
      <c r="J114" s="31">
        <v>11</v>
      </c>
      <c r="K114" s="33" t="s">
        <v>718</v>
      </c>
      <c r="L114" s="33">
        <v>50</v>
      </c>
      <c r="M114" s="34" t="s">
        <v>39</v>
      </c>
      <c r="N114" s="34" t="s">
        <v>1733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35"/>
        <v>0</v>
      </c>
      <c r="AG114" s="1">
        <f t="shared" si="36"/>
        <v>1</v>
      </c>
      <c r="AH114" s="1">
        <f t="shared" si="37"/>
        <v>0</v>
      </c>
      <c r="AI114" s="1">
        <f t="shared" si="38"/>
        <v>1</v>
      </c>
    </row>
    <row r="115" spans="1:35" ht="14.25" customHeight="1" x14ac:dyDescent="0.25">
      <c r="A115" s="44">
        <v>0</v>
      </c>
      <c r="B115" s="44">
        <v>1</v>
      </c>
      <c r="C115" s="44">
        <v>3</v>
      </c>
      <c r="D115" s="45" t="s">
        <v>106</v>
      </c>
      <c r="E115" s="45" t="s">
        <v>169</v>
      </c>
      <c r="F115" s="45" t="s">
        <v>303</v>
      </c>
      <c r="G115" s="45" t="s">
        <v>39</v>
      </c>
      <c r="H115" s="45" t="s">
        <v>358</v>
      </c>
      <c r="I115" s="44" t="s">
        <v>451</v>
      </c>
      <c r="J115" s="44">
        <v>18</v>
      </c>
      <c r="K115" s="46" t="s">
        <v>698</v>
      </c>
      <c r="L115" s="46">
        <v>55</v>
      </c>
      <c r="M115" s="47" t="s">
        <v>687</v>
      </c>
      <c r="N115" s="47" t="s">
        <v>1718</v>
      </c>
      <c r="O115" s="48"/>
      <c r="P115" s="48"/>
      <c r="Q115" s="45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127</v>
      </c>
      <c r="E116" s="32" t="s">
        <v>174</v>
      </c>
      <c r="F116" s="32" t="s">
        <v>327</v>
      </c>
      <c r="G116" s="32" t="s">
        <v>39</v>
      </c>
      <c r="H116" s="32" t="s">
        <v>373</v>
      </c>
      <c r="I116" s="31" t="s">
        <v>474</v>
      </c>
      <c r="J116" s="31">
        <v>12</v>
      </c>
      <c r="K116" s="33" t="s">
        <v>698</v>
      </c>
      <c r="L116" s="33">
        <v>35</v>
      </c>
      <c r="M116" s="34" t="s">
        <v>687</v>
      </c>
      <c r="N116" s="34" t="s">
        <v>1733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35"/>
        <v>0</v>
      </c>
      <c r="AG116" s="1">
        <f t="shared" si="36"/>
        <v>1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981</v>
      </c>
      <c r="E117" s="32" t="s">
        <v>169</v>
      </c>
      <c r="F117" s="32" t="s">
        <v>1080</v>
      </c>
      <c r="G117" s="32" t="s">
        <v>231</v>
      </c>
      <c r="H117" s="32" t="s">
        <v>352</v>
      </c>
      <c r="I117" s="31" t="s">
        <v>982</v>
      </c>
      <c r="J117" s="31">
        <v>99</v>
      </c>
      <c r="K117" s="33" t="s">
        <v>943</v>
      </c>
      <c r="L117" s="33">
        <v>40</v>
      </c>
      <c r="M117" s="34" t="s">
        <v>39</v>
      </c>
      <c r="N117" s="34" t="s">
        <v>1930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35"/>
        <v>0</v>
      </c>
      <c r="AG117" s="1">
        <f t="shared" si="36"/>
        <v>1</v>
      </c>
      <c r="AH117" s="1">
        <f t="shared" si="37"/>
        <v>0</v>
      </c>
      <c r="AI117" s="1">
        <f t="shared" si="38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128</v>
      </c>
      <c r="E118" s="32" t="s">
        <v>169</v>
      </c>
      <c r="F118" s="32" t="s">
        <v>328</v>
      </c>
      <c r="G118" s="32" t="s">
        <v>39</v>
      </c>
      <c r="H118" s="32" t="s">
        <v>369</v>
      </c>
      <c r="I118" s="31" t="s">
        <v>475</v>
      </c>
      <c r="J118" s="31">
        <v>11</v>
      </c>
      <c r="K118" s="33" t="s">
        <v>698</v>
      </c>
      <c r="L118" s="33" t="s">
        <v>39</v>
      </c>
      <c r="M118" s="34" t="s">
        <v>39</v>
      </c>
      <c r="N118" s="34" t="s">
        <v>1711</v>
      </c>
      <c r="O118" s="35">
        <v>1</v>
      </c>
      <c r="P118" s="35">
        <v>1</v>
      </c>
      <c r="Q118" s="32" t="s">
        <v>2020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1304</v>
      </c>
      <c r="E119" s="32" t="s">
        <v>171</v>
      </c>
      <c r="F119" s="32" t="s">
        <v>1327</v>
      </c>
      <c r="G119" s="32" t="s">
        <v>39</v>
      </c>
      <c r="H119" s="32" t="s">
        <v>975</v>
      </c>
      <c r="I119" s="31" t="s">
        <v>976</v>
      </c>
      <c r="J119" s="31">
        <v>14</v>
      </c>
      <c r="K119" s="33" t="s">
        <v>699</v>
      </c>
      <c r="L119" s="33">
        <v>30</v>
      </c>
      <c r="M119" s="34" t="s">
        <v>958</v>
      </c>
      <c r="N119" s="34" t="s">
        <v>1727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35"/>
        <v>0</v>
      </c>
      <c r="AG119" s="1">
        <f t="shared" si="36"/>
        <v>1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695</v>
      </c>
      <c r="E120" s="32" t="s">
        <v>174</v>
      </c>
      <c r="F120" s="32" t="s">
        <v>696</v>
      </c>
      <c r="G120" s="32" t="s">
        <v>39</v>
      </c>
      <c r="H120" s="32" t="s">
        <v>697</v>
      </c>
      <c r="I120" s="31" t="s">
        <v>1102</v>
      </c>
      <c r="J120" s="31">
        <v>13</v>
      </c>
      <c r="K120" s="33" t="s">
        <v>698</v>
      </c>
      <c r="L120" s="33" t="s">
        <v>1683</v>
      </c>
      <c r="M120" s="34" t="s">
        <v>957</v>
      </c>
      <c r="N120" s="34" t="s">
        <v>1809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35"/>
        <v>0</v>
      </c>
      <c r="AG120" s="1">
        <f t="shared" si="36"/>
        <v>1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1504</v>
      </c>
      <c r="E121" s="32" t="s">
        <v>169</v>
      </c>
      <c r="F121" s="32" t="s">
        <v>1651</v>
      </c>
      <c r="G121" s="32" t="s">
        <v>39</v>
      </c>
      <c r="H121" s="32" t="s">
        <v>1505</v>
      </c>
      <c r="I121" s="31" t="s">
        <v>1506</v>
      </c>
      <c r="J121" s="31">
        <v>11</v>
      </c>
      <c r="K121" s="33" t="s">
        <v>718</v>
      </c>
      <c r="L121" s="33">
        <v>40</v>
      </c>
      <c r="M121" s="34" t="s">
        <v>39</v>
      </c>
      <c r="N121" s="34" t="s">
        <v>1711</v>
      </c>
      <c r="O121" s="35">
        <v>1</v>
      </c>
      <c r="P121" s="35">
        <v>1</v>
      </c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1</v>
      </c>
      <c r="AE121" s="1">
        <f t="shared" si="50"/>
        <v>0</v>
      </c>
      <c r="AF121" s="1">
        <f t="shared" si="35"/>
        <v>1</v>
      </c>
      <c r="AG121" s="1">
        <f t="shared" si="36"/>
        <v>0</v>
      </c>
      <c r="AH121" s="1">
        <f t="shared" si="37"/>
        <v>1</v>
      </c>
      <c r="AI121" s="1">
        <f t="shared" si="38"/>
        <v>0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145</v>
      </c>
      <c r="E122" s="16" t="s">
        <v>171</v>
      </c>
      <c r="F122" s="16" t="s">
        <v>346</v>
      </c>
      <c r="G122" s="16" t="s">
        <v>39</v>
      </c>
      <c r="H122" s="16" t="s">
        <v>365</v>
      </c>
      <c r="I122" s="15" t="s">
        <v>490</v>
      </c>
      <c r="J122" s="15">
        <v>18</v>
      </c>
      <c r="K122" s="10" t="s">
        <v>943</v>
      </c>
      <c r="L122" s="10" t="s">
        <v>693</v>
      </c>
      <c r="M122" s="19" t="s">
        <v>957</v>
      </c>
      <c r="N122" s="17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35"/>
        <v>0</v>
      </c>
      <c r="AG122" s="1">
        <f t="shared" si="36"/>
        <v>0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20" t="s">
        <v>1961</v>
      </c>
      <c r="E123" s="20" t="s">
        <v>171</v>
      </c>
      <c r="F123" s="20" t="s">
        <v>1958</v>
      </c>
      <c r="G123" s="20"/>
      <c r="H123" s="20" t="s">
        <v>1959</v>
      </c>
      <c r="I123" s="21" t="s">
        <v>1957</v>
      </c>
      <c r="J123" s="15">
        <v>17</v>
      </c>
      <c r="K123" s="10" t="s">
        <v>699</v>
      </c>
      <c r="L123" s="10" t="s">
        <v>1726</v>
      </c>
      <c r="M123" s="19" t="s">
        <v>958</v>
      </c>
      <c r="N123" s="17"/>
      <c r="Q123" s="20" t="s">
        <v>1960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35"/>
        <v>0</v>
      </c>
      <c r="AG123" s="1">
        <f t="shared" si="36"/>
        <v>0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44">
        <v>0</v>
      </c>
      <c r="B124" s="44">
        <v>1</v>
      </c>
      <c r="C124" s="44">
        <v>3</v>
      </c>
      <c r="D124" s="45" t="s">
        <v>987</v>
      </c>
      <c r="E124" s="45" t="s">
        <v>171</v>
      </c>
      <c r="F124" s="65" t="s">
        <v>1851</v>
      </c>
      <c r="G124" s="45" t="s">
        <v>39</v>
      </c>
      <c r="H124" s="45" t="s">
        <v>988</v>
      </c>
      <c r="I124" s="44" t="s">
        <v>1103</v>
      </c>
      <c r="J124" s="44">
        <v>16</v>
      </c>
      <c r="K124" s="46" t="s">
        <v>718</v>
      </c>
      <c r="L124" s="46" t="s">
        <v>1726</v>
      </c>
      <c r="M124" s="47" t="s">
        <v>1378</v>
      </c>
      <c r="N124" s="47" t="s">
        <v>1786</v>
      </c>
      <c r="O124" s="48"/>
      <c r="P124" s="48"/>
      <c r="Q124" s="65" t="s">
        <v>1874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1114</v>
      </c>
      <c r="E125" s="16" t="s">
        <v>171</v>
      </c>
      <c r="F125" s="16" t="s">
        <v>1328</v>
      </c>
      <c r="G125" s="16" t="s">
        <v>39</v>
      </c>
      <c r="H125" s="16" t="s">
        <v>1116</v>
      </c>
      <c r="I125" s="15" t="s">
        <v>1115</v>
      </c>
      <c r="J125" s="15">
        <v>14</v>
      </c>
      <c r="K125" s="10" t="s">
        <v>945</v>
      </c>
      <c r="L125" s="10" t="s">
        <v>1683</v>
      </c>
      <c r="M125" s="19" t="s">
        <v>1379</v>
      </c>
      <c r="N125" s="17"/>
      <c r="Q125" s="16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1065</v>
      </c>
      <c r="E126" s="32" t="s">
        <v>171</v>
      </c>
      <c r="F126" s="32" t="s">
        <v>1027</v>
      </c>
      <c r="G126" s="32" t="s">
        <v>1091</v>
      </c>
      <c r="H126" s="32" t="s">
        <v>352</v>
      </c>
      <c r="I126" s="31" t="s">
        <v>1028</v>
      </c>
      <c r="J126" s="31">
        <v>1</v>
      </c>
      <c r="K126" s="33" t="s">
        <v>945</v>
      </c>
      <c r="L126" s="33" t="s">
        <v>683</v>
      </c>
      <c r="M126" s="34" t="s">
        <v>958</v>
      </c>
      <c r="N126" s="34" t="s">
        <v>1739</v>
      </c>
      <c r="O126" s="35">
        <v>1</v>
      </c>
      <c r="P126" s="35"/>
      <c r="Q126" s="32"/>
      <c r="S126" s="1">
        <f t="shared" si="39"/>
        <v>1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35"/>
        <v>0</v>
      </c>
      <c r="AG126" s="1">
        <f t="shared" si="36"/>
        <v>1</v>
      </c>
      <c r="AH126" s="1">
        <f t="shared" si="37"/>
        <v>0</v>
      </c>
      <c r="AI126" s="1">
        <f t="shared" si="38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6" t="s">
        <v>2078</v>
      </c>
      <c r="E127" s="36" t="s">
        <v>171</v>
      </c>
      <c r="F127" s="36" t="s">
        <v>2079</v>
      </c>
      <c r="G127" s="32"/>
      <c r="H127" s="36" t="s">
        <v>2080</v>
      </c>
      <c r="I127" s="37" t="s">
        <v>2081</v>
      </c>
      <c r="J127" s="31">
        <v>14</v>
      </c>
      <c r="K127" s="33" t="s">
        <v>699</v>
      </c>
      <c r="L127" s="33"/>
      <c r="M127" s="34"/>
      <c r="N127" s="34" t="s">
        <v>1717</v>
      </c>
      <c r="O127" s="35">
        <v>1</v>
      </c>
      <c r="P127" s="35">
        <v>1</v>
      </c>
      <c r="Q127" s="36" t="s">
        <v>2082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35"/>
        <v>1</v>
      </c>
      <c r="AG127" s="1">
        <f t="shared" si="36"/>
        <v>0</v>
      </c>
      <c r="AH127" s="1">
        <f t="shared" si="37"/>
        <v>1</v>
      </c>
      <c r="AI127" s="1">
        <f t="shared" si="38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1613</v>
      </c>
      <c r="E128" s="32" t="s">
        <v>1074</v>
      </c>
      <c r="F128" s="32" t="s">
        <v>1614</v>
      </c>
      <c r="G128" s="32" t="s">
        <v>39</v>
      </c>
      <c r="H128" s="32" t="s">
        <v>1615</v>
      </c>
      <c r="I128" s="31" t="s">
        <v>1616</v>
      </c>
      <c r="J128" s="31">
        <v>15</v>
      </c>
      <c r="K128" s="33" t="s">
        <v>945</v>
      </c>
      <c r="L128" s="33" t="s">
        <v>39</v>
      </c>
      <c r="M128" s="34" t="s">
        <v>39</v>
      </c>
      <c r="N128" s="34" t="s">
        <v>1732</v>
      </c>
      <c r="O128" s="35">
        <v>1</v>
      </c>
      <c r="P128" s="35"/>
      <c r="Q128" s="36" t="s">
        <v>1879</v>
      </c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1</v>
      </c>
      <c r="AF128" s="1">
        <f t="shared" si="35"/>
        <v>0</v>
      </c>
      <c r="AG128" s="1">
        <f t="shared" si="36"/>
        <v>1</v>
      </c>
      <c r="AH128" s="1">
        <f t="shared" si="37"/>
        <v>0</v>
      </c>
      <c r="AI128" s="1">
        <f t="shared" si="38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609</v>
      </c>
      <c r="E129" s="16" t="s">
        <v>169</v>
      </c>
      <c r="F129" s="16" t="s">
        <v>610</v>
      </c>
      <c r="G129" s="16" t="s">
        <v>39</v>
      </c>
      <c r="H129" s="16" t="s">
        <v>364</v>
      </c>
      <c r="I129" s="15" t="s">
        <v>611</v>
      </c>
      <c r="J129" s="15">
        <v>18</v>
      </c>
      <c r="K129" s="10" t="s">
        <v>718</v>
      </c>
      <c r="L129" s="10" t="s">
        <v>1726</v>
      </c>
      <c r="M129" s="19" t="s">
        <v>39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20" t="s">
        <v>2085</v>
      </c>
      <c r="E130" s="20" t="s">
        <v>865</v>
      </c>
      <c r="F130" s="20" t="s">
        <v>2086</v>
      </c>
      <c r="G130" s="16"/>
      <c r="H130" s="20" t="s">
        <v>2087</v>
      </c>
      <c r="I130" s="21" t="s">
        <v>2088</v>
      </c>
      <c r="J130" s="15">
        <v>16</v>
      </c>
      <c r="K130" s="10" t="s">
        <v>699</v>
      </c>
      <c r="L130" s="10" t="s">
        <v>684</v>
      </c>
      <c r="M130" s="19" t="s">
        <v>958</v>
      </c>
      <c r="N130" s="17"/>
      <c r="Q130" s="16" t="s">
        <v>2089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20" t="s">
        <v>1934</v>
      </c>
      <c r="E131" s="20" t="s">
        <v>171</v>
      </c>
      <c r="F131" s="20" t="s">
        <v>1954</v>
      </c>
      <c r="G131" s="20"/>
      <c r="H131" s="20" t="s">
        <v>1953</v>
      </c>
      <c r="I131" s="21" t="s">
        <v>1955</v>
      </c>
      <c r="J131" s="15">
        <v>15</v>
      </c>
      <c r="K131" s="10" t="s">
        <v>699</v>
      </c>
      <c r="L131" s="10" t="s">
        <v>1726</v>
      </c>
      <c r="M131" s="19" t="s">
        <v>958</v>
      </c>
      <c r="N131" s="17"/>
      <c r="Q131" s="20" t="s">
        <v>1956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909</v>
      </c>
      <c r="E132" s="32" t="s">
        <v>171</v>
      </c>
      <c r="F132" s="32" t="s">
        <v>1141</v>
      </c>
      <c r="G132" s="32" t="s">
        <v>39</v>
      </c>
      <c r="H132" s="32" t="s">
        <v>361</v>
      </c>
      <c r="I132" s="31" t="s">
        <v>880</v>
      </c>
      <c r="J132" s="31">
        <v>14</v>
      </c>
      <c r="K132" s="33" t="s">
        <v>944</v>
      </c>
      <c r="L132" s="33" t="s">
        <v>39</v>
      </c>
      <c r="M132" s="34" t="s">
        <v>39</v>
      </c>
      <c r="N132" s="34" t="s">
        <v>1717</v>
      </c>
      <c r="O132" s="35">
        <v>1</v>
      </c>
      <c r="P132" s="35">
        <v>1</v>
      </c>
      <c r="Q132" s="36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44">
        <v>0</v>
      </c>
      <c r="B133" s="44">
        <v>1</v>
      </c>
      <c r="C133" s="44">
        <v>3</v>
      </c>
      <c r="D133" s="45" t="s">
        <v>104</v>
      </c>
      <c r="E133" s="45" t="s">
        <v>171</v>
      </c>
      <c r="F133" s="45" t="s">
        <v>920</v>
      </c>
      <c r="G133" s="45" t="s">
        <v>39</v>
      </c>
      <c r="H133" s="45" t="s">
        <v>356</v>
      </c>
      <c r="I133" s="44" t="s">
        <v>449</v>
      </c>
      <c r="J133" s="44">
        <v>18</v>
      </c>
      <c r="K133" s="46" t="s">
        <v>943</v>
      </c>
      <c r="L133" s="46" t="s">
        <v>693</v>
      </c>
      <c r="M133" s="47" t="s">
        <v>687</v>
      </c>
      <c r="N133" s="47" t="s">
        <v>1719</v>
      </c>
      <c r="O133" s="48"/>
      <c r="P133" s="48"/>
      <c r="Q133" s="45" t="s">
        <v>1872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0</v>
      </c>
      <c r="AF133" s="1">
        <f t="shared" si="35"/>
        <v>0</v>
      </c>
      <c r="AG133" s="1">
        <f t="shared" si="36"/>
        <v>0</v>
      </c>
      <c r="AH133" s="1">
        <f t="shared" si="37"/>
        <v>0</v>
      </c>
      <c r="AI133" s="1">
        <f t="shared" si="38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1492</v>
      </c>
      <c r="E134" s="32" t="s">
        <v>1636</v>
      </c>
      <c r="F134" s="32" t="s">
        <v>1494</v>
      </c>
      <c r="G134" s="32" t="s">
        <v>39</v>
      </c>
      <c r="H134" s="32" t="s">
        <v>1495</v>
      </c>
      <c r="I134" s="31" t="s">
        <v>1493</v>
      </c>
      <c r="J134" s="31">
        <v>14</v>
      </c>
      <c r="K134" s="33" t="s">
        <v>949</v>
      </c>
      <c r="L134" s="33" t="s">
        <v>683</v>
      </c>
      <c r="M134" s="34" t="s">
        <v>1380</v>
      </c>
      <c r="N134" s="34" t="s">
        <v>1711</v>
      </c>
      <c r="O134" s="35">
        <v>1</v>
      </c>
      <c r="P134" s="35">
        <v>1</v>
      </c>
      <c r="Q134" s="36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35"/>
        <v>1</v>
      </c>
      <c r="AG134" s="1">
        <f t="shared" si="36"/>
        <v>0</v>
      </c>
      <c r="AH134" s="1">
        <f t="shared" si="37"/>
        <v>1</v>
      </c>
      <c r="AI134" s="1">
        <f t="shared" si="38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1240</v>
      </c>
      <c r="E135" s="32" t="s">
        <v>171</v>
      </c>
      <c r="F135" s="32" t="s">
        <v>1241</v>
      </c>
      <c r="G135" s="32" t="s">
        <v>1243</v>
      </c>
      <c r="H135" s="32" t="s">
        <v>352</v>
      </c>
      <c r="I135" s="31" t="s">
        <v>1242</v>
      </c>
      <c r="J135" s="31">
        <v>99</v>
      </c>
      <c r="K135" s="33" t="s">
        <v>945</v>
      </c>
      <c r="L135" s="33" t="s">
        <v>689</v>
      </c>
      <c r="M135" s="34" t="s">
        <v>958</v>
      </c>
      <c r="N135" s="34" t="s">
        <v>1809</v>
      </c>
      <c r="O135" s="35">
        <v>1</v>
      </c>
      <c r="P135" s="35"/>
      <c r="Q135" s="3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35"/>
        <v>0</v>
      </c>
      <c r="AG135" s="1">
        <f t="shared" si="36"/>
        <v>1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1486</v>
      </c>
      <c r="E136" s="32" t="s">
        <v>171</v>
      </c>
      <c r="F136" s="32" t="s">
        <v>1487</v>
      </c>
      <c r="G136" s="32" t="s">
        <v>39</v>
      </c>
      <c r="H136" s="32" t="s">
        <v>363</v>
      </c>
      <c r="I136" s="31" t="s">
        <v>1488</v>
      </c>
      <c r="J136" s="31">
        <v>18</v>
      </c>
      <c r="K136" s="33" t="s">
        <v>943</v>
      </c>
      <c r="L136" s="33" t="s">
        <v>1726</v>
      </c>
      <c r="M136" s="34" t="s">
        <v>39</v>
      </c>
      <c r="N136" s="34" t="s">
        <v>1732</v>
      </c>
      <c r="O136" s="35">
        <v>1</v>
      </c>
      <c r="P136" s="35"/>
      <c r="Q136" s="32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35"/>
        <v>0</v>
      </c>
      <c r="AG136" s="1">
        <f t="shared" si="36"/>
        <v>1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1607</v>
      </c>
      <c r="E137" s="16" t="s">
        <v>171</v>
      </c>
      <c r="F137" s="16" t="s">
        <v>1610</v>
      </c>
      <c r="G137" s="16" t="s">
        <v>39</v>
      </c>
      <c r="H137" s="16" t="s">
        <v>1608</v>
      </c>
      <c r="I137" s="15" t="s">
        <v>1609</v>
      </c>
      <c r="J137" s="15">
        <v>15</v>
      </c>
      <c r="K137" s="10" t="s">
        <v>718</v>
      </c>
      <c r="L137" s="10" t="s">
        <v>39</v>
      </c>
      <c r="M137" s="19" t="s">
        <v>39</v>
      </c>
      <c r="N137" s="17"/>
      <c r="Q137" s="16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35"/>
        <v>0</v>
      </c>
      <c r="AG137" s="1">
        <f t="shared" si="36"/>
        <v>0</v>
      </c>
      <c r="AH137" s="1">
        <f t="shared" si="37"/>
        <v>0</v>
      </c>
      <c r="AI137" s="1">
        <f t="shared" si="38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1228</v>
      </c>
      <c r="E138" s="32" t="s">
        <v>1230</v>
      </c>
      <c r="F138" s="32" t="s">
        <v>1231</v>
      </c>
      <c r="G138" s="32" t="s">
        <v>39</v>
      </c>
      <c r="H138" s="32" t="s">
        <v>367</v>
      </c>
      <c r="I138" s="31" t="s">
        <v>1229</v>
      </c>
      <c r="J138" s="31">
        <v>14</v>
      </c>
      <c r="K138" s="33" t="s">
        <v>945</v>
      </c>
      <c r="L138" s="33" t="s">
        <v>683</v>
      </c>
      <c r="M138" s="34" t="s">
        <v>1380</v>
      </c>
      <c r="N138" s="34" t="s">
        <v>1717</v>
      </c>
      <c r="O138" s="35">
        <v>1</v>
      </c>
      <c r="P138" s="35">
        <v>1</v>
      </c>
      <c r="Q138" s="32"/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1</v>
      </c>
      <c r="AE138" s="1">
        <f t="shared" si="50"/>
        <v>0</v>
      </c>
      <c r="AF138" s="1">
        <f t="shared" si="35"/>
        <v>1</v>
      </c>
      <c r="AG138" s="1">
        <f t="shared" si="36"/>
        <v>0</v>
      </c>
      <c r="AH138" s="1">
        <f t="shared" si="37"/>
        <v>1</v>
      </c>
      <c r="AI138" s="1">
        <f t="shared" si="38"/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129</v>
      </c>
      <c r="E139" s="32" t="s">
        <v>175</v>
      </c>
      <c r="F139" s="32" t="s">
        <v>329</v>
      </c>
      <c r="G139" s="32" t="s">
        <v>181</v>
      </c>
      <c r="H139" s="32" t="s">
        <v>352</v>
      </c>
      <c r="I139" s="31" t="s">
        <v>476</v>
      </c>
      <c r="J139" s="31">
        <v>99</v>
      </c>
      <c r="K139" s="33" t="s">
        <v>944</v>
      </c>
      <c r="L139" s="33" t="s">
        <v>39</v>
      </c>
      <c r="M139" s="34" t="s">
        <v>39</v>
      </c>
      <c r="N139" s="34" t="s">
        <v>1717</v>
      </c>
      <c r="O139" s="35">
        <v>1</v>
      </c>
      <c r="P139" s="35">
        <v>1</v>
      </c>
      <c r="Q139" s="32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910</v>
      </c>
      <c r="E140" s="32" t="s">
        <v>171</v>
      </c>
      <c r="F140" s="32" t="s">
        <v>922</v>
      </c>
      <c r="G140" s="32" t="s">
        <v>234</v>
      </c>
      <c r="H140" s="32" t="s">
        <v>352</v>
      </c>
      <c r="I140" s="31" t="s">
        <v>935</v>
      </c>
      <c r="J140" s="31">
        <v>99</v>
      </c>
      <c r="K140" s="33" t="s">
        <v>718</v>
      </c>
      <c r="L140" s="33">
        <v>45</v>
      </c>
      <c r="M140" s="34" t="s">
        <v>39</v>
      </c>
      <c r="N140" s="34" t="s">
        <v>1785</v>
      </c>
      <c r="O140" s="35">
        <v>1</v>
      </c>
      <c r="P140" s="35"/>
      <c r="Q140" s="32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35"/>
        <v>0</v>
      </c>
      <c r="AG140" s="1">
        <f t="shared" si="36"/>
        <v>1</v>
      </c>
      <c r="AH140" s="1">
        <f t="shared" si="37"/>
        <v>0</v>
      </c>
      <c r="AI140" s="1">
        <f t="shared" si="38"/>
        <v>1</v>
      </c>
    </row>
    <row r="141" spans="1:35" ht="14.25" customHeight="1" x14ac:dyDescent="0.25">
      <c r="A141" s="44">
        <v>0</v>
      </c>
      <c r="B141" s="44">
        <v>1</v>
      </c>
      <c r="C141" s="44">
        <v>3</v>
      </c>
      <c r="D141" s="45" t="s">
        <v>78</v>
      </c>
      <c r="E141" s="45" t="s">
        <v>606</v>
      </c>
      <c r="F141" s="45" t="s">
        <v>306</v>
      </c>
      <c r="G141" s="45" t="s">
        <v>39</v>
      </c>
      <c r="H141" s="45" t="s">
        <v>360</v>
      </c>
      <c r="I141" s="44" t="s">
        <v>454</v>
      </c>
      <c r="J141" s="44">
        <v>12</v>
      </c>
      <c r="K141" s="46" t="s">
        <v>699</v>
      </c>
      <c r="L141" s="46">
        <v>40</v>
      </c>
      <c r="M141" s="47" t="s">
        <v>958</v>
      </c>
      <c r="N141" s="47" t="s">
        <v>1786</v>
      </c>
      <c r="O141" s="48"/>
      <c r="P141" s="48"/>
      <c r="Q141" s="45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0</v>
      </c>
      <c r="AF141" s="1">
        <f t="shared" ref="AF141:AF206" si="51">+O141*P141*(1-A141)</f>
        <v>0</v>
      </c>
      <c r="AG141" s="1">
        <f t="shared" ref="AG141:AG206" si="52">O141*(1-P141)*(1-A141)</f>
        <v>0</v>
      </c>
      <c r="AH141" s="1">
        <f t="shared" ref="AH141:AH206" si="53">+P141*(1-A141)</f>
        <v>0</v>
      </c>
      <c r="AI141" s="1">
        <f t="shared" ref="AI141:AI206" si="54">+(1-A141)*(1-P141)</f>
        <v>1</v>
      </c>
    </row>
    <row r="142" spans="1:35" ht="14.25" customHeight="1" x14ac:dyDescent="0.25">
      <c r="A142" s="15">
        <v>0</v>
      </c>
      <c r="B142" s="15">
        <v>1</v>
      </c>
      <c r="C142" s="15">
        <v>3</v>
      </c>
      <c r="D142" s="16" t="s">
        <v>1566</v>
      </c>
      <c r="E142" s="16" t="s">
        <v>169</v>
      </c>
      <c r="F142" s="16" t="s">
        <v>1568</v>
      </c>
      <c r="G142" s="16"/>
      <c r="H142" s="16" t="s">
        <v>363</v>
      </c>
      <c r="I142" s="15" t="s">
        <v>1567</v>
      </c>
      <c r="J142" s="15">
        <v>18</v>
      </c>
      <c r="K142" s="10" t="s">
        <v>699</v>
      </c>
      <c r="L142" s="10" t="s">
        <v>684</v>
      </c>
      <c r="M142" s="19" t="s">
        <v>958</v>
      </c>
      <c r="N142" s="17"/>
      <c r="Q142" s="1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0</v>
      </c>
      <c r="AF142" s="1">
        <f t="shared" si="51"/>
        <v>0</v>
      </c>
      <c r="AG142" s="1">
        <f t="shared" si="52"/>
        <v>0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1271</v>
      </c>
      <c r="E143" s="32" t="s">
        <v>171</v>
      </c>
      <c r="F143" s="32" t="s">
        <v>1272</v>
      </c>
      <c r="G143" s="32" t="s">
        <v>237</v>
      </c>
      <c r="H143" s="32" t="s">
        <v>352</v>
      </c>
      <c r="I143" s="31" t="s">
        <v>1273</v>
      </c>
      <c r="J143" s="31">
        <v>4</v>
      </c>
      <c r="K143" s="33" t="s">
        <v>944</v>
      </c>
      <c r="L143" s="33" t="s">
        <v>39</v>
      </c>
      <c r="M143" s="34" t="s">
        <v>39</v>
      </c>
      <c r="N143" s="34" t="s">
        <v>1711</v>
      </c>
      <c r="O143" s="35">
        <v>1</v>
      </c>
      <c r="P143" s="35">
        <v>1</v>
      </c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1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1</v>
      </c>
      <c r="AE143" s="1">
        <f t="shared" si="50"/>
        <v>0</v>
      </c>
      <c r="AF143" s="1">
        <f t="shared" si="51"/>
        <v>1</v>
      </c>
      <c r="AG143" s="1">
        <f t="shared" si="52"/>
        <v>0</v>
      </c>
      <c r="AH143" s="1">
        <f t="shared" si="53"/>
        <v>1</v>
      </c>
      <c r="AI143" s="1">
        <f t="shared" si="54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644</v>
      </c>
      <c r="E144" s="32" t="s">
        <v>171</v>
      </c>
      <c r="F144" s="32" t="s">
        <v>653</v>
      </c>
      <c r="G144" s="32" t="s">
        <v>231</v>
      </c>
      <c r="H144" s="32" t="s">
        <v>352</v>
      </c>
      <c r="I144" s="31" t="s">
        <v>608</v>
      </c>
      <c r="J144" s="31">
        <v>99</v>
      </c>
      <c r="K144" s="33" t="s">
        <v>698</v>
      </c>
      <c r="L144" s="33" t="s">
        <v>39</v>
      </c>
      <c r="M144" s="34" t="s">
        <v>39</v>
      </c>
      <c r="N144" s="34" t="s">
        <v>1717</v>
      </c>
      <c r="O144" s="35">
        <v>1</v>
      </c>
      <c r="P144" s="35">
        <v>1</v>
      </c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1</v>
      </c>
      <c r="AE144" s="1">
        <f t="shared" si="50"/>
        <v>0</v>
      </c>
      <c r="AF144" s="1">
        <f t="shared" si="51"/>
        <v>1</v>
      </c>
      <c r="AG144" s="1">
        <f t="shared" si="52"/>
        <v>0</v>
      </c>
      <c r="AH144" s="1">
        <f t="shared" si="53"/>
        <v>1</v>
      </c>
      <c r="AI144" s="1">
        <f t="shared" si="54"/>
        <v>0</v>
      </c>
    </row>
    <row r="145" spans="1:35" ht="14.25" customHeight="1" x14ac:dyDescent="0.25">
      <c r="A145" s="38">
        <v>0</v>
      </c>
      <c r="B145" s="38">
        <v>1</v>
      </c>
      <c r="C145" s="38">
        <v>3</v>
      </c>
      <c r="D145" s="39" t="s">
        <v>864</v>
      </c>
      <c r="E145" s="39" t="s">
        <v>865</v>
      </c>
      <c r="F145" s="39" t="s">
        <v>866</v>
      </c>
      <c r="G145" s="39" t="s">
        <v>39</v>
      </c>
      <c r="H145" s="39" t="s">
        <v>364</v>
      </c>
      <c r="I145" s="38" t="s">
        <v>867</v>
      </c>
      <c r="J145" s="38">
        <v>18</v>
      </c>
      <c r="K145" s="40" t="s">
        <v>943</v>
      </c>
      <c r="L145" s="40" t="s">
        <v>39</v>
      </c>
      <c r="M145" s="41" t="s">
        <v>39</v>
      </c>
      <c r="N145" s="42"/>
      <c r="O145" s="43"/>
      <c r="P145" s="43">
        <v>1</v>
      </c>
      <c r="Q145" s="39"/>
      <c r="S145" s="1">
        <f t="shared" ref="S145:S210" si="55">IF(J145=$S$7,1,0)</f>
        <v>0</v>
      </c>
      <c r="T145" s="1">
        <f t="shared" ref="T145:T210" si="56">IF(J145=$T$7,1,0)</f>
        <v>0</v>
      </c>
      <c r="U145" s="1">
        <f t="shared" ref="U145:U210" si="57">IF(J145=$U$7,1,0)</f>
        <v>0</v>
      </c>
      <c r="V145" s="1">
        <f t="shared" ref="V145:V210" si="58">IF(J145=$V$7,1,0)</f>
        <v>0</v>
      </c>
      <c r="W145" s="1">
        <f t="shared" ref="W145:W210" si="59">IF(J145=$W$7,1,0)</f>
        <v>0</v>
      </c>
      <c r="X145" s="1">
        <f t="shared" ref="X145:X210" si="60">IF(J145=$X$7,1,0)</f>
        <v>0</v>
      </c>
      <c r="Y145" s="1">
        <f t="shared" ref="Y145:Y210" si="61">IF(J145=$Y$7,1,0)</f>
        <v>0</v>
      </c>
      <c r="Z145" s="1">
        <f t="shared" ref="Z145:Z210" si="62">IF(J145=$Z$7,1,0)</f>
        <v>0</v>
      </c>
      <c r="AA145" s="1">
        <f t="shared" ref="AA145:AA210" si="63">IF(J145=$AA$7,1,0)</f>
        <v>0</v>
      </c>
      <c r="AB145" s="1">
        <f t="shared" ref="AB145:AB210" si="64">IF(J145=$AB$7,1,0)</f>
        <v>0</v>
      </c>
      <c r="AD145" s="1">
        <f t="shared" ref="AD145:AD210" si="65">+O145*P145</f>
        <v>0</v>
      </c>
      <c r="AE145" s="1">
        <f t="shared" ref="AE145:AE210" si="66">O145*(1-P145)</f>
        <v>0</v>
      </c>
      <c r="AF145" s="1">
        <f t="shared" si="51"/>
        <v>0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1291</v>
      </c>
      <c r="E146" s="32" t="s">
        <v>171</v>
      </c>
      <c r="F146" s="32" t="s">
        <v>1292</v>
      </c>
      <c r="G146" s="32" t="s">
        <v>207</v>
      </c>
      <c r="H146" s="32" t="s">
        <v>352</v>
      </c>
      <c r="I146" s="31" t="s">
        <v>1293</v>
      </c>
      <c r="J146" s="31">
        <v>3</v>
      </c>
      <c r="K146" s="33" t="s">
        <v>943</v>
      </c>
      <c r="L146" s="33" t="s">
        <v>39</v>
      </c>
      <c r="M146" s="34" t="s">
        <v>39</v>
      </c>
      <c r="N146" s="34" t="s">
        <v>1717</v>
      </c>
      <c r="O146" s="35">
        <v>1</v>
      </c>
      <c r="P146" s="35">
        <v>1</v>
      </c>
      <c r="Q146" s="32"/>
      <c r="S146" s="1">
        <f t="shared" si="55"/>
        <v>0</v>
      </c>
      <c r="T146" s="1">
        <f t="shared" si="56"/>
        <v>0</v>
      </c>
      <c r="U146" s="1">
        <f t="shared" si="57"/>
        <v>1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D146" s="1">
        <f t="shared" si="65"/>
        <v>1</v>
      </c>
      <c r="AE146" s="1">
        <f t="shared" si="66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858</v>
      </c>
      <c r="E147" s="32" t="s">
        <v>169</v>
      </c>
      <c r="F147" s="32" t="s">
        <v>859</v>
      </c>
      <c r="G147" s="32" t="s">
        <v>39</v>
      </c>
      <c r="H147" s="32" t="s">
        <v>860</v>
      </c>
      <c r="I147" s="31" t="s">
        <v>936</v>
      </c>
      <c r="J147" s="31">
        <v>11</v>
      </c>
      <c r="K147" s="33" t="s">
        <v>698</v>
      </c>
      <c r="L147" s="33" t="s">
        <v>685</v>
      </c>
      <c r="M147" s="34" t="s">
        <v>958</v>
      </c>
      <c r="N147" s="34" t="s">
        <v>1739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si="51"/>
        <v>0</v>
      </c>
      <c r="AG147" s="1">
        <f t="shared" si="52"/>
        <v>1</v>
      </c>
      <c r="AH147" s="1">
        <f t="shared" si="53"/>
        <v>0</v>
      </c>
      <c r="AI147" s="1">
        <f t="shared" si="54"/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6" t="s">
        <v>502</v>
      </c>
      <c r="E148" s="36" t="s">
        <v>169</v>
      </c>
      <c r="F148" s="36" t="s">
        <v>503</v>
      </c>
      <c r="G148" s="36" t="s">
        <v>500</v>
      </c>
      <c r="H148" s="36" t="s">
        <v>352</v>
      </c>
      <c r="I148" s="37" t="s">
        <v>504</v>
      </c>
      <c r="J148" s="31">
        <v>99</v>
      </c>
      <c r="K148" s="33" t="s">
        <v>699</v>
      </c>
      <c r="L148" s="33">
        <v>40</v>
      </c>
      <c r="M148" s="34" t="s">
        <v>958</v>
      </c>
      <c r="N148" s="34" t="s">
        <v>1930</v>
      </c>
      <c r="O148" s="35">
        <v>1</v>
      </c>
      <c r="P148" s="35"/>
      <c r="Q148" s="36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si="51"/>
        <v>0</v>
      </c>
      <c r="AG148" s="1">
        <f t="shared" si="52"/>
        <v>1</v>
      </c>
      <c r="AH148" s="1">
        <f t="shared" si="53"/>
        <v>0</v>
      </c>
      <c r="AI148" s="1">
        <f t="shared" si="54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6" t="s">
        <v>1776</v>
      </c>
      <c r="E149" s="36" t="s">
        <v>1777</v>
      </c>
      <c r="F149" s="36" t="s">
        <v>1778</v>
      </c>
      <c r="G149" s="36" t="s">
        <v>1779</v>
      </c>
      <c r="H149" s="36" t="s">
        <v>352</v>
      </c>
      <c r="I149" s="37" t="s">
        <v>1780</v>
      </c>
      <c r="J149" s="31">
        <v>99</v>
      </c>
      <c r="K149" s="33" t="s">
        <v>699</v>
      </c>
      <c r="L149" s="33"/>
      <c r="M149" s="34"/>
      <c r="N149" s="34" t="s">
        <v>1717</v>
      </c>
      <c r="O149" s="35">
        <v>1</v>
      </c>
      <c r="P149" s="35">
        <v>1</v>
      </c>
      <c r="Q149" s="3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1</v>
      </c>
      <c r="AE149" s="1">
        <f t="shared" si="66"/>
        <v>0</v>
      </c>
      <c r="AF149" s="1">
        <f t="shared" si="51"/>
        <v>1</v>
      </c>
      <c r="AG149" s="1">
        <f t="shared" si="52"/>
        <v>0</v>
      </c>
      <c r="AH149" s="1">
        <f t="shared" si="53"/>
        <v>1</v>
      </c>
      <c r="AI149" s="1">
        <f t="shared" si="54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525</v>
      </c>
      <c r="E150" s="32" t="s">
        <v>169</v>
      </c>
      <c r="F150" s="32" t="s">
        <v>654</v>
      </c>
      <c r="G150" s="32" t="s">
        <v>39</v>
      </c>
      <c r="H150" s="32" t="s">
        <v>526</v>
      </c>
      <c r="I150" s="31" t="s">
        <v>527</v>
      </c>
      <c r="J150" s="31">
        <v>18</v>
      </c>
      <c r="K150" s="33" t="s">
        <v>943</v>
      </c>
      <c r="L150" s="33" t="s">
        <v>1726</v>
      </c>
      <c r="M150" s="34" t="s">
        <v>957</v>
      </c>
      <c r="N150" s="34" t="s">
        <v>1717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962</v>
      </c>
      <c r="E151" s="32" t="s">
        <v>174</v>
      </c>
      <c r="F151" s="32" t="s">
        <v>796</v>
      </c>
      <c r="G151" s="32" t="s">
        <v>39</v>
      </c>
      <c r="H151" s="32" t="s">
        <v>797</v>
      </c>
      <c r="I151" s="31" t="s">
        <v>798</v>
      </c>
      <c r="J151" s="31">
        <v>16</v>
      </c>
      <c r="K151" s="33" t="s">
        <v>944</v>
      </c>
      <c r="L151" s="33" t="s">
        <v>1125</v>
      </c>
      <c r="M151" s="34" t="s">
        <v>957</v>
      </c>
      <c r="N151" s="34" t="s">
        <v>1732</v>
      </c>
      <c r="O151" s="35">
        <v>1</v>
      </c>
      <c r="P151" s="35"/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0</v>
      </c>
      <c r="AE151" s="1">
        <f t="shared" si="66"/>
        <v>1</v>
      </c>
      <c r="AF151" s="1">
        <f t="shared" si="51"/>
        <v>0</v>
      </c>
      <c r="AG151" s="1">
        <f t="shared" si="52"/>
        <v>1</v>
      </c>
      <c r="AH151" s="1">
        <f t="shared" si="53"/>
        <v>0</v>
      </c>
      <c r="AI151" s="1">
        <f t="shared" si="54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1182</v>
      </c>
      <c r="E152" s="32" t="s">
        <v>171</v>
      </c>
      <c r="F152" s="32" t="s">
        <v>1183</v>
      </c>
      <c r="G152" s="32" t="s">
        <v>237</v>
      </c>
      <c r="H152" s="32" t="s">
        <v>352</v>
      </c>
      <c r="I152" s="31" t="s">
        <v>1184</v>
      </c>
      <c r="J152" s="31">
        <v>4</v>
      </c>
      <c r="K152" s="33" t="s">
        <v>950</v>
      </c>
      <c r="L152" s="33" t="s">
        <v>1683</v>
      </c>
      <c r="M152" s="34" t="s">
        <v>1588</v>
      </c>
      <c r="N152" s="34" t="s">
        <v>1711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1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51"/>
        <v>1</v>
      </c>
      <c r="AG152" s="1">
        <f t="shared" si="52"/>
        <v>0</v>
      </c>
      <c r="AH152" s="1">
        <f t="shared" si="53"/>
        <v>1</v>
      </c>
      <c r="AI152" s="1">
        <f t="shared" si="54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1625</v>
      </c>
      <c r="E153" s="32" t="s">
        <v>169</v>
      </c>
      <c r="F153" s="32" t="s">
        <v>1460</v>
      </c>
      <c r="G153" s="32" t="s">
        <v>1653</v>
      </c>
      <c r="H153" s="32" t="s">
        <v>352</v>
      </c>
      <c r="I153" s="31" t="s">
        <v>1459</v>
      </c>
      <c r="J153" s="31">
        <v>99</v>
      </c>
      <c r="K153" s="33" t="s">
        <v>698</v>
      </c>
      <c r="L153" s="33" t="s">
        <v>1688</v>
      </c>
      <c r="M153" s="34" t="s">
        <v>1461</v>
      </c>
      <c r="N153" s="34" t="s">
        <v>1733</v>
      </c>
      <c r="O153" s="35">
        <v>1</v>
      </c>
      <c r="P153" s="35"/>
      <c r="Q153" s="32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1</v>
      </c>
      <c r="AF153" s="1">
        <f t="shared" si="51"/>
        <v>0</v>
      </c>
      <c r="AG153" s="1">
        <f t="shared" si="52"/>
        <v>1</v>
      </c>
      <c r="AH153" s="1">
        <f t="shared" si="53"/>
        <v>0</v>
      </c>
      <c r="AI153" s="1">
        <f t="shared" si="54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6" t="s">
        <v>2059</v>
      </c>
      <c r="E154" s="36" t="s">
        <v>171</v>
      </c>
      <c r="F154" s="36" t="s">
        <v>2060</v>
      </c>
      <c r="G154" s="32"/>
      <c r="H154" s="36" t="s">
        <v>607</v>
      </c>
      <c r="I154" s="37" t="s">
        <v>2061</v>
      </c>
      <c r="J154" s="31">
        <v>14</v>
      </c>
      <c r="K154" s="33" t="s">
        <v>699</v>
      </c>
      <c r="L154" s="33"/>
      <c r="M154" s="34"/>
      <c r="N154" s="34" t="s">
        <v>1717</v>
      </c>
      <c r="O154" s="35">
        <v>1</v>
      </c>
      <c r="P154" s="35">
        <v>1</v>
      </c>
      <c r="Q154" s="32" t="s">
        <v>2062</v>
      </c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1</v>
      </c>
      <c r="AE154" s="1">
        <f t="shared" si="66"/>
        <v>0</v>
      </c>
      <c r="AF154" s="1">
        <f t="shared" si="51"/>
        <v>1</v>
      </c>
      <c r="AG154" s="1">
        <f t="shared" si="52"/>
        <v>0</v>
      </c>
      <c r="AH154" s="1">
        <f t="shared" si="53"/>
        <v>1</v>
      </c>
      <c r="AI154" s="1">
        <f t="shared" si="54"/>
        <v>0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20" t="s">
        <v>1932</v>
      </c>
      <c r="E155" s="20" t="s">
        <v>171</v>
      </c>
      <c r="F155" s="20" t="s">
        <v>1947</v>
      </c>
      <c r="G155" s="20"/>
      <c r="H155" s="20" t="s">
        <v>1946</v>
      </c>
      <c r="I155" s="21" t="s">
        <v>1945</v>
      </c>
      <c r="J155" s="15">
        <v>14</v>
      </c>
      <c r="K155" s="10" t="s">
        <v>699</v>
      </c>
      <c r="L155" s="10" t="s">
        <v>693</v>
      </c>
      <c r="M155" s="19" t="s">
        <v>958</v>
      </c>
      <c r="N155" s="17"/>
      <c r="Q155" s="20" t="s">
        <v>1948</v>
      </c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51"/>
        <v>0</v>
      </c>
      <c r="AG155" s="1">
        <f t="shared" si="52"/>
        <v>0</v>
      </c>
      <c r="AH155" s="1">
        <f t="shared" si="53"/>
        <v>0</v>
      </c>
      <c r="AI155" s="1">
        <f t="shared" si="54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144</v>
      </c>
      <c r="E156" s="32" t="s">
        <v>171</v>
      </c>
      <c r="F156" s="32" t="s">
        <v>345</v>
      </c>
      <c r="G156" s="32" t="s">
        <v>39</v>
      </c>
      <c r="H156" s="32" t="s">
        <v>376</v>
      </c>
      <c r="I156" s="31" t="s">
        <v>1346</v>
      </c>
      <c r="J156" s="31">
        <v>14</v>
      </c>
      <c r="K156" s="33" t="s">
        <v>943</v>
      </c>
      <c r="L156" s="33" t="s">
        <v>685</v>
      </c>
      <c r="M156" s="34" t="s">
        <v>687</v>
      </c>
      <c r="N156" s="34" t="s">
        <v>1732</v>
      </c>
      <c r="O156" s="35">
        <v>1</v>
      </c>
      <c r="P156" s="35"/>
      <c r="Q156" s="32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1551</v>
      </c>
      <c r="E157" s="32" t="s">
        <v>171</v>
      </c>
      <c r="F157" s="32" t="s">
        <v>1552</v>
      </c>
      <c r="G157" s="32" t="s">
        <v>39</v>
      </c>
      <c r="H157" s="32" t="s">
        <v>1553</v>
      </c>
      <c r="I157" s="31" t="s">
        <v>1554</v>
      </c>
      <c r="J157" s="31">
        <v>17</v>
      </c>
      <c r="K157" s="33" t="s">
        <v>718</v>
      </c>
      <c r="L157" s="33" t="s">
        <v>39</v>
      </c>
      <c r="M157" s="34" t="s">
        <v>39</v>
      </c>
      <c r="N157" s="34" t="s">
        <v>1717</v>
      </c>
      <c r="O157" s="35">
        <v>1</v>
      </c>
      <c r="P157" s="35">
        <v>1</v>
      </c>
      <c r="Q157" s="32" t="s">
        <v>1897</v>
      </c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51"/>
        <v>1</v>
      </c>
      <c r="AG157" s="1">
        <f t="shared" si="52"/>
        <v>0</v>
      </c>
      <c r="AH157" s="1">
        <f t="shared" si="53"/>
        <v>1</v>
      </c>
      <c r="AI157" s="1">
        <f t="shared" si="54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152</v>
      </c>
      <c r="E158" s="32" t="s">
        <v>171</v>
      </c>
      <c r="F158" s="32" t="s">
        <v>351</v>
      </c>
      <c r="G158" s="32" t="s">
        <v>39</v>
      </c>
      <c r="H158" s="32" t="s">
        <v>1853</v>
      </c>
      <c r="I158" s="31" t="s">
        <v>497</v>
      </c>
      <c r="J158" s="31">
        <v>14</v>
      </c>
      <c r="K158" s="33" t="s">
        <v>698</v>
      </c>
      <c r="L158" s="33" t="s">
        <v>685</v>
      </c>
      <c r="M158" s="34" t="s">
        <v>957</v>
      </c>
      <c r="N158" s="34" t="s">
        <v>1732</v>
      </c>
      <c r="O158" s="35">
        <v>1</v>
      </c>
      <c r="P158" s="35"/>
      <c r="Q158" s="32" t="s">
        <v>1880</v>
      </c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51"/>
        <v>0</v>
      </c>
      <c r="AG158" s="1">
        <f t="shared" si="52"/>
        <v>1</v>
      </c>
      <c r="AH158" s="1">
        <f t="shared" si="53"/>
        <v>0</v>
      </c>
      <c r="AI158" s="1">
        <f t="shared" si="5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735</v>
      </c>
      <c r="E159" s="16" t="s">
        <v>171</v>
      </c>
      <c r="F159" s="16" t="s">
        <v>736</v>
      </c>
      <c r="G159" s="16" t="s">
        <v>39</v>
      </c>
      <c r="H159" s="16" t="s">
        <v>737</v>
      </c>
      <c r="I159" s="15" t="s">
        <v>738</v>
      </c>
      <c r="J159" s="15">
        <v>17</v>
      </c>
      <c r="K159" s="10" t="s">
        <v>718</v>
      </c>
      <c r="L159" s="10" t="s">
        <v>693</v>
      </c>
      <c r="M159" s="19" t="s">
        <v>687</v>
      </c>
      <c r="N159" s="17"/>
      <c r="Q159" s="16" t="s">
        <v>1871</v>
      </c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0</v>
      </c>
      <c r="AF159" s="1">
        <f t="shared" si="51"/>
        <v>0</v>
      </c>
      <c r="AG159" s="1">
        <f t="shared" si="52"/>
        <v>0</v>
      </c>
      <c r="AH159" s="1">
        <f t="shared" si="53"/>
        <v>0</v>
      </c>
      <c r="AI159" s="1">
        <f t="shared" si="54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893</v>
      </c>
      <c r="E160" s="45" t="s">
        <v>171</v>
      </c>
      <c r="F160" s="45" t="s">
        <v>1083</v>
      </c>
      <c r="G160" s="45" t="s">
        <v>39</v>
      </c>
      <c r="H160" s="45" t="s">
        <v>895</v>
      </c>
      <c r="I160" s="44" t="s">
        <v>894</v>
      </c>
      <c r="J160" s="44">
        <v>11</v>
      </c>
      <c r="K160" s="46" t="s">
        <v>944</v>
      </c>
      <c r="L160" s="46">
        <v>60</v>
      </c>
      <c r="M160" s="47" t="s">
        <v>39</v>
      </c>
      <c r="N160" s="47" t="s">
        <v>1723</v>
      </c>
      <c r="O160" s="48"/>
      <c r="P160" s="48"/>
      <c r="Q160" s="45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0</v>
      </c>
      <c r="AF160" s="1">
        <f t="shared" si="51"/>
        <v>0</v>
      </c>
      <c r="AG160" s="1">
        <f t="shared" si="52"/>
        <v>0</v>
      </c>
      <c r="AH160" s="1">
        <f t="shared" si="53"/>
        <v>0</v>
      </c>
      <c r="AI160" s="1">
        <f t="shared" si="54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122</v>
      </c>
      <c r="E161" s="32" t="s">
        <v>174</v>
      </c>
      <c r="F161" s="32" t="s">
        <v>322</v>
      </c>
      <c r="G161" s="32" t="s">
        <v>39</v>
      </c>
      <c r="H161" s="32" t="s">
        <v>361</v>
      </c>
      <c r="I161" s="31" t="s">
        <v>467</v>
      </c>
      <c r="J161" s="31">
        <v>14</v>
      </c>
      <c r="K161" s="33" t="s">
        <v>718</v>
      </c>
      <c r="L161" s="33" t="s">
        <v>689</v>
      </c>
      <c r="M161" s="34" t="s">
        <v>1363</v>
      </c>
      <c r="N161" s="34" t="s">
        <v>1833</v>
      </c>
      <c r="O161" s="35">
        <v>1</v>
      </c>
      <c r="P161" s="35"/>
      <c r="Q161" s="36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51"/>
        <v>0</v>
      </c>
      <c r="AG161" s="1">
        <f t="shared" si="52"/>
        <v>1</v>
      </c>
      <c r="AH161" s="1">
        <f t="shared" si="53"/>
        <v>0</v>
      </c>
      <c r="AI161" s="1">
        <f t="shared" si="54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1153</v>
      </c>
      <c r="E162" s="32" t="s">
        <v>171</v>
      </c>
      <c r="F162" s="32" t="s">
        <v>1155</v>
      </c>
      <c r="G162" s="32" t="s">
        <v>758</v>
      </c>
      <c r="H162" s="32" t="s">
        <v>352</v>
      </c>
      <c r="I162" s="31" t="s">
        <v>1154</v>
      </c>
      <c r="J162" s="31">
        <v>99</v>
      </c>
      <c r="K162" s="33" t="s">
        <v>699</v>
      </c>
      <c r="L162" s="33">
        <v>30</v>
      </c>
      <c r="M162" s="34" t="s">
        <v>957</v>
      </c>
      <c r="N162" s="34" t="s">
        <v>1809</v>
      </c>
      <c r="O162" s="35">
        <v>1</v>
      </c>
      <c r="P162" s="35"/>
      <c r="Q162" s="36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1</v>
      </c>
      <c r="AF162" s="1">
        <f t="shared" si="51"/>
        <v>0</v>
      </c>
      <c r="AG162" s="1">
        <f t="shared" si="52"/>
        <v>1</v>
      </c>
      <c r="AH162" s="1">
        <f t="shared" si="53"/>
        <v>0</v>
      </c>
      <c r="AI162" s="1">
        <f t="shared" si="54"/>
        <v>1</v>
      </c>
    </row>
    <row r="163" spans="1:35" s="1" customFormat="1" ht="14.25" customHeight="1" x14ac:dyDescent="0.25">
      <c r="A163" s="31">
        <v>0</v>
      </c>
      <c r="B163" s="31">
        <v>1</v>
      </c>
      <c r="C163" s="31">
        <v>3</v>
      </c>
      <c r="D163" s="32" t="s">
        <v>2021</v>
      </c>
      <c r="E163" s="32" t="s">
        <v>171</v>
      </c>
      <c r="F163" s="32" t="s">
        <v>2022</v>
      </c>
      <c r="G163" s="32"/>
      <c r="H163" s="32" t="s">
        <v>352</v>
      </c>
      <c r="I163" s="31" t="s">
        <v>2023</v>
      </c>
      <c r="J163" s="31">
        <v>18</v>
      </c>
      <c r="K163" s="33" t="s">
        <v>699</v>
      </c>
      <c r="L163" s="33"/>
      <c r="M163" s="34"/>
      <c r="N163" s="34" t="s">
        <v>1717</v>
      </c>
      <c r="O163" s="35">
        <v>1</v>
      </c>
      <c r="P163" s="35">
        <v>1</v>
      </c>
      <c r="Q163" s="36" t="s">
        <v>2024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1</v>
      </c>
      <c r="AE163" s="1">
        <f t="shared" si="66"/>
        <v>0</v>
      </c>
      <c r="AF163" s="1">
        <f t="shared" si="51"/>
        <v>1</v>
      </c>
      <c r="AG163" s="1">
        <f t="shared" si="52"/>
        <v>0</v>
      </c>
      <c r="AH163" s="1">
        <f t="shared" si="53"/>
        <v>1</v>
      </c>
      <c r="AI163" s="1">
        <f t="shared" si="54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739</v>
      </c>
      <c r="E164" s="16" t="s">
        <v>169</v>
      </c>
      <c r="F164" s="16" t="s">
        <v>740</v>
      </c>
      <c r="G164" s="16" t="s">
        <v>39</v>
      </c>
      <c r="H164" s="16" t="s">
        <v>741</v>
      </c>
      <c r="I164" s="15" t="s">
        <v>742</v>
      </c>
      <c r="J164" s="15">
        <v>17</v>
      </c>
      <c r="K164" s="10" t="s">
        <v>699</v>
      </c>
      <c r="L164" s="10" t="s">
        <v>693</v>
      </c>
      <c r="M164" s="19" t="s">
        <v>958</v>
      </c>
      <c r="N164" s="17"/>
      <c r="Q164" s="16"/>
      <c r="S164" s="1">
        <f t="shared" ref="S164:S170" si="67">IF(J164=$S$7,1,0)</f>
        <v>0</v>
      </c>
      <c r="T164" s="1">
        <f t="shared" ref="T164:T170" si="68">IF(J164=$T$7,1,0)</f>
        <v>0</v>
      </c>
      <c r="U164" s="1">
        <f t="shared" ref="U164:U170" si="69">IF(J164=$U$7,1,0)</f>
        <v>0</v>
      </c>
      <c r="V164" s="1">
        <f t="shared" ref="V164:V170" si="70">IF(J164=$V$7,1,0)</f>
        <v>0</v>
      </c>
      <c r="W164" s="1">
        <f t="shared" ref="W164:W170" si="71">IF(J164=$W$7,1,0)</f>
        <v>0</v>
      </c>
      <c r="X164" s="1">
        <f t="shared" ref="X164:X170" si="72">IF(J164=$X$7,1,0)</f>
        <v>0</v>
      </c>
      <c r="Y164" s="1">
        <f t="shared" ref="Y164:Y170" si="73">IF(J164=$Y$7,1,0)</f>
        <v>0</v>
      </c>
      <c r="Z164" s="1">
        <f t="shared" ref="Z164:Z170" si="74">IF(J164=$Z$7,1,0)</f>
        <v>0</v>
      </c>
      <c r="AA164" s="1">
        <f t="shared" ref="AA164:AA170" si="75">IF(J164=$AA$7,1,0)</f>
        <v>0</v>
      </c>
      <c r="AB164" s="1">
        <f t="shared" ref="AB164:AB170" si="76">IF(J164=$AB$7,1,0)</f>
        <v>0</v>
      </c>
      <c r="AD164" s="1">
        <f t="shared" ref="AD164:AD170" si="77">+O164*P164</f>
        <v>0</v>
      </c>
      <c r="AE164" s="1">
        <f t="shared" ref="AE164:AE170" si="78">O164*(1-P164)</f>
        <v>0</v>
      </c>
      <c r="AF164" s="1">
        <f t="shared" ref="AF164:AF170" si="79">+O164*P164*(1-A164)</f>
        <v>0</v>
      </c>
      <c r="AG164" s="1">
        <f t="shared" ref="AG164:AG170" si="80">O164*(1-P164)*(1-A164)</f>
        <v>0</v>
      </c>
      <c r="AH164" s="1">
        <f t="shared" ref="AH164:AH170" si="81">+P164*(1-A164)</f>
        <v>0</v>
      </c>
      <c r="AI164" s="1">
        <f t="shared" ref="AI164:AI170" si="82">+(1-A164)*(1-P164)</f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20" t="s">
        <v>1931</v>
      </c>
      <c r="E165" s="20" t="s">
        <v>171</v>
      </c>
      <c r="F165" s="20" t="s">
        <v>1941</v>
      </c>
      <c r="G165" s="20"/>
      <c r="H165" s="20" t="s">
        <v>1942</v>
      </c>
      <c r="I165" s="21" t="s">
        <v>1943</v>
      </c>
      <c r="J165" s="15">
        <v>16</v>
      </c>
      <c r="K165" s="10" t="s">
        <v>699</v>
      </c>
      <c r="L165" s="10" t="s">
        <v>693</v>
      </c>
      <c r="M165" s="19" t="s">
        <v>958</v>
      </c>
      <c r="N165" s="17"/>
      <c r="Q165" s="20" t="s">
        <v>1940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0</v>
      </c>
      <c r="AE165" s="1">
        <f t="shared" si="78"/>
        <v>0</v>
      </c>
      <c r="AF165" s="1">
        <f t="shared" si="79"/>
        <v>0</v>
      </c>
      <c r="AG165" s="1">
        <f t="shared" si="80"/>
        <v>0</v>
      </c>
      <c r="AH165" s="1">
        <f t="shared" si="81"/>
        <v>0</v>
      </c>
      <c r="AI165" s="1">
        <f t="shared" si="82"/>
        <v>1</v>
      </c>
    </row>
    <row r="166" spans="1:35" s="1" customFormat="1" ht="14.25" customHeight="1" x14ac:dyDescent="0.25">
      <c r="A166" s="44">
        <v>0</v>
      </c>
      <c r="B166" s="44">
        <v>1</v>
      </c>
      <c r="C166" s="44">
        <v>3</v>
      </c>
      <c r="D166" s="45" t="s">
        <v>825</v>
      </c>
      <c r="E166" s="45" t="s">
        <v>903</v>
      </c>
      <c r="F166" s="45" t="s">
        <v>826</v>
      </c>
      <c r="G166" s="45" t="s">
        <v>207</v>
      </c>
      <c r="H166" s="45" t="s">
        <v>352</v>
      </c>
      <c r="I166" s="44" t="s">
        <v>827</v>
      </c>
      <c r="J166" s="44">
        <v>3</v>
      </c>
      <c r="K166" s="46" t="s">
        <v>718</v>
      </c>
      <c r="L166" s="46" t="s">
        <v>689</v>
      </c>
      <c r="M166" s="47" t="s">
        <v>694</v>
      </c>
      <c r="N166" s="47" t="s">
        <v>1724</v>
      </c>
      <c r="O166" s="48"/>
      <c r="P166" s="48"/>
      <c r="Q166" s="45"/>
      <c r="S166" s="1">
        <f t="shared" si="67"/>
        <v>0</v>
      </c>
      <c r="T166" s="1">
        <f t="shared" si="68"/>
        <v>0</v>
      </c>
      <c r="U166" s="1">
        <f t="shared" si="69"/>
        <v>1</v>
      </c>
      <c r="V166" s="1">
        <f t="shared" si="70"/>
        <v>0</v>
      </c>
      <c r="W166" s="1">
        <f t="shared" si="71"/>
        <v>0</v>
      </c>
      <c r="X166" s="1">
        <f t="shared" si="72"/>
        <v>0</v>
      </c>
      <c r="Y166" s="1">
        <f t="shared" si="73"/>
        <v>0</v>
      </c>
      <c r="Z166" s="1">
        <f t="shared" si="74"/>
        <v>0</v>
      </c>
      <c r="AA166" s="1">
        <f t="shared" si="75"/>
        <v>0</v>
      </c>
      <c r="AB166" s="1">
        <f t="shared" si="76"/>
        <v>0</v>
      </c>
      <c r="AD166" s="1">
        <f t="shared" si="77"/>
        <v>0</v>
      </c>
      <c r="AE166" s="1">
        <f t="shared" si="78"/>
        <v>0</v>
      </c>
      <c r="AF166" s="1">
        <f t="shared" si="79"/>
        <v>0</v>
      </c>
      <c r="AG166" s="1">
        <f t="shared" si="80"/>
        <v>0</v>
      </c>
      <c r="AH166" s="1">
        <f t="shared" si="81"/>
        <v>0</v>
      </c>
      <c r="AI166" s="1">
        <f t="shared" si="82"/>
        <v>1</v>
      </c>
    </row>
    <row r="167" spans="1:35" s="1" customFormat="1" ht="14.25" customHeight="1" x14ac:dyDescent="0.25">
      <c r="A167" s="31">
        <v>0</v>
      </c>
      <c r="B167" s="31">
        <v>1</v>
      </c>
      <c r="C167" s="31">
        <v>3</v>
      </c>
      <c r="D167" s="32" t="s">
        <v>2098</v>
      </c>
      <c r="E167" s="32" t="s">
        <v>174</v>
      </c>
      <c r="F167" s="32" t="s">
        <v>2099</v>
      </c>
      <c r="G167" s="32"/>
      <c r="H167" s="32" t="s">
        <v>2100</v>
      </c>
      <c r="I167" s="37" t="s">
        <v>2101</v>
      </c>
      <c r="J167" s="31">
        <v>16</v>
      </c>
      <c r="K167" s="33" t="s">
        <v>699</v>
      </c>
      <c r="L167" s="33"/>
      <c r="M167" s="34"/>
      <c r="N167" s="34" t="s">
        <v>1711</v>
      </c>
      <c r="O167" s="35">
        <v>1</v>
      </c>
      <c r="P167" s="35">
        <v>1</v>
      </c>
      <c r="Q167" s="36" t="s">
        <v>2102</v>
      </c>
      <c r="S167" s="1">
        <f t="shared" si="67"/>
        <v>0</v>
      </c>
      <c r="T167" s="1">
        <f t="shared" si="68"/>
        <v>0</v>
      </c>
      <c r="U167" s="1">
        <f t="shared" si="69"/>
        <v>0</v>
      </c>
      <c r="V167" s="1">
        <f t="shared" si="70"/>
        <v>0</v>
      </c>
      <c r="W167" s="1">
        <f t="shared" si="71"/>
        <v>0</v>
      </c>
      <c r="X167" s="1">
        <f t="shared" si="72"/>
        <v>0</v>
      </c>
      <c r="Y167" s="1">
        <f t="shared" si="73"/>
        <v>0</v>
      </c>
      <c r="Z167" s="1">
        <f t="shared" si="74"/>
        <v>0</v>
      </c>
      <c r="AA167" s="1">
        <f t="shared" si="75"/>
        <v>0</v>
      </c>
      <c r="AB167" s="1">
        <f t="shared" si="76"/>
        <v>0</v>
      </c>
      <c r="AD167" s="1">
        <f t="shared" si="77"/>
        <v>1</v>
      </c>
      <c r="AE167" s="1">
        <f t="shared" si="78"/>
        <v>0</v>
      </c>
      <c r="AF167" s="1">
        <f t="shared" si="79"/>
        <v>1</v>
      </c>
      <c r="AG167" s="1">
        <f t="shared" si="80"/>
        <v>0</v>
      </c>
      <c r="AH167" s="1">
        <f t="shared" si="81"/>
        <v>1</v>
      </c>
      <c r="AI167" s="1">
        <f t="shared" si="82"/>
        <v>0</v>
      </c>
    </row>
    <row r="168" spans="1:35" s="1" customFormat="1" ht="14.25" customHeight="1" x14ac:dyDescent="0.25">
      <c r="A168" s="15">
        <v>0</v>
      </c>
      <c r="B168" s="15">
        <v>1</v>
      </c>
      <c r="C168" s="15">
        <v>3</v>
      </c>
      <c r="D168" s="20" t="s">
        <v>1936</v>
      </c>
      <c r="E168" s="20" t="s">
        <v>171</v>
      </c>
      <c r="F168" s="20" t="s">
        <v>1938</v>
      </c>
      <c r="G168" s="20"/>
      <c r="H168" s="20" t="s">
        <v>1939</v>
      </c>
      <c r="I168" s="21" t="s">
        <v>1937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1944</v>
      </c>
      <c r="S168" s="1">
        <f t="shared" si="67"/>
        <v>0</v>
      </c>
      <c r="T168" s="1">
        <f t="shared" si="68"/>
        <v>0</v>
      </c>
      <c r="U168" s="1">
        <f t="shared" si="69"/>
        <v>0</v>
      </c>
      <c r="V168" s="1">
        <f t="shared" si="70"/>
        <v>0</v>
      </c>
      <c r="W168" s="1">
        <f t="shared" si="71"/>
        <v>0</v>
      </c>
      <c r="X168" s="1">
        <f t="shared" si="72"/>
        <v>0</v>
      </c>
      <c r="Y168" s="1">
        <f t="shared" si="73"/>
        <v>0</v>
      </c>
      <c r="Z168" s="1">
        <f t="shared" si="74"/>
        <v>0</v>
      </c>
      <c r="AA168" s="1">
        <f t="shared" si="75"/>
        <v>0</v>
      </c>
      <c r="AB168" s="1">
        <f t="shared" si="76"/>
        <v>0</v>
      </c>
      <c r="AD168" s="1">
        <f t="shared" si="77"/>
        <v>0</v>
      </c>
      <c r="AE168" s="1">
        <f t="shared" si="78"/>
        <v>0</v>
      </c>
      <c r="AF168" s="1">
        <f t="shared" si="79"/>
        <v>0</v>
      </c>
      <c r="AG168" s="1">
        <f t="shared" si="80"/>
        <v>0</v>
      </c>
      <c r="AH168" s="1">
        <f t="shared" si="81"/>
        <v>0</v>
      </c>
      <c r="AI168" s="1">
        <f t="shared" si="82"/>
        <v>1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1193</v>
      </c>
      <c r="E169" s="32" t="s">
        <v>171</v>
      </c>
      <c r="F169" s="32" t="s">
        <v>1195</v>
      </c>
      <c r="G169" s="32" t="s">
        <v>184</v>
      </c>
      <c r="H169" s="32" t="s">
        <v>352</v>
      </c>
      <c r="I169" s="31" t="s">
        <v>1194</v>
      </c>
      <c r="J169" s="31">
        <v>99</v>
      </c>
      <c r="K169" s="33" t="s">
        <v>945</v>
      </c>
      <c r="L169" s="33" t="s">
        <v>685</v>
      </c>
      <c r="M169" s="34" t="s">
        <v>958</v>
      </c>
      <c r="N169" s="34" t="s">
        <v>1733</v>
      </c>
      <c r="O169" s="35">
        <v>1</v>
      </c>
      <c r="P169" s="35"/>
      <c r="Q169" s="32"/>
      <c r="S169" s="1">
        <f t="shared" si="67"/>
        <v>0</v>
      </c>
      <c r="T169" s="1">
        <f t="shared" si="68"/>
        <v>0</v>
      </c>
      <c r="U169" s="1">
        <f t="shared" si="69"/>
        <v>0</v>
      </c>
      <c r="V169" s="1">
        <f t="shared" si="70"/>
        <v>0</v>
      </c>
      <c r="W169" s="1">
        <f t="shared" si="71"/>
        <v>0</v>
      </c>
      <c r="X169" s="1">
        <f t="shared" si="72"/>
        <v>0</v>
      </c>
      <c r="Y169" s="1">
        <f t="shared" si="73"/>
        <v>0</v>
      </c>
      <c r="Z169" s="1">
        <f t="shared" si="74"/>
        <v>0</v>
      </c>
      <c r="AA169" s="1">
        <f t="shared" si="75"/>
        <v>0</v>
      </c>
      <c r="AB169" s="1">
        <f t="shared" si="76"/>
        <v>0</v>
      </c>
      <c r="AD169" s="1">
        <f t="shared" si="77"/>
        <v>0</v>
      </c>
      <c r="AE169" s="1">
        <f t="shared" si="78"/>
        <v>1</v>
      </c>
      <c r="AF169" s="1">
        <f t="shared" si="79"/>
        <v>0</v>
      </c>
      <c r="AG169" s="1">
        <f t="shared" si="80"/>
        <v>1</v>
      </c>
      <c r="AH169" s="1">
        <f t="shared" si="81"/>
        <v>0</v>
      </c>
      <c r="AI169" s="1">
        <f t="shared" si="82"/>
        <v>1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628</v>
      </c>
      <c r="E170" s="32" t="s">
        <v>169</v>
      </c>
      <c r="F170" s="32" t="s">
        <v>629</v>
      </c>
      <c r="G170" s="32" t="s">
        <v>193</v>
      </c>
      <c r="H170" s="32" t="s">
        <v>352</v>
      </c>
      <c r="I170" s="31" t="s">
        <v>630</v>
      </c>
      <c r="J170" s="31">
        <v>9</v>
      </c>
      <c r="K170" s="33" t="s">
        <v>944</v>
      </c>
      <c r="L170" s="33" t="s">
        <v>1683</v>
      </c>
      <c r="M170" s="34" t="s">
        <v>957</v>
      </c>
      <c r="N170" s="34" t="s">
        <v>1711</v>
      </c>
      <c r="O170" s="35">
        <v>1</v>
      </c>
      <c r="P170" s="35">
        <v>1</v>
      </c>
      <c r="Q170" s="32"/>
      <c r="S170" s="1">
        <f t="shared" si="67"/>
        <v>0</v>
      </c>
      <c r="T170" s="1">
        <f t="shared" si="68"/>
        <v>0</v>
      </c>
      <c r="U170" s="1">
        <f t="shared" si="69"/>
        <v>0</v>
      </c>
      <c r="V170" s="1">
        <f t="shared" si="70"/>
        <v>0</v>
      </c>
      <c r="W170" s="1">
        <f t="shared" si="71"/>
        <v>0</v>
      </c>
      <c r="X170" s="1">
        <f t="shared" si="72"/>
        <v>0</v>
      </c>
      <c r="Y170" s="1">
        <f t="shared" si="73"/>
        <v>0</v>
      </c>
      <c r="Z170" s="1">
        <f t="shared" si="74"/>
        <v>0</v>
      </c>
      <c r="AA170" s="1">
        <f t="shared" si="75"/>
        <v>1</v>
      </c>
      <c r="AB170" s="1">
        <f t="shared" si="76"/>
        <v>0</v>
      </c>
      <c r="AD170" s="1">
        <f t="shared" si="77"/>
        <v>1</v>
      </c>
      <c r="AE170" s="1">
        <f t="shared" si="78"/>
        <v>0</v>
      </c>
      <c r="AF170" s="1">
        <f t="shared" si="79"/>
        <v>1</v>
      </c>
      <c r="AG170" s="1">
        <f t="shared" si="80"/>
        <v>0</v>
      </c>
      <c r="AH170" s="1">
        <f t="shared" si="81"/>
        <v>1</v>
      </c>
      <c r="AI170" s="1">
        <f t="shared" si="82"/>
        <v>0</v>
      </c>
    </row>
    <row r="171" spans="1:35" s="1" customFormat="1" ht="14.25" customHeight="1" x14ac:dyDescent="0.25">
      <c r="A171" s="44">
        <v>0</v>
      </c>
      <c r="B171" s="44">
        <v>1</v>
      </c>
      <c r="C171" s="44">
        <v>3</v>
      </c>
      <c r="D171" s="45" t="s">
        <v>131</v>
      </c>
      <c r="E171" s="45" t="s">
        <v>679</v>
      </c>
      <c r="F171" s="45" t="s">
        <v>332</v>
      </c>
      <c r="G171" s="45" t="s">
        <v>39</v>
      </c>
      <c r="H171" s="45" t="s">
        <v>360</v>
      </c>
      <c r="I171" s="44" t="s">
        <v>478</v>
      </c>
      <c r="J171" s="44">
        <v>12</v>
      </c>
      <c r="K171" s="46" t="s">
        <v>718</v>
      </c>
      <c r="L171" s="46">
        <v>35</v>
      </c>
      <c r="M171" s="47" t="s">
        <v>39</v>
      </c>
      <c r="N171" s="47" t="s">
        <v>1786</v>
      </c>
      <c r="O171" s="48"/>
      <c r="P171" s="48"/>
      <c r="Q171" s="45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51"/>
        <v>0</v>
      </c>
      <c r="AG171" s="1">
        <f t="shared" si="52"/>
        <v>0</v>
      </c>
      <c r="AH171" s="1">
        <f t="shared" si="53"/>
        <v>0</v>
      </c>
      <c r="AI171" s="1">
        <f t="shared" si="54"/>
        <v>1</v>
      </c>
    </row>
    <row r="172" spans="1:35" s="1" customFormat="1" ht="14.25" customHeight="1" x14ac:dyDescent="0.25">
      <c r="A172" s="15">
        <v>0</v>
      </c>
      <c r="B172" s="15">
        <v>1</v>
      </c>
      <c r="C172" s="15">
        <v>3</v>
      </c>
      <c r="D172" s="16" t="s">
        <v>2067</v>
      </c>
      <c r="E172" s="16" t="s">
        <v>171</v>
      </c>
      <c r="F172" s="16" t="s">
        <v>2068</v>
      </c>
      <c r="G172" s="16" t="s">
        <v>206</v>
      </c>
      <c r="H172" s="16" t="s">
        <v>352</v>
      </c>
      <c r="I172" s="15" t="s">
        <v>2069</v>
      </c>
      <c r="J172" s="15">
        <v>99</v>
      </c>
      <c r="K172" s="10" t="s">
        <v>699</v>
      </c>
      <c r="L172" s="10">
        <v>30</v>
      </c>
      <c r="M172" s="19" t="s">
        <v>957</v>
      </c>
      <c r="N172" s="19"/>
      <c r="Q172" s="16" t="s">
        <v>2070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51"/>
        <v>0</v>
      </c>
      <c r="AG172" s="1">
        <f t="shared" si="52"/>
        <v>0</v>
      </c>
      <c r="AH172" s="1">
        <f t="shared" si="53"/>
        <v>0</v>
      </c>
      <c r="AI172" s="1">
        <f t="shared" si="54"/>
        <v>1</v>
      </c>
    </row>
    <row r="173" spans="1:35" s="1" customFormat="1" ht="14.25" customHeight="1" x14ac:dyDescent="0.25">
      <c r="A173" s="15">
        <v>0</v>
      </c>
      <c r="B173" s="15">
        <v>1</v>
      </c>
      <c r="C173" s="15">
        <v>3</v>
      </c>
      <c r="D173" s="16" t="s">
        <v>817</v>
      </c>
      <c r="E173" s="16" t="s">
        <v>171</v>
      </c>
      <c r="F173" s="16" t="s">
        <v>818</v>
      </c>
      <c r="G173" s="16" t="s">
        <v>39</v>
      </c>
      <c r="H173" s="16" t="s">
        <v>373</v>
      </c>
      <c r="I173" s="15" t="s">
        <v>816</v>
      </c>
      <c r="J173" s="15">
        <v>12</v>
      </c>
      <c r="K173" s="10" t="s">
        <v>699</v>
      </c>
      <c r="L173" s="10">
        <v>40</v>
      </c>
      <c r="M173" s="19" t="s">
        <v>957</v>
      </c>
      <c r="N173" s="19"/>
      <c r="Q173" s="16"/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0</v>
      </c>
      <c r="AF173" s="1">
        <f t="shared" si="51"/>
        <v>0</v>
      </c>
      <c r="AG173" s="1">
        <f t="shared" si="52"/>
        <v>0</v>
      </c>
      <c r="AH173" s="1">
        <f t="shared" si="53"/>
        <v>0</v>
      </c>
      <c r="AI173" s="1">
        <f t="shared" si="54"/>
        <v>1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141</v>
      </c>
      <c r="E174" s="32" t="s">
        <v>171</v>
      </c>
      <c r="F174" s="32" t="s">
        <v>341</v>
      </c>
      <c r="G174" s="32" t="s">
        <v>39</v>
      </c>
      <c r="H174" s="32" t="s">
        <v>375</v>
      </c>
      <c r="I174" s="31" t="s">
        <v>487</v>
      </c>
      <c r="J174" s="31">
        <v>15</v>
      </c>
      <c r="K174" s="33" t="s">
        <v>698</v>
      </c>
      <c r="L174" s="33" t="s">
        <v>688</v>
      </c>
      <c r="M174" s="34" t="s">
        <v>687</v>
      </c>
      <c r="N174" s="34" t="s">
        <v>1717</v>
      </c>
      <c r="O174" s="35">
        <v>1</v>
      </c>
      <c r="P174" s="35">
        <v>1</v>
      </c>
      <c r="Q174" s="36" t="s">
        <v>1875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51"/>
        <v>1</v>
      </c>
      <c r="AG174" s="1">
        <f t="shared" si="52"/>
        <v>0</v>
      </c>
      <c r="AH174" s="1">
        <f t="shared" si="53"/>
        <v>1</v>
      </c>
      <c r="AI174" s="1">
        <f t="shared" si="54"/>
        <v>0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743</v>
      </c>
      <c r="E175" s="32" t="s">
        <v>606</v>
      </c>
      <c r="F175" s="32" t="s">
        <v>744</v>
      </c>
      <c r="G175" s="32" t="s">
        <v>39</v>
      </c>
      <c r="H175" s="32" t="s">
        <v>745</v>
      </c>
      <c r="I175" s="31" t="s">
        <v>746</v>
      </c>
      <c r="J175" s="31">
        <v>18</v>
      </c>
      <c r="K175" s="33" t="s">
        <v>699</v>
      </c>
      <c r="L175" s="33" t="s">
        <v>693</v>
      </c>
      <c r="M175" s="34" t="s">
        <v>687</v>
      </c>
      <c r="N175" s="34" t="s">
        <v>1833</v>
      </c>
      <c r="O175" s="35">
        <v>1</v>
      </c>
      <c r="P175" s="35"/>
      <c r="Q175" s="36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51"/>
        <v>0</v>
      </c>
      <c r="AG175" s="1">
        <f t="shared" si="52"/>
        <v>1</v>
      </c>
      <c r="AH175" s="1">
        <f t="shared" si="53"/>
        <v>0</v>
      </c>
      <c r="AI175" s="1">
        <f t="shared" si="54"/>
        <v>1</v>
      </c>
    </row>
    <row r="176" spans="1:35" s="1" customFormat="1" ht="14.25" customHeight="1" x14ac:dyDescent="0.25">
      <c r="A176" s="31">
        <v>0</v>
      </c>
      <c r="B176" s="31">
        <v>1</v>
      </c>
      <c r="C176" s="31">
        <v>3</v>
      </c>
      <c r="D176" s="36" t="s">
        <v>1825</v>
      </c>
      <c r="E176" s="32" t="s">
        <v>1074</v>
      </c>
      <c r="F176" s="32" t="s">
        <v>1810</v>
      </c>
      <c r="G176" s="32"/>
      <c r="H176" s="32" t="s">
        <v>370</v>
      </c>
      <c r="I176" s="31" t="s">
        <v>1811</v>
      </c>
      <c r="J176" s="31">
        <v>16</v>
      </c>
      <c r="K176" s="33" t="s">
        <v>699</v>
      </c>
      <c r="L176" s="33"/>
      <c r="M176" s="34"/>
      <c r="N176" s="34" t="s">
        <v>1711</v>
      </c>
      <c r="O176" s="35">
        <v>1</v>
      </c>
      <c r="P176" s="35">
        <v>1</v>
      </c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1</v>
      </c>
      <c r="AE176" s="1">
        <f t="shared" si="66"/>
        <v>0</v>
      </c>
      <c r="AF176" s="1">
        <f t="shared" si="51"/>
        <v>1</v>
      </c>
      <c r="AG176" s="1">
        <f t="shared" si="52"/>
        <v>0</v>
      </c>
      <c r="AH176" s="1">
        <f t="shared" si="53"/>
        <v>1</v>
      </c>
      <c r="AI176" s="1">
        <f t="shared" si="54"/>
        <v>0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966</v>
      </c>
      <c r="E177" s="32" t="s">
        <v>606</v>
      </c>
      <c r="F177" s="32" t="s">
        <v>967</v>
      </c>
      <c r="G177" s="32" t="s">
        <v>202</v>
      </c>
      <c r="H177" s="32" t="s">
        <v>352</v>
      </c>
      <c r="I177" s="31" t="s">
        <v>968</v>
      </c>
      <c r="J177" s="31">
        <v>99</v>
      </c>
      <c r="K177" s="33" t="s">
        <v>943</v>
      </c>
      <c r="L177" s="33" t="s">
        <v>39</v>
      </c>
      <c r="M177" s="34" t="s">
        <v>39</v>
      </c>
      <c r="N177" s="34" t="s">
        <v>1711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51"/>
        <v>1</v>
      </c>
      <c r="AG177" s="1">
        <f t="shared" si="52"/>
        <v>0</v>
      </c>
      <c r="AH177" s="1">
        <f t="shared" si="53"/>
        <v>1</v>
      </c>
      <c r="AI177" s="1">
        <f t="shared" si="54"/>
        <v>0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2" t="s">
        <v>148</v>
      </c>
      <c r="E178" s="32" t="s">
        <v>171</v>
      </c>
      <c r="F178" s="32" t="s">
        <v>348</v>
      </c>
      <c r="G178" s="32" t="s">
        <v>39</v>
      </c>
      <c r="H178" s="32" t="s">
        <v>378</v>
      </c>
      <c r="I178" s="31" t="s">
        <v>493</v>
      </c>
      <c r="J178" s="31">
        <v>14</v>
      </c>
      <c r="K178" s="33" t="s">
        <v>951</v>
      </c>
      <c r="L178" s="33" t="s">
        <v>39</v>
      </c>
      <c r="M178" s="34" t="s">
        <v>39</v>
      </c>
      <c r="N178" s="34" t="s">
        <v>1717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51"/>
        <v>1</v>
      </c>
      <c r="AG178" s="1">
        <f t="shared" si="52"/>
        <v>0</v>
      </c>
      <c r="AH178" s="1">
        <f t="shared" si="53"/>
        <v>1</v>
      </c>
      <c r="AI178" s="1">
        <f t="shared" si="54"/>
        <v>0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2" t="s">
        <v>1969</v>
      </c>
      <c r="E179" s="32" t="s">
        <v>1970</v>
      </c>
      <c r="F179" s="32" t="s">
        <v>1971</v>
      </c>
      <c r="G179" s="32" t="s">
        <v>531</v>
      </c>
      <c r="H179" s="32" t="s">
        <v>352</v>
      </c>
      <c r="I179" s="31" t="s">
        <v>1972</v>
      </c>
      <c r="J179" s="31"/>
      <c r="K179" s="33" t="s">
        <v>699</v>
      </c>
      <c r="L179" s="33"/>
      <c r="M179" s="34"/>
      <c r="N179" s="34" t="s">
        <v>1717</v>
      </c>
      <c r="O179" s="35">
        <v>1</v>
      </c>
      <c r="P179" s="35">
        <v>1</v>
      </c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1</v>
      </c>
      <c r="AE179" s="1">
        <f t="shared" si="66"/>
        <v>0</v>
      </c>
      <c r="AF179" s="1">
        <f t="shared" si="51"/>
        <v>1</v>
      </c>
      <c r="AG179" s="1">
        <f t="shared" si="52"/>
        <v>0</v>
      </c>
      <c r="AH179" s="1">
        <f t="shared" si="53"/>
        <v>1</v>
      </c>
      <c r="AI179" s="1">
        <f t="shared" si="54"/>
        <v>0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631</v>
      </c>
      <c r="E180" s="32" t="s">
        <v>171</v>
      </c>
      <c r="F180" s="32" t="s">
        <v>633</v>
      </c>
      <c r="G180" s="32" t="s">
        <v>237</v>
      </c>
      <c r="H180" s="32" t="s">
        <v>352</v>
      </c>
      <c r="I180" s="31" t="s">
        <v>632</v>
      </c>
      <c r="J180" s="31">
        <v>4</v>
      </c>
      <c r="K180" s="33" t="s">
        <v>943</v>
      </c>
      <c r="L180" s="33" t="s">
        <v>39</v>
      </c>
      <c r="M180" s="34" t="s">
        <v>39</v>
      </c>
      <c r="N180" s="34" t="s">
        <v>1717</v>
      </c>
      <c r="O180" s="35">
        <v>1</v>
      </c>
      <c r="P180" s="35">
        <v>1</v>
      </c>
      <c r="Q180" s="32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1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51"/>
        <v>1</v>
      </c>
      <c r="AG180" s="1">
        <f t="shared" si="52"/>
        <v>0</v>
      </c>
      <c r="AH180" s="1">
        <f t="shared" si="53"/>
        <v>1</v>
      </c>
      <c r="AI180" s="1">
        <f t="shared" si="54"/>
        <v>0</v>
      </c>
    </row>
    <row r="181" spans="1:35" s="1" customFormat="1" ht="14.25" customHeight="1" x14ac:dyDescent="0.25">
      <c r="A181" s="15">
        <v>0</v>
      </c>
      <c r="B181" s="15">
        <v>1</v>
      </c>
      <c r="C181" s="15">
        <v>3</v>
      </c>
      <c r="D181" s="16" t="s">
        <v>1512</v>
      </c>
      <c r="E181" s="16" t="s">
        <v>1074</v>
      </c>
      <c r="F181" s="16" t="s">
        <v>1513</v>
      </c>
      <c r="G181" s="16" t="s">
        <v>217</v>
      </c>
      <c r="H181" s="16" t="s">
        <v>352</v>
      </c>
      <c r="I181" s="15" t="s">
        <v>1514</v>
      </c>
      <c r="J181" s="15">
        <v>99</v>
      </c>
      <c r="K181" s="10" t="s">
        <v>699</v>
      </c>
      <c r="L181" s="10">
        <v>40</v>
      </c>
      <c r="M181" s="19" t="s">
        <v>957</v>
      </c>
      <c r="N181" s="19"/>
      <c r="Q181" s="16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0</v>
      </c>
      <c r="AE181" s="1">
        <f t="shared" si="66"/>
        <v>0</v>
      </c>
      <c r="AF181" s="1">
        <f t="shared" si="51"/>
        <v>0</v>
      </c>
      <c r="AG181" s="1">
        <f t="shared" si="52"/>
        <v>0</v>
      </c>
      <c r="AH181" s="1">
        <f t="shared" si="53"/>
        <v>0</v>
      </c>
      <c r="AI181" s="1">
        <f t="shared" si="54"/>
        <v>1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2" t="s">
        <v>101</v>
      </c>
      <c r="E182" s="32" t="s">
        <v>171</v>
      </c>
      <c r="F182" s="32" t="s">
        <v>297</v>
      </c>
      <c r="G182" s="32" t="s">
        <v>298</v>
      </c>
      <c r="H182" s="32" t="s">
        <v>352</v>
      </c>
      <c r="I182" s="31" t="s">
        <v>446</v>
      </c>
      <c r="J182" s="31">
        <v>99</v>
      </c>
      <c r="K182" s="33" t="s">
        <v>945</v>
      </c>
      <c r="L182" s="33" t="s">
        <v>689</v>
      </c>
      <c r="M182" s="34" t="s">
        <v>687</v>
      </c>
      <c r="N182" s="34" t="s">
        <v>1727</v>
      </c>
      <c r="O182" s="35">
        <v>1</v>
      </c>
      <c r="P182" s="35"/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0</v>
      </c>
      <c r="AE182" s="1">
        <f t="shared" si="66"/>
        <v>1</v>
      </c>
      <c r="AF182" s="1">
        <f t="shared" si="51"/>
        <v>0</v>
      </c>
      <c r="AG182" s="1">
        <f t="shared" si="52"/>
        <v>1</v>
      </c>
      <c r="AH182" s="1">
        <f t="shared" si="53"/>
        <v>0</v>
      </c>
      <c r="AI182" s="1">
        <f t="shared" si="54"/>
        <v>1</v>
      </c>
    </row>
    <row r="183" spans="1:35" s="1" customFormat="1" ht="14.25" customHeight="1" x14ac:dyDescent="0.25">
      <c r="A183" s="44">
        <v>0</v>
      </c>
      <c r="B183" s="44">
        <v>1</v>
      </c>
      <c r="C183" s="44">
        <v>3</v>
      </c>
      <c r="D183" s="45" t="s">
        <v>977</v>
      </c>
      <c r="E183" s="45" t="s">
        <v>171</v>
      </c>
      <c r="F183" s="45" t="s">
        <v>980</v>
      </c>
      <c r="G183" s="45" t="s">
        <v>39</v>
      </c>
      <c r="H183" s="45" t="s">
        <v>979</v>
      </c>
      <c r="I183" s="44" t="s">
        <v>978</v>
      </c>
      <c r="J183" s="44">
        <v>14</v>
      </c>
      <c r="K183" s="46" t="s">
        <v>718</v>
      </c>
      <c r="L183" s="46" t="s">
        <v>690</v>
      </c>
      <c r="M183" s="47" t="s">
        <v>958</v>
      </c>
      <c r="N183" s="47" t="s">
        <v>1719</v>
      </c>
      <c r="O183" s="48"/>
      <c r="P183" s="48"/>
      <c r="Q183" s="45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0</v>
      </c>
      <c r="AE183" s="1">
        <f t="shared" si="66"/>
        <v>0</v>
      </c>
      <c r="AF183" s="1">
        <f t="shared" si="51"/>
        <v>0</v>
      </c>
      <c r="AG183" s="1">
        <f t="shared" si="52"/>
        <v>0</v>
      </c>
      <c r="AH183" s="1">
        <f t="shared" si="53"/>
        <v>0</v>
      </c>
      <c r="AI183" s="1">
        <f t="shared" si="54"/>
        <v>1</v>
      </c>
    </row>
    <row r="184" spans="1:35" s="1" customFormat="1" ht="14.25" customHeight="1" x14ac:dyDescent="0.25">
      <c r="A184" s="57">
        <v>0</v>
      </c>
      <c r="B184" s="57">
        <v>1</v>
      </c>
      <c r="C184" s="57">
        <v>3</v>
      </c>
      <c r="D184" s="58" t="s">
        <v>1628</v>
      </c>
      <c r="E184" s="58" t="s">
        <v>171</v>
      </c>
      <c r="F184" s="58" t="s">
        <v>764</v>
      </c>
      <c r="G184" s="58" t="s">
        <v>39</v>
      </c>
      <c r="H184" s="58" t="s">
        <v>365</v>
      </c>
      <c r="I184" s="57" t="s">
        <v>772</v>
      </c>
      <c r="J184" s="57">
        <v>18</v>
      </c>
      <c r="K184" s="59" t="s">
        <v>1681</v>
      </c>
      <c r="L184" s="59" t="s">
        <v>39</v>
      </c>
      <c r="M184" s="60" t="s">
        <v>765</v>
      </c>
      <c r="N184" s="61"/>
      <c r="O184" s="62"/>
      <c r="P184" s="62"/>
      <c r="Q184" s="58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0</v>
      </c>
      <c r="AE184" s="1">
        <f t="shared" si="66"/>
        <v>0</v>
      </c>
      <c r="AF184" s="1">
        <f t="shared" si="51"/>
        <v>0</v>
      </c>
      <c r="AG184" s="1">
        <f t="shared" si="52"/>
        <v>0</v>
      </c>
      <c r="AH184" s="1">
        <f t="shared" si="53"/>
        <v>0</v>
      </c>
      <c r="AI184" s="1">
        <f t="shared" si="54"/>
        <v>1</v>
      </c>
    </row>
    <row r="185" spans="1:35" s="1" customFormat="1" ht="14.25" customHeight="1" x14ac:dyDescent="0.25">
      <c r="A185" s="49">
        <v>0</v>
      </c>
      <c r="B185" s="49">
        <v>1</v>
      </c>
      <c r="C185" s="49">
        <v>3</v>
      </c>
      <c r="D185" s="50" t="s">
        <v>134</v>
      </c>
      <c r="E185" s="50" t="s">
        <v>171</v>
      </c>
      <c r="F185" s="50" t="s">
        <v>655</v>
      </c>
      <c r="G185" s="50" t="s">
        <v>256</v>
      </c>
      <c r="H185" s="50" t="s">
        <v>352</v>
      </c>
      <c r="I185" s="49" t="s">
        <v>1677</v>
      </c>
      <c r="J185" s="49">
        <v>99</v>
      </c>
      <c r="K185" s="51" t="s">
        <v>718</v>
      </c>
      <c r="L185" s="51" t="s">
        <v>683</v>
      </c>
      <c r="M185" s="52" t="s">
        <v>1381</v>
      </c>
      <c r="N185" s="52" t="s">
        <v>1727</v>
      </c>
      <c r="O185" s="53">
        <v>1</v>
      </c>
      <c r="P185" s="53"/>
      <c r="Q185" s="50" t="s">
        <v>1914</v>
      </c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0</v>
      </c>
      <c r="AE185" s="1">
        <f t="shared" si="66"/>
        <v>1</v>
      </c>
      <c r="AF185" s="1">
        <f t="shared" si="51"/>
        <v>0</v>
      </c>
      <c r="AG185" s="1">
        <f t="shared" si="52"/>
        <v>1</v>
      </c>
      <c r="AH185" s="1">
        <f t="shared" si="53"/>
        <v>0</v>
      </c>
      <c r="AI185" s="1">
        <f t="shared" si="54"/>
        <v>1</v>
      </c>
    </row>
    <row r="186" spans="1:35" s="1" customFormat="1" ht="14.25" customHeight="1" x14ac:dyDescent="0.25">
      <c r="A186" s="31">
        <v>0</v>
      </c>
      <c r="B186" s="31">
        <v>1</v>
      </c>
      <c r="C186" s="31">
        <v>3</v>
      </c>
      <c r="D186" s="32" t="s">
        <v>912</v>
      </c>
      <c r="E186" s="32" t="s">
        <v>169</v>
      </c>
      <c r="F186" s="32" t="s">
        <v>928</v>
      </c>
      <c r="G186" s="32" t="s">
        <v>39</v>
      </c>
      <c r="H186" s="32" t="s">
        <v>363</v>
      </c>
      <c r="I186" s="31" t="s">
        <v>874</v>
      </c>
      <c r="J186" s="31">
        <v>18</v>
      </c>
      <c r="K186" s="33" t="s">
        <v>698</v>
      </c>
      <c r="L186" s="33" t="s">
        <v>693</v>
      </c>
      <c r="M186" s="34" t="s">
        <v>958</v>
      </c>
      <c r="N186" s="34" t="s">
        <v>1732</v>
      </c>
      <c r="O186" s="35">
        <v>1</v>
      </c>
      <c r="P186" s="35"/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1</v>
      </c>
      <c r="AF186" s="1">
        <f t="shared" si="51"/>
        <v>0</v>
      </c>
      <c r="AG186" s="1">
        <f t="shared" si="52"/>
        <v>1</v>
      </c>
      <c r="AH186" s="1">
        <f t="shared" si="53"/>
        <v>0</v>
      </c>
      <c r="AI186" s="1">
        <f t="shared" si="54"/>
        <v>1</v>
      </c>
    </row>
    <row r="187" spans="1:35" s="1" customFormat="1" ht="14.25" customHeight="1" x14ac:dyDescent="0.25">
      <c r="A187" s="31">
        <v>0</v>
      </c>
      <c r="B187" s="31">
        <v>1</v>
      </c>
      <c r="C187" s="31">
        <v>3</v>
      </c>
      <c r="D187" s="32" t="s">
        <v>1244</v>
      </c>
      <c r="E187" s="32" t="s">
        <v>169</v>
      </c>
      <c r="F187" s="32" t="s">
        <v>1660</v>
      </c>
      <c r="G187" s="32" t="s">
        <v>39</v>
      </c>
      <c r="H187" s="32" t="s">
        <v>762</v>
      </c>
      <c r="I187" s="31" t="s">
        <v>1245</v>
      </c>
      <c r="J187" s="31">
        <v>11</v>
      </c>
      <c r="K187" s="33" t="s">
        <v>718</v>
      </c>
      <c r="L187" s="33" t="s">
        <v>685</v>
      </c>
      <c r="M187" s="34" t="s">
        <v>1382</v>
      </c>
      <c r="N187" s="34" t="s">
        <v>1733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51"/>
        <v>0</v>
      </c>
      <c r="AG187" s="1">
        <f t="shared" si="52"/>
        <v>1</v>
      </c>
      <c r="AH187" s="1">
        <f t="shared" si="53"/>
        <v>0</v>
      </c>
      <c r="AI187" s="1">
        <f t="shared" si="54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4</v>
      </c>
      <c r="D188" s="32" t="s">
        <v>983</v>
      </c>
      <c r="E188" s="32" t="s">
        <v>763</v>
      </c>
      <c r="F188" s="32" t="s">
        <v>1081</v>
      </c>
      <c r="G188" s="32" t="s">
        <v>199</v>
      </c>
      <c r="H188" s="32" t="s">
        <v>352</v>
      </c>
      <c r="I188" s="31" t="s">
        <v>984</v>
      </c>
      <c r="J188" s="31">
        <v>2</v>
      </c>
      <c r="K188" s="33" t="s">
        <v>943</v>
      </c>
      <c r="L188" s="33" t="s">
        <v>689</v>
      </c>
      <c r="M188" s="34" t="s">
        <v>1383</v>
      </c>
      <c r="N188" s="34" t="s">
        <v>1711</v>
      </c>
      <c r="O188" s="35">
        <v>1</v>
      </c>
      <c r="P188" s="35">
        <v>1</v>
      </c>
      <c r="Q188" s="32"/>
      <c r="S188" s="1">
        <f t="shared" si="55"/>
        <v>0</v>
      </c>
      <c r="T188" s="1">
        <f t="shared" si="56"/>
        <v>1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1</v>
      </c>
      <c r="AE188" s="1">
        <f t="shared" si="66"/>
        <v>0</v>
      </c>
      <c r="AF188" s="1">
        <f t="shared" si="51"/>
        <v>1</v>
      </c>
      <c r="AG188" s="1">
        <f t="shared" si="52"/>
        <v>0</v>
      </c>
      <c r="AH188" s="1">
        <f t="shared" si="53"/>
        <v>1</v>
      </c>
      <c r="AI188" s="1">
        <f t="shared" si="54"/>
        <v>0</v>
      </c>
    </row>
    <row r="189" spans="1:35" s="1" customFormat="1" ht="14.25" customHeight="1" x14ac:dyDescent="0.25">
      <c r="A189" s="31">
        <v>0</v>
      </c>
      <c r="B189" s="31">
        <v>1</v>
      </c>
      <c r="C189" s="31">
        <v>4</v>
      </c>
      <c r="D189" s="32" t="s">
        <v>50</v>
      </c>
      <c r="E189" s="32" t="s">
        <v>763</v>
      </c>
      <c r="F189" s="32" t="s">
        <v>192</v>
      </c>
      <c r="G189" s="32" t="s">
        <v>193</v>
      </c>
      <c r="H189" s="32" t="s">
        <v>352</v>
      </c>
      <c r="I189" s="31" t="s">
        <v>385</v>
      </c>
      <c r="J189" s="31">
        <v>9</v>
      </c>
      <c r="K189" s="33" t="s">
        <v>943</v>
      </c>
      <c r="L189" s="33" t="s">
        <v>690</v>
      </c>
      <c r="M189" s="34" t="s">
        <v>956</v>
      </c>
      <c r="N189" s="34" t="s">
        <v>1785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1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51"/>
        <v>0</v>
      </c>
      <c r="AG189" s="1">
        <f t="shared" si="52"/>
        <v>1</v>
      </c>
      <c r="AH189" s="1">
        <f t="shared" si="53"/>
        <v>0</v>
      </c>
      <c r="AI189" s="1">
        <f t="shared" si="54"/>
        <v>1</v>
      </c>
    </row>
    <row r="190" spans="1:35" s="1" customFormat="1" ht="14.25" customHeight="1" x14ac:dyDescent="0.25">
      <c r="A190" s="31">
        <v>0</v>
      </c>
      <c r="B190" s="31">
        <v>1</v>
      </c>
      <c r="C190" s="31">
        <v>4</v>
      </c>
      <c r="D190" s="36" t="s">
        <v>2063</v>
      </c>
      <c r="E190" s="32" t="s">
        <v>763</v>
      </c>
      <c r="F190" s="36" t="s">
        <v>2064</v>
      </c>
      <c r="G190" s="36" t="s">
        <v>212</v>
      </c>
      <c r="H190" s="36" t="s">
        <v>352</v>
      </c>
      <c r="I190" s="37" t="s">
        <v>2065</v>
      </c>
      <c r="J190" s="31">
        <v>1</v>
      </c>
      <c r="K190" s="33" t="s">
        <v>699</v>
      </c>
      <c r="L190" s="33"/>
      <c r="M190" s="34"/>
      <c r="N190" s="34" t="s">
        <v>1717</v>
      </c>
      <c r="O190" s="35">
        <v>1</v>
      </c>
      <c r="P190" s="35">
        <v>1</v>
      </c>
      <c r="Q190" s="32" t="s">
        <v>2066</v>
      </c>
      <c r="S190" s="1">
        <f t="shared" si="55"/>
        <v>1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1</v>
      </c>
      <c r="AE190" s="1">
        <f t="shared" si="66"/>
        <v>0</v>
      </c>
      <c r="AF190" s="1">
        <f t="shared" si="51"/>
        <v>1</v>
      </c>
      <c r="AG190" s="1">
        <f t="shared" si="52"/>
        <v>0</v>
      </c>
      <c r="AH190" s="1">
        <f t="shared" si="53"/>
        <v>1</v>
      </c>
      <c r="AI190" s="1">
        <f t="shared" si="54"/>
        <v>0</v>
      </c>
    </row>
    <row r="191" spans="1:35" s="1" customFormat="1" ht="14.25" customHeight="1" x14ac:dyDescent="0.25">
      <c r="A191" s="31">
        <v>0</v>
      </c>
      <c r="B191" s="31">
        <v>1</v>
      </c>
      <c r="C191" s="31">
        <v>4</v>
      </c>
      <c r="D191" s="32" t="s">
        <v>133</v>
      </c>
      <c r="E191" s="32" t="s">
        <v>176</v>
      </c>
      <c r="F191" s="32" t="s">
        <v>334</v>
      </c>
      <c r="G191" s="32" t="s">
        <v>212</v>
      </c>
      <c r="H191" s="32" t="s">
        <v>352</v>
      </c>
      <c r="I191" s="31" t="s">
        <v>480</v>
      </c>
      <c r="J191" s="31">
        <v>1</v>
      </c>
      <c r="K191" s="33" t="s">
        <v>943</v>
      </c>
      <c r="L191" s="33" t="s">
        <v>685</v>
      </c>
      <c r="M191" s="34" t="s">
        <v>687</v>
      </c>
      <c r="N191" s="34" t="s">
        <v>1727</v>
      </c>
      <c r="O191" s="35">
        <v>1</v>
      </c>
      <c r="P191" s="35"/>
      <c r="Q191" s="32"/>
      <c r="S191" s="1">
        <f t="shared" si="55"/>
        <v>1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51"/>
        <v>0</v>
      </c>
      <c r="AG191" s="1">
        <f t="shared" si="52"/>
        <v>1</v>
      </c>
      <c r="AH191" s="1">
        <f t="shared" si="53"/>
        <v>0</v>
      </c>
      <c r="AI191" s="1">
        <f t="shared" si="54"/>
        <v>1</v>
      </c>
    </row>
    <row r="192" spans="1:35" s="1" customFormat="1" ht="14.25" customHeight="1" x14ac:dyDescent="0.25">
      <c r="A192" s="31">
        <v>0</v>
      </c>
      <c r="B192" s="31">
        <v>1</v>
      </c>
      <c r="C192" s="31">
        <v>5</v>
      </c>
      <c r="D192" s="32" t="s">
        <v>125</v>
      </c>
      <c r="E192" s="32" t="s">
        <v>522</v>
      </c>
      <c r="F192" s="32" t="s">
        <v>325</v>
      </c>
      <c r="G192" s="32" t="s">
        <v>298</v>
      </c>
      <c r="H192" s="32" t="s">
        <v>352</v>
      </c>
      <c r="I192" s="31" t="s">
        <v>472</v>
      </c>
      <c r="J192" s="31">
        <v>99</v>
      </c>
      <c r="K192" s="33" t="s">
        <v>698</v>
      </c>
      <c r="L192" s="33" t="s">
        <v>685</v>
      </c>
      <c r="M192" s="34" t="s">
        <v>957</v>
      </c>
      <c r="N192" s="34" t="s">
        <v>1727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51"/>
        <v>0</v>
      </c>
      <c r="AG192" s="1">
        <f t="shared" si="52"/>
        <v>1</v>
      </c>
      <c r="AH192" s="1">
        <f t="shared" si="53"/>
        <v>0</v>
      </c>
      <c r="AI192" s="1">
        <f t="shared" si="54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5</v>
      </c>
      <c r="D193" s="32" t="s">
        <v>1713</v>
      </c>
      <c r="E193" s="32" t="s">
        <v>165</v>
      </c>
      <c r="F193" s="32" t="s">
        <v>1714</v>
      </c>
      <c r="G193" s="32" t="s">
        <v>1715</v>
      </c>
      <c r="H193" s="32" t="s">
        <v>352</v>
      </c>
      <c r="I193" s="31" t="s">
        <v>1716</v>
      </c>
      <c r="J193" s="31">
        <v>2</v>
      </c>
      <c r="K193" s="33" t="s">
        <v>699</v>
      </c>
      <c r="L193" s="33"/>
      <c r="M193" s="34"/>
      <c r="N193" s="34" t="s">
        <v>1717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51"/>
        <v>1</v>
      </c>
      <c r="AG193" s="1">
        <f t="shared" si="52"/>
        <v>0</v>
      </c>
      <c r="AH193" s="1">
        <f t="shared" si="53"/>
        <v>1</v>
      </c>
      <c r="AI193" s="1">
        <f t="shared" si="54"/>
        <v>0</v>
      </c>
    </row>
    <row r="194" spans="1:35" s="1" customFormat="1" ht="14.25" customHeight="1" x14ac:dyDescent="0.25">
      <c r="A194" s="44">
        <v>0</v>
      </c>
      <c r="B194" s="44">
        <v>1</v>
      </c>
      <c r="C194" s="44">
        <v>5</v>
      </c>
      <c r="D194" s="45" t="s">
        <v>87</v>
      </c>
      <c r="E194" s="45" t="s">
        <v>165</v>
      </c>
      <c r="F194" s="45" t="s">
        <v>573</v>
      </c>
      <c r="G194" s="45" t="s">
        <v>193</v>
      </c>
      <c r="H194" s="45" t="s">
        <v>352</v>
      </c>
      <c r="I194" s="44" t="s">
        <v>434</v>
      </c>
      <c r="J194" s="44">
        <v>9</v>
      </c>
      <c r="K194" s="46" t="s">
        <v>943</v>
      </c>
      <c r="L194" s="46" t="s">
        <v>692</v>
      </c>
      <c r="M194" s="47" t="s">
        <v>687</v>
      </c>
      <c r="N194" s="47" t="s">
        <v>1719</v>
      </c>
      <c r="O194" s="48"/>
      <c r="P194" s="48"/>
      <c r="Q194" s="45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0</v>
      </c>
      <c r="AF194" s="1">
        <f t="shared" si="51"/>
        <v>0</v>
      </c>
      <c r="AG194" s="1">
        <f t="shared" si="52"/>
        <v>0</v>
      </c>
      <c r="AH194" s="1">
        <f t="shared" si="53"/>
        <v>0</v>
      </c>
      <c r="AI194" s="1">
        <f t="shared" si="54"/>
        <v>1</v>
      </c>
    </row>
    <row r="195" spans="1:35" s="1" customFormat="1" ht="14.25" customHeight="1" x14ac:dyDescent="0.25">
      <c r="A195" s="31">
        <v>0</v>
      </c>
      <c r="B195" s="31">
        <v>1</v>
      </c>
      <c r="C195" s="31">
        <v>5</v>
      </c>
      <c r="D195" s="32" t="s">
        <v>1976</v>
      </c>
      <c r="E195" s="32" t="s">
        <v>165</v>
      </c>
      <c r="F195" s="32" t="s">
        <v>1977</v>
      </c>
      <c r="G195" s="32" t="s">
        <v>1980</v>
      </c>
      <c r="H195" s="32" t="s">
        <v>352</v>
      </c>
      <c r="I195" s="31" t="s">
        <v>1978</v>
      </c>
      <c r="J195" s="31">
        <v>99</v>
      </c>
      <c r="K195" s="33" t="s">
        <v>699</v>
      </c>
      <c r="L195" s="33">
        <v>25</v>
      </c>
      <c r="M195" s="34" t="s">
        <v>687</v>
      </c>
      <c r="N195" s="34" t="s">
        <v>1727</v>
      </c>
      <c r="O195" s="35">
        <v>1</v>
      </c>
      <c r="P195" s="35"/>
      <c r="Q195" s="32" t="s">
        <v>1979</v>
      </c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51"/>
        <v>0</v>
      </c>
      <c r="AG195" s="1">
        <f t="shared" si="52"/>
        <v>1</v>
      </c>
      <c r="AH195" s="1">
        <f t="shared" si="53"/>
        <v>0</v>
      </c>
      <c r="AI195" s="1">
        <f t="shared" si="54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5</v>
      </c>
      <c r="D196" s="32" t="s">
        <v>126</v>
      </c>
      <c r="E196" s="32" t="s">
        <v>165</v>
      </c>
      <c r="F196" s="32" t="s">
        <v>326</v>
      </c>
      <c r="G196" s="32" t="s">
        <v>179</v>
      </c>
      <c r="H196" s="32" t="s">
        <v>352</v>
      </c>
      <c r="I196" s="31" t="s">
        <v>473</v>
      </c>
      <c r="J196" s="31">
        <v>10</v>
      </c>
      <c r="K196" s="33" t="s">
        <v>945</v>
      </c>
      <c r="L196" s="33" t="s">
        <v>690</v>
      </c>
      <c r="M196" s="34" t="s">
        <v>687</v>
      </c>
      <c r="N196" s="34" t="s">
        <v>1773</v>
      </c>
      <c r="O196" s="35">
        <v>1</v>
      </c>
      <c r="P196" s="35"/>
      <c r="Q196" s="32"/>
      <c r="S196" s="1">
        <f t="shared" si="55"/>
        <v>0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1</v>
      </c>
      <c r="AD196" s="1">
        <f t="shared" si="65"/>
        <v>0</v>
      </c>
      <c r="AE196" s="1">
        <f t="shared" si="66"/>
        <v>1</v>
      </c>
      <c r="AF196" s="1">
        <f t="shared" si="51"/>
        <v>0</v>
      </c>
      <c r="AG196" s="1">
        <f t="shared" si="52"/>
        <v>1</v>
      </c>
      <c r="AH196" s="1">
        <f t="shared" si="53"/>
        <v>0</v>
      </c>
      <c r="AI196" s="1">
        <f t="shared" si="54"/>
        <v>1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136</v>
      </c>
      <c r="E197" s="32" t="s">
        <v>165</v>
      </c>
      <c r="F197" s="32" t="s">
        <v>544</v>
      </c>
      <c r="G197" s="32" t="s">
        <v>219</v>
      </c>
      <c r="H197" s="32" t="s">
        <v>352</v>
      </c>
      <c r="I197" s="31" t="s">
        <v>536</v>
      </c>
      <c r="J197" s="31">
        <v>8</v>
      </c>
      <c r="K197" s="33" t="s">
        <v>943</v>
      </c>
      <c r="L197" s="33" t="s">
        <v>690</v>
      </c>
      <c r="M197" s="34" t="s">
        <v>687</v>
      </c>
      <c r="N197" s="34" t="s">
        <v>1727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1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51"/>
        <v>0</v>
      </c>
      <c r="AG197" s="1">
        <f t="shared" si="52"/>
        <v>1</v>
      </c>
      <c r="AH197" s="1">
        <f t="shared" si="53"/>
        <v>0</v>
      </c>
      <c r="AI197" s="1">
        <f t="shared" si="54"/>
        <v>1</v>
      </c>
    </row>
    <row r="198" spans="1:35" s="1" customFormat="1" ht="14.25" customHeight="1" x14ac:dyDescent="0.25">
      <c r="A198" s="31">
        <v>1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335</v>
      </c>
      <c r="G198" s="32" t="s">
        <v>336</v>
      </c>
      <c r="H198" s="32" t="s">
        <v>352</v>
      </c>
      <c r="I198" s="31" t="s">
        <v>482</v>
      </c>
      <c r="J198" s="31">
        <v>10</v>
      </c>
      <c r="K198" s="33" t="s">
        <v>943</v>
      </c>
      <c r="L198" s="33" t="s">
        <v>690</v>
      </c>
      <c r="M198" s="34" t="s">
        <v>687</v>
      </c>
      <c r="N198" s="34" t="s">
        <v>1727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1</v>
      </c>
      <c r="AD198" s="1">
        <f t="shared" si="65"/>
        <v>0</v>
      </c>
      <c r="AE198" s="1">
        <f t="shared" si="66"/>
        <v>1</v>
      </c>
      <c r="AF198" s="1">
        <f t="shared" si="51"/>
        <v>0</v>
      </c>
      <c r="AG198" s="1">
        <f t="shared" si="52"/>
        <v>0</v>
      </c>
      <c r="AH198" s="1">
        <f t="shared" si="53"/>
        <v>0</v>
      </c>
      <c r="AI198" s="1">
        <f t="shared" si="54"/>
        <v>0</v>
      </c>
    </row>
    <row r="199" spans="1:35" s="1" customFormat="1" ht="14.25" customHeight="1" x14ac:dyDescent="0.25">
      <c r="A199" s="44">
        <v>0</v>
      </c>
      <c r="B199" s="44">
        <v>1</v>
      </c>
      <c r="C199" s="44">
        <v>5</v>
      </c>
      <c r="D199" s="45" t="s">
        <v>1621</v>
      </c>
      <c r="E199" s="45" t="s">
        <v>165</v>
      </c>
      <c r="F199" s="45" t="s">
        <v>856</v>
      </c>
      <c r="G199" s="45" t="s">
        <v>1648</v>
      </c>
      <c r="H199" s="45" t="s">
        <v>352</v>
      </c>
      <c r="I199" s="44" t="s">
        <v>857</v>
      </c>
      <c r="J199" s="44">
        <v>1</v>
      </c>
      <c r="K199" s="46" t="s">
        <v>718</v>
      </c>
      <c r="L199" s="46" t="s">
        <v>1691</v>
      </c>
      <c r="M199" s="47" t="s">
        <v>1384</v>
      </c>
      <c r="N199" s="47" t="s">
        <v>1719</v>
      </c>
      <c r="O199" s="48"/>
      <c r="P199" s="48"/>
      <c r="Q199" s="45"/>
      <c r="S199" s="1">
        <f t="shared" ref="S199:S202" si="83">IF(J199=$S$7,1,0)</f>
        <v>1</v>
      </c>
      <c r="T199" s="1">
        <f t="shared" ref="T199:T202" si="84">IF(J199=$T$7,1,0)</f>
        <v>0</v>
      </c>
      <c r="U199" s="1">
        <f t="shared" ref="U199:U202" si="85">IF(J199=$U$7,1,0)</f>
        <v>0</v>
      </c>
      <c r="V199" s="1">
        <f t="shared" ref="V199:V202" si="86">IF(J199=$V$7,1,0)</f>
        <v>0</v>
      </c>
      <c r="W199" s="1">
        <f t="shared" ref="W199:W202" si="87">IF(J199=$W$7,1,0)</f>
        <v>0</v>
      </c>
      <c r="X199" s="1">
        <f t="shared" ref="X199:X202" si="88">IF(J199=$X$7,1,0)</f>
        <v>0</v>
      </c>
      <c r="Y199" s="1">
        <f t="shared" ref="Y199:Y202" si="89">IF(J199=$Y$7,1,0)</f>
        <v>0</v>
      </c>
      <c r="Z199" s="1">
        <f t="shared" ref="Z199:Z202" si="90">IF(J199=$Z$7,1,0)</f>
        <v>0</v>
      </c>
      <c r="AA199" s="1">
        <f t="shared" ref="AA199:AA202" si="91">IF(J199=$AA$7,1,0)</f>
        <v>0</v>
      </c>
      <c r="AB199" s="1">
        <f t="shared" ref="AB199:AB202" si="92">IF(J199=$AB$7,1,0)</f>
        <v>0</v>
      </c>
      <c r="AD199" s="1">
        <f t="shared" ref="AD199:AD202" si="93">+O199*P199</f>
        <v>0</v>
      </c>
      <c r="AE199" s="1">
        <f t="shared" ref="AE199:AE202" si="94">O199*(1-P199)</f>
        <v>0</v>
      </c>
      <c r="AF199" s="1">
        <f t="shared" ref="AF199:AF202" si="95">+O199*P199*(1-A199)</f>
        <v>0</v>
      </c>
      <c r="AG199" s="1">
        <f t="shared" ref="AG199:AG202" si="96">O199*(1-P199)*(1-A199)</f>
        <v>0</v>
      </c>
      <c r="AH199" s="1">
        <f t="shared" ref="AH199:AH202" si="97">+P199*(1-A199)</f>
        <v>0</v>
      </c>
      <c r="AI199" s="1">
        <f t="shared" ref="AI199:AI202" si="98">+(1-A199)*(1-P199)</f>
        <v>1</v>
      </c>
    </row>
    <row r="200" spans="1:35" s="1" customFormat="1" ht="14.25" customHeight="1" x14ac:dyDescent="0.25">
      <c r="A200" s="38">
        <v>0</v>
      </c>
      <c r="B200" s="38">
        <v>1</v>
      </c>
      <c r="C200" s="38">
        <v>5</v>
      </c>
      <c r="D200" s="39" t="s">
        <v>2094</v>
      </c>
      <c r="E200" s="39" t="s">
        <v>165</v>
      </c>
      <c r="F200" s="39" t="s">
        <v>2095</v>
      </c>
      <c r="G200" s="39" t="s">
        <v>193</v>
      </c>
      <c r="H200" s="39" t="s">
        <v>352</v>
      </c>
      <c r="I200" s="38" t="s">
        <v>2096</v>
      </c>
      <c r="J200" s="38">
        <v>9</v>
      </c>
      <c r="K200" s="40" t="s">
        <v>699</v>
      </c>
      <c r="L200" s="40"/>
      <c r="M200" s="41"/>
      <c r="N200" s="42"/>
      <c r="O200" s="43"/>
      <c r="P200" s="43"/>
      <c r="Q200" s="54" t="s">
        <v>2097</v>
      </c>
      <c r="S200" s="1">
        <f t="shared" si="83"/>
        <v>0</v>
      </c>
      <c r="T200" s="1">
        <f t="shared" si="84"/>
        <v>0</v>
      </c>
      <c r="U200" s="1">
        <f t="shared" si="85"/>
        <v>0</v>
      </c>
      <c r="V200" s="1">
        <f t="shared" si="86"/>
        <v>0</v>
      </c>
      <c r="W200" s="1">
        <f t="shared" si="87"/>
        <v>0</v>
      </c>
      <c r="X200" s="1">
        <f t="shared" si="88"/>
        <v>0</v>
      </c>
      <c r="Y200" s="1">
        <f t="shared" si="89"/>
        <v>0</v>
      </c>
      <c r="Z200" s="1">
        <f t="shared" si="90"/>
        <v>0</v>
      </c>
      <c r="AA200" s="1">
        <f t="shared" si="91"/>
        <v>1</v>
      </c>
      <c r="AB200" s="1">
        <f t="shared" si="92"/>
        <v>0</v>
      </c>
      <c r="AD200" s="1">
        <f t="shared" si="93"/>
        <v>0</v>
      </c>
      <c r="AE200" s="1">
        <f t="shared" si="94"/>
        <v>0</v>
      </c>
      <c r="AF200" s="1">
        <f t="shared" si="95"/>
        <v>0</v>
      </c>
      <c r="AG200" s="1">
        <f t="shared" si="96"/>
        <v>0</v>
      </c>
      <c r="AH200" s="1">
        <f t="shared" si="97"/>
        <v>0</v>
      </c>
      <c r="AI200" s="1">
        <f t="shared" si="98"/>
        <v>1</v>
      </c>
    </row>
    <row r="201" spans="1:35" s="1" customFormat="1" ht="14.25" customHeight="1" x14ac:dyDescent="0.25">
      <c r="A201" s="15">
        <v>0</v>
      </c>
      <c r="B201" s="15">
        <v>1</v>
      </c>
      <c r="C201" s="15">
        <v>5</v>
      </c>
      <c r="D201" s="20" t="s">
        <v>1933</v>
      </c>
      <c r="E201" s="20" t="s">
        <v>882</v>
      </c>
      <c r="F201" s="20" t="s">
        <v>1950</v>
      </c>
      <c r="G201" s="20"/>
      <c r="H201" s="20" t="s">
        <v>1951</v>
      </c>
      <c r="I201" s="21" t="s">
        <v>1949</v>
      </c>
      <c r="J201" s="15">
        <v>15</v>
      </c>
      <c r="K201" s="10" t="s">
        <v>699</v>
      </c>
      <c r="L201" s="10" t="s">
        <v>693</v>
      </c>
      <c r="M201" s="19" t="s">
        <v>958</v>
      </c>
      <c r="N201" s="17"/>
      <c r="Q201" s="20" t="s">
        <v>1952</v>
      </c>
      <c r="S201" s="1">
        <f t="shared" si="83"/>
        <v>0</v>
      </c>
      <c r="T201" s="1">
        <f t="shared" si="84"/>
        <v>0</v>
      </c>
      <c r="U201" s="1">
        <f t="shared" si="85"/>
        <v>0</v>
      </c>
      <c r="V201" s="1">
        <f t="shared" si="86"/>
        <v>0</v>
      </c>
      <c r="W201" s="1">
        <f t="shared" si="87"/>
        <v>0</v>
      </c>
      <c r="X201" s="1">
        <f t="shared" si="88"/>
        <v>0</v>
      </c>
      <c r="Y201" s="1">
        <f t="shared" si="89"/>
        <v>0</v>
      </c>
      <c r="Z201" s="1">
        <f t="shared" si="90"/>
        <v>0</v>
      </c>
      <c r="AA201" s="1">
        <f t="shared" si="91"/>
        <v>0</v>
      </c>
      <c r="AB201" s="1">
        <f t="shared" si="92"/>
        <v>0</v>
      </c>
      <c r="AD201" s="1">
        <f t="shared" si="93"/>
        <v>0</v>
      </c>
      <c r="AE201" s="1">
        <f t="shared" si="94"/>
        <v>0</v>
      </c>
      <c r="AF201" s="1">
        <f t="shared" si="95"/>
        <v>0</v>
      </c>
      <c r="AG201" s="1">
        <f t="shared" si="96"/>
        <v>0</v>
      </c>
      <c r="AH201" s="1">
        <f t="shared" si="97"/>
        <v>0</v>
      </c>
      <c r="AI201" s="1">
        <f t="shared" si="98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876</v>
      </c>
      <c r="E202" s="32" t="s">
        <v>877</v>
      </c>
      <c r="F202" s="32" t="s">
        <v>1079</v>
      </c>
      <c r="G202" s="32" t="s">
        <v>39</v>
      </c>
      <c r="H202" s="32" t="s">
        <v>878</v>
      </c>
      <c r="I202" s="31" t="s">
        <v>879</v>
      </c>
      <c r="J202" s="31">
        <v>16</v>
      </c>
      <c r="K202" s="33" t="s">
        <v>699</v>
      </c>
      <c r="L202" s="33" t="s">
        <v>688</v>
      </c>
      <c r="M202" s="34" t="s">
        <v>957</v>
      </c>
      <c r="N202" s="34" t="s">
        <v>1717</v>
      </c>
      <c r="O202" s="35">
        <v>1</v>
      </c>
      <c r="P202" s="35">
        <v>1</v>
      </c>
      <c r="Q202" s="36" t="s">
        <v>1878</v>
      </c>
      <c r="S202" s="1">
        <f t="shared" si="83"/>
        <v>0</v>
      </c>
      <c r="T202" s="1">
        <f t="shared" si="84"/>
        <v>0</v>
      </c>
      <c r="U202" s="1">
        <f t="shared" si="85"/>
        <v>0</v>
      </c>
      <c r="V202" s="1">
        <f t="shared" si="86"/>
        <v>0</v>
      </c>
      <c r="W202" s="1">
        <f t="shared" si="87"/>
        <v>0</v>
      </c>
      <c r="X202" s="1">
        <f t="shared" si="88"/>
        <v>0</v>
      </c>
      <c r="Y202" s="1">
        <f t="shared" si="89"/>
        <v>0</v>
      </c>
      <c r="Z202" s="1">
        <f t="shared" si="90"/>
        <v>0</v>
      </c>
      <c r="AA202" s="1">
        <f t="shared" si="91"/>
        <v>0</v>
      </c>
      <c r="AB202" s="1">
        <f t="shared" si="92"/>
        <v>0</v>
      </c>
      <c r="AD202" s="1">
        <f t="shared" si="93"/>
        <v>1</v>
      </c>
      <c r="AE202" s="1">
        <f t="shared" si="94"/>
        <v>0</v>
      </c>
      <c r="AF202" s="1">
        <f t="shared" si="95"/>
        <v>1</v>
      </c>
      <c r="AG202" s="1">
        <f t="shared" si="96"/>
        <v>0</v>
      </c>
      <c r="AH202" s="1">
        <f t="shared" si="97"/>
        <v>1</v>
      </c>
      <c r="AI202" s="1">
        <f t="shared" si="98"/>
        <v>0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105</v>
      </c>
      <c r="E203" s="32" t="s">
        <v>172</v>
      </c>
      <c r="F203" s="32" t="s">
        <v>302</v>
      </c>
      <c r="G203" s="32" t="s">
        <v>39</v>
      </c>
      <c r="H203" s="32" t="s">
        <v>357</v>
      </c>
      <c r="I203" s="31" t="s">
        <v>450</v>
      </c>
      <c r="J203" s="31">
        <v>14</v>
      </c>
      <c r="K203" s="33" t="s">
        <v>943</v>
      </c>
      <c r="L203" s="33" t="s">
        <v>689</v>
      </c>
      <c r="M203" s="34" t="s">
        <v>957</v>
      </c>
      <c r="N203" s="34" t="s">
        <v>1727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51"/>
        <v>0</v>
      </c>
      <c r="AG203" s="1">
        <f t="shared" si="52"/>
        <v>1</v>
      </c>
      <c r="AH203" s="1">
        <f t="shared" si="53"/>
        <v>0</v>
      </c>
      <c r="AI203" s="1">
        <f t="shared" si="54"/>
        <v>1</v>
      </c>
    </row>
    <row r="204" spans="1:35" s="1" customFormat="1" ht="14.25" customHeight="1" x14ac:dyDescent="0.25">
      <c r="A204" s="44">
        <v>0</v>
      </c>
      <c r="B204" s="44">
        <v>1</v>
      </c>
      <c r="C204" s="44">
        <v>5</v>
      </c>
      <c r="D204" s="45" t="s">
        <v>509</v>
      </c>
      <c r="E204" s="45" t="s">
        <v>171</v>
      </c>
      <c r="F204" s="45" t="s">
        <v>545</v>
      </c>
      <c r="G204" s="45" t="s">
        <v>39</v>
      </c>
      <c r="H204" s="45" t="s">
        <v>360</v>
      </c>
      <c r="I204" s="44" t="s">
        <v>1101</v>
      </c>
      <c r="J204" s="44">
        <v>12</v>
      </c>
      <c r="K204" s="46" t="s">
        <v>699</v>
      </c>
      <c r="L204" s="46">
        <v>35</v>
      </c>
      <c r="M204" s="47" t="s">
        <v>957</v>
      </c>
      <c r="N204" s="47" t="s">
        <v>1786</v>
      </c>
      <c r="O204" s="48"/>
      <c r="P204" s="48"/>
      <c r="Q204" s="45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0</v>
      </c>
      <c r="AF204" s="1">
        <f t="shared" si="51"/>
        <v>0</v>
      </c>
      <c r="AG204" s="1">
        <f t="shared" si="52"/>
        <v>0</v>
      </c>
      <c r="AH204" s="1">
        <f t="shared" si="53"/>
        <v>0</v>
      </c>
      <c r="AI204" s="1">
        <f t="shared" si="54"/>
        <v>1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150</v>
      </c>
      <c r="E205" s="32" t="s">
        <v>165</v>
      </c>
      <c r="F205" s="36" t="s">
        <v>1854</v>
      </c>
      <c r="G205" s="32" t="s">
        <v>196</v>
      </c>
      <c r="H205" s="32" t="s">
        <v>352</v>
      </c>
      <c r="I205" s="31" t="s">
        <v>495</v>
      </c>
      <c r="J205" s="31">
        <v>99</v>
      </c>
      <c r="K205" s="33" t="s">
        <v>943</v>
      </c>
      <c r="L205" s="33" t="s">
        <v>689</v>
      </c>
      <c r="M205" s="34" t="s">
        <v>957</v>
      </c>
      <c r="N205" s="34" t="s">
        <v>1732</v>
      </c>
      <c r="O205" s="35">
        <v>1</v>
      </c>
      <c r="P205" s="35"/>
      <c r="Q205" s="32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51"/>
        <v>0</v>
      </c>
      <c r="AG205" s="1">
        <f t="shared" si="52"/>
        <v>1</v>
      </c>
      <c r="AH205" s="1">
        <f t="shared" si="53"/>
        <v>0</v>
      </c>
      <c r="AI205" s="1">
        <f t="shared" si="54"/>
        <v>1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645</v>
      </c>
      <c r="E206" s="32" t="s">
        <v>680</v>
      </c>
      <c r="F206" s="32" t="s">
        <v>641</v>
      </c>
      <c r="G206" s="32" t="s">
        <v>184</v>
      </c>
      <c r="H206" s="32" t="s">
        <v>352</v>
      </c>
      <c r="I206" s="31" t="s">
        <v>642</v>
      </c>
      <c r="J206" s="31">
        <v>99</v>
      </c>
      <c r="K206" s="33" t="s">
        <v>718</v>
      </c>
      <c r="L206" s="33" t="s">
        <v>689</v>
      </c>
      <c r="M206" s="34" t="s">
        <v>957</v>
      </c>
      <c r="N206" s="34" t="s">
        <v>1733</v>
      </c>
      <c r="O206" s="35">
        <v>1</v>
      </c>
      <c r="P206" s="35"/>
      <c r="Q206" s="32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1</v>
      </c>
      <c r="AF206" s="1">
        <f t="shared" si="51"/>
        <v>0</v>
      </c>
      <c r="AG206" s="1">
        <f t="shared" si="52"/>
        <v>1</v>
      </c>
      <c r="AH206" s="1">
        <f t="shared" si="53"/>
        <v>0</v>
      </c>
      <c r="AI206" s="1">
        <f t="shared" si="54"/>
        <v>1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1294</v>
      </c>
      <c r="E207" s="32" t="s">
        <v>165</v>
      </c>
      <c r="F207" s="32" t="s">
        <v>1295</v>
      </c>
      <c r="G207" s="32" t="s">
        <v>281</v>
      </c>
      <c r="H207" s="32" t="s">
        <v>352</v>
      </c>
      <c r="I207" s="31" t="s">
        <v>1296</v>
      </c>
      <c r="J207" s="31">
        <v>99</v>
      </c>
      <c r="K207" s="33" t="s">
        <v>698</v>
      </c>
      <c r="L207" s="33" t="s">
        <v>39</v>
      </c>
      <c r="M207" s="34" t="s">
        <v>39</v>
      </c>
      <c r="N207" s="34" t="s">
        <v>1717</v>
      </c>
      <c r="O207" s="35">
        <v>1</v>
      </c>
      <c r="P207" s="35">
        <v>1</v>
      </c>
      <c r="Q207" s="32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ref="AF207:AF270" si="99">+O207*P207*(1-A207)</f>
        <v>1</v>
      </c>
      <c r="AG207" s="1">
        <f t="shared" ref="AG207:AG270" si="100">O207*(1-P207)*(1-A207)</f>
        <v>0</v>
      </c>
      <c r="AH207" s="1">
        <f t="shared" ref="AH207:AH270" si="101">+P207*(1-A207)</f>
        <v>1</v>
      </c>
      <c r="AI207" s="1">
        <f t="shared" ref="AI207:AI270" si="102">+(1-A207)*(1-P207)</f>
        <v>0</v>
      </c>
    </row>
    <row r="208" spans="1:35" s="1" customFormat="1" ht="14.25" customHeight="1" x14ac:dyDescent="0.25">
      <c r="A208" s="44">
        <v>0</v>
      </c>
      <c r="B208" s="44">
        <v>1</v>
      </c>
      <c r="C208" s="44">
        <v>5</v>
      </c>
      <c r="D208" s="45" t="s">
        <v>881</v>
      </c>
      <c r="E208" s="45" t="s">
        <v>882</v>
      </c>
      <c r="F208" s="45" t="s">
        <v>923</v>
      </c>
      <c r="G208" s="45" t="s">
        <v>39</v>
      </c>
      <c r="H208" s="45" t="s">
        <v>883</v>
      </c>
      <c r="I208" s="44" t="s">
        <v>884</v>
      </c>
      <c r="J208" s="44">
        <v>17</v>
      </c>
      <c r="K208" s="46" t="s">
        <v>699</v>
      </c>
      <c r="L208" s="46" t="s">
        <v>693</v>
      </c>
      <c r="M208" s="47" t="s">
        <v>957</v>
      </c>
      <c r="N208" s="47" t="s">
        <v>1725</v>
      </c>
      <c r="O208" s="48"/>
      <c r="P208" s="48"/>
      <c r="Q208" s="45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0</v>
      </c>
      <c r="AF208" s="1">
        <f t="shared" si="99"/>
        <v>0</v>
      </c>
      <c r="AG208" s="1">
        <f t="shared" si="100"/>
        <v>0</v>
      </c>
      <c r="AH208" s="1">
        <f t="shared" si="101"/>
        <v>0</v>
      </c>
      <c r="AI208" s="1">
        <f t="shared" si="102"/>
        <v>1</v>
      </c>
    </row>
    <row r="209" spans="1:35" s="1" customFormat="1" ht="14.25" customHeight="1" x14ac:dyDescent="0.25">
      <c r="A209" s="15">
        <v>0</v>
      </c>
      <c r="B209" s="15">
        <v>1</v>
      </c>
      <c r="C209" s="15">
        <v>5</v>
      </c>
      <c r="D209" s="16" t="s">
        <v>1925</v>
      </c>
      <c r="E209" s="16" t="s">
        <v>882</v>
      </c>
      <c r="F209" s="16" t="s">
        <v>1927</v>
      </c>
      <c r="G209" s="16"/>
      <c r="H209" s="16" t="s">
        <v>1926</v>
      </c>
      <c r="I209" s="15" t="s">
        <v>1928</v>
      </c>
      <c r="J209" s="15">
        <v>16</v>
      </c>
      <c r="K209" s="10" t="s">
        <v>699</v>
      </c>
      <c r="L209" s="10" t="s">
        <v>693</v>
      </c>
      <c r="M209" s="19" t="s">
        <v>957</v>
      </c>
      <c r="N209" s="17"/>
      <c r="Q209" s="20" t="s">
        <v>1929</v>
      </c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0</v>
      </c>
      <c r="AF209" s="1">
        <f t="shared" si="99"/>
        <v>0</v>
      </c>
      <c r="AG209" s="1">
        <f t="shared" si="100"/>
        <v>0</v>
      </c>
      <c r="AH209" s="1">
        <f t="shared" si="101"/>
        <v>0</v>
      </c>
      <c r="AI209" s="1">
        <f t="shared" si="102"/>
        <v>1</v>
      </c>
    </row>
    <row r="210" spans="1:35" s="1" customFormat="1" ht="14.25" customHeight="1" x14ac:dyDescent="0.25">
      <c r="A210" s="44">
        <v>0</v>
      </c>
      <c r="B210" s="44">
        <v>1</v>
      </c>
      <c r="C210" s="44">
        <v>5</v>
      </c>
      <c r="D210" s="45" t="s">
        <v>130</v>
      </c>
      <c r="E210" s="45" t="s">
        <v>165</v>
      </c>
      <c r="F210" s="45" t="s">
        <v>330</v>
      </c>
      <c r="G210" s="45" t="s">
        <v>331</v>
      </c>
      <c r="H210" s="45" t="s">
        <v>352</v>
      </c>
      <c r="I210" s="44" t="s">
        <v>477</v>
      </c>
      <c r="J210" s="44">
        <v>99</v>
      </c>
      <c r="K210" s="46" t="s">
        <v>718</v>
      </c>
      <c r="L210" s="46" t="s">
        <v>690</v>
      </c>
      <c r="M210" s="47" t="s">
        <v>957</v>
      </c>
      <c r="N210" s="47" t="s">
        <v>1731</v>
      </c>
      <c r="O210" s="48"/>
      <c r="P210" s="48"/>
      <c r="Q210" s="45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0</v>
      </c>
      <c r="AF210" s="1">
        <f t="shared" si="99"/>
        <v>0</v>
      </c>
      <c r="AG210" s="1">
        <f t="shared" si="100"/>
        <v>0</v>
      </c>
      <c r="AH210" s="1">
        <f t="shared" si="101"/>
        <v>0</v>
      </c>
      <c r="AI210" s="1">
        <f t="shared" si="102"/>
        <v>1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108</v>
      </c>
      <c r="E211" s="32" t="s">
        <v>165</v>
      </c>
      <c r="F211" s="32" t="s">
        <v>305</v>
      </c>
      <c r="G211" s="32" t="s">
        <v>230</v>
      </c>
      <c r="H211" s="32" t="s">
        <v>352</v>
      </c>
      <c r="I211" s="31" t="s">
        <v>453</v>
      </c>
      <c r="J211" s="31">
        <v>99</v>
      </c>
      <c r="K211" s="33" t="s">
        <v>718</v>
      </c>
      <c r="L211" s="33" t="s">
        <v>692</v>
      </c>
      <c r="M211" s="34" t="s">
        <v>687</v>
      </c>
      <c r="N211" s="34" t="s">
        <v>1727</v>
      </c>
      <c r="O211" s="35">
        <v>1</v>
      </c>
      <c r="P211" s="35"/>
      <c r="Q211" s="32"/>
      <c r="S211" s="1">
        <f t="shared" ref="S211:S274" si="103">IF(J211=$S$7,1,0)</f>
        <v>0</v>
      </c>
      <c r="T211" s="1">
        <f t="shared" ref="T211:T274" si="104">IF(J211=$T$7,1,0)</f>
        <v>0</v>
      </c>
      <c r="U211" s="1">
        <f t="shared" ref="U211:U274" si="105">IF(J211=$U$7,1,0)</f>
        <v>0</v>
      </c>
      <c r="V211" s="1">
        <f t="shared" ref="V211:V274" si="106">IF(J211=$V$7,1,0)</f>
        <v>0</v>
      </c>
      <c r="W211" s="1">
        <f t="shared" ref="W211:W274" si="107">IF(J211=$W$7,1,0)</f>
        <v>0</v>
      </c>
      <c r="X211" s="1">
        <f t="shared" ref="X211:X274" si="108">IF(J211=$X$7,1,0)</f>
        <v>0</v>
      </c>
      <c r="Y211" s="1">
        <f t="shared" ref="Y211:Y274" si="109">IF(J211=$Y$7,1,0)</f>
        <v>0</v>
      </c>
      <c r="Z211" s="1">
        <f t="shared" ref="Z211:Z274" si="110">IF(J211=$Z$7,1,0)</f>
        <v>0</v>
      </c>
      <c r="AA211" s="1">
        <f t="shared" ref="AA211:AA274" si="111">IF(J211=$AA$7,1,0)</f>
        <v>0</v>
      </c>
      <c r="AB211" s="1">
        <f t="shared" ref="AB211:AB274" si="112">IF(J211=$AB$7,1,0)</f>
        <v>0</v>
      </c>
      <c r="AD211" s="1">
        <f t="shared" ref="AD211:AD274" si="113">+O211*P211</f>
        <v>0</v>
      </c>
      <c r="AE211" s="1">
        <f t="shared" ref="AE211:AE274" si="114">O211*(1-P211)</f>
        <v>1</v>
      </c>
      <c r="AF211" s="1">
        <f t="shared" si="99"/>
        <v>0</v>
      </c>
      <c r="AG211" s="1">
        <f t="shared" si="100"/>
        <v>1</v>
      </c>
      <c r="AH211" s="1">
        <f t="shared" si="101"/>
        <v>0</v>
      </c>
      <c r="AI211" s="1">
        <f t="shared" si="102"/>
        <v>1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110</v>
      </c>
      <c r="E212" s="32" t="s">
        <v>171</v>
      </c>
      <c r="F212" s="32" t="s">
        <v>308</v>
      </c>
      <c r="G212" s="32" t="s">
        <v>39</v>
      </c>
      <c r="H212" s="32" t="s">
        <v>362</v>
      </c>
      <c r="I212" s="31" t="s">
        <v>456</v>
      </c>
      <c r="J212" s="31">
        <v>17</v>
      </c>
      <c r="K212" s="33" t="s">
        <v>699</v>
      </c>
      <c r="L212" s="33" t="s">
        <v>693</v>
      </c>
      <c r="M212" s="34" t="s">
        <v>687</v>
      </c>
      <c r="N212" s="34" t="s">
        <v>1717</v>
      </c>
      <c r="O212" s="35">
        <v>1</v>
      </c>
      <c r="P212" s="35">
        <v>1</v>
      </c>
      <c r="Q212" s="32" t="s">
        <v>1899</v>
      </c>
      <c r="S212" s="1">
        <f t="shared" si="103"/>
        <v>0</v>
      </c>
      <c r="T212" s="1">
        <f t="shared" si="104"/>
        <v>0</v>
      </c>
      <c r="U212" s="1">
        <f t="shared" si="105"/>
        <v>0</v>
      </c>
      <c r="V212" s="1">
        <f t="shared" si="106"/>
        <v>0</v>
      </c>
      <c r="W212" s="1">
        <f t="shared" si="107"/>
        <v>0</v>
      </c>
      <c r="X212" s="1">
        <f t="shared" si="108"/>
        <v>0</v>
      </c>
      <c r="Y212" s="1">
        <f t="shared" si="109"/>
        <v>0</v>
      </c>
      <c r="Z212" s="1">
        <f t="shared" si="110"/>
        <v>0</v>
      </c>
      <c r="AA212" s="1">
        <f t="shared" si="111"/>
        <v>0</v>
      </c>
      <c r="AB212" s="1">
        <f t="shared" si="112"/>
        <v>0</v>
      </c>
      <c r="AD212" s="1">
        <f t="shared" si="113"/>
        <v>1</v>
      </c>
      <c r="AE212" s="1">
        <f t="shared" si="114"/>
        <v>0</v>
      </c>
      <c r="AF212" s="1">
        <f t="shared" si="99"/>
        <v>1</v>
      </c>
      <c r="AG212" s="1">
        <f t="shared" si="100"/>
        <v>0</v>
      </c>
      <c r="AH212" s="1">
        <f t="shared" si="101"/>
        <v>1</v>
      </c>
      <c r="AI212" s="1">
        <f t="shared" si="102"/>
        <v>0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521</v>
      </c>
      <c r="E213" s="32" t="s">
        <v>522</v>
      </c>
      <c r="F213" s="32" t="s">
        <v>523</v>
      </c>
      <c r="G213" s="32" t="s">
        <v>201</v>
      </c>
      <c r="H213" s="32" t="s">
        <v>352</v>
      </c>
      <c r="I213" s="31" t="s">
        <v>524</v>
      </c>
      <c r="J213" s="31">
        <v>10</v>
      </c>
      <c r="K213" s="33" t="s">
        <v>698</v>
      </c>
      <c r="L213" s="33" t="s">
        <v>689</v>
      </c>
      <c r="M213" s="34" t="s">
        <v>957</v>
      </c>
      <c r="N213" s="34" t="s">
        <v>1717</v>
      </c>
      <c r="O213" s="35">
        <v>1</v>
      </c>
      <c r="P213" s="35">
        <v>1</v>
      </c>
      <c r="Q213" s="32"/>
      <c r="S213" s="1">
        <f t="shared" si="103"/>
        <v>0</v>
      </c>
      <c r="T213" s="1">
        <f t="shared" si="104"/>
        <v>0</v>
      </c>
      <c r="U213" s="1">
        <f t="shared" si="105"/>
        <v>0</v>
      </c>
      <c r="V213" s="1">
        <f t="shared" si="106"/>
        <v>0</v>
      </c>
      <c r="W213" s="1">
        <f t="shared" si="107"/>
        <v>0</v>
      </c>
      <c r="X213" s="1">
        <f t="shared" si="108"/>
        <v>0</v>
      </c>
      <c r="Y213" s="1">
        <f t="shared" si="109"/>
        <v>0</v>
      </c>
      <c r="Z213" s="1">
        <f t="shared" si="110"/>
        <v>0</v>
      </c>
      <c r="AA213" s="1">
        <f t="shared" si="111"/>
        <v>0</v>
      </c>
      <c r="AB213" s="1">
        <f t="shared" si="112"/>
        <v>1</v>
      </c>
      <c r="AD213" s="1">
        <f t="shared" si="113"/>
        <v>1</v>
      </c>
      <c r="AE213" s="1">
        <f t="shared" si="114"/>
        <v>0</v>
      </c>
      <c r="AF213" s="1">
        <f t="shared" si="99"/>
        <v>1</v>
      </c>
      <c r="AG213" s="1">
        <f t="shared" si="100"/>
        <v>0</v>
      </c>
      <c r="AH213" s="1">
        <f t="shared" si="101"/>
        <v>1</v>
      </c>
      <c r="AI213" s="1">
        <f t="shared" si="102"/>
        <v>0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1483</v>
      </c>
      <c r="E214" s="32" t="s">
        <v>165</v>
      </c>
      <c r="F214" s="32" t="s">
        <v>1484</v>
      </c>
      <c r="G214" s="32" t="s">
        <v>179</v>
      </c>
      <c r="H214" s="32" t="s">
        <v>352</v>
      </c>
      <c r="I214" s="31" t="s">
        <v>1485</v>
      </c>
      <c r="J214" s="31">
        <v>10</v>
      </c>
      <c r="K214" s="33" t="s">
        <v>943</v>
      </c>
      <c r="L214" s="33" t="s">
        <v>689</v>
      </c>
      <c r="M214" s="34" t="s">
        <v>957</v>
      </c>
      <c r="N214" s="34" t="s">
        <v>1711</v>
      </c>
      <c r="O214" s="35">
        <v>1</v>
      </c>
      <c r="P214" s="35">
        <v>1</v>
      </c>
      <c r="Q214" s="32"/>
      <c r="S214" s="1">
        <f t="shared" si="103"/>
        <v>0</v>
      </c>
      <c r="T214" s="1">
        <f t="shared" si="104"/>
        <v>0</v>
      </c>
      <c r="U214" s="1">
        <f t="shared" si="105"/>
        <v>0</v>
      </c>
      <c r="V214" s="1">
        <f t="shared" si="106"/>
        <v>0</v>
      </c>
      <c r="W214" s="1">
        <f t="shared" si="107"/>
        <v>0</v>
      </c>
      <c r="X214" s="1">
        <f t="shared" si="108"/>
        <v>0</v>
      </c>
      <c r="Y214" s="1">
        <f t="shared" si="109"/>
        <v>0</v>
      </c>
      <c r="Z214" s="1">
        <f t="shared" si="110"/>
        <v>0</v>
      </c>
      <c r="AA214" s="1">
        <f t="shared" si="111"/>
        <v>0</v>
      </c>
      <c r="AB214" s="1">
        <f t="shared" si="112"/>
        <v>1</v>
      </c>
      <c r="AD214" s="1">
        <f t="shared" si="113"/>
        <v>1</v>
      </c>
      <c r="AE214" s="1">
        <f t="shared" si="114"/>
        <v>0</v>
      </c>
      <c r="AF214" s="1">
        <f t="shared" si="99"/>
        <v>1</v>
      </c>
      <c r="AG214" s="1">
        <f t="shared" si="100"/>
        <v>0</v>
      </c>
      <c r="AH214" s="1">
        <f t="shared" si="101"/>
        <v>1</v>
      </c>
      <c r="AI214" s="1">
        <f t="shared" si="102"/>
        <v>0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1741</v>
      </c>
      <c r="E215" s="32" t="s">
        <v>165</v>
      </c>
      <c r="F215" s="32" t="s">
        <v>1742</v>
      </c>
      <c r="G215" s="32" t="s">
        <v>1743</v>
      </c>
      <c r="H215" s="32" t="s">
        <v>352</v>
      </c>
      <c r="I215" s="31" t="s">
        <v>1744</v>
      </c>
      <c r="J215" s="31">
        <v>1</v>
      </c>
      <c r="K215" s="33" t="s">
        <v>699</v>
      </c>
      <c r="L215" s="33"/>
      <c r="M215" s="34"/>
      <c r="N215" s="34" t="s">
        <v>1732</v>
      </c>
      <c r="O215" s="35">
        <v>1</v>
      </c>
      <c r="P215" s="35"/>
      <c r="Q215" s="32"/>
      <c r="S215" s="1">
        <f t="shared" si="103"/>
        <v>1</v>
      </c>
      <c r="T215" s="1">
        <f t="shared" si="104"/>
        <v>0</v>
      </c>
      <c r="U215" s="1">
        <f t="shared" si="105"/>
        <v>0</v>
      </c>
      <c r="V215" s="1">
        <f t="shared" si="106"/>
        <v>0</v>
      </c>
      <c r="W215" s="1">
        <f t="shared" si="107"/>
        <v>0</v>
      </c>
      <c r="X215" s="1">
        <f t="shared" si="108"/>
        <v>0</v>
      </c>
      <c r="Y215" s="1">
        <f t="shared" si="109"/>
        <v>0</v>
      </c>
      <c r="Z215" s="1">
        <f t="shared" si="110"/>
        <v>0</v>
      </c>
      <c r="AA215" s="1">
        <f t="shared" si="111"/>
        <v>0</v>
      </c>
      <c r="AB215" s="1">
        <f t="shared" si="112"/>
        <v>0</v>
      </c>
      <c r="AD215" s="1">
        <f t="shared" si="113"/>
        <v>0</v>
      </c>
      <c r="AE215" s="1">
        <f t="shared" si="114"/>
        <v>1</v>
      </c>
      <c r="AF215" s="1">
        <f t="shared" si="99"/>
        <v>0</v>
      </c>
      <c r="AG215" s="1">
        <f t="shared" si="100"/>
        <v>1</v>
      </c>
      <c r="AH215" s="1">
        <f t="shared" si="101"/>
        <v>0</v>
      </c>
      <c r="AI215" s="1">
        <f t="shared" si="102"/>
        <v>1</v>
      </c>
    </row>
    <row r="216" spans="1:35" s="1" customFormat="1" ht="14.25" customHeight="1" x14ac:dyDescent="0.25">
      <c r="A216" s="44">
        <v>0</v>
      </c>
      <c r="B216" s="44">
        <v>1</v>
      </c>
      <c r="C216" s="44">
        <v>5</v>
      </c>
      <c r="D216" s="45" t="s">
        <v>1013</v>
      </c>
      <c r="E216" s="45" t="s">
        <v>1074</v>
      </c>
      <c r="F216" s="45" t="s">
        <v>1014</v>
      </c>
      <c r="G216" s="45" t="s">
        <v>193</v>
      </c>
      <c r="H216" s="45" t="s">
        <v>352</v>
      </c>
      <c r="I216" s="44" t="s">
        <v>1015</v>
      </c>
      <c r="J216" s="44">
        <v>9</v>
      </c>
      <c r="K216" s="46" t="s">
        <v>718</v>
      </c>
      <c r="L216" s="46" t="s">
        <v>1688</v>
      </c>
      <c r="M216" s="47" t="s">
        <v>1588</v>
      </c>
      <c r="N216" s="47" t="s">
        <v>1719</v>
      </c>
      <c r="O216" s="48"/>
      <c r="P216" s="48"/>
      <c r="Q216" s="45"/>
      <c r="S216" s="1">
        <f t="shared" si="103"/>
        <v>0</v>
      </c>
      <c r="T216" s="1">
        <f t="shared" si="104"/>
        <v>0</v>
      </c>
      <c r="U216" s="1">
        <f t="shared" si="105"/>
        <v>0</v>
      </c>
      <c r="V216" s="1">
        <f t="shared" si="106"/>
        <v>0</v>
      </c>
      <c r="W216" s="1">
        <f t="shared" si="107"/>
        <v>0</v>
      </c>
      <c r="X216" s="1">
        <f t="shared" si="108"/>
        <v>0</v>
      </c>
      <c r="Y216" s="1">
        <f t="shared" si="109"/>
        <v>0</v>
      </c>
      <c r="Z216" s="1">
        <f t="shared" si="110"/>
        <v>0</v>
      </c>
      <c r="AA216" s="1">
        <f t="shared" si="111"/>
        <v>1</v>
      </c>
      <c r="AB216" s="1">
        <f t="shared" si="112"/>
        <v>0</v>
      </c>
      <c r="AD216" s="1">
        <f t="shared" si="113"/>
        <v>0</v>
      </c>
      <c r="AE216" s="1">
        <f t="shared" si="114"/>
        <v>0</v>
      </c>
      <c r="AF216" s="1">
        <f t="shared" si="99"/>
        <v>0</v>
      </c>
      <c r="AG216" s="1">
        <f t="shared" si="100"/>
        <v>0</v>
      </c>
      <c r="AH216" s="1">
        <f t="shared" si="101"/>
        <v>0</v>
      </c>
      <c r="AI216" s="1">
        <f t="shared" si="102"/>
        <v>1</v>
      </c>
    </row>
    <row r="217" spans="1:35" s="1" customFormat="1" ht="14.25" customHeight="1" x14ac:dyDescent="0.25">
      <c r="A217" s="44">
        <v>0</v>
      </c>
      <c r="B217" s="44">
        <v>1</v>
      </c>
      <c r="C217" s="44">
        <v>5</v>
      </c>
      <c r="D217" s="45" t="s">
        <v>1598</v>
      </c>
      <c r="E217" s="45" t="s">
        <v>165</v>
      </c>
      <c r="F217" s="45" t="s">
        <v>1599</v>
      </c>
      <c r="G217" s="45" t="s">
        <v>212</v>
      </c>
      <c r="H217" s="45" t="s">
        <v>352</v>
      </c>
      <c r="I217" s="44" t="s">
        <v>1600</v>
      </c>
      <c r="J217" s="44">
        <v>1</v>
      </c>
      <c r="K217" s="46" t="s">
        <v>718</v>
      </c>
      <c r="L217" s="46" t="s">
        <v>690</v>
      </c>
      <c r="M217" s="47" t="s">
        <v>957</v>
      </c>
      <c r="N217" s="47" t="s">
        <v>1720</v>
      </c>
      <c r="O217" s="48"/>
      <c r="P217" s="48"/>
      <c r="Q217" s="45"/>
      <c r="S217" s="1">
        <f t="shared" si="103"/>
        <v>1</v>
      </c>
      <c r="T217" s="1">
        <f t="shared" si="104"/>
        <v>0</v>
      </c>
      <c r="U217" s="1">
        <f t="shared" si="105"/>
        <v>0</v>
      </c>
      <c r="V217" s="1">
        <f t="shared" si="106"/>
        <v>0</v>
      </c>
      <c r="W217" s="1">
        <f t="shared" si="107"/>
        <v>0</v>
      </c>
      <c r="X217" s="1">
        <f t="shared" si="108"/>
        <v>0</v>
      </c>
      <c r="Y217" s="1">
        <f t="shared" si="109"/>
        <v>0</v>
      </c>
      <c r="Z217" s="1">
        <f t="shared" si="110"/>
        <v>0</v>
      </c>
      <c r="AA217" s="1">
        <f t="shared" si="111"/>
        <v>0</v>
      </c>
      <c r="AB217" s="1">
        <f t="shared" si="112"/>
        <v>0</v>
      </c>
      <c r="AD217" s="1">
        <f t="shared" si="113"/>
        <v>0</v>
      </c>
      <c r="AE217" s="1">
        <f t="shared" si="114"/>
        <v>0</v>
      </c>
      <c r="AF217" s="1">
        <f t="shared" si="99"/>
        <v>0</v>
      </c>
      <c r="AG217" s="1">
        <f t="shared" si="100"/>
        <v>0</v>
      </c>
      <c r="AH217" s="1">
        <f t="shared" si="101"/>
        <v>0</v>
      </c>
      <c r="AI217" s="1">
        <f t="shared" si="102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5</v>
      </c>
      <c r="D218" s="32" t="s">
        <v>146</v>
      </c>
      <c r="E218" s="32" t="s">
        <v>541</v>
      </c>
      <c r="F218" s="32" t="s">
        <v>1583</v>
      </c>
      <c r="G218" s="32" t="s">
        <v>1657</v>
      </c>
      <c r="H218" s="32" t="s">
        <v>352</v>
      </c>
      <c r="I218" s="31" t="s">
        <v>491</v>
      </c>
      <c r="J218" s="31">
        <v>99</v>
      </c>
      <c r="K218" s="33" t="s">
        <v>698</v>
      </c>
      <c r="L218" s="33" t="s">
        <v>685</v>
      </c>
      <c r="M218" s="34" t="s">
        <v>957</v>
      </c>
      <c r="N218" s="34" t="s">
        <v>1809</v>
      </c>
      <c r="O218" s="35">
        <v>1</v>
      </c>
      <c r="P218" s="35"/>
      <c r="Q218" s="32"/>
      <c r="S218" s="1">
        <f t="shared" si="103"/>
        <v>0</v>
      </c>
      <c r="T218" s="1">
        <f t="shared" si="104"/>
        <v>0</v>
      </c>
      <c r="U218" s="1">
        <f t="shared" si="105"/>
        <v>0</v>
      </c>
      <c r="V218" s="1">
        <f t="shared" si="106"/>
        <v>0</v>
      </c>
      <c r="W218" s="1">
        <f t="shared" si="107"/>
        <v>0</v>
      </c>
      <c r="X218" s="1">
        <f t="shared" si="108"/>
        <v>0</v>
      </c>
      <c r="Y218" s="1">
        <f t="shared" si="109"/>
        <v>0</v>
      </c>
      <c r="Z218" s="1">
        <f t="shared" si="110"/>
        <v>0</v>
      </c>
      <c r="AA218" s="1">
        <f t="shared" si="111"/>
        <v>0</v>
      </c>
      <c r="AB218" s="1">
        <f t="shared" si="112"/>
        <v>0</v>
      </c>
      <c r="AD218" s="1">
        <f t="shared" si="113"/>
        <v>0</v>
      </c>
      <c r="AE218" s="1">
        <f t="shared" si="114"/>
        <v>1</v>
      </c>
      <c r="AF218" s="1">
        <f t="shared" si="99"/>
        <v>0</v>
      </c>
      <c r="AG218" s="1">
        <f t="shared" si="100"/>
        <v>1</v>
      </c>
      <c r="AH218" s="1">
        <f t="shared" si="101"/>
        <v>0</v>
      </c>
      <c r="AI218" s="1">
        <f t="shared" si="102"/>
        <v>1</v>
      </c>
    </row>
    <row r="219" spans="1:35" s="1" customFormat="1" ht="14.25" customHeight="1" x14ac:dyDescent="0.25">
      <c r="A219" s="15">
        <v>0</v>
      </c>
      <c r="B219" s="15">
        <v>1</v>
      </c>
      <c r="C219" s="15">
        <v>5</v>
      </c>
      <c r="D219" s="16" t="s">
        <v>1196</v>
      </c>
      <c r="E219" s="16" t="s">
        <v>165</v>
      </c>
      <c r="F219" s="16" t="s">
        <v>1197</v>
      </c>
      <c r="G219" s="16" t="s">
        <v>1198</v>
      </c>
      <c r="H219" s="16" t="s">
        <v>352</v>
      </c>
      <c r="I219" s="15" t="s">
        <v>1199</v>
      </c>
      <c r="J219" s="15">
        <v>99</v>
      </c>
      <c r="K219" s="10" t="s">
        <v>699</v>
      </c>
      <c r="L219" s="10">
        <v>30</v>
      </c>
      <c r="M219" s="19" t="s">
        <v>957</v>
      </c>
      <c r="N219" s="19"/>
      <c r="Q219" s="16"/>
      <c r="S219" s="1">
        <f t="shared" si="103"/>
        <v>0</v>
      </c>
      <c r="T219" s="1">
        <f t="shared" si="104"/>
        <v>0</v>
      </c>
      <c r="U219" s="1">
        <f t="shared" si="105"/>
        <v>0</v>
      </c>
      <c r="V219" s="1">
        <f t="shared" si="106"/>
        <v>0</v>
      </c>
      <c r="W219" s="1">
        <f t="shared" si="107"/>
        <v>0</v>
      </c>
      <c r="X219" s="1">
        <f t="shared" si="108"/>
        <v>0</v>
      </c>
      <c r="Y219" s="1">
        <f t="shared" si="109"/>
        <v>0</v>
      </c>
      <c r="Z219" s="1">
        <f t="shared" si="110"/>
        <v>0</v>
      </c>
      <c r="AA219" s="1">
        <f t="shared" si="111"/>
        <v>0</v>
      </c>
      <c r="AB219" s="1">
        <f t="shared" si="112"/>
        <v>0</v>
      </c>
      <c r="AD219" s="1">
        <f t="shared" si="113"/>
        <v>0</v>
      </c>
      <c r="AE219" s="1">
        <f t="shared" si="114"/>
        <v>0</v>
      </c>
      <c r="AF219" s="1">
        <f t="shared" si="99"/>
        <v>0</v>
      </c>
      <c r="AG219" s="1">
        <f t="shared" si="100"/>
        <v>0</v>
      </c>
      <c r="AH219" s="1">
        <f t="shared" si="101"/>
        <v>0</v>
      </c>
      <c r="AI219" s="1">
        <f t="shared" si="102"/>
        <v>1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1584</v>
      </c>
      <c r="E220" s="32" t="s">
        <v>171</v>
      </c>
      <c r="F220" s="32" t="s">
        <v>799</v>
      </c>
      <c r="G220" s="32" t="s">
        <v>39</v>
      </c>
      <c r="H220" s="32" t="s">
        <v>800</v>
      </c>
      <c r="I220" s="31" t="s">
        <v>801</v>
      </c>
      <c r="J220" s="31">
        <v>16</v>
      </c>
      <c r="K220" s="33" t="s">
        <v>944</v>
      </c>
      <c r="L220" s="33" t="s">
        <v>1726</v>
      </c>
      <c r="M220" s="34" t="s">
        <v>957</v>
      </c>
      <c r="N220" s="34" t="s">
        <v>1732</v>
      </c>
      <c r="O220" s="35">
        <v>1</v>
      </c>
      <c r="P220" s="35"/>
      <c r="Q220" s="32"/>
      <c r="S220" s="1">
        <f t="shared" si="103"/>
        <v>0</v>
      </c>
      <c r="T220" s="1">
        <f t="shared" si="104"/>
        <v>0</v>
      </c>
      <c r="U220" s="1">
        <f t="shared" si="105"/>
        <v>0</v>
      </c>
      <c r="V220" s="1">
        <f t="shared" si="106"/>
        <v>0</v>
      </c>
      <c r="W220" s="1">
        <f t="shared" si="107"/>
        <v>0</v>
      </c>
      <c r="X220" s="1">
        <f t="shared" si="108"/>
        <v>0</v>
      </c>
      <c r="Y220" s="1">
        <f t="shared" si="109"/>
        <v>0</v>
      </c>
      <c r="Z220" s="1">
        <f t="shared" si="110"/>
        <v>0</v>
      </c>
      <c r="AA220" s="1">
        <f t="shared" si="111"/>
        <v>0</v>
      </c>
      <c r="AB220" s="1">
        <f t="shared" si="112"/>
        <v>0</v>
      </c>
      <c r="AD220" s="1">
        <f t="shared" si="113"/>
        <v>0</v>
      </c>
      <c r="AE220" s="1">
        <f t="shared" si="114"/>
        <v>1</v>
      </c>
      <c r="AF220" s="1">
        <f t="shared" si="99"/>
        <v>0</v>
      </c>
      <c r="AG220" s="1">
        <f t="shared" si="100"/>
        <v>1</v>
      </c>
      <c r="AH220" s="1">
        <f t="shared" si="101"/>
        <v>0</v>
      </c>
      <c r="AI220" s="1">
        <f t="shared" si="102"/>
        <v>1</v>
      </c>
    </row>
    <row r="221" spans="1:35" s="1" customFormat="1" ht="14.25" customHeight="1" x14ac:dyDescent="0.25">
      <c r="A221" s="31">
        <v>0</v>
      </c>
      <c r="B221" s="31">
        <v>1</v>
      </c>
      <c r="C221" s="31">
        <v>5</v>
      </c>
      <c r="D221" s="32" t="s">
        <v>498</v>
      </c>
      <c r="E221" s="32" t="s">
        <v>165</v>
      </c>
      <c r="F221" s="32" t="s">
        <v>499</v>
      </c>
      <c r="G221" s="32" t="s">
        <v>500</v>
      </c>
      <c r="H221" s="32" t="s">
        <v>352</v>
      </c>
      <c r="I221" s="31" t="s">
        <v>501</v>
      </c>
      <c r="J221" s="31">
        <v>99</v>
      </c>
      <c r="K221" s="33" t="s">
        <v>944</v>
      </c>
      <c r="L221" s="33" t="s">
        <v>690</v>
      </c>
      <c r="M221" s="34" t="s">
        <v>687</v>
      </c>
      <c r="N221" s="34" t="s">
        <v>1711</v>
      </c>
      <c r="O221" s="35">
        <v>1</v>
      </c>
      <c r="P221" s="35">
        <v>1</v>
      </c>
      <c r="Q221" s="32"/>
      <c r="S221" s="1">
        <f t="shared" si="103"/>
        <v>0</v>
      </c>
      <c r="T221" s="1">
        <f t="shared" si="104"/>
        <v>0</v>
      </c>
      <c r="U221" s="1">
        <f t="shared" si="105"/>
        <v>0</v>
      </c>
      <c r="V221" s="1">
        <f t="shared" si="106"/>
        <v>0</v>
      </c>
      <c r="W221" s="1">
        <f t="shared" si="107"/>
        <v>0</v>
      </c>
      <c r="X221" s="1">
        <f t="shared" si="108"/>
        <v>0</v>
      </c>
      <c r="Y221" s="1">
        <f t="shared" si="109"/>
        <v>0</v>
      </c>
      <c r="Z221" s="1">
        <f t="shared" si="110"/>
        <v>0</v>
      </c>
      <c r="AA221" s="1">
        <f t="shared" si="111"/>
        <v>0</v>
      </c>
      <c r="AB221" s="1">
        <f t="shared" si="112"/>
        <v>0</v>
      </c>
      <c r="AD221" s="1">
        <f t="shared" si="113"/>
        <v>1</v>
      </c>
      <c r="AE221" s="1">
        <f t="shared" si="114"/>
        <v>0</v>
      </c>
      <c r="AF221" s="1">
        <f t="shared" si="99"/>
        <v>1</v>
      </c>
      <c r="AG221" s="1">
        <f t="shared" si="100"/>
        <v>0</v>
      </c>
      <c r="AH221" s="1">
        <f t="shared" si="101"/>
        <v>1</v>
      </c>
      <c r="AI221" s="1">
        <f t="shared" si="102"/>
        <v>0</v>
      </c>
    </row>
    <row r="222" spans="1:35" s="1" customFormat="1" ht="14.25" customHeight="1" x14ac:dyDescent="0.25">
      <c r="A222" s="31">
        <v>0</v>
      </c>
      <c r="B222" s="31">
        <v>1</v>
      </c>
      <c r="C222" s="31">
        <v>6</v>
      </c>
      <c r="D222" s="32" t="s">
        <v>1434</v>
      </c>
      <c r="E222" s="32" t="s">
        <v>166</v>
      </c>
      <c r="F222" s="32" t="s">
        <v>1435</v>
      </c>
      <c r="G222" s="32" t="s">
        <v>178</v>
      </c>
      <c r="H222" s="32" t="s">
        <v>352</v>
      </c>
      <c r="I222" s="31" t="s">
        <v>1436</v>
      </c>
      <c r="J222" s="31">
        <v>99</v>
      </c>
      <c r="K222" s="33" t="s">
        <v>943</v>
      </c>
      <c r="L222" s="33" t="s">
        <v>692</v>
      </c>
      <c r="M222" s="34" t="s">
        <v>1437</v>
      </c>
      <c r="N222" s="34" t="s">
        <v>1733</v>
      </c>
      <c r="O222" s="35">
        <v>1</v>
      </c>
      <c r="P222" s="35"/>
      <c r="Q222" s="36"/>
      <c r="S222" s="1">
        <f t="shared" si="103"/>
        <v>0</v>
      </c>
      <c r="T222" s="1">
        <f t="shared" si="104"/>
        <v>0</v>
      </c>
      <c r="U222" s="1">
        <f t="shared" si="105"/>
        <v>0</v>
      </c>
      <c r="V222" s="1">
        <f t="shared" si="106"/>
        <v>0</v>
      </c>
      <c r="W222" s="1">
        <f t="shared" si="107"/>
        <v>0</v>
      </c>
      <c r="X222" s="1">
        <f t="shared" si="108"/>
        <v>0</v>
      </c>
      <c r="Y222" s="1">
        <f t="shared" si="109"/>
        <v>0</v>
      </c>
      <c r="Z222" s="1">
        <f t="shared" si="110"/>
        <v>0</v>
      </c>
      <c r="AA222" s="1">
        <f t="shared" si="111"/>
        <v>0</v>
      </c>
      <c r="AB222" s="1">
        <f t="shared" si="112"/>
        <v>0</v>
      </c>
      <c r="AD222" s="1">
        <f t="shared" si="113"/>
        <v>0</v>
      </c>
      <c r="AE222" s="1">
        <f t="shared" si="114"/>
        <v>1</v>
      </c>
      <c r="AF222" s="1">
        <f t="shared" si="99"/>
        <v>0</v>
      </c>
      <c r="AG222" s="1">
        <f t="shared" si="100"/>
        <v>1</v>
      </c>
      <c r="AH222" s="1">
        <f t="shared" si="101"/>
        <v>0</v>
      </c>
      <c r="AI222" s="1">
        <f t="shared" si="102"/>
        <v>1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1170</v>
      </c>
      <c r="E223" s="32" t="s">
        <v>1173</v>
      </c>
      <c r="F223" s="32" t="s">
        <v>1171</v>
      </c>
      <c r="G223" s="32" t="s">
        <v>39</v>
      </c>
      <c r="H223" s="32" t="s">
        <v>352</v>
      </c>
      <c r="I223" s="31" t="s">
        <v>1172</v>
      </c>
      <c r="J223" s="31">
        <v>99</v>
      </c>
      <c r="K223" s="33" t="s">
        <v>949</v>
      </c>
      <c r="L223" s="33" t="s">
        <v>39</v>
      </c>
      <c r="M223" s="34" t="s">
        <v>39</v>
      </c>
      <c r="N223" s="34" t="s">
        <v>1717</v>
      </c>
      <c r="O223" s="35">
        <v>1</v>
      </c>
      <c r="P223" s="35">
        <v>1</v>
      </c>
      <c r="Q223" s="36" t="s">
        <v>1892</v>
      </c>
      <c r="S223" s="1">
        <f t="shared" si="103"/>
        <v>0</v>
      </c>
      <c r="T223" s="1">
        <f t="shared" si="104"/>
        <v>0</v>
      </c>
      <c r="U223" s="1">
        <f t="shared" si="105"/>
        <v>0</v>
      </c>
      <c r="V223" s="1">
        <f t="shared" si="106"/>
        <v>0</v>
      </c>
      <c r="W223" s="1">
        <f t="shared" si="107"/>
        <v>0</v>
      </c>
      <c r="X223" s="1">
        <f t="shared" si="108"/>
        <v>0</v>
      </c>
      <c r="Y223" s="1">
        <f t="shared" si="109"/>
        <v>0</v>
      </c>
      <c r="Z223" s="1">
        <f t="shared" si="110"/>
        <v>0</v>
      </c>
      <c r="AA223" s="1">
        <f t="shared" si="111"/>
        <v>0</v>
      </c>
      <c r="AB223" s="1">
        <f t="shared" si="112"/>
        <v>0</v>
      </c>
      <c r="AD223" s="1">
        <f t="shared" si="113"/>
        <v>1</v>
      </c>
      <c r="AE223" s="1">
        <f t="shared" si="114"/>
        <v>0</v>
      </c>
      <c r="AF223" s="1">
        <f t="shared" si="99"/>
        <v>1</v>
      </c>
      <c r="AG223" s="1">
        <f t="shared" si="100"/>
        <v>0</v>
      </c>
      <c r="AH223" s="1">
        <f t="shared" si="101"/>
        <v>1</v>
      </c>
      <c r="AI223" s="1">
        <f t="shared" si="102"/>
        <v>0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1632</v>
      </c>
      <c r="E224" s="32" t="s">
        <v>1640</v>
      </c>
      <c r="F224" s="32" t="s">
        <v>1667</v>
      </c>
      <c r="G224" s="32" t="s">
        <v>1668</v>
      </c>
      <c r="H224" s="32" t="s">
        <v>352</v>
      </c>
      <c r="I224" s="31" t="s">
        <v>1680</v>
      </c>
      <c r="J224" s="31">
        <v>1</v>
      </c>
      <c r="K224" s="33" t="s">
        <v>945</v>
      </c>
      <c r="L224" s="33" t="s">
        <v>39</v>
      </c>
      <c r="M224" s="34" t="s">
        <v>39</v>
      </c>
      <c r="N224" s="34" t="s">
        <v>1711</v>
      </c>
      <c r="O224" s="35">
        <v>1</v>
      </c>
      <c r="P224" s="35">
        <v>1</v>
      </c>
      <c r="Q224" s="32"/>
      <c r="S224" s="1">
        <f t="shared" si="103"/>
        <v>1</v>
      </c>
      <c r="T224" s="1">
        <f t="shared" si="104"/>
        <v>0</v>
      </c>
      <c r="U224" s="1">
        <f t="shared" si="105"/>
        <v>0</v>
      </c>
      <c r="V224" s="1">
        <f t="shared" si="106"/>
        <v>0</v>
      </c>
      <c r="W224" s="1">
        <f t="shared" si="107"/>
        <v>0</v>
      </c>
      <c r="X224" s="1">
        <f t="shared" si="108"/>
        <v>0</v>
      </c>
      <c r="Y224" s="1">
        <f t="shared" si="109"/>
        <v>0</v>
      </c>
      <c r="Z224" s="1">
        <f t="shared" si="110"/>
        <v>0</v>
      </c>
      <c r="AA224" s="1">
        <f t="shared" si="111"/>
        <v>0</v>
      </c>
      <c r="AB224" s="1">
        <f t="shared" si="112"/>
        <v>0</v>
      </c>
      <c r="AD224" s="1">
        <f t="shared" si="113"/>
        <v>1</v>
      </c>
      <c r="AE224" s="1">
        <f t="shared" si="114"/>
        <v>0</v>
      </c>
      <c r="AF224" s="1">
        <f t="shared" si="99"/>
        <v>1</v>
      </c>
      <c r="AG224" s="1">
        <f t="shared" si="100"/>
        <v>0</v>
      </c>
      <c r="AH224" s="1">
        <f t="shared" si="101"/>
        <v>1</v>
      </c>
      <c r="AI224" s="1">
        <f t="shared" si="102"/>
        <v>0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89</v>
      </c>
      <c r="E225" s="32" t="s">
        <v>167</v>
      </c>
      <c r="F225" s="32" t="s">
        <v>282</v>
      </c>
      <c r="G225" s="32" t="s">
        <v>229</v>
      </c>
      <c r="H225" s="32" t="s">
        <v>352</v>
      </c>
      <c r="I225" s="31" t="s">
        <v>435</v>
      </c>
      <c r="J225" s="31">
        <v>7</v>
      </c>
      <c r="K225" s="33" t="s">
        <v>718</v>
      </c>
      <c r="L225" s="33">
        <v>40</v>
      </c>
      <c r="M225" s="34" t="s">
        <v>39</v>
      </c>
      <c r="N225" s="34" t="s">
        <v>1732</v>
      </c>
      <c r="O225" s="35">
        <v>1</v>
      </c>
      <c r="P225" s="35"/>
      <c r="Q225" s="32"/>
      <c r="S225" s="1">
        <f t="shared" si="103"/>
        <v>0</v>
      </c>
      <c r="T225" s="1">
        <f t="shared" si="104"/>
        <v>0</v>
      </c>
      <c r="U225" s="1">
        <f t="shared" si="105"/>
        <v>0</v>
      </c>
      <c r="V225" s="1">
        <f t="shared" si="106"/>
        <v>0</v>
      </c>
      <c r="W225" s="1">
        <f t="shared" si="107"/>
        <v>0</v>
      </c>
      <c r="X225" s="1">
        <f t="shared" si="108"/>
        <v>0</v>
      </c>
      <c r="Y225" s="1">
        <f t="shared" si="109"/>
        <v>1</v>
      </c>
      <c r="Z225" s="1">
        <f t="shared" si="110"/>
        <v>0</v>
      </c>
      <c r="AA225" s="1">
        <f t="shared" si="111"/>
        <v>0</v>
      </c>
      <c r="AB225" s="1">
        <f t="shared" si="112"/>
        <v>0</v>
      </c>
      <c r="AD225" s="1">
        <f t="shared" si="113"/>
        <v>0</v>
      </c>
      <c r="AE225" s="1">
        <f t="shared" si="114"/>
        <v>1</v>
      </c>
      <c r="AF225" s="1">
        <f t="shared" si="99"/>
        <v>0</v>
      </c>
      <c r="AG225" s="1">
        <f t="shared" si="100"/>
        <v>1</v>
      </c>
      <c r="AH225" s="1">
        <f t="shared" si="101"/>
        <v>0</v>
      </c>
      <c r="AI225" s="1">
        <f t="shared" si="102"/>
        <v>1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90</v>
      </c>
      <c r="E226" s="32" t="s">
        <v>164</v>
      </c>
      <c r="F226" s="36" t="s">
        <v>1855</v>
      </c>
      <c r="G226" s="32" t="s">
        <v>239</v>
      </c>
      <c r="H226" s="32" t="s">
        <v>352</v>
      </c>
      <c r="I226" s="31" t="s">
        <v>436</v>
      </c>
      <c r="J226" s="31">
        <v>1</v>
      </c>
      <c r="K226" s="33" t="s">
        <v>951</v>
      </c>
      <c r="L226" s="33" t="s">
        <v>39</v>
      </c>
      <c r="M226" s="34" t="s">
        <v>39</v>
      </c>
      <c r="N226" s="34" t="s">
        <v>1711</v>
      </c>
      <c r="O226" s="35">
        <v>1</v>
      </c>
      <c r="P226" s="35">
        <v>1</v>
      </c>
      <c r="Q226" s="32"/>
      <c r="S226" s="1">
        <f t="shared" si="103"/>
        <v>1</v>
      </c>
      <c r="T226" s="1">
        <f t="shared" si="104"/>
        <v>0</v>
      </c>
      <c r="U226" s="1">
        <f t="shared" si="105"/>
        <v>0</v>
      </c>
      <c r="V226" s="1">
        <f t="shared" si="106"/>
        <v>0</v>
      </c>
      <c r="W226" s="1">
        <f t="shared" si="107"/>
        <v>0</v>
      </c>
      <c r="X226" s="1">
        <f t="shared" si="108"/>
        <v>0</v>
      </c>
      <c r="Y226" s="1">
        <f t="shared" si="109"/>
        <v>0</v>
      </c>
      <c r="Z226" s="1">
        <f t="shared" si="110"/>
        <v>0</v>
      </c>
      <c r="AA226" s="1">
        <f t="shared" si="111"/>
        <v>0</v>
      </c>
      <c r="AB226" s="1">
        <f t="shared" si="112"/>
        <v>0</v>
      </c>
      <c r="AD226" s="1">
        <f t="shared" si="113"/>
        <v>1</v>
      </c>
      <c r="AE226" s="1">
        <f t="shared" si="114"/>
        <v>0</v>
      </c>
      <c r="AF226" s="1">
        <f t="shared" si="99"/>
        <v>1</v>
      </c>
      <c r="AG226" s="1">
        <f t="shared" si="100"/>
        <v>0</v>
      </c>
      <c r="AH226" s="1">
        <f t="shared" si="101"/>
        <v>1</v>
      </c>
      <c r="AI226" s="1">
        <f t="shared" si="102"/>
        <v>0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91</v>
      </c>
      <c r="E227" s="32" t="s">
        <v>166</v>
      </c>
      <c r="F227" s="32" t="s">
        <v>284</v>
      </c>
      <c r="G227" s="32" t="s">
        <v>199</v>
      </c>
      <c r="H227" s="32" t="s">
        <v>352</v>
      </c>
      <c r="I227" s="31" t="s">
        <v>437</v>
      </c>
      <c r="J227" s="31">
        <v>2</v>
      </c>
      <c r="K227" s="33" t="s">
        <v>949</v>
      </c>
      <c r="L227" s="33" t="s">
        <v>39</v>
      </c>
      <c r="M227" s="34" t="s">
        <v>39</v>
      </c>
      <c r="N227" s="34" t="s">
        <v>1711</v>
      </c>
      <c r="O227" s="35">
        <v>1</v>
      </c>
      <c r="P227" s="35">
        <v>1</v>
      </c>
      <c r="Q227" s="32"/>
      <c r="S227" s="1">
        <f t="shared" si="103"/>
        <v>0</v>
      </c>
      <c r="T227" s="1">
        <f t="shared" si="104"/>
        <v>1</v>
      </c>
      <c r="U227" s="1">
        <f t="shared" si="105"/>
        <v>0</v>
      </c>
      <c r="V227" s="1">
        <f t="shared" si="106"/>
        <v>0</v>
      </c>
      <c r="W227" s="1">
        <f t="shared" si="107"/>
        <v>0</v>
      </c>
      <c r="X227" s="1">
        <f t="shared" si="108"/>
        <v>0</v>
      </c>
      <c r="Y227" s="1">
        <f t="shared" si="109"/>
        <v>0</v>
      </c>
      <c r="Z227" s="1">
        <f t="shared" si="110"/>
        <v>0</v>
      </c>
      <c r="AA227" s="1">
        <f t="shared" si="111"/>
        <v>0</v>
      </c>
      <c r="AB227" s="1">
        <f t="shared" si="112"/>
        <v>0</v>
      </c>
      <c r="AD227" s="1">
        <f t="shared" si="113"/>
        <v>1</v>
      </c>
      <c r="AE227" s="1">
        <f t="shared" si="114"/>
        <v>0</v>
      </c>
      <c r="AF227" s="1">
        <f t="shared" si="99"/>
        <v>1</v>
      </c>
      <c r="AG227" s="1">
        <f t="shared" si="100"/>
        <v>0</v>
      </c>
      <c r="AH227" s="1">
        <f t="shared" si="101"/>
        <v>1</v>
      </c>
      <c r="AI227" s="1">
        <f t="shared" si="102"/>
        <v>0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1260</v>
      </c>
      <c r="E228" s="32" t="s">
        <v>166</v>
      </c>
      <c r="F228" s="32" t="s">
        <v>1132</v>
      </c>
      <c r="G228" s="32" t="s">
        <v>1326</v>
      </c>
      <c r="H228" s="32" t="s">
        <v>352</v>
      </c>
      <c r="I228" s="31" t="s">
        <v>1133</v>
      </c>
      <c r="J228" s="31">
        <v>99</v>
      </c>
      <c r="K228" s="33" t="s">
        <v>698</v>
      </c>
      <c r="L228" s="33">
        <v>45</v>
      </c>
      <c r="M228" s="34" t="s">
        <v>39</v>
      </c>
      <c r="N228" s="34" t="s">
        <v>1727</v>
      </c>
      <c r="O228" s="35">
        <v>1</v>
      </c>
      <c r="P228" s="35"/>
      <c r="Q228" s="32"/>
      <c r="S228" s="1">
        <f t="shared" si="103"/>
        <v>0</v>
      </c>
      <c r="T228" s="1">
        <f t="shared" si="104"/>
        <v>0</v>
      </c>
      <c r="U228" s="1">
        <f t="shared" si="105"/>
        <v>0</v>
      </c>
      <c r="V228" s="1">
        <f t="shared" si="106"/>
        <v>0</v>
      </c>
      <c r="W228" s="1">
        <f t="shared" si="107"/>
        <v>0</v>
      </c>
      <c r="X228" s="1">
        <f t="shared" si="108"/>
        <v>0</v>
      </c>
      <c r="Y228" s="1">
        <f t="shared" si="109"/>
        <v>0</v>
      </c>
      <c r="Z228" s="1">
        <f t="shared" si="110"/>
        <v>0</v>
      </c>
      <c r="AA228" s="1">
        <f t="shared" si="111"/>
        <v>0</v>
      </c>
      <c r="AB228" s="1">
        <f t="shared" si="112"/>
        <v>0</v>
      </c>
      <c r="AD228" s="1">
        <f t="shared" si="113"/>
        <v>0</v>
      </c>
      <c r="AE228" s="1">
        <f t="shared" si="114"/>
        <v>1</v>
      </c>
      <c r="AF228" s="1">
        <f t="shared" si="99"/>
        <v>0</v>
      </c>
      <c r="AG228" s="1">
        <f t="shared" si="100"/>
        <v>1</v>
      </c>
      <c r="AH228" s="1">
        <f t="shared" si="101"/>
        <v>0</v>
      </c>
      <c r="AI228" s="1">
        <f t="shared" si="102"/>
        <v>1</v>
      </c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1775</v>
      </c>
      <c r="E229" s="32" t="s">
        <v>166</v>
      </c>
      <c r="F229" s="32" t="s">
        <v>1750</v>
      </c>
      <c r="G229" s="32"/>
      <c r="H229" s="32" t="s">
        <v>352</v>
      </c>
      <c r="I229" s="31" t="s">
        <v>1751</v>
      </c>
      <c r="J229" s="31"/>
      <c r="K229" s="33" t="s">
        <v>699</v>
      </c>
      <c r="L229" s="33"/>
      <c r="M229" s="34"/>
      <c r="N229" s="34" t="s">
        <v>1711</v>
      </c>
      <c r="O229" s="35">
        <v>1</v>
      </c>
      <c r="P229" s="35">
        <v>1</v>
      </c>
      <c r="Q229" s="32"/>
      <c r="S229" s="1">
        <f t="shared" si="103"/>
        <v>0</v>
      </c>
      <c r="T229" s="1">
        <f t="shared" si="104"/>
        <v>0</v>
      </c>
      <c r="U229" s="1">
        <f t="shared" si="105"/>
        <v>0</v>
      </c>
      <c r="V229" s="1">
        <f t="shared" si="106"/>
        <v>0</v>
      </c>
      <c r="W229" s="1">
        <f t="shared" si="107"/>
        <v>0</v>
      </c>
      <c r="X229" s="1">
        <f t="shared" si="108"/>
        <v>0</v>
      </c>
      <c r="Y229" s="1">
        <f t="shared" si="109"/>
        <v>0</v>
      </c>
      <c r="Z229" s="1">
        <f t="shared" si="110"/>
        <v>0</v>
      </c>
      <c r="AA229" s="1">
        <f t="shared" si="111"/>
        <v>0</v>
      </c>
      <c r="AB229" s="1">
        <f t="shared" si="112"/>
        <v>0</v>
      </c>
      <c r="AD229" s="1">
        <f t="shared" si="113"/>
        <v>1</v>
      </c>
      <c r="AE229" s="1">
        <f t="shared" si="114"/>
        <v>0</v>
      </c>
      <c r="AF229" s="1">
        <f t="shared" si="99"/>
        <v>1</v>
      </c>
      <c r="AG229" s="1">
        <f t="shared" si="100"/>
        <v>0</v>
      </c>
      <c r="AH229" s="1">
        <f t="shared" si="101"/>
        <v>1</v>
      </c>
      <c r="AI229" s="1">
        <f t="shared" si="102"/>
        <v>0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1774</v>
      </c>
      <c r="E230" s="32" t="s">
        <v>166</v>
      </c>
      <c r="F230" s="32" t="s">
        <v>1752</v>
      </c>
      <c r="G230" s="32"/>
      <c r="H230" s="32" t="s">
        <v>352</v>
      </c>
      <c r="I230" s="31" t="s">
        <v>1753</v>
      </c>
      <c r="J230" s="31"/>
      <c r="K230" s="33" t="s">
        <v>699</v>
      </c>
      <c r="L230" s="33">
        <v>30</v>
      </c>
      <c r="M230" s="34" t="s">
        <v>1754</v>
      </c>
      <c r="N230" s="34" t="s">
        <v>1732</v>
      </c>
      <c r="O230" s="35">
        <v>1</v>
      </c>
      <c r="P230" s="35"/>
      <c r="Q230" s="32"/>
      <c r="S230" s="1">
        <f t="shared" si="103"/>
        <v>0</v>
      </c>
      <c r="T230" s="1">
        <f t="shared" si="104"/>
        <v>0</v>
      </c>
      <c r="U230" s="1">
        <f t="shared" si="105"/>
        <v>0</v>
      </c>
      <c r="V230" s="1">
        <f t="shared" si="106"/>
        <v>0</v>
      </c>
      <c r="W230" s="1">
        <f t="shared" si="107"/>
        <v>0</v>
      </c>
      <c r="X230" s="1">
        <f t="shared" si="108"/>
        <v>0</v>
      </c>
      <c r="Y230" s="1">
        <f t="shared" si="109"/>
        <v>0</v>
      </c>
      <c r="Z230" s="1">
        <f t="shared" si="110"/>
        <v>0</v>
      </c>
      <c r="AA230" s="1">
        <f t="shared" si="111"/>
        <v>0</v>
      </c>
      <c r="AB230" s="1">
        <f t="shared" si="112"/>
        <v>0</v>
      </c>
      <c r="AD230" s="1">
        <f t="shared" si="113"/>
        <v>0</v>
      </c>
      <c r="AE230" s="1">
        <f t="shared" si="114"/>
        <v>1</v>
      </c>
      <c r="AF230" s="1">
        <f t="shared" si="99"/>
        <v>0</v>
      </c>
      <c r="AG230" s="1">
        <f t="shared" si="100"/>
        <v>1</v>
      </c>
      <c r="AH230" s="1">
        <f t="shared" si="101"/>
        <v>0</v>
      </c>
      <c r="AI230" s="1">
        <f t="shared" si="102"/>
        <v>1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1001</v>
      </c>
      <c r="E231" s="32" t="s">
        <v>166</v>
      </c>
      <c r="F231" s="32" t="s">
        <v>1002</v>
      </c>
      <c r="G231" s="32" t="s">
        <v>1090</v>
      </c>
      <c r="H231" s="32" t="s">
        <v>352</v>
      </c>
      <c r="I231" s="31" t="s">
        <v>1003</v>
      </c>
      <c r="J231" s="31">
        <v>99</v>
      </c>
      <c r="K231" s="33" t="s">
        <v>951</v>
      </c>
      <c r="L231" s="33" t="s">
        <v>39</v>
      </c>
      <c r="M231" s="34" t="s">
        <v>39</v>
      </c>
      <c r="N231" s="34" t="s">
        <v>1711</v>
      </c>
      <c r="O231" s="35">
        <v>1</v>
      </c>
      <c r="P231" s="35">
        <v>1</v>
      </c>
      <c r="Q231" s="32"/>
      <c r="S231" s="1">
        <f t="shared" si="103"/>
        <v>0</v>
      </c>
      <c r="T231" s="1">
        <f t="shared" si="104"/>
        <v>0</v>
      </c>
      <c r="U231" s="1">
        <f t="shared" si="105"/>
        <v>0</v>
      </c>
      <c r="V231" s="1">
        <f t="shared" si="106"/>
        <v>0</v>
      </c>
      <c r="W231" s="1">
        <f t="shared" si="107"/>
        <v>0</v>
      </c>
      <c r="X231" s="1">
        <f t="shared" si="108"/>
        <v>0</v>
      </c>
      <c r="Y231" s="1">
        <f t="shared" si="109"/>
        <v>0</v>
      </c>
      <c r="Z231" s="1">
        <f t="shared" si="110"/>
        <v>0</v>
      </c>
      <c r="AA231" s="1">
        <f t="shared" si="111"/>
        <v>0</v>
      </c>
      <c r="AB231" s="1">
        <f t="shared" si="112"/>
        <v>0</v>
      </c>
      <c r="AD231" s="1">
        <f t="shared" si="113"/>
        <v>1</v>
      </c>
      <c r="AE231" s="1">
        <f t="shared" si="114"/>
        <v>0</v>
      </c>
      <c r="AF231" s="1">
        <f t="shared" si="99"/>
        <v>1</v>
      </c>
      <c r="AG231" s="1">
        <f t="shared" si="100"/>
        <v>0</v>
      </c>
      <c r="AH231" s="1">
        <f t="shared" si="101"/>
        <v>1</v>
      </c>
      <c r="AI231" s="1">
        <f t="shared" si="102"/>
        <v>0</v>
      </c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93</v>
      </c>
      <c r="E232" s="32" t="s">
        <v>168</v>
      </c>
      <c r="F232" s="32" t="s">
        <v>287</v>
      </c>
      <c r="G232" s="32" t="s">
        <v>193</v>
      </c>
      <c r="H232" s="32" t="s">
        <v>352</v>
      </c>
      <c r="I232" s="31" t="s">
        <v>439</v>
      </c>
      <c r="J232" s="31">
        <v>9</v>
      </c>
      <c r="K232" s="33" t="s">
        <v>698</v>
      </c>
      <c r="L232" s="33" t="s">
        <v>690</v>
      </c>
      <c r="M232" s="34" t="s">
        <v>702</v>
      </c>
      <c r="N232" s="34" t="s">
        <v>1732</v>
      </c>
      <c r="O232" s="35">
        <v>1</v>
      </c>
      <c r="P232" s="35"/>
      <c r="Q232" s="32"/>
      <c r="S232" s="1">
        <f t="shared" si="103"/>
        <v>0</v>
      </c>
      <c r="T232" s="1">
        <f t="shared" si="104"/>
        <v>0</v>
      </c>
      <c r="U232" s="1">
        <f t="shared" si="105"/>
        <v>0</v>
      </c>
      <c r="V232" s="1">
        <f t="shared" si="106"/>
        <v>0</v>
      </c>
      <c r="W232" s="1">
        <f t="shared" si="107"/>
        <v>0</v>
      </c>
      <c r="X232" s="1">
        <f t="shared" si="108"/>
        <v>0</v>
      </c>
      <c r="Y232" s="1">
        <f t="shared" si="109"/>
        <v>0</v>
      </c>
      <c r="Z232" s="1">
        <f t="shared" si="110"/>
        <v>0</v>
      </c>
      <c r="AA232" s="1">
        <f t="shared" si="111"/>
        <v>1</v>
      </c>
      <c r="AB232" s="1">
        <f t="shared" si="112"/>
        <v>0</v>
      </c>
      <c r="AD232" s="1">
        <f t="shared" si="113"/>
        <v>0</v>
      </c>
      <c r="AE232" s="1">
        <f t="shared" si="114"/>
        <v>1</v>
      </c>
      <c r="AF232" s="1">
        <f t="shared" si="99"/>
        <v>0</v>
      </c>
      <c r="AG232" s="1">
        <f t="shared" si="100"/>
        <v>1</v>
      </c>
      <c r="AH232" s="1">
        <f t="shared" si="101"/>
        <v>0</v>
      </c>
      <c r="AI232" s="1">
        <f t="shared" si="102"/>
        <v>1</v>
      </c>
    </row>
    <row r="233" spans="1:4094 4097:8191 8194:12288 12291:16384" s="1" customFormat="1" ht="14.25" customHeight="1" x14ac:dyDescent="0.25">
      <c r="A233" s="38">
        <v>0</v>
      </c>
      <c r="B233" s="38">
        <v>1</v>
      </c>
      <c r="C233" s="38">
        <v>6</v>
      </c>
      <c r="D233" s="54" t="s">
        <v>1593</v>
      </c>
      <c r="E233" s="39" t="s">
        <v>1594</v>
      </c>
      <c r="F233" s="39" t="s">
        <v>1595</v>
      </c>
      <c r="G233" s="39" t="s">
        <v>191</v>
      </c>
      <c r="H233" s="39" t="s">
        <v>352</v>
      </c>
      <c r="I233" s="38" t="s">
        <v>1596</v>
      </c>
      <c r="J233" s="38">
        <v>10</v>
      </c>
      <c r="K233" s="40" t="s">
        <v>943</v>
      </c>
      <c r="L233" s="40" t="s">
        <v>683</v>
      </c>
      <c r="M233" s="41" t="s">
        <v>1597</v>
      </c>
      <c r="N233" s="42"/>
      <c r="O233" s="43"/>
      <c r="P233" s="43">
        <v>1</v>
      </c>
      <c r="Q233" s="39"/>
      <c r="S233" s="1">
        <f t="shared" si="103"/>
        <v>0</v>
      </c>
      <c r="T233" s="1">
        <f t="shared" si="104"/>
        <v>0</v>
      </c>
      <c r="U233" s="1">
        <f t="shared" si="105"/>
        <v>0</v>
      </c>
      <c r="V233" s="1">
        <f t="shared" si="106"/>
        <v>0</v>
      </c>
      <c r="W233" s="1">
        <f t="shared" si="107"/>
        <v>0</v>
      </c>
      <c r="X233" s="1">
        <f t="shared" si="108"/>
        <v>0</v>
      </c>
      <c r="Y233" s="1">
        <f t="shared" si="109"/>
        <v>0</v>
      </c>
      <c r="Z233" s="1">
        <f t="shared" si="110"/>
        <v>0</v>
      </c>
      <c r="AA233" s="1">
        <f t="shared" si="111"/>
        <v>0</v>
      </c>
      <c r="AB233" s="1">
        <f t="shared" si="112"/>
        <v>1</v>
      </c>
      <c r="AD233" s="1">
        <f t="shared" si="113"/>
        <v>0</v>
      </c>
      <c r="AE233" s="1">
        <f t="shared" si="114"/>
        <v>0</v>
      </c>
      <c r="AF233" s="1">
        <f t="shared" si="99"/>
        <v>0</v>
      </c>
      <c r="AG233" s="1">
        <f t="shared" si="100"/>
        <v>0</v>
      </c>
      <c r="AH233" s="1">
        <f t="shared" si="101"/>
        <v>1</v>
      </c>
      <c r="AI233" s="1">
        <f t="shared" si="102"/>
        <v>0</v>
      </c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94</v>
      </c>
      <c r="E234" s="32" t="s">
        <v>164</v>
      </c>
      <c r="F234" s="32" t="s">
        <v>288</v>
      </c>
      <c r="G234" s="32" t="s">
        <v>289</v>
      </c>
      <c r="H234" s="32" t="s">
        <v>352</v>
      </c>
      <c r="I234" s="31" t="s">
        <v>440</v>
      </c>
      <c r="J234" s="31">
        <v>7</v>
      </c>
      <c r="K234" s="33" t="s">
        <v>698</v>
      </c>
      <c r="L234" s="33" t="s">
        <v>690</v>
      </c>
      <c r="M234" s="34" t="s">
        <v>694</v>
      </c>
      <c r="N234" s="34" t="s">
        <v>1733</v>
      </c>
      <c r="O234" s="35">
        <v>1</v>
      </c>
      <c r="P234" s="35"/>
      <c r="Q234" s="32"/>
      <c r="R234" s="15"/>
      <c r="S234" s="1">
        <f t="shared" si="103"/>
        <v>0</v>
      </c>
      <c r="T234" s="1">
        <f t="shared" si="104"/>
        <v>0</v>
      </c>
      <c r="U234" s="1">
        <f t="shared" si="105"/>
        <v>0</v>
      </c>
      <c r="V234" s="1">
        <f t="shared" si="106"/>
        <v>0</v>
      </c>
      <c r="W234" s="1">
        <f t="shared" si="107"/>
        <v>0</v>
      </c>
      <c r="X234" s="1">
        <f t="shared" si="108"/>
        <v>0</v>
      </c>
      <c r="Y234" s="1">
        <f t="shared" si="109"/>
        <v>1</v>
      </c>
      <c r="Z234" s="1">
        <f t="shared" si="110"/>
        <v>0</v>
      </c>
      <c r="AA234" s="1">
        <f t="shared" si="111"/>
        <v>0</v>
      </c>
      <c r="AB234" s="1">
        <f t="shared" si="112"/>
        <v>0</v>
      </c>
      <c r="AD234" s="1">
        <f t="shared" si="113"/>
        <v>0</v>
      </c>
      <c r="AE234" s="1">
        <f t="shared" si="114"/>
        <v>1</v>
      </c>
      <c r="AF234" s="1">
        <f t="shared" si="99"/>
        <v>0</v>
      </c>
      <c r="AG234" s="1">
        <f t="shared" si="100"/>
        <v>1</v>
      </c>
      <c r="AH234" s="1">
        <f t="shared" si="101"/>
        <v>0</v>
      </c>
      <c r="AI234" s="1">
        <f t="shared" si="102"/>
        <v>1</v>
      </c>
      <c r="AJ234" s="15"/>
      <c r="AK234" s="15"/>
      <c r="AL234" s="16"/>
      <c r="AM234" s="16"/>
      <c r="AN234" s="16"/>
      <c r="AO234" s="16"/>
      <c r="AP234" s="16"/>
      <c r="AQ234" s="15"/>
      <c r="AR234" s="15"/>
      <c r="AS234" s="10"/>
      <c r="AT234" s="10"/>
      <c r="AU234" s="19"/>
      <c r="AV234" s="19"/>
      <c r="AY234" s="16"/>
      <c r="AZ234" s="15"/>
      <c r="BA234" s="15"/>
      <c r="BB234" s="15"/>
      <c r="BC234" s="16"/>
      <c r="BD234" s="16"/>
      <c r="BE234" s="16"/>
      <c r="BF234" s="16"/>
      <c r="BG234" s="16"/>
      <c r="BH234" s="15"/>
      <c r="BI234" s="15"/>
      <c r="BJ234" s="10"/>
      <c r="BK234" s="10"/>
      <c r="BL234" s="19"/>
      <c r="BM234" s="19"/>
      <c r="BP234" s="16"/>
      <c r="BQ234" s="15"/>
      <c r="BR234" s="15"/>
      <c r="BS234" s="15"/>
      <c r="BT234" s="16"/>
      <c r="BU234" s="16"/>
      <c r="BV234" s="16"/>
      <c r="BW234" s="16"/>
      <c r="BX234" s="16"/>
      <c r="BY234" s="15"/>
      <c r="BZ234" s="15"/>
      <c r="CA234" s="10"/>
      <c r="CB234" s="10"/>
      <c r="CC234" s="19"/>
      <c r="CD234" s="19"/>
      <c r="CG234" s="16"/>
      <c r="CH234" s="15"/>
      <c r="CI234" s="15"/>
      <c r="CJ234" s="15"/>
      <c r="CK234" s="16"/>
      <c r="CL234" s="16"/>
      <c r="CM234" s="16"/>
      <c r="CN234" s="16"/>
      <c r="CO234" s="16"/>
      <c r="CP234" s="15"/>
      <c r="CQ234" s="15"/>
      <c r="CR234" s="10"/>
      <c r="CS234" s="10"/>
      <c r="CT234" s="19"/>
      <c r="CU234" s="19"/>
      <c r="CX234" s="16"/>
      <c r="CY234" s="15"/>
      <c r="CZ234" s="15"/>
      <c r="DA234" s="15"/>
      <c r="DB234" s="16"/>
      <c r="DC234" s="16"/>
      <c r="DD234" s="16"/>
      <c r="DE234" s="16"/>
      <c r="DF234" s="16"/>
      <c r="DG234" s="15"/>
      <c r="DH234" s="15"/>
      <c r="DI234" s="10"/>
      <c r="DJ234" s="10"/>
      <c r="DK234" s="19"/>
      <c r="DL234" s="19"/>
      <c r="DO234" s="16"/>
      <c r="DP234" s="15"/>
      <c r="DQ234" s="15"/>
      <c r="DR234" s="15"/>
      <c r="DS234" s="16"/>
      <c r="DT234" s="16"/>
      <c r="DU234" s="16"/>
      <c r="DV234" s="16"/>
      <c r="DW234" s="16"/>
      <c r="DX234" s="15"/>
      <c r="DY234" s="15"/>
      <c r="DZ234" s="10"/>
      <c r="EA234" s="10"/>
      <c r="EB234" s="19"/>
      <c r="EC234" s="19"/>
      <c r="EF234" s="16"/>
      <c r="EG234" s="15"/>
      <c r="EH234" s="15"/>
      <c r="EI234" s="15"/>
      <c r="EJ234" s="16"/>
      <c r="EK234" s="16"/>
      <c r="EL234" s="16"/>
      <c r="EM234" s="16"/>
      <c r="EN234" s="16"/>
      <c r="EO234" s="15"/>
      <c r="EP234" s="15"/>
      <c r="EQ234" s="10"/>
      <c r="ER234" s="10"/>
      <c r="ES234" s="19"/>
      <c r="ET234" s="19"/>
      <c r="EW234" s="16"/>
      <c r="EX234" s="15"/>
      <c r="EY234" s="15"/>
      <c r="EZ234" s="15"/>
      <c r="FA234" s="16"/>
      <c r="FB234" s="16"/>
      <c r="FC234" s="16"/>
      <c r="FD234" s="16"/>
      <c r="FE234" s="16"/>
      <c r="FF234" s="15"/>
      <c r="FG234" s="15"/>
      <c r="FH234" s="10"/>
      <c r="FI234" s="10"/>
      <c r="FJ234" s="19"/>
      <c r="FK234" s="19"/>
      <c r="FN234" s="16"/>
      <c r="FO234" s="15"/>
      <c r="FP234" s="15"/>
      <c r="FQ234" s="15"/>
      <c r="FR234" s="16"/>
      <c r="FS234" s="16"/>
      <c r="FT234" s="16"/>
      <c r="FU234" s="16"/>
      <c r="FV234" s="16"/>
      <c r="FW234" s="15"/>
      <c r="FX234" s="15"/>
      <c r="FY234" s="10"/>
      <c r="FZ234" s="10"/>
      <c r="GA234" s="19"/>
      <c r="GB234" s="19"/>
      <c r="GE234" s="16"/>
      <c r="GF234" s="15"/>
      <c r="GG234" s="15"/>
      <c r="GH234" s="15"/>
      <c r="GI234" s="16"/>
      <c r="GJ234" s="16"/>
      <c r="GK234" s="16"/>
      <c r="GL234" s="16"/>
      <c r="GM234" s="16"/>
      <c r="GN234" s="15"/>
      <c r="GO234" s="15"/>
      <c r="GP234" s="10"/>
      <c r="GQ234" s="10"/>
      <c r="GR234" s="19"/>
      <c r="GS234" s="19"/>
      <c r="GV234" s="16"/>
      <c r="GW234" s="15"/>
      <c r="GX234" s="15"/>
      <c r="GY234" s="15"/>
      <c r="GZ234" s="16"/>
      <c r="HA234" s="16"/>
      <c r="HB234" s="16"/>
      <c r="HC234" s="16"/>
      <c r="HD234" s="16"/>
      <c r="HE234" s="15"/>
      <c r="HF234" s="15"/>
      <c r="HG234" s="10"/>
      <c r="HH234" s="10"/>
      <c r="HI234" s="19"/>
      <c r="HJ234" s="19"/>
      <c r="HM234" s="16"/>
      <c r="HN234" s="15"/>
      <c r="HO234" s="15"/>
      <c r="HP234" s="15"/>
      <c r="HQ234" s="16"/>
      <c r="HR234" s="16"/>
      <c r="HS234" s="16"/>
      <c r="HT234" s="16"/>
      <c r="HU234" s="16"/>
      <c r="HV234" s="15"/>
      <c r="HW234" s="15"/>
      <c r="HX234" s="10"/>
      <c r="HY234" s="10"/>
      <c r="HZ234" s="19"/>
      <c r="IA234" s="19"/>
      <c r="ID234" s="16"/>
      <c r="IE234" s="15"/>
      <c r="IF234" s="15"/>
      <c r="IG234" s="15"/>
      <c r="IH234" s="16"/>
      <c r="II234" s="16"/>
      <c r="IJ234" s="16"/>
      <c r="IK234" s="16"/>
      <c r="IL234" s="16"/>
      <c r="IM234" s="15"/>
      <c r="IN234" s="15"/>
      <c r="IO234" s="10"/>
      <c r="IP234" s="10"/>
      <c r="IQ234" s="19"/>
      <c r="IR234" s="19"/>
      <c r="IU234" s="16"/>
      <c r="IV234" s="15"/>
      <c r="IW234" s="15"/>
      <c r="IX234" s="15"/>
      <c r="IY234" s="16"/>
      <c r="IZ234" s="16"/>
      <c r="JA234" s="16"/>
      <c r="JB234" s="16"/>
      <c r="JC234" s="16"/>
      <c r="JD234" s="15"/>
      <c r="JE234" s="15"/>
      <c r="JF234" s="10"/>
      <c r="JG234" s="10"/>
      <c r="JH234" s="19"/>
      <c r="JI234" s="19"/>
      <c r="JL234" s="16"/>
      <c r="JM234" s="15"/>
      <c r="JN234" s="15"/>
      <c r="JO234" s="15"/>
      <c r="JP234" s="16"/>
      <c r="JQ234" s="16"/>
      <c r="JR234" s="16"/>
      <c r="JS234" s="16"/>
      <c r="JT234" s="16"/>
      <c r="JU234" s="15"/>
      <c r="JV234" s="15"/>
      <c r="JW234" s="10"/>
      <c r="JX234" s="10"/>
      <c r="JY234" s="19"/>
      <c r="JZ234" s="19"/>
      <c r="KC234" s="16"/>
      <c r="KD234" s="15"/>
      <c r="KE234" s="15"/>
      <c r="KF234" s="15"/>
      <c r="KG234" s="16"/>
      <c r="KH234" s="16"/>
      <c r="KI234" s="16"/>
      <c r="KJ234" s="16"/>
      <c r="KK234" s="16"/>
      <c r="KL234" s="15"/>
      <c r="KM234" s="15"/>
      <c r="KN234" s="10"/>
      <c r="KO234" s="10"/>
      <c r="KP234" s="19"/>
      <c r="KQ234" s="19"/>
      <c r="KT234" s="16"/>
      <c r="KU234" s="15"/>
      <c r="KV234" s="15"/>
      <c r="KW234" s="15"/>
      <c r="KX234" s="16"/>
      <c r="KY234" s="16"/>
      <c r="KZ234" s="16"/>
      <c r="LA234" s="16"/>
      <c r="LB234" s="16"/>
      <c r="LC234" s="15"/>
      <c r="LD234" s="15"/>
      <c r="LE234" s="10"/>
      <c r="LF234" s="10"/>
      <c r="LG234" s="19"/>
      <c r="LH234" s="19"/>
      <c r="LK234" s="16"/>
      <c r="LL234" s="15"/>
      <c r="LM234" s="15"/>
      <c r="LN234" s="15"/>
      <c r="LO234" s="16"/>
      <c r="LP234" s="16"/>
      <c r="LQ234" s="16"/>
      <c r="LR234" s="16"/>
      <c r="LS234" s="16"/>
      <c r="LT234" s="15"/>
      <c r="LU234" s="15"/>
      <c r="LV234" s="10"/>
      <c r="LW234" s="10"/>
      <c r="LX234" s="19"/>
      <c r="LY234" s="19"/>
      <c r="MB234" s="16"/>
      <c r="MC234" s="15"/>
      <c r="MD234" s="15"/>
      <c r="ME234" s="15"/>
      <c r="MF234" s="16"/>
      <c r="MG234" s="16"/>
      <c r="MH234" s="16"/>
      <c r="MI234" s="16"/>
      <c r="MJ234" s="16"/>
      <c r="MK234" s="15"/>
      <c r="ML234" s="15"/>
      <c r="MM234" s="10"/>
      <c r="MN234" s="10"/>
      <c r="MO234" s="19"/>
      <c r="MP234" s="19"/>
      <c r="MS234" s="16"/>
      <c r="MT234" s="15"/>
      <c r="MU234" s="15"/>
      <c r="MV234" s="15"/>
      <c r="MW234" s="16"/>
      <c r="MX234" s="16"/>
      <c r="MY234" s="16"/>
      <c r="MZ234" s="16"/>
      <c r="NA234" s="16"/>
      <c r="NB234" s="15"/>
      <c r="NC234" s="15"/>
      <c r="ND234" s="10"/>
      <c r="NE234" s="10"/>
      <c r="NF234" s="19"/>
      <c r="NG234" s="19"/>
      <c r="NJ234" s="16"/>
      <c r="NK234" s="15"/>
      <c r="NL234" s="15"/>
      <c r="NM234" s="15"/>
      <c r="NN234" s="16"/>
      <c r="NO234" s="16"/>
      <c r="NP234" s="16"/>
      <c r="NQ234" s="16"/>
      <c r="NR234" s="16"/>
      <c r="NS234" s="15"/>
      <c r="NT234" s="15"/>
      <c r="NU234" s="10"/>
      <c r="NV234" s="10"/>
      <c r="NW234" s="19"/>
      <c r="NX234" s="19"/>
      <c r="OA234" s="16"/>
      <c r="OB234" s="15"/>
      <c r="OC234" s="15"/>
      <c r="OD234" s="15"/>
      <c r="OE234" s="16"/>
      <c r="OF234" s="16"/>
      <c r="OG234" s="16"/>
      <c r="OH234" s="16"/>
      <c r="OI234" s="16"/>
      <c r="OJ234" s="15"/>
      <c r="OK234" s="15"/>
      <c r="OL234" s="10"/>
      <c r="OM234" s="10"/>
      <c r="ON234" s="19"/>
      <c r="OO234" s="19"/>
      <c r="OR234" s="16"/>
      <c r="OS234" s="15"/>
      <c r="OT234" s="15"/>
      <c r="OU234" s="15"/>
      <c r="OV234" s="16"/>
      <c r="OW234" s="16"/>
      <c r="OX234" s="16"/>
      <c r="OY234" s="16"/>
      <c r="OZ234" s="16"/>
      <c r="PA234" s="15"/>
      <c r="PB234" s="15"/>
      <c r="PC234" s="10"/>
      <c r="PD234" s="10"/>
      <c r="PE234" s="19"/>
      <c r="PF234" s="19"/>
      <c r="PI234" s="16"/>
      <c r="PJ234" s="15"/>
      <c r="PK234" s="15"/>
      <c r="PL234" s="15"/>
      <c r="PM234" s="16"/>
      <c r="PN234" s="16"/>
      <c r="PO234" s="16"/>
      <c r="PP234" s="16"/>
      <c r="PQ234" s="16"/>
      <c r="PR234" s="15"/>
      <c r="PS234" s="15"/>
      <c r="PT234" s="10"/>
      <c r="PU234" s="10"/>
      <c r="PV234" s="19"/>
      <c r="PW234" s="19"/>
      <c r="PZ234" s="16"/>
      <c r="QA234" s="15"/>
      <c r="QB234" s="15"/>
      <c r="QC234" s="15"/>
      <c r="QD234" s="16"/>
      <c r="QE234" s="16"/>
      <c r="QF234" s="16"/>
      <c r="QG234" s="16"/>
      <c r="QH234" s="16"/>
      <c r="QI234" s="15"/>
      <c r="QJ234" s="15"/>
      <c r="QK234" s="10"/>
      <c r="QL234" s="10"/>
      <c r="QM234" s="19"/>
      <c r="QN234" s="19"/>
      <c r="QQ234" s="16"/>
      <c r="QR234" s="15"/>
      <c r="QS234" s="15"/>
      <c r="QT234" s="15"/>
      <c r="QU234" s="16"/>
      <c r="QV234" s="16"/>
      <c r="QW234" s="16"/>
      <c r="QX234" s="16"/>
      <c r="QY234" s="16"/>
      <c r="QZ234" s="15"/>
      <c r="RA234" s="15"/>
      <c r="RB234" s="10"/>
      <c r="RC234" s="10"/>
      <c r="RD234" s="19"/>
      <c r="RE234" s="19"/>
      <c r="RH234" s="16"/>
      <c r="RI234" s="15"/>
      <c r="RJ234" s="15"/>
      <c r="RK234" s="15"/>
      <c r="RL234" s="16"/>
      <c r="RM234" s="16"/>
      <c r="RN234" s="16"/>
      <c r="RO234" s="16"/>
      <c r="RP234" s="16"/>
      <c r="RQ234" s="15"/>
      <c r="RR234" s="15"/>
      <c r="RS234" s="10"/>
      <c r="RT234" s="10"/>
      <c r="RU234" s="19"/>
      <c r="RV234" s="19"/>
      <c r="RY234" s="16"/>
      <c r="RZ234" s="15"/>
      <c r="SA234" s="15"/>
      <c r="SB234" s="15"/>
      <c r="SC234" s="16"/>
      <c r="SD234" s="16"/>
      <c r="SE234" s="16"/>
      <c r="SF234" s="16"/>
      <c r="SG234" s="16"/>
      <c r="SH234" s="15"/>
      <c r="SI234" s="15"/>
      <c r="SJ234" s="10"/>
      <c r="SK234" s="10"/>
      <c r="SL234" s="19"/>
      <c r="SM234" s="19"/>
      <c r="SP234" s="16"/>
      <c r="SQ234" s="15"/>
      <c r="SR234" s="15"/>
      <c r="SS234" s="15"/>
      <c r="ST234" s="16"/>
      <c r="SU234" s="16"/>
      <c r="SV234" s="16"/>
      <c r="SW234" s="16"/>
      <c r="SX234" s="16"/>
      <c r="SY234" s="15"/>
      <c r="SZ234" s="15"/>
      <c r="TA234" s="10"/>
      <c r="TB234" s="10"/>
      <c r="TC234" s="19"/>
      <c r="TD234" s="19"/>
      <c r="TG234" s="16"/>
      <c r="TH234" s="15"/>
      <c r="TI234" s="15"/>
      <c r="TJ234" s="15"/>
      <c r="TK234" s="16"/>
      <c r="TL234" s="16"/>
      <c r="TM234" s="16"/>
      <c r="TN234" s="16"/>
      <c r="TO234" s="16"/>
      <c r="TP234" s="15"/>
      <c r="TQ234" s="15"/>
      <c r="TR234" s="10"/>
      <c r="TS234" s="10"/>
      <c r="TT234" s="19"/>
      <c r="TU234" s="19"/>
      <c r="TX234" s="16"/>
      <c r="TY234" s="15"/>
      <c r="TZ234" s="15"/>
      <c r="UA234" s="15"/>
      <c r="UB234" s="16"/>
      <c r="UC234" s="16"/>
      <c r="UD234" s="16"/>
      <c r="UE234" s="16"/>
      <c r="UF234" s="16"/>
      <c r="UG234" s="15"/>
      <c r="UH234" s="15"/>
      <c r="UI234" s="10"/>
      <c r="UJ234" s="10"/>
      <c r="UK234" s="19"/>
      <c r="UL234" s="19"/>
      <c r="UO234" s="16"/>
      <c r="UP234" s="15"/>
      <c r="UQ234" s="15"/>
      <c r="UR234" s="15"/>
      <c r="US234" s="16"/>
      <c r="UT234" s="16"/>
      <c r="UU234" s="16"/>
      <c r="UV234" s="16"/>
      <c r="UW234" s="16"/>
      <c r="UX234" s="15"/>
      <c r="UY234" s="15"/>
      <c r="UZ234" s="10"/>
      <c r="VA234" s="10"/>
      <c r="VB234" s="19"/>
      <c r="VC234" s="19"/>
      <c r="VF234" s="16"/>
      <c r="VG234" s="15"/>
      <c r="VH234" s="15"/>
      <c r="VI234" s="15"/>
      <c r="VJ234" s="16"/>
      <c r="VK234" s="16"/>
      <c r="VL234" s="16"/>
      <c r="VM234" s="16"/>
      <c r="VN234" s="16"/>
      <c r="VO234" s="15"/>
      <c r="VP234" s="15"/>
      <c r="VQ234" s="10"/>
      <c r="VR234" s="10"/>
      <c r="VS234" s="19"/>
      <c r="VT234" s="19"/>
      <c r="VW234" s="16"/>
      <c r="VX234" s="15"/>
      <c r="VY234" s="15"/>
      <c r="VZ234" s="15"/>
      <c r="WA234" s="16"/>
      <c r="WB234" s="16"/>
      <c r="WC234" s="16"/>
      <c r="WD234" s="16"/>
      <c r="WE234" s="16"/>
      <c r="WF234" s="15"/>
      <c r="WG234" s="15"/>
      <c r="WH234" s="10"/>
      <c r="WI234" s="10"/>
      <c r="WJ234" s="19"/>
      <c r="WK234" s="19"/>
      <c r="WN234" s="16"/>
      <c r="WO234" s="15"/>
      <c r="WP234" s="15"/>
      <c r="WQ234" s="15"/>
      <c r="WR234" s="16"/>
      <c r="WS234" s="16"/>
      <c r="WT234" s="16"/>
      <c r="WU234" s="16"/>
      <c r="WV234" s="16"/>
      <c r="WW234" s="15"/>
      <c r="WX234" s="15"/>
      <c r="WY234" s="10"/>
      <c r="WZ234" s="10"/>
      <c r="XA234" s="19"/>
      <c r="XB234" s="19"/>
      <c r="XE234" s="16"/>
      <c r="XF234" s="15"/>
      <c r="XG234" s="15"/>
      <c r="XH234" s="15"/>
      <c r="XI234" s="16"/>
      <c r="XJ234" s="16"/>
      <c r="XK234" s="16"/>
      <c r="XL234" s="16"/>
      <c r="XM234" s="16"/>
      <c r="XN234" s="15"/>
      <c r="XO234" s="15"/>
      <c r="XP234" s="10"/>
      <c r="XQ234" s="10"/>
      <c r="XR234" s="19"/>
      <c r="XS234" s="19"/>
      <c r="XV234" s="16"/>
      <c r="XW234" s="15"/>
      <c r="XX234" s="15"/>
      <c r="XY234" s="15"/>
      <c r="XZ234" s="16"/>
      <c r="YA234" s="16"/>
      <c r="YB234" s="16"/>
      <c r="YC234" s="16"/>
      <c r="YD234" s="16"/>
      <c r="YE234" s="15"/>
      <c r="YF234" s="15"/>
      <c r="YG234" s="10"/>
      <c r="YH234" s="10"/>
      <c r="YI234" s="19"/>
      <c r="YJ234" s="19"/>
      <c r="YM234" s="16"/>
      <c r="YN234" s="15"/>
      <c r="YO234" s="15"/>
      <c r="YP234" s="15"/>
      <c r="YQ234" s="16"/>
      <c r="YR234" s="16"/>
      <c r="YS234" s="16"/>
      <c r="YT234" s="16"/>
      <c r="YU234" s="16"/>
      <c r="YV234" s="15"/>
      <c r="YW234" s="15"/>
      <c r="YX234" s="10"/>
      <c r="YY234" s="10"/>
      <c r="YZ234" s="19"/>
      <c r="ZA234" s="19"/>
      <c r="ZD234" s="16"/>
      <c r="ZE234" s="15"/>
      <c r="ZF234" s="15"/>
      <c r="ZG234" s="15"/>
      <c r="ZH234" s="16"/>
      <c r="ZI234" s="16"/>
      <c r="ZJ234" s="16"/>
      <c r="ZK234" s="16"/>
      <c r="ZL234" s="16"/>
      <c r="ZM234" s="15"/>
      <c r="ZN234" s="15"/>
      <c r="ZO234" s="10"/>
      <c r="ZP234" s="10"/>
      <c r="ZQ234" s="19"/>
      <c r="ZR234" s="19"/>
      <c r="ZU234" s="16"/>
      <c r="ZV234" s="15"/>
      <c r="ZW234" s="15"/>
      <c r="ZX234" s="15"/>
      <c r="ZY234" s="16"/>
      <c r="ZZ234" s="16"/>
      <c r="AAA234" s="16"/>
      <c r="AAB234" s="16"/>
      <c r="AAC234" s="16"/>
      <c r="AAD234" s="15"/>
      <c r="AAE234" s="15"/>
      <c r="AAF234" s="10"/>
      <c r="AAG234" s="10"/>
      <c r="AAH234" s="19"/>
      <c r="AAI234" s="19"/>
      <c r="AAL234" s="16"/>
      <c r="AAM234" s="15"/>
      <c r="AAN234" s="15"/>
      <c r="AAO234" s="15"/>
      <c r="AAP234" s="16"/>
      <c r="AAQ234" s="16"/>
      <c r="AAR234" s="16"/>
      <c r="AAS234" s="16"/>
      <c r="AAT234" s="16"/>
      <c r="AAU234" s="15"/>
      <c r="AAV234" s="15"/>
      <c r="AAW234" s="10"/>
      <c r="AAX234" s="10"/>
      <c r="AAY234" s="19"/>
      <c r="AAZ234" s="19"/>
      <c r="ABC234" s="16"/>
      <c r="ABD234" s="15"/>
      <c r="ABE234" s="15"/>
      <c r="ABF234" s="15"/>
      <c r="ABG234" s="16"/>
      <c r="ABH234" s="16"/>
      <c r="ABI234" s="16"/>
      <c r="ABJ234" s="16"/>
      <c r="ABK234" s="16"/>
      <c r="ABL234" s="15"/>
      <c r="ABM234" s="15"/>
      <c r="ABN234" s="10"/>
      <c r="ABO234" s="10"/>
      <c r="ABP234" s="19"/>
      <c r="ABQ234" s="19"/>
      <c r="ABT234" s="16"/>
      <c r="ABU234" s="15"/>
      <c r="ABV234" s="15"/>
      <c r="ABW234" s="15"/>
      <c r="ABX234" s="16"/>
      <c r="ABY234" s="16"/>
      <c r="ABZ234" s="16"/>
      <c r="ACA234" s="16"/>
      <c r="ACB234" s="16"/>
      <c r="ACC234" s="15"/>
      <c r="ACD234" s="15"/>
      <c r="ACE234" s="10"/>
      <c r="ACF234" s="10"/>
      <c r="ACG234" s="19"/>
      <c r="ACH234" s="19"/>
      <c r="ACK234" s="16"/>
      <c r="ACL234" s="15"/>
      <c r="ACM234" s="15"/>
      <c r="ACN234" s="15"/>
      <c r="ACO234" s="16"/>
      <c r="ACP234" s="16"/>
      <c r="ACQ234" s="16"/>
      <c r="ACR234" s="16"/>
      <c r="ACS234" s="16"/>
      <c r="ACT234" s="15"/>
      <c r="ACU234" s="15"/>
      <c r="ACV234" s="10"/>
      <c r="ACW234" s="10"/>
      <c r="ACX234" s="19"/>
      <c r="ACY234" s="19"/>
      <c r="ADB234" s="16"/>
      <c r="ADC234" s="15"/>
      <c r="ADD234" s="15"/>
      <c r="ADE234" s="15"/>
      <c r="ADF234" s="16"/>
      <c r="ADG234" s="16"/>
      <c r="ADH234" s="16"/>
      <c r="ADI234" s="16"/>
      <c r="ADJ234" s="16"/>
      <c r="ADK234" s="15"/>
      <c r="ADL234" s="15"/>
      <c r="ADM234" s="10"/>
      <c r="ADN234" s="10"/>
      <c r="ADO234" s="19"/>
      <c r="ADP234" s="19"/>
      <c r="ADS234" s="16"/>
      <c r="ADT234" s="15"/>
      <c r="ADU234" s="15"/>
      <c r="ADV234" s="15"/>
      <c r="ADW234" s="16"/>
      <c r="ADX234" s="16"/>
      <c r="ADY234" s="16"/>
      <c r="ADZ234" s="16"/>
      <c r="AEA234" s="16"/>
      <c r="AEB234" s="15"/>
      <c r="AEC234" s="15"/>
      <c r="AED234" s="10"/>
      <c r="AEE234" s="10"/>
      <c r="AEF234" s="19"/>
      <c r="AEG234" s="19"/>
      <c r="AEJ234" s="16"/>
      <c r="AEK234" s="15"/>
      <c r="AEL234" s="15"/>
      <c r="AEM234" s="15"/>
      <c r="AEN234" s="16"/>
      <c r="AEO234" s="16"/>
      <c r="AEP234" s="16"/>
      <c r="AEQ234" s="16"/>
      <c r="AER234" s="16"/>
      <c r="AES234" s="15"/>
      <c r="AET234" s="15"/>
      <c r="AEU234" s="10"/>
      <c r="AEV234" s="10"/>
      <c r="AEW234" s="19"/>
      <c r="AEX234" s="19"/>
      <c r="AFA234" s="16"/>
      <c r="AFB234" s="15"/>
      <c r="AFC234" s="15"/>
      <c r="AFD234" s="15"/>
      <c r="AFE234" s="16"/>
      <c r="AFF234" s="16"/>
      <c r="AFG234" s="16"/>
      <c r="AFH234" s="16"/>
      <c r="AFI234" s="16"/>
      <c r="AFJ234" s="15"/>
      <c r="AFK234" s="15"/>
      <c r="AFL234" s="10"/>
      <c r="AFM234" s="10"/>
      <c r="AFN234" s="19"/>
      <c r="AFO234" s="19"/>
      <c r="AFR234" s="16"/>
      <c r="AFS234" s="15"/>
      <c r="AFT234" s="15"/>
      <c r="AFU234" s="15"/>
      <c r="AFV234" s="16"/>
      <c r="AFW234" s="16"/>
      <c r="AFX234" s="16"/>
      <c r="AFY234" s="16"/>
      <c r="AFZ234" s="16"/>
      <c r="AGA234" s="15"/>
      <c r="AGB234" s="15"/>
      <c r="AGC234" s="10"/>
      <c r="AGD234" s="10"/>
      <c r="AGE234" s="19"/>
      <c r="AGF234" s="19"/>
      <c r="AGI234" s="16"/>
      <c r="AGJ234" s="15"/>
      <c r="AGK234" s="15"/>
      <c r="AGL234" s="15"/>
      <c r="AGM234" s="16"/>
      <c r="AGN234" s="16"/>
      <c r="AGO234" s="16"/>
      <c r="AGP234" s="16"/>
      <c r="AGQ234" s="16"/>
      <c r="AGR234" s="15"/>
      <c r="AGS234" s="15"/>
      <c r="AGT234" s="10"/>
      <c r="AGU234" s="10"/>
      <c r="AGV234" s="19"/>
      <c r="AGW234" s="19"/>
      <c r="AGZ234" s="16"/>
      <c r="AHA234" s="15"/>
      <c r="AHB234" s="15"/>
      <c r="AHC234" s="15"/>
      <c r="AHD234" s="16"/>
      <c r="AHE234" s="16"/>
      <c r="AHF234" s="16"/>
      <c r="AHG234" s="16"/>
      <c r="AHH234" s="16"/>
      <c r="AHI234" s="15"/>
      <c r="AHJ234" s="15"/>
      <c r="AHK234" s="10"/>
      <c r="AHL234" s="10"/>
      <c r="AHM234" s="19"/>
      <c r="AHN234" s="19"/>
      <c r="AHQ234" s="16"/>
      <c r="AHR234" s="15"/>
      <c r="AHS234" s="15"/>
      <c r="AHT234" s="15"/>
      <c r="AHU234" s="16"/>
      <c r="AHV234" s="16"/>
      <c r="AHW234" s="16"/>
      <c r="AHX234" s="16"/>
      <c r="AHY234" s="16"/>
      <c r="AHZ234" s="15"/>
      <c r="AIA234" s="15"/>
      <c r="AIB234" s="10"/>
      <c r="AIC234" s="10"/>
      <c r="AID234" s="19"/>
      <c r="AIE234" s="19"/>
      <c r="AIH234" s="16"/>
      <c r="AII234" s="15"/>
      <c r="AIJ234" s="15"/>
      <c r="AIK234" s="15"/>
      <c r="AIL234" s="16"/>
      <c r="AIM234" s="16"/>
      <c r="AIN234" s="16"/>
      <c r="AIO234" s="16"/>
      <c r="AIP234" s="16"/>
      <c r="AIQ234" s="15"/>
      <c r="AIR234" s="15"/>
      <c r="AIS234" s="10"/>
      <c r="AIT234" s="10"/>
      <c r="AIU234" s="19"/>
      <c r="AIV234" s="19"/>
      <c r="AIY234" s="16"/>
      <c r="AIZ234" s="15"/>
      <c r="AJA234" s="15"/>
      <c r="AJB234" s="15"/>
      <c r="AJC234" s="16"/>
      <c r="AJD234" s="16"/>
      <c r="AJE234" s="16"/>
      <c r="AJF234" s="16"/>
      <c r="AJG234" s="16"/>
      <c r="AJH234" s="15"/>
      <c r="AJI234" s="15"/>
      <c r="AJJ234" s="10"/>
      <c r="AJK234" s="10"/>
      <c r="AJL234" s="19"/>
      <c r="AJM234" s="19"/>
      <c r="AJP234" s="16"/>
      <c r="AJQ234" s="15"/>
      <c r="AJR234" s="15"/>
      <c r="AJS234" s="15"/>
      <c r="AJT234" s="16"/>
      <c r="AJU234" s="16"/>
      <c r="AJV234" s="16"/>
      <c r="AJW234" s="16"/>
      <c r="AJX234" s="16"/>
      <c r="AJY234" s="15"/>
      <c r="AJZ234" s="15"/>
      <c r="AKA234" s="10"/>
      <c r="AKB234" s="10"/>
      <c r="AKC234" s="19"/>
      <c r="AKD234" s="19"/>
      <c r="AKG234" s="16"/>
      <c r="AKH234" s="15"/>
      <c r="AKI234" s="15"/>
      <c r="AKJ234" s="15"/>
      <c r="AKK234" s="16"/>
      <c r="AKL234" s="16"/>
      <c r="AKM234" s="16"/>
      <c r="AKN234" s="16"/>
      <c r="AKO234" s="16"/>
      <c r="AKP234" s="15"/>
      <c r="AKQ234" s="15"/>
      <c r="AKR234" s="10"/>
      <c r="AKS234" s="10"/>
      <c r="AKT234" s="19"/>
      <c r="AKU234" s="19"/>
      <c r="AKX234" s="16"/>
      <c r="AKY234" s="15"/>
      <c r="AKZ234" s="15"/>
      <c r="ALA234" s="15"/>
      <c r="ALB234" s="16"/>
      <c r="ALC234" s="16"/>
      <c r="ALD234" s="16"/>
      <c r="ALE234" s="16"/>
      <c r="ALF234" s="16"/>
      <c r="ALG234" s="15"/>
      <c r="ALH234" s="15"/>
      <c r="ALI234" s="10"/>
      <c r="ALJ234" s="10"/>
      <c r="ALK234" s="19"/>
      <c r="ALL234" s="19"/>
      <c r="ALO234" s="16"/>
      <c r="ALP234" s="15"/>
      <c r="ALQ234" s="15"/>
      <c r="ALR234" s="15"/>
      <c r="ALS234" s="16"/>
      <c r="ALT234" s="16"/>
      <c r="ALU234" s="16"/>
      <c r="ALV234" s="16"/>
      <c r="ALW234" s="16"/>
      <c r="ALX234" s="15"/>
      <c r="ALY234" s="15"/>
      <c r="ALZ234" s="10"/>
      <c r="AMA234" s="10"/>
      <c r="AMB234" s="19"/>
      <c r="AMC234" s="19"/>
      <c r="AMF234" s="16"/>
      <c r="AMG234" s="15"/>
      <c r="AMH234" s="15"/>
      <c r="AMI234" s="15"/>
      <c r="AMJ234" s="16"/>
      <c r="AMK234" s="16"/>
      <c r="AML234" s="16"/>
      <c r="AMM234" s="16"/>
      <c r="AMN234" s="16"/>
      <c r="AMO234" s="15"/>
      <c r="AMP234" s="15"/>
      <c r="AMQ234" s="10"/>
      <c r="AMR234" s="10"/>
      <c r="AMS234" s="19"/>
      <c r="AMT234" s="19"/>
      <c r="AMW234" s="16"/>
      <c r="AMX234" s="15"/>
      <c r="AMY234" s="15"/>
      <c r="AMZ234" s="15"/>
      <c r="ANA234" s="16"/>
      <c r="ANB234" s="16"/>
      <c r="ANC234" s="16"/>
      <c r="AND234" s="16"/>
      <c r="ANE234" s="16"/>
      <c r="ANF234" s="15"/>
      <c r="ANG234" s="15"/>
      <c r="ANH234" s="10"/>
      <c r="ANI234" s="10"/>
      <c r="ANJ234" s="19"/>
      <c r="ANK234" s="19"/>
      <c r="ANN234" s="16"/>
      <c r="ANO234" s="15"/>
      <c r="ANP234" s="15"/>
      <c r="ANQ234" s="15"/>
      <c r="ANR234" s="16"/>
      <c r="ANS234" s="16"/>
      <c r="ANT234" s="16"/>
      <c r="ANU234" s="16"/>
      <c r="ANV234" s="16"/>
      <c r="ANW234" s="15"/>
      <c r="ANX234" s="15"/>
      <c r="ANY234" s="10"/>
      <c r="ANZ234" s="10"/>
      <c r="AOA234" s="19"/>
      <c r="AOB234" s="19"/>
      <c r="AOE234" s="16"/>
      <c r="AOF234" s="15"/>
      <c r="AOG234" s="15"/>
      <c r="AOH234" s="15"/>
      <c r="AOI234" s="16"/>
      <c r="AOJ234" s="16"/>
      <c r="AOK234" s="16"/>
      <c r="AOL234" s="16"/>
      <c r="AOM234" s="16"/>
      <c r="AON234" s="15"/>
      <c r="AOO234" s="15"/>
      <c r="AOP234" s="10"/>
      <c r="AOQ234" s="10"/>
      <c r="AOR234" s="19"/>
      <c r="AOS234" s="19"/>
      <c r="AOV234" s="16"/>
      <c r="AOW234" s="15"/>
      <c r="AOX234" s="15"/>
      <c r="AOY234" s="15"/>
      <c r="AOZ234" s="16"/>
      <c r="APA234" s="16"/>
      <c r="APB234" s="16"/>
      <c r="APC234" s="16"/>
      <c r="APD234" s="16"/>
      <c r="APE234" s="15"/>
      <c r="APF234" s="15"/>
      <c r="APG234" s="10"/>
      <c r="APH234" s="10"/>
      <c r="API234" s="19"/>
      <c r="APJ234" s="19"/>
      <c r="APM234" s="16"/>
      <c r="APN234" s="15"/>
      <c r="APO234" s="15"/>
      <c r="APP234" s="15"/>
      <c r="APQ234" s="16"/>
      <c r="APR234" s="16"/>
      <c r="APS234" s="16"/>
      <c r="APT234" s="16"/>
      <c r="APU234" s="16"/>
      <c r="APV234" s="15"/>
      <c r="APW234" s="15"/>
      <c r="APX234" s="10"/>
      <c r="APY234" s="10"/>
      <c r="APZ234" s="19"/>
      <c r="AQA234" s="19"/>
      <c r="AQD234" s="16"/>
      <c r="AQE234" s="15"/>
      <c r="AQF234" s="15"/>
      <c r="AQG234" s="15"/>
      <c r="AQH234" s="16"/>
      <c r="AQI234" s="16"/>
      <c r="AQJ234" s="16"/>
      <c r="AQK234" s="16"/>
      <c r="AQL234" s="16"/>
      <c r="AQM234" s="15"/>
      <c r="AQN234" s="15"/>
      <c r="AQO234" s="10"/>
      <c r="AQP234" s="10"/>
      <c r="AQQ234" s="19"/>
      <c r="AQR234" s="19"/>
      <c r="AQU234" s="16"/>
      <c r="AQV234" s="15"/>
      <c r="AQW234" s="15"/>
      <c r="AQX234" s="15"/>
      <c r="AQY234" s="16"/>
      <c r="AQZ234" s="16"/>
      <c r="ARA234" s="16"/>
      <c r="ARB234" s="16"/>
      <c r="ARC234" s="16"/>
      <c r="ARD234" s="15"/>
      <c r="ARE234" s="15"/>
      <c r="ARF234" s="10"/>
      <c r="ARG234" s="10"/>
      <c r="ARH234" s="19"/>
      <c r="ARI234" s="19"/>
      <c r="ARL234" s="16"/>
      <c r="ARM234" s="15"/>
      <c r="ARN234" s="15"/>
      <c r="ARO234" s="15"/>
      <c r="ARP234" s="16"/>
      <c r="ARQ234" s="16"/>
      <c r="ARR234" s="16"/>
      <c r="ARS234" s="16"/>
      <c r="ART234" s="16"/>
      <c r="ARU234" s="15"/>
      <c r="ARV234" s="15"/>
      <c r="ARW234" s="10"/>
      <c r="ARX234" s="10"/>
      <c r="ARY234" s="19"/>
      <c r="ARZ234" s="19"/>
      <c r="ASC234" s="16"/>
      <c r="ASD234" s="15"/>
      <c r="ASE234" s="15"/>
      <c r="ASF234" s="15"/>
      <c r="ASG234" s="16"/>
      <c r="ASH234" s="16"/>
      <c r="ASI234" s="16"/>
      <c r="ASJ234" s="16"/>
      <c r="ASK234" s="16"/>
      <c r="ASL234" s="15"/>
      <c r="ASM234" s="15"/>
      <c r="ASN234" s="10"/>
      <c r="ASO234" s="10"/>
      <c r="ASP234" s="19"/>
      <c r="ASQ234" s="19"/>
      <c r="AST234" s="16"/>
      <c r="ASU234" s="15"/>
      <c r="ASV234" s="15"/>
      <c r="ASW234" s="15"/>
      <c r="ASX234" s="16"/>
      <c r="ASY234" s="16"/>
      <c r="ASZ234" s="16"/>
      <c r="ATA234" s="16"/>
      <c r="ATB234" s="16"/>
      <c r="ATC234" s="15"/>
      <c r="ATD234" s="15"/>
      <c r="ATE234" s="10"/>
      <c r="ATF234" s="10"/>
      <c r="ATG234" s="19"/>
      <c r="ATH234" s="19"/>
      <c r="ATK234" s="16"/>
      <c r="ATL234" s="15"/>
      <c r="ATM234" s="15"/>
      <c r="ATN234" s="15"/>
      <c r="ATO234" s="16"/>
      <c r="ATP234" s="16"/>
      <c r="ATQ234" s="16"/>
      <c r="ATR234" s="16"/>
      <c r="ATS234" s="16"/>
      <c r="ATT234" s="15"/>
      <c r="ATU234" s="15"/>
      <c r="ATV234" s="10"/>
      <c r="ATW234" s="10"/>
      <c r="ATX234" s="19"/>
      <c r="ATY234" s="19"/>
      <c r="AUB234" s="16"/>
      <c r="AUC234" s="15"/>
      <c r="AUD234" s="15"/>
      <c r="AUE234" s="15"/>
      <c r="AUF234" s="16"/>
      <c r="AUG234" s="16"/>
      <c r="AUH234" s="16"/>
      <c r="AUI234" s="16"/>
      <c r="AUJ234" s="16"/>
      <c r="AUK234" s="15"/>
      <c r="AUL234" s="15"/>
      <c r="AUM234" s="10"/>
      <c r="AUN234" s="10"/>
      <c r="AUO234" s="19"/>
      <c r="AUP234" s="19"/>
      <c r="AUS234" s="16"/>
      <c r="AUT234" s="15"/>
      <c r="AUU234" s="15"/>
      <c r="AUV234" s="15"/>
      <c r="AUW234" s="16"/>
      <c r="AUX234" s="16"/>
      <c r="AUY234" s="16"/>
      <c r="AUZ234" s="16"/>
      <c r="AVA234" s="16"/>
      <c r="AVB234" s="15"/>
      <c r="AVC234" s="15"/>
      <c r="AVD234" s="10"/>
      <c r="AVE234" s="10"/>
      <c r="AVF234" s="19"/>
      <c r="AVG234" s="19"/>
      <c r="AVJ234" s="16"/>
      <c r="AVK234" s="15"/>
      <c r="AVL234" s="15"/>
      <c r="AVM234" s="15"/>
      <c r="AVN234" s="16"/>
      <c r="AVO234" s="16"/>
      <c r="AVP234" s="16"/>
      <c r="AVQ234" s="16"/>
      <c r="AVR234" s="16"/>
      <c r="AVS234" s="15"/>
      <c r="AVT234" s="15"/>
      <c r="AVU234" s="10"/>
      <c r="AVV234" s="10"/>
      <c r="AVW234" s="19"/>
      <c r="AVX234" s="19"/>
      <c r="AWA234" s="16"/>
      <c r="AWB234" s="15"/>
      <c r="AWC234" s="15"/>
      <c r="AWD234" s="15"/>
      <c r="AWE234" s="16"/>
      <c r="AWF234" s="16"/>
      <c r="AWG234" s="16"/>
      <c r="AWH234" s="16"/>
      <c r="AWI234" s="16"/>
      <c r="AWJ234" s="15"/>
      <c r="AWK234" s="15"/>
      <c r="AWL234" s="10"/>
      <c r="AWM234" s="10"/>
      <c r="AWN234" s="19"/>
      <c r="AWO234" s="19"/>
      <c r="AWR234" s="16"/>
      <c r="AWS234" s="15"/>
      <c r="AWT234" s="15"/>
      <c r="AWU234" s="15"/>
      <c r="AWV234" s="16"/>
      <c r="AWW234" s="16"/>
      <c r="AWX234" s="16"/>
      <c r="AWY234" s="16"/>
      <c r="AWZ234" s="16"/>
      <c r="AXA234" s="15"/>
      <c r="AXB234" s="15"/>
      <c r="AXC234" s="10"/>
      <c r="AXD234" s="10"/>
      <c r="AXE234" s="19"/>
      <c r="AXF234" s="19"/>
      <c r="AXI234" s="16"/>
      <c r="AXJ234" s="15"/>
      <c r="AXK234" s="15"/>
      <c r="AXL234" s="15"/>
      <c r="AXM234" s="16"/>
      <c r="AXN234" s="16"/>
      <c r="AXO234" s="16"/>
      <c r="AXP234" s="16"/>
      <c r="AXQ234" s="16"/>
      <c r="AXR234" s="15"/>
      <c r="AXS234" s="15"/>
      <c r="AXT234" s="10"/>
      <c r="AXU234" s="10"/>
      <c r="AXV234" s="19"/>
      <c r="AXW234" s="19"/>
      <c r="AXZ234" s="16"/>
      <c r="AYA234" s="15"/>
      <c r="AYB234" s="15"/>
      <c r="AYC234" s="15"/>
      <c r="AYD234" s="16"/>
      <c r="AYE234" s="16"/>
      <c r="AYF234" s="16"/>
      <c r="AYG234" s="16"/>
      <c r="AYH234" s="16"/>
      <c r="AYI234" s="15"/>
      <c r="AYJ234" s="15"/>
      <c r="AYK234" s="10"/>
      <c r="AYL234" s="10"/>
      <c r="AYM234" s="19"/>
      <c r="AYN234" s="19"/>
      <c r="AYQ234" s="16"/>
      <c r="AYR234" s="15"/>
      <c r="AYS234" s="15"/>
      <c r="AYT234" s="15"/>
      <c r="AYU234" s="16"/>
      <c r="AYV234" s="16"/>
      <c r="AYW234" s="16"/>
      <c r="AYX234" s="16"/>
      <c r="AYY234" s="16"/>
      <c r="AYZ234" s="15"/>
      <c r="AZA234" s="15"/>
      <c r="AZB234" s="10"/>
      <c r="AZC234" s="10"/>
      <c r="AZD234" s="19"/>
      <c r="AZE234" s="19"/>
      <c r="AZH234" s="16"/>
      <c r="AZI234" s="15"/>
      <c r="AZJ234" s="15"/>
      <c r="AZK234" s="15"/>
      <c r="AZL234" s="16"/>
      <c r="AZM234" s="16"/>
      <c r="AZN234" s="16"/>
      <c r="AZO234" s="16"/>
      <c r="AZP234" s="16"/>
      <c r="AZQ234" s="15"/>
      <c r="AZR234" s="15"/>
      <c r="AZS234" s="10"/>
      <c r="AZT234" s="10"/>
      <c r="AZU234" s="19"/>
      <c r="AZV234" s="19"/>
      <c r="AZY234" s="16"/>
      <c r="AZZ234" s="15"/>
      <c r="BAA234" s="15"/>
      <c r="BAB234" s="15"/>
      <c r="BAC234" s="16"/>
      <c r="BAD234" s="16"/>
      <c r="BAE234" s="16"/>
      <c r="BAF234" s="16"/>
      <c r="BAG234" s="16"/>
      <c r="BAH234" s="15"/>
      <c r="BAI234" s="15"/>
      <c r="BAJ234" s="10"/>
      <c r="BAK234" s="10"/>
      <c r="BAL234" s="19"/>
      <c r="BAM234" s="19"/>
      <c r="BAP234" s="16"/>
      <c r="BAQ234" s="15"/>
      <c r="BAR234" s="15"/>
      <c r="BAS234" s="15"/>
      <c r="BAT234" s="16"/>
      <c r="BAU234" s="16"/>
      <c r="BAV234" s="16"/>
      <c r="BAW234" s="16"/>
      <c r="BAX234" s="16"/>
      <c r="BAY234" s="15"/>
      <c r="BAZ234" s="15"/>
      <c r="BBA234" s="10"/>
      <c r="BBB234" s="10"/>
      <c r="BBC234" s="19"/>
      <c r="BBD234" s="19"/>
      <c r="BBG234" s="16"/>
      <c r="BBH234" s="15"/>
      <c r="BBI234" s="15"/>
      <c r="BBJ234" s="15"/>
      <c r="BBK234" s="16"/>
      <c r="BBL234" s="16"/>
      <c r="BBM234" s="16"/>
      <c r="BBN234" s="16"/>
      <c r="BBO234" s="16"/>
      <c r="BBP234" s="15"/>
      <c r="BBQ234" s="15"/>
      <c r="BBR234" s="10"/>
      <c r="BBS234" s="10"/>
      <c r="BBT234" s="19"/>
      <c r="BBU234" s="19"/>
      <c r="BBX234" s="16"/>
      <c r="BBY234" s="15"/>
      <c r="BBZ234" s="15"/>
      <c r="BCA234" s="15"/>
      <c r="BCB234" s="16"/>
      <c r="BCC234" s="16"/>
      <c r="BCD234" s="16"/>
      <c r="BCE234" s="16"/>
      <c r="BCF234" s="16"/>
      <c r="BCG234" s="15"/>
      <c r="BCH234" s="15"/>
      <c r="BCI234" s="10"/>
      <c r="BCJ234" s="10"/>
      <c r="BCK234" s="19"/>
      <c r="BCL234" s="19"/>
      <c r="BCO234" s="16"/>
      <c r="BCP234" s="15"/>
      <c r="BCQ234" s="15"/>
      <c r="BCR234" s="15"/>
      <c r="BCS234" s="16"/>
      <c r="BCT234" s="16"/>
      <c r="BCU234" s="16"/>
      <c r="BCV234" s="16"/>
      <c r="BCW234" s="16"/>
      <c r="BCX234" s="15"/>
      <c r="BCY234" s="15"/>
      <c r="BCZ234" s="10"/>
      <c r="BDA234" s="10"/>
      <c r="BDB234" s="19"/>
      <c r="BDC234" s="19"/>
      <c r="BDF234" s="16"/>
      <c r="BDG234" s="15"/>
      <c r="BDH234" s="15"/>
      <c r="BDI234" s="15"/>
      <c r="BDJ234" s="16"/>
      <c r="BDK234" s="16"/>
      <c r="BDL234" s="16"/>
      <c r="BDM234" s="16"/>
      <c r="BDN234" s="16"/>
      <c r="BDO234" s="15"/>
      <c r="BDP234" s="15"/>
      <c r="BDQ234" s="10"/>
      <c r="BDR234" s="10"/>
      <c r="BDS234" s="19"/>
      <c r="BDT234" s="19"/>
      <c r="BDW234" s="16"/>
      <c r="BDX234" s="15"/>
      <c r="BDY234" s="15"/>
      <c r="BDZ234" s="15"/>
      <c r="BEA234" s="16"/>
      <c r="BEB234" s="16"/>
      <c r="BEC234" s="16"/>
      <c r="BED234" s="16"/>
      <c r="BEE234" s="16"/>
      <c r="BEF234" s="15"/>
      <c r="BEG234" s="15"/>
      <c r="BEH234" s="10"/>
      <c r="BEI234" s="10"/>
      <c r="BEJ234" s="19"/>
      <c r="BEK234" s="19"/>
      <c r="BEN234" s="16"/>
      <c r="BEO234" s="15"/>
      <c r="BEP234" s="15"/>
      <c r="BEQ234" s="15"/>
      <c r="BER234" s="16"/>
      <c r="BES234" s="16"/>
      <c r="BET234" s="16"/>
      <c r="BEU234" s="16"/>
      <c r="BEV234" s="16"/>
      <c r="BEW234" s="15"/>
      <c r="BEX234" s="15"/>
      <c r="BEY234" s="10"/>
      <c r="BEZ234" s="10"/>
      <c r="BFA234" s="19"/>
      <c r="BFB234" s="19"/>
      <c r="BFE234" s="16"/>
      <c r="BFF234" s="15"/>
      <c r="BFG234" s="15"/>
      <c r="BFH234" s="15"/>
      <c r="BFI234" s="16"/>
      <c r="BFJ234" s="16"/>
      <c r="BFK234" s="16"/>
      <c r="BFL234" s="16"/>
      <c r="BFM234" s="16"/>
      <c r="BFN234" s="15"/>
      <c r="BFO234" s="15"/>
      <c r="BFP234" s="10"/>
      <c r="BFQ234" s="10"/>
      <c r="BFR234" s="19"/>
      <c r="BFS234" s="19"/>
      <c r="BFV234" s="16"/>
      <c r="BFW234" s="15"/>
      <c r="BFX234" s="15"/>
      <c r="BFY234" s="15"/>
      <c r="BFZ234" s="16"/>
      <c r="BGA234" s="16"/>
      <c r="BGB234" s="16"/>
      <c r="BGC234" s="16"/>
      <c r="BGD234" s="16"/>
      <c r="BGE234" s="15"/>
      <c r="BGF234" s="15"/>
      <c r="BGG234" s="10"/>
      <c r="BGH234" s="10"/>
      <c r="BGI234" s="19"/>
      <c r="BGJ234" s="19"/>
      <c r="BGM234" s="16"/>
      <c r="BGN234" s="15"/>
      <c r="BGO234" s="15"/>
      <c r="BGP234" s="15"/>
      <c r="BGQ234" s="16"/>
      <c r="BGR234" s="16"/>
      <c r="BGS234" s="16"/>
      <c r="BGT234" s="16"/>
      <c r="BGU234" s="16"/>
      <c r="BGV234" s="15"/>
      <c r="BGW234" s="15"/>
      <c r="BGX234" s="10"/>
      <c r="BGY234" s="10"/>
      <c r="BGZ234" s="19"/>
      <c r="BHA234" s="19"/>
      <c r="BHD234" s="16"/>
      <c r="BHE234" s="15"/>
      <c r="BHF234" s="15"/>
      <c r="BHG234" s="15"/>
      <c r="BHH234" s="16"/>
      <c r="BHI234" s="16"/>
      <c r="BHJ234" s="16"/>
      <c r="BHK234" s="16"/>
      <c r="BHL234" s="16"/>
      <c r="BHM234" s="15"/>
      <c r="BHN234" s="15"/>
      <c r="BHO234" s="10"/>
      <c r="BHP234" s="10"/>
      <c r="BHQ234" s="19"/>
      <c r="BHR234" s="19"/>
      <c r="BHU234" s="16"/>
      <c r="BHV234" s="15"/>
      <c r="BHW234" s="15"/>
      <c r="BHX234" s="15"/>
      <c r="BHY234" s="16"/>
      <c r="BHZ234" s="16"/>
      <c r="BIA234" s="16"/>
      <c r="BIB234" s="16"/>
      <c r="BIC234" s="16"/>
      <c r="BID234" s="15"/>
      <c r="BIE234" s="15"/>
      <c r="BIF234" s="10"/>
      <c r="BIG234" s="10"/>
      <c r="BIH234" s="19"/>
      <c r="BII234" s="19"/>
      <c r="BIL234" s="16"/>
      <c r="BIM234" s="15"/>
      <c r="BIN234" s="15"/>
      <c r="BIO234" s="15"/>
      <c r="BIP234" s="16"/>
      <c r="BIQ234" s="16"/>
      <c r="BIR234" s="16"/>
      <c r="BIS234" s="16"/>
      <c r="BIT234" s="16"/>
      <c r="BIU234" s="15"/>
      <c r="BIV234" s="15"/>
      <c r="BIW234" s="10"/>
      <c r="BIX234" s="10"/>
      <c r="BIY234" s="19"/>
      <c r="BIZ234" s="19"/>
      <c r="BJC234" s="16"/>
      <c r="BJD234" s="15"/>
      <c r="BJE234" s="15"/>
      <c r="BJF234" s="15"/>
      <c r="BJG234" s="16"/>
      <c r="BJH234" s="16"/>
      <c r="BJI234" s="16"/>
      <c r="BJJ234" s="16"/>
      <c r="BJK234" s="16"/>
      <c r="BJL234" s="15"/>
      <c r="BJM234" s="15"/>
      <c r="BJN234" s="10"/>
      <c r="BJO234" s="10"/>
      <c r="BJP234" s="19"/>
      <c r="BJQ234" s="19"/>
      <c r="BJT234" s="16"/>
      <c r="BJU234" s="15"/>
      <c r="BJV234" s="15"/>
      <c r="BJW234" s="15"/>
      <c r="BJX234" s="16"/>
      <c r="BJY234" s="16"/>
      <c r="BJZ234" s="16"/>
      <c r="BKA234" s="16"/>
      <c r="BKB234" s="16"/>
      <c r="BKC234" s="15"/>
      <c r="BKD234" s="15"/>
      <c r="BKE234" s="10"/>
      <c r="BKF234" s="10"/>
      <c r="BKG234" s="19"/>
      <c r="BKH234" s="19"/>
      <c r="BKK234" s="16"/>
      <c r="BKL234" s="15"/>
      <c r="BKM234" s="15"/>
      <c r="BKN234" s="15"/>
      <c r="BKO234" s="16"/>
      <c r="BKP234" s="16"/>
      <c r="BKQ234" s="16"/>
      <c r="BKR234" s="16"/>
      <c r="BKS234" s="16"/>
      <c r="BKT234" s="15"/>
      <c r="BKU234" s="15"/>
      <c r="BKV234" s="10"/>
      <c r="BKW234" s="10"/>
      <c r="BKX234" s="19"/>
      <c r="BKY234" s="19"/>
      <c r="BLB234" s="16"/>
      <c r="BLC234" s="15"/>
      <c r="BLD234" s="15"/>
      <c r="BLE234" s="15"/>
      <c r="BLF234" s="16"/>
      <c r="BLG234" s="16"/>
      <c r="BLH234" s="16"/>
      <c r="BLI234" s="16"/>
      <c r="BLJ234" s="16"/>
      <c r="BLK234" s="15"/>
      <c r="BLL234" s="15"/>
      <c r="BLM234" s="10"/>
      <c r="BLN234" s="10"/>
      <c r="BLO234" s="19"/>
      <c r="BLP234" s="19"/>
      <c r="BLS234" s="16"/>
      <c r="BLT234" s="15"/>
      <c r="BLU234" s="15"/>
      <c r="BLV234" s="15"/>
      <c r="BLW234" s="16"/>
      <c r="BLX234" s="16"/>
      <c r="BLY234" s="16"/>
      <c r="BLZ234" s="16"/>
      <c r="BMA234" s="16"/>
      <c r="BMB234" s="15"/>
      <c r="BMC234" s="15"/>
      <c r="BMD234" s="10"/>
      <c r="BME234" s="10"/>
      <c r="BMF234" s="19"/>
      <c r="BMG234" s="19"/>
      <c r="BMJ234" s="16"/>
      <c r="BMK234" s="15"/>
      <c r="BML234" s="15"/>
      <c r="BMM234" s="15"/>
      <c r="BMN234" s="16"/>
      <c r="BMO234" s="16"/>
      <c r="BMP234" s="16"/>
      <c r="BMQ234" s="16"/>
      <c r="BMR234" s="16"/>
      <c r="BMS234" s="15"/>
      <c r="BMT234" s="15"/>
      <c r="BMU234" s="10"/>
      <c r="BMV234" s="10"/>
      <c r="BMW234" s="19"/>
      <c r="BMX234" s="19"/>
      <c r="BNA234" s="16"/>
      <c r="BNB234" s="15"/>
      <c r="BNC234" s="15"/>
      <c r="BND234" s="15"/>
      <c r="BNE234" s="16"/>
      <c r="BNF234" s="16"/>
      <c r="BNG234" s="16"/>
      <c r="BNH234" s="16"/>
      <c r="BNI234" s="16"/>
      <c r="BNJ234" s="15"/>
      <c r="BNK234" s="15"/>
      <c r="BNL234" s="10"/>
      <c r="BNM234" s="10"/>
      <c r="BNN234" s="19"/>
      <c r="BNO234" s="19"/>
      <c r="BNR234" s="16"/>
      <c r="BNS234" s="15"/>
      <c r="BNT234" s="15"/>
      <c r="BNU234" s="15"/>
      <c r="BNV234" s="16"/>
      <c r="BNW234" s="16"/>
      <c r="BNX234" s="16"/>
      <c r="BNY234" s="16"/>
      <c r="BNZ234" s="16"/>
      <c r="BOA234" s="15"/>
      <c r="BOB234" s="15"/>
      <c r="BOC234" s="10"/>
      <c r="BOD234" s="10"/>
      <c r="BOE234" s="19"/>
      <c r="BOF234" s="19"/>
      <c r="BOI234" s="16"/>
      <c r="BOJ234" s="15"/>
      <c r="BOK234" s="15"/>
      <c r="BOL234" s="15"/>
      <c r="BOM234" s="16"/>
      <c r="BON234" s="16"/>
      <c r="BOO234" s="16"/>
      <c r="BOP234" s="16"/>
      <c r="BOQ234" s="16"/>
      <c r="BOR234" s="15"/>
      <c r="BOS234" s="15"/>
      <c r="BOT234" s="10"/>
      <c r="BOU234" s="10"/>
      <c r="BOV234" s="19"/>
      <c r="BOW234" s="19"/>
      <c r="BOZ234" s="16"/>
      <c r="BPA234" s="15"/>
      <c r="BPB234" s="15"/>
      <c r="BPC234" s="15"/>
      <c r="BPD234" s="16"/>
      <c r="BPE234" s="16"/>
      <c r="BPF234" s="16"/>
      <c r="BPG234" s="16"/>
      <c r="BPH234" s="16"/>
      <c r="BPI234" s="15"/>
      <c r="BPJ234" s="15"/>
      <c r="BPK234" s="10"/>
      <c r="BPL234" s="10"/>
      <c r="BPM234" s="19"/>
      <c r="BPN234" s="19"/>
      <c r="BPQ234" s="16"/>
      <c r="BPR234" s="15"/>
      <c r="BPS234" s="15"/>
      <c r="BPT234" s="15"/>
      <c r="BPU234" s="16"/>
      <c r="BPV234" s="16"/>
      <c r="BPW234" s="16"/>
      <c r="BPX234" s="16"/>
      <c r="BPY234" s="16"/>
      <c r="BPZ234" s="15"/>
      <c r="BQA234" s="15"/>
      <c r="BQB234" s="10"/>
      <c r="BQC234" s="10"/>
      <c r="BQD234" s="19"/>
      <c r="BQE234" s="19"/>
      <c r="BQH234" s="16"/>
      <c r="BQI234" s="15"/>
      <c r="BQJ234" s="15"/>
      <c r="BQK234" s="15"/>
      <c r="BQL234" s="16"/>
      <c r="BQM234" s="16"/>
      <c r="BQN234" s="16"/>
      <c r="BQO234" s="16"/>
      <c r="BQP234" s="16"/>
      <c r="BQQ234" s="15"/>
      <c r="BQR234" s="15"/>
      <c r="BQS234" s="10"/>
      <c r="BQT234" s="10"/>
      <c r="BQU234" s="19"/>
      <c r="BQV234" s="19"/>
      <c r="BQY234" s="16"/>
      <c r="BQZ234" s="15"/>
      <c r="BRA234" s="15"/>
      <c r="BRB234" s="15"/>
      <c r="BRC234" s="16"/>
      <c r="BRD234" s="16"/>
      <c r="BRE234" s="16"/>
      <c r="BRF234" s="16"/>
      <c r="BRG234" s="16"/>
      <c r="BRH234" s="15"/>
      <c r="BRI234" s="15"/>
      <c r="BRJ234" s="10"/>
      <c r="BRK234" s="10"/>
      <c r="BRL234" s="19"/>
      <c r="BRM234" s="19"/>
      <c r="BRP234" s="16"/>
      <c r="BRQ234" s="15"/>
      <c r="BRR234" s="15"/>
      <c r="BRS234" s="15"/>
      <c r="BRT234" s="16"/>
      <c r="BRU234" s="16"/>
      <c r="BRV234" s="16"/>
      <c r="BRW234" s="16"/>
      <c r="BRX234" s="16"/>
      <c r="BRY234" s="15"/>
      <c r="BRZ234" s="15"/>
      <c r="BSA234" s="10"/>
      <c r="BSB234" s="10"/>
      <c r="BSC234" s="19"/>
      <c r="BSD234" s="19"/>
      <c r="BSG234" s="16"/>
      <c r="BSH234" s="15"/>
      <c r="BSI234" s="15"/>
      <c r="BSJ234" s="15"/>
      <c r="BSK234" s="16"/>
      <c r="BSL234" s="16"/>
      <c r="BSM234" s="16"/>
      <c r="BSN234" s="16"/>
      <c r="BSO234" s="16"/>
      <c r="BSP234" s="15"/>
      <c r="BSQ234" s="15"/>
      <c r="BSR234" s="10"/>
      <c r="BSS234" s="10"/>
      <c r="BST234" s="19"/>
      <c r="BSU234" s="19"/>
      <c r="BSX234" s="16"/>
      <c r="BSY234" s="15"/>
      <c r="BSZ234" s="15"/>
      <c r="BTA234" s="15"/>
      <c r="BTB234" s="16"/>
      <c r="BTC234" s="16"/>
      <c r="BTD234" s="16"/>
      <c r="BTE234" s="16"/>
      <c r="BTF234" s="16"/>
      <c r="BTG234" s="15"/>
      <c r="BTH234" s="15"/>
      <c r="BTI234" s="10"/>
      <c r="BTJ234" s="10"/>
      <c r="BTK234" s="19"/>
      <c r="BTL234" s="19"/>
      <c r="BTO234" s="16"/>
      <c r="BTP234" s="15"/>
      <c r="BTQ234" s="15"/>
      <c r="BTR234" s="15"/>
      <c r="BTS234" s="16"/>
      <c r="BTT234" s="16"/>
      <c r="BTU234" s="16"/>
      <c r="BTV234" s="16"/>
      <c r="BTW234" s="16"/>
      <c r="BTX234" s="15"/>
      <c r="BTY234" s="15"/>
      <c r="BTZ234" s="10"/>
      <c r="BUA234" s="10"/>
      <c r="BUB234" s="19"/>
      <c r="BUC234" s="19"/>
      <c r="BUF234" s="16"/>
      <c r="BUG234" s="15"/>
      <c r="BUH234" s="15"/>
      <c r="BUI234" s="15"/>
      <c r="BUJ234" s="16"/>
      <c r="BUK234" s="16"/>
      <c r="BUL234" s="16"/>
      <c r="BUM234" s="16"/>
      <c r="BUN234" s="16"/>
      <c r="BUO234" s="15"/>
      <c r="BUP234" s="15"/>
      <c r="BUQ234" s="10"/>
      <c r="BUR234" s="10"/>
      <c r="BUS234" s="19"/>
      <c r="BUT234" s="19"/>
      <c r="BUW234" s="16"/>
      <c r="BUX234" s="15"/>
      <c r="BUY234" s="15"/>
      <c r="BUZ234" s="15"/>
      <c r="BVA234" s="16"/>
      <c r="BVB234" s="16"/>
      <c r="BVC234" s="16"/>
      <c r="BVD234" s="16"/>
      <c r="BVE234" s="16"/>
      <c r="BVF234" s="15"/>
      <c r="BVG234" s="15"/>
      <c r="BVH234" s="10"/>
      <c r="BVI234" s="10"/>
      <c r="BVJ234" s="19"/>
      <c r="BVK234" s="19"/>
      <c r="BVN234" s="16"/>
      <c r="BVO234" s="15"/>
      <c r="BVP234" s="15"/>
      <c r="BVQ234" s="15"/>
      <c r="BVR234" s="16"/>
      <c r="BVS234" s="16"/>
      <c r="BVT234" s="16"/>
      <c r="BVU234" s="16"/>
      <c r="BVV234" s="16"/>
      <c r="BVW234" s="15"/>
      <c r="BVX234" s="15"/>
      <c r="BVY234" s="10"/>
      <c r="BVZ234" s="10"/>
      <c r="BWA234" s="19"/>
      <c r="BWB234" s="19"/>
      <c r="BWE234" s="16"/>
      <c r="BWF234" s="15"/>
      <c r="BWG234" s="15"/>
      <c r="BWH234" s="15"/>
      <c r="BWI234" s="16"/>
      <c r="BWJ234" s="16"/>
      <c r="BWK234" s="16"/>
      <c r="BWL234" s="16"/>
      <c r="BWM234" s="16"/>
      <c r="BWN234" s="15"/>
      <c r="BWO234" s="15"/>
      <c r="BWP234" s="10"/>
      <c r="BWQ234" s="10"/>
      <c r="BWR234" s="19"/>
      <c r="BWS234" s="19"/>
      <c r="BWV234" s="16"/>
      <c r="BWW234" s="15"/>
      <c r="BWX234" s="15"/>
      <c r="BWY234" s="15"/>
      <c r="BWZ234" s="16"/>
      <c r="BXA234" s="16"/>
      <c r="BXB234" s="16"/>
      <c r="BXC234" s="16"/>
      <c r="BXD234" s="16"/>
      <c r="BXE234" s="15"/>
      <c r="BXF234" s="15"/>
      <c r="BXG234" s="10"/>
      <c r="BXH234" s="10"/>
      <c r="BXI234" s="19"/>
      <c r="BXJ234" s="19"/>
      <c r="BXM234" s="16"/>
      <c r="BXN234" s="15"/>
      <c r="BXO234" s="15"/>
      <c r="BXP234" s="15"/>
      <c r="BXQ234" s="16"/>
      <c r="BXR234" s="16"/>
      <c r="BXS234" s="16"/>
      <c r="BXT234" s="16"/>
      <c r="BXU234" s="16"/>
      <c r="BXV234" s="15"/>
      <c r="BXW234" s="15"/>
      <c r="BXX234" s="10"/>
      <c r="BXY234" s="10"/>
      <c r="BXZ234" s="19"/>
      <c r="BYA234" s="19"/>
      <c r="BYD234" s="16"/>
      <c r="BYE234" s="15"/>
      <c r="BYF234" s="15"/>
      <c r="BYG234" s="15"/>
      <c r="BYH234" s="16"/>
      <c r="BYI234" s="16"/>
      <c r="BYJ234" s="16"/>
      <c r="BYK234" s="16"/>
      <c r="BYL234" s="16"/>
      <c r="BYM234" s="15"/>
      <c r="BYN234" s="15"/>
      <c r="BYO234" s="10"/>
      <c r="BYP234" s="10"/>
      <c r="BYQ234" s="19"/>
      <c r="BYR234" s="19"/>
      <c r="BYU234" s="16"/>
      <c r="BYV234" s="15"/>
      <c r="BYW234" s="15"/>
      <c r="BYX234" s="15"/>
      <c r="BYY234" s="16"/>
      <c r="BYZ234" s="16"/>
      <c r="BZA234" s="16"/>
      <c r="BZB234" s="16"/>
      <c r="BZC234" s="16"/>
      <c r="BZD234" s="15"/>
      <c r="BZE234" s="15"/>
      <c r="BZF234" s="10"/>
      <c r="BZG234" s="10"/>
      <c r="BZH234" s="19"/>
      <c r="BZI234" s="19"/>
      <c r="BZL234" s="16"/>
      <c r="BZM234" s="15"/>
      <c r="BZN234" s="15"/>
      <c r="BZO234" s="15"/>
      <c r="BZP234" s="16"/>
      <c r="BZQ234" s="16"/>
      <c r="BZR234" s="16"/>
      <c r="BZS234" s="16"/>
      <c r="BZT234" s="16"/>
      <c r="BZU234" s="15"/>
      <c r="BZV234" s="15"/>
      <c r="BZW234" s="10"/>
      <c r="BZX234" s="10"/>
      <c r="BZY234" s="19"/>
      <c r="BZZ234" s="19"/>
      <c r="CAC234" s="16"/>
      <c r="CAD234" s="15"/>
      <c r="CAE234" s="15"/>
      <c r="CAF234" s="15"/>
      <c r="CAG234" s="16"/>
      <c r="CAH234" s="16"/>
      <c r="CAI234" s="16"/>
      <c r="CAJ234" s="16"/>
      <c r="CAK234" s="16"/>
      <c r="CAL234" s="15"/>
      <c r="CAM234" s="15"/>
      <c r="CAN234" s="10"/>
      <c r="CAO234" s="10"/>
      <c r="CAP234" s="19"/>
      <c r="CAQ234" s="19"/>
      <c r="CAT234" s="16"/>
      <c r="CAU234" s="15"/>
      <c r="CAV234" s="15"/>
      <c r="CAW234" s="15"/>
      <c r="CAX234" s="16"/>
      <c r="CAY234" s="16"/>
      <c r="CAZ234" s="16"/>
      <c r="CBA234" s="16"/>
      <c r="CBB234" s="16"/>
      <c r="CBC234" s="15"/>
      <c r="CBD234" s="15"/>
      <c r="CBE234" s="10"/>
      <c r="CBF234" s="10"/>
      <c r="CBG234" s="19"/>
      <c r="CBH234" s="19"/>
      <c r="CBK234" s="16"/>
      <c r="CBL234" s="15"/>
      <c r="CBM234" s="15"/>
      <c r="CBN234" s="15"/>
      <c r="CBO234" s="16"/>
      <c r="CBP234" s="16"/>
      <c r="CBQ234" s="16"/>
      <c r="CBR234" s="16"/>
      <c r="CBS234" s="16"/>
      <c r="CBT234" s="15"/>
      <c r="CBU234" s="15"/>
      <c r="CBV234" s="10"/>
      <c r="CBW234" s="10"/>
      <c r="CBX234" s="19"/>
      <c r="CBY234" s="19"/>
      <c r="CCB234" s="16"/>
      <c r="CCC234" s="15"/>
      <c r="CCD234" s="15"/>
      <c r="CCE234" s="15"/>
      <c r="CCF234" s="16"/>
      <c r="CCG234" s="16"/>
      <c r="CCH234" s="16"/>
      <c r="CCI234" s="16"/>
      <c r="CCJ234" s="16"/>
      <c r="CCK234" s="15"/>
      <c r="CCL234" s="15"/>
      <c r="CCM234" s="10"/>
      <c r="CCN234" s="10"/>
      <c r="CCO234" s="19"/>
      <c r="CCP234" s="19"/>
      <c r="CCS234" s="16"/>
      <c r="CCT234" s="15"/>
      <c r="CCU234" s="15"/>
      <c r="CCV234" s="15"/>
      <c r="CCW234" s="16"/>
      <c r="CCX234" s="16"/>
      <c r="CCY234" s="16"/>
      <c r="CCZ234" s="16"/>
      <c r="CDA234" s="16"/>
      <c r="CDB234" s="15"/>
      <c r="CDC234" s="15"/>
      <c r="CDD234" s="10"/>
      <c r="CDE234" s="10"/>
      <c r="CDF234" s="19"/>
      <c r="CDG234" s="19"/>
      <c r="CDJ234" s="16"/>
      <c r="CDK234" s="15"/>
      <c r="CDL234" s="15"/>
      <c r="CDM234" s="15"/>
      <c r="CDN234" s="16"/>
      <c r="CDO234" s="16"/>
      <c r="CDP234" s="16"/>
      <c r="CDQ234" s="16"/>
      <c r="CDR234" s="16"/>
      <c r="CDS234" s="15"/>
      <c r="CDT234" s="15"/>
      <c r="CDU234" s="10"/>
      <c r="CDV234" s="10"/>
      <c r="CDW234" s="19"/>
      <c r="CDX234" s="19"/>
      <c r="CEA234" s="16"/>
      <c r="CEB234" s="15"/>
      <c r="CEC234" s="15"/>
      <c r="CED234" s="15"/>
      <c r="CEE234" s="16"/>
      <c r="CEF234" s="16"/>
      <c r="CEG234" s="16"/>
      <c r="CEH234" s="16"/>
      <c r="CEI234" s="16"/>
      <c r="CEJ234" s="15"/>
      <c r="CEK234" s="15"/>
      <c r="CEL234" s="10"/>
      <c r="CEM234" s="10"/>
      <c r="CEN234" s="19"/>
      <c r="CEO234" s="19"/>
      <c r="CER234" s="16"/>
      <c r="CES234" s="15"/>
      <c r="CET234" s="15"/>
      <c r="CEU234" s="15"/>
      <c r="CEV234" s="16"/>
      <c r="CEW234" s="16"/>
      <c r="CEX234" s="16"/>
      <c r="CEY234" s="16"/>
      <c r="CEZ234" s="16"/>
      <c r="CFA234" s="15"/>
      <c r="CFB234" s="15"/>
      <c r="CFC234" s="10"/>
      <c r="CFD234" s="10"/>
      <c r="CFE234" s="19"/>
      <c r="CFF234" s="19"/>
      <c r="CFI234" s="16"/>
      <c r="CFJ234" s="15"/>
      <c r="CFK234" s="15"/>
      <c r="CFL234" s="15"/>
      <c r="CFM234" s="16"/>
      <c r="CFN234" s="16"/>
      <c r="CFO234" s="16"/>
      <c r="CFP234" s="16"/>
      <c r="CFQ234" s="16"/>
      <c r="CFR234" s="15"/>
      <c r="CFS234" s="15"/>
      <c r="CFT234" s="10"/>
      <c r="CFU234" s="10"/>
      <c r="CFV234" s="19"/>
      <c r="CFW234" s="19"/>
      <c r="CFZ234" s="16"/>
      <c r="CGA234" s="15"/>
      <c r="CGB234" s="15"/>
      <c r="CGC234" s="15"/>
      <c r="CGD234" s="16"/>
      <c r="CGE234" s="16"/>
      <c r="CGF234" s="16"/>
      <c r="CGG234" s="16"/>
      <c r="CGH234" s="16"/>
      <c r="CGI234" s="15"/>
      <c r="CGJ234" s="15"/>
      <c r="CGK234" s="10"/>
      <c r="CGL234" s="10"/>
      <c r="CGM234" s="19"/>
      <c r="CGN234" s="19"/>
      <c r="CGQ234" s="16"/>
      <c r="CGR234" s="15"/>
      <c r="CGS234" s="15"/>
      <c r="CGT234" s="15"/>
      <c r="CGU234" s="16"/>
      <c r="CGV234" s="16"/>
      <c r="CGW234" s="16"/>
      <c r="CGX234" s="16"/>
      <c r="CGY234" s="16"/>
      <c r="CGZ234" s="15"/>
      <c r="CHA234" s="15"/>
      <c r="CHB234" s="10"/>
      <c r="CHC234" s="10"/>
      <c r="CHD234" s="19"/>
      <c r="CHE234" s="19"/>
      <c r="CHH234" s="16"/>
      <c r="CHI234" s="15"/>
      <c r="CHJ234" s="15"/>
      <c r="CHK234" s="15"/>
      <c r="CHL234" s="16"/>
      <c r="CHM234" s="16"/>
      <c r="CHN234" s="16"/>
      <c r="CHO234" s="16"/>
      <c r="CHP234" s="16"/>
      <c r="CHQ234" s="15"/>
      <c r="CHR234" s="15"/>
      <c r="CHS234" s="10"/>
      <c r="CHT234" s="10"/>
      <c r="CHU234" s="19"/>
      <c r="CHV234" s="19"/>
      <c r="CHY234" s="16"/>
      <c r="CHZ234" s="15"/>
      <c r="CIA234" s="15"/>
      <c r="CIB234" s="15"/>
      <c r="CIC234" s="16"/>
      <c r="CID234" s="16"/>
      <c r="CIE234" s="16"/>
      <c r="CIF234" s="16"/>
      <c r="CIG234" s="16"/>
      <c r="CIH234" s="15"/>
      <c r="CII234" s="15"/>
      <c r="CIJ234" s="10"/>
      <c r="CIK234" s="10"/>
      <c r="CIL234" s="19"/>
      <c r="CIM234" s="19"/>
      <c r="CIP234" s="16"/>
      <c r="CIQ234" s="15"/>
      <c r="CIR234" s="15"/>
      <c r="CIS234" s="15"/>
      <c r="CIT234" s="16"/>
      <c r="CIU234" s="16"/>
      <c r="CIV234" s="16"/>
      <c r="CIW234" s="16"/>
      <c r="CIX234" s="16"/>
      <c r="CIY234" s="15"/>
      <c r="CIZ234" s="15"/>
      <c r="CJA234" s="10"/>
      <c r="CJB234" s="10"/>
      <c r="CJC234" s="19"/>
      <c r="CJD234" s="19"/>
      <c r="CJG234" s="16"/>
      <c r="CJH234" s="15"/>
      <c r="CJI234" s="15"/>
      <c r="CJJ234" s="15"/>
      <c r="CJK234" s="16"/>
      <c r="CJL234" s="16"/>
      <c r="CJM234" s="16"/>
      <c r="CJN234" s="16"/>
      <c r="CJO234" s="16"/>
      <c r="CJP234" s="15"/>
      <c r="CJQ234" s="15"/>
      <c r="CJR234" s="10"/>
      <c r="CJS234" s="10"/>
      <c r="CJT234" s="19"/>
      <c r="CJU234" s="19"/>
      <c r="CJX234" s="16"/>
      <c r="CJY234" s="15"/>
      <c r="CJZ234" s="15"/>
      <c r="CKA234" s="15"/>
      <c r="CKB234" s="16"/>
      <c r="CKC234" s="16"/>
      <c r="CKD234" s="16"/>
      <c r="CKE234" s="16"/>
      <c r="CKF234" s="16"/>
      <c r="CKG234" s="15"/>
      <c r="CKH234" s="15"/>
      <c r="CKI234" s="10"/>
      <c r="CKJ234" s="10"/>
      <c r="CKK234" s="19"/>
      <c r="CKL234" s="19"/>
      <c r="CKO234" s="16"/>
      <c r="CKP234" s="15"/>
      <c r="CKQ234" s="15"/>
      <c r="CKR234" s="15"/>
      <c r="CKS234" s="16"/>
      <c r="CKT234" s="16"/>
      <c r="CKU234" s="16"/>
      <c r="CKV234" s="16"/>
      <c r="CKW234" s="16"/>
      <c r="CKX234" s="15"/>
      <c r="CKY234" s="15"/>
      <c r="CKZ234" s="10"/>
      <c r="CLA234" s="10"/>
      <c r="CLB234" s="19"/>
      <c r="CLC234" s="19"/>
      <c r="CLF234" s="16"/>
      <c r="CLG234" s="15"/>
      <c r="CLH234" s="15"/>
      <c r="CLI234" s="15"/>
      <c r="CLJ234" s="16"/>
      <c r="CLK234" s="16"/>
      <c r="CLL234" s="16"/>
      <c r="CLM234" s="16"/>
      <c r="CLN234" s="16"/>
      <c r="CLO234" s="15"/>
      <c r="CLP234" s="15"/>
      <c r="CLQ234" s="10"/>
      <c r="CLR234" s="10"/>
      <c r="CLS234" s="19"/>
      <c r="CLT234" s="19"/>
      <c r="CLW234" s="16"/>
      <c r="CLX234" s="15"/>
      <c r="CLY234" s="15"/>
      <c r="CLZ234" s="15"/>
      <c r="CMA234" s="16"/>
      <c r="CMB234" s="16"/>
      <c r="CMC234" s="16"/>
      <c r="CMD234" s="16"/>
      <c r="CME234" s="16"/>
      <c r="CMF234" s="15"/>
      <c r="CMG234" s="15"/>
      <c r="CMH234" s="10"/>
      <c r="CMI234" s="10"/>
      <c r="CMJ234" s="19"/>
      <c r="CMK234" s="19"/>
      <c r="CMN234" s="16"/>
      <c r="CMO234" s="15"/>
      <c r="CMP234" s="15"/>
      <c r="CMQ234" s="15"/>
      <c r="CMR234" s="16"/>
      <c r="CMS234" s="16"/>
      <c r="CMT234" s="16"/>
      <c r="CMU234" s="16"/>
      <c r="CMV234" s="16"/>
      <c r="CMW234" s="15"/>
      <c r="CMX234" s="15"/>
      <c r="CMY234" s="10"/>
      <c r="CMZ234" s="10"/>
      <c r="CNA234" s="19"/>
      <c r="CNB234" s="19"/>
      <c r="CNE234" s="16"/>
      <c r="CNF234" s="15"/>
      <c r="CNG234" s="15"/>
      <c r="CNH234" s="15"/>
      <c r="CNI234" s="16"/>
      <c r="CNJ234" s="16"/>
      <c r="CNK234" s="16"/>
      <c r="CNL234" s="16"/>
      <c r="CNM234" s="16"/>
      <c r="CNN234" s="15"/>
      <c r="CNO234" s="15"/>
      <c r="CNP234" s="10"/>
      <c r="CNQ234" s="10"/>
      <c r="CNR234" s="19"/>
      <c r="CNS234" s="19"/>
      <c r="CNV234" s="16"/>
      <c r="CNW234" s="15"/>
      <c r="CNX234" s="15"/>
      <c r="CNY234" s="15"/>
      <c r="CNZ234" s="16"/>
      <c r="COA234" s="16"/>
      <c r="COB234" s="16"/>
      <c r="COC234" s="16"/>
      <c r="COD234" s="16"/>
      <c r="COE234" s="15"/>
      <c r="COF234" s="15"/>
      <c r="COG234" s="10"/>
      <c r="COH234" s="10"/>
      <c r="COI234" s="19"/>
      <c r="COJ234" s="19"/>
      <c r="COM234" s="16"/>
      <c r="CON234" s="15"/>
      <c r="COO234" s="15"/>
      <c r="COP234" s="15"/>
      <c r="COQ234" s="16"/>
      <c r="COR234" s="16"/>
      <c r="COS234" s="16"/>
      <c r="COT234" s="16"/>
      <c r="COU234" s="16"/>
      <c r="COV234" s="15"/>
      <c r="COW234" s="15"/>
      <c r="COX234" s="10"/>
      <c r="COY234" s="10"/>
      <c r="COZ234" s="19"/>
      <c r="CPA234" s="19"/>
      <c r="CPD234" s="16"/>
      <c r="CPE234" s="15"/>
      <c r="CPF234" s="15"/>
      <c r="CPG234" s="15"/>
      <c r="CPH234" s="16"/>
      <c r="CPI234" s="16"/>
      <c r="CPJ234" s="16"/>
      <c r="CPK234" s="16"/>
      <c r="CPL234" s="16"/>
      <c r="CPM234" s="15"/>
      <c r="CPN234" s="15"/>
      <c r="CPO234" s="10"/>
      <c r="CPP234" s="10"/>
      <c r="CPQ234" s="19"/>
      <c r="CPR234" s="19"/>
      <c r="CPU234" s="16"/>
      <c r="CPV234" s="15"/>
      <c r="CPW234" s="15"/>
      <c r="CPX234" s="15"/>
      <c r="CPY234" s="16"/>
      <c r="CPZ234" s="16"/>
      <c r="CQA234" s="16"/>
      <c r="CQB234" s="16"/>
      <c r="CQC234" s="16"/>
      <c r="CQD234" s="15"/>
      <c r="CQE234" s="15"/>
      <c r="CQF234" s="10"/>
      <c r="CQG234" s="10"/>
      <c r="CQH234" s="19"/>
      <c r="CQI234" s="19"/>
      <c r="CQL234" s="16"/>
      <c r="CQM234" s="15"/>
      <c r="CQN234" s="15"/>
      <c r="CQO234" s="15"/>
      <c r="CQP234" s="16"/>
      <c r="CQQ234" s="16"/>
      <c r="CQR234" s="16"/>
      <c r="CQS234" s="16"/>
      <c r="CQT234" s="16"/>
      <c r="CQU234" s="15"/>
      <c r="CQV234" s="15"/>
      <c r="CQW234" s="10"/>
      <c r="CQX234" s="10"/>
      <c r="CQY234" s="19"/>
      <c r="CQZ234" s="19"/>
      <c r="CRC234" s="16"/>
      <c r="CRD234" s="15"/>
      <c r="CRE234" s="15"/>
      <c r="CRF234" s="15"/>
      <c r="CRG234" s="16"/>
      <c r="CRH234" s="16"/>
      <c r="CRI234" s="16"/>
      <c r="CRJ234" s="16"/>
      <c r="CRK234" s="16"/>
      <c r="CRL234" s="15"/>
      <c r="CRM234" s="15"/>
      <c r="CRN234" s="10"/>
      <c r="CRO234" s="10"/>
      <c r="CRP234" s="19"/>
      <c r="CRQ234" s="19"/>
      <c r="CRT234" s="16"/>
      <c r="CRU234" s="15"/>
      <c r="CRV234" s="15"/>
      <c r="CRW234" s="15"/>
      <c r="CRX234" s="16"/>
      <c r="CRY234" s="16"/>
      <c r="CRZ234" s="16"/>
      <c r="CSA234" s="16"/>
      <c r="CSB234" s="16"/>
      <c r="CSC234" s="15"/>
      <c r="CSD234" s="15"/>
      <c r="CSE234" s="10"/>
      <c r="CSF234" s="10"/>
      <c r="CSG234" s="19"/>
      <c r="CSH234" s="19"/>
      <c r="CSK234" s="16"/>
      <c r="CSL234" s="15"/>
      <c r="CSM234" s="15"/>
      <c r="CSN234" s="15"/>
      <c r="CSO234" s="16"/>
      <c r="CSP234" s="16"/>
      <c r="CSQ234" s="16"/>
      <c r="CSR234" s="16"/>
      <c r="CSS234" s="16"/>
      <c r="CST234" s="15"/>
      <c r="CSU234" s="15"/>
      <c r="CSV234" s="10"/>
      <c r="CSW234" s="10"/>
      <c r="CSX234" s="19"/>
      <c r="CSY234" s="19"/>
      <c r="CTB234" s="16"/>
      <c r="CTC234" s="15"/>
      <c r="CTD234" s="15"/>
      <c r="CTE234" s="15"/>
      <c r="CTF234" s="16"/>
      <c r="CTG234" s="16"/>
      <c r="CTH234" s="16"/>
      <c r="CTI234" s="16"/>
      <c r="CTJ234" s="16"/>
      <c r="CTK234" s="15"/>
      <c r="CTL234" s="15"/>
      <c r="CTM234" s="10"/>
      <c r="CTN234" s="10"/>
      <c r="CTO234" s="19"/>
      <c r="CTP234" s="19"/>
      <c r="CTS234" s="16"/>
      <c r="CTT234" s="15"/>
      <c r="CTU234" s="15"/>
      <c r="CTV234" s="15"/>
      <c r="CTW234" s="16"/>
      <c r="CTX234" s="16"/>
      <c r="CTY234" s="16"/>
      <c r="CTZ234" s="16"/>
      <c r="CUA234" s="16"/>
      <c r="CUB234" s="15"/>
      <c r="CUC234" s="15"/>
      <c r="CUD234" s="10"/>
      <c r="CUE234" s="10"/>
      <c r="CUF234" s="19"/>
      <c r="CUG234" s="19"/>
      <c r="CUJ234" s="16"/>
      <c r="CUK234" s="15"/>
      <c r="CUL234" s="15"/>
      <c r="CUM234" s="15"/>
      <c r="CUN234" s="16"/>
      <c r="CUO234" s="16"/>
      <c r="CUP234" s="16"/>
      <c r="CUQ234" s="16"/>
      <c r="CUR234" s="16"/>
      <c r="CUS234" s="15"/>
      <c r="CUT234" s="15"/>
      <c r="CUU234" s="10"/>
      <c r="CUV234" s="10"/>
      <c r="CUW234" s="19"/>
      <c r="CUX234" s="19"/>
      <c r="CVA234" s="16"/>
      <c r="CVB234" s="15"/>
      <c r="CVC234" s="15"/>
      <c r="CVD234" s="15"/>
      <c r="CVE234" s="16"/>
      <c r="CVF234" s="16"/>
      <c r="CVG234" s="16"/>
      <c r="CVH234" s="16"/>
      <c r="CVI234" s="16"/>
      <c r="CVJ234" s="15"/>
      <c r="CVK234" s="15"/>
      <c r="CVL234" s="10"/>
      <c r="CVM234" s="10"/>
      <c r="CVN234" s="19"/>
      <c r="CVO234" s="19"/>
      <c r="CVR234" s="16"/>
      <c r="CVS234" s="15"/>
      <c r="CVT234" s="15"/>
      <c r="CVU234" s="15"/>
      <c r="CVV234" s="16"/>
      <c r="CVW234" s="16"/>
      <c r="CVX234" s="16"/>
      <c r="CVY234" s="16"/>
      <c r="CVZ234" s="16"/>
      <c r="CWA234" s="15"/>
      <c r="CWB234" s="15"/>
      <c r="CWC234" s="10"/>
      <c r="CWD234" s="10"/>
      <c r="CWE234" s="19"/>
      <c r="CWF234" s="19"/>
      <c r="CWI234" s="16"/>
      <c r="CWJ234" s="15"/>
      <c r="CWK234" s="15"/>
      <c r="CWL234" s="15"/>
      <c r="CWM234" s="16"/>
      <c r="CWN234" s="16"/>
      <c r="CWO234" s="16"/>
      <c r="CWP234" s="16"/>
      <c r="CWQ234" s="16"/>
      <c r="CWR234" s="15"/>
      <c r="CWS234" s="15"/>
      <c r="CWT234" s="10"/>
      <c r="CWU234" s="10"/>
      <c r="CWV234" s="19"/>
      <c r="CWW234" s="19"/>
      <c r="CWZ234" s="16"/>
      <c r="CXA234" s="15"/>
      <c r="CXB234" s="15"/>
      <c r="CXC234" s="15"/>
      <c r="CXD234" s="16"/>
      <c r="CXE234" s="16"/>
      <c r="CXF234" s="16"/>
      <c r="CXG234" s="16"/>
      <c r="CXH234" s="16"/>
      <c r="CXI234" s="15"/>
      <c r="CXJ234" s="15"/>
      <c r="CXK234" s="10"/>
      <c r="CXL234" s="10"/>
      <c r="CXM234" s="19"/>
      <c r="CXN234" s="19"/>
      <c r="CXQ234" s="16"/>
      <c r="CXR234" s="15"/>
      <c r="CXS234" s="15"/>
      <c r="CXT234" s="15"/>
      <c r="CXU234" s="16"/>
      <c r="CXV234" s="16"/>
      <c r="CXW234" s="16"/>
      <c r="CXX234" s="16"/>
      <c r="CXY234" s="16"/>
      <c r="CXZ234" s="15"/>
      <c r="CYA234" s="15"/>
      <c r="CYB234" s="10"/>
      <c r="CYC234" s="10"/>
      <c r="CYD234" s="19"/>
      <c r="CYE234" s="19"/>
      <c r="CYH234" s="16"/>
      <c r="CYI234" s="15"/>
      <c r="CYJ234" s="15"/>
      <c r="CYK234" s="15"/>
      <c r="CYL234" s="16"/>
      <c r="CYM234" s="16"/>
      <c r="CYN234" s="16"/>
      <c r="CYO234" s="16"/>
      <c r="CYP234" s="16"/>
      <c r="CYQ234" s="15"/>
      <c r="CYR234" s="15"/>
      <c r="CYS234" s="10"/>
      <c r="CYT234" s="10"/>
      <c r="CYU234" s="19"/>
      <c r="CYV234" s="19"/>
      <c r="CYY234" s="16"/>
      <c r="CYZ234" s="15"/>
      <c r="CZA234" s="15"/>
      <c r="CZB234" s="15"/>
      <c r="CZC234" s="16"/>
      <c r="CZD234" s="16"/>
      <c r="CZE234" s="16"/>
      <c r="CZF234" s="16"/>
      <c r="CZG234" s="16"/>
      <c r="CZH234" s="15"/>
      <c r="CZI234" s="15"/>
      <c r="CZJ234" s="10"/>
      <c r="CZK234" s="10"/>
      <c r="CZL234" s="19"/>
      <c r="CZM234" s="19"/>
      <c r="CZP234" s="16"/>
      <c r="CZQ234" s="15"/>
      <c r="CZR234" s="15"/>
      <c r="CZS234" s="15"/>
      <c r="CZT234" s="16"/>
      <c r="CZU234" s="16"/>
      <c r="CZV234" s="16"/>
      <c r="CZW234" s="16"/>
      <c r="CZX234" s="16"/>
      <c r="CZY234" s="15"/>
      <c r="CZZ234" s="15"/>
      <c r="DAA234" s="10"/>
      <c r="DAB234" s="10"/>
      <c r="DAC234" s="19"/>
      <c r="DAD234" s="19"/>
      <c r="DAG234" s="16"/>
      <c r="DAH234" s="15"/>
      <c r="DAI234" s="15"/>
      <c r="DAJ234" s="15"/>
      <c r="DAK234" s="16"/>
      <c r="DAL234" s="16"/>
      <c r="DAM234" s="16"/>
      <c r="DAN234" s="16"/>
      <c r="DAO234" s="16"/>
      <c r="DAP234" s="15"/>
      <c r="DAQ234" s="15"/>
      <c r="DAR234" s="10"/>
      <c r="DAS234" s="10"/>
      <c r="DAT234" s="19"/>
      <c r="DAU234" s="19"/>
      <c r="DAX234" s="16"/>
      <c r="DAY234" s="15"/>
      <c r="DAZ234" s="15"/>
      <c r="DBA234" s="15"/>
      <c r="DBB234" s="16"/>
      <c r="DBC234" s="16"/>
      <c r="DBD234" s="16"/>
      <c r="DBE234" s="16"/>
      <c r="DBF234" s="16"/>
      <c r="DBG234" s="15"/>
      <c r="DBH234" s="15"/>
      <c r="DBI234" s="10"/>
      <c r="DBJ234" s="10"/>
      <c r="DBK234" s="19"/>
      <c r="DBL234" s="19"/>
      <c r="DBO234" s="16"/>
      <c r="DBP234" s="15"/>
      <c r="DBQ234" s="15"/>
      <c r="DBR234" s="15"/>
      <c r="DBS234" s="16"/>
      <c r="DBT234" s="16"/>
      <c r="DBU234" s="16"/>
      <c r="DBV234" s="16"/>
      <c r="DBW234" s="16"/>
      <c r="DBX234" s="15"/>
      <c r="DBY234" s="15"/>
      <c r="DBZ234" s="10"/>
      <c r="DCA234" s="10"/>
      <c r="DCB234" s="19"/>
      <c r="DCC234" s="19"/>
      <c r="DCF234" s="16"/>
      <c r="DCG234" s="15"/>
      <c r="DCH234" s="15"/>
      <c r="DCI234" s="15"/>
      <c r="DCJ234" s="16"/>
      <c r="DCK234" s="16"/>
      <c r="DCL234" s="16"/>
      <c r="DCM234" s="16"/>
      <c r="DCN234" s="16"/>
      <c r="DCO234" s="15"/>
      <c r="DCP234" s="15"/>
      <c r="DCQ234" s="10"/>
      <c r="DCR234" s="10"/>
      <c r="DCS234" s="19"/>
      <c r="DCT234" s="19"/>
      <c r="DCW234" s="16"/>
      <c r="DCX234" s="15"/>
      <c r="DCY234" s="15"/>
      <c r="DCZ234" s="15"/>
      <c r="DDA234" s="16"/>
      <c r="DDB234" s="16"/>
      <c r="DDC234" s="16"/>
      <c r="DDD234" s="16"/>
      <c r="DDE234" s="16"/>
      <c r="DDF234" s="15"/>
      <c r="DDG234" s="15"/>
      <c r="DDH234" s="10"/>
      <c r="DDI234" s="10"/>
      <c r="DDJ234" s="19"/>
      <c r="DDK234" s="19"/>
      <c r="DDN234" s="16"/>
      <c r="DDO234" s="15"/>
      <c r="DDP234" s="15"/>
      <c r="DDQ234" s="15"/>
      <c r="DDR234" s="16"/>
      <c r="DDS234" s="16"/>
      <c r="DDT234" s="16"/>
      <c r="DDU234" s="16"/>
      <c r="DDV234" s="16"/>
      <c r="DDW234" s="15"/>
      <c r="DDX234" s="15"/>
      <c r="DDY234" s="10"/>
      <c r="DDZ234" s="10"/>
      <c r="DEA234" s="19"/>
      <c r="DEB234" s="19"/>
      <c r="DEE234" s="16"/>
      <c r="DEF234" s="15"/>
      <c r="DEG234" s="15"/>
      <c r="DEH234" s="15"/>
      <c r="DEI234" s="16"/>
      <c r="DEJ234" s="16"/>
      <c r="DEK234" s="16"/>
      <c r="DEL234" s="16"/>
      <c r="DEM234" s="16"/>
      <c r="DEN234" s="15"/>
      <c r="DEO234" s="15"/>
      <c r="DEP234" s="10"/>
      <c r="DEQ234" s="10"/>
      <c r="DER234" s="19"/>
      <c r="DES234" s="19"/>
      <c r="DEV234" s="16"/>
      <c r="DEW234" s="15"/>
      <c r="DEX234" s="15"/>
      <c r="DEY234" s="15"/>
      <c r="DEZ234" s="16"/>
      <c r="DFA234" s="16"/>
      <c r="DFB234" s="16"/>
      <c r="DFC234" s="16"/>
      <c r="DFD234" s="16"/>
      <c r="DFE234" s="15"/>
      <c r="DFF234" s="15"/>
      <c r="DFG234" s="10"/>
      <c r="DFH234" s="10"/>
      <c r="DFI234" s="19"/>
      <c r="DFJ234" s="19"/>
      <c r="DFM234" s="16"/>
      <c r="DFN234" s="15"/>
      <c r="DFO234" s="15"/>
      <c r="DFP234" s="15"/>
      <c r="DFQ234" s="16"/>
      <c r="DFR234" s="16"/>
      <c r="DFS234" s="16"/>
      <c r="DFT234" s="16"/>
      <c r="DFU234" s="16"/>
      <c r="DFV234" s="15"/>
      <c r="DFW234" s="15"/>
      <c r="DFX234" s="10"/>
      <c r="DFY234" s="10"/>
      <c r="DFZ234" s="19"/>
      <c r="DGA234" s="19"/>
      <c r="DGD234" s="16"/>
      <c r="DGE234" s="15"/>
      <c r="DGF234" s="15"/>
      <c r="DGG234" s="15"/>
      <c r="DGH234" s="16"/>
      <c r="DGI234" s="16"/>
      <c r="DGJ234" s="16"/>
      <c r="DGK234" s="16"/>
      <c r="DGL234" s="16"/>
      <c r="DGM234" s="15"/>
      <c r="DGN234" s="15"/>
      <c r="DGO234" s="10"/>
      <c r="DGP234" s="10"/>
      <c r="DGQ234" s="19"/>
      <c r="DGR234" s="19"/>
      <c r="DGU234" s="16"/>
      <c r="DGV234" s="15"/>
      <c r="DGW234" s="15"/>
      <c r="DGX234" s="15"/>
      <c r="DGY234" s="16"/>
      <c r="DGZ234" s="16"/>
      <c r="DHA234" s="16"/>
      <c r="DHB234" s="16"/>
      <c r="DHC234" s="16"/>
      <c r="DHD234" s="15"/>
      <c r="DHE234" s="15"/>
      <c r="DHF234" s="10"/>
      <c r="DHG234" s="10"/>
      <c r="DHH234" s="19"/>
      <c r="DHI234" s="19"/>
      <c r="DHL234" s="16"/>
      <c r="DHM234" s="15"/>
      <c r="DHN234" s="15"/>
      <c r="DHO234" s="15"/>
      <c r="DHP234" s="16"/>
      <c r="DHQ234" s="16"/>
      <c r="DHR234" s="16"/>
      <c r="DHS234" s="16"/>
      <c r="DHT234" s="16"/>
      <c r="DHU234" s="15"/>
      <c r="DHV234" s="15"/>
      <c r="DHW234" s="10"/>
      <c r="DHX234" s="10"/>
      <c r="DHY234" s="19"/>
      <c r="DHZ234" s="19"/>
      <c r="DIC234" s="16"/>
      <c r="DID234" s="15"/>
      <c r="DIE234" s="15"/>
      <c r="DIF234" s="15"/>
      <c r="DIG234" s="16"/>
      <c r="DIH234" s="16"/>
      <c r="DII234" s="16"/>
      <c r="DIJ234" s="16"/>
      <c r="DIK234" s="16"/>
      <c r="DIL234" s="15"/>
      <c r="DIM234" s="15"/>
      <c r="DIN234" s="10"/>
      <c r="DIO234" s="10"/>
      <c r="DIP234" s="19"/>
      <c r="DIQ234" s="19"/>
      <c r="DIT234" s="16"/>
      <c r="DIU234" s="15"/>
      <c r="DIV234" s="15"/>
      <c r="DIW234" s="15"/>
      <c r="DIX234" s="16"/>
      <c r="DIY234" s="16"/>
      <c r="DIZ234" s="16"/>
      <c r="DJA234" s="16"/>
      <c r="DJB234" s="16"/>
      <c r="DJC234" s="15"/>
      <c r="DJD234" s="15"/>
      <c r="DJE234" s="10"/>
      <c r="DJF234" s="10"/>
      <c r="DJG234" s="19"/>
      <c r="DJH234" s="19"/>
      <c r="DJK234" s="16"/>
      <c r="DJL234" s="15"/>
      <c r="DJM234" s="15"/>
      <c r="DJN234" s="15"/>
      <c r="DJO234" s="16"/>
      <c r="DJP234" s="16"/>
      <c r="DJQ234" s="16"/>
      <c r="DJR234" s="16"/>
      <c r="DJS234" s="16"/>
      <c r="DJT234" s="15"/>
      <c r="DJU234" s="15"/>
      <c r="DJV234" s="10"/>
      <c r="DJW234" s="10"/>
      <c r="DJX234" s="19"/>
      <c r="DJY234" s="19"/>
      <c r="DKB234" s="16"/>
      <c r="DKC234" s="15"/>
      <c r="DKD234" s="15"/>
      <c r="DKE234" s="15"/>
      <c r="DKF234" s="16"/>
      <c r="DKG234" s="16"/>
      <c r="DKH234" s="16"/>
      <c r="DKI234" s="16"/>
      <c r="DKJ234" s="16"/>
      <c r="DKK234" s="15"/>
      <c r="DKL234" s="15"/>
      <c r="DKM234" s="10"/>
      <c r="DKN234" s="10"/>
      <c r="DKO234" s="19"/>
      <c r="DKP234" s="19"/>
      <c r="DKS234" s="16"/>
      <c r="DKT234" s="15"/>
      <c r="DKU234" s="15"/>
      <c r="DKV234" s="15"/>
      <c r="DKW234" s="16"/>
      <c r="DKX234" s="16"/>
      <c r="DKY234" s="16"/>
      <c r="DKZ234" s="16"/>
      <c r="DLA234" s="16"/>
      <c r="DLB234" s="15"/>
      <c r="DLC234" s="15"/>
      <c r="DLD234" s="10"/>
      <c r="DLE234" s="10"/>
      <c r="DLF234" s="19"/>
      <c r="DLG234" s="19"/>
      <c r="DLJ234" s="16"/>
      <c r="DLK234" s="15"/>
      <c r="DLL234" s="15"/>
      <c r="DLM234" s="15"/>
      <c r="DLN234" s="16"/>
      <c r="DLO234" s="16"/>
      <c r="DLP234" s="16"/>
      <c r="DLQ234" s="16"/>
      <c r="DLR234" s="16"/>
      <c r="DLS234" s="15"/>
      <c r="DLT234" s="15"/>
      <c r="DLU234" s="10"/>
      <c r="DLV234" s="10"/>
      <c r="DLW234" s="19"/>
      <c r="DLX234" s="19"/>
      <c r="DMA234" s="16"/>
      <c r="DMB234" s="15"/>
      <c r="DMC234" s="15"/>
      <c r="DMD234" s="15"/>
      <c r="DME234" s="16"/>
      <c r="DMF234" s="16"/>
      <c r="DMG234" s="16"/>
      <c r="DMH234" s="16"/>
      <c r="DMI234" s="16"/>
      <c r="DMJ234" s="15"/>
      <c r="DMK234" s="15"/>
      <c r="DML234" s="10"/>
      <c r="DMM234" s="10"/>
      <c r="DMN234" s="19"/>
      <c r="DMO234" s="19"/>
      <c r="DMR234" s="16"/>
      <c r="DMS234" s="15"/>
      <c r="DMT234" s="15"/>
      <c r="DMU234" s="15"/>
      <c r="DMV234" s="16"/>
      <c r="DMW234" s="16"/>
      <c r="DMX234" s="16"/>
      <c r="DMY234" s="16"/>
      <c r="DMZ234" s="16"/>
      <c r="DNA234" s="15"/>
      <c r="DNB234" s="15"/>
      <c r="DNC234" s="10"/>
      <c r="DND234" s="10"/>
      <c r="DNE234" s="19"/>
      <c r="DNF234" s="19"/>
      <c r="DNI234" s="16"/>
      <c r="DNJ234" s="15"/>
      <c r="DNK234" s="15"/>
      <c r="DNL234" s="15"/>
      <c r="DNM234" s="16"/>
      <c r="DNN234" s="16"/>
      <c r="DNO234" s="16"/>
      <c r="DNP234" s="16"/>
      <c r="DNQ234" s="16"/>
      <c r="DNR234" s="15"/>
      <c r="DNS234" s="15"/>
      <c r="DNT234" s="10"/>
      <c r="DNU234" s="10"/>
      <c r="DNV234" s="19"/>
      <c r="DNW234" s="19"/>
      <c r="DNZ234" s="16"/>
      <c r="DOA234" s="15"/>
      <c r="DOB234" s="15"/>
      <c r="DOC234" s="15"/>
      <c r="DOD234" s="16"/>
      <c r="DOE234" s="16"/>
      <c r="DOF234" s="16"/>
      <c r="DOG234" s="16"/>
      <c r="DOH234" s="16"/>
      <c r="DOI234" s="15"/>
      <c r="DOJ234" s="15"/>
      <c r="DOK234" s="10"/>
      <c r="DOL234" s="10"/>
      <c r="DOM234" s="19"/>
      <c r="DON234" s="19"/>
      <c r="DOQ234" s="16"/>
      <c r="DOR234" s="15"/>
      <c r="DOS234" s="15"/>
      <c r="DOT234" s="15"/>
      <c r="DOU234" s="16"/>
      <c r="DOV234" s="16"/>
      <c r="DOW234" s="16"/>
      <c r="DOX234" s="16"/>
      <c r="DOY234" s="16"/>
      <c r="DOZ234" s="15"/>
      <c r="DPA234" s="15"/>
      <c r="DPB234" s="10"/>
      <c r="DPC234" s="10"/>
      <c r="DPD234" s="19"/>
      <c r="DPE234" s="19"/>
      <c r="DPH234" s="16"/>
      <c r="DPI234" s="15"/>
      <c r="DPJ234" s="15"/>
      <c r="DPK234" s="15"/>
      <c r="DPL234" s="16"/>
      <c r="DPM234" s="16"/>
      <c r="DPN234" s="16"/>
      <c r="DPO234" s="16"/>
      <c r="DPP234" s="16"/>
      <c r="DPQ234" s="15"/>
      <c r="DPR234" s="15"/>
      <c r="DPS234" s="10"/>
      <c r="DPT234" s="10"/>
      <c r="DPU234" s="19"/>
      <c r="DPV234" s="19"/>
      <c r="DPY234" s="16"/>
      <c r="DPZ234" s="15"/>
      <c r="DQA234" s="15"/>
      <c r="DQB234" s="15"/>
      <c r="DQC234" s="16"/>
      <c r="DQD234" s="16"/>
      <c r="DQE234" s="16"/>
      <c r="DQF234" s="16"/>
      <c r="DQG234" s="16"/>
      <c r="DQH234" s="15"/>
      <c r="DQI234" s="15"/>
      <c r="DQJ234" s="10"/>
      <c r="DQK234" s="10"/>
      <c r="DQL234" s="19"/>
      <c r="DQM234" s="19"/>
      <c r="DQP234" s="16"/>
      <c r="DQQ234" s="15"/>
      <c r="DQR234" s="15"/>
      <c r="DQS234" s="15"/>
      <c r="DQT234" s="16"/>
      <c r="DQU234" s="16"/>
      <c r="DQV234" s="16"/>
      <c r="DQW234" s="16"/>
      <c r="DQX234" s="16"/>
      <c r="DQY234" s="15"/>
      <c r="DQZ234" s="15"/>
      <c r="DRA234" s="10"/>
      <c r="DRB234" s="10"/>
      <c r="DRC234" s="19"/>
      <c r="DRD234" s="19"/>
      <c r="DRG234" s="16"/>
      <c r="DRH234" s="15"/>
      <c r="DRI234" s="15"/>
      <c r="DRJ234" s="15"/>
      <c r="DRK234" s="16"/>
      <c r="DRL234" s="16"/>
      <c r="DRM234" s="16"/>
      <c r="DRN234" s="16"/>
      <c r="DRO234" s="16"/>
      <c r="DRP234" s="15"/>
      <c r="DRQ234" s="15"/>
      <c r="DRR234" s="10"/>
      <c r="DRS234" s="10"/>
      <c r="DRT234" s="19"/>
      <c r="DRU234" s="19"/>
      <c r="DRX234" s="16"/>
      <c r="DRY234" s="15"/>
      <c r="DRZ234" s="15"/>
      <c r="DSA234" s="15"/>
      <c r="DSB234" s="16"/>
      <c r="DSC234" s="16"/>
      <c r="DSD234" s="16"/>
      <c r="DSE234" s="16"/>
      <c r="DSF234" s="16"/>
      <c r="DSG234" s="15"/>
      <c r="DSH234" s="15"/>
      <c r="DSI234" s="10"/>
      <c r="DSJ234" s="10"/>
      <c r="DSK234" s="19"/>
      <c r="DSL234" s="19"/>
      <c r="DSO234" s="16"/>
      <c r="DSP234" s="15"/>
      <c r="DSQ234" s="15"/>
      <c r="DSR234" s="15"/>
      <c r="DSS234" s="16"/>
      <c r="DST234" s="16"/>
      <c r="DSU234" s="16"/>
      <c r="DSV234" s="16"/>
      <c r="DSW234" s="16"/>
      <c r="DSX234" s="15"/>
      <c r="DSY234" s="15"/>
      <c r="DSZ234" s="10"/>
      <c r="DTA234" s="10"/>
      <c r="DTB234" s="19"/>
      <c r="DTC234" s="19"/>
      <c r="DTF234" s="16"/>
      <c r="DTG234" s="15"/>
      <c r="DTH234" s="15"/>
      <c r="DTI234" s="15"/>
      <c r="DTJ234" s="16"/>
      <c r="DTK234" s="16"/>
      <c r="DTL234" s="16"/>
      <c r="DTM234" s="16"/>
      <c r="DTN234" s="16"/>
      <c r="DTO234" s="15"/>
      <c r="DTP234" s="15"/>
      <c r="DTQ234" s="10"/>
      <c r="DTR234" s="10"/>
      <c r="DTS234" s="19"/>
      <c r="DTT234" s="19"/>
      <c r="DTW234" s="16"/>
      <c r="DTX234" s="15"/>
      <c r="DTY234" s="15"/>
      <c r="DTZ234" s="15"/>
      <c r="DUA234" s="16"/>
      <c r="DUB234" s="16"/>
      <c r="DUC234" s="16"/>
      <c r="DUD234" s="16"/>
      <c r="DUE234" s="16"/>
      <c r="DUF234" s="15"/>
      <c r="DUG234" s="15"/>
      <c r="DUH234" s="10"/>
      <c r="DUI234" s="10"/>
      <c r="DUJ234" s="19"/>
      <c r="DUK234" s="19"/>
      <c r="DUN234" s="16"/>
      <c r="DUO234" s="15"/>
      <c r="DUP234" s="15"/>
      <c r="DUQ234" s="15"/>
      <c r="DUR234" s="16"/>
      <c r="DUS234" s="16"/>
      <c r="DUT234" s="16"/>
      <c r="DUU234" s="16"/>
      <c r="DUV234" s="16"/>
      <c r="DUW234" s="15"/>
      <c r="DUX234" s="15"/>
      <c r="DUY234" s="10"/>
      <c r="DUZ234" s="10"/>
      <c r="DVA234" s="19"/>
      <c r="DVB234" s="19"/>
      <c r="DVE234" s="16"/>
      <c r="DVF234" s="15"/>
      <c r="DVG234" s="15"/>
      <c r="DVH234" s="15"/>
      <c r="DVI234" s="16"/>
      <c r="DVJ234" s="16"/>
      <c r="DVK234" s="16"/>
      <c r="DVL234" s="16"/>
      <c r="DVM234" s="16"/>
      <c r="DVN234" s="15"/>
      <c r="DVO234" s="15"/>
      <c r="DVP234" s="10"/>
      <c r="DVQ234" s="10"/>
      <c r="DVR234" s="19"/>
      <c r="DVS234" s="19"/>
      <c r="DVV234" s="16"/>
      <c r="DVW234" s="15"/>
      <c r="DVX234" s="15"/>
      <c r="DVY234" s="15"/>
      <c r="DVZ234" s="16"/>
      <c r="DWA234" s="16"/>
      <c r="DWB234" s="16"/>
      <c r="DWC234" s="16"/>
      <c r="DWD234" s="16"/>
      <c r="DWE234" s="15"/>
      <c r="DWF234" s="15"/>
      <c r="DWG234" s="10"/>
      <c r="DWH234" s="10"/>
      <c r="DWI234" s="19"/>
      <c r="DWJ234" s="19"/>
      <c r="DWM234" s="16"/>
      <c r="DWN234" s="15"/>
      <c r="DWO234" s="15"/>
      <c r="DWP234" s="15"/>
      <c r="DWQ234" s="16"/>
      <c r="DWR234" s="16"/>
      <c r="DWS234" s="16"/>
      <c r="DWT234" s="16"/>
      <c r="DWU234" s="16"/>
      <c r="DWV234" s="15"/>
      <c r="DWW234" s="15"/>
      <c r="DWX234" s="10"/>
      <c r="DWY234" s="10"/>
      <c r="DWZ234" s="19"/>
      <c r="DXA234" s="19"/>
      <c r="DXD234" s="16"/>
      <c r="DXE234" s="15"/>
      <c r="DXF234" s="15"/>
      <c r="DXG234" s="15"/>
      <c r="DXH234" s="16"/>
      <c r="DXI234" s="16"/>
      <c r="DXJ234" s="16"/>
      <c r="DXK234" s="16"/>
      <c r="DXL234" s="16"/>
      <c r="DXM234" s="15"/>
      <c r="DXN234" s="15"/>
      <c r="DXO234" s="10"/>
      <c r="DXP234" s="10"/>
      <c r="DXQ234" s="19"/>
      <c r="DXR234" s="19"/>
      <c r="DXU234" s="16"/>
      <c r="DXV234" s="15"/>
      <c r="DXW234" s="15"/>
      <c r="DXX234" s="15"/>
      <c r="DXY234" s="16"/>
      <c r="DXZ234" s="16"/>
      <c r="DYA234" s="16"/>
      <c r="DYB234" s="16"/>
      <c r="DYC234" s="16"/>
      <c r="DYD234" s="15"/>
      <c r="DYE234" s="15"/>
      <c r="DYF234" s="10"/>
      <c r="DYG234" s="10"/>
      <c r="DYH234" s="19"/>
      <c r="DYI234" s="19"/>
      <c r="DYL234" s="16"/>
      <c r="DYM234" s="15"/>
      <c r="DYN234" s="15"/>
      <c r="DYO234" s="15"/>
      <c r="DYP234" s="16"/>
      <c r="DYQ234" s="16"/>
      <c r="DYR234" s="16"/>
      <c r="DYS234" s="16"/>
      <c r="DYT234" s="16"/>
      <c r="DYU234" s="15"/>
      <c r="DYV234" s="15"/>
      <c r="DYW234" s="10"/>
      <c r="DYX234" s="10"/>
      <c r="DYY234" s="19"/>
      <c r="DYZ234" s="19"/>
      <c r="DZC234" s="16"/>
      <c r="DZD234" s="15"/>
      <c r="DZE234" s="15"/>
      <c r="DZF234" s="15"/>
      <c r="DZG234" s="16"/>
      <c r="DZH234" s="16"/>
      <c r="DZI234" s="16"/>
      <c r="DZJ234" s="16"/>
      <c r="DZK234" s="16"/>
      <c r="DZL234" s="15"/>
      <c r="DZM234" s="15"/>
      <c r="DZN234" s="10"/>
      <c r="DZO234" s="10"/>
      <c r="DZP234" s="19"/>
      <c r="DZQ234" s="19"/>
      <c r="DZT234" s="16"/>
      <c r="DZU234" s="15"/>
      <c r="DZV234" s="15"/>
      <c r="DZW234" s="15"/>
      <c r="DZX234" s="16"/>
      <c r="DZY234" s="16"/>
      <c r="DZZ234" s="16"/>
      <c r="EAA234" s="16"/>
      <c r="EAB234" s="16"/>
      <c r="EAC234" s="15"/>
      <c r="EAD234" s="15"/>
      <c r="EAE234" s="10"/>
      <c r="EAF234" s="10"/>
      <c r="EAG234" s="19"/>
      <c r="EAH234" s="19"/>
      <c r="EAK234" s="16"/>
      <c r="EAL234" s="15"/>
      <c r="EAM234" s="15"/>
      <c r="EAN234" s="15"/>
      <c r="EAO234" s="16"/>
      <c r="EAP234" s="16"/>
      <c r="EAQ234" s="16"/>
      <c r="EAR234" s="16"/>
      <c r="EAS234" s="16"/>
      <c r="EAT234" s="15"/>
      <c r="EAU234" s="15"/>
      <c r="EAV234" s="10"/>
      <c r="EAW234" s="10"/>
      <c r="EAX234" s="19"/>
      <c r="EAY234" s="19"/>
      <c r="EBB234" s="16"/>
      <c r="EBC234" s="15"/>
      <c r="EBD234" s="15"/>
      <c r="EBE234" s="15"/>
      <c r="EBF234" s="16"/>
      <c r="EBG234" s="16"/>
      <c r="EBH234" s="16"/>
      <c r="EBI234" s="16"/>
      <c r="EBJ234" s="16"/>
      <c r="EBK234" s="15"/>
      <c r="EBL234" s="15"/>
      <c r="EBM234" s="10"/>
      <c r="EBN234" s="10"/>
      <c r="EBO234" s="19"/>
      <c r="EBP234" s="19"/>
      <c r="EBS234" s="16"/>
      <c r="EBT234" s="15"/>
      <c r="EBU234" s="15"/>
      <c r="EBV234" s="15"/>
      <c r="EBW234" s="16"/>
      <c r="EBX234" s="16"/>
      <c r="EBY234" s="16"/>
      <c r="EBZ234" s="16"/>
      <c r="ECA234" s="16"/>
      <c r="ECB234" s="15"/>
      <c r="ECC234" s="15"/>
      <c r="ECD234" s="10"/>
      <c r="ECE234" s="10"/>
      <c r="ECF234" s="19"/>
      <c r="ECG234" s="19"/>
      <c r="ECJ234" s="16"/>
      <c r="ECK234" s="15"/>
      <c r="ECL234" s="15"/>
      <c r="ECM234" s="15"/>
      <c r="ECN234" s="16"/>
      <c r="ECO234" s="16"/>
      <c r="ECP234" s="16"/>
      <c r="ECQ234" s="16"/>
      <c r="ECR234" s="16"/>
      <c r="ECS234" s="15"/>
      <c r="ECT234" s="15"/>
      <c r="ECU234" s="10"/>
      <c r="ECV234" s="10"/>
      <c r="ECW234" s="19"/>
      <c r="ECX234" s="19"/>
      <c r="EDA234" s="16"/>
      <c r="EDB234" s="15"/>
      <c r="EDC234" s="15"/>
      <c r="EDD234" s="15"/>
      <c r="EDE234" s="16"/>
      <c r="EDF234" s="16"/>
      <c r="EDG234" s="16"/>
      <c r="EDH234" s="16"/>
      <c r="EDI234" s="16"/>
      <c r="EDJ234" s="15"/>
      <c r="EDK234" s="15"/>
      <c r="EDL234" s="10"/>
      <c r="EDM234" s="10"/>
      <c r="EDN234" s="19"/>
      <c r="EDO234" s="19"/>
      <c r="EDR234" s="16"/>
      <c r="EDS234" s="15"/>
      <c r="EDT234" s="15"/>
      <c r="EDU234" s="15"/>
      <c r="EDV234" s="16"/>
      <c r="EDW234" s="16"/>
      <c r="EDX234" s="16"/>
      <c r="EDY234" s="16"/>
      <c r="EDZ234" s="16"/>
      <c r="EEA234" s="15"/>
      <c r="EEB234" s="15"/>
      <c r="EEC234" s="10"/>
      <c r="EED234" s="10"/>
      <c r="EEE234" s="19"/>
      <c r="EEF234" s="19"/>
      <c r="EEI234" s="16"/>
      <c r="EEJ234" s="15"/>
      <c r="EEK234" s="15"/>
      <c r="EEL234" s="15"/>
      <c r="EEM234" s="16"/>
      <c r="EEN234" s="16"/>
      <c r="EEO234" s="16"/>
      <c r="EEP234" s="16"/>
      <c r="EEQ234" s="16"/>
      <c r="EER234" s="15"/>
      <c r="EES234" s="15"/>
      <c r="EET234" s="10"/>
      <c r="EEU234" s="10"/>
      <c r="EEV234" s="19"/>
      <c r="EEW234" s="19"/>
      <c r="EEZ234" s="16"/>
      <c r="EFA234" s="15"/>
      <c r="EFB234" s="15"/>
      <c r="EFC234" s="15"/>
      <c r="EFD234" s="16"/>
      <c r="EFE234" s="16"/>
      <c r="EFF234" s="16"/>
      <c r="EFG234" s="16"/>
      <c r="EFH234" s="16"/>
      <c r="EFI234" s="15"/>
      <c r="EFJ234" s="15"/>
      <c r="EFK234" s="10"/>
      <c r="EFL234" s="10"/>
      <c r="EFM234" s="19"/>
      <c r="EFN234" s="19"/>
      <c r="EFQ234" s="16"/>
      <c r="EFR234" s="15"/>
      <c r="EFS234" s="15"/>
      <c r="EFT234" s="15"/>
      <c r="EFU234" s="16"/>
      <c r="EFV234" s="16"/>
      <c r="EFW234" s="16"/>
      <c r="EFX234" s="16"/>
      <c r="EFY234" s="16"/>
      <c r="EFZ234" s="15"/>
      <c r="EGA234" s="15"/>
      <c r="EGB234" s="10"/>
      <c r="EGC234" s="10"/>
      <c r="EGD234" s="19"/>
      <c r="EGE234" s="19"/>
      <c r="EGH234" s="16"/>
      <c r="EGI234" s="15"/>
      <c r="EGJ234" s="15"/>
      <c r="EGK234" s="15"/>
      <c r="EGL234" s="16"/>
      <c r="EGM234" s="16"/>
      <c r="EGN234" s="16"/>
      <c r="EGO234" s="16"/>
      <c r="EGP234" s="16"/>
      <c r="EGQ234" s="15"/>
      <c r="EGR234" s="15"/>
      <c r="EGS234" s="10"/>
      <c r="EGT234" s="10"/>
      <c r="EGU234" s="19"/>
      <c r="EGV234" s="19"/>
      <c r="EGY234" s="16"/>
      <c r="EGZ234" s="15"/>
      <c r="EHA234" s="15"/>
      <c r="EHB234" s="15"/>
      <c r="EHC234" s="16"/>
      <c r="EHD234" s="16"/>
      <c r="EHE234" s="16"/>
      <c r="EHF234" s="16"/>
      <c r="EHG234" s="16"/>
      <c r="EHH234" s="15"/>
      <c r="EHI234" s="15"/>
      <c r="EHJ234" s="10"/>
      <c r="EHK234" s="10"/>
      <c r="EHL234" s="19"/>
      <c r="EHM234" s="19"/>
      <c r="EHP234" s="16"/>
      <c r="EHQ234" s="15"/>
      <c r="EHR234" s="15"/>
      <c r="EHS234" s="15"/>
      <c r="EHT234" s="16"/>
      <c r="EHU234" s="16"/>
      <c r="EHV234" s="16"/>
      <c r="EHW234" s="16"/>
      <c r="EHX234" s="16"/>
      <c r="EHY234" s="15"/>
      <c r="EHZ234" s="15"/>
      <c r="EIA234" s="10"/>
      <c r="EIB234" s="10"/>
      <c r="EIC234" s="19"/>
      <c r="EID234" s="19"/>
      <c r="EIG234" s="16"/>
      <c r="EIH234" s="15"/>
      <c r="EII234" s="15"/>
      <c r="EIJ234" s="15"/>
      <c r="EIK234" s="16"/>
      <c r="EIL234" s="16"/>
      <c r="EIM234" s="16"/>
      <c r="EIN234" s="16"/>
      <c r="EIO234" s="16"/>
      <c r="EIP234" s="15"/>
      <c r="EIQ234" s="15"/>
      <c r="EIR234" s="10"/>
      <c r="EIS234" s="10"/>
      <c r="EIT234" s="19"/>
      <c r="EIU234" s="19"/>
      <c r="EIX234" s="16"/>
      <c r="EIY234" s="15"/>
      <c r="EIZ234" s="15"/>
      <c r="EJA234" s="15"/>
      <c r="EJB234" s="16"/>
      <c r="EJC234" s="16"/>
      <c r="EJD234" s="16"/>
      <c r="EJE234" s="16"/>
      <c r="EJF234" s="16"/>
      <c r="EJG234" s="15"/>
      <c r="EJH234" s="15"/>
      <c r="EJI234" s="10"/>
      <c r="EJJ234" s="10"/>
      <c r="EJK234" s="19"/>
      <c r="EJL234" s="19"/>
      <c r="EJO234" s="16"/>
      <c r="EJP234" s="15"/>
      <c r="EJQ234" s="15"/>
      <c r="EJR234" s="15"/>
      <c r="EJS234" s="16"/>
      <c r="EJT234" s="16"/>
      <c r="EJU234" s="16"/>
      <c r="EJV234" s="16"/>
      <c r="EJW234" s="16"/>
      <c r="EJX234" s="15"/>
      <c r="EJY234" s="15"/>
      <c r="EJZ234" s="10"/>
      <c r="EKA234" s="10"/>
      <c r="EKB234" s="19"/>
      <c r="EKC234" s="19"/>
      <c r="EKF234" s="16"/>
      <c r="EKG234" s="15"/>
      <c r="EKH234" s="15"/>
      <c r="EKI234" s="15"/>
      <c r="EKJ234" s="16"/>
      <c r="EKK234" s="16"/>
      <c r="EKL234" s="16"/>
      <c r="EKM234" s="16"/>
      <c r="EKN234" s="16"/>
      <c r="EKO234" s="15"/>
      <c r="EKP234" s="15"/>
      <c r="EKQ234" s="10"/>
      <c r="EKR234" s="10"/>
      <c r="EKS234" s="19"/>
      <c r="EKT234" s="19"/>
      <c r="EKW234" s="16"/>
      <c r="EKX234" s="15"/>
      <c r="EKY234" s="15"/>
      <c r="EKZ234" s="15"/>
      <c r="ELA234" s="16"/>
      <c r="ELB234" s="16"/>
      <c r="ELC234" s="16"/>
      <c r="ELD234" s="16"/>
      <c r="ELE234" s="16"/>
      <c r="ELF234" s="15"/>
      <c r="ELG234" s="15"/>
      <c r="ELH234" s="10"/>
      <c r="ELI234" s="10"/>
      <c r="ELJ234" s="19"/>
      <c r="ELK234" s="19"/>
      <c r="ELN234" s="16"/>
      <c r="ELO234" s="15"/>
      <c r="ELP234" s="15"/>
      <c r="ELQ234" s="15"/>
      <c r="ELR234" s="16"/>
      <c r="ELS234" s="16"/>
      <c r="ELT234" s="16"/>
      <c r="ELU234" s="16"/>
      <c r="ELV234" s="16"/>
      <c r="ELW234" s="15"/>
      <c r="ELX234" s="15"/>
      <c r="ELY234" s="10"/>
      <c r="ELZ234" s="10"/>
      <c r="EMA234" s="19"/>
      <c r="EMB234" s="19"/>
      <c r="EME234" s="16"/>
      <c r="EMF234" s="15"/>
      <c r="EMG234" s="15"/>
      <c r="EMH234" s="15"/>
      <c r="EMI234" s="16"/>
      <c r="EMJ234" s="16"/>
      <c r="EMK234" s="16"/>
      <c r="EML234" s="16"/>
      <c r="EMM234" s="16"/>
      <c r="EMN234" s="15"/>
      <c r="EMO234" s="15"/>
      <c r="EMP234" s="10"/>
      <c r="EMQ234" s="10"/>
      <c r="EMR234" s="19"/>
      <c r="EMS234" s="19"/>
      <c r="EMV234" s="16"/>
      <c r="EMW234" s="15"/>
      <c r="EMX234" s="15"/>
      <c r="EMY234" s="15"/>
      <c r="EMZ234" s="16"/>
      <c r="ENA234" s="16"/>
      <c r="ENB234" s="16"/>
      <c r="ENC234" s="16"/>
      <c r="END234" s="16"/>
      <c r="ENE234" s="15"/>
      <c r="ENF234" s="15"/>
      <c r="ENG234" s="10"/>
      <c r="ENH234" s="10"/>
      <c r="ENI234" s="19"/>
      <c r="ENJ234" s="19"/>
      <c r="ENM234" s="16"/>
      <c r="ENN234" s="15"/>
      <c r="ENO234" s="15"/>
      <c r="ENP234" s="15"/>
      <c r="ENQ234" s="16"/>
      <c r="ENR234" s="16"/>
      <c r="ENS234" s="16"/>
      <c r="ENT234" s="16"/>
      <c r="ENU234" s="16"/>
      <c r="ENV234" s="15"/>
      <c r="ENW234" s="15"/>
      <c r="ENX234" s="10"/>
      <c r="ENY234" s="10"/>
      <c r="ENZ234" s="19"/>
      <c r="EOA234" s="19"/>
      <c r="EOD234" s="16"/>
      <c r="EOE234" s="15"/>
      <c r="EOF234" s="15"/>
      <c r="EOG234" s="15"/>
      <c r="EOH234" s="16"/>
      <c r="EOI234" s="16"/>
      <c r="EOJ234" s="16"/>
      <c r="EOK234" s="16"/>
      <c r="EOL234" s="16"/>
      <c r="EOM234" s="15"/>
      <c r="EON234" s="15"/>
      <c r="EOO234" s="10"/>
      <c r="EOP234" s="10"/>
      <c r="EOQ234" s="19"/>
      <c r="EOR234" s="19"/>
      <c r="EOU234" s="16"/>
      <c r="EOV234" s="15"/>
      <c r="EOW234" s="15"/>
      <c r="EOX234" s="15"/>
      <c r="EOY234" s="16"/>
      <c r="EOZ234" s="16"/>
      <c r="EPA234" s="16"/>
      <c r="EPB234" s="16"/>
      <c r="EPC234" s="16"/>
      <c r="EPD234" s="15"/>
      <c r="EPE234" s="15"/>
      <c r="EPF234" s="10"/>
      <c r="EPG234" s="10"/>
      <c r="EPH234" s="19"/>
      <c r="EPI234" s="19"/>
      <c r="EPL234" s="16"/>
      <c r="EPM234" s="15"/>
      <c r="EPN234" s="15"/>
      <c r="EPO234" s="15"/>
      <c r="EPP234" s="16"/>
      <c r="EPQ234" s="16"/>
      <c r="EPR234" s="16"/>
      <c r="EPS234" s="16"/>
      <c r="EPT234" s="16"/>
      <c r="EPU234" s="15"/>
      <c r="EPV234" s="15"/>
      <c r="EPW234" s="10"/>
      <c r="EPX234" s="10"/>
      <c r="EPY234" s="19"/>
      <c r="EPZ234" s="19"/>
      <c r="EQC234" s="16"/>
      <c r="EQD234" s="15"/>
      <c r="EQE234" s="15"/>
      <c r="EQF234" s="15"/>
      <c r="EQG234" s="16"/>
      <c r="EQH234" s="16"/>
      <c r="EQI234" s="16"/>
      <c r="EQJ234" s="16"/>
      <c r="EQK234" s="16"/>
      <c r="EQL234" s="15"/>
      <c r="EQM234" s="15"/>
      <c r="EQN234" s="10"/>
      <c r="EQO234" s="10"/>
      <c r="EQP234" s="19"/>
      <c r="EQQ234" s="19"/>
      <c r="EQT234" s="16"/>
      <c r="EQU234" s="15"/>
      <c r="EQV234" s="15"/>
      <c r="EQW234" s="15"/>
      <c r="EQX234" s="16"/>
      <c r="EQY234" s="16"/>
      <c r="EQZ234" s="16"/>
      <c r="ERA234" s="16"/>
      <c r="ERB234" s="16"/>
      <c r="ERC234" s="15"/>
      <c r="ERD234" s="15"/>
      <c r="ERE234" s="10"/>
      <c r="ERF234" s="10"/>
      <c r="ERG234" s="19"/>
      <c r="ERH234" s="19"/>
      <c r="ERK234" s="16"/>
      <c r="ERL234" s="15"/>
      <c r="ERM234" s="15"/>
      <c r="ERN234" s="15"/>
      <c r="ERO234" s="16"/>
      <c r="ERP234" s="16"/>
      <c r="ERQ234" s="16"/>
      <c r="ERR234" s="16"/>
      <c r="ERS234" s="16"/>
      <c r="ERT234" s="15"/>
      <c r="ERU234" s="15"/>
      <c r="ERV234" s="10"/>
      <c r="ERW234" s="10"/>
      <c r="ERX234" s="19"/>
      <c r="ERY234" s="19"/>
      <c r="ESB234" s="16"/>
      <c r="ESC234" s="15"/>
      <c r="ESD234" s="15"/>
      <c r="ESE234" s="15"/>
      <c r="ESF234" s="16"/>
      <c r="ESG234" s="16"/>
      <c r="ESH234" s="16"/>
      <c r="ESI234" s="16"/>
      <c r="ESJ234" s="16"/>
      <c r="ESK234" s="15"/>
      <c r="ESL234" s="15"/>
      <c r="ESM234" s="10"/>
      <c r="ESN234" s="10"/>
      <c r="ESO234" s="19"/>
      <c r="ESP234" s="19"/>
      <c r="ESS234" s="16"/>
      <c r="EST234" s="15"/>
      <c r="ESU234" s="15"/>
      <c r="ESV234" s="15"/>
      <c r="ESW234" s="16"/>
      <c r="ESX234" s="16"/>
      <c r="ESY234" s="16"/>
      <c r="ESZ234" s="16"/>
      <c r="ETA234" s="16"/>
      <c r="ETB234" s="15"/>
      <c r="ETC234" s="15"/>
      <c r="ETD234" s="10"/>
      <c r="ETE234" s="10"/>
      <c r="ETF234" s="19"/>
      <c r="ETG234" s="19"/>
      <c r="ETJ234" s="16"/>
      <c r="ETK234" s="15"/>
      <c r="ETL234" s="15"/>
      <c r="ETM234" s="15"/>
      <c r="ETN234" s="16"/>
      <c r="ETO234" s="16"/>
      <c r="ETP234" s="16"/>
      <c r="ETQ234" s="16"/>
      <c r="ETR234" s="16"/>
      <c r="ETS234" s="15"/>
      <c r="ETT234" s="15"/>
      <c r="ETU234" s="10"/>
      <c r="ETV234" s="10"/>
      <c r="ETW234" s="19"/>
      <c r="ETX234" s="19"/>
      <c r="EUA234" s="16"/>
      <c r="EUB234" s="15"/>
      <c r="EUC234" s="15"/>
      <c r="EUD234" s="15"/>
      <c r="EUE234" s="16"/>
      <c r="EUF234" s="16"/>
      <c r="EUG234" s="16"/>
      <c r="EUH234" s="16"/>
      <c r="EUI234" s="16"/>
      <c r="EUJ234" s="15"/>
      <c r="EUK234" s="15"/>
      <c r="EUL234" s="10"/>
      <c r="EUM234" s="10"/>
      <c r="EUN234" s="19"/>
      <c r="EUO234" s="19"/>
      <c r="EUR234" s="16"/>
      <c r="EUS234" s="15"/>
      <c r="EUT234" s="15"/>
      <c r="EUU234" s="15"/>
      <c r="EUV234" s="16"/>
      <c r="EUW234" s="16"/>
      <c r="EUX234" s="16"/>
      <c r="EUY234" s="16"/>
      <c r="EUZ234" s="16"/>
      <c r="EVA234" s="15"/>
      <c r="EVB234" s="15"/>
      <c r="EVC234" s="10"/>
      <c r="EVD234" s="10"/>
      <c r="EVE234" s="19"/>
      <c r="EVF234" s="19"/>
      <c r="EVI234" s="16"/>
      <c r="EVJ234" s="15"/>
      <c r="EVK234" s="15"/>
      <c r="EVL234" s="15"/>
      <c r="EVM234" s="16"/>
      <c r="EVN234" s="16"/>
      <c r="EVO234" s="16"/>
      <c r="EVP234" s="16"/>
      <c r="EVQ234" s="16"/>
      <c r="EVR234" s="15"/>
      <c r="EVS234" s="15"/>
      <c r="EVT234" s="10"/>
      <c r="EVU234" s="10"/>
      <c r="EVV234" s="19"/>
      <c r="EVW234" s="19"/>
      <c r="EVZ234" s="16"/>
      <c r="EWA234" s="15"/>
      <c r="EWB234" s="15"/>
      <c r="EWC234" s="15"/>
      <c r="EWD234" s="16"/>
      <c r="EWE234" s="16"/>
      <c r="EWF234" s="16"/>
      <c r="EWG234" s="16"/>
      <c r="EWH234" s="16"/>
      <c r="EWI234" s="15"/>
      <c r="EWJ234" s="15"/>
      <c r="EWK234" s="10"/>
      <c r="EWL234" s="10"/>
      <c r="EWM234" s="19"/>
      <c r="EWN234" s="19"/>
      <c r="EWQ234" s="16"/>
      <c r="EWR234" s="15"/>
      <c r="EWS234" s="15"/>
      <c r="EWT234" s="15"/>
      <c r="EWU234" s="16"/>
      <c r="EWV234" s="16"/>
      <c r="EWW234" s="16"/>
      <c r="EWX234" s="16"/>
      <c r="EWY234" s="16"/>
      <c r="EWZ234" s="15"/>
      <c r="EXA234" s="15"/>
      <c r="EXB234" s="10"/>
      <c r="EXC234" s="10"/>
      <c r="EXD234" s="19"/>
      <c r="EXE234" s="19"/>
      <c r="EXH234" s="16"/>
      <c r="EXI234" s="15"/>
      <c r="EXJ234" s="15"/>
      <c r="EXK234" s="15"/>
      <c r="EXL234" s="16"/>
      <c r="EXM234" s="16"/>
      <c r="EXN234" s="16"/>
      <c r="EXO234" s="16"/>
      <c r="EXP234" s="16"/>
      <c r="EXQ234" s="15"/>
      <c r="EXR234" s="15"/>
      <c r="EXS234" s="10"/>
      <c r="EXT234" s="10"/>
      <c r="EXU234" s="19"/>
      <c r="EXV234" s="19"/>
      <c r="EXY234" s="16"/>
      <c r="EXZ234" s="15"/>
      <c r="EYA234" s="15"/>
      <c r="EYB234" s="15"/>
      <c r="EYC234" s="16"/>
      <c r="EYD234" s="16"/>
      <c r="EYE234" s="16"/>
      <c r="EYF234" s="16"/>
      <c r="EYG234" s="16"/>
      <c r="EYH234" s="15"/>
      <c r="EYI234" s="15"/>
      <c r="EYJ234" s="10"/>
      <c r="EYK234" s="10"/>
      <c r="EYL234" s="19"/>
      <c r="EYM234" s="19"/>
      <c r="EYP234" s="16"/>
      <c r="EYQ234" s="15"/>
      <c r="EYR234" s="15"/>
      <c r="EYS234" s="15"/>
      <c r="EYT234" s="16"/>
      <c r="EYU234" s="16"/>
      <c r="EYV234" s="16"/>
      <c r="EYW234" s="16"/>
      <c r="EYX234" s="16"/>
      <c r="EYY234" s="15"/>
      <c r="EYZ234" s="15"/>
      <c r="EZA234" s="10"/>
      <c r="EZB234" s="10"/>
      <c r="EZC234" s="19"/>
      <c r="EZD234" s="19"/>
      <c r="EZG234" s="16"/>
      <c r="EZH234" s="15"/>
      <c r="EZI234" s="15"/>
      <c r="EZJ234" s="15"/>
      <c r="EZK234" s="16"/>
      <c r="EZL234" s="16"/>
      <c r="EZM234" s="16"/>
      <c r="EZN234" s="16"/>
      <c r="EZO234" s="16"/>
      <c r="EZP234" s="15"/>
      <c r="EZQ234" s="15"/>
      <c r="EZR234" s="10"/>
      <c r="EZS234" s="10"/>
      <c r="EZT234" s="19"/>
      <c r="EZU234" s="19"/>
      <c r="EZX234" s="16"/>
      <c r="EZY234" s="15"/>
      <c r="EZZ234" s="15"/>
      <c r="FAA234" s="15"/>
      <c r="FAB234" s="16"/>
      <c r="FAC234" s="16"/>
      <c r="FAD234" s="16"/>
      <c r="FAE234" s="16"/>
      <c r="FAF234" s="16"/>
      <c r="FAG234" s="15"/>
      <c r="FAH234" s="15"/>
      <c r="FAI234" s="10"/>
      <c r="FAJ234" s="10"/>
      <c r="FAK234" s="19"/>
      <c r="FAL234" s="19"/>
      <c r="FAO234" s="16"/>
      <c r="FAP234" s="15"/>
      <c r="FAQ234" s="15"/>
      <c r="FAR234" s="15"/>
      <c r="FAS234" s="16"/>
      <c r="FAT234" s="16"/>
      <c r="FAU234" s="16"/>
      <c r="FAV234" s="16"/>
      <c r="FAW234" s="16"/>
      <c r="FAX234" s="15"/>
      <c r="FAY234" s="15"/>
      <c r="FAZ234" s="10"/>
      <c r="FBA234" s="10"/>
      <c r="FBB234" s="19"/>
      <c r="FBC234" s="19"/>
      <c r="FBF234" s="16"/>
      <c r="FBG234" s="15"/>
      <c r="FBH234" s="15"/>
      <c r="FBI234" s="15"/>
      <c r="FBJ234" s="16"/>
      <c r="FBK234" s="16"/>
      <c r="FBL234" s="16"/>
      <c r="FBM234" s="16"/>
      <c r="FBN234" s="16"/>
      <c r="FBO234" s="15"/>
      <c r="FBP234" s="15"/>
      <c r="FBQ234" s="10"/>
      <c r="FBR234" s="10"/>
      <c r="FBS234" s="19"/>
      <c r="FBT234" s="19"/>
      <c r="FBW234" s="16"/>
      <c r="FBX234" s="15"/>
      <c r="FBY234" s="15"/>
      <c r="FBZ234" s="15"/>
      <c r="FCA234" s="16"/>
      <c r="FCB234" s="16"/>
      <c r="FCC234" s="16"/>
      <c r="FCD234" s="16"/>
      <c r="FCE234" s="16"/>
      <c r="FCF234" s="15"/>
      <c r="FCG234" s="15"/>
      <c r="FCH234" s="10"/>
      <c r="FCI234" s="10"/>
      <c r="FCJ234" s="19"/>
      <c r="FCK234" s="19"/>
      <c r="FCN234" s="16"/>
      <c r="FCO234" s="15"/>
      <c r="FCP234" s="15"/>
      <c r="FCQ234" s="15"/>
      <c r="FCR234" s="16"/>
      <c r="FCS234" s="16"/>
      <c r="FCT234" s="16"/>
      <c r="FCU234" s="16"/>
      <c r="FCV234" s="16"/>
      <c r="FCW234" s="15"/>
      <c r="FCX234" s="15"/>
      <c r="FCY234" s="10"/>
      <c r="FCZ234" s="10"/>
      <c r="FDA234" s="19"/>
      <c r="FDB234" s="19"/>
      <c r="FDE234" s="16"/>
      <c r="FDF234" s="15"/>
      <c r="FDG234" s="15"/>
      <c r="FDH234" s="15"/>
      <c r="FDI234" s="16"/>
      <c r="FDJ234" s="16"/>
      <c r="FDK234" s="16"/>
      <c r="FDL234" s="16"/>
      <c r="FDM234" s="16"/>
      <c r="FDN234" s="15"/>
      <c r="FDO234" s="15"/>
      <c r="FDP234" s="10"/>
      <c r="FDQ234" s="10"/>
      <c r="FDR234" s="19"/>
      <c r="FDS234" s="19"/>
      <c r="FDV234" s="16"/>
      <c r="FDW234" s="15"/>
      <c r="FDX234" s="15"/>
      <c r="FDY234" s="15"/>
      <c r="FDZ234" s="16"/>
      <c r="FEA234" s="16"/>
      <c r="FEB234" s="16"/>
      <c r="FEC234" s="16"/>
      <c r="FED234" s="16"/>
      <c r="FEE234" s="15"/>
      <c r="FEF234" s="15"/>
      <c r="FEG234" s="10"/>
      <c r="FEH234" s="10"/>
      <c r="FEI234" s="19"/>
      <c r="FEJ234" s="19"/>
      <c r="FEM234" s="16"/>
      <c r="FEN234" s="15"/>
      <c r="FEO234" s="15"/>
      <c r="FEP234" s="15"/>
      <c r="FEQ234" s="16"/>
      <c r="FER234" s="16"/>
      <c r="FES234" s="16"/>
      <c r="FET234" s="16"/>
      <c r="FEU234" s="16"/>
      <c r="FEV234" s="15"/>
      <c r="FEW234" s="15"/>
      <c r="FEX234" s="10"/>
      <c r="FEY234" s="10"/>
      <c r="FEZ234" s="19"/>
      <c r="FFA234" s="19"/>
      <c r="FFD234" s="16"/>
      <c r="FFE234" s="15"/>
      <c r="FFF234" s="15"/>
      <c r="FFG234" s="15"/>
      <c r="FFH234" s="16"/>
      <c r="FFI234" s="16"/>
      <c r="FFJ234" s="16"/>
      <c r="FFK234" s="16"/>
      <c r="FFL234" s="16"/>
      <c r="FFM234" s="15"/>
      <c r="FFN234" s="15"/>
      <c r="FFO234" s="10"/>
      <c r="FFP234" s="10"/>
      <c r="FFQ234" s="19"/>
      <c r="FFR234" s="19"/>
      <c r="FFU234" s="16"/>
      <c r="FFV234" s="15"/>
      <c r="FFW234" s="15"/>
      <c r="FFX234" s="15"/>
      <c r="FFY234" s="16"/>
      <c r="FFZ234" s="16"/>
      <c r="FGA234" s="16"/>
      <c r="FGB234" s="16"/>
      <c r="FGC234" s="16"/>
      <c r="FGD234" s="15"/>
      <c r="FGE234" s="15"/>
      <c r="FGF234" s="10"/>
      <c r="FGG234" s="10"/>
      <c r="FGH234" s="19"/>
      <c r="FGI234" s="19"/>
      <c r="FGL234" s="16"/>
      <c r="FGM234" s="15"/>
      <c r="FGN234" s="15"/>
      <c r="FGO234" s="15"/>
      <c r="FGP234" s="16"/>
      <c r="FGQ234" s="16"/>
      <c r="FGR234" s="16"/>
      <c r="FGS234" s="16"/>
      <c r="FGT234" s="16"/>
      <c r="FGU234" s="15"/>
      <c r="FGV234" s="15"/>
      <c r="FGW234" s="10"/>
      <c r="FGX234" s="10"/>
      <c r="FGY234" s="19"/>
      <c r="FGZ234" s="19"/>
      <c r="FHC234" s="16"/>
      <c r="FHD234" s="15"/>
      <c r="FHE234" s="15"/>
      <c r="FHF234" s="15"/>
      <c r="FHG234" s="16"/>
      <c r="FHH234" s="16"/>
      <c r="FHI234" s="16"/>
      <c r="FHJ234" s="16"/>
      <c r="FHK234" s="16"/>
      <c r="FHL234" s="15"/>
      <c r="FHM234" s="15"/>
      <c r="FHN234" s="10"/>
      <c r="FHO234" s="10"/>
      <c r="FHP234" s="19"/>
      <c r="FHQ234" s="19"/>
      <c r="FHT234" s="16"/>
      <c r="FHU234" s="15"/>
      <c r="FHV234" s="15"/>
      <c r="FHW234" s="15"/>
      <c r="FHX234" s="16"/>
      <c r="FHY234" s="16"/>
      <c r="FHZ234" s="16"/>
      <c r="FIA234" s="16"/>
      <c r="FIB234" s="16"/>
      <c r="FIC234" s="15"/>
      <c r="FID234" s="15"/>
      <c r="FIE234" s="10"/>
      <c r="FIF234" s="10"/>
      <c r="FIG234" s="19"/>
      <c r="FIH234" s="19"/>
      <c r="FIK234" s="16"/>
      <c r="FIL234" s="15"/>
      <c r="FIM234" s="15"/>
      <c r="FIN234" s="15"/>
      <c r="FIO234" s="16"/>
      <c r="FIP234" s="16"/>
      <c r="FIQ234" s="16"/>
      <c r="FIR234" s="16"/>
      <c r="FIS234" s="16"/>
      <c r="FIT234" s="15"/>
      <c r="FIU234" s="15"/>
      <c r="FIV234" s="10"/>
      <c r="FIW234" s="10"/>
      <c r="FIX234" s="19"/>
      <c r="FIY234" s="19"/>
      <c r="FJB234" s="16"/>
      <c r="FJC234" s="15"/>
      <c r="FJD234" s="15"/>
      <c r="FJE234" s="15"/>
      <c r="FJF234" s="16"/>
      <c r="FJG234" s="16"/>
      <c r="FJH234" s="16"/>
      <c r="FJI234" s="16"/>
      <c r="FJJ234" s="16"/>
      <c r="FJK234" s="15"/>
      <c r="FJL234" s="15"/>
      <c r="FJM234" s="10"/>
      <c r="FJN234" s="10"/>
      <c r="FJO234" s="19"/>
      <c r="FJP234" s="19"/>
      <c r="FJS234" s="16"/>
      <c r="FJT234" s="15"/>
      <c r="FJU234" s="15"/>
      <c r="FJV234" s="15"/>
      <c r="FJW234" s="16"/>
      <c r="FJX234" s="16"/>
      <c r="FJY234" s="16"/>
      <c r="FJZ234" s="16"/>
      <c r="FKA234" s="16"/>
      <c r="FKB234" s="15"/>
      <c r="FKC234" s="15"/>
      <c r="FKD234" s="10"/>
      <c r="FKE234" s="10"/>
      <c r="FKF234" s="19"/>
      <c r="FKG234" s="19"/>
      <c r="FKJ234" s="16"/>
      <c r="FKK234" s="15"/>
      <c r="FKL234" s="15"/>
      <c r="FKM234" s="15"/>
      <c r="FKN234" s="16"/>
      <c r="FKO234" s="16"/>
      <c r="FKP234" s="16"/>
      <c r="FKQ234" s="16"/>
      <c r="FKR234" s="16"/>
      <c r="FKS234" s="15"/>
      <c r="FKT234" s="15"/>
      <c r="FKU234" s="10"/>
      <c r="FKV234" s="10"/>
      <c r="FKW234" s="19"/>
      <c r="FKX234" s="19"/>
      <c r="FLA234" s="16"/>
      <c r="FLB234" s="15"/>
      <c r="FLC234" s="15"/>
      <c r="FLD234" s="15"/>
      <c r="FLE234" s="16"/>
      <c r="FLF234" s="16"/>
      <c r="FLG234" s="16"/>
      <c r="FLH234" s="16"/>
      <c r="FLI234" s="16"/>
      <c r="FLJ234" s="15"/>
      <c r="FLK234" s="15"/>
      <c r="FLL234" s="10"/>
      <c r="FLM234" s="10"/>
      <c r="FLN234" s="19"/>
      <c r="FLO234" s="19"/>
      <c r="FLR234" s="16"/>
      <c r="FLS234" s="15"/>
      <c r="FLT234" s="15"/>
      <c r="FLU234" s="15"/>
      <c r="FLV234" s="16"/>
      <c r="FLW234" s="16"/>
      <c r="FLX234" s="16"/>
      <c r="FLY234" s="16"/>
      <c r="FLZ234" s="16"/>
      <c r="FMA234" s="15"/>
      <c r="FMB234" s="15"/>
      <c r="FMC234" s="10"/>
      <c r="FMD234" s="10"/>
      <c r="FME234" s="19"/>
      <c r="FMF234" s="19"/>
      <c r="FMI234" s="16"/>
      <c r="FMJ234" s="15"/>
      <c r="FMK234" s="15"/>
      <c r="FML234" s="15"/>
      <c r="FMM234" s="16"/>
      <c r="FMN234" s="16"/>
      <c r="FMO234" s="16"/>
      <c r="FMP234" s="16"/>
      <c r="FMQ234" s="16"/>
      <c r="FMR234" s="15"/>
      <c r="FMS234" s="15"/>
      <c r="FMT234" s="10"/>
      <c r="FMU234" s="10"/>
      <c r="FMV234" s="19"/>
      <c r="FMW234" s="19"/>
      <c r="FMZ234" s="16"/>
      <c r="FNA234" s="15"/>
      <c r="FNB234" s="15"/>
      <c r="FNC234" s="15"/>
      <c r="FND234" s="16"/>
      <c r="FNE234" s="16"/>
      <c r="FNF234" s="16"/>
      <c r="FNG234" s="16"/>
      <c r="FNH234" s="16"/>
      <c r="FNI234" s="15"/>
      <c r="FNJ234" s="15"/>
      <c r="FNK234" s="10"/>
      <c r="FNL234" s="10"/>
      <c r="FNM234" s="19"/>
      <c r="FNN234" s="19"/>
      <c r="FNQ234" s="16"/>
      <c r="FNR234" s="15"/>
      <c r="FNS234" s="15"/>
      <c r="FNT234" s="15"/>
      <c r="FNU234" s="16"/>
      <c r="FNV234" s="16"/>
      <c r="FNW234" s="16"/>
      <c r="FNX234" s="16"/>
      <c r="FNY234" s="16"/>
      <c r="FNZ234" s="15"/>
      <c r="FOA234" s="15"/>
      <c r="FOB234" s="10"/>
      <c r="FOC234" s="10"/>
      <c r="FOD234" s="19"/>
      <c r="FOE234" s="19"/>
      <c r="FOH234" s="16"/>
      <c r="FOI234" s="15"/>
      <c r="FOJ234" s="15"/>
      <c r="FOK234" s="15"/>
      <c r="FOL234" s="16"/>
      <c r="FOM234" s="16"/>
      <c r="FON234" s="16"/>
      <c r="FOO234" s="16"/>
      <c r="FOP234" s="16"/>
      <c r="FOQ234" s="15"/>
      <c r="FOR234" s="15"/>
      <c r="FOS234" s="10"/>
      <c r="FOT234" s="10"/>
      <c r="FOU234" s="19"/>
      <c r="FOV234" s="19"/>
      <c r="FOY234" s="16"/>
      <c r="FOZ234" s="15"/>
      <c r="FPA234" s="15"/>
      <c r="FPB234" s="15"/>
      <c r="FPC234" s="16"/>
      <c r="FPD234" s="16"/>
      <c r="FPE234" s="16"/>
      <c r="FPF234" s="16"/>
      <c r="FPG234" s="16"/>
      <c r="FPH234" s="15"/>
      <c r="FPI234" s="15"/>
      <c r="FPJ234" s="10"/>
      <c r="FPK234" s="10"/>
      <c r="FPL234" s="19"/>
      <c r="FPM234" s="19"/>
      <c r="FPP234" s="16"/>
      <c r="FPQ234" s="15"/>
      <c r="FPR234" s="15"/>
      <c r="FPS234" s="15"/>
      <c r="FPT234" s="16"/>
      <c r="FPU234" s="16"/>
      <c r="FPV234" s="16"/>
      <c r="FPW234" s="16"/>
      <c r="FPX234" s="16"/>
      <c r="FPY234" s="15"/>
      <c r="FPZ234" s="15"/>
      <c r="FQA234" s="10"/>
      <c r="FQB234" s="10"/>
      <c r="FQC234" s="19"/>
      <c r="FQD234" s="19"/>
      <c r="FQG234" s="16"/>
      <c r="FQH234" s="15"/>
      <c r="FQI234" s="15"/>
      <c r="FQJ234" s="15"/>
      <c r="FQK234" s="16"/>
      <c r="FQL234" s="16"/>
      <c r="FQM234" s="16"/>
      <c r="FQN234" s="16"/>
      <c r="FQO234" s="16"/>
      <c r="FQP234" s="15"/>
      <c r="FQQ234" s="15"/>
      <c r="FQR234" s="10"/>
      <c r="FQS234" s="10"/>
      <c r="FQT234" s="19"/>
      <c r="FQU234" s="19"/>
      <c r="FQX234" s="16"/>
      <c r="FQY234" s="15"/>
      <c r="FQZ234" s="15"/>
      <c r="FRA234" s="15"/>
      <c r="FRB234" s="16"/>
      <c r="FRC234" s="16"/>
      <c r="FRD234" s="16"/>
      <c r="FRE234" s="16"/>
      <c r="FRF234" s="16"/>
      <c r="FRG234" s="15"/>
      <c r="FRH234" s="15"/>
      <c r="FRI234" s="10"/>
      <c r="FRJ234" s="10"/>
      <c r="FRK234" s="19"/>
      <c r="FRL234" s="19"/>
      <c r="FRO234" s="16"/>
      <c r="FRP234" s="15"/>
      <c r="FRQ234" s="15"/>
      <c r="FRR234" s="15"/>
      <c r="FRS234" s="16"/>
      <c r="FRT234" s="16"/>
      <c r="FRU234" s="16"/>
      <c r="FRV234" s="16"/>
      <c r="FRW234" s="16"/>
      <c r="FRX234" s="15"/>
      <c r="FRY234" s="15"/>
      <c r="FRZ234" s="10"/>
      <c r="FSA234" s="10"/>
      <c r="FSB234" s="19"/>
      <c r="FSC234" s="19"/>
      <c r="FSF234" s="16"/>
      <c r="FSG234" s="15"/>
      <c r="FSH234" s="15"/>
      <c r="FSI234" s="15"/>
      <c r="FSJ234" s="16"/>
      <c r="FSK234" s="16"/>
      <c r="FSL234" s="16"/>
      <c r="FSM234" s="16"/>
      <c r="FSN234" s="16"/>
      <c r="FSO234" s="15"/>
      <c r="FSP234" s="15"/>
      <c r="FSQ234" s="10"/>
      <c r="FSR234" s="10"/>
      <c r="FSS234" s="19"/>
      <c r="FST234" s="19"/>
      <c r="FSW234" s="16"/>
      <c r="FSX234" s="15"/>
      <c r="FSY234" s="15"/>
      <c r="FSZ234" s="15"/>
      <c r="FTA234" s="16"/>
      <c r="FTB234" s="16"/>
      <c r="FTC234" s="16"/>
      <c r="FTD234" s="16"/>
      <c r="FTE234" s="16"/>
      <c r="FTF234" s="15"/>
      <c r="FTG234" s="15"/>
      <c r="FTH234" s="10"/>
      <c r="FTI234" s="10"/>
      <c r="FTJ234" s="19"/>
      <c r="FTK234" s="19"/>
      <c r="FTN234" s="16"/>
      <c r="FTO234" s="15"/>
      <c r="FTP234" s="15"/>
      <c r="FTQ234" s="15"/>
      <c r="FTR234" s="16"/>
      <c r="FTS234" s="16"/>
      <c r="FTT234" s="16"/>
      <c r="FTU234" s="16"/>
      <c r="FTV234" s="16"/>
      <c r="FTW234" s="15"/>
      <c r="FTX234" s="15"/>
      <c r="FTY234" s="10"/>
      <c r="FTZ234" s="10"/>
      <c r="FUA234" s="19"/>
      <c r="FUB234" s="19"/>
      <c r="FUE234" s="16"/>
      <c r="FUF234" s="15"/>
      <c r="FUG234" s="15"/>
      <c r="FUH234" s="15"/>
      <c r="FUI234" s="16"/>
      <c r="FUJ234" s="16"/>
      <c r="FUK234" s="16"/>
      <c r="FUL234" s="16"/>
      <c r="FUM234" s="16"/>
      <c r="FUN234" s="15"/>
      <c r="FUO234" s="15"/>
      <c r="FUP234" s="10"/>
      <c r="FUQ234" s="10"/>
      <c r="FUR234" s="19"/>
      <c r="FUS234" s="19"/>
      <c r="FUV234" s="16"/>
      <c r="FUW234" s="15"/>
      <c r="FUX234" s="15"/>
      <c r="FUY234" s="15"/>
      <c r="FUZ234" s="16"/>
      <c r="FVA234" s="16"/>
      <c r="FVB234" s="16"/>
      <c r="FVC234" s="16"/>
      <c r="FVD234" s="16"/>
      <c r="FVE234" s="15"/>
      <c r="FVF234" s="15"/>
      <c r="FVG234" s="10"/>
      <c r="FVH234" s="10"/>
      <c r="FVI234" s="19"/>
      <c r="FVJ234" s="19"/>
      <c r="FVM234" s="16"/>
      <c r="FVN234" s="15"/>
      <c r="FVO234" s="15"/>
      <c r="FVP234" s="15"/>
      <c r="FVQ234" s="16"/>
      <c r="FVR234" s="16"/>
      <c r="FVS234" s="16"/>
      <c r="FVT234" s="16"/>
      <c r="FVU234" s="16"/>
      <c r="FVV234" s="15"/>
      <c r="FVW234" s="15"/>
      <c r="FVX234" s="10"/>
      <c r="FVY234" s="10"/>
      <c r="FVZ234" s="19"/>
      <c r="FWA234" s="19"/>
      <c r="FWD234" s="16"/>
      <c r="FWE234" s="15"/>
      <c r="FWF234" s="15"/>
      <c r="FWG234" s="15"/>
      <c r="FWH234" s="16"/>
      <c r="FWI234" s="16"/>
      <c r="FWJ234" s="16"/>
      <c r="FWK234" s="16"/>
      <c r="FWL234" s="16"/>
      <c r="FWM234" s="15"/>
      <c r="FWN234" s="15"/>
      <c r="FWO234" s="10"/>
      <c r="FWP234" s="10"/>
      <c r="FWQ234" s="19"/>
      <c r="FWR234" s="19"/>
      <c r="FWU234" s="16"/>
      <c r="FWV234" s="15"/>
      <c r="FWW234" s="15"/>
      <c r="FWX234" s="15"/>
      <c r="FWY234" s="16"/>
      <c r="FWZ234" s="16"/>
      <c r="FXA234" s="16"/>
      <c r="FXB234" s="16"/>
      <c r="FXC234" s="16"/>
      <c r="FXD234" s="15"/>
      <c r="FXE234" s="15"/>
      <c r="FXF234" s="10"/>
      <c r="FXG234" s="10"/>
      <c r="FXH234" s="19"/>
      <c r="FXI234" s="19"/>
      <c r="FXL234" s="16"/>
      <c r="FXM234" s="15"/>
      <c r="FXN234" s="15"/>
      <c r="FXO234" s="15"/>
      <c r="FXP234" s="16"/>
      <c r="FXQ234" s="16"/>
      <c r="FXR234" s="16"/>
      <c r="FXS234" s="16"/>
      <c r="FXT234" s="16"/>
      <c r="FXU234" s="15"/>
      <c r="FXV234" s="15"/>
      <c r="FXW234" s="10"/>
      <c r="FXX234" s="10"/>
      <c r="FXY234" s="19"/>
      <c r="FXZ234" s="19"/>
      <c r="FYC234" s="16"/>
      <c r="FYD234" s="15"/>
      <c r="FYE234" s="15"/>
      <c r="FYF234" s="15"/>
      <c r="FYG234" s="16"/>
      <c r="FYH234" s="16"/>
      <c r="FYI234" s="16"/>
      <c r="FYJ234" s="16"/>
      <c r="FYK234" s="16"/>
      <c r="FYL234" s="15"/>
      <c r="FYM234" s="15"/>
      <c r="FYN234" s="10"/>
      <c r="FYO234" s="10"/>
      <c r="FYP234" s="19"/>
      <c r="FYQ234" s="19"/>
      <c r="FYT234" s="16"/>
      <c r="FYU234" s="15"/>
      <c r="FYV234" s="15"/>
      <c r="FYW234" s="15"/>
      <c r="FYX234" s="16"/>
      <c r="FYY234" s="16"/>
      <c r="FYZ234" s="16"/>
      <c r="FZA234" s="16"/>
      <c r="FZB234" s="16"/>
      <c r="FZC234" s="15"/>
      <c r="FZD234" s="15"/>
      <c r="FZE234" s="10"/>
      <c r="FZF234" s="10"/>
      <c r="FZG234" s="19"/>
      <c r="FZH234" s="19"/>
      <c r="FZK234" s="16"/>
      <c r="FZL234" s="15"/>
      <c r="FZM234" s="15"/>
      <c r="FZN234" s="15"/>
      <c r="FZO234" s="16"/>
      <c r="FZP234" s="16"/>
      <c r="FZQ234" s="16"/>
      <c r="FZR234" s="16"/>
      <c r="FZS234" s="16"/>
      <c r="FZT234" s="15"/>
      <c r="FZU234" s="15"/>
      <c r="FZV234" s="10"/>
      <c r="FZW234" s="10"/>
      <c r="FZX234" s="19"/>
      <c r="FZY234" s="19"/>
      <c r="GAB234" s="16"/>
      <c r="GAC234" s="15"/>
      <c r="GAD234" s="15"/>
      <c r="GAE234" s="15"/>
      <c r="GAF234" s="16"/>
      <c r="GAG234" s="16"/>
      <c r="GAH234" s="16"/>
      <c r="GAI234" s="16"/>
      <c r="GAJ234" s="16"/>
      <c r="GAK234" s="15"/>
      <c r="GAL234" s="15"/>
      <c r="GAM234" s="10"/>
      <c r="GAN234" s="10"/>
      <c r="GAO234" s="19"/>
      <c r="GAP234" s="19"/>
      <c r="GAS234" s="16"/>
      <c r="GAT234" s="15"/>
      <c r="GAU234" s="15"/>
      <c r="GAV234" s="15"/>
      <c r="GAW234" s="16"/>
      <c r="GAX234" s="16"/>
      <c r="GAY234" s="16"/>
      <c r="GAZ234" s="16"/>
      <c r="GBA234" s="16"/>
      <c r="GBB234" s="15"/>
      <c r="GBC234" s="15"/>
      <c r="GBD234" s="10"/>
      <c r="GBE234" s="10"/>
      <c r="GBF234" s="19"/>
      <c r="GBG234" s="19"/>
      <c r="GBJ234" s="16"/>
      <c r="GBK234" s="15"/>
      <c r="GBL234" s="15"/>
      <c r="GBM234" s="15"/>
      <c r="GBN234" s="16"/>
      <c r="GBO234" s="16"/>
      <c r="GBP234" s="16"/>
      <c r="GBQ234" s="16"/>
      <c r="GBR234" s="16"/>
      <c r="GBS234" s="15"/>
      <c r="GBT234" s="15"/>
      <c r="GBU234" s="10"/>
      <c r="GBV234" s="10"/>
      <c r="GBW234" s="19"/>
      <c r="GBX234" s="19"/>
      <c r="GCA234" s="16"/>
      <c r="GCB234" s="15"/>
      <c r="GCC234" s="15"/>
      <c r="GCD234" s="15"/>
      <c r="GCE234" s="16"/>
      <c r="GCF234" s="16"/>
      <c r="GCG234" s="16"/>
      <c r="GCH234" s="16"/>
      <c r="GCI234" s="16"/>
      <c r="GCJ234" s="15"/>
      <c r="GCK234" s="15"/>
      <c r="GCL234" s="10"/>
      <c r="GCM234" s="10"/>
      <c r="GCN234" s="19"/>
      <c r="GCO234" s="19"/>
      <c r="GCR234" s="16"/>
      <c r="GCS234" s="15"/>
      <c r="GCT234" s="15"/>
      <c r="GCU234" s="15"/>
      <c r="GCV234" s="16"/>
      <c r="GCW234" s="16"/>
      <c r="GCX234" s="16"/>
      <c r="GCY234" s="16"/>
      <c r="GCZ234" s="16"/>
      <c r="GDA234" s="15"/>
      <c r="GDB234" s="15"/>
      <c r="GDC234" s="10"/>
      <c r="GDD234" s="10"/>
      <c r="GDE234" s="19"/>
      <c r="GDF234" s="19"/>
      <c r="GDI234" s="16"/>
      <c r="GDJ234" s="15"/>
      <c r="GDK234" s="15"/>
      <c r="GDL234" s="15"/>
      <c r="GDM234" s="16"/>
      <c r="GDN234" s="16"/>
      <c r="GDO234" s="16"/>
      <c r="GDP234" s="16"/>
      <c r="GDQ234" s="16"/>
      <c r="GDR234" s="15"/>
      <c r="GDS234" s="15"/>
      <c r="GDT234" s="10"/>
      <c r="GDU234" s="10"/>
      <c r="GDV234" s="19"/>
      <c r="GDW234" s="19"/>
      <c r="GDZ234" s="16"/>
      <c r="GEA234" s="15"/>
      <c r="GEB234" s="15"/>
      <c r="GEC234" s="15"/>
      <c r="GED234" s="16"/>
      <c r="GEE234" s="16"/>
      <c r="GEF234" s="16"/>
      <c r="GEG234" s="16"/>
      <c r="GEH234" s="16"/>
      <c r="GEI234" s="15"/>
      <c r="GEJ234" s="15"/>
      <c r="GEK234" s="10"/>
      <c r="GEL234" s="10"/>
      <c r="GEM234" s="19"/>
      <c r="GEN234" s="19"/>
      <c r="GEQ234" s="16"/>
      <c r="GER234" s="15"/>
      <c r="GES234" s="15"/>
      <c r="GET234" s="15"/>
      <c r="GEU234" s="16"/>
      <c r="GEV234" s="16"/>
      <c r="GEW234" s="16"/>
      <c r="GEX234" s="16"/>
      <c r="GEY234" s="16"/>
      <c r="GEZ234" s="15"/>
      <c r="GFA234" s="15"/>
      <c r="GFB234" s="10"/>
      <c r="GFC234" s="10"/>
      <c r="GFD234" s="19"/>
      <c r="GFE234" s="19"/>
      <c r="GFH234" s="16"/>
      <c r="GFI234" s="15"/>
      <c r="GFJ234" s="15"/>
      <c r="GFK234" s="15"/>
      <c r="GFL234" s="16"/>
      <c r="GFM234" s="16"/>
      <c r="GFN234" s="16"/>
      <c r="GFO234" s="16"/>
      <c r="GFP234" s="16"/>
      <c r="GFQ234" s="15"/>
      <c r="GFR234" s="15"/>
      <c r="GFS234" s="10"/>
      <c r="GFT234" s="10"/>
      <c r="GFU234" s="19"/>
      <c r="GFV234" s="19"/>
      <c r="GFY234" s="16"/>
      <c r="GFZ234" s="15"/>
      <c r="GGA234" s="15"/>
      <c r="GGB234" s="15"/>
      <c r="GGC234" s="16"/>
      <c r="GGD234" s="16"/>
      <c r="GGE234" s="16"/>
      <c r="GGF234" s="16"/>
      <c r="GGG234" s="16"/>
      <c r="GGH234" s="15"/>
      <c r="GGI234" s="15"/>
      <c r="GGJ234" s="10"/>
      <c r="GGK234" s="10"/>
      <c r="GGL234" s="19"/>
      <c r="GGM234" s="19"/>
      <c r="GGP234" s="16"/>
      <c r="GGQ234" s="15"/>
      <c r="GGR234" s="15"/>
      <c r="GGS234" s="15"/>
      <c r="GGT234" s="16"/>
      <c r="GGU234" s="16"/>
      <c r="GGV234" s="16"/>
      <c r="GGW234" s="16"/>
      <c r="GGX234" s="16"/>
      <c r="GGY234" s="15"/>
      <c r="GGZ234" s="15"/>
      <c r="GHA234" s="10"/>
      <c r="GHB234" s="10"/>
      <c r="GHC234" s="19"/>
      <c r="GHD234" s="19"/>
      <c r="GHG234" s="16"/>
      <c r="GHH234" s="15"/>
      <c r="GHI234" s="15"/>
      <c r="GHJ234" s="15"/>
      <c r="GHK234" s="16"/>
      <c r="GHL234" s="16"/>
      <c r="GHM234" s="16"/>
      <c r="GHN234" s="16"/>
      <c r="GHO234" s="16"/>
      <c r="GHP234" s="15"/>
      <c r="GHQ234" s="15"/>
      <c r="GHR234" s="10"/>
      <c r="GHS234" s="10"/>
      <c r="GHT234" s="19"/>
      <c r="GHU234" s="19"/>
      <c r="GHX234" s="16"/>
      <c r="GHY234" s="15"/>
      <c r="GHZ234" s="15"/>
      <c r="GIA234" s="15"/>
      <c r="GIB234" s="16"/>
      <c r="GIC234" s="16"/>
      <c r="GID234" s="16"/>
      <c r="GIE234" s="16"/>
      <c r="GIF234" s="16"/>
      <c r="GIG234" s="15"/>
      <c r="GIH234" s="15"/>
      <c r="GII234" s="10"/>
      <c r="GIJ234" s="10"/>
      <c r="GIK234" s="19"/>
      <c r="GIL234" s="19"/>
      <c r="GIO234" s="16"/>
      <c r="GIP234" s="15"/>
      <c r="GIQ234" s="15"/>
      <c r="GIR234" s="15"/>
      <c r="GIS234" s="16"/>
      <c r="GIT234" s="16"/>
      <c r="GIU234" s="16"/>
      <c r="GIV234" s="16"/>
      <c r="GIW234" s="16"/>
      <c r="GIX234" s="15"/>
      <c r="GIY234" s="15"/>
      <c r="GIZ234" s="10"/>
      <c r="GJA234" s="10"/>
      <c r="GJB234" s="19"/>
      <c r="GJC234" s="19"/>
      <c r="GJF234" s="16"/>
      <c r="GJG234" s="15"/>
      <c r="GJH234" s="15"/>
      <c r="GJI234" s="15"/>
      <c r="GJJ234" s="16"/>
      <c r="GJK234" s="16"/>
      <c r="GJL234" s="16"/>
      <c r="GJM234" s="16"/>
      <c r="GJN234" s="16"/>
      <c r="GJO234" s="15"/>
      <c r="GJP234" s="15"/>
      <c r="GJQ234" s="10"/>
      <c r="GJR234" s="10"/>
      <c r="GJS234" s="19"/>
      <c r="GJT234" s="19"/>
      <c r="GJW234" s="16"/>
      <c r="GJX234" s="15"/>
      <c r="GJY234" s="15"/>
      <c r="GJZ234" s="15"/>
      <c r="GKA234" s="16"/>
      <c r="GKB234" s="16"/>
      <c r="GKC234" s="16"/>
      <c r="GKD234" s="16"/>
      <c r="GKE234" s="16"/>
      <c r="GKF234" s="15"/>
      <c r="GKG234" s="15"/>
      <c r="GKH234" s="10"/>
      <c r="GKI234" s="10"/>
      <c r="GKJ234" s="19"/>
      <c r="GKK234" s="19"/>
      <c r="GKN234" s="16"/>
      <c r="GKO234" s="15"/>
      <c r="GKP234" s="15"/>
      <c r="GKQ234" s="15"/>
      <c r="GKR234" s="16"/>
      <c r="GKS234" s="16"/>
      <c r="GKT234" s="16"/>
      <c r="GKU234" s="16"/>
      <c r="GKV234" s="16"/>
      <c r="GKW234" s="15"/>
      <c r="GKX234" s="15"/>
      <c r="GKY234" s="10"/>
      <c r="GKZ234" s="10"/>
      <c r="GLA234" s="19"/>
      <c r="GLB234" s="19"/>
      <c r="GLE234" s="16"/>
      <c r="GLF234" s="15"/>
      <c r="GLG234" s="15"/>
      <c r="GLH234" s="15"/>
      <c r="GLI234" s="16"/>
      <c r="GLJ234" s="16"/>
      <c r="GLK234" s="16"/>
      <c r="GLL234" s="16"/>
      <c r="GLM234" s="16"/>
      <c r="GLN234" s="15"/>
      <c r="GLO234" s="15"/>
      <c r="GLP234" s="10"/>
      <c r="GLQ234" s="10"/>
      <c r="GLR234" s="19"/>
      <c r="GLS234" s="19"/>
      <c r="GLV234" s="16"/>
      <c r="GLW234" s="15"/>
      <c r="GLX234" s="15"/>
      <c r="GLY234" s="15"/>
      <c r="GLZ234" s="16"/>
      <c r="GMA234" s="16"/>
      <c r="GMB234" s="16"/>
      <c r="GMC234" s="16"/>
      <c r="GMD234" s="16"/>
      <c r="GME234" s="15"/>
      <c r="GMF234" s="15"/>
      <c r="GMG234" s="10"/>
      <c r="GMH234" s="10"/>
      <c r="GMI234" s="19"/>
      <c r="GMJ234" s="19"/>
      <c r="GMM234" s="16"/>
      <c r="GMN234" s="15"/>
      <c r="GMO234" s="15"/>
      <c r="GMP234" s="15"/>
      <c r="GMQ234" s="16"/>
      <c r="GMR234" s="16"/>
      <c r="GMS234" s="16"/>
      <c r="GMT234" s="16"/>
      <c r="GMU234" s="16"/>
      <c r="GMV234" s="15"/>
      <c r="GMW234" s="15"/>
      <c r="GMX234" s="10"/>
      <c r="GMY234" s="10"/>
      <c r="GMZ234" s="19"/>
      <c r="GNA234" s="19"/>
      <c r="GND234" s="16"/>
      <c r="GNE234" s="15"/>
      <c r="GNF234" s="15"/>
      <c r="GNG234" s="15"/>
      <c r="GNH234" s="16"/>
      <c r="GNI234" s="16"/>
      <c r="GNJ234" s="16"/>
      <c r="GNK234" s="16"/>
      <c r="GNL234" s="16"/>
      <c r="GNM234" s="15"/>
      <c r="GNN234" s="15"/>
      <c r="GNO234" s="10"/>
      <c r="GNP234" s="10"/>
      <c r="GNQ234" s="19"/>
      <c r="GNR234" s="19"/>
      <c r="GNU234" s="16"/>
      <c r="GNV234" s="15"/>
      <c r="GNW234" s="15"/>
      <c r="GNX234" s="15"/>
      <c r="GNY234" s="16"/>
      <c r="GNZ234" s="16"/>
      <c r="GOA234" s="16"/>
      <c r="GOB234" s="16"/>
      <c r="GOC234" s="16"/>
      <c r="GOD234" s="15"/>
      <c r="GOE234" s="15"/>
      <c r="GOF234" s="10"/>
      <c r="GOG234" s="10"/>
      <c r="GOH234" s="19"/>
      <c r="GOI234" s="19"/>
      <c r="GOL234" s="16"/>
      <c r="GOM234" s="15"/>
      <c r="GON234" s="15"/>
      <c r="GOO234" s="15"/>
      <c r="GOP234" s="16"/>
      <c r="GOQ234" s="16"/>
      <c r="GOR234" s="16"/>
      <c r="GOS234" s="16"/>
      <c r="GOT234" s="16"/>
      <c r="GOU234" s="15"/>
      <c r="GOV234" s="15"/>
      <c r="GOW234" s="10"/>
      <c r="GOX234" s="10"/>
      <c r="GOY234" s="19"/>
      <c r="GOZ234" s="19"/>
      <c r="GPC234" s="16"/>
      <c r="GPD234" s="15"/>
      <c r="GPE234" s="15"/>
      <c r="GPF234" s="15"/>
      <c r="GPG234" s="16"/>
      <c r="GPH234" s="16"/>
      <c r="GPI234" s="16"/>
      <c r="GPJ234" s="16"/>
      <c r="GPK234" s="16"/>
      <c r="GPL234" s="15"/>
      <c r="GPM234" s="15"/>
      <c r="GPN234" s="10"/>
      <c r="GPO234" s="10"/>
      <c r="GPP234" s="19"/>
      <c r="GPQ234" s="19"/>
      <c r="GPT234" s="16"/>
      <c r="GPU234" s="15"/>
      <c r="GPV234" s="15"/>
      <c r="GPW234" s="15"/>
      <c r="GPX234" s="16"/>
      <c r="GPY234" s="16"/>
      <c r="GPZ234" s="16"/>
      <c r="GQA234" s="16"/>
      <c r="GQB234" s="16"/>
      <c r="GQC234" s="15"/>
      <c r="GQD234" s="15"/>
      <c r="GQE234" s="10"/>
      <c r="GQF234" s="10"/>
      <c r="GQG234" s="19"/>
      <c r="GQH234" s="19"/>
      <c r="GQK234" s="16"/>
      <c r="GQL234" s="15"/>
      <c r="GQM234" s="15"/>
      <c r="GQN234" s="15"/>
      <c r="GQO234" s="16"/>
      <c r="GQP234" s="16"/>
      <c r="GQQ234" s="16"/>
      <c r="GQR234" s="16"/>
      <c r="GQS234" s="16"/>
      <c r="GQT234" s="15"/>
      <c r="GQU234" s="15"/>
      <c r="GQV234" s="10"/>
      <c r="GQW234" s="10"/>
      <c r="GQX234" s="19"/>
      <c r="GQY234" s="19"/>
      <c r="GRB234" s="16"/>
      <c r="GRC234" s="15"/>
      <c r="GRD234" s="15"/>
      <c r="GRE234" s="15"/>
      <c r="GRF234" s="16"/>
      <c r="GRG234" s="16"/>
      <c r="GRH234" s="16"/>
      <c r="GRI234" s="16"/>
      <c r="GRJ234" s="16"/>
      <c r="GRK234" s="15"/>
      <c r="GRL234" s="15"/>
      <c r="GRM234" s="10"/>
      <c r="GRN234" s="10"/>
      <c r="GRO234" s="19"/>
      <c r="GRP234" s="19"/>
      <c r="GRS234" s="16"/>
      <c r="GRT234" s="15"/>
      <c r="GRU234" s="15"/>
      <c r="GRV234" s="15"/>
      <c r="GRW234" s="16"/>
      <c r="GRX234" s="16"/>
      <c r="GRY234" s="16"/>
      <c r="GRZ234" s="16"/>
      <c r="GSA234" s="16"/>
      <c r="GSB234" s="15"/>
      <c r="GSC234" s="15"/>
      <c r="GSD234" s="10"/>
      <c r="GSE234" s="10"/>
      <c r="GSF234" s="19"/>
      <c r="GSG234" s="19"/>
      <c r="GSJ234" s="16"/>
      <c r="GSK234" s="15"/>
      <c r="GSL234" s="15"/>
      <c r="GSM234" s="15"/>
      <c r="GSN234" s="16"/>
      <c r="GSO234" s="16"/>
      <c r="GSP234" s="16"/>
      <c r="GSQ234" s="16"/>
      <c r="GSR234" s="16"/>
      <c r="GSS234" s="15"/>
      <c r="GST234" s="15"/>
      <c r="GSU234" s="10"/>
      <c r="GSV234" s="10"/>
      <c r="GSW234" s="19"/>
      <c r="GSX234" s="19"/>
      <c r="GTA234" s="16"/>
      <c r="GTB234" s="15"/>
      <c r="GTC234" s="15"/>
      <c r="GTD234" s="15"/>
      <c r="GTE234" s="16"/>
      <c r="GTF234" s="16"/>
      <c r="GTG234" s="16"/>
      <c r="GTH234" s="16"/>
      <c r="GTI234" s="16"/>
      <c r="GTJ234" s="15"/>
      <c r="GTK234" s="15"/>
      <c r="GTL234" s="10"/>
      <c r="GTM234" s="10"/>
      <c r="GTN234" s="19"/>
      <c r="GTO234" s="19"/>
      <c r="GTR234" s="16"/>
      <c r="GTS234" s="15"/>
      <c r="GTT234" s="15"/>
      <c r="GTU234" s="15"/>
      <c r="GTV234" s="16"/>
      <c r="GTW234" s="16"/>
      <c r="GTX234" s="16"/>
      <c r="GTY234" s="16"/>
      <c r="GTZ234" s="16"/>
      <c r="GUA234" s="15"/>
      <c r="GUB234" s="15"/>
      <c r="GUC234" s="10"/>
      <c r="GUD234" s="10"/>
      <c r="GUE234" s="19"/>
      <c r="GUF234" s="19"/>
      <c r="GUI234" s="16"/>
      <c r="GUJ234" s="15"/>
      <c r="GUK234" s="15"/>
      <c r="GUL234" s="15"/>
      <c r="GUM234" s="16"/>
      <c r="GUN234" s="16"/>
      <c r="GUO234" s="16"/>
      <c r="GUP234" s="16"/>
      <c r="GUQ234" s="16"/>
      <c r="GUR234" s="15"/>
      <c r="GUS234" s="15"/>
      <c r="GUT234" s="10"/>
      <c r="GUU234" s="10"/>
      <c r="GUV234" s="19"/>
      <c r="GUW234" s="19"/>
      <c r="GUZ234" s="16"/>
      <c r="GVA234" s="15"/>
      <c r="GVB234" s="15"/>
      <c r="GVC234" s="15"/>
      <c r="GVD234" s="16"/>
      <c r="GVE234" s="16"/>
      <c r="GVF234" s="16"/>
      <c r="GVG234" s="16"/>
      <c r="GVH234" s="16"/>
      <c r="GVI234" s="15"/>
      <c r="GVJ234" s="15"/>
      <c r="GVK234" s="10"/>
      <c r="GVL234" s="10"/>
      <c r="GVM234" s="19"/>
      <c r="GVN234" s="19"/>
      <c r="GVQ234" s="16"/>
      <c r="GVR234" s="15"/>
      <c r="GVS234" s="15"/>
      <c r="GVT234" s="15"/>
      <c r="GVU234" s="16"/>
      <c r="GVV234" s="16"/>
      <c r="GVW234" s="16"/>
      <c r="GVX234" s="16"/>
      <c r="GVY234" s="16"/>
      <c r="GVZ234" s="15"/>
      <c r="GWA234" s="15"/>
      <c r="GWB234" s="10"/>
      <c r="GWC234" s="10"/>
      <c r="GWD234" s="19"/>
      <c r="GWE234" s="19"/>
      <c r="GWH234" s="16"/>
      <c r="GWI234" s="15"/>
      <c r="GWJ234" s="15"/>
      <c r="GWK234" s="15"/>
      <c r="GWL234" s="16"/>
      <c r="GWM234" s="16"/>
      <c r="GWN234" s="16"/>
      <c r="GWO234" s="16"/>
      <c r="GWP234" s="16"/>
      <c r="GWQ234" s="15"/>
      <c r="GWR234" s="15"/>
      <c r="GWS234" s="10"/>
      <c r="GWT234" s="10"/>
      <c r="GWU234" s="19"/>
      <c r="GWV234" s="19"/>
      <c r="GWY234" s="16"/>
      <c r="GWZ234" s="15"/>
      <c r="GXA234" s="15"/>
      <c r="GXB234" s="15"/>
      <c r="GXC234" s="16"/>
      <c r="GXD234" s="16"/>
      <c r="GXE234" s="16"/>
      <c r="GXF234" s="16"/>
      <c r="GXG234" s="16"/>
      <c r="GXH234" s="15"/>
      <c r="GXI234" s="15"/>
      <c r="GXJ234" s="10"/>
      <c r="GXK234" s="10"/>
      <c r="GXL234" s="19"/>
      <c r="GXM234" s="19"/>
      <c r="GXP234" s="16"/>
      <c r="GXQ234" s="15"/>
      <c r="GXR234" s="15"/>
      <c r="GXS234" s="15"/>
      <c r="GXT234" s="16"/>
      <c r="GXU234" s="16"/>
      <c r="GXV234" s="16"/>
      <c r="GXW234" s="16"/>
      <c r="GXX234" s="16"/>
      <c r="GXY234" s="15"/>
      <c r="GXZ234" s="15"/>
      <c r="GYA234" s="10"/>
      <c r="GYB234" s="10"/>
      <c r="GYC234" s="19"/>
      <c r="GYD234" s="19"/>
      <c r="GYG234" s="16"/>
      <c r="GYH234" s="15"/>
      <c r="GYI234" s="15"/>
      <c r="GYJ234" s="15"/>
      <c r="GYK234" s="16"/>
      <c r="GYL234" s="16"/>
      <c r="GYM234" s="16"/>
      <c r="GYN234" s="16"/>
      <c r="GYO234" s="16"/>
      <c r="GYP234" s="15"/>
      <c r="GYQ234" s="15"/>
      <c r="GYR234" s="10"/>
      <c r="GYS234" s="10"/>
      <c r="GYT234" s="19"/>
      <c r="GYU234" s="19"/>
      <c r="GYX234" s="16"/>
      <c r="GYY234" s="15"/>
      <c r="GYZ234" s="15"/>
      <c r="GZA234" s="15"/>
      <c r="GZB234" s="16"/>
      <c r="GZC234" s="16"/>
      <c r="GZD234" s="16"/>
      <c r="GZE234" s="16"/>
      <c r="GZF234" s="16"/>
      <c r="GZG234" s="15"/>
      <c r="GZH234" s="15"/>
      <c r="GZI234" s="10"/>
      <c r="GZJ234" s="10"/>
      <c r="GZK234" s="19"/>
      <c r="GZL234" s="19"/>
      <c r="GZO234" s="16"/>
      <c r="GZP234" s="15"/>
      <c r="GZQ234" s="15"/>
      <c r="GZR234" s="15"/>
      <c r="GZS234" s="16"/>
      <c r="GZT234" s="16"/>
      <c r="GZU234" s="16"/>
      <c r="GZV234" s="16"/>
      <c r="GZW234" s="16"/>
      <c r="GZX234" s="15"/>
      <c r="GZY234" s="15"/>
      <c r="GZZ234" s="10"/>
      <c r="HAA234" s="10"/>
      <c r="HAB234" s="19"/>
      <c r="HAC234" s="19"/>
      <c r="HAF234" s="16"/>
      <c r="HAG234" s="15"/>
      <c r="HAH234" s="15"/>
      <c r="HAI234" s="15"/>
      <c r="HAJ234" s="16"/>
      <c r="HAK234" s="16"/>
      <c r="HAL234" s="16"/>
      <c r="HAM234" s="16"/>
      <c r="HAN234" s="16"/>
      <c r="HAO234" s="15"/>
      <c r="HAP234" s="15"/>
      <c r="HAQ234" s="10"/>
      <c r="HAR234" s="10"/>
      <c r="HAS234" s="19"/>
      <c r="HAT234" s="19"/>
      <c r="HAW234" s="16"/>
      <c r="HAX234" s="15"/>
      <c r="HAY234" s="15"/>
      <c r="HAZ234" s="15"/>
      <c r="HBA234" s="16"/>
      <c r="HBB234" s="16"/>
      <c r="HBC234" s="16"/>
      <c r="HBD234" s="16"/>
      <c r="HBE234" s="16"/>
      <c r="HBF234" s="15"/>
      <c r="HBG234" s="15"/>
      <c r="HBH234" s="10"/>
      <c r="HBI234" s="10"/>
      <c r="HBJ234" s="19"/>
      <c r="HBK234" s="19"/>
      <c r="HBN234" s="16"/>
      <c r="HBO234" s="15"/>
      <c r="HBP234" s="15"/>
      <c r="HBQ234" s="15"/>
      <c r="HBR234" s="16"/>
      <c r="HBS234" s="16"/>
      <c r="HBT234" s="16"/>
      <c r="HBU234" s="16"/>
      <c r="HBV234" s="16"/>
      <c r="HBW234" s="15"/>
      <c r="HBX234" s="15"/>
      <c r="HBY234" s="10"/>
      <c r="HBZ234" s="10"/>
      <c r="HCA234" s="19"/>
      <c r="HCB234" s="19"/>
      <c r="HCE234" s="16"/>
      <c r="HCF234" s="15"/>
      <c r="HCG234" s="15"/>
      <c r="HCH234" s="15"/>
      <c r="HCI234" s="16"/>
      <c r="HCJ234" s="16"/>
      <c r="HCK234" s="16"/>
      <c r="HCL234" s="16"/>
      <c r="HCM234" s="16"/>
      <c r="HCN234" s="15"/>
      <c r="HCO234" s="15"/>
      <c r="HCP234" s="10"/>
      <c r="HCQ234" s="10"/>
      <c r="HCR234" s="19"/>
      <c r="HCS234" s="19"/>
      <c r="HCV234" s="16"/>
      <c r="HCW234" s="15"/>
      <c r="HCX234" s="15"/>
      <c r="HCY234" s="15"/>
      <c r="HCZ234" s="16"/>
      <c r="HDA234" s="16"/>
      <c r="HDB234" s="16"/>
      <c r="HDC234" s="16"/>
      <c r="HDD234" s="16"/>
      <c r="HDE234" s="15"/>
      <c r="HDF234" s="15"/>
      <c r="HDG234" s="10"/>
      <c r="HDH234" s="10"/>
      <c r="HDI234" s="19"/>
      <c r="HDJ234" s="19"/>
      <c r="HDM234" s="16"/>
      <c r="HDN234" s="15"/>
      <c r="HDO234" s="15"/>
      <c r="HDP234" s="15"/>
      <c r="HDQ234" s="16"/>
      <c r="HDR234" s="16"/>
      <c r="HDS234" s="16"/>
      <c r="HDT234" s="16"/>
      <c r="HDU234" s="16"/>
      <c r="HDV234" s="15"/>
      <c r="HDW234" s="15"/>
      <c r="HDX234" s="10"/>
      <c r="HDY234" s="10"/>
      <c r="HDZ234" s="19"/>
      <c r="HEA234" s="19"/>
      <c r="HED234" s="16"/>
      <c r="HEE234" s="15"/>
      <c r="HEF234" s="15"/>
      <c r="HEG234" s="15"/>
      <c r="HEH234" s="16"/>
      <c r="HEI234" s="16"/>
      <c r="HEJ234" s="16"/>
      <c r="HEK234" s="16"/>
      <c r="HEL234" s="16"/>
      <c r="HEM234" s="15"/>
      <c r="HEN234" s="15"/>
      <c r="HEO234" s="10"/>
      <c r="HEP234" s="10"/>
      <c r="HEQ234" s="19"/>
      <c r="HER234" s="19"/>
      <c r="HEU234" s="16"/>
      <c r="HEV234" s="15"/>
      <c r="HEW234" s="15"/>
      <c r="HEX234" s="15"/>
      <c r="HEY234" s="16"/>
      <c r="HEZ234" s="16"/>
      <c r="HFA234" s="16"/>
      <c r="HFB234" s="16"/>
      <c r="HFC234" s="16"/>
      <c r="HFD234" s="15"/>
      <c r="HFE234" s="15"/>
      <c r="HFF234" s="10"/>
      <c r="HFG234" s="10"/>
      <c r="HFH234" s="19"/>
      <c r="HFI234" s="19"/>
      <c r="HFL234" s="16"/>
      <c r="HFM234" s="15"/>
      <c r="HFN234" s="15"/>
      <c r="HFO234" s="15"/>
      <c r="HFP234" s="16"/>
      <c r="HFQ234" s="16"/>
      <c r="HFR234" s="16"/>
      <c r="HFS234" s="16"/>
      <c r="HFT234" s="16"/>
      <c r="HFU234" s="15"/>
      <c r="HFV234" s="15"/>
      <c r="HFW234" s="10"/>
      <c r="HFX234" s="10"/>
      <c r="HFY234" s="19"/>
      <c r="HFZ234" s="19"/>
      <c r="HGC234" s="16"/>
      <c r="HGD234" s="15"/>
      <c r="HGE234" s="15"/>
      <c r="HGF234" s="15"/>
      <c r="HGG234" s="16"/>
      <c r="HGH234" s="16"/>
      <c r="HGI234" s="16"/>
      <c r="HGJ234" s="16"/>
      <c r="HGK234" s="16"/>
      <c r="HGL234" s="15"/>
      <c r="HGM234" s="15"/>
      <c r="HGN234" s="10"/>
      <c r="HGO234" s="10"/>
      <c r="HGP234" s="19"/>
      <c r="HGQ234" s="19"/>
      <c r="HGT234" s="16"/>
      <c r="HGU234" s="15"/>
      <c r="HGV234" s="15"/>
      <c r="HGW234" s="15"/>
      <c r="HGX234" s="16"/>
      <c r="HGY234" s="16"/>
      <c r="HGZ234" s="16"/>
      <c r="HHA234" s="16"/>
      <c r="HHB234" s="16"/>
      <c r="HHC234" s="15"/>
      <c r="HHD234" s="15"/>
      <c r="HHE234" s="10"/>
      <c r="HHF234" s="10"/>
      <c r="HHG234" s="19"/>
      <c r="HHH234" s="19"/>
      <c r="HHK234" s="16"/>
      <c r="HHL234" s="15"/>
      <c r="HHM234" s="15"/>
      <c r="HHN234" s="15"/>
      <c r="HHO234" s="16"/>
      <c r="HHP234" s="16"/>
      <c r="HHQ234" s="16"/>
      <c r="HHR234" s="16"/>
      <c r="HHS234" s="16"/>
      <c r="HHT234" s="15"/>
      <c r="HHU234" s="15"/>
      <c r="HHV234" s="10"/>
      <c r="HHW234" s="10"/>
      <c r="HHX234" s="19"/>
      <c r="HHY234" s="19"/>
      <c r="HIB234" s="16"/>
      <c r="HIC234" s="15"/>
      <c r="HID234" s="15"/>
      <c r="HIE234" s="15"/>
      <c r="HIF234" s="16"/>
      <c r="HIG234" s="16"/>
      <c r="HIH234" s="16"/>
      <c r="HII234" s="16"/>
      <c r="HIJ234" s="16"/>
      <c r="HIK234" s="15"/>
      <c r="HIL234" s="15"/>
      <c r="HIM234" s="10"/>
      <c r="HIN234" s="10"/>
      <c r="HIO234" s="19"/>
      <c r="HIP234" s="19"/>
      <c r="HIS234" s="16"/>
      <c r="HIT234" s="15"/>
      <c r="HIU234" s="15"/>
      <c r="HIV234" s="15"/>
      <c r="HIW234" s="16"/>
      <c r="HIX234" s="16"/>
      <c r="HIY234" s="16"/>
      <c r="HIZ234" s="16"/>
      <c r="HJA234" s="16"/>
      <c r="HJB234" s="15"/>
      <c r="HJC234" s="15"/>
      <c r="HJD234" s="10"/>
      <c r="HJE234" s="10"/>
      <c r="HJF234" s="19"/>
      <c r="HJG234" s="19"/>
      <c r="HJJ234" s="16"/>
      <c r="HJK234" s="15"/>
      <c r="HJL234" s="15"/>
      <c r="HJM234" s="15"/>
      <c r="HJN234" s="16"/>
      <c r="HJO234" s="16"/>
      <c r="HJP234" s="16"/>
      <c r="HJQ234" s="16"/>
      <c r="HJR234" s="16"/>
      <c r="HJS234" s="15"/>
      <c r="HJT234" s="15"/>
      <c r="HJU234" s="10"/>
      <c r="HJV234" s="10"/>
      <c r="HJW234" s="19"/>
      <c r="HJX234" s="19"/>
      <c r="HKA234" s="16"/>
      <c r="HKB234" s="15"/>
      <c r="HKC234" s="15"/>
      <c r="HKD234" s="15"/>
      <c r="HKE234" s="16"/>
      <c r="HKF234" s="16"/>
      <c r="HKG234" s="16"/>
      <c r="HKH234" s="16"/>
      <c r="HKI234" s="16"/>
      <c r="HKJ234" s="15"/>
      <c r="HKK234" s="15"/>
      <c r="HKL234" s="10"/>
      <c r="HKM234" s="10"/>
      <c r="HKN234" s="19"/>
      <c r="HKO234" s="19"/>
      <c r="HKR234" s="16"/>
      <c r="HKS234" s="15"/>
      <c r="HKT234" s="15"/>
      <c r="HKU234" s="15"/>
      <c r="HKV234" s="16"/>
      <c r="HKW234" s="16"/>
      <c r="HKX234" s="16"/>
      <c r="HKY234" s="16"/>
      <c r="HKZ234" s="16"/>
      <c r="HLA234" s="15"/>
      <c r="HLB234" s="15"/>
      <c r="HLC234" s="10"/>
      <c r="HLD234" s="10"/>
      <c r="HLE234" s="19"/>
      <c r="HLF234" s="19"/>
      <c r="HLI234" s="16"/>
      <c r="HLJ234" s="15"/>
      <c r="HLK234" s="15"/>
      <c r="HLL234" s="15"/>
      <c r="HLM234" s="16"/>
      <c r="HLN234" s="16"/>
      <c r="HLO234" s="16"/>
      <c r="HLP234" s="16"/>
      <c r="HLQ234" s="16"/>
      <c r="HLR234" s="15"/>
      <c r="HLS234" s="15"/>
      <c r="HLT234" s="10"/>
      <c r="HLU234" s="10"/>
      <c r="HLV234" s="19"/>
      <c r="HLW234" s="19"/>
      <c r="HLZ234" s="16"/>
      <c r="HMA234" s="15"/>
      <c r="HMB234" s="15"/>
      <c r="HMC234" s="15"/>
      <c r="HMD234" s="16"/>
      <c r="HME234" s="16"/>
      <c r="HMF234" s="16"/>
      <c r="HMG234" s="16"/>
      <c r="HMH234" s="16"/>
      <c r="HMI234" s="15"/>
      <c r="HMJ234" s="15"/>
      <c r="HMK234" s="10"/>
      <c r="HML234" s="10"/>
      <c r="HMM234" s="19"/>
      <c r="HMN234" s="19"/>
      <c r="HMQ234" s="16"/>
      <c r="HMR234" s="15"/>
      <c r="HMS234" s="15"/>
      <c r="HMT234" s="15"/>
      <c r="HMU234" s="16"/>
      <c r="HMV234" s="16"/>
      <c r="HMW234" s="16"/>
      <c r="HMX234" s="16"/>
      <c r="HMY234" s="16"/>
      <c r="HMZ234" s="15"/>
      <c r="HNA234" s="15"/>
      <c r="HNB234" s="10"/>
      <c r="HNC234" s="10"/>
      <c r="HND234" s="19"/>
      <c r="HNE234" s="19"/>
      <c r="HNH234" s="16"/>
      <c r="HNI234" s="15"/>
      <c r="HNJ234" s="15"/>
      <c r="HNK234" s="15"/>
      <c r="HNL234" s="16"/>
      <c r="HNM234" s="16"/>
      <c r="HNN234" s="16"/>
      <c r="HNO234" s="16"/>
      <c r="HNP234" s="16"/>
      <c r="HNQ234" s="15"/>
      <c r="HNR234" s="15"/>
      <c r="HNS234" s="10"/>
      <c r="HNT234" s="10"/>
      <c r="HNU234" s="19"/>
      <c r="HNV234" s="19"/>
      <c r="HNY234" s="16"/>
      <c r="HNZ234" s="15"/>
      <c r="HOA234" s="15"/>
      <c r="HOB234" s="15"/>
      <c r="HOC234" s="16"/>
      <c r="HOD234" s="16"/>
      <c r="HOE234" s="16"/>
      <c r="HOF234" s="16"/>
      <c r="HOG234" s="16"/>
      <c r="HOH234" s="15"/>
      <c r="HOI234" s="15"/>
      <c r="HOJ234" s="10"/>
      <c r="HOK234" s="10"/>
      <c r="HOL234" s="19"/>
      <c r="HOM234" s="19"/>
      <c r="HOP234" s="16"/>
      <c r="HOQ234" s="15"/>
      <c r="HOR234" s="15"/>
      <c r="HOS234" s="15"/>
      <c r="HOT234" s="16"/>
      <c r="HOU234" s="16"/>
      <c r="HOV234" s="16"/>
      <c r="HOW234" s="16"/>
      <c r="HOX234" s="16"/>
      <c r="HOY234" s="15"/>
      <c r="HOZ234" s="15"/>
      <c r="HPA234" s="10"/>
      <c r="HPB234" s="10"/>
      <c r="HPC234" s="19"/>
      <c r="HPD234" s="19"/>
      <c r="HPG234" s="16"/>
      <c r="HPH234" s="15"/>
      <c r="HPI234" s="15"/>
      <c r="HPJ234" s="15"/>
      <c r="HPK234" s="16"/>
      <c r="HPL234" s="16"/>
      <c r="HPM234" s="16"/>
      <c r="HPN234" s="16"/>
      <c r="HPO234" s="16"/>
      <c r="HPP234" s="15"/>
      <c r="HPQ234" s="15"/>
      <c r="HPR234" s="10"/>
      <c r="HPS234" s="10"/>
      <c r="HPT234" s="19"/>
      <c r="HPU234" s="19"/>
      <c r="HPX234" s="16"/>
      <c r="HPY234" s="15"/>
      <c r="HPZ234" s="15"/>
      <c r="HQA234" s="15"/>
      <c r="HQB234" s="16"/>
      <c r="HQC234" s="16"/>
      <c r="HQD234" s="16"/>
      <c r="HQE234" s="16"/>
      <c r="HQF234" s="16"/>
      <c r="HQG234" s="15"/>
      <c r="HQH234" s="15"/>
      <c r="HQI234" s="10"/>
      <c r="HQJ234" s="10"/>
      <c r="HQK234" s="19"/>
      <c r="HQL234" s="19"/>
      <c r="HQO234" s="16"/>
      <c r="HQP234" s="15"/>
      <c r="HQQ234" s="15"/>
      <c r="HQR234" s="15"/>
      <c r="HQS234" s="16"/>
      <c r="HQT234" s="16"/>
      <c r="HQU234" s="16"/>
      <c r="HQV234" s="16"/>
      <c r="HQW234" s="16"/>
      <c r="HQX234" s="15"/>
      <c r="HQY234" s="15"/>
      <c r="HQZ234" s="10"/>
      <c r="HRA234" s="10"/>
      <c r="HRB234" s="19"/>
      <c r="HRC234" s="19"/>
      <c r="HRF234" s="16"/>
      <c r="HRG234" s="15"/>
      <c r="HRH234" s="15"/>
      <c r="HRI234" s="15"/>
      <c r="HRJ234" s="16"/>
      <c r="HRK234" s="16"/>
      <c r="HRL234" s="16"/>
      <c r="HRM234" s="16"/>
      <c r="HRN234" s="16"/>
      <c r="HRO234" s="15"/>
      <c r="HRP234" s="15"/>
      <c r="HRQ234" s="10"/>
      <c r="HRR234" s="10"/>
      <c r="HRS234" s="19"/>
      <c r="HRT234" s="19"/>
      <c r="HRW234" s="16"/>
      <c r="HRX234" s="15"/>
      <c r="HRY234" s="15"/>
      <c r="HRZ234" s="15"/>
      <c r="HSA234" s="16"/>
      <c r="HSB234" s="16"/>
      <c r="HSC234" s="16"/>
      <c r="HSD234" s="16"/>
      <c r="HSE234" s="16"/>
      <c r="HSF234" s="15"/>
      <c r="HSG234" s="15"/>
      <c r="HSH234" s="10"/>
      <c r="HSI234" s="10"/>
      <c r="HSJ234" s="19"/>
      <c r="HSK234" s="19"/>
      <c r="HSN234" s="16"/>
      <c r="HSO234" s="15"/>
      <c r="HSP234" s="15"/>
      <c r="HSQ234" s="15"/>
      <c r="HSR234" s="16"/>
      <c r="HSS234" s="16"/>
      <c r="HST234" s="16"/>
      <c r="HSU234" s="16"/>
      <c r="HSV234" s="16"/>
      <c r="HSW234" s="15"/>
      <c r="HSX234" s="15"/>
      <c r="HSY234" s="10"/>
      <c r="HSZ234" s="10"/>
      <c r="HTA234" s="19"/>
      <c r="HTB234" s="19"/>
      <c r="HTE234" s="16"/>
      <c r="HTF234" s="15"/>
      <c r="HTG234" s="15"/>
      <c r="HTH234" s="15"/>
      <c r="HTI234" s="16"/>
      <c r="HTJ234" s="16"/>
      <c r="HTK234" s="16"/>
      <c r="HTL234" s="16"/>
      <c r="HTM234" s="16"/>
      <c r="HTN234" s="15"/>
      <c r="HTO234" s="15"/>
      <c r="HTP234" s="10"/>
      <c r="HTQ234" s="10"/>
      <c r="HTR234" s="19"/>
      <c r="HTS234" s="19"/>
      <c r="HTV234" s="16"/>
      <c r="HTW234" s="15"/>
      <c r="HTX234" s="15"/>
      <c r="HTY234" s="15"/>
      <c r="HTZ234" s="16"/>
      <c r="HUA234" s="16"/>
      <c r="HUB234" s="16"/>
      <c r="HUC234" s="16"/>
      <c r="HUD234" s="16"/>
      <c r="HUE234" s="15"/>
      <c r="HUF234" s="15"/>
      <c r="HUG234" s="10"/>
      <c r="HUH234" s="10"/>
      <c r="HUI234" s="19"/>
      <c r="HUJ234" s="19"/>
      <c r="HUM234" s="16"/>
      <c r="HUN234" s="15"/>
      <c r="HUO234" s="15"/>
      <c r="HUP234" s="15"/>
      <c r="HUQ234" s="16"/>
      <c r="HUR234" s="16"/>
      <c r="HUS234" s="16"/>
      <c r="HUT234" s="16"/>
      <c r="HUU234" s="16"/>
      <c r="HUV234" s="15"/>
      <c r="HUW234" s="15"/>
      <c r="HUX234" s="10"/>
      <c r="HUY234" s="10"/>
      <c r="HUZ234" s="19"/>
      <c r="HVA234" s="19"/>
      <c r="HVD234" s="16"/>
      <c r="HVE234" s="15"/>
      <c r="HVF234" s="15"/>
      <c r="HVG234" s="15"/>
      <c r="HVH234" s="16"/>
      <c r="HVI234" s="16"/>
      <c r="HVJ234" s="16"/>
      <c r="HVK234" s="16"/>
      <c r="HVL234" s="16"/>
      <c r="HVM234" s="15"/>
      <c r="HVN234" s="15"/>
      <c r="HVO234" s="10"/>
      <c r="HVP234" s="10"/>
      <c r="HVQ234" s="19"/>
      <c r="HVR234" s="19"/>
      <c r="HVU234" s="16"/>
      <c r="HVV234" s="15"/>
      <c r="HVW234" s="15"/>
      <c r="HVX234" s="15"/>
      <c r="HVY234" s="16"/>
      <c r="HVZ234" s="16"/>
      <c r="HWA234" s="16"/>
      <c r="HWB234" s="16"/>
      <c r="HWC234" s="16"/>
      <c r="HWD234" s="15"/>
      <c r="HWE234" s="15"/>
      <c r="HWF234" s="10"/>
      <c r="HWG234" s="10"/>
      <c r="HWH234" s="19"/>
      <c r="HWI234" s="19"/>
      <c r="HWL234" s="16"/>
      <c r="HWM234" s="15"/>
      <c r="HWN234" s="15"/>
      <c r="HWO234" s="15"/>
      <c r="HWP234" s="16"/>
      <c r="HWQ234" s="16"/>
      <c r="HWR234" s="16"/>
      <c r="HWS234" s="16"/>
      <c r="HWT234" s="16"/>
      <c r="HWU234" s="15"/>
      <c r="HWV234" s="15"/>
      <c r="HWW234" s="10"/>
      <c r="HWX234" s="10"/>
      <c r="HWY234" s="19"/>
      <c r="HWZ234" s="19"/>
      <c r="HXC234" s="16"/>
      <c r="HXD234" s="15"/>
      <c r="HXE234" s="15"/>
      <c r="HXF234" s="15"/>
      <c r="HXG234" s="16"/>
      <c r="HXH234" s="16"/>
      <c r="HXI234" s="16"/>
      <c r="HXJ234" s="16"/>
      <c r="HXK234" s="16"/>
      <c r="HXL234" s="15"/>
      <c r="HXM234" s="15"/>
      <c r="HXN234" s="10"/>
      <c r="HXO234" s="10"/>
      <c r="HXP234" s="19"/>
      <c r="HXQ234" s="19"/>
      <c r="HXT234" s="16"/>
      <c r="HXU234" s="15"/>
      <c r="HXV234" s="15"/>
      <c r="HXW234" s="15"/>
      <c r="HXX234" s="16"/>
      <c r="HXY234" s="16"/>
      <c r="HXZ234" s="16"/>
      <c r="HYA234" s="16"/>
      <c r="HYB234" s="16"/>
      <c r="HYC234" s="15"/>
      <c r="HYD234" s="15"/>
      <c r="HYE234" s="10"/>
      <c r="HYF234" s="10"/>
      <c r="HYG234" s="19"/>
      <c r="HYH234" s="19"/>
      <c r="HYK234" s="16"/>
      <c r="HYL234" s="15"/>
      <c r="HYM234" s="15"/>
      <c r="HYN234" s="15"/>
      <c r="HYO234" s="16"/>
      <c r="HYP234" s="16"/>
      <c r="HYQ234" s="16"/>
      <c r="HYR234" s="16"/>
      <c r="HYS234" s="16"/>
      <c r="HYT234" s="15"/>
      <c r="HYU234" s="15"/>
      <c r="HYV234" s="10"/>
      <c r="HYW234" s="10"/>
      <c r="HYX234" s="19"/>
      <c r="HYY234" s="19"/>
      <c r="HZB234" s="16"/>
      <c r="HZC234" s="15"/>
      <c r="HZD234" s="15"/>
      <c r="HZE234" s="15"/>
      <c r="HZF234" s="16"/>
      <c r="HZG234" s="16"/>
      <c r="HZH234" s="16"/>
      <c r="HZI234" s="16"/>
      <c r="HZJ234" s="16"/>
      <c r="HZK234" s="15"/>
      <c r="HZL234" s="15"/>
      <c r="HZM234" s="10"/>
      <c r="HZN234" s="10"/>
      <c r="HZO234" s="19"/>
      <c r="HZP234" s="19"/>
      <c r="HZS234" s="16"/>
      <c r="HZT234" s="15"/>
      <c r="HZU234" s="15"/>
      <c r="HZV234" s="15"/>
      <c r="HZW234" s="16"/>
      <c r="HZX234" s="16"/>
      <c r="HZY234" s="16"/>
      <c r="HZZ234" s="16"/>
      <c r="IAA234" s="16"/>
      <c r="IAB234" s="15"/>
      <c r="IAC234" s="15"/>
      <c r="IAD234" s="10"/>
      <c r="IAE234" s="10"/>
      <c r="IAF234" s="19"/>
      <c r="IAG234" s="19"/>
      <c r="IAJ234" s="16"/>
      <c r="IAK234" s="15"/>
      <c r="IAL234" s="15"/>
      <c r="IAM234" s="15"/>
      <c r="IAN234" s="16"/>
      <c r="IAO234" s="16"/>
      <c r="IAP234" s="16"/>
      <c r="IAQ234" s="16"/>
      <c r="IAR234" s="16"/>
      <c r="IAS234" s="15"/>
      <c r="IAT234" s="15"/>
      <c r="IAU234" s="10"/>
      <c r="IAV234" s="10"/>
      <c r="IAW234" s="19"/>
      <c r="IAX234" s="19"/>
      <c r="IBA234" s="16"/>
      <c r="IBB234" s="15"/>
      <c r="IBC234" s="15"/>
      <c r="IBD234" s="15"/>
      <c r="IBE234" s="16"/>
      <c r="IBF234" s="16"/>
      <c r="IBG234" s="16"/>
      <c r="IBH234" s="16"/>
      <c r="IBI234" s="16"/>
      <c r="IBJ234" s="15"/>
      <c r="IBK234" s="15"/>
      <c r="IBL234" s="10"/>
      <c r="IBM234" s="10"/>
      <c r="IBN234" s="19"/>
      <c r="IBO234" s="19"/>
      <c r="IBR234" s="16"/>
      <c r="IBS234" s="15"/>
      <c r="IBT234" s="15"/>
      <c r="IBU234" s="15"/>
      <c r="IBV234" s="16"/>
      <c r="IBW234" s="16"/>
      <c r="IBX234" s="16"/>
      <c r="IBY234" s="16"/>
      <c r="IBZ234" s="16"/>
      <c r="ICA234" s="15"/>
      <c r="ICB234" s="15"/>
      <c r="ICC234" s="10"/>
      <c r="ICD234" s="10"/>
      <c r="ICE234" s="19"/>
      <c r="ICF234" s="19"/>
      <c r="ICI234" s="16"/>
      <c r="ICJ234" s="15"/>
      <c r="ICK234" s="15"/>
      <c r="ICL234" s="15"/>
      <c r="ICM234" s="16"/>
      <c r="ICN234" s="16"/>
      <c r="ICO234" s="16"/>
      <c r="ICP234" s="16"/>
      <c r="ICQ234" s="16"/>
      <c r="ICR234" s="15"/>
      <c r="ICS234" s="15"/>
      <c r="ICT234" s="10"/>
      <c r="ICU234" s="10"/>
      <c r="ICV234" s="19"/>
      <c r="ICW234" s="19"/>
      <c r="ICZ234" s="16"/>
      <c r="IDA234" s="15"/>
      <c r="IDB234" s="15"/>
      <c r="IDC234" s="15"/>
      <c r="IDD234" s="16"/>
      <c r="IDE234" s="16"/>
      <c r="IDF234" s="16"/>
      <c r="IDG234" s="16"/>
      <c r="IDH234" s="16"/>
      <c r="IDI234" s="15"/>
      <c r="IDJ234" s="15"/>
      <c r="IDK234" s="10"/>
      <c r="IDL234" s="10"/>
      <c r="IDM234" s="19"/>
      <c r="IDN234" s="19"/>
      <c r="IDQ234" s="16"/>
      <c r="IDR234" s="15"/>
      <c r="IDS234" s="15"/>
      <c r="IDT234" s="15"/>
      <c r="IDU234" s="16"/>
      <c r="IDV234" s="16"/>
      <c r="IDW234" s="16"/>
      <c r="IDX234" s="16"/>
      <c r="IDY234" s="16"/>
      <c r="IDZ234" s="15"/>
      <c r="IEA234" s="15"/>
      <c r="IEB234" s="10"/>
      <c r="IEC234" s="10"/>
      <c r="IED234" s="19"/>
      <c r="IEE234" s="19"/>
      <c r="IEH234" s="16"/>
      <c r="IEI234" s="15"/>
      <c r="IEJ234" s="15"/>
      <c r="IEK234" s="15"/>
      <c r="IEL234" s="16"/>
      <c r="IEM234" s="16"/>
      <c r="IEN234" s="16"/>
      <c r="IEO234" s="16"/>
      <c r="IEP234" s="16"/>
      <c r="IEQ234" s="15"/>
      <c r="IER234" s="15"/>
      <c r="IES234" s="10"/>
      <c r="IET234" s="10"/>
      <c r="IEU234" s="19"/>
      <c r="IEV234" s="19"/>
      <c r="IEY234" s="16"/>
      <c r="IEZ234" s="15"/>
      <c r="IFA234" s="15"/>
      <c r="IFB234" s="15"/>
      <c r="IFC234" s="16"/>
      <c r="IFD234" s="16"/>
      <c r="IFE234" s="16"/>
      <c r="IFF234" s="16"/>
      <c r="IFG234" s="16"/>
      <c r="IFH234" s="15"/>
      <c r="IFI234" s="15"/>
      <c r="IFJ234" s="10"/>
      <c r="IFK234" s="10"/>
      <c r="IFL234" s="19"/>
      <c r="IFM234" s="19"/>
      <c r="IFP234" s="16"/>
      <c r="IFQ234" s="15"/>
      <c r="IFR234" s="15"/>
      <c r="IFS234" s="15"/>
      <c r="IFT234" s="16"/>
      <c r="IFU234" s="16"/>
      <c r="IFV234" s="16"/>
      <c r="IFW234" s="16"/>
      <c r="IFX234" s="16"/>
      <c r="IFY234" s="15"/>
      <c r="IFZ234" s="15"/>
      <c r="IGA234" s="10"/>
      <c r="IGB234" s="10"/>
      <c r="IGC234" s="19"/>
      <c r="IGD234" s="19"/>
      <c r="IGG234" s="16"/>
      <c r="IGH234" s="15"/>
      <c r="IGI234" s="15"/>
      <c r="IGJ234" s="15"/>
      <c r="IGK234" s="16"/>
      <c r="IGL234" s="16"/>
      <c r="IGM234" s="16"/>
      <c r="IGN234" s="16"/>
      <c r="IGO234" s="16"/>
      <c r="IGP234" s="15"/>
      <c r="IGQ234" s="15"/>
      <c r="IGR234" s="10"/>
      <c r="IGS234" s="10"/>
      <c r="IGT234" s="19"/>
      <c r="IGU234" s="19"/>
      <c r="IGX234" s="16"/>
      <c r="IGY234" s="15"/>
      <c r="IGZ234" s="15"/>
      <c r="IHA234" s="15"/>
      <c r="IHB234" s="16"/>
      <c r="IHC234" s="16"/>
      <c r="IHD234" s="16"/>
      <c r="IHE234" s="16"/>
      <c r="IHF234" s="16"/>
      <c r="IHG234" s="15"/>
      <c r="IHH234" s="15"/>
      <c r="IHI234" s="10"/>
      <c r="IHJ234" s="10"/>
      <c r="IHK234" s="19"/>
      <c r="IHL234" s="19"/>
      <c r="IHO234" s="16"/>
      <c r="IHP234" s="15"/>
      <c r="IHQ234" s="15"/>
      <c r="IHR234" s="15"/>
      <c r="IHS234" s="16"/>
      <c r="IHT234" s="16"/>
      <c r="IHU234" s="16"/>
      <c r="IHV234" s="16"/>
      <c r="IHW234" s="16"/>
      <c r="IHX234" s="15"/>
      <c r="IHY234" s="15"/>
      <c r="IHZ234" s="10"/>
      <c r="IIA234" s="10"/>
      <c r="IIB234" s="19"/>
      <c r="IIC234" s="19"/>
      <c r="IIF234" s="16"/>
      <c r="IIG234" s="15"/>
      <c r="IIH234" s="15"/>
      <c r="III234" s="15"/>
      <c r="IIJ234" s="16"/>
      <c r="IIK234" s="16"/>
      <c r="IIL234" s="16"/>
      <c r="IIM234" s="16"/>
      <c r="IIN234" s="16"/>
      <c r="IIO234" s="15"/>
      <c r="IIP234" s="15"/>
      <c r="IIQ234" s="10"/>
      <c r="IIR234" s="10"/>
      <c r="IIS234" s="19"/>
      <c r="IIT234" s="19"/>
      <c r="IIW234" s="16"/>
      <c r="IIX234" s="15"/>
      <c r="IIY234" s="15"/>
      <c r="IIZ234" s="15"/>
      <c r="IJA234" s="16"/>
      <c r="IJB234" s="16"/>
      <c r="IJC234" s="16"/>
      <c r="IJD234" s="16"/>
      <c r="IJE234" s="16"/>
      <c r="IJF234" s="15"/>
      <c r="IJG234" s="15"/>
      <c r="IJH234" s="10"/>
      <c r="IJI234" s="10"/>
      <c r="IJJ234" s="19"/>
      <c r="IJK234" s="19"/>
      <c r="IJN234" s="16"/>
      <c r="IJO234" s="15"/>
      <c r="IJP234" s="15"/>
      <c r="IJQ234" s="15"/>
      <c r="IJR234" s="16"/>
      <c r="IJS234" s="16"/>
      <c r="IJT234" s="16"/>
      <c r="IJU234" s="16"/>
      <c r="IJV234" s="16"/>
      <c r="IJW234" s="15"/>
      <c r="IJX234" s="15"/>
      <c r="IJY234" s="10"/>
      <c r="IJZ234" s="10"/>
      <c r="IKA234" s="19"/>
      <c r="IKB234" s="19"/>
      <c r="IKE234" s="16"/>
      <c r="IKF234" s="15"/>
      <c r="IKG234" s="15"/>
      <c r="IKH234" s="15"/>
      <c r="IKI234" s="16"/>
      <c r="IKJ234" s="16"/>
      <c r="IKK234" s="16"/>
      <c r="IKL234" s="16"/>
      <c r="IKM234" s="16"/>
      <c r="IKN234" s="15"/>
      <c r="IKO234" s="15"/>
      <c r="IKP234" s="10"/>
      <c r="IKQ234" s="10"/>
      <c r="IKR234" s="19"/>
      <c r="IKS234" s="19"/>
      <c r="IKV234" s="16"/>
      <c r="IKW234" s="15"/>
      <c r="IKX234" s="15"/>
      <c r="IKY234" s="15"/>
      <c r="IKZ234" s="16"/>
      <c r="ILA234" s="16"/>
      <c r="ILB234" s="16"/>
      <c r="ILC234" s="16"/>
      <c r="ILD234" s="16"/>
      <c r="ILE234" s="15"/>
      <c r="ILF234" s="15"/>
      <c r="ILG234" s="10"/>
      <c r="ILH234" s="10"/>
      <c r="ILI234" s="19"/>
      <c r="ILJ234" s="19"/>
      <c r="ILM234" s="16"/>
      <c r="ILN234" s="15"/>
      <c r="ILO234" s="15"/>
      <c r="ILP234" s="15"/>
      <c r="ILQ234" s="16"/>
      <c r="ILR234" s="16"/>
      <c r="ILS234" s="16"/>
      <c r="ILT234" s="16"/>
      <c r="ILU234" s="16"/>
      <c r="ILV234" s="15"/>
      <c r="ILW234" s="15"/>
      <c r="ILX234" s="10"/>
      <c r="ILY234" s="10"/>
      <c r="ILZ234" s="19"/>
      <c r="IMA234" s="19"/>
      <c r="IMD234" s="16"/>
      <c r="IME234" s="15"/>
      <c r="IMF234" s="15"/>
      <c r="IMG234" s="15"/>
      <c r="IMH234" s="16"/>
      <c r="IMI234" s="16"/>
      <c r="IMJ234" s="16"/>
      <c r="IMK234" s="16"/>
      <c r="IML234" s="16"/>
      <c r="IMM234" s="15"/>
      <c r="IMN234" s="15"/>
      <c r="IMO234" s="10"/>
      <c r="IMP234" s="10"/>
      <c r="IMQ234" s="19"/>
      <c r="IMR234" s="19"/>
      <c r="IMU234" s="16"/>
      <c r="IMV234" s="15"/>
      <c r="IMW234" s="15"/>
      <c r="IMX234" s="15"/>
      <c r="IMY234" s="16"/>
      <c r="IMZ234" s="16"/>
      <c r="INA234" s="16"/>
      <c r="INB234" s="16"/>
      <c r="INC234" s="16"/>
      <c r="IND234" s="15"/>
      <c r="INE234" s="15"/>
      <c r="INF234" s="10"/>
      <c r="ING234" s="10"/>
      <c r="INH234" s="19"/>
      <c r="INI234" s="19"/>
      <c r="INL234" s="16"/>
      <c r="INM234" s="15"/>
      <c r="INN234" s="15"/>
      <c r="INO234" s="15"/>
      <c r="INP234" s="16"/>
      <c r="INQ234" s="16"/>
      <c r="INR234" s="16"/>
      <c r="INS234" s="16"/>
      <c r="INT234" s="16"/>
      <c r="INU234" s="15"/>
      <c r="INV234" s="15"/>
      <c r="INW234" s="10"/>
      <c r="INX234" s="10"/>
      <c r="INY234" s="19"/>
      <c r="INZ234" s="19"/>
      <c r="IOC234" s="16"/>
      <c r="IOD234" s="15"/>
      <c r="IOE234" s="15"/>
      <c r="IOF234" s="15"/>
      <c r="IOG234" s="16"/>
      <c r="IOH234" s="16"/>
      <c r="IOI234" s="16"/>
      <c r="IOJ234" s="16"/>
      <c r="IOK234" s="16"/>
      <c r="IOL234" s="15"/>
      <c r="IOM234" s="15"/>
      <c r="ION234" s="10"/>
      <c r="IOO234" s="10"/>
      <c r="IOP234" s="19"/>
      <c r="IOQ234" s="19"/>
      <c r="IOT234" s="16"/>
      <c r="IOU234" s="15"/>
      <c r="IOV234" s="15"/>
      <c r="IOW234" s="15"/>
      <c r="IOX234" s="16"/>
      <c r="IOY234" s="16"/>
      <c r="IOZ234" s="16"/>
      <c r="IPA234" s="16"/>
      <c r="IPB234" s="16"/>
      <c r="IPC234" s="15"/>
      <c r="IPD234" s="15"/>
      <c r="IPE234" s="10"/>
      <c r="IPF234" s="10"/>
      <c r="IPG234" s="19"/>
      <c r="IPH234" s="19"/>
      <c r="IPK234" s="16"/>
      <c r="IPL234" s="15"/>
      <c r="IPM234" s="15"/>
      <c r="IPN234" s="15"/>
      <c r="IPO234" s="16"/>
      <c r="IPP234" s="16"/>
      <c r="IPQ234" s="16"/>
      <c r="IPR234" s="16"/>
      <c r="IPS234" s="16"/>
      <c r="IPT234" s="15"/>
      <c r="IPU234" s="15"/>
      <c r="IPV234" s="10"/>
      <c r="IPW234" s="10"/>
      <c r="IPX234" s="19"/>
      <c r="IPY234" s="19"/>
      <c r="IQB234" s="16"/>
      <c r="IQC234" s="15"/>
      <c r="IQD234" s="15"/>
      <c r="IQE234" s="15"/>
      <c r="IQF234" s="16"/>
      <c r="IQG234" s="16"/>
      <c r="IQH234" s="16"/>
      <c r="IQI234" s="16"/>
      <c r="IQJ234" s="16"/>
      <c r="IQK234" s="15"/>
      <c r="IQL234" s="15"/>
      <c r="IQM234" s="10"/>
      <c r="IQN234" s="10"/>
      <c r="IQO234" s="19"/>
      <c r="IQP234" s="19"/>
      <c r="IQS234" s="16"/>
      <c r="IQT234" s="15"/>
      <c r="IQU234" s="15"/>
      <c r="IQV234" s="15"/>
      <c r="IQW234" s="16"/>
      <c r="IQX234" s="16"/>
      <c r="IQY234" s="16"/>
      <c r="IQZ234" s="16"/>
      <c r="IRA234" s="16"/>
      <c r="IRB234" s="15"/>
      <c r="IRC234" s="15"/>
      <c r="IRD234" s="10"/>
      <c r="IRE234" s="10"/>
      <c r="IRF234" s="19"/>
      <c r="IRG234" s="19"/>
      <c r="IRJ234" s="16"/>
      <c r="IRK234" s="15"/>
      <c r="IRL234" s="15"/>
      <c r="IRM234" s="15"/>
      <c r="IRN234" s="16"/>
      <c r="IRO234" s="16"/>
      <c r="IRP234" s="16"/>
      <c r="IRQ234" s="16"/>
      <c r="IRR234" s="16"/>
      <c r="IRS234" s="15"/>
      <c r="IRT234" s="15"/>
      <c r="IRU234" s="10"/>
      <c r="IRV234" s="10"/>
      <c r="IRW234" s="19"/>
      <c r="IRX234" s="19"/>
      <c r="ISA234" s="16"/>
      <c r="ISB234" s="15"/>
      <c r="ISC234" s="15"/>
      <c r="ISD234" s="15"/>
      <c r="ISE234" s="16"/>
      <c r="ISF234" s="16"/>
      <c r="ISG234" s="16"/>
      <c r="ISH234" s="16"/>
      <c r="ISI234" s="16"/>
      <c r="ISJ234" s="15"/>
      <c r="ISK234" s="15"/>
      <c r="ISL234" s="10"/>
      <c r="ISM234" s="10"/>
      <c r="ISN234" s="19"/>
      <c r="ISO234" s="19"/>
      <c r="ISR234" s="16"/>
      <c r="ISS234" s="15"/>
      <c r="IST234" s="15"/>
      <c r="ISU234" s="15"/>
      <c r="ISV234" s="16"/>
      <c r="ISW234" s="16"/>
      <c r="ISX234" s="16"/>
      <c r="ISY234" s="16"/>
      <c r="ISZ234" s="16"/>
      <c r="ITA234" s="15"/>
      <c r="ITB234" s="15"/>
      <c r="ITC234" s="10"/>
      <c r="ITD234" s="10"/>
      <c r="ITE234" s="19"/>
      <c r="ITF234" s="19"/>
      <c r="ITI234" s="16"/>
      <c r="ITJ234" s="15"/>
      <c r="ITK234" s="15"/>
      <c r="ITL234" s="15"/>
      <c r="ITM234" s="16"/>
      <c r="ITN234" s="16"/>
      <c r="ITO234" s="16"/>
      <c r="ITP234" s="16"/>
      <c r="ITQ234" s="16"/>
      <c r="ITR234" s="15"/>
      <c r="ITS234" s="15"/>
      <c r="ITT234" s="10"/>
      <c r="ITU234" s="10"/>
      <c r="ITV234" s="19"/>
      <c r="ITW234" s="19"/>
      <c r="ITZ234" s="16"/>
      <c r="IUA234" s="15"/>
      <c r="IUB234" s="15"/>
      <c r="IUC234" s="15"/>
      <c r="IUD234" s="16"/>
      <c r="IUE234" s="16"/>
      <c r="IUF234" s="16"/>
      <c r="IUG234" s="16"/>
      <c r="IUH234" s="16"/>
      <c r="IUI234" s="15"/>
      <c r="IUJ234" s="15"/>
      <c r="IUK234" s="10"/>
      <c r="IUL234" s="10"/>
      <c r="IUM234" s="19"/>
      <c r="IUN234" s="19"/>
      <c r="IUQ234" s="16"/>
      <c r="IUR234" s="15"/>
      <c r="IUS234" s="15"/>
      <c r="IUT234" s="15"/>
      <c r="IUU234" s="16"/>
      <c r="IUV234" s="16"/>
      <c r="IUW234" s="16"/>
      <c r="IUX234" s="16"/>
      <c r="IUY234" s="16"/>
      <c r="IUZ234" s="15"/>
      <c r="IVA234" s="15"/>
      <c r="IVB234" s="10"/>
      <c r="IVC234" s="10"/>
      <c r="IVD234" s="19"/>
      <c r="IVE234" s="19"/>
      <c r="IVH234" s="16"/>
      <c r="IVI234" s="15"/>
      <c r="IVJ234" s="15"/>
      <c r="IVK234" s="15"/>
      <c r="IVL234" s="16"/>
      <c r="IVM234" s="16"/>
      <c r="IVN234" s="16"/>
      <c r="IVO234" s="16"/>
      <c r="IVP234" s="16"/>
      <c r="IVQ234" s="15"/>
      <c r="IVR234" s="15"/>
      <c r="IVS234" s="10"/>
      <c r="IVT234" s="10"/>
      <c r="IVU234" s="19"/>
      <c r="IVV234" s="19"/>
      <c r="IVY234" s="16"/>
      <c r="IVZ234" s="15"/>
      <c r="IWA234" s="15"/>
      <c r="IWB234" s="15"/>
      <c r="IWC234" s="16"/>
      <c r="IWD234" s="16"/>
      <c r="IWE234" s="16"/>
      <c r="IWF234" s="16"/>
      <c r="IWG234" s="16"/>
      <c r="IWH234" s="15"/>
      <c r="IWI234" s="15"/>
      <c r="IWJ234" s="10"/>
      <c r="IWK234" s="10"/>
      <c r="IWL234" s="19"/>
      <c r="IWM234" s="19"/>
      <c r="IWP234" s="16"/>
      <c r="IWQ234" s="15"/>
      <c r="IWR234" s="15"/>
      <c r="IWS234" s="15"/>
      <c r="IWT234" s="16"/>
      <c r="IWU234" s="16"/>
      <c r="IWV234" s="16"/>
      <c r="IWW234" s="16"/>
      <c r="IWX234" s="16"/>
      <c r="IWY234" s="15"/>
      <c r="IWZ234" s="15"/>
      <c r="IXA234" s="10"/>
      <c r="IXB234" s="10"/>
      <c r="IXC234" s="19"/>
      <c r="IXD234" s="19"/>
      <c r="IXG234" s="16"/>
      <c r="IXH234" s="15"/>
      <c r="IXI234" s="15"/>
      <c r="IXJ234" s="15"/>
      <c r="IXK234" s="16"/>
      <c r="IXL234" s="16"/>
      <c r="IXM234" s="16"/>
      <c r="IXN234" s="16"/>
      <c r="IXO234" s="16"/>
      <c r="IXP234" s="15"/>
      <c r="IXQ234" s="15"/>
      <c r="IXR234" s="10"/>
      <c r="IXS234" s="10"/>
      <c r="IXT234" s="19"/>
      <c r="IXU234" s="19"/>
      <c r="IXX234" s="16"/>
      <c r="IXY234" s="15"/>
      <c r="IXZ234" s="15"/>
      <c r="IYA234" s="15"/>
      <c r="IYB234" s="16"/>
      <c r="IYC234" s="16"/>
      <c r="IYD234" s="16"/>
      <c r="IYE234" s="16"/>
      <c r="IYF234" s="16"/>
      <c r="IYG234" s="15"/>
      <c r="IYH234" s="15"/>
      <c r="IYI234" s="10"/>
      <c r="IYJ234" s="10"/>
      <c r="IYK234" s="19"/>
      <c r="IYL234" s="19"/>
      <c r="IYO234" s="16"/>
      <c r="IYP234" s="15"/>
      <c r="IYQ234" s="15"/>
      <c r="IYR234" s="15"/>
      <c r="IYS234" s="16"/>
      <c r="IYT234" s="16"/>
      <c r="IYU234" s="16"/>
      <c r="IYV234" s="16"/>
      <c r="IYW234" s="16"/>
      <c r="IYX234" s="15"/>
      <c r="IYY234" s="15"/>
      <c r="IYZ234" s="10"/>
      <c r="IZA234" s="10"/>
      <c r="IZB234" s="19"/>
      <c r="IZC234" s="19"/>
      <c r="IZF234" s="16"/>
      <c r="IZG234" s="15"/>
      <c r="IZH234" s="15"/>
      <c r="IZI234" s="15"/>
      <c r="IZJ234" s="16"/>
      <c r="IZK234" s="16"/>
      <c r="IZL234" s="16"/>
      <c r="IZM234" s="16"/>
      <c r="IZN234" s="16"/>
      <c r="IZO234" s="15"/>
      <c r="IZP234" s="15"/>
      <c r="IZQ234" s="10"/>
      <c r="IZR234" s="10"/>
      <c r="IZS234" s="19"/>
      <c r="IZT234" s="19"/>
      <c r="IZW234" s="16"/>
      <c r="IZX234" s="15"/>
      <c r="IZY234" s="15"/>
      <c r="IZZ234" s="15"/>
      <c r="JAA234" s="16"/>
      <c r="JAB234" s="16"/>
      <c r="JAC234" s="16"/>
      <c r="JAD234" s="16"/>
      <c r="JAE234" s="16"/>
      <c r="JAF234" s="15"/>
      <c r="JAG234" s="15"/>
      <c r="JAH234" s="10"/>
      <c r="JAI234" s="10"/>
      <c r="JAJ234" s="19"/>
      <c r="JAK234" s="19"/>
      <c r="JAN234" s="16"/>
      <c r="JAO234" s="15"/>
      <c r="JAP234" s="15"/>
      <c r="JAQ234" s="15"/>
      <c r="JAR234" s="16"/>
      <c r="JAS234" s="16"/>
      <c r="JAT234" s="16"/>
      <c r="JAU234" s="16"/>
      <c r="JAV234" s="16"/>
      <c r="JAW234" s="15"/>
      <c r="JAX234" s="15"/>
      <c r="JAY234" s="10"/>
      <c r="JAZ234" s="10"/>
      <c r="JBA234" s="19"/>
      <c r="JBB234" s="19"/>
      <c r="JBE234" s="16"/>
      <c r="JBF234" s="15"/>
      <c r="JBG234" s="15"/>
      <c r="JBH234" s="15"/>
      <c r="JBI234" s="16"/>
      <c r="JBJ234" s="16"/>
      <c r="JBK234" s="16"/>
      <c r="JBL234" s="16"/>
      <c r="JBM234" s="16"/>
      <c r="JBN234" s="15"/>
      <c r="JBO234" s="15"/>
      <c r="JBP234" s="10"/>
      <c r="JBQ234" s="10"/>
      <c r="JBR234" s="19"/>
      <c r="JBS234" s="19"/>
      <c r="JBV234" s="16"/>
      <c r="JBW234" s="15"/>
      <c r="JBX234" s="15"/>
      <c r="JBY234" s="15"/>
      <c r="JBZ234" s="16"/>
      <c r="JCA234" s="16"/>
      <c r="JCB234" s="16"/>
      <c r="JCC234" s="16"/>
      <c r="JCD234" s="16"/>
      <c r="JCE234" s="15"/>
      <c r="JCF234" s="15"/>
      <c r="JCG234" s="10"/>
      <c r="JCH234" s="10"/>
      <c r="JCI234" s="19"/>
      <c r="JCJ234" s="19"/>
      <c r="JCM234" s="16"/>
      <c r="JCN234" s="15"/>
      <c r="JCO234" s="15"/>
      <c r="JCP234" s="15"/>
      <c r="JCQ234" s="16"/>
      <c r="JCR234" s="16"/>
      <c r="JCS234" s="16"/>
      <c r="JCT234" s="16"/>
      <c r="JCU234" s="16"/>
      <c r="JCV234" s="15"/>
      <c r="JCW234" s="15"/>
      <c r="JCX234" s="10"/>
      <c r="JCY234" s="10"/>
      <c r="JCZ234" s="19"/>
      <c r="JDA234" s="19"/>
      <c r="JDD234" s="16"/>
      <c r="JDE234" s="15"/>
      <c r="JDF234" s="15"/>
      <c r="JDG234" s="15"/>
      <c r="JDH234" s="16"/>
      <c r="JDI234" s="16"/>
      <c r="JDJ234" s="16"/>
      <c r="JDK234" s="16"/>
      <c r="JDL234" s="16"/>
      <c r="JDM234" s="15"/>
      <c r="JDN234" s="15"/>
      <c r="JDO234" s="10"/>
      <c r="JDP234" s="10"/>
      <c r="JDQ234" s="19"/>
      <c r="JDR234" s="19"/>
      <c r="JDU234" s="16"/>
      <c r="JDV234" s="15"/>
      <c r="JDW234" s="15"/>
      <c r="JDX234" s="15"/>
      <c r="JDY234" s="16"/>
      <c r="JDZ234" s="16"/>
      <c r="JEA234" s="16"/>
      <c r="JEB234" s="16"/>
      <c r="JEC234" s="16"/>
      <c r="JED234" s="15"/>
      <c r="JEE234" s="15"/>
      <c r="JEF234" s="10"/>
      <c r="JEG234" s="10"/>
      <c r="JEH234" s="19"/>
      <c r="JEI234" s="19"/>
      <c r="JEL234" s="16"/>
      <c r="JEM234" s="15"/>
      <c r="JEN234" s="15"/>
      <c r="JEO234" s="15"/>
      <c r="JEP234" s="16"/>
      <c r="JEQ234" s="16"/>
      <c r="JER234" s="16"/>
      <c r="JES234" s="16"/>
      <c r="JET234" s="16"/>
      <c r="JEU234" s="15"/>
      <c r="JEV234" s="15"/>
      <c r="JEW234" s="10"/>
      <c r="JEX234" s="10"/>
      <c r="JEY234" s="19"/>
      <c r="JEZ234" s="19"/>
      <c r="JFC234" s="16"/>
      <c r="JFD234" s="15"/>
      <c r="JFE234" s="15"/>
      <c r="JFF234" s="15"/>
      <c r="JFG234" s="16"/>
      <c r="JFH234" s="16"/>
      <c r="JFI234" s="16"/>
      <c r="JFJ234" s="16"/>
      <c r="JFK234" s="16"/>
      <c r="JFL234" s="15"/>
      <c r="JFM234" s="15"/>
      <c r="JFN234" s="10"/>
      <c r="JFO234" s="10"/>
      <c r="JFP234" s="19"/>
      <c r="JFQ234" s="19"/>
      <c r="JFT234" s="16"/>
      <c r="JFU234" s="15"/>
      <c r="JFV234" s="15"/>
      <c r="JFW234" s="15"/>
      <c r="JFX234" s="16"/>
      <c r="JFY234" s="16"/>
      <c r="JFZ234" s="16"/>
      <c r="JGA234" s="16"/>
      <c r="JGB234" s="16"/>
      <c r="JGC234" s="15"/>
      <c r="JGD234" s="15"/>
      <c r="JGE234" s="10"/>
      <c r="JGF234" s="10"/>
      <c r="JGG234" s="19"/>
      <c r="JGH234" s="19"/>
      <c r="JGK234" s="16"/>
      <c r="JGL234" s="15"/>
      <c r="JGM234" s="15"/>
      <c r="JGN234" s="15"/>
      <c r="JGO234" s="16"/>
      <c r="JGP234" s="16"/>
      <c r="JGQ234" s="16"/>
      <c r="JGR234" s="16"/>
      <c r="JGS234" s="16"/>
      <c r="JGT234" s="15"/>
      <c r="JGU234" s="15"/>
      <c r="JGV234" s="10"/>
      <c r="JGW234" s="10"/>
      <c r="JGX234" s="19"/>
      <c r="JGY234" s="19"/>
      <c r="JHB234" s="16"/>
      <c r="JHC234" s="15"/>
      <c r="JHD234" s="15"/>
      <c r="JHE234" s="15"/>
      <c r="JHF234" s="16"/>
      <c r="JHG234" s="16"/>
      <c r="JHH234" s="16"/>
      <c r="JHI234" s="16"/>
      <c r="JHJ234" s="16"/>
      <c r="JHK234" s="15"/>
      <c r="JHL234" s="15"/>
      <c r="JHM234" s="10"/>
      <c r="JHN234" s="10"/>
      <c r="JHO234" s="19"/>
      <c r="JHP234" s="19"/>
      <c r="JHS234" s="16"/>
      <c r="JHT234" s="15"/>
      <c r="JHU234" s="15"/>
      <c r="JHV234" s="15"/>
      <c r="JHW234" s="16"/>
      <c r="JHX234" s="16"/>
      <c r="JHY234" s="16"/>
      <c r="JHZ234" s="16"/>
      <c r="JIA234" s="16"/>
      <c r="JIB234" s="15"/>
      <c r="JIC234" s="15"/>
      <c r="JID234" s="10"/>
      <c r="JIE234" s="10"/>
      <c r="JIF234" s="19"/>
      <c r="JIG234" s="19"/>
      <c r="JIJ234" s="16"/>
      <c r="JIK234" s="15"/>
      <c r="JIL234" s="15"/>
      <c r="JIM234" s="15"/>
      <c r="JIN234" s="16"/>
      <c r="JIO234" s="16"/>
      <c r="JIP234" s="16"/>
      <c r="JIQ234" s="16"/>
      <c r="JIR234" s="16"/>
      <c r="JIS234" s="15"/>
      <c r="JIT234" s="15"/>
      <c r="JIU234" s="10"/>
      <c r="JIV234" s="10"/>
      <c r="JIW234" s="19"/>
      <c r="JIX234" s="19"/>
      <c r="JJA234" s="16"/>
      <c r="JJB234" s="15"/>
      <c r="JJC234" s="15"/>
      <c r="JJD234" s="15"/>
      <c r="JJE234" s="16"/>
      <c r="JJF234" s="16"/>
      <c r="JJG234" s="16"/>
      <c r="JJH234" s="16"/>
      <c r="JJI234" s="16"/>
      <c r="JJJ234" s="15"/>
      <c r="JJK234" s="15"/>
      <c r="JJL234" s="10"/>
      <c r="JJM234" s="10"/>
      <c r="JJN234" s="19"/>
      <c r="JJO234" s="19"/>
      <c r="JJR234" s="16"/>
      <c r="JJS234" s="15"/>
      <c r="JJT234" s="15"/>
      <c r="JJU234" s="15"/>
      <c r="JJV234" s="16"/>
      <c r="JJW234" s="16"/>
      <c r="JJX234" s="16"/>
      <c r="JJY234" s="16"/>
      <c r="JJZ234" s="16"/>
      <c r="JKA234" s="15"/>
      <c r="JKB234" s="15"/>
      <c r="JKC234" s="10"/>
      <c r="JKD234" s="10"/>
      <c r="JKE234" s="19"/>
      <c r="JKF234" s="19"/>
      <c r="JKI234" s="16"/>
      <c r="JKJ234" s="15"/>
      <c r="JKK234" s="15"/>
      <c r="JKL234" s="15"/>
      <c r="JKM234" s="16"/>
      <c r="JKN234" s="16"/>
      <c r="JKO234" s="16"/>
      <c r="JKP234" s="16"/>
      <c r="JKQ234" s="16"/>
      <c r="JKR234" s="15"/>
      <c r="JKS234" s="15"/>
      <c r="JKT234" s="10"/>
      <c r="JKU234" s="10"/>
      <c r="JKV234" s="19"/>
      <c r="JKW234" s="19"/>
      <c r="JKZ234" s="16"/>
      <c r="JLA234" s="15"/>
      <c r="JLB234" s="15"/>
      <c r="JLC234" s="15"/>
      <c r="JLD234" s="16"/>
      <c r="JLE234" s="16"/>
      <c r="JLF234" s="16"/>
      <c r="JLG234" s="16"/>
      <c r="JLH234" s="16"/>
      <c r="JLI234" s="15"/>
      <c r="JLJ234" s="15"/>
      <c r="JLK234" s="10"/>
      <c r="JLL234" s="10"/>
      <c r="JLM234" s="19"/>
      <c r="JLN234" s="19"/>
      <c r="JLQ234" s="16"/>
      <c r="JLR234" s="15"/>
      <c r="JLS234" s="15"/>
      <c r="JLT234" s="15"/>
      <c r="JLU234" s="16"/>
      <c r="JLV234" s="16"/>
      <c r="JLW234" s="16"/>
      <c r="JLX234" s="16"/>
      <c r="JLY234" s="16"/>
      <c r="JLZ234" s="15"/>
      <c r="JMA234" s="15"/>
      <c r="JMB234" s="10"/>
      <c r="JMC234" s="10"/>
      <c r="JMD234" s="19"/>
      <c r="JME234" s="19"/>
      <c r="JMH234" s="16"/>
      <c r="JMI234" s="15"/>
      <c r="JMJ234" s="15"/>
      <c r="JMK234" s="15"/>
      <c r="JML234" s="16"/>
      <c r="JMM234" s="16"/>
      <c r="JMN234" s="16"/>
      <c r="JMO234" s="16"/>
      <c r="JMP234" s="16"/>
      <c r="JMQ234" s="15"/>
      <c r="JMR234" s="15"/>
      <c r="JMS234" s="10"/>
      <c r="JMT234" s="10"/>
      <c r="JMU234" s="19"/>
      <c r="JMV234" s="19"/>
      <c r="JMY234" s="16"/>
      <c r="JMZ234" s="15"/>
      <c r="JNA234" s="15"/>
      <c r="JNB234" s="15"/>
      <c r="JNC234" s="16"/>
      <c r="JND234" s="16"/>
      <c r="JNE234" s="16"/>
      <c r="JNF234" s="16"/>
      <c r="JNG234" s="16"/>
      <c r="JNH234" s="15"/>
      <c r="JNI234" s="15"/>
      <c r="JNJ234" s="10"/>
      <c r="JNK234" s="10"/>
      <c r="JNL234" s="19"/>
      <c r="JNM234" s="19"/>
      <c r="JNP234" s="16"/>
      <c r="JNQ234" s="15"/>
      <c r="JNR234" s="15"/>
      <c r="JNS234" s="15"/>
      <c r="JNT234" s="16"/>
      <c r="JNU234" s="16"/>
      <c r="JNV234" s="16"/>
      <c r="JNW234" s="16"/>
      <c r="JNX234" s="16"/>
      <c r="JNY234" s="15"/>
      <c r="JNZ234" s="15"/>
      <c r="JOA234" s="10"/>
      <c r="JOB234" s="10"/>
      <c r="JOC234" s="19"/>
      <c r="JOD234" s="19"/>
      <c r="JOG234" s="16"/>
      <c r="JOH234" s="15"/>
      <c r="JOI234" s="15"/>
      <c r="JOJ234" s="15"/>
      <c r="JOK234" s="16"/>
      <c r="JOL234" s="16"/>
      <c r="JOM234" s="16"/>
      <c r="JON234" s="16"/>
      <c r="JOO234" s="16"/>
      <c r="JOP234" s="15"/>
      <c r="JOQ234" s="15"/>
      <c r="JOR234" s="10"/>
      <c r="JOS234" s="10"/>
      <c r="JOT234" s="19"/>
      <c r="JOU234" s="19"/>
      <c r="JOX234" s="16"/>
      <c r="JOY234" s="15"/>
      <c r="JOZ234" s="15"/>
      <c r="JPA234" s="15"/>
      <c r="JPB234" s="16"/>
      <c r="JPC234" s="16"/>
      <c r="JPD234" s="16"/>
      <c r="JPE234" s="16"/>
      <c r="JPF234" s="16"/>
      <c r="JPG234" s="15"/>
      <c r="JPH234" s="15"/>
      <c r="JPI234" s="10"/>
      <c r="JPJ234" s="10"/>
      <c r="JPK234" s="19"/>
      <c r="JPL234" s="19"/>
      <c r="JPO234" s="16"/>
      <c r="JPP234" s="15"/>
      <c r="JPQ234" s="15"/>
      <c r="JPR234" s="15"/>
      <c r="JPS234" s="16"/>
      <c r="JPT234" s="16"/>
      <c r="JPU234" s="16"/>
      <c r="JPV234" s="16"/>
      <c r="JPW234" s="16"/>
      <c r="JPX234" s="15"/>
      <c r="JPY234" s="15"/>
      <c r="JPZ234" s="10"/>
      <c r="JQA234" s="10"/>
      <c r="JQB234" s="19"/>
      <c r="JQC234" s="19"/>
      <c r="JQF234" s="16"/>
      <c r="JQG234" s="15"/>
      <c r="JQH234" s="15"/>
      <c r="JQI234" s="15"/>
      <c r="JQJ234" s="16"/>
      <c r="JQK234" s="16"/>
      <c r="JQL234" s="16"/>
      <c r="JQM234" s="16"/>
      <c r="JQN234" s="16"/>
      <c r="JQO234" s="15"/>
      <c r="JQP234" s="15"/>
      <c r="JQQ234" s="10"/>
      <c r="JQR234" s="10"/>
      <c r="JQS234" s="19"/>
      <c r="JQT234" s="19"/>
      <c r="JQW234" s="16"/>
      <c r="JQX234" s="15"/>
      <c r="JQY234" s="15"/>
      <c r="JQZ234" s="15"/>
      <c r="JRA234" s="16"/>
      <c r="JRB234" s="16"/>
      <c r="JRC234" s="16"/>
      <c r="JRD234" s="16"/>
      <c r="JRE234" s="16"/>
      <c r="JRF234" s="15"/>
      <c r="JRG234" s="15"/>
      <c r="JRH234" s="10"/>
      <c r="JRI234" s="10"/>
      <c r="JRJ234" s="19"/>
      <c r="JRK234" s="19"/>
      <c r="JRN234" s="16"/>
      <c r="JRO234" s="15"/>
      <c r="JRP234" s="15"/>
      <c r="JRQ234" s="15"/>
      <c r="JRR234" s="16"/>
      <c r="JRS234" s="16"/>
      <c r="JRT234" s="16"/>
      <c r="JRU234" s="16"/>
      <c r="JRV234" s="16"/>
      <c r="JRW234" s="15"/>
      <c r="JRX234" s="15"/>
      <c r="JRY234" s="10"/>
      <c r="JRZ234" s="10"/>
      <c r="JSA234" s="19"/>
      <c r="JSB234" s="19"/>
      <c r="JSE234" s="16"/>
      <c r="JSF234" s="15"/>
      <c r="JSG234" s="15"/>
      <c r="JSH234" s="15"/>
      <c r="JSI234" s="16"/>
      <c r="JSJ234" s="16"/>
      <c r="JSK234" s="16"/>
      <c r="JSL234" s="16"/>
      <c r="JSM234" s="16"/>
      <c r="JSN234" s="15"/>
      <c r="JSO234" s="15"/>
      <c r="JSP234" s="10"/>
      <c r="JSQ234" s="10"/>
      <c r="JSR234" s="19"/>
      <c r="JSS234" s="19"/>
      <c r="JSV234" s="16"/>
      <c r="JSW234" s="15"/>
      <c r="JSX234" s="15"/>
      <c r="JSY234" s="15"/>
      <c r="JSZ234" s="16"/>
      <c r="JTA234" s="16"/>
      <c r="JTB234" s="16"/>
      <c r="JTC234" s="16"/>
      <c r="JTD234" s="16"/>
      <c r="JTE234" s="15"/>
      <c r="JTF234" s="15"/>
      <c r="JTG234" s="10"/>
      <c r="JTH234" s="10"/>
      <c r="JTI234" s="19"/>
      <c r="JTJ234" s="19"/>
      <c r="JTM234" s="16"/>
      <c r="JTN234" s="15"/>
      <c r="JTO234" s="15"/>
      <c r="JTP234" s="15"/>
      <c r="JTQ234" s="16"/>
      <c r="JTR234" s="16"/>
      <c r="JTS234" s="16"/>
      <c r="JTT234" s="16"/>
      <c r="JTU234" s="16"/>
      <c r="JTV234" s="15"/>
      <c r="JTW234" s="15"/>
      <c r="JTX234" s="10"/>
      <c r="JTY234" s="10"/>
      <c r="JTZ234" s="19"/>
      <c r="JUA234" s="19"/>
      <c r="JUD234" s="16"/>
      <c r="JUE234" s="15"/>
      <c r="JUF234" s="15"/>
      <c r="JUG234" s="15"/>
      <c r="JUH234" s="16"/>
      <c r="JUI234" s="16"/>
      <c r="JUJ234" s="16"/>
      <c r="JUK234" s="16"/>
      <c r="JUL234" s="16"/>
      <c r="JUM234" s="15"/>
      <c r="JUN234" s="15"/>
      <c r="JUO234" s="10"/>
      <c r="JUP234" s="10"/>
      <c r="JUQ234" s="19"/>
      <c r="JUR234" s="19"/>
      <c r="JUU234" s="16"/>
      <c r="JUV234" s="15"/>
      <c r="JUW234" s="15"/>
      <c r="JUX234" s="15"/>
      <c r="JUY234" s="16"/>
      <c r="JUZ234" s="16"/>
      <c r="JVA234" s="16"/>
      <c r="JVB234" s="16"/>
      <c r="JVC234" s="16"/>
      <c r="JVD234" s="15"/>
      <c r="JVE234" s="15"/>
      <c r="JVF234" s="10"/>
      <c r="JVG234" s="10"/>
      <c r="JVH234" s="19"/>
      <c r="JVI234" s="19"/>
      <c r="JVL234" s="16"/>
      <c r="JVM234" s="15"/>
      <c r="JVN234" s="15"/>
      <c r="JVO234" s="15"/>
      <c r="JVP234" s="16"/>
      <c r="JVQ234" s="16"/>
      <c r="JVR234" s="16"/>
      <c r="JVS234" s="16"/>
      <c r="JVT234" s="16"/>
      <c r="JVU234" s="15"/>
      <c r="JVV234" s="15"/>
      <c r="JVW234" s="10"/>
      <c r="JVX234" s="10"/>
      <c r="JVY234" s="19"/>
      <c r="JVZ234" s="19"/>
      <c r="JWC234" s="16"/>
      <c r="JWD234" s="15"/>
      <c r="JWE234" s="15"/>
      <c r="JWF234" s="15"/>
      <c r="JWG234" s="16"/>
      <c r="JWH234" s="16"/>
      <c r="JWI234" s="16"/>
      <c r="JWJ234" s="16"/>
      <c r="JWK234" s="16"/>
      <c r="JWL234" s="15"/>
      <c r="JWM234" s="15"/>
      <c r="JWN234" s="10"/>
      <c r="JWO234" s="10"/>
      <c r="JWP234" s="19"/>
      <c r="JWQ234" s="19"/>
      <c r="JWT234" s="16"/>
      <c r="JWU234" s="15"/>
      <c r="JWV234" s="15"/>
      <c r="JWW234" s="15"/>
      <c r="JWX234" s="16"/>
      <c r="JWY234" s="16"/>
      <c r="JWZ234" s="16"/>
      <c r="JXA234" s="16"/>
      <c r="JXB234" s="16"/>
      <c r="JXC234" s="15"/>
      <c r="JXD234" s="15"/>
      <c r="JXE234" s="10"/>
      <c r="JXF234" s="10"/>
      <c r="JXG234" s="19"/>
      <c r="JXH234" s="19"/>
      <c r="JXK234" s="16"/>
      <c r="JXL234" s="15"/>
      <c r="JXM234" s="15"/>
      <c r="JXN234" s="15"/>
      <c r="JXO234" s="16"/>
      <c r="JXP234" s="16"/>
      <c r="JXQ234" s="16"/>
      <c r="JXR234" s="16"/>
      <c r="JXS234" s="16"/>
      <c r="JXT234" s="15"/>
      <c r="JXU234" s="15"/>
      <c r="JXV234" s="10"/>
      <c r="JXW234" s="10"/>
      <c r="JXX234" s="19"/>
      <c r="JXY234" s="19"/>
      <c r="JYB234" s="16"/>
      <c r="JYC234" s="15"/>
      <c r="JYD234" s="15"/>
      <c r="JYE234" s="15"/>
      <c r="JYF234" s="16"/>
      <c r="JYG234" s="16"/>
      <c r="JYH234" s="16"/>
      <c r="JYI234" s="16"/>
      <c r="JYJ234" s="16"/>
      <c r="JYK234" s="15"/>
      <c r="JYL234" s="15"/>
      <c r="JYM234" s="10"/>
      <c r="JYN234" s="10"/>
      <c r="JYO234" s="19"/>
      <c r="JYP234" s="19"/>
      <c r="JYS234" s="16"/>
      <c r="JYT234" s="15"/>
      <c r="JYU234" s="15"/>
      <c r="JYV234" s="15"/>
      <c r="JYW234" s="16"/>
      <c r="JYX234" s="16"/>
      <c r="JYY234" s="16"/>
      <c r="JYZ234" s="16"/>
      <c r="JZA234" s="16"/>
      <c r="JZB234" s="15"/>
      <c r="JZC234" s="15"/>
      <c r="JZD234" s="10"/>
      <c r="JZE234" s="10"/>
      <c r="JZF234" s="19"/>
      <c r="JZG234" s="19"/>
      <c r="JZJ234" s="16"/>
      <c r="JZK234" s="15"/>
      <c r="JZL234" s="15"/>
      <c r="JZM234" s="15"/>
      <c r="JZN234" s="16"/>
      <c r="JZO234" s="16"/>
      <c r="JZP234" s="16"/>
      <c r="JZQ234" s="16"/>
      <c r="JZR234" s="16"/>
      <c r="JZS234" s="15"/>
      <c r="JZT234" s="15"/>
      <c r="JZU234" s="10"/>
      <c r="JZV234" s="10"/>
      <c r="JZW234" s="19"/>
      <c r="JZX234" s="19"/>
      <c r="KAA234" s="16"/>
      <c r="KAB234" s="15"/>
      <c r="KAC234" s="15"/>
      <c r="KAD234" s="15"/>
      <c r="KAE234" s="16"/>
      <c r="KAF234" s="16"/>
      <c r="KAG234" s="16"/>
      <c r="KAH234" s="16"/>
      <c r="KAI234" s="16"/>
      <c r="KAJ234" s="15"/>
      <c r="KAK234" s="15"/>
      <c r="KAL234" s="10"/>
      <c r="KAM234" s="10"/>
      <c r="KAN234" s="19"/>
      <c r="KAO234" s="19"/>
      <c r="KAR234" s="16"/>
      <c r="KAS234" s="15"/>
      <c r="KAT234" s="15"/>
      <c r="KAU234" s="15"/>
      <c r="KAV234" s="16"/>
      <c r="KAW234" s="16"/>
      <c r="KAX234" s="16"/>
      <c r="KAY234" s="16"/>
      <c r="KAZ234" s="16"/>
      <c r="KBA234" s="15"/>
      <c r="KBB234" s="15"/>
      <c r="KBC234" s="10"/>
      <c r="KBD234" s="10"/>
      <c r="KBE234" s="19"/>
      <c r="KBF234" s="19"/>
      <c r="KBI234" s="16"/>
      <c r="KBJ234" s="15"/>
      <c r="KBK234" s="15"/>
      <c r="KBL234" s="15"/>
      <c r="KBM234" s="16"/>
      <c r="KBN234" s="16"/>
      <c r="KBO234" s="16"/>
      <c r="KBP234" s="16"/>
      <c r="KBQ234" s="16"/>
      <c r="KBR234" s="15"/>
      <c r="KBS234" s="15"/>
      <c r="KBT234" s="10"/>
      <c r="KBU234" s="10"/>
      <c r="KBV234" s="19"/>
      <c r="KBW234" s="19"/>
      <c r="KBZ234" s="16"/>
      <c r="KCA234" s="15"/>
      <c r="KCB234" s="15"/>
      <c r="KCC234" s="15"/>
      <c r="KCD234" s="16"/>
      <c r="KCE234" s="16"/>
      <c r="KCF234" s="16"/>
      <c r="KCG234" s="16"/>
      <c r="KCH234" s="16"/>
      <c r="KCI234" s="15"/>
      <c r="KCJ234" s="15"/>
      <c r="KCK234" s="10"/>
      <c r="KCL234" s="10"/>
      <c r="KCM234" s="19"/>
      <c r="KCN234" s="19"/>
      <c r="KCQ234" s="16"/>
      <c r="KCR234" s="15"/>
      <c r="KCS234" s="15"/>
      <c r="KCT234" s="15"/>
      <c r="KCU234" s="16"/>
      <c r="KCV234" s="16"/>
      <c r="KCW234" s="16"/>
      <c r="KCX234" s="16"/>
      <c r="KCY234" s="16"/>
      <c r="KCZ234" s="15"/>
      <c r="KDA234" s="15"/>
      <c r="KDB234" s="10"/>
      <c r="KDC234" s="10"/>
      <c r="KDD234" s="19"/>
      <c r="KDE234" s="19"/>
      <c r="KDH234" s="16"/>
      <c r="KDI234" s="15"/>
      <c r="KDJ234" s="15"/>
      <c r="KDK234" s="15"/>
      <c r="KDL234" s="16"/>
      <c r="KDM234" s="16"/>
      <c r="KDN234" s="16"/>
      <c r="KDO234" s="16"/>
      <c r="KDP234" s="16"/>
      <c r="KDQ234" s="15"/>
      <c r="KDR234" s="15"/>
      <c r="KDS234" s="10"/>
      <c r="KDT234" s="10"/>
      <c r="KDU234" s="19"/>
      <c r="KDV234" s="19"/>
      <c r="KDY234" s="16"/>
      <c r="KDZ234" s="15"/>
      <c r="KEA234" s="15"/>
      <c r="KEB234" s="15"/>
      <c r="KEC234" s="16"/>
      <c r="KED234" s="16"/>
      <c r="KEE234" s="16"/>
      <c r="KEF234" s="16"/>
      <c r="KEG234" s="16"/>
      <c r="KEH234" s="15"/>
      <c r="KEI234" s="15"/>
      <c r="KEJ234" s="10"/>
      <c r="KEK234" s="10"/>
      <c r="KEL234" s="19"/>
      <c r="KEM234" s="19"/>
      <c r="KEP234" s="16"/>
      <c r="KEQ234" s="15"/>
      <c r="KER234" s="15"/>
      <c r="KES234" s="15"/>
      <c r="KET234" s="16"/>
      <c r="KEU234" s="16"/>
      <c r="KEV234" s="16"/>
      <c r="KEW234" s="16"/>
      <c r="KEX234" s="16"/>
      <c r="KEY234" s="15"/>
      <c r="KEZ234" s="15"/>
      <c r="KFA234" s="10"/>
      <c r="KFB234" s="10"/>
      <c r="KFC234" s="19"/>
      <c r="KFD234" s="19"/>
      <c r="KFG234" s="16"/>
      <c r="KFH234" s="15"/>
      <c r="KFI234" s="15"/>
      <c r="KFJ234" s="15"/>
      <c r="KFK234" s="16"/>
      <c r="KFL234" s="16"/>
      <c r="KFM234" s="16"/>
      <c r="KFN234" s="16"/>
      <c r="KFO234" s="16"/>
      <c r="KFP234" s="15"/>
      <c r="KFQ234" s="15"/>
      <c r="KFR234" s="10"/>
      <c r="KFS234" s="10"/>
      <c r="KFT234" s="19"/>
      <c r="KFU234" s="19"/>
      <c r="KFX234" s="16"/>
      <c r="KFY234" s="15"/>
      <c r="KFZ234" s="15"/>
      <c r="KGA234" s="15"/>
      <c r="KGB234" s="16"/>
      <c r="KGC234" s="16"/>
      <c r="KGD234" s="16"/>
      <c r="KGE234" s="16"/>
      <c r="KGF234" s="16"/>
      <c r="KGG234" s="15"/>
      <c r="KGH234" s="15"/>
      <c r="KGI234" s="10"/>
      <c r="KGJ234" s="10"/>
      <c r="KGK234" s="19"/>
      <c r="KGL234" s="19"/>
      <c r="KGO234" s="16"/>
      <c r="KGP234" s="15"/>
      <c r="KGQ234" s="15"/>
      <c r="KGR234" s="15"/>
      <c r="KGS234" s="16"/>
      <c r="KGT234" s="16"/>
      <c r="KGU234" s="16"/>
      <c r="KGV234" s="16"/>
      <c r="KGW234" s="16"/>
      <c r="KGX234" s="15"/>
      <c r="KGY234" s="15"/>
      <c r="KGZ234" s="10"/>
      <c r="KHA234" s="10"/>
      <c r="KHB234" s="19"/>
      <c r="KHC234" s="19"/>
      <c r="KHF234" s="16"/>
      <c r="KHG234" s="15"/>
      <c r="KHH234" s="15"/>
      <c r="KHI234" s="15"/>
      <c r="KHJ234" s="16"/>
      <c r="KHK234" s="16"/>
      <c r="KHL234" s="16"/>
      <c r="KHM234" s="16"/>
      <c r="KHN234" s="16"/>
      <c r="KHO234" s="15"/>
      <c r="KHP234" s="15"/>
      <c r="KHQ234" s="10"/>
      <c r="KHR234" s="10"/>
      <c r="KHS234" s="19"/>
      <c r="KHT234" s="19"/>
      <c r="KHW234" s="16"/>
      <c r="KHX234" s="15"/>
      <c r="KHY234" s="15"/>
      <c r="KHZ234" s="15"/>
      <c r="KIA234" s="16"/>
      <c r="KIB234" s="16"/>
      <c r="KIC234" s="16"/>
      <c r="KID234" s="16"/>
      <c r="KIE234" s="16"/>
      <c r="KIF234" s="15"/>
      <c r="KIG234" s="15"/>
      <c r="KIH234" s="10"/>
      <c r="KII234" s="10"/>
      <c r="KIJ234" s="19"/>
      <c r="KIK234" s="19"/>
      <c r="KIN234" s="16"/>
      <c r="KIO234" s="15"/>
      <c r="KIP234" s="15"/>
      <c r="KIQ234" s="15"/>
      <c r="KIR234" s="16"/>
      <c r="KIS234" s="16"/>
      <c r="KIT234" s="16"/>
      <c r="KIU234" s="16"/>
      <c r="KIV234" s="16"/>
      <c r="KIW234" s="15"/>
      <c r="KIX234" s="15"/>
      <c r="KIY234" s="10"/>
      <c r="KIZ234" s="10"/>
      <c r="KJA234" s="19"/>
      <c r="KJB234" s="19"/>
      <c r="KJE234" s="16"/>
      <c r="KJF234" s="15"/>
      <c r="KJG234" s="15"/>
      <c r="KJH234" s="15"/>
      <c r="KJI234" s="16"/>
      <c r="KJJ234" s="16"/>
      <c r="KJK234" s="16"/>
      <c r="KJL234" s="16"/>
      <c r="KJM234" s="16"/>
      <c r="KJN234" s="15"/>
      <c r="KJO234" s="15"/>
      <c r="KJP234" s="10"/>
      <c r="KJQ234" s="10"/>
      <c r="KJR234" s="19"/>
      <c r="KJS234" s="19"/>
      <c r="KJV234" s="16"/>
      <c r="KJW234" s="15"/>
      <c r="KJX234" s="15"/>
      <c r="KJY234" s="15"/>
      <c r="KJZ234" s="16"/>
      <c r="KKA234" s="16"/>
      <c r="KKB234" s="16"/>
      <c r="KKC234" s="16"/>
      <c r="KKD234" s="16"/>
      <c r="KKE234" s="15"/>
      <c r="KKF234" s="15"/>
      <c r="KKG234" s="10"/>
      <c r="KKH234" s="10"/>
      <c r="KKI234" s="19"/>
      <c r="KKJ234" s="19"/>
      <c r="KKM234" s="16"/>
      <c r="KKN234" s="15"/>
      <c r="KKO234" s="15"/>
      <c r="KKP234" s="15"/>
      <c r="KKQ234" s="16"/>
      <c r="KKR234" s="16"/>
      <c r="KKS234" s="16"/>
      <c r="KKT234" s="16"/>
      <c r="KKU234" s="16"/>
      <c r="KKV234" s="15"/>
      <c r="KKW234" s="15"/>
      <c r="KKX234" s="10"/>
      <c r="KKY234" s="10"/>
      <c r="KKZ234" s="19"/>
      <c r="KLA234" s="19"/>
      <c r="KLD234" s="16"/>
      <c r="KLE234" s="15"/>
      <c r="KLF234" s="15"/>
      <c r="KLG234" s="15"/>
      <c r="KLH234" s="16"/>
      <c r="KLI234" s="16"/>
      <c r="KLJ234" s="16"/>
      <c r="KLK234" s="16"/>
      <c r="KLL234" s="16"/>
      <c r="KLM234" s="15"/>
      <c r="KLN234" s="15"/>
      <c r="KLO234" s="10"/>
      <c r="KLP234" s="10"/>
      <c r="KLQ234" s="19"/>
      <c r="KLR234" s="19"/>
      <c r="KLU234" s="16"/>
      <c r="KLV234" s="15"/>
      <c r="KLW234" s="15"/>
      <c r="KLX234" s="15"/>
      <c r="KLY234" s="16"/>
      <c r="KLZ234" s="16"/>
      <c r="KMA234" s="16"/>
      <c r="KMB234" s="16"/>
      <c r="KMC234" s="16"/>
      <c r="KMD234" s="15"/>
      <c r="KME234" s="15"/>
      <c r="KMF234" s="10"/>
      <c r="KMG234" s="10"/>
      <c r="KMH234" s="19"/>
      <c r="KMI234" s="19"/>
      <c r="KML234" s="16"/>
      <c r="KMM234" s="15"/>
      <c r="KMN234" s="15"/>
      <c r="KMO234" s="15"/>
      <c r="KMP234" s="16"/>
      <c r="KMQ234" s="16"/>
      <c r="KMR234" s="16"/>
      <c r="KMS234" s="16"/>
      <c r="KMT234" s="16"/>
      <c r="KMU234" s="15"/>
      <c r="KMV234" s="15"/>
      <c r="KMW234" s="10"/>
      <c r="KMX234" s="10"/>
      <c r="KMY234" s="19"/>
      <c r="KMZ234" s="19"/>
      <c r="KNC234" s="16"/>
      <c r="KND234" s="15"/>
      <c r="KNE234" s="15"/>
      <c r="KNF234" s="15"/>
      <c r="KNG234" s="16"/>
      <c r="KNH234" s="16"/>
      <c r="KNI234" s="16"/>
      <c r="KNJ234" s="16"/>
      <c r="KNK234" s="16"/>
      <c r="KNL234" s="15"/>
      <c r="KNM234" s="15"/>
      <c r="KNN234" s="10"/>
      <c r="KNO234" s="10"/>
      <c r="KNP234" s="19"/>
      <c r="KNQ234" s="19"/>
      <c r="KNT234" s="16"/>
      <c r="KNU234" s="15"/>
      <c r="KNV234" s="15"/>
      <c r="KNW234" s="15"/>
      <c r="KNX234" s="16"/>
      <c r="KNY234" s="16"/>
      <c r="KNZ234" s="16"/>
      <c r="KOA234" s="16"/>
      <c r="KOB234" s="16"/>
      <c r="KOC234" s="15"/>
      <c r="KOD234" s="15"/>
      <c r="KOE234" s="10"/>
      <c r="KOF234" s="10"/>
      <c r="KOG234" s="19"/>
      <c r="KOH234" s="19"/>
      <c r="KOK234" s="16"/>
      <c r="KOL234" s="15"/>
      <c r="KOM234" s="15"/>
      <c r="KON234" s="15"/>
      <c r="KOO234" s="16"/>
      <c r="KOP234" s="16"/>
      <c r="KOQ234" s="16"/>
      <c r="KOR234" s="16"/>
      <c r="KOS234" s="16"/>
      <c r="KOT234" s="15"/>
      <c r="KOU234" s="15"/>
      <c r="KOV234" s="10"/>
      <c r="KOW234" s="10"/>
      <c r="KOX234" s="19"/>
      <c r="KOY234" s="19"/>
      <c r="KPB234" s="16"/>
      <c r="KPC234" s="15"/>
      <c r="KPD234" s="15"/>
      <c r="KPE234" s="15"/>
      <c r="KPF234" s="16"/>
      <c r="KPG234" s="16"/>
      <c r="KPH234" s="16"/>
      <c r="KPI234" s="16"/>
      <c r="KPJ234" s="16"/>
      <c r="KPK234" s="15"/>
      <c r="KPL234" s="15"/>
      <c r="KPM234" s="10"/>
      <c r="KPN234" s="10"/>
      <c r="KPO234" s="19"/>
      <c r="KPP234" s="19"/>
      <c r="KPS234" s="16"/>
      <c r="KPT234" s="15"/>
      <c r="KPU234" s="15"/>
      <c r="KPV234" s="15"/>
      <c r="KPW234" s="16"/>
      <c r="KPX234" s="16"/>
      <c r="KPY234" s="16"/>
      <c r="KPZ234" s="16"/>
      <c r="KQA234" s="16"/>
      <c r="KQB234" s="15"/>
      <c r="KQC234" s="15"/>
      <c r="KQD234" s="10"/>
      <c r="KQE234" s="10"/>
      <c r="KQF234" s="19"/>
      <c r="KQG234" s="19"/>
      <c r="KQJ234" s="16"/>
      <c r="KQK234" s="15"/>
      <c r="KQL234" s="15"/>
      <c r="KQM234" s="15"/>
      <c r="KQN234" s="16"/>
      <c r="KQO234" s="16"/>
      <c r="KQP234" s="16"/>
      <c r="KQQ234" s="16"/>
      <c r="KQR234" s="16"/>
      <c r="KQS234" s="15"/>
      <c r="KQT234" s="15"/>
      <c r="KQU234" s="10"/>
      <c r="KQV234" s="10"/>
      <c r="KQW234" s="19"/>
      <c r="KQX234" s="19"/>
      <c r="KRA234" s="16"/>
      <c r="KRB234" s="15"/>
      <c r="KRC234" s="15"/>
      <c r="KRD234" s="15"/>
      <c r="KRE234" s="16"/>
      <c r="KRF234" s="16"/>
      <c r="KRG234" s="16"/>
      <c r="KRH234" s="16"/>
      <c r="KRI234" s="16"/>
      <c r="KRJ234" s="15"/>
      <c r="KRK234" s="15"/>
      <c r="KRL234" s="10"/>
      <c r="KRM234" s="10"/>
      <c r="KRN234" s="19"/>
      <c r="KRO234" s="19"/>
      <c r="KRR234" s="16"/>
      <c r="KRS234" s="15"/>
      <c r="KRT234" s="15"/>
      <c r="KRU234" s="15"/>
      <c r="KRV234" s="16"/>
      <c r="KRW234" s="16"/>
      <c r="KRX234" s="16"/>
      <c r="KRY234" s="16"/>
      <c r="KRZ234" s="16"/>
      <c r="KSA234" s="15"/>
      <c r="KSB234" s="15"/>
      <c r="KSC234" s="10"/>
      <c r="KSD234" s="10"/>
      <c r="KSE234" s="19"/>
      <c r="KSF234" s="19"/>
      <c r="KSI234" s="16"/>
      <c r="KSJ234" s="15"/>
      <c r="KSK234" s="15"/>
      <c r="KSL234" s="15"/>
      <c r="KSM234" s="16"/>
      <c r="KSN234" s="16"/>
      <c r="KSO234" s="16"/>
      <c r="KSP234" s="16"/>
      <c r="KSQ234" s="16"/>
      <c r="KSR234" s="15"/>
      <c r="KSS234" s="15"/>
      <c r="KST234" s="10"/>
      <c r="KSU234" s="10"/>
      <c r="KSV234" s="19"/>
      <c r="KSW234" s="19"/>
      <c r="KSZ234" s="16"/>
      <c r="KTA234" s="15"/>
      <c r="KTB234" s="15"/>
      <c r="KTC234" s="15"/>
      <c r="KTD234" s="16"/>
      <c r="KTE234" s="16"/>
      <c r="KTF234" s="16"/>
      <c r="KTG234" s="16"/>
      <c r="KTH234" s="16"/>
      <c r="KTI234" s="15"/>
      <c r="KTJ234" s="15"/>
      <c r="KTK234" s="10"/>
      <c r="KTL234" s="10"/>
      <c r="KTM234" s="19"/>
      <c r="KTN234" s="19"/>
      <c r="KTQ234" s="16"/>
      <c r="KTR234" s="15"/>
      <c r="KTS234" s="15"/>
      <c r="KTT234" s="15"/>
      <c r="KTU234" s="16"/>
      <c r="KTV234" s="16"/>
      <c r="KTW234" s="16"/>
      <c r="KTX234" s="16"/>
      <c r="KTY234" s="16"/>
      <c r="KTZ234" s="15"/>
      <c r="KUA234" s="15"/>
      <c r="KUB234" s="10"/>
      <c r="KUC234" s="10"/>
      <c r="KUD234" s="19"/>
      <c r="KUE234" s="19"/>
      <c r="KUH234" s="16"/>
      <c r="KUI234" s="15"/>
      <c r="KUJ234" s="15"/>
      <c r="KUK234" s="15"/>
      <c r="KUL234" s="16"/>
      <c r="KUM234" s="16"/>
      <c r="KUN234" s="16"/>
      <c r="KUO234" s="16"/>
      <c r="KUP234" s="16"/>
      <c r="KUQ234" s="15"/>
      <c r="KUR234" s="15"/>
      <c r="KUS234" s="10"/>
      <c r="KUT234" s="10"/>
      <c r="KUU234" s="19"/>
      <c r="KUV234" s="19"/>
      <c r="KUY234" s="16"/>
      <c r="KUZ234" s="15"/>
      <c r="KVA234" s="15"/>
      <c r="KVB234" s="15"/>
      <c r="KVC234" s="16"/>
      <c r="KVD234" s="16"/>
      <c r="KVE234" s="16"/>
      <c r="KVF234" s="16"/>
      <c r="KVG234" s="16"/>
      <c r="KVH234" s="15"/>
      <c r="KVI234" s="15"/>
      <c r="KVJ234" s="10"/>
      <c r="KVK234" s="10"/>
      <c r="KVL234" s="19"/>
      <c r="KVM234" s="19"/>
      <c r="KVP234" s="16"/>
      <c r="KVQ234" s="15"/>
      <c r="KVR234" s="15"/>
      <c r="KVS234" s="15"/>
      <c r="KVT234" s="16"/>
      <c r="KVU234" s="16"/>
      <c r="KVV234" s="16"/>
      <c r="KVW234" s="16"/>
      <c r="KVX234" s="16"/>
      <c r="KVY234" s="15"/>
      <c r="KVZ234" s="15"/>
      <c r="KWA234" s="10"/>
      <c r="KWB234" s="10"/>
      <c r="KWC234" s="19"/>
      <c r="KWD234" s="19"/>
      <c r="KWG234" s="16"/>
      <c r="KWH234" s="15"/>
      <c r="KWI234" s="15"/>
      <c r="KWJ234" s="15"/>
      <c r="KWK234" s="16"/>
      <c r="KWL234" s="16"/>
      <c r="KWM234" s="16"/>
      <c r="KWN234" s="16"/>
      <c r="KWO234" s="16"/>
      <c r="KWP234" s="15"/>
      <c r="KWQ234" s="15"/>
      <c r="KWR234" s="10"/>
      <c r="KWS234" s="10"/>
      <c r="KWT234" s="19"/>
      <c r="KWU234" s="19"/>
      <c r="KWX234" s="16"/>
      <c r="KWY234" s="15"/>
      <c r="KWZ234" s="15"/>
      <c r="KXA234" s="15"/>
      <c r="KXB234" s="16"/>
      <c r="KXC234" s="16"/>
      <c r="KXD234" s="16"/>
      <c r="KXE234" s="16"/>
      <c r="KXF234" s="16"/>
      <c r="KXG234" s="15"/>
      <c r="KXH234" s="15"/>
      <c r="KXI234" s="10"/>
      <c r="KXJ234" s="10"/>
      <c r="KXK234" s="19"/>
      <c r="KXL234" s="19"/>
      <c r="KXO234" s="16"/>
      <c r="KXP234" s="15"/>
      <c r="KXQ234" s="15"/>
      <c r="KXR234" s="15"/>
      <c r="KXS234" s="16"/>
      <c r="KXT234" s="16"/>
      <c r="KXU234" s="16"/>
      <c r="KXV234" s="16"/>
      <c r="KXW234" s="16"/>
      <c r="KXX234" s="15"/>
      <c r="KXY234" s="15"/>
      <c r="KXZ234" s="10"/>
      <c r="KYA234" s="10"/>
      <c r="KYB234" s="19"/>
      <c r="KYC234" s="19"/>
      <c r="KYF234" s="16"/>
      <c r="KYG234" s="15"/>
      <c r="KYH234" s="15"/>
      <c r="KYI234" s="15"/>
      <c r="KYJ234" s="16"/>
      <c r="KYK234" s="16"/>
      <c r="KYL234" s="16"/>
      <c r="KYM234" s="16"/>
      <c r="KYN234" s="16"/>
      <c r="KYO234" s="15"/>
      <c r="KYP234" s="15"/>
      <c r="KYQ234" s="10"/>
      <c r="KYR234" s="10"/>
      <c r="KYS234" s="19"/>
      <c r="KYT234" s="19"/>
      <c r="KYW234" s="16"/>
      <c r="KYX234" s="15"/>
      <c r="KYY234" s="15"/>
      <c r="KYZ234" s="15"/>
      <c r="KZA234" s="16"/>
      <c r="KZB234" s="16"/>
      <c r="KZC234" s="16"/>
      <c r="KZD234" s="16"/>
      <c r="KZE234" s="16"/>
      <c r="KZF234" s="15"/>
      <c r="KZG234" s="15"/>
      <c r="KZH234" s="10"/>
      <c r="KZI234" s="10"/>
      <c r="KZJ234" s="19"/>
      <c r="KZK234" s="19"/>
      <c r="KZN234" s="16"/>
      <c r="KZO234" s="15"/>
      <c r="KZP234" s="15"/>
      <c r="KZQ234" s="15"/>
      <c r="KZR234" s="16"/>
      <c r="KZS234" s="16"/>
      <c r="KZT234" s="16"/>
      <c r="KZU234" s="16"/>
      <c r="KZV234" s="16"/>
      <c r="KZW234" s="15"/>
      <c r="KZX234" s="15"/>
      <c r="KZY234" s="10"/>
      <c r="KZZ234" s="10"/>
      <c r="LAA234" s="19"/>
      <c r="LAB234" s="19"/>
      <c r="LAE234" s="16"/>
      <c r="LAF234" s="15"/>
      <c r="LAG234" s="15"/>
      <c r="LAH234" s="15"/>
      <c r="LAI234" s="16"/>
      <c r="LAJ234" s="16"/>
      <c r="LAK234" s="16"/>
      <c r="LAL234" s="16"/>
      <c r="LAM234" s="16"/>
      <c r="LAN234" s="15"/>
      <c r="LAO234" s="15"/>
      <c r="LAP234" s="10"/>
      <c r="LAQ234" s="10"/>
      <c r="LAR234" s="19"/>
      <c r="LAS234" s="19"/>
      <c r="LAV234" s="16"/>
      <c r="LAW234" s="15"/>
      <c r="LAX234" s="15"/>
      <c r="LAY234" s="15"/>
      <c r="LAZ234" s="16"/>
      <c r="LBA234" s="16"/>
      <c r="LBB234" s="16"/>
      <c r="LBC234" s="16"/>
      <c r="LBD234" s="16"/>
      <c r="LBE234" s="15"/>
      <c r="LBF234" s="15"/>
      <c r="LBG234" s="10"/>
      <c r="LBH234" s="10"/>
      <c r="LBI234" s="19"/>
      <c r="LBJ234" s="19"/>
      <c r="LBM234" s="16"/>
      <c r="LBN234" s="15"/>
      <c r="LBO234" s="15"/>
      <c r="LBP234" s="15"/>
      <c r="LBQ234" s="16"/>
      <c r="LBR234" s="16"/>
      <c r="LBS234" s="16"/>
      <c r="LBT234" s="16"/>
      <c r="LBU234" s="16"/>
      <c r="LBV234" s="15"/>
      <c r="LBW234" s="15"/>
      <c r="LBX234" s="10"/>
      <c r="LBY234" s="10"/>
      <c r="LBZ234" s="19"/>
      <c r="LCA234" s="19"/>
      <c r="LCD234" s="16"/>
      <c r="LCE234" s="15"/>
      <c r="LCF234" s="15"/>
      <c r="LCG234" s="15"/>
      <c r="LCH234" s="16"/>
      <c r="LCI234" s="16"/>
      <c r="LCJ234" s="16"/>
      <c r="LCK234" s="16"/>
      <c r="LCL234" s="16"/>
      <c r="LCM234" s="15"/>
      <c r="LCN234" s="15"/>
      <c r="LCO234" s="10"/>
      <c r="LCP234" s="10"/>
      <c r="LCQ234" s="19"/>
      <c r="LCR234" s="19"/>
      <c r="LCU234" s="16"/>
      <c r="LCV234" s="15"/>
      <c r="LCW234" s="15"/>
      <c r="LCX234" s="15"/>
      <c r="LCY234" s="16"/>
      <c r="LCZ234" s="16"/>
      <c r="LDA234" s="16"/>
      <c r="LDB234" s="16"/>
      <c r="LDC234" s="16"/>
      <c r="LDD234" s="15"/>
      <c r="LDE234" s="15"/>
      <c r="LDF234" s="10"/>
      <c r="LDG234" s="10"/>
      <c r="LDH234" s="19"/>
      <c r="LDI234" s="19"/>
      <c r="LDL234" s="16"/>
      <c r="LDM234" s="15"/>
      <c r="LDN234" s="15"/>
      <c r="LDO234" s="15"/>
      <c r="LDP234" s="16"/>
      <c r="LDQ234" s="16"/>
      <c r="LDR234" s="16"/>
      <c r="LDS234" s="16"/>
      <c r="LDT234" s="16"/>
      <c r="LDU234" s="15"/>
      <c r="LDV234" s="15"/>
      <c r="LDW234" s="10"/>
      <c r="LDX234" s="10"/>
      <c r="LDY234" s="19"/>
      <c r="LDZ234" s="19"/>
      <c r="LEC234" s="16"/>
      <c r="LED234" s="15"/>
      <c r="LEE234" s="15"/>
      <c r="LEF234" s="15"/>
      <c r="LEG234" s="16"/>
      <c r="LEH234" s="16"/>
      <c r="LEI234" s="16"/>
      <c r="LEJ234" s="16"/>
      <c r="LEK234" s="16"/>
      <c r="LEL234" s="15"/>
      <c r="LEM234" s="15"/>
      <c r="LEN234" s="10"/>
      <c r="LEO234" s="10"/>
      <c r="LEP234" s="19"/>
      <c r="LEQ234" s="19"/>
      <c r="LET234" s="16"/>
      <c r="LEU234" s="15"/>
      <c r="LEV234" s="15"/>
      <c r="LEW234" s="15"/>
      <c r="LEX234" s="16"/>
      <c r="LEY234" s="16"/>
      <c r="LEZ234" s="16"/>
      <c r="LFA234" s="16"/>
      <c r="LFB234" s="16"/>
      <c r="LFC234" s="15"/>
      <c r="LFD234" s="15"/>
      <c r="LFE234" s="10"/>
      <c r="LFF234" s="10"/>
      <c r="LFG234" s="19"/>
      <c r="LFH234" s="19"/>
      <c r="LFK234" s="16"/>
      <c r="LFL234" s="15"/>
      <c r="LFM234" s="15"/>
      <c r="LFN234" s="15"/>
      <c r="LFO234" s="16"/>
      <c r="LFP234" s="16"/>
      <c r="LFQ234" s="16"/>
      <c r="LFR234" s="16"/>
      <c r="LFS234" s="16"/>
      <c r="LFT234" s="15"/>
      <c r="LFU234" s="15"/>
      <c r="LFV234" s="10"/>
      <c r="LFW234" s="10"/>
      <c r="LFX234" s="19"/>
      <c r="LFY234" s="19"/>
      <c r="LGB234" s="16"/>
      <c r="LGC234" s="15"/>
      <c r="LGD234" s="15"/>
      <c r="LGE234" s="15"/>
      <c r="LGF234" s="16"/>
      <c r="LGG234" s="16"/>
      <c r="LGH234" s="16"/>
      <c r="LGI234" s="16"/>
      <c r="LGJ234" s="16"/>
      <c r="LGK234" s="15"/>
      <c r="LGL234" s="15"/>
      <c r="LGM234" s="10"/>
      <c r="LGN234" s="10"/>
      <c r="LGO234" s="19"/>
      <c r="LGP234" s="19"/>
      <c r="LGS234" s="16"/>
      <c r="LGT234" s="15"/>
      <c r="LGU234" s="15"/>
      <c r="LGV234" s="15"/>
      <c r="LGW234" s="16"/>
      <c r="LGX234" s="16"/>
      <c r="LGY234" s="16"/>
      <c r="LGZ234" s="16"/>
      <c r="LHA234" s="16"/>
      <c r="LHB234" s="15"/>
      <c r="LHC234" s="15"/>
      <c r="LHD234" s="10"/>
      <c r="LHE234" s="10"/>
      <c r="LHF234" s="19"/>
      <c r="LHG234" s="19"/>
      <c r="LHJ234" s="16"/>
      <c r="LHK234" s="15"/>
      <c r="LHL234" s="15"/>
      <c r="LHM234" s="15"/>
      <c r="LHN234" s="16"/>
      <c r="LHO234" s="16"/>
      <c r="LHP234" s="16"/>
      <c r="LHQ234" s="16"/>
      <c r="LHR234" s="16"/>
      <c r="LHS234" s="15"/>
      <c r="LHT234" s="15"/>
      <c r="LHU234" s="10"/>
      <c r="LHV234" s="10"/>
      <c r="LHW234" s="19"/>
      <c r="LHX234" s="19"/>
      <c r="LIA234" s="16"/>
      <c r="LIB234" s="15"/>
      <c r="LIC234" s="15"/>
      <c r="LID234" s="15"/>
      <c r="LIE234" s="16"/>
      <c r="LIF234" s="16"/>
      <c r="LIG234" s="16"/>
      <c r="LIH234" s="16"/>
      <c r="LII234" s="16"/>
      <c r="LIJ234" s="15"/>
      <c r="LIK234" s="15"/>
      <c r="LIL234" s="10"/>
      <c r="LIM234" s="10"/>
      <c r="LIN234" s="19"/>
      <c r="LIO234" s="19"/>
      <c r="LIR234" s="16"/>
      <c r="LIS234" s="15"/>
      <c r="LIT234" s="15"/>
      <c r="LIU234" s="15"/>
      <c r="LIV234" s="16"/>
      <c r="LIW234" s="16"/>
      <c r="LIX234" s="16"/>
      <c r="LIY234" s="16"/>
      <c r="LIZ234" s="16"/>
      <c r="LJA234" s="15"/>
      <c r="LJB234" s="15"/>
      <c r="LJC234" s="10"/>
      <c r="LJD234" s="10"/>
      <c r="LJE234" s="19"/>
      <c r="LJF234" s="19"/>
      <c r="LJI234" s="16"/>
      <c r="LJJ234" s="15"/>
      <c r="LJK234" s="15"/>
      <c r="LJL234" s="15"/>
      <c r="LJM234" s="16"/>
      <c r="LJN234" s="16"/>
      <c r="LJO234" s="16"/>
      <c r="LJP234" s="16"/>
      <c r="LJQ234" s="16"/>
      <c r="LJR234" s="15"/>
      <c r="LJS234" s="15"/>
      <c r="LJT234" s="10"/>
      <c r="LJU234" s="10"/>
      <c r="LJV234" s="19"/>
      <c r="LJW234" s="19"/>
      <c r="LJZ234" s="16"/>
      <c r="LKA234" s="15"/>
      <c r="LKB234" s="15"/>
      <c r="LKC234" s="15"/>
      <c r="LKD234" s="16"/>
      <c r="LKE234" s="16"/>
      <c r="LKF234" s="16"/>
      <c r="LKG234" s="16"/>
      <c r="LKH234" s="16"/>
      <c r="LKI234" s="15"/>
      <c r="LKJ234" s="15"/>
      <c r="LKK234" s="10"/>
      <c r="LKL234" s="10"/>
      <c r="LKM234" s="19"/>
      <c r="LKN234" s="19"/>
      <c r="LKQ234" s="16"/>
      <c r="LKR234" s="15"/>
      <c r="LKS234" s="15"/>
      <c r="LKT234" s="15"/>
      <c r="LKU234" s="16"/>
      <c r="LKV234" s="16"/>
      <c r="LKW234" s="16"/>
      <c r="LKX234" s="16"/>
      <c r="LKY234" s="16"/>
      <c r="LKZ234" s="15"/>
      <c r="LLA234" s="15"/>
      <c r="LLB234" s="10"/>
      <c r="LLC234" s="10"/>
      <c r="LLD234" s="19"/>
      <c r="LLE234" s="19"/>
      <c r="LLH234" s="16"/>
      <c r="LLI234" s="15"/>
      <c r="LLJ234" s="15"/>
      <c r="LLK234" s="15"/>
      <c r="LLL234" s="16"/>
      <c r="LLM234" s="16"/>
      <c r="LLN234" s="16"/>
      <c r="LLO234" s="16"/>
      <c r="LLP234" s="16"/>
      <c r="LLQ234" s="15"/>
      <c r="LLR234" s="15"/>
      <c r="LLS234" s="10"/>
      <c r="LLT234" s="10"/>
      <c r="LLU234" s="19"/>
      <c r="LLV234" s="19"/>
      <c r="LLY234" s="16"/>
      <c r="LLZ234" s="15"/>
      <c r="LMA234" s="15"/>
      <c r="LMB234" s="15"/>
      <c r="LMC234" s="16"/>
      <c r="LMD234" s="16"/>
      <c r="LME234" s="16"/>
      <c r="LMF234" s="16"/>
      <c r="LMG234" s="16"/>
      <c r="LMH234" s="15"/>
      <c r="LMI234" s="15"/>
      <c r="LMJ234" s="10"/>
      <c r="LMK234" s="10"/>
      <c r="LML234" s="19"/>
      <c r="LMM234" s="19"/>
      <c r="LMP234" s="16"/>
      <c r="LMQ234" s="15"/>
      <c r="LMR234" s="15"/>
      <c r="LMS234" s="15"/>
      <c r="LMT234" s="16"/>
      <c r="LMU234" s="16"/>
      <c r="LMV234" s="16"/>
      <c r="LMW234" s="16"/>
      <c r="LMX234" s="16"/>
      <c r="LMY234" s="15"/>
      <c r="LMZ234" s="15"/>
      <c r="LNA234" s="10"/>
      <c r="LNB234" s="10"/>
      <c r="LNC234" s="19"/>
      <c r="LND234" s="19"/>
      <c r="LNG234" s="16"/>
      <c r="LNH234" s="15"/>
      <c r="LNI234" s="15"/>
      <c r="LNJ234" s="15"/>
      <c r="LNK234" s="16"/>
      <c r="LNL234" s="16"/>
      <c r="LNM234" s="16"/>
      <c r="LNN234" s="16"/>
      <c r="LNO234" s="16"/>
      <c r="LNP234" s="15"/>
      <c r="LNQ234" s="15"/>
      <c r="LNR234" s="10"/>
      <c r="LNS234" s="10"/>
      <c r="LNT234" s="19"/>
      <c r="LNU234" s="19"/>
      <c r="LNX234" s="16"/>
      <c r="LNY234" s="15"/>
      <c r="LNZ234" s="15"/>
      <c r="LOA234" s="15"/>
      <c r="LOB234" s="16"/>
      <c r="LOC234" s="16"/>
      <c r="LOD234" s="16"/>
      <c r="LOE234" s="16"/>
      <c r="LOF234" s="16"/>
      <c r="LOG234" s="15"/>
      <c r="LOH234" s="15"/>
      <c r="LOI234" s="10"/>
      <c r="LOJ234" s="10"/>
      <c r="LOK234" s="19"/>
      <c r="LOL234" s="19"/>
      <c r="LOO234" s="16"/>
      <c r="LOP234" s="15"/>
      <c r="LOQ234" s="15"/>
      <c r="LOR234" s="15"/>
      <c r="LOS234" s="16"/>
      <c r="LOT234" s="16"/>
      <c r="LOU234" s="16"/>
      <c r="LOV234" s="16"/>
      <c r="LOW234" s="16"/>
      <c r="LOX234" s="15"/>
      <c r="LOY234" s="15"/>
      <c r="LOZ234" s="10"/>
      <c r="LPA234" s="10"/>
      <c r="LPB234" s="19"/>
      <c r="LPC234" s="19"/>
      <c r="LPF234" s="16"/>
      <c r="LPG234" s="15"/>
      <c r="LPH234" s="15"/>
      <c r="LPI234" s="15"/>
      <c r="LPJ234" s="16"/>
      <c r="LPK234" s="16"/>
      <c r="LPL234" s="16"/>
      <c r="LPM234" s="16"/>
      <c r="LPN234" s="16"/>
      <c r="LPO234" s="15"/>
      <c r="LPP234" s="15"/>
      <c r="LPQ234" s="10"/>
      <c r="LPR234" s="10"/>
      <c r="LPS234" s="19"/>
      <c r="LPT234" s="19"/>
      <c r="LPW234" s="16"/>
      <c r="LPX234" s="15"/>
      <c r="LPY234" s="15"/>
      <c r="LPZ234" s="15"/>
      <c r="LQA234" s="16"/>
      <c r="LQB234" s="16"/>
      <c r="LQC234" s="16"/>
      <c r="LQD234" s="16"/>
      <c r="LQE234" s="16"/>
      <c r="LQF234" s="15"/>
      <c r="LQG234" s="15"/>
      <c r="LQH234" s="10"/>
      <c r="LQI234" s="10"/>
      <c r="LQJ234" s="19"/>
      <c r="LQK234" s="19"/>
      <c r="LQN234" s="16"/>
      <c r="LQO234" s="15"/>
      <c r="LQP234" s="15"/>
      <c r="LQQ234" s="15"/>
      <c r="LQR234" s="16"/>
      <c r="LQS234" s="16"/>
      <c r="LQT234" s="16"/>
      <c r="LQU234" s="16"/>
      <c r="LQV234" s="16"/>
      <c r="LQW234" s="15"/>
      <c r="LQX234" s="15"/>
      <c r="LQY234" s="10"/>
      <c r="LQZ234" s="10"/>
      <c r="LRA234" s="19"/>
      <c r="LRB234" s="19"/>
      <c r="LRE234" s="16"/>
      <c r="LRF234" s="15"/>
      <c r="LRG234" s="15"/>
      <c r="LRH234" s="15"/>
      <c r="LRI234" s="16"/>
      <c r="LRJ234" s="16"/>
      <c r="LRK234" s="16"/>
      <c r="LRL234" s="16"/>
      <c r="LRM234" s="16"/>
      <c r="LRN234" s="15"/>
      <c r="LRO234" s="15"/>
      <c r="LRP234" s="10"/>
      <c r="LRQ234" s="10"/>
      <c r="LRR234" s="19"/>
      <c r="LRS234" s="19"/>
      <c r="LRV234" s="16"/>
      <c r="LRW234" s="15"/>
      <c r="LRX234" s="15"/>
      <c r="LRY234" s="15"/>
      <c r="LRZ234" s="16"/>
      <c r="LSA234" s="16"/>
      <c r="LSB234" s="16"/>
      <c r="LSC234" s="16"/>
      <c r="LSD234" s="16"/>
      <c r="LSE234" s="15"/>
      <c r="LSF234" s="15"/>
      <c r="LSG234" s="10"/>
      <c r="LSH234" s="10"/>
      <c r="LSI234" s="19"/>
      <c r="LSJ234" s="19"/>
      <c r="LSM234" s="16"/>
      <c r="LSN234" s="15"/>
      <c r="LSO234" s="15"/>
      <c r="LSP234" s="15"/>
      <c r="LSQ234" s="16"/>
      <c r="LSR234" s="16"/>
      <c r="LSS234" s="16"/>
      <c r="LST234" s="16"/>
      <c r="LSU234" s="16"/>
      <c r="LSV234" s="15"/>
      <c r="LSW234" s="15"/>
      <c r="LSX234" s="10"/>
      <c r="LSY234" s="10"/>
      <c r="LSZ234" s="19"/>
      <c r="LTA234" s="19"/>
      <c r="LTD234" s="16"/>
      <c r="LTE234" s="15"/>
      <c r="LTF234" s="15"/>
      <c r="LTG234" s="15"/>
      <c r="LTH234" s="16"/>
      <c r="LTI234" s="16"/>
      <c r="LTJ234" s="16"/>
      <c r="LTK234" s="16"/>
      <c r="LTL234" s="16"/>
      <c r="LTM234" s="15"/>
      <c r="LTN234" s="15"/>
      <c r="LTO234" s="10"/>
      <c r="LTP234" s="10"/>
      <c r="LTQ234" s="19"/>
      <c r="LTR234" s="19"/>
      <c r="LTU234" s="16"/>
      <c r="LTV234" s="15"/>
      <c r="LTW234" s="15"/>
      <c r="LTX234" s="15"/>
      <c r="LTY234" s="16"/>
      <c r="LTZ234" s="16"/>
      <c r="LUA234" s="16"/>
      <c r="LUB234" s="16"/>
      <c r="LUC234" s="16"/>
      <c r="LUD234" s="15"/>
      <c r="LUE234" s="15"/>
      <c r="LUF234" s="10"/>
      <c r="LUG234" s="10"/>
      <c r="LUH234" s="19"/>
      <c r="LUI234" s="19"/>
      <c r="LUL234" s="16"/>
      <c r="LUM234" s="15"/>
      <c r="LUN234" s="15"/>
      <c r="LUO234" s="15"/>
      <c r="LUP234" s="16"/>
      <c r="LUQ234" s="16"/>
      <c r="LUR234" s="16"/>
      <c r="LUS234" s="16"/>
      <c r="LUT234" s="16"/>
      <c r="LUU234" s="15"/>
      <c r="LUV234" s="15"/>
      <c r="LUW234" s="10"/>
      <c r="LUX234" s="10"/>
      <c r="LUY234" s="19"/>
      <c r="LUZ234" s="19"/>
      <c r="LVC234" s="16"/>
      <c r="LVD234" s="15"/>
      <c r="LVE234" s="15"/>
      <c r="LVF234" s="15"/>
      <c r="LVG234" s="16"/>
      <c r="LVH234" s="16"/>
      <c r="LVI234" s="16"/>
      <c r="LVJ234" s="16"/>
      <c r="LVK234" s="16"/>
      <c r="LVL234" s="15"/>
      <c r="LVM234" s="15"/>
      <c r="LVN234" s="10"/>
      <c r="LVO234" s="10"/>
      <c r="LVP234" s="19"/>
      <c r="LVQ234" s="19"/>
      <c r="LVT234" s="16"/>
      <c r="LVU234" s="15"/>
      <c r="LVV234" s="15"/>
      <c r="LVW234" s="15"/>
      <c r="LVX234" s="16"/>
      <c r="LVY234" s="16"/>
      <c r="LVZ234" s="16"/>
      <c r="LWA234" s="16"/>
      <c r="LWB234" s="16"/>
      <c r="LWC234" s="15"/>
      <c r="LWD234" s="15"/>
      <c r="LWE234" s="10"/>
      <c r="LWF234" s="10"/>
      <c r="LWG234" s="19"/>
      <c r="LWH234" s="19"/>
      <c r="LWK234" s="16"/>
      <c r="LWL234" s="15"/>
      <c r="LWM234" s="15"/>
      <c r="LWN234" s="15"/>
      <c r="LWO234" s="16"/>
      <c r="LWP234" s="16"/>
      <c r="LWQ234" s="16"/>
      <c r="LWR234" s="16"/>
      <c r="LWS234" s="16"/>
      <c r="LWT234" s="15"/>
      <c r="LWU234" s="15"/>
      <c r="LWV234" s="10"/>
      <c r="LWW234" s="10"/>
      <c r="LWX234" s="19"/>
      <c r="LWY234" s="19"/>
      <c r="LXB234" s="16"/>
      <c r="LXC234" s="15"/>
      <c r="LXD234" s="15"/>
      <c r="LXE234" s="15"/>
      <c r="LXF234" s="16"/>
      <c r="LXG234" s="16"/>
      <c r="LXH234" s="16"/>
      <c r="LXI234" s="16"/>
      <c r="LXJ234" s="16"/>
      <c r="LXK234" s="15"/>
      <c r="LXL234" s="15"/>
      <c r="LXM234" s="10"/>
      <c r="LXN234" s="10"/>
      <c r="LXO234" s="19"/>
      <c r="LXP234" s="19"/>
      <c r="LXS234" s="16"/>
      <c r="LXT234" s="15"/>
      <c r="LXU234" s="15"/>
      <c r="LXV234" s="15"/>
      <c r="LXW234" s="16"/>
      <c r="LXX234" s="16"/>
      <c r="LXY234" s="16"/>
      <c r="LXZ234" s="16"/>
      <c r="LYA234" s="16"/>
      <c r="LYB234" s="15"/>
      <c r="LYC234" s="15"/>
      <c r="LYD234" s="10"/>
      <c r="LYE234" s="10"/>
      <c r="LYF234" s="19"/>
      <c r="LYG234" s="19"/>
      <c r="LYJ234" s="16"/>
      <c r="LYK234" s="15"/>
      <c r="LYL234" s="15"/>
      <c r="LYM234" s="15"/>
      <c r="LYN234" s="16"/>
      <c r="LYO234" s="16"/>
      <c r="LYP234" s="16"/>
      <c r="LYQ234" s="16"/>
      <c r="LYR234" s="16"/>
      <c r="LYS234" s="15"/>
      <c r="LYT234" s="15"/>
      <c r="LYU234" s="10"/>
      <c r="LYV234" s="10"/>
      <c r="LYW234" s="19"/>
      <c r="LYX234" s="19"/>
      <c r="LZA234" s="16"/>
      <c r="LZB234" s="15"/>
      <c r="LZC234" s="15"/>
      <c r="LZD234" s="15"/>
      <c r="LZE234" s="16"/>
      <c r="LZF234" s="16"/>
      <c r="LZG234" s="16"/>
      <c r="LZH234" s="16"/>
      <c r="LZI234" s="16"/>
      <c r="LZJ234" s="15"/>
      <c r="LZK234" s="15"/>
      <c r="LZL234" s="10"/>
      <c r="LZM234" s="10"/>
      <c r="LZN234" s="19"/>
      <c r="LZO234" s="19"/>
      <c r="LZR234" s="16"/>
      <c r="LZS234" s="15"/>
      <c r="LZT234" s="15"/>
      <c r="LZU234" s="15"/>
      <c r="LZV234" s="16"/>
      <c r="LZW234" s="16"/>
      <c r="LZX234" s="16"/>
      <c r="LZY234" s="16"/>
      <c r="LZZ234" s="16"/>
      <c r="MAA234" s="15"/>
      <c r="MAB234" s="15"/>
      <c r="MAC234" s="10"/>
      <c r="MAD234" s="10"/>
      <c r="MAE234" s="19"/>
      <c r="MAF234" s="19"/>
      <c r="MAI234" s="16"/>
      <c r="MAJ234" s="15"/>
      <c r="MAK234" s="15"/>
      <c r="MAL234" s="15"/>
      <c r="MAM234" s="16"/>
      <c r="MAN234" s="16"/>
      <c r="MAO234" s="16"/>
      <c r="MAP234" s="16"/>
      <c r="MAQ234" s="16"/>
      <c r="MAR234" s="15"/>
      <c r="MAS234" s="15"/>
      <c r="MAT234" s="10"/>
      <c r="MAU234" s="10"/>
      <c r="MAV234" s="19"/>
      <c r="MAW234" s="19"/>
      <c r="MAZ234" s="16"/>
      <c r="MBA234" s="15"/>
      <c r="MBB234" s="15"/>
      <c r="MBC234" s="15"/>
      <c r="MBD234" s="16"/>
      <c r="MBE234" s="16"/>
      <c r="MBF234" s="16"/>
      <c r="MBG234" s="16"/>
      <c r="MBH234" s="16"/>
      <c r="MBI234" s="15"/>
      <c r="MBJ234" s="15"/>
      <c r="MBK234" s="10"/>
      <c r="MBL234" s="10"/>
      <c r="MBM234" s="19"/>
      <c r="MBN234" s="19"/>
      <c r="MBQ234" s="16"/>
      <c r="MBR234" s="15"/>
      <c r="MBS234" s="15"/>
      <c r="MBT234" s="15"/>
      <c r="MBU234" s="16"/>
      <c r="MBV234" s="16"/>
      <c r="MBW234" s="16"/>
      <c r="MBX234" s="16"/>
      <c r="MBY234" s="16"/>
      <c r="MBZ234" s="15"/>
      <c r="MCA234" s="15"/>
      <c r="MCB234" s="10"/>
      <c r="MCC234" s="10"/>
      <c r="MCD234" s="19"/>
      <c r="MCE234" s="19"/>
      <c r="MCH234" s="16"/>
      <c r="MCI234" s="15"/>
      <c r="MCJ234" s="15"/>
      <c r="MCK234" s="15"/>
      <c r="MCL234" s="16"/>
      <c r="MCM234" s="16"/>
      <c r="MCN234" s="16"/>
      <c r="MCO234" s="16"/>
      <c r="MCP234" s="16"/>
      <c r="MCQ234" s="15"/>
      <c r="MCR234" s="15"/>
      <c r="MCS234" s="10"/>
      <c r="MCT234" s="10"/>
      <c r="MCU234" s="19"/>
      <c r="MCV234" s="19"/>
      <c r="MCY234" s="16"/>
      <c r="MCZ234" s="15"/>
      <c r="MDA234" s="15"/>
      <c r="MDB234" s="15"/>
      <c r="MDC234" s="16"/>
      <c r="MDD234" s="16"/>
      <c r="MDE234" s="16"/>
      <c r="MDF234" s="16"/>
      <c r="MDG234" s="16"/>
      <c r="MDH234" s="15"/>
      <c r="MDI234" s="15"/>
      <c r="MDJ234" s="10"/>
      <c r="MDK234" s="10"/>
      <c r="MDL234" s="19"/>
      <c r="MDM234" s="19"/>
      <c r="MDP234" s="16"/>
      <c r="MDQ234" s="15"/>
      <c r="MDR234" s="15"/>
      <c r="MDS234" s="15"/>
      <c r="MDT234" s="16"/>
      <c r="MDU234" s="16"/>
      <c r="MDV234" s="16"/>
      <c r="MDW234" s="16"/>
      <c r="MDX234" s="16"/>
      <c r="MDY234" s="15"/>
      <c r="MDZ234" s="15"/>
      <c r="MEA234" s="10"/>
      <c r="MEB234" s="10"/>
      <c r="MEC234" s="19"/>
      <c r="MED234" s="19"/>
      <c r="MEG234" s="16"/>
      <c r="MEH234" s="15"/>
      <c r="MEI234" s="15"/>
      <c r="MEJ234" s="15"/>
      <c r="MEK234" s="16"/>
      <c r="MEL234" s="16"/>
      <c r="MEM234" s="16"/>
      <c r="MEN234" s="16"/>
      <c r="MEO234" s="16"/>
      <c r="MEP234" s="15"/>
      <c r="MEQ234" s="15"/>
      <c r="MER234" s="10"/>
      <c r="MES234" s="10"/>
      <c r="MET234" s="19"/>
      <c r="MEU234" s="19"/>
      <c r="MEX234" s="16"/>
      <c r="MEY234" s="15"/>
      <c r="MEZ234" s="15"/>
      <c r="MFA234" s="15"/>
      <c r="MFB234" s="16"/>
      <c r="MFC234" s="16"/>
      <c r="MFD234" s="16"/>
      <c r="MFE234" s="16"/>
      <c r="MFF234" s="16"/>
      <c r="MFG234" s="15"/>
      <c r="MFH234" s="15"/>
      <c r="MFI234" s="10"/>
      <c r="MFJ234" s="10"/>
      <c r="MFK234" s="19"/>
      <c r="MFL234" s="19"/>
      <c r="MFO234" s="16"/>
      <c r="MFP234" s="15"/>
      <c r="MFQ234" s="15"/>
      <c r="MFR234" s="15"/>
      <c r="MFS234" s="16"/>
      <c r="MFT234" s="16"/>
      <c r="MFU234" s="16"/>
      <c r="MFV234" s="16"/>
      <c r="MFW234" s="16"/>
      <c r="MFX234" s="15"/>
      <c r="MFY234" s="15"/>
      <c r="MFZ234" s="10"/>
      <c r="MGA234" s="10"/>
      <c r="MGB234" s="19"/>
      <c r="MGC234" s="19"/>
      <c r="MGF234" s="16"/>
      <c r="MGG234" s="15"/>
      <c r="MGH234" s="15"/>
      <c r="MGI234" s="15"/>
      <c r="MGJ234" s="16"/>
      <c r="MGK234" s="16"/>
      <c r="MGL234" s="16"/>
      <c r="MGM234" s="16"/>
      <c r="MGN234" s="16"/>
      <c r="MGO234" s="15"/>
      <c r="MGP234" s="15"/>
      <c r="MGQ234" s="10"/>
      <c r="MGR234" s="10"/>
      <c r="MGS234" s="19"/>
      <c r="MGT234" s="19"/>
      <c r="MGW234" s="16"/>
      <c r="MGX234" s="15"/>
      <c r="MGY234" s="15"/>
      <c r="MGZ234" s="15"/>
      <c r="MHA234" s="16"/>
      <c r="MHB234" s="16"/>
      <c r="MHC234" s="16"/>
      <c r="MHD234" s="16"/>
      <c r="MHE234" s="16"/>
      <c r="MHF234" s="15"/>
      <c r="MHG234" s="15"/>
      <c r="MHH234" s="10"/>
      <c r="MHI234" s="10"/>
      <c r="MHJ234" s="19"/>
      <c r="MHK234" s="19"/>
      <c r="MHN234" s="16"/>
      <c r="MHO234" s="15"/>
      <c r="MHP234" s="15"/>
      <c r="MHQ234" s="15"/>
      <c r="MHR234" s="16"/>
      <c r="MHS234" s="16"/>
      <c r="MHT234" s="16"/>
      <c r="MHU234" s="16"/>
      <c r="MHV234" s="16"/>
      <c r="MHW234" s="15"/>
      <c r="MHX234" s="15"/>
      <c r="MHY234" s="10"/>
      <c r="MHZ234" s="10"/>
      <c r="MIA234" s="19"/>
      <c r="MIB234" s="19"/>
      <c r="MIE234" s="16"/>
      <c r="MIF234" s="15"/>
      <c r="MIG234" s="15"/>
      <c r="MIH234" s="15"/>
      <c r="MII234" s="16"/>
      <c r="MIJ234" s="16"/>
      <c r="MIK234" s="16"/>
      <c r="MIL234" s="16"/>
      <c r="MIM234" s="16"/>
      <c r="MIN234" s="15"/>
      <c r="MIO234" s="15"/>
      <c r="MIP234" s="10"/>
      <c r="MIQ234" s="10"/>
      <c r="MIR234" s="19"/>
      <c r="MIS234" s="19"/>
      <c r="MIV234" s="16"/>
      <c r="MIW234" s="15"/>
      <c r="MIX234" s="15"/>
      <c r="MIY234" s="15"/>
      <c r="MIZ234" s="16"/>
      <c r="MJA234" s="16"/>
      <c r="MJB234" s="16"/>
      <c r="MJC234" s="16"/>
      <c r="MJD234" s="16"/>
      <c r="MJE234" s="15"/>
      <c r="MJF234" s="15"/>
      <c r="MJG234" s="10"/>
      <c r="MJH234" s="10"/>
      <c r="MJI234" s="19"/>
      <c r="MJJ234" s="19"/>
      <c r="MJM234" s="16"/>
      <c r="MJN234" s="15"/>
      <c r="MJO234" s="15"/>
      <c r="MJP234" s="15"/>
      <c r="MJQ234" s="16"/>
      <c r="MJR234" s="16"/>
      <c r="MJS234" s="16"/>
      <c r="MJT234" s="16"/>
      <c r="MJU234" s="16"/>
      <c r="MJV234" s="15"/>
      <c r="MJW234" s="15"/>
      <c r="MJX234" s="10"/>
      <c r="MJY234" s="10"/>
      <c r="MJZ234" s="19"/>
      <c r="MKA234" s="19"/>
      <c r="MKD234" s="16"/>
      <c r="MKE234" s="15"/>
      <c r="MKF234" s="15"/>
      <c r="MKG234" s="15"/>
      <c r="MKH234" s="16"/>
      <c r="MKI234" s="16"/>
      <c r="MKJ234" s="16"/>
      <c r="MKK234" s="16"/>
      <c r="MKL234" s="16"/>
      <c r="MKM234" s="15"/>
      <c r="MKN234" s="15"/>
      <c r="MKO234" s="10"/>
      <c r="MKP234" s="10"/>
      <c r="MKQ234" s="19"/>
      <c r="MKR234" s="19"/>
      <c r="MKU234" s="16"/>
      <c r="MKV234" s="15"/>
      <c r="MKW234" s="15"/>
      <c r="MKX234" s="15"/>
      <c r="MKY234" s="16"/>
      <c r="MKZ234" s="16"/>
      <c r="MLA234" s="16"/>
      <c r="MLB234" s="16"/>
      <c r="MLC234" s="16"/>
      <c r="MLD234" s="15"/>
      <c r="MLE234" s="15"/>
      <c r="MLF234" s="10"/>
      <c r="MLG234" s="10"/>
      <c r="MLH234" s="19"/>
      <c r="MLI234" s="19"/>
      <c r="MLL234" s="16"/>
      <c r="MLM234" s="15"/>
      <c r="MLN234" s="15"/>
      <c r="MLO234" s="15"/>
      <c r="MLP234" s="16"/>
      <c r="MLQ234" s="16"/>
      <c r="MLR234" s="16"/>
      <c r="MLS234" s="16"/>
      <c r="MLT234" s="16"/>
      <c r="MLU234" s="15"/>
      <c r="MLV234" s="15"/>
      <c r="MLW234" s="10"/>
      <c r="MLX234" s="10"/>
      <c r="MLY234" s="19"/>
      <c r="MLZ234" s="19"/>
      <c r="MMC234" s="16"/>
      <c r="MMD234" s="15"/>
      <c r="MME234" s="15"/>
      <c r="MMF234" s="15"/>
      <c r="MMG234" s="16"/>
      <c r="MMH234" s="16"/>
      <c r="MMI234" s="16"/>
      <c r="MMJ234" s="16"/>
      <c r="MMK234" s="16"/>
      <c r="MML234" s="15"/>
      <c r="MMM234" s="15"/>
      <c r="MMN234" s="10"/>
      <c r="MMO234" s="10"/>
      <c r="MMP234" s="19"/>
      <c r="MMQ234" s="19"/>
      <c r="MMT234" s="16"/>
      <c r="MMU234" s="15"/>
      <c r="MMV234" s="15"/>
      <c r="MMW234" s="15"/>
      <c r="MMX234" s="16"/>
      <c r="MMY234" s="16"/>
      <c r="MMZ234" s="16"/>
      <c r="MNA234" s="16"/>
      <c r="MNB234" s="16"/>
      <c r="MNC234" s="15"/>
      <c r="MND234" s="15"/>
      <c r="MNE234" s="10"/>
      <c r="MNF234" s="10"/>
      <c r="MNG234" s="19"/>
      <c r="MNH234" s="19"/>
      <c r="MNK234" s="16"/>
      <c r="MNL234" s="15"/>
      <c r="MNM234" s="15"/>
      <c r="MNN234" s="15"/>
      <c r="MNO234" s="16"/>
      <c r="MNP234" s="16"/>
      <c r="MNQ234" s="16"/>
      <c r="MNR234" s="16"/>
      <c r="MNS234" s="16"/>
      <c r="MNT234" s="15"/>
      <c r="MNU234" s="15"/>
      <c r="MNV234" s="10"/>
      <c r="MNW234" s="10"/>
      <c r="MNX234" s="19"/>
      <c r="MNY234" s="19"/>
      <c r="MOB234" s="16"/>
      <c r="MOC234" s="15"/>
      <c r="MOD234" s="15"/>
      <c r="MOE234" s="15"/>
      <c r="MOF234" s="16"/>
      <c r="MOG234" s="16"/>
      <c r="MOH234" s="16"/>
      <c r="MOI234" s="16"/>
      <c r="MOJ234" s="16"/>
      <c r="MOK234" s="15"/>
      <c r="MOL234" s="15"/>
      <c r="MOM234" s="10"/>
      <c r="MON234" s="10"/>
      <c r="MOO234" s="19"/>
      <c r="MOP234" s="19"/>
      <c r="MOS234" s="16"/>
      <c r="MOT234" s="15"/>
      <c r="MOU234" s="15"/>
      <c r="MOV234" s="15"/>
      <c r="MOW234" s="16"/>
      <c r="MOX234" s="16"/>
      <c r="MOY234" s="16"/>
      <c r="MOZ234" s="16"/>
      <c r="MPA234" s="16"/>
      <c r="MPB234" s="15"/>
      <c r="MPC234" s="15"/>
      <c r="MPD234" s="10"/>
      <c r="MPE234" s="10"/>
      <c r="MPF234" s="19"/>
      <c r="MPG234" s="19"/>
      <c r="MPJ234" s="16"/>
      <c r="MPK234" s="15"/>
      <c r="MPL234" s="15"/>
      <c r="MPM234" s="15"/>
      <c r="MPN234" s="16"/>
      <c r="MPO234" s="16"/>
      <c r="MPP234" s="16"/>
      <c r="MPQ234" s="16"/>
      <c r="MPR234" s="16"/>
      <c r="MPS234" s="15"/>
      <c r="MPT234" s="15"/>
      <c r="MPU234" s="10"/>
      <c r="MPV234" s="10"/>
      <c r="MPW234" s="19"/>
      <c r="MPX234" s="19"/>
      <c r="MQA234" s="16"/>
      <c r="MQB234" s="15"/>
      <c r="MQC234" s="15"/>
      <c r="MQD234" s="15"/>
      <c r="MQE234" s="16"/>
      <c r="MQF234" s="16"/>
      <c r="MQG234" s="16"/>
      <c r="MQH234" s="16"/>
      <c r="MQI234" s="16"/>
      <c r="MQJ234" s="15"/>
      <c r="MQK234" s="15"/>
      <c r="MQL234" s="10"/>
      <c r="MQM234" s="10"/>
      <c r="MQN234" s="19"/>
      <c r="MQO234" s="19"/>
      <c r="MQR234" s="16"/>
      <c r="MQS234" s="15"/>
      <c r="MQT234" s="15"/>
      <c r="MQU234" s="15"/>
      <c r="MQV234" s="16"/>
      <c r="MQW234" s="16"/>
      <c r="MQX234" s="16"/>
      <c r="MQY234" s="16"/>
      <c r="MQZ234" s="16"/>
      <c r="MRA234" s="15"/>
      <c r="MRB234" s="15"/>
      <c r="MRC234" s="10"/>
      <c r="MRD234" s="10"/>
      <c r="MRE234" s="19"/>
      <c r="MRF234" s="19"/>
      <c r="MRI234" s="16"/>
      <c r="MRJ234" s="15"/>
      <c r="MRK234" s="15"/>
      <c r="MRL234" s="15"/>
      <c r="MRM234" s="16"/>
      <c r="MRN234" s="16"/>
      <c r="MRO234" s="16"/>
      <c r="MRP234" s="16"/>
      <c r="MRQ234" s="16"/>
      <c r="MRR234" s="15"/>
      <c r="MRS234" s="15"/>
      <c r="MRT234" s="10"/>
      <c r="MRU234" s="10"/>
      <c r="MRV234" s="19"/>
      <c r="MRW234" s="19"/>
      <c r="MRZ234" s="16"/>
      <c r="MSA234" s="15"/>
      <c r="MSB234" s="15"/>
      <c r="MSC234" s="15"/>
      <c r="MSD234" s="16"/>
      <c r="MSE234" s="16"/>
      <c r="MSF234" s="16"/>
      <c r="MSG234" s="16"/>
      <c r="MSH234" s="16"/>
      <c r="MSI234" s="15"/>
      <c r="MSJ234" s="15"/>
      <c r="MSK234" s="10"/>
      <c r="MSL234" s="10"/>
      <c r="MSM234" s="19"/>
      <c r="MSN234" s="19"/>
      <c r="MSQ234" s="16"/>
      <c r="MSR234" s="15"/>
      <c r="MSS234" s="15"/>
      <c r="MST234" s="15"/>
      <c r="MSU234" s="16"/>
      <c r="MSV234" s="16"/>
      <c r="MSW234" s="16"/>
      <c r="MSX234" s="16"/>
      <c r="MSY234" s="16"/>
      <c r="MSZ234" s="15"/>
      <c r="MTA234" s="15"/>
      <c r="MTB234" s="10"/>
      <c r="MTC234" s="10"/>
      <c r="MTD234" s="19"/>
      <c r="MTE234" s="19"/>
      <c r="MTH234" s="16"/>
      <c r="MTI234" s="15"/>
      <c r="MTJ234" s="15"/>
      <c r="MTK234" s="15"/>
      <c r="MTL234" s="16"/>
      <c r="MTM234" s="16"/>
      <c r="MTN234" s="16"/>
      <c r="MTO234" s="16"/>
      <c r="MTP234" s="16"/>
      <c r="MTQ234" s="15"/>
      <c r="MTR234" s="15"/>
      <c r="MTS234" s="10"/>
      <c r="MTT234" s="10"/>
      <c r="MTU234" s="19"/>
      <c r="MTV234" s="19"/>
      <c r="MTY234" s="16"/>
      <c r="MTZ234" s="15"/>
      <c r="MUA234" s="15"/>
      <c r="MUB234" s="15"/>
      <c r="MUC234" s="16"/>
      <c r="MUD234" s="16"/>
      <c r="MUE234" s="16"/>
      <c r="MUF234" s="16"/>
      <c r="MUG234" s="16"/>
      <c r="MUH234" s="15"/>
      <c r="MUI234" s="15"/>
      <c r="MUJ234" s="10"/>
      <c r="MUK234" s="10"/>
      <c r="MUL234" s="19"/>
      <c r="MUM234" s="19"/>
      <c r="MUP234" s="16"/>
      <c r="MUQ234" s="15"/>
      <c r="MUR234" s="15"/>
      <c r="MUS234" s="15"/>
      <c r="MUT234" s="16"/>
      <c r="MUU234" s="16"/>
      <c r="MUV234" s="16"/>
      <c r="MUW234" s="16"/>
      <c r="MUX234" s="16"/>
      <c r="MUY234" s="15"/>
      <c r="MUZ234" s="15"/>
      <c r="MVA234" s="10"/>
      <c r="MVB234" s="10"/>
      <c r="MVC234" s="19"/>
      <c r="MVD234" s="19"/>
      <c r="MVG234" s="16"/>
      <c r="MVH234" s="15"/>
      <c r="MVI234" s="15"/>
      <c r="MVJ234" s="15"/>
      <c r="MVK234" s="16"/>
      <c r="MVL234" s="16"/>
      <c r="MVM234" s="16"/>
      <c r="MVN234" s="16"/>
      <c r="MVO234" s="16"/>
      <c r="MVP234" s="15"/>
      <c r="MVQ234" s="15"/>
      <c r="MVR234" s="10"/>
      <c r="MVS234" s="10"/>
      <c r="MVT234" s="19"/>
      <c r="MVU234" s="19"/>
      <c r="MVX234" s="16"/>
      <c r="MVY234" s="15"/>
      <c r="MVZ234" s="15"/>
      <c r="MWA234" s="15"/>
      <c r="MWB234" s="16"/>
      <c r="MWC234" s="16"/>
      <c r="MWD234" s="16"/>
      <c r="MWE234" s="16"/>
      <c r="MWF234" s="16"/>
      <c r="MWG234" s="15"/>
      <c r="MWH234" s="15"/>
      <c r="MWI234" s="10"/>
      <c r="MWJ234" s="10"/>
      <c r="MWK234" s="19"/>
      <c r="MWL234" s="19"/>
      <c r="MWO234" s="16"/>
      <c r="MWP234" s="15"/>
      <c r="MWQ234" s="15"/>
      <c r="MWR234" s="15"/>
      <c r="MWS234" s="16"/>
      <c r="MWT234" s="16"/>
      <c r="MWU234" s="16"/>
      <c r="MWV234" s="16"/>
      <c r="MWW234" s="16"/>
      <c r="MWX234" s="15"/>
      <c r="MWY234" s="15"/>
      <c r="MWZ234" s="10"/>
      <c r="MXA234" s="10"/>
      <c r="MXB234" s="19"/>
      <c r="MXC234" s="19"/>
      <c r="MXF234" s="16"/>
      <c r="MXG234" s="15"/>
      <c r="MXH234" s="15"/>
      <c r="MXI234" s="15"/>
      <c r="MXJ234" s="16"/>
      <c r="MXK234" s="16"/>
      <c r="MXL234" s="16"/>
      <c r="MXM234" s="16"/>
      <c r="MXN234" s="16"/>
      <c r="MXO234" s="15"/>
      <c r="MXP234" s="15"/>
      <c r="MXQ234" s="10"/>
      <c r="MXR234" s="10"/>
      <c r="MXS234" s="19"/>
      <c r="MXT234" s="19"/>
      <c r="MXW234" s="16"/>
      <c r="MXX234" s="15"/>
      <c r="MXY234" s="15"/>
      <c r="MXZ234" s="15"/>
      <c r="MYA234" s="16"/>
      <c r="MYB234" s="16"/>
      <c r="MYC234" s="16"/>
      <c r="MYD234" s="16"/>
      <c r="MYE234" s="16"/>
      <c r="MYF234" s="15"/>
      <c r="MYG234" s="15"/>
      <c r="MYH234" s="10"/>
      <c r="MYI234" s="10"/>
      <c r="MYJ234" s="19"/>
      <c r="MYK234" s="19"/>
      <c r="MYN234" s="16"/>
      <c r="MYO234" s="15"/>
      <c r="MYP234" s="15"/>
      <c r="MYQ234" s="15"/>
      <c r="MYR234" s="16"/>
      <c r="MYS234" s="16"/>
      <c r="MYT234" s="16"/>
      <c r="MYU234" s="16"/>
      <c r="MYV234" s="16"/>
      <c r="MYW234" s="15"/>
      <c r="MYX234" s="15"/>
      <c r="MYY234" s="10"/>
      <c r="MYZ234" s="10"/>
      <c r="MZA234" s="19"/>
      <c r="MZB234" s="19"/>
      <c r="MZE234" s="16"/>
      <c r="MZF234" s="15"/>
      <c r="MZG234" s="15"/>
      <c r="MZH234" s="15"/>
      <c r="MZI234" s="16"/>
      <c r="MZJ234" s="16"/>
      <c r="MZK234" s="16"/>
      <c r="MZL234" s="16"/>
      <c r="MZM234" s="16"/>
      <c r="MZN234" s="15"/>
      <c r="MZO234" s="15"/>
      <c r="MZP234" s="10"/>
      <c r="MZQ234" s="10"/>
      <c r="MZR234" s="19"/>
      <c r="MZS234" s="19"/>
      <c r="MZV234" s="16"/>
      <c r="MZW234" s="15"/>
      <c r="MZX234" s="15"/>
      <c r="MZY234" s="15"/>
      <c r="MZZ234" s="16"/>
      <c r="NAA234" s="16"/>
      <c r="NAB234" s="16"/>
      <c r="NAC234" s="16"/>
      <c r="NAD234" s="16"/>
      <c r="NAE234" s="15"/>
      <c r="NAF234" s="15"/>
      <c r="NAG234" s="10"/>
      <c r="NAH234" s="10"/>
      <c r="NAI234" s="19"/>
      <c r="NAJ234" s="19"/>
      <c r="NAM234" s="16"/>
      <c r="NAN234" s="15"/>
      <c r="NAO234" s="15"/>
      <c r="NAP234" s="15"/>
      <c r="NAQ234" s="16"/>
      <c r="NAR234" s="16"/>
      <c r="NAS234" s="16"/>
      <c r="NAT234" s="16"/>
      <c r="NAU234" s="16"/>
      <c r="NAV234" s="15"/>
      <c r="NAW234" s="15"/>
      <c r="NAX234" s="10"/>
      <c r="NAY234" s="10"/>
      <c r="NAZ234" s="19"/>
      <c r="NBA234" s="19"/>
      <c r="NBD234" s="16"/>
      <c r="NBE234" s="15"/>
      <c r="NBF234" s="15"/>
      <c r="NBG234" s="15"/>
      <c r="NBH234" s="16"/>
      <c r="NBI234" s="16"/>
      <c r="NBJ234" s="16"/>
      <c r="NBK234" s="16"/>
      <c r="NBL234" s="16"/>
      <c r="NBM234" s="15"/>
      <c r="NBN234" s="15"/>
      <c r="NBO234" s="10"/>
      <c r="NBP234" s="10"/>
      <c r="NBQ234" s="19"/>
      <c r="NBR234" s="19"/>
      <c r="NBU234" s="16"/>
      <c r="NBV234" s="15"/>
      <c r="NBW234" s="15"/>
      <c r="NBX234" s="15"/>
      <c r="NBY234" s="16"/>
      <c r="NBZ234" s="16"/>
      <c r="NCA234" s="16"/>
      <c r="NCB234" s="16"/>
      <c r="NCC234" s="16"/>
      <c r="NCD234" s="15"/>
      <c r="NCE234" s="15"/>
      <c r="NCF234" s="10"/>
      <c r="NCG234" s="10"/>
      <c r="NCH234" s="19"/>
      <c r="NCI234" s="19"/>
      <c r="NCL234" s="16"/>
      <c r="NCM234" s="15"/>
      <c r="NCN234" s="15"/>
      <c r="NCO234" s="15"/>
      <c r="NCP234" s="16"/>
      <c r="NCQ234" s="16"/>
      <c r="NCR234" s="16"/>
      <c r="NCS234" s="16"/>
      <c r="NCT234" s="16"/>
      <c r="NCU234" s="15"/>
      <c r="NCV234" s="15"/>
      <c r="NCW234" s="10"/>
      <c r="NCX234" s="10"/>
      <c r="NCY234" s="19"/>
      <c r="NCZ234" s="19"/>
      <c r="NDC234" s="16"/>
      <c r="NDD234" s="15"/>
      <c r="NDE234" s="15"/>
      <c r="NDF234" s="15"/>
      <c r="NDG234" s="16"/>
      <c r="NDH234" s="16"/>
      <c r="NDI234" s="16"/>
      <c r="NDJ234" s="16"/>
      <c r="NDK234" s="16"/>
      <c r="NDL234" s="15"/>
      <c r="NDM234" s="15"/>
      <c r="NDN234" s="10"/>
      <c r="NDO234" s="10"/>
      <c r="NDP234" s="19"/>
      <c r="NDQ234" s="19"/>
      <c r="NDT234" s="16"/>
      <c r="NDU234" s="15"/>
      <c r="NDV234" s="15"/>
      <c r="NDW234" s="15"/>
      <c r="NDX234" s="16"/>
      <c r="NDY234" s="16"/>
      <c r="NDZ234" s="16"/>
      <c r="NEA234" s="16"/>
      <c r="NEB234" s="16"/>
      <c r="NEC234" s="15"/>
      <c r="NED234" s="15"/>
      <c r="NEE234" s="10"/>
      <c r="NEF234" s="10"/>
      <c r="NEG234" s="19"/>
      <c r="NEH234" s="19"/>
      <c r="NEK234" s="16"/>
      <c r="NEL234" s="15"/>
      <c r="NEM234" s="15"/>
      <c r="NEN234" s="15"/>
      <c r="NEO234" s="16"/>
      <c r="NEP234" s="16"/>
      <c r="NEQ234" s="16"/>
      <c r="NER234" s="16"/>
      <c r="NES234" s="16"/>
      <c r="NET234" s="15"/>
      <c r="NEU234" s="15"/>
      <c r="NEV234" s="10"/>
      <c r="NEW234" s="10"/>
      <c r="NEX234" s="19"/>
      <c r="NEY234" s="19"/>
      <c r="NFB234" s="16"/>
      <c r="NFC234" s="15"/>
      <c r="NFD234" s="15"/>
      <c r="NFE234" s="15"/>
      <c r="NFF234" s="16"/>
      <c r="NFG234" s="16"/>
      <c r="NFH234" s="16"/>
      <c r="NFI234" s="16"/>
      <c r="NFJ234" s="16"/>
      <c r="NFK234" s="15"/>
      <c r="NFL234" s="15"/>
      <c r="NFM234" s="10"/>
      <c r="NFN234" s="10"/>
      <c r="NFO234" s="19"/>
      <c r="NFP234" s="19"/>
      <c r="NFS234" s="16"/>
      <c r="NFT234" s="15"/>
      <c r="NFU234" s="15"/>
      <c r="NFV234" s="15"/>
      <c r="NFW234" s="16"/>
      <c r="NFX234" s="16"/>
      <c r="NFY234" s="16"/>
      <c r="NFZ234" s="16"/>
      <c r="NGA234" s="16"/>
      <c r="NGB234" s="15"/>
      <c r="NGC234" s="15"/>
      <c r="NGD234" s="10"/>
      <c r="NGE234" s="10"/>
      <c r="NGF234" s="19"/>
      <c r="NGG234" s="19"/>
      <c r="NGJ234" s="16"/>
      <c r="NGK234" s="15"/>
      <c r="NGL234" s="15"/>
      <c r="NGM234" s="15"/>
      <c r="NGN234" s="16"/>
      <c r="NGO234" s="16"/>
      <c r="NGP234" s="16"/>
      <c r="NGQ234" s="16"/>
      <c r="NGR234" s="16"/>
      <c r="NGS234" s="15"/>
      <c r="NGT234" s="15"/>
      <c r="NGU234" s="10"/>
      <c r="NGV234" s="10"/>
      <c r="NGW234" s="19"/>
      <c r="NGX234" s="19"/>
      <c r="NHA234" s="16"/>
      <c r="NHB234" s="15"/>
      <c r="NHC234" s="15"/>
      <c r="NHD234" s="15"/>
      <c r="NHE234" s="16"/>
      <c r="NHF234" s="16"/>
      <c r="NHG234" s="16"/>
      <c r="NHH234" s="16"/>
      <c r="NHI234" s="16"/>
      <c r="NHJ234" s="15"/>
      <c r="NHK234" s="15"/>
      <c r="NHL234" s="10"/>
      <c r="NHM234" s="10"/>
      <c r="NHN234" s="19"/>
      <c r="NHO234" s="19"/>
      <c r="NHR234" s="16"/>
      <c r="NHS234" s="15"/>
      <c r="NHT234" s="15"/>
      <c r="NHU234" s="15"/>
      <c r="NHV234" s="16"/>
      <c r="NHW234" s="16"/>
      <c r="NHX234" s="16"/>
      <c r="NHY234" s="16"/>
      <c r="NHZ234" s="16"/>
      <c r="NIA234" s="15"/>
      <c r="NIB234" s="15"/>
      <c r="NIC234" s="10"/>
      <c r="NID234" s="10"/>
      <c r="NIE234" s="19"/>
      <c r="NIF234" s="19"/>
      <c r="NII234" s="16"/>
      <c r="NIJ234" s="15"/>
      <c r="NIK234" s="15"/>
      <c r="NIL234" s="15"/>
      <c r="NIM234" s="16"/>
      <c r="NIN234" s="16"/>
      <c r="NIO234" s="16"/>
      <c r="NIP234" s="16"/>
      <c r="NIQ234" s="16"/>
      <c r="NIR234" s="15"/>
      <c r="NIS234" s="15"/>
      <c r="NIT234" s="10"/>
      <c r="NIU234" s="10"/>
      <c r="NIV234" s="19"/>
      <c r="NIW234" s="19"/>
      <c r="NIZ234" s="16"/>
      <c r="NJA234" s="15"/>
      <c r="NJB234" s="15"/>
      <c r="NJC234" s="15"/>
      <c r="NJD234" s="16"/>
      <c r="NJE234" s="16"/>
      <c r="NJF234" s="16"/>
      <c r="NJG234" s="16"/>
      <c r="NJH234" s="16"/>
      <c r="NJI234" s="15"/>
      <c r="NJJ234" s="15"/>
      <c r="NJK234" s="10"/>
      <c r="NJL234" s="10"/>
      <c r="NJM234" s="19"/>
      <c r="NJN234" s="19"/>
      <c r="NJQ234" s="16"/>
      <c r="NJR234" s="15"/>
      <c r="NJS234" s="15"/>
      <c r="NJT234" s="15"/>
      <c r="NJU234" s="16"/>
      <c r="NJV234" s="16"/>
      <c r="NJW234" s="16"/>
      <c r="NJX234" s="16"/>
      <c r="NJY234" s="16"/>
      <c r="NJZ234" s="15"/>
      <c r="NKA234" s="15"/>
      <c r="NKB234" s="10"/>
      <c r="NKC234" s="10"/>
      <c r="NKD234" s="19"/>
      <c r="NKE234" s="19"/>
      <c r="NKH234" s="16"/>
      <c r="NKI234" s="15"/>
      <c r="NKJ234" s="15"/>
      <c r="NKK234" s="15"/>
      <c r="NKL234" s="16"/>
      <c r="NKM234" s="16"/>
      <c r="NKN234" s="16"/>
      <c r="NKO234" s="16"/>
      <c r="NKP234" s="16"/>
      <c r="NKQ234" s="15"/>
      <c r="NKR234" s="15"/>
      <c r="NKS234" s="10"/>
      <c r="NKT234" s="10"/>
      <c r="NKU234" s="19"/>
      <c r="NKV234" s="19"/>
      <c r="NKY234" s="16"/>
      <c r="NKZ234" s="15"/>
      <c r="NLA234" s="15"/>
      <c r="NLB234" s="15"/>
      <c r="NLC234" s="16"/>
      <c r="NLD234" s="16"/>
      <c r="NLE234" s="16"/>
      <c r="NLF234" s="16"/>
      <c r="NLG234" s="16"/>
      <c r="NLH234" s="15"/>
      <c r="NLI234" s="15"/>
      <c r="NLJ234" s="10"/>
      <c r="NLK234" s="10"/>
      <c r="NLL234" s="19"/>
      <c r="NLM234" s="19"/>
      <c r="NLP234" s="16"/>
      <c r="NLQ234" s="15"/>
      <c r="NLR234" s="15"/>
      <c r="NLS234" s="15"/>
      <c r="NLT234" s="16"/>
      <c r="NLU234" s="16"/>
      <c r="NLV234" s="16"/>
      <c r="NLW234" s="16"/>
      <c r="NLX234" s="16"/>
      <c r="NLY234" s="15"/>
      <c r="NLZ234" s="15"/>
      <c r="NMA234" s="10"/>
      <c r="NMB234" s="10"/>
      <c r="NMC234" s="19"/>
      <c r="NMD234" s="19"/>
      <c r="NMG234" s="16"/>
      <c r="NMH234" s="15"/>
      <c r="NMI234" s="15"/>
      <c r="NMJ234" s="15"/>
      <c r="NMK234" s="16"/>
      <c r="NML234" s="16"/>
      <c r="NMM234" s="16"/>
      <c r="NMN234" s="16"/>
      <c r="NMO234" s="16"/>
      <c r="NMP234" s="15"/>
      <c r="NMQ234" s="15"/>
      <c r="NMR234" s="10"/>
      <c r="NMS234" s="10"/>
      <c r="NMT234" s="19"/>
      <c r="NMU234" s="19"/>
      <c r="NMX234" s="16"/>
      <c r="NMY234" s="15"/>
      <c r="NMZ234" s="15"/>
      <c r="NNA234" s="15"/>
      <c r="NNB234" s="16"/>
      <c r="NNC234" s="16"/>
      <c r="NND234" s="16"/>
      <c r="NNE234" s="16"/>
      <c r="NNF234" s="16"/>
      <c r="NNG234" s="15"/>
      <c r="NNH234" s="15"/>
      <c r="NNI234" s="10"/>
      <c r="NNJ234" s="10"/>
      <c r="NNK234" s="19"/>
      <c r="NNL234" s="19"/>
      <c r="NNO234" s="16"/>
      <c r="NNP234" s="15"/>
      <c r="NNQ234" s="15"/>
      <c r="NNR234" s="15"/>
      <c r="NNS234" s="16"/>
      <c r="NNT234" s="16"/>
      <c r="NNU234" s="16"/>
      <c r="NNV234" s="16"/>
      <c r="NNW234" s="16"/>
      <c r="NNX234" s="15"/>
      <c r="NNY234" s="15"/>
      <c r="NNZ234" s="10"/>
      <c r="NOA234" s="10"/>
      <c r="NOB234" s="19"/>
      <c r="NOC234" s="19"/>
      <c r="NOF234" s="16"/>
      <c r="NOG234" s="15"/>
      <c r="NOH234" s="15"/>
      <c r="NOI234" s="15"/>
      <c r="NOJ234" s="16"/>
      <c r="NOK234" s="16"/>
      <c r="NOL234" s="16"/>
      <c r="NOM234" s="16"/>
      <c r="NON234" s="16"/>
      <c r="NOO234" s="15"/>
      <c r="NOP234" s="15"/>
      <c r="NOQ234" s="10"/>
      <c r="NOR234" s="10"/>
      <c r="NOS234" s="19"/>
      <c r="NOT234" s="19"/>
      <c r="NOW234" s="16"/>
      <c r="NOX234" s="15"/>
      <c r="NOY234" s="15"/>
      <c r="NOZ234" s="15"/>
      <c r="NPA234" s="16"/>
      <c r="NPB234" s="16"/>
      <c r="NPC234" s="16"/>
      <c r="NPD234" s="16"/>
      <c r="NPE234" s="16"/>
      <c r="NPF234" s="15"/>
      <c r="NPG234" s="15"/>
      <c r="NPH234" s="10"/>
      <c r="NPI234" s="10"/>
      <c r="NPJ234" s="19"/>
      <c r="NPK234" s="19"/>
      <c r="NPN234" s="16"/>
      <c r="NPO234" s="15"/>
      <c r="NPP234" s="15"/>
      <c r="NPQ234" s="15"/>
      <c r="NPR234" s="16"/>
      <c r="NPS234" s="16"/>
      <c r="NPT234" s="16"/>
      <c r="NPU234" s="16"/>
      <c r="NPV234" s="16"/>
      <c r="NPW234" s="15"/>
      <c r="NPX234" s="15"/>
      <c r="NPY234" s="10"/>
      <c r="NPZ234" s="10"/>
      <c r="NQA234" s="19"/>
      <c r="NQB234" s="19"/>
      <c r="NQE234" s="16"/>
      <c r="NQF234" s="15"/>
      <c r="NQG234" s="15"/>
      <c r="NQH234" s="15"/>
      <c r="NQI234" s="16"/>
      <c r="NQJ234" s="16"/>
      <c r="NQK234" s="16"/>
      <c r="NQL234" s="16"/>
      <c r="NQM234" s="16"/>
      <c r="NQN234" s="15"/>
      <c r="NQO234" s="15"/>
      <c r="NQP234" s="10"/>
      <c r="NQQ234" s="10"/>
      <c r="NQR234" s="19"/>
      <c r="NQS234" s="19"/>
      <c r="NQV234" s="16"/>
      <c r="NQW234" s="15"/>
      <c r="NQX234" s="15"/>
      <c r="NQY234" s="15"/>
      <c r="NQZ234" s="16"/>
      <c r="NRA234" s="16"/>
      <c r="NRB234" s="16"/>
      <c r="NRC234" s="16"/>
      <c r="NRD234" s="16"/>
      <c r="NRE234" s="15"/>
      <c r="NRF234" s="15"/>
      <c r="NRG234" s="10"/>
      <c r="NRH234" s="10"/>
      <c r="NRI234" s="19"/>
      <c r="NRJ234" s="19"/>
      <c r="NRM234" s="16"/>
      <c r="NRN234" s="15"/>
      <c r="NRO234" s="15"/>
      <c r="NRP234" s="15"/>
      <c r="NRQ234" s="16"/>
      <c r="NRR234" s="16"/>
      <c r="NRS234" s="16"/>
      <c r="NRT234" s="16"/>
      <c r="NRU234" s="16"/>
      <c r="NRV234" s="15"/>
      <c r="NRW234" s="15"/>
      <c r="NRX234" s="10"/>
      <c r="NRY234" s="10"/>
      <c r="NRZ234" s="19"/>
      <c r="NSA234" s="19"/>
      <c r="NSD234" s="16"/>
      <c r="NSE234" s="15"/>
      <c r="NSF234" s="15"/>
      <c r="NSG234" s="15"/>
      <c r="NSH234" s="16"/>
      <c r="NSI234" s="16"/>
      <c r="NSJ234" s="16"/>
      <c r="NSK234" s="16"/>
      <c r="NSL234" s="16"/>
      <c r="NSM234" s="15"/>
      <c r="NSN234" s="15"/>
      <c r="NSO234" s="10"/>
      <c r="NSP234" s="10"/>
      <c r="NSQ234" s="19"/>
      <c r="NSR234" s="19"/>
      <c r="NSU234" s="16"/>
      <c r="NSV234" s="15"/>
      <c r="NSW234" s="15"/>
      <c r="NSX234" s="15"/>
      <c r="NSY234" s="16"/>
      <c r="NSZ234" s="16"/>
      <c r="NTA234" s="16"/>
      <c r="NTB234" s="16"/>
      <c r="NTC234" s="16"/>
      <c r="NTD234" s="15"/>
      <c r="NTE234" s="15"/>
      <c r="NTF234" s="10"/>
      <c r="NTG234" s="10"/>
      <c r="NTH234" s="19"/>
      <c r="NTI234" s="19"/>
      <c r="NTL234" s="16"/>
      <c r="NTM234" s="15"/>
      <c r="NTN234" s="15"/>
      <c r="NTO234" s="15"/>
      <c r="NTP234" s="16"/>
      <c r="NTQ234" s="16"/>
      <c r="NTR234" s="16"/>
      <c r="NTS234" s="16"/>
      <c r="NTT234" s="16"/>
      <c r="NTU234" s="15"/>
      <c r="NTV234" s="15"/>
      <c r="NTW234" s="10"/>
      <c r="NTX234" s="10"/>
      <c r="NTY234" s="19"/>
      <c r="NTZ234" s="19"/>
      <c r="NUC234" s="16"/>
      <c r="NUD234" s="15"/>
      <c r="NUE234" s="15"/>
      <c r="NUF234" s="15"/>
      <c r="NUG234" s="16"/>
      <c r="NUH234" s="16"/>
      <c r="NUI234" s="16"/>
      <c r="NUJ234" s="16"/>
      <c r="NUK234" s="16"/>
      <c r="NUL234" s="15"/>
      <c r="NUM234" s="15"/>
      <c r="NUN234" s="10"/>
      <c r="NUO234" s="10"/>
      <c r="NUP234" s="19"/>
      <c r="NUQ234" s="19"/>
      <c r="NUT234" s="16"/>
      <c r="NUU234" s="15"/>
      <c r="NUV234" s="15"/>
      <c r="NUW234" s="15"/>
      <c r="NUX234" s="16"/>
      <c r="NUY234" s="16"/>
      <c r="NUZ234" s="16"/>
      <c r="NVA234" s="16"/>
      <c r="NVB234" s="16"/>
      <c r="NVC234" s="15"/>
      <c r="NVD234" s="15"/>
      <c r="NVE234" s="10"/>
      <c r="NVF234" s="10"/>
      <c r="NVG234" s="19"/>
      <c r="NVH234" s="19"/>
      <c r="NVK234" s="16"/>
      <c r="NVL234" s="15"/>
      <c r="NVM234" s="15"/>
      <c r="NVN234" s="15"/>
      <c r="NVO234" s="16"/>
      <c r="NVP234" s="16"/>
      <c r="NVQ234" s="16"/>
      <c r="NVR234" s="16"/>
      <c r="NVS234" s="16"/>
      <c r="NVT234" s="15"/>
      <c r="NVU234" s="15"/>
      <c r="NVV234" s="10"/>
      <c r="NVW234" s="10"/>
      <c r="NVX234" s="19"/>
      <c r="NVY234" s="19"/>
      <c r="NWB234" s="16"/>
      <c r="NWC234" s="15"/>
      <c r="NWD234" s="15"/>
      <c r="NWE234" s="15"/>
      <c r="NWF234" s="16"/>
      <c r="NWG234" s="16"/>
      <c r="NWH234" s="16"/>
      <c r="NWI234" s="16"/>
      <c r="NWJ234" s="16"/>
      <c r="NWK234" s="15"/>
      <c r="NWL234" s="15"/>
      <c r="NWM234" s="10"/>
      <c r="NWN234" s="10"/>
      <c r="NWO234" s="19"/>
      <c r="NWP234" s="19"/>
      <c r="NWS234" s="16"/>
      <c r="NWT234" s="15"/>
      <c r="NWU234" s="15"/>
      <c r="NWV234" s="15"/>
      <c r="NWW234" s="16"/>
      <c r="NWX234" s="16"/>
      <c r="NWY234" s="16"/>
      <c r="NWZ234" s="16"/>
      <c r="NXA234" s="16"/>
      <c r="NXB234" s="15"/>
      <c r="NXC234" s="15"/>
      <c r="NXD234" s="10"/>
      <c r="NXE234" s="10"/>
      <c r="NXF234" s="19"/>
      <c r="NXG234" s="19"/>
      <c r="NXJ234" s="16"/>
      <c r="NXK234" s="15"/>
      <c r="NXL234" s="15"/>
      <c r="NXM234" s="15"/>
      <c r="NXN234" s="16"/>
      <c r="NXO234" s="16"/>
      <c r="NXP234" s="16"/>
      <c r="NXQ234" s="16"/>
      <c r="NXR234" s="16"/>
      <c r="NXS234" s="15"/>
      <c r="NXT234" s="15"/>
      <c r="NXU234" s="10"/>
      <c r="NXV234" s="10"/>
      <c r="NXW234" s="19"/>
      <c r="NXX234" s="19"/>
      <c r="NYA234" s="16"/>
      <c r="NYB234" s="15"/>
      <c r="NYC234" s="15"/>
      <c r="NYD234" s="15"/>
      <c r="NYE234" s="16"/>
      <c r="NYF234" s="16"/>
      <c r="NYG234" s="16"/>
      <c r="NYH234" s="16"/>
      <c r="NYI234" s="16"/>
      <c r="NYJ234" s="15"/>
      <c r="NYK234" s="15"/>
      <c r="NYL234" s="10"/>
      <c r="NYM234" s="10"/>
      <c r="NYN234" s="19"/>
      <c r="NYO234" s="19"/>
      <c r="NYR234" s="16"/>
      <c r="NYS234" s="15"/>
      <c r="NYT234" s="15"/>
      <c r="NYU234" s="15"/>
      <c r="NYV234" s="16"/>
      <c r="NYW234" s="16"/>
      <c r="NYX234" s="16"/>
      <c r="NYY234" s="16"/>
      <c r="NYZ234" s="16"/>
      <c r="NZA234" s="15"/>
      <c r="NZB234" s="15"/>
      <c r="NZC234" s="10"/>
      <c r="NZD234" s="10"/>
      <c r="NZE234" s="19"/>
      <c r="NZF234" s="19"/>
      <c r="NZI234" s="16"/>
      <c r="NZJ234" s="15"/>
      <c r="NZK234" s="15"/>
      <c r="NZL234" s="15"/>
      <c r="NZM234" s="16"/>
      <c r="NZN234" s="16"/>
      <c r="NZO234" s="16"/>
      <c r="NZP234" s="16"/>
      <c r="NZQ234" s="16"/>
      <c r="NZR234" s="15"/>
      <c r="NZS234" s="15"/>
      <c r="NZT234" s="10"/>
      <c r="NZU234" s="10"/>
      <c r="NZV234" s="19"/>
      <c r="NZW234" s="19"/>
      <c r="NZZ234" s="16"/>
      <c r="OAA234" s="15"/>
      <c r="OAB234" s="15"/>
      <c r="OAC234" s="15"/>
      <c r="OAD234" s="16"/>
      <c r="OAE234" s="16"/>
      <c r="OAF234" s="16"/>
      <c r="OAG234" s="16"/>
      <c r="OAH234" s="16"/>
      <c r="OAI234" s="15"/>
      <c r="OAJ234" s="15"/>
      <c r="OAK234" s="10"/>
      <c r="OAL234" s="10"/>
      <c r="OAM234" s="19"/>
      <c r="OAN234" s="19"/>
      <c r="OAQ234" s="16"/>
      <c r="OAR234" s="15"/>
      <c r="OAS234" s="15"/>
      <c r="OAT234" s="15"/>
      <c r="OAU234" s="16"/>
      <c r="OAV234" s="16"/>
      <c r="OAW234" s="16"/>
      <c r="OAX234" s="16"/>
      <c r="OAY234" s="16"/>
      <c r="OAZ234" s="15"/>
      <c r="OBA234" s="15"/>
      <c r="OBB234" s="10"/>
      <c r="OBC234" s="10"/>
      <c r="OBD234" s="19"/>
      <c r="OBE234" s="19"/>
      <c r="OBH234" s="16"/>
      <c r="OBI234" s="15"/>
      <c r="OBJ234" s="15"/>
      <c r="OBK234" s="15"/>
      <c r="OBL234" s="16"/>
      <c r="OBM234" s="16"/>
      <c r="OBN234" s="16"/>
      <c r="OBO234" s="16"/>
      <c r="OBP234" s="16"/>
      <c r="OBQ234" s="15"/>
      <c r="OBR234" s="15"/>
      <c r="OBS234" s="10"/>
      <c r="OBT234" s="10"/>
      <c r="OBU234" s="19"/>
      <c r="OBV234" s="19"/>
      <c r="OBY234" s="16"/>
      <c r="OBZ234" s="15"/>
      <c r="OCA234" s="15"/>
      <c r="OCB234" s="15"/>
      <c r="OCC234" s="16"/>
      <c r="OCD234" s="16"/>
      <c r="OCE234" s="16"/>
      <c r="OCF234" s="16"/>
      <c r="OCG234" s="16"/>
      <c r="OCH234" s="15"/>
      <c r="OCI234" s="15"/>
      <c r="OCJ234" s="10"/>
      <c r="OCK234" s="10"/>
      <c r="OCL234" s="19"/>
      <c r="OCM234" s="19"/>
      <c r="OCP234" s="16"/>
      <c r="OCQ234" s="15"/>
      <c r="OCR234" s="15"/>
      <c r="OCS234" s="15"/>
      <c r="OCT234" s="16"/>
      <c r="OCU234" s="16"/>
      <c r="OCV234" s="16"/>
      <c r="OCW234" s="16"/>
      <c r="OCX234" s="16"/>
      <c r="OCY234" s="15"/>
      <c r="OCZ234" s="15"/>
      <c r="ODA234" s="10"/>
      <c r="ODB234" s="10"/>
      <c r="ODC234" s="19"/>
      <c r="ODD234" s="19"/>
      <c r="ODG234" s="16"/>
      <c r="ODH234" s="15"/>
      <c r="ODI234" s="15"/>
      <c r="ODJ234" s="15"/>
      <c r="ODK234" s="16"/>
      <c r="ODL234" s="16"/>
      <c r="ODM234" s="16"/>
      <c r="ODN234" s="16"/>
      <c r="ODO234" s="16"/>
      <c r="ODP234" s="15"/>
      <c r="ODQ234" s="15"/>
      <c r="ODR234" s="10"/>
      <c r="ODS234" s="10"/>
      <c r="ODT234" s="19"/>
      <c r="ODU234" s="19"/>
      <c r="ODX234" s="16"/>
      <c r="ODY234" s="15"/>
      <c r="ODZ234" s="15"/>
      <c r="OEA234" s="15"/>
      <c r="OEB234" s="16"/>
      <c r="OEC234" s="16"/>
      <c r="OED234" s="16"/>
      <c r="OEE234" s="16"/>
      <c r="OEF234" s="16"/>
      <c r="OEG234" s="15"/>
      <c r="OEH234" s="15"/>
      <c r="OEI234" s="10"/>
      <c r="OEJ234" s="10"/>
      <c r="OEK234" s="19"/>
      <c r="OEL234" s="19"/>
      <c r="OEO234" s="16"/>
      <c r="OEP234" s="15"/>
      <c r="OEQ234" s="15"/>
      <c r="OER234" s="15"/>
      <c r="OES234" s="16"/>
      <c r="OET234" s="16"/>
      <c r="OEU234" s="16"/>
      <c r="OEV234" s="16"/>
      <c r="OEW234" s="16"/>
      <c r="OEX234" s="15"/>
      <c r="OEY234" s="15"/>
      <c r="OEZ234" s="10"/>
      <c r="OFA234" s="10"/>
      <c r="OFB234" s="19"/>
      <c r="OFC234" s="19"/>
      <c r="OFF234" s="16"/>
      <c r="OFG234" s="15"/>
      <c r="OFH234" s="15"/>
      <c r="OFI234" s="15"/>
      <c r="OFJ234" s="16"/>
      <c r="OFK234" s="16"/>
      <c r="OFL234" s="16"/>
      <c r="OFM234" s="16"/>
      <c r="OFN234" s="16"/>
      <c r="OFO234" s="15"/>
      <c r="OFP234" s="15"/>
      <c r="OFQ234" s="10"/>
      <c r="OFR234" s="10"/>
      <c r="OFS234" s="19"/>
      <c r="OFT234" s="19"/>
      <c r="OFW234" s="16"/>
      <c r="OFX234" s="15"/>
      <c r="OFY234" s="15"/>
      <c r="OFZ234" s="15"/>
      <c r="OGA234" s="16"/>
      <c r="OGB234" s="16"/>
      <c r="OGC234" s="16"/>
      <c r="OGD234" s="16"/>
      <c r="OGE234" s="16"/>
      <c r="OGF234" s="15"/>
      <c r="OGG234" s="15"/>
      <c r="OGH234" s="10"/>
      <c r="OGI234" s="10"/>
      <c r="OGJ234" s="19"/>
      <c r="OGK234" s="19"/>
      <c r="OGN234" s="16"/>
      <c r="OGO234" s="15"/>
      <c r="OGP234" s="15"/>
      <c r="OGQ234" s="15"/>
      <c r="OGR234" s="16"/>
      <c r="OGS234" s="16"/>
      <c r="OGT234" s="16"/>
      <c r="OGU234" s="16"/>
      <c r="OGV234" s="16"/>
      <c r="OGW234" s="15"/>
      <c r="OGX234" s="15"/>
      <c r="OGY234" s="10"/>
      <c r="OGZ234" s="10"/>
      <c r="OHA234" s="19"/>
      <c r="OHB234" s="19"/>
      <c r="OHE234" s="16"/>
      <c r="OHF234" s="15"/>
      <c r="OHG234" s="15"/>
      <c r="OHH234" s="15"/>
      <c r="OHI234" s="16"/>
      <c r="OHJ234" s="16"/>
      <c r="OHK234" s="16"/>
      <c r="OHL234" s="16"/>
      <c r="OHM234" s="16"/>
      <c r="OHN234" s="15"/>
      <c r="OHO234" s="15"/>
      <c r="OHP234" s="10"/>
      <c r="OHQ234" s="10"/>
      <c r="OHR234" s="19"/>
      <c r="OHS234" s="19"/>
      <c r="OHV234" s="16"/>
      <c r="OHW234" s="15"/>
      <c r="OHX234" s="15"/>
      <c r="OHY234" s="15"/>
      <c r="OHZ234" s="16"/>
      <c r="OIA234" s="16"/>
      <c r="OIB234" s="16"/>
      <c r="OIC234" s="16"/>
      <c r="OID234" s="16"/>
      <c r="OIE234" s="15"/>
      <c r="OIF234" s="15"/>
      <c r="OIG234" s="10"/>
      <c r="OIH234" s="10"/>
      <c r="OII234" s="19"/>
      <c r="OIJ234" s="19"/>
      <c r="OIM234" s="16"/>
      <c r="OIN234" s="15"/>
      <c r="OIO234" s="15"/>
      <c r="OIP234" s="15"/>
      <c r="OIQ234" s="16"/>
      <c r="OIR234" s="16"/>
      <c r="OIS234" s="16"/>
      <c r="OIT234" s="16"/>
      <c r="OIU234" s="16"/>
      <c r="OIV234" s="15"/>
      <c r="OIW234" s="15"/>
      <c r="OIX234" s="10"/>
      <c r="OIY234" s="10"/>
      <c r="OIZ234" s="19"/>
      <c r="OJA234" s="19"/>
      <c r="OJD234" s="16"/>
      <c r="OJE234" s="15"/>
      <c r="OJF234" s="15"/>
      <c r="OJG234" s="15"/>
      <c r="OJH234" s="16"/>
      <c r="OJI234" s="16"/>
      <c r="OJJ234" s="16"/>
      <c r="OJK234" s="16"/>
      <c r="OJL234" s="16"/>
      <c r="OJM234" s="15"/>
      <c r="OJN234" s="15"/>
      <c r="OJO234" s="10"/>
      <c r="OJP234" s="10"/>
      <c r="OJQ234" s="19"/>
      <c r="OJR234" s="19"/>
      <c r="OJU234" s="16"/>
      <c r="OJV234" s="15"/>
      <c r="OJW234" s="15"/>
      <c r="OJX234" s="15"/>
      <c r="OJY234" s="16"/>
      <c r="OJZ234" s="16"/>
      <c r="OKA234" s="16"/>
      <c r="OKB234" s="16"/>
      <c r="OKC234" s="16"/>
      <c r="OKD234" s="15"/>
      <c r="OKE234" s="15"/>
      <c r="OKF234" s="10"/>
      <c r="OKG234" s="10"/>
      <c r="OKH234" s="19"/>
      <c r="OKI234" s="19"/>
      <c r="OKL234" s="16"/>
      <c r="OKM234" s="15"/>
      <c r="OKN234" s="15"/>
      <c r="OKO234" s="15"/>
      <c r="OKP234" s="16"/>
      <c r="OKQ234" s="16"/>
      <c r="OKR234" s="16"/>
      <c r="OKS234" s="16"/>
      <c r="OKT234" s="16"/>
      <c r="OKU234" s="15"/>
      <c r="OKV234" s="15"/>
      <c r="OKW234" s="10"/>
      <c r="OKX234" s="10"/>
      <c r="OKY234" s="19"/>
      <c r="OKZ234" s="19"/>
      <c r="OLC234" s="16"/>
      <c r="OLD234" s="15"/>
      <c r="OLE234" s="15"/>
      <c r="OLF234" s="15"/>
      <c r="OLG234" s="16"/>
      <c r="OLH234" s="16"/>
      <c r="OLI234" s="16"/>
      <c r="OLJ234" s="16"/>
      <c r="OLK234" s="16"/>
      <c r="OLL234" s="15"/>
      <c r="OLM234" s="15"/>
      <c r="OLN234" s="10"/>
      <c r="OLO234" s="10"/>
      <c r="OLP234" s="19"/>
      <c r="OLQ234" s="19"/>
      <c r="OLT234" s="16"/>
      <c r="OLU234" s="15"/>
      <c r="OLV234" s="15"/>
      <c r="OLW234" s="15"/>
      <c r="OLX234" s="16"/>
      <c r="OLY234" s="16"/>
      <c r="OLZ234" s="16"/>
      <c r="OMA234" s="16"/>
      <c r="OMB234" s="16"/>
      <c r="OMC234" s="15"/>
      <c r="OMD234" s="15"/>
      <c r="OME234" s="10"/>
      <c r="OMF234" s="10"/>
      <c r="OMG234" s="19"/>
      <c r="OMH234" s="19"/>
      <c r="OMK234" s="16"/>
      <c r="OML234" s="15"/>
      <c r="OMM234" s="15"/>
      <c r="OMN234" s="15"/>
      <c r="OMO234" s="16"/>
      <c r="OMP234" s="16"/>
      <c r="OMQ234" s="16"/>
      <c r="OMR234" s="16"/>
      <c r="OMS234" s="16"/>
      <c r="OMT234" s="15"/>
      <c r="OMU234" s="15"/>
      <c r="OMV234" s="10"/>
      <c r="OMW234" s="10"/>
      <c r="OMX234" s="19"/>
      <c r="OMY234" s="19"/>
      <c r="ONB234" s="16"/>
      <c r="ONC234" s="15"/>
      <c r="OND234" s="15"/>
      <c r="ONE234" s="15"/>
      <c r="ONF234" s="16"/>
      <c r="ONG234" s="16"/>
      <c r="ONH234" s="16"/>
      <c r="ONI234" s="16"/>
      <c r="ONJ234" s="16"/>
      <c r="ONK234" s="15"/>
      <c r="ONL234" s="15"/>
      <c r="ONM234" s="10"/>
      <c r="ONN234" s="10"/>
      <c r="ONO234" s="19"/>
      <c r="ONP234" s="19"/>
      <c r="ONS234" s="16"/>
      <c r="ONT234" s="15"/>
      <c r="ONU234" s="15"/>
      <c r="ONV234" s="15"/>
      <c r="ONW234" s="16"/>
      <c r="ONX234" s="16"/>
      <c r="ONY234" s="16"/>
      <c r="ONZ234" s="16"/>
      <c r="OOA234" s="16"/>
      <c r="OOB234" s="15"/>
      <c r="OOC234" s="15"/>
      <c r="OOD234" s="10"/>
      <c r="OOE234" s="10"/>
      <c r="OOF234" s="19"/>
      <c r="OOG234" s="19"/>
      <c r="OOJ234" s="16"/>
      <c r="OOK234" s="15"/>
      <c r="OOL234" s="15"/>
      <c r="OOM234" s="15"/>
      <c r="OON234" s="16"/>
      <c r="OOO234" s="16"/>
      <c r="OOP234" s="16"/>
      <c r="OOQ234" s="16"/>
      <c r="OOR234" s="16"/>
      <c r="OOS234" s="15"/>
      <c r="OOT234" s="15"/>
      <c r="OOU234" s="10"/>
      <c r="OOV234" s="10"/>
      <c r="OOW234" s="19"/>
      <c r="OOX234" s="19"/>
      <c r="OPA234" s="16"/>
      <c r="OPB234" s="15"/>
      <c r="OPC234" s="15"/>
      <c r="OPD234" s="15"/>
      <c r="OPE234" s="16"/>
      <c r="OPF234" s="16"/>
      <c r="OPG234" s="16"/>
      <c r="OPH234" s="16"/>
      <c r="OPI234" s="16"/>
      <c r="OPJ234" s="15"/>
      <c r="OPK234" s="15"/>
      <c r="OPL234" s="10"/>
      <c r="OPM234" s="10"/>
      <c r="OPN234" s="19"/>
      <c r="OPO234" s="19"/>
      <c r="OPR234" s="16"/>
      <c r="OPS234" s="15"/>
      <c r="OPT234" s="15"/>
      <c r="OPU234" s="15"/>
      <c r="OPV234" s="16"/>
      <c r="OPW234" s="16"/>
      <c r="OPX234" s="16"/>
      <c r="OPY234" s="16"/>
      <c r="OPZ234" s="16"/>
      <c r="OQA234" s="15"/>
      <c r="OQB234" s="15"/>
      <c r="OQC234" s="10"/>
      <c r="OQD234" s="10"/>
      <c r="OQE234" s="19"/>
      <c r="OQF234" s="19"/>
      <c r="OQI234" s="16"/>
      <c r="OQJ234" s="15"/>
      <c r="OQK234" s="15"/>
      <c r="OQL234" s="15"/>
      <c r="OQM234" s="16"/>
      <c r="OQN234" s="16"/>
      <c r="OQO234" s="16"/>
      <c r="OQP234" s="16"/>
      <c r="OQQ234" s="16"/>
      <c r="OQR234" s="15"/>
      <c r="OQS234" s="15"/>
      <c r="OQT234" s="10"/>
      <c r="OQU234" s="10"/>
      <c r="OQV234" s="19"/>
      <c r="OQW234" s="19"/>
      <c r="OQZ234" s="16"/>
      <c r="ORA234" s="15"/>
      <c r="ORB234" s="15"/>
      <c r="ORC234" s="15"/>
      <c r="ORD234" s="16"/>
      <c r="ORE234" s="16"/>
      <c r="ORF234" s="16"/>
      <c r="ORG234" s="16"/>
      <c r="ORH234" s="16"/>
      <c r="ORI234" s="15"/>
      <c r="ORJ234" s="15"/>
      <c r="ORK234" s="10"/>
      <c r="ORL234" s="10"/>
      <c r="ORM234" s="19"/>
      <c r="ORN234" s="19"/>
      <c r="ORQ234" s="16"/>
      <c r="ORR234" s="15"/>
      <c r="ORS234" s="15"/>
      <c r="ORT234" s="15"/>
      <c r="ORU234" s="16"/>
      <c r="ORV234" s="16"/>
      <c r="ORW234" s="16"/>
      <c r="ORX234" s="16"/>
      <c r="ORY234" s="16"/>
      <c r="ORZ234" s="15"/>
      <c r="OSA234" s="15"/>
      <c r="OSB234" s="10"/>
      <c r="OSC234" s="10"/>
      <c r="OSD234" s="19"/>
      <c r="OSE234" s="19"/>
      <c r="OSH234" s="16"/>
      <c r="OSI234" s="15"/>
      <c r="OSJ234" s="15"/>
      <c r="OSK234" s="15"/>
      <c r="OSL234" s="16"/>
      <c r="OSM234" s="16"/>
      <c r="OSN234" s="16"/>
      <c r="OSO234" s="16"/>
      <c r="OSP234" s="16"/>
      <c r="OSQ234" s="15"/>
      <c r="OSR234" s="15"/>
      <c r="OSS234" s="10"/>
      <c r="OST234" s="10"/>
      <c r="OSU234" s="19"/>
      <c r="OSV234" s="19"/>
      <c r="OSY234" s="16"/>
      <c r="OSZ234" s="15"/>
      <c r="OTA234" s="15"/>
      <c r="OTB234" s="15"/>
      <c r="OTC234" s="16"/>
      <c r="OTD234" s="16"/>
      <c r="OTE234" s="16"/>
      <c r="OTF234" s="16"/>
      <c r="OTG234" s="16"/>
      <c r="OTH234" s="15"/>
      <c r="OTI234" s="15"/>
      <c r="OTJ234" s="10"/>
      <c r="OTK234" s="10"/>
      <c r="OTL234" s="19"/>
      <c r="OTM234" s="19"/>
      <c r="OTP234" s="16"/>
      <c r="OTQ234" s="15"/>
      <c r="OTR234" s="15"/>
      <c r="OTS234" s="15"/>
      <c r="OTT234" s="16"/>
      <c r="OTU234" s="16"/>
      <c r="OTV234" s="16"/>
      <c r="OTW234" s="16"/>
      <c r="OTX234" s="16"/>
      <c r="OTY234" s="15"/>
      <c r="OTZ234" s="15"/>
      <c r="OUA234" s="10"/>
      <c r="OUB234" s="10"/>
      <c r="OUC234" s="19"/>
      <c r="OUD234" s="19"/>
      <c r="OUG234" s="16"/>
      <c r="OUH234" s="15"/>
      <c r="OUI234" s="15"/>
      <c r="OUJ234" s="15"/>
      <c r="OUK234" s="16"/>
      <c r="OUL234" s="16"/>
      <c r="OUM234" s="16"/>
      <c r="OUN234" s="16"/>
      <c r="OUO234" s="16"/>
      <c r="OUP234" s="15"/>
      <c r="OUQ234" s="15"/>
      <c r="OUR234" s="10"/>
      <c r="OUS234" s="10"/>
      <c r="OUT234" s="19"/>
      <c r="OUU234" s="19"/>
      <c r="OUX234" s="16"/>
      <c r="OUY234" s="15"/>
      <c r="OUZ234" s="15"/>
      <c r="OVA234" s="15"/>
      <c r="OVB234" s="16"/>
      <c r="OVC234" s="16"/>
      <c r="OVD234" s="16"/>
      <c r="OVE234" s="16"/>
      <c r="OVF234" s="16"/>
      <c r="OVG234" s="15"/>
      <c r="OVH234" s="15"/>
      <c r="OVI234" s="10"/>
      <c r="OVJ234" s="10"/>
      <c r="OVK234" s="19"/>
      <c r="OVL234" s="19"/>
      <c r="OVO234" s="16"/>
      <c r="OVP234" s="15"/>
      <c r="OVQ234" s="15"/>
      <c r="OVR234" s="15"/>
      <c r="OVS234" s="16"/>
      <c r="OVT234" s="16"/>
      <c r="OVU234" s="16"/>
      <c r="OVV234" s="16"/>
      <c r="OVW234" s="16"/>
      <c r="OVX234" s="15"/>
      <c r="OVY234" s="15"/>
      <c r="OVZ234" s="10"/>
      <c r="OWA234" s="10"/>
      <c r="OWB234" s="19"/>
      <c r="OWC234" s="19"/>
      <c r="OWF234" s="16"/>
      <c r="OWG234" s="15"/>
      <c r="OWH234" s="15"/>
      <c r="OWI234" s="15"/>
      <c r="OWJ234" s="16"/>
      <c r="OWK234" s="16"/>
      <c r="OWL234" s="16"/>
      <c r="OWM234" s="16"/>
      <c r="OWN234" s="16"/>
      <c r="OWO234" s="15"/>
      <c r="OWP234" s="15"/>
      <c r="OWQ234" s="10"/>
      <c r="OWR234" s="10"/>
      <c r="OWS234" s="19"/>
      <c r="OWT234" s="19"/>
      <c r="OWW234" s="16"/>
      <c r="OWX234" s="15"/>
      <c r="OWY234" s="15"/>
      <c r="OWZ234" s="15"/>
      <c r="OXA234" s="16"/>
      <c r="OXB234" s="16"/>
      <c r="OXC234" s="16"/>
      <c r="OXD234" s="16"/>
      <c r="OXE234" s="16"/>
      <c r="OXF234" s="15"/>
      <c r="OXG234" s="15"/>
      <c r="OXH234" s="10"/>
      <c r="OXI234" s="10"/>
      <c r="OXJ234" s="19"/>
      <c r="OXK234" s="19"/>
      <c r="OXN234" s="16"/>
      <c r="OXO234" s="15"/>
      <c r="OXP234" s="15"/>
      <c r="OXQ234" s="15"/>
      <c r="OXR234" s="16"/>
      <c r="OXS234" s="16"/>
      <c r="OXT234" s="16"/>
      <c r="OXU234" s="16"/>
      <c r="OXV234" s="16"/>
      <c r="OXW234" s="15"/>
      <c r="OXX234" s="15"/>
      <c r="OXY234" s="10"/>
      <c r="OXZ234" s="10"/>
      <c r="OYA234" s="19"/>
      <c r="OYB234" s="19"/>
      <c r="OYE234" s="16"/>
      <c r="OYF234" s="15"/>
      <c r="OYG234" s="15"/>
      <c r="OYH234" s="15"/>
      <c r="OYI234" s="16"/>
      <c r="OYJ234" s="16"/>
      <c r="OYK234" s="16"/>
      <c r="OYL234" s="16"/>
      <c r="OYM234" s="16"/>
      <c r="OYN234" s="15"/>
      <c r="OYO234" s="15"/>
      <c r="OYP234" s="10"/>
      <c r="OYQ234" s="10"/>
      <c r="OYR234" s="19"/>
      <c r="OYS234" s="19"/>
      <c r="OYV234" s="16"/>
      <c r="OYW234" s="15"/>
      <c r="OYX234" s="15"/>
      <c r="OYY234" s="15"/>
      <c r="OYZ234" s="16"/>
      <c r="OZA234" s="16"/>
      <c r="OZB234" s="16"/>
      <c r="OZC234" s="16"/>
      <c r="OZD234" s="16"/>
      <c r="OZE234" s="15"/>
      <c r="OZF234" s="15"/>
      <c r="OZG234" s="10"/>
      <c r="OZH234" s="10"/>
      <c r="OZI234" s="19"/>
      <c r="OZJ234" s="19"/>
      <c r="OZM234" s="16"/>
      <c r="OZN234" s="15"/>
      <c r="OZO234" s="15"/>
      <c r="OZP234" s="15"/>
      <c r="OZQ234" s="16"/>
      <c r="OZR234" s="16"/>
      <c r="OZS234" s="16"/>
      <c r="OZT234" s="16"/>
      <c r="OZU234" s="16"/>
      <c r="OZV234" s="15"/>
      <c r="OZW234" s="15"/>
      <c r="OZX234" s="10"/>
      <c r="OZY234" s="10"/>
      <c r="OZZ234" s="19"/>
      <c r="PAA234" s="19"/>
      <c r="PAD234" s="16"/>
      <c r="PAE234" s="15"/>
      <c r="PAF234" s="15"/>
      <c r="PAG234" s="15"/>
      <c r="PAH234" s="16"/>
      <c r="PAI234" s="16"/>
      <c r="PAJ234" s="16"/>
      <c r="PAK234" s="16"/>
      <c r="PAL234" s="16"/>
      <c r="PAM234" s="15"/>
      <c r="PAN234" s="15"/>
      <c r="PAO234" s="10"/>
      <c r="PAP234" s="10"/>
      <c r="PAQ234" s="19"/>
      <c r="PAR234" s="19"/>
      <c r="PAU234" s="16"/>
      <c r="PAV234" s="15"/>
      <c r="PAW234" s="15"/>
      <c r="PAX234" s="15"/>
      <c r="PAY234" s="16"/>
      <c r="PAZ234" s="16"/>
      <c r="PBA234" s="16"/>
      <c r="PBB234" s="16"/>
      <c r="PBC234" s="16"/>
      <c r="PBD234" s="15"/>
      <c r="PBE234" s="15"/>
      <c r="PBF234" s="10"/>
      <c r="PBG234" s="10"/>
      <c r="PBH234" s="19"/>
      <c r="PBI234" s="19"/>
      <c r="PBL234" s="16"/>
      <c r="PBM234" s="15"/>
      <c r="PBN234" s="15"/>
      <c r="PBO234" s="15"/>
      <c r="PBP234" s="16"/>
      <c r="PBQ234" s="16"/>
      <c r="PBR234" s="16"/>
      <c r="PBS234" s="16"/>
      <c r="PBT234" s="16"/>
      <c r="PBU234" s="15"/>
      <c r="PBV234" s="15"/>
      <c r="PBW234" s="10"/>
      <c r="PBX234" s="10"/>
      <c r="PBY234" s="19"/>
      <c r="PBZ234" s="19"/>
      <c r="PCC234" s="16"/>
      <c r="PCD234" s="15"/>
      <c r="PCE234" s="15"/>
      <c r="PCF234" s="15"/>
      <c r="PCG234" s="16"/>
      <c r="PCH234" s="16"/>
      <c r="PCI234" s="16"/>
      <c r="PCJ234" s="16"/>
      <c r="PCK234" s="16"/>
      <c r="PCL234" s="15"/>
      <c r="PCM234" s="15"/>
      <c r="PCN234" s="10"/>
      <c r="PCO234" s="10"/>
      <c r="PCP234" s="19"/>
      <c r="PCQ234" s="19"/>
      <c r="PCT234" s="16"/>
      <c r="PCU234" s="15"/>
      <c r="PCV234" s="15"/>
      <c r="PCW234" s="15"/>
      <c r="PCX234" s="16"/>
      <c r="PCY234" s="16"/>
      <c r="PCZ234" s="16"/>
      <c r="PDA234" s="16"/>
      <c r="PDB234" s="16"/>
      <c r="PDC234" s="15"/>
      <c r="PDD234" s="15"/>
      <c r="PDE234" s="10"/>
      <c r="PDF234" s="10"/>
      <c r="PDG234" s="19"/>
      <c r="PDH234" s="19"/>
      <c r="PDK234" s="16"/>
      <c r="PDL234" s="15"/>
      <c r="PDM234" s="15"/>
      <c r="PDN234" s="15"/>
      <c r="PDO234" s="16"/>
      <c r="PDP234" s="16"/>
      <c r="PDQ234" s="16"/>
      <c r="PDR234" s="16"/>
      <c r="PDS234" s="16"/>
      <c r="PDT234" s="15"/>
      <c r="PDU234" s="15"/>
      <c r="PDV234" s="10"/>
      <c r="PDW234" s="10"/>
      <c r="PDX234" s="19"/>
      <c r="PDY234" s="19"/>
      <c r="PEB234" s="16"/>
      <c r="PEC234" s="15"/>
      <c r="PED234" s="15"/>
      <c r="PEE234" s="15"/>
      <c r="PEF234" s="16"/>
      <c r="PEG234" s="16"/>
      <c r="PEH234" s="16"/>
      <c r="PEI234" s="16"/>
      <c r="PEJ234" s="16"/>
      <c r="PEK234" s="15"/>
      <c r="PEL234" s="15"/>
      <c r="PEM234" s="10"/>
      <c r="PEN234" s="10"/>
      <c r="PEO234" s="19"/>
      <c r="PEP234" s="19"/>
      <c r="PES234" s="16"/>
      <c r="PET234" s="15"/>
      <c r="PEU234" s="15"/>
      <c r="PEV234" s="15"/>
      <c r="PEW234" s="16"/>
      <c r="PEX234" s="16"/>
      <c r="PEY234" s="16"/>
      <c r="PEZ234" s="16"/>
      <c r="PFA234" s="16"/>
      <c r="PFB234" s="15"/>
      <c r="PFC234" s="15"/>
      <c r="PFD234" s="10"/>
      <c r="PFE234" s="10"/>
      <c r="PFF234" s="19"/>
      <c r="PFG234" s="19"/>
      <c r="PFJ234" s="16"/>
      <c r="PFK234" s="15"/>
      <c r="PFL234" s="15"/>
      <c r="PFM234" s="15"/>
      <c r="PFN234" s="16"/>
      <c r="PFO234" s="16"/>
      <c r="PFP234" s="16"/>
      <c r="PFQ234" s="16"/>
      <c r="PFR234" s="16"/>
      <c r="PFS234" s="15"/>
      <c r="PFT234" s="15"/>
      <c r="PFU234" s="10"/>
      <c r="PFV234" s="10"/>
      <c r="PFW234" s="19"/>
      <c r="PFX234" s="19"/>
      <c r="PGA234" s="16"/>
      <c r="PGB234" s="15"/>
      <c r="PGC234" s="15"/>
      <c r="PGD234" s="15"/>
      <c r="PGE234" s="16"/>
      <c r="PGF234" s="16"/>
      <c r="PGG234" s="16"/>
      <c r="PGH234" s="16"/>
      <c r="PGI234" s="16"/>
      <c r="PGJ234" s="15"/>
      <c r="PGK234" s="15"/>
      <c r="PGL234" s="10"/>
      <c r="PGM234" s="10"/>
      <c r="PGN234" s="19"/>
      <c r="PGO234" s="19"/>
      <c r="PGR234" s="16"/>
      <c r="PGS234" s="15"/>
      <c r="PGT234" s="15"/>
      <c r="PGU234" s="15"/>
      <c r="PGV234" s="16"/>
      <c r="PGW234" s="16"/>
      <c r="PGX234" s="16"/>
      <c r="PGY234" s="16"/>
      <c r="PGZ234" s="16"/>
      <c r="PHA234" s="15"/>
      <c r="PHB234" s="15"/>
      <c r="PHC234" s="10"/>
      <c r="PHD234" s="10"/>
      <c r="PHE234" s="19"/>
      <c r="PHF234" s="19"/>
      <c r="PHI234" s="16"/>
      <c r="PHJ234" s="15"/>
      <c r="PHK234" s="15"/>
      <c r="PHL234" s="15"/>
      <c r="PHM234" s="16"/>
      <c r="PHN234" s="16"/>
      <c r="PHO234" s="16"/>
      <c r="PHP234" s="16"/>
      <c r="PHQ234" s="16"/>
      <c r="PHR234" s="15"/>
      <c r="PHS234" s="15"/>
      <c r="PHT234" s="10"/>
      <c r="PHU234" s="10"/>
      <c r="PHV234" s="19"/>
      <c r="PHW234" s="19"/>
      <c r="PHZ234" s="16"/>
      <c r="PIA234" s="15"/>
      <c r="PIB234" s="15"/>
      <c r="PIC234" s="15"/>
      <c r="PID234" s="16"/>
      <c r="PIE234" s="16"/>
      <c r="PIF234" s="16"/>
      <c r="PIG234" s="16"/>
      <c r="PIH234" s="16"/>
      <c r="PII234" s="15"/>
      <c r="PIJ234" s="15"/>
      <c r="PIK234" s="10"/>
      <c r="PIL234" s="10"/>
      <c r="PIM234" s="19"/>
      <c r="PIN234" s="19"/>
      <c r="PIQ234" s="16"/>
      <c r="PIR234" s="15"/>
      <c r="PIS234" s="15"/>
      <c r="PIT234" s="15"/>
      <c r="PIU234" s="16"/>
      <c r="PIV234" s="16"/>
      <c r="PIW234" s="16"/>
      <c r="PIX234" s="16"/>
      <c r="PIY234" s="16"/>
      <c r="PIZ234" s="15"/>
      <c r="PJA234" s="15"/>
      <c r="PJB234" s="10"/>
      <c r="PJC234" s="10"/>
      <c r="PJD234" s="19"/>
      <c r="PJE234" s="19"/>
      <c r="PJH234" s="16"/>
      <c r="PJI234" s="15"/>
      <c r="PJJ234" s="15"/>
      <c r="PJK234" s="15"/>
      <c r="PJL234" s="16"/>
      <c r="PJM234" s="16"/>
      <c r="PJN234" s="16"/>
      <c r="PJO234" s="16"/>
      <c r="PJP234" s="16"/>
      <c r="PJQ234" s="15"/>
      <c r="PJR234" s="15"/>
      <c r="PJS234" s="10"/>
      <c r="PJT234" s="10"/>
      <c r="PJU234" s="19"/>
      <c r="PJV234" s="19"/>
      <c r="PJY234" s="16"/>
      <c r="PJZ234" s="15"/>
      <c r="PKA234" s="15"/>
      <c r="PKB234" s="15"/>
      <c r="PKC234" s="16"/>
      <c r="PKD234" s="16"/>
      <c r="PKE234" s="16"/>
      <c r="PKF234" s="16"/>
      <c r="PKG234" s="16"/>
      <c r="PKH234" s="15"/>
      <c r="PKI234" s="15"/>
      <c r="PKJ234" s="10"/>
      <c r="PKK234" s="10"/>
      <c r="PKL234" s="19"/>
      <c r="PKM234" s="19"/>
      <c r="PKP234" s="16"/>
      <c r="PKQ234" s="15"/>
      <c r="PKR234" s="15"/>
      <c r="PKS234" s="15"/>
      <c r="PKT234" s="16"/>
      <c r="PKU234" s="16"/>
      <c r="PKV234" s="16"/>
      <c r="PKW234" s="16"/>
      <c r="PKX234" s="16"/>
      <c r="PKY234" s="15"/>
      <c r="PKZ234" s="15"/>
      <c r="PLA234" s="10"/>
      <c r="PLB234" s="10"/>
      <c r="PLC234" s="19"/>
      <c r="PLD234" s="19"/>
      <c r="PLG234" s="16"/>
      <c r="PLH234" s="15"/>
      <c r="PLI234" s="15"/>
      <c r="PLJ234" s="15"/>
      <c r="PLK234" s="16"/>
      <c r="PLL234" s="16"/>
      <c r="PLM234" s="16"/>
      <c r="PLN234" s="16"/>
      <c r="PLO234" s="16"/>
      <c r="PLP234" s="15"/>
      <c r="PLQ234" s="15"/>
      <c r="PLR234" s="10"/>
      <c r="PLS234" s="10"/>
      <c r="PLT234" s="19"/>
      <c r="PLU234" s="19"/>
      <c r="PLX234" s="16"/>
      <c r="PLY234" s="15"/>
      <c r="PLZ234" s="15"/>
      <c r="PMA234" s="15"/>
      <c r="PMB234" s="16"/>
      <c r="PMC234" s="16"/>
      <c r="PMD234" s="16"/>
      <c r="PME234" s="16"/>
      <c r="PMF234" s="16"/>
      <c r="PMG234" s="15"/>
      <c r="PMH234" s="15"/>
      <c r="PMI234" s="10"/>
      <c r="PMJ234" s="10"/>
      <c r="PMK234" s="19"/>
      <c r="PML234" s="19"/>
      <c r="PMO234" s="16"/>
      <c r="PMP234" s="15"/>
      <c r="PMQ234" s="15"/>
      <c r="PMR234" s="15"/>
      <c r="PMS234" s="16"/>
      <c r="PMT234" s="16"/>
      <c r="PMU234" s="16"/>
      <c r="PMV234" s="16"/>
      <c r="PMW234" s="16"/>
      <c r="PMX234" s="15"/>
      <c r="PMY234" s="15"/>
      <c r="PMZ234" s="10"/>
      <c r="PNA234" s="10"/>
      <c r="PNB234" s="19"/>
      <c r="PNC234" s="19"/>
      <c r="PNF234" s="16"/>
      <c r="PNG234" s="15"/>
      <c r="PNH234" s="15"/>
      <c r="PNI234" s="15"/>
      <c r="PNJ234" s="16"/>
      <c r="PNK234" s="16"/>
      <c r="PNL234" s="16"/>
      <c r="PNM234" s="16"/>
      <c r="PNN234" s="16"/>
      <c r="PNO234" s="15"/>
      <c r="PNP234" s="15"/>
      <c r="PNQ234" s="10"/>
      <c r="PNR234" s="10"/>
      <c r="PNS234" s="19"/>
      <c r="PNT234" s="19"/>
      <c r="PNW234" s="16"/>
      <c r="PNX234" s="15"/>
      <c r="PNY234" s="15"/>
      <c r="PNZ234" s="15"/>
      <c r="POA234" s="16"/>
      <c r="POB234" s="16"/>
      <c r="POC234" s="16"/>
      <c r="POD234" s="16"/>
      <c r="POE234" s="16"/>
      <c r="POF234" s="15"/>
      <c r="POG234" s="15"/>
      <c r="POH234" s="10"/>
      <c r="POI234" s="10"/>
      <c r="POJ234" s="19"/>
      <c r="POK234" s="19"/>
      <c r="PON234" s="16"/>
      <c r="POO234" s="15"/>
      <c r="POP234" s="15"/>
      <c r="POQ234" s="15"/>
      <c r="POR234" s="16"/>
      <c r="POS234" s="16"/>
      <c r="POT234" s="16"/>
      <c r="POU234" s="16"/>
      <c r="POV234" s="16"/>
      <c r="POW234" s="15"/>
      <c r="POX234" s="15"/>
      <c r="POY234" s="10"/>
      <c r="POZ234" s="10"/>
      <c r="PPA234" s="19"/>
      <c r="PPB234" s="19"/>
      <c r="PPE234" s="16"/>
      <c r="PPF234" s="15"/>
      <c r="PPG234" s="15"/>
      <c r="PPH234" s="15"/>
      <c r="PPI234" s="16"/>
      <c r="PPJ234" s="16"/>
      <c r="PPK234" s="16"/>
      <c r="PPL234" s="16"/>
      <c r="PPM234" s="16"/>
      <c r="PPN234" s="15"/>
      <c r="PPO234" s="15"/>
      <c r="PPP234" s="10"/>
      <c r="PPQ234" s="10"/>
      <c r="PPR234" s="19"/>
      <c r="PPS234" s="19"/>
      <c r="PPV234" s="16"/>
      <c r="PPW234" s="15"/>
      <c r="PPX234" s="15"/>
      <c r="PPY234" s="15"/>
      <c r="PPZ234" s="16"/>
      <c r="PQA234" s="16"/>
      <c r="PQB234" s="16"/>
      <c r="PQC234" s="16"/>
      <c r="PQD234" s="16"/>
      <c r="PQE234" s="15"/>
      <c r="PQF234" s="15"/>
      <c r="PQG234" s="10"/>
      <c r="PQH234" s="10"/>
      <c r="PQI234" s="19"/>
      <c r="PQJ234" s="19"/>
      <c r="PQM234" s="16"/>
      <c r="PQN234" s="15"/>
      <c r="PQO234" s="15"/>
      <c r="PQP234" s="15"/>
      <c r="PQQ234" s="16"/>
      <c r="PQR234" s="16"/>
      <c r="PQS234" s="16"/>
      <c r="PQT234" s="16"/>
      <c r="PQU234" s="16"/>
      <c r="PQV234" s="15"/>
      <c r="PQW234" s="15"/>
      <c r="PQX234" s="10"/>
      <c r="PQY234" s="10"/>
      <c r="PQZ234" s="19"/>
      <c r="PRA234" s="19"/>
      <c r="PRD234" s="16"/>
      <c r="PRE234" s="15"/>
      <c r="PRF234" s="15"/>
      <c r="PRG234" s="15"/>
      <c r="PRH234" s="16"/>
      <c r="PRI234" s="16"/>
      <c r="PRJ234" s="16"/>
      <c r="PRK234" s="16"/>
      <c r="PRL234" s="16"/>
      <c r="PRM234" s="15"/>
      <c r="PRN234" s="15"/>
      <c r="PRO234" s="10"/>
      <c r="PRP234" s="10"/>
      <c r="PRQ234" s="19"/>
      <c r="PRR234" s="19"/>
      <c r="PRU234" s="16"/>
      <c r="PRV234" s="15"/>
      <c r="PRW234" s="15"/>
      <c r="PRX234" s="15"/>
      <c r="PRY234" s="16"/>
      <c r="PRZ234" s="16"/>
      <c r="PSA234" s="16"/>
      <c r="PSB234" s="16"/>
      <c r="PSC234" s="16"/>
      <c r="PSD234" s="15"/>
      <c r="PSE234" s="15"/>
      <c r="PSF234" s="10"/>
      <c r="PSG234" s="10"/>
      <c r="PSH234" s="19"/>
      <c r="PSI234" s="19"/>
      <c r="PSL234" s="16"/>
      <c r="PSM234" s="15"/>
      <c r="PSN234" s="15"/>
      <c r="PSO234" s="15"/>
      <c r="PSP234" s="16"/>
      <c r="PSQ234" s="16"/>
      <c r="PSR234" s="16"/>
      <c r="PSS234" s="16"/>
      <c r="PST234" s="16"/>
      <c r="PSU234" s="15"/>
      <c r="PSV234" s="15"/>
      <c r="PSW234" s="10"/>
      <c r="PSX234" s="10"/>
      <c r="PSY234" s="19"/>
      <c r="PSZ234" s="19"/>
      <c r="PTC234" s="16"/>
      <c r="PTD234" s="15"/>
      <c r="PTE234" s="15"/>
      <c r="PTF234" s="15"/>
      <c r="PTG234" s="16"/>
      <c r="PTH234" s="16"/>
      <c r="PTI234" s="16"/>
      <c r="PTJ234" s="16"/>
      <c r="PTK234" s="16"/>
      <c r="PTL234" s="15"/>
      <c r="PTM234" s="15"/>
      <c r="PTN234" s="10"/>
      <c r="PTO234" s="10"/>
      <c r="PTP234" s="19"/>
      <c r="PTQ234" s="19"/>
      <c r="PTT234" s="16"/>
      <c r="PTU234" s="15"/>
      <c r="PTV234" s="15"/>
      <c r="PTW234" s="15"/>
      <c r="PTX234" s="16"/>
      <c r="PTY234" s="16"/>
      <c r="PTZ234" s="16"/>
      <c r="PUA234" s="16"/>
      <c r="PUB234" s="16"/>
      <c r="PUC234" s="15"/>
      <c r="PUD234" s="15"/>
      <c r="PUE234" s="10"/>
      <c r="PUF234" s="10"/>
      <c r="PUG234" s="19"/>
      <c r="PUH234" s="19"/>
      <c r="PUK234" s="16"/>
      <c r="PUL234" s="15"/>
      <c r="PUM234" s="15"/>
      <c r="PUN234" s="15"/>
      <c r="PUO234" s="16"/>
      <c r="PUP234" s="16"/>
      <c r="PUQ234" s="16"/>
      <c r="PUR234" s="16"/>
      <c r="PUS234" s="16"/>
      <c r="PUT234" s="15"/>
      <c r="PUU234" s="15"/>
      <c r="PUV234" s="10"/>
      <c r="PUW234" s="10"/>
      <c r="PUX234" s="19"/>
      <c r="PUY234" s="19"/>
      <c r="PVB234" s="16"/>
      <c r="PVC234" s="15"/>
      <c r="PVD234" s="15"/>
      <c r="PVE234" s="15"/>
      <c r="PVF234" s="16"/>
      <c r="PVG234" s="16"/>
      <c r="PVH234" s="16"/>
      <c r="PVI234" s="16"/>
      <c r="PVJ234" s="16"/>
      <c r="PVK234" s="15"/>
      <c r="PVL234" s="15"/>
      <c r="PVM234" s="10"/>
      <c r="PVN234" s="10"/>
      <c r="PVO234" s="19"/>
      <c r="PVP234" s="19"/>
      <c r="PVS234" s="16"/>
      <c r="PVT234" s="15"/>
      <c r="PVU234" s="15"/>
      <c r="PVV234" s="15"/>
      <c r="PVW234" s="16"/>
      <c r="PVX234" s="16"/>
      <c r="PVY234" s="16"/>
      <c r="PVZ234" s="16"/>
      <c r="PWA234" s="16"/>
      <c r="PWB234" s="15"/>
      <c r="PWC234" s="15"/>
      <c r="PWD234" s="10"/>
      <c r="PWE234" s="10"/>
      <c r="PWF234" s="19"/>
      <c r="PWG234" s="19"/>
      <c r="PWJ234" s="16"/>
      <c r="PWK234" s="15"/>
      <c r="PWL234" s="15"/>
      <c r="PWM234" s="15"/>
      <c r="PWN234" s="16"/>
      <c r="PWO234" s="16"/>
      <c r="PWP234" s="16"/>
      <c r="PWQ234" s="16"/>
      <c r="PWR234" s="16"/>
      <c r="PWS234" s="15"/>
      <c r="PWT234" s="15"/>
      <c r="PWU234" s="10"/>
      <c r="PWV234" s="10"/>
      <c r="PWW234" s="19"/>
      <c r="PWX234" s="19"/>
      <c r="PXA234" s="16"/>
      <c r="PXB234" s="15"/>
      <c r="PXC234" s="15"/>
      <c r="PXD234" s="15"/>
      <c r="PXE234" s="16"/>
      <c r="PXF234" s="16"/>
      <c r="PXG234" s="16"/>
      <c r="PXH234" s="16"/>
      <c r="PXI234" s="16"/>
      <c r="PXJ234" s="15"/>
      <c r="PXK234" s="15"/>
      <c r="PXL234" s="10"/>
      <c r="PXM234" s="10"/>
      <c r="PXN234" s="19"/>
      <c r="PXO234" s="19"/>
      <c r="PXR234" s="16"/>
      <c r="PXS234" s="15"/>
      <c r="PXT234" s="15"/>
      <c r="PXU234" s="15"/>
      <c r="PXV234" s="16"/>
      <c r="PXW234" s="16"/>
      <c r="PXX234" s="16"/>
      <c r="PXY234" s="16"/>
      <c r="PXZ234" s="16"/>
      <c r="PYA234" s="15"/>
      <c r="PYB234" s="15"/>
      <c r="PYC234" s="10"/>
      <c r="PYD234" s="10"/>
      <c r="PYE234" s="19"/>
      <c r="PYF234" s="19"/>
      <c r="PYI234" s="16"/>
      <c r="PYJ234" s="15"/>
      <c r="PYK234" s="15"/>
      <c r="PYL234" s="15"/>
      <c r="PYM234" s="16"/>
      <c r="PYN234" s="16"/>
      <c r="PYO234" s="16"/>
      <c r="PYP234" s="16"/>
      <c r="PYQ234" s="16"/>
      <c r="PYR234" s="15"/>
      <c r="PYS234" s="15"/>
      <c r="PYT234" s="10"/>
      <c r="PYU234" s="10"/>
      <c r="PYV234" s="19"/>
      <c r="PYW234" s="19"/>
      <c r="PYZ234" s="16"/>
      <c r="PZA234" s="15"/>
      <c r="PZB234" s="15"/>
      <c r="PZC234" s="15"/>
      <c r="PZD234" s="16"/>
      <c r="PZE234" s="16"/>
      <c r="PZF234" s="16"/>
      <c r="PZG234" s="16"/>
      <c r="PZH234" s="16"/>
      <c r="PZI234" s="15"/>
      <c r="PZJ234" s="15"/>
      <c r="PZK234" s="10"/>
      <c r="PZL234" s="10"/>
      <c r="PZM234" s="19"/>
      <c r="PZN234" s="19"/>
      <c r="PZQ234" s="16"/>
      <c r="PZR234" s="15"/>
      <c r="PZS234" s="15"/>
      <c r="PZT234" s="15"/>
      <c r="PZU234" s="16"/>
      <c r="PZV234" s="16"/>
      <c r="PZW234" s="16"/>
      <c r="PZX234" s="16"/>
      <c r="PZY234" s="16"/>
      <c r="PZZ234" s="15"/>
      <c r="QAA234" s="15"/>
      <c r="QAB234" s="10"/>
      <c r="QAC234" s="10"/>
      <c r="QAD234" s="19"/>
      <c r="QAE234" s="19"/>
      <c r="QAH234" s="16"/>
      <c r="QAI234" s="15"/>
      <c r="QAJ234" s="15"/>
      <c r="QAK234" s="15"/>
      <c r="QAL234" s="16"/>
      <c r="QAM234" s="16"/>
      <c r="QAN234" s="16"/>
      <c r="QAO234" s="16"/>
      <c r="QAP234" s="16"/>
      <c r="QAQ234" s="15"/>
      <c r="QAR234" s="15"/>
      <c r="QAS234" s="10"/>
      <c r="QAT234" s="10"/>
      <c r="QAU234" s="19"/>
      <c r="QAV234" s="19"/>
      <c r="QAY234" s="16"/>
      <c r="QAZ234" s="15"/>
      <c r="QBA234" s="15"/>
      <c r="QBB234" s="15"/>
      <c r="QBC234" s="16"/>
      <c r="QBD234" s="16"/>
      <c r="QBE234" s="16"/>
      <c r="QBF234" s="16"/>
      <c r="QBG234" s="16"/>
      <c r="QBH234" s="15"/>
      <c r="QBI234" s="15"/>
      <c r="QBJ234" s="10"/>
      <c r="QBK234" s="10"/>
      <c r="QBL234" s="19"/>
      <c r="QBM234" s="19"/>
      <c r="QBP234" s="16"/>
      <c r="QBQ234" s="15"/>
      <c r="QBR234" s="15"/>
      <c r="QBS234" s="15"/>
      <c r="QBT234" s="16"/>
      <c r="QBU234" s="16"/>
      <c r="QBV234" s="16"/>
      <c r="QBW234" s="16"/>
      <c r="QBX234" s="16"/>
      <c r="QBY234" s="15"/>
      <c r="QBZ234" s="15"/>
      <c r="QCA234" s="10"/>
      <c r="QCB234" s="10"/>
      <c r="QCC234" s="19"/>
      <c r="QCD234" s="19"/>
      <c r="QCG234" s="16"/>
      <c r="QCH234" s="15"/>
      <c r="QCI234" s="15"/>
      <c r="QCJ234" s="15"/>
      <c r="QCK234" s="16"/>
      <c r="QCL234" s="16"/>
      <c r="QCM234" s="16"/>
      <c r="QCN234" s="16"/>
      <c r="QCO234" s="16"/>
      <c r="QCP234" s="15"/>
      <c r="QCQ234" s="15"/>
      <c r="QCR234" s="10"/>
      <c r="QCS234" s="10"/>
      <c r="QCT234" s="19"/>
      <c r="QCU234" s="19"/>
      <c r="QCX234" s="16"/>
      <c r="QCY234" s="15"/>
      <c r="QCZ234" s="15"/>
      <c r="QDA234" s="15"/>
      <c r="QDB234" s="16"/>
      <c r="QDC234" s="16"/>
      <c r="QDD234" s="16"/>
      <c r="QDE234" s="16"/>
      <c r="QDF234" s="16"/>
      <c r="QDG234" s="15"/>
      <c r="QDH234" s="15"/>
      <c r="QDI234" s="10"/>
      <c r="QDJ234" s="10"/>
      <c r="QDK234" s="19"/>
      <c r="QDL234" s="19"/>
      <c r="QDO234" s="16"/>
      <c r="QDP234" s="15"/>
      <c r="QDQ234" s="15"/>
      <c r="QDR234" s="15"/>
      <c r="QDS234" s="16"/>
      <c r="QDT234" s="16"/>
      <c r="QDU234" s="16"/>
      <c r="QDV234" s="16"/>
      <c r="QDW234" s="16"/>
      <c r="QDX234" s="15"/>
      <c r="QDY234" s="15"/>
      <c r="QDZ234" s="10"/>
      <c r="QEA234" s="10"/>
      <c r="QEB234" s="19"/>
      <c r="QEC234" s="19"/>
      <c r="QEF234" s="16"/>
      <c r="QEG234" s="15"/>
      <c r="QEH234" s="15"/>
      <c r="QEI234" s="15"/>
      <c r="QEJ234" s="16"/>
      <c r="QEK234" s="16"/>
      <c r="QEL234" s="16"/>
      <c r="QEM234" s="16"/>
      <c r="QEN234" s="16"/>
      <c r="QEO234" s="15"/>
      <c r="QEP234" s="15"/>
      <c r="QEQ234" s="10"/>
      <c r="QER234" s="10"/>
      <c r="QES234" s="19"/>
      <c r="QET234" s="19"/>
      <c r="QEW234" s="16"/>
      <c r="QEX234" s="15"/>
      <c r="QEY234" s="15"/>
      <c r="QEZ234" s="15"/>
      <c r="QFA234" s="16"/>
      <c r="QFB234" s="16"/>
      <c r="QFC234" s="16"/>
      <c r="QFD234" s="16"/>
      <c r="QFE234" s="16"/>
      <c r="QFF234" s="15"/>
      <c r="QFG234" s="15"/>
      <c r="QFH234" s="10"/>
      <c r="QFI234" s="10"/>
      <c r="QFJ234" s="19"/>
      <c r="QFK234" s="19"/>
      <c r="QFN234" s="16"/>
      <c r="QFO234" s="15"/>
      <c r="QFP234" s="15"/>
      <c r="QFQ234" s="15"/>
      <c r="QFR234" s="16"/>
      <c r="QFS234" s="16"/>
      <c r="QFT234" s="16"/>
      <c r="QFU234" s="16"/>
      <c r="QFV234" s="16"/>
      <c r="QFW234" s="15"/>
      <c r="QFX234" s="15"/>
      <c r="QFY234" s="10"/>
      <c r="QFZ234" s="10"/>
      <c r="QGA234" s="19"/>
      <c r="QGB234" s="19"/>
      <c r="QGE234" s="16"/>
      <c r="QGF234" s="15"/>
      <c r="QGG234" s="15"/>
      <c r="QGH234" s="15"/>
      <c r="QGI234" s="16"/>
      <c r="QGJ234" s="16"/>
      <c r="QGK234" s="16"/>
      <c r="QGL234" s="16"/>
      <c r="QGM234" s="16"/>
      <c r="QGN234" s="15"/>
      <c r="QGO234" s="15"/>
      <c r="QGP234" s="10"/>
      <c r="QGQ234" s="10"/>
      <c r="QGR234" s="19"/>
      <c r="QGS234" s="19"/>
      <c r="QGV234" s="16"/>
      <c r="QGW234" s="15"/>
      <c r="QGX234" s="15"/>
      <c r="QGY234" s="15"/>
      <c r="QGZ234" s="16"/>
      <c r="QHA234" s="16"/>
      <c r="QHB234" s="16"/>
      <c r="QHC234" s="16"/>
      <c r="QHD234" s="16"/>
      <c r="QHE234" s="15"/>
      <c r="QHF234" s="15"/>
      <c r="QHG234" s="10"/>
      <c r="QHH234" s="10"/>
      <c r="QHI234" s="19"/>
      <c r="QHJ234" s="19"/>
      <c r="QHM234" s="16"/>
      <c r="QHN234" s="15"/>
      <c r="QHO234" s="15"/>
      <c r="QHP234" s="15"/>
      <c r="QHQ234" s="16"/>
      <c r="QHR234" s="16"/>
      <c r="QHS234" s="16"/>
      <c r="QHT234" s="16"/>
      <c r="QHU234" s="16"/>
      <c r="QHV234" s="15"/>
      <c r="QHW234" s="15"/>
      <c r="QHX234" s="10"/>
      <c r="QHY234" s="10"/>
      <c r="QHZ234" s="19"/>
      <c r="QIA234" s="19"/>
      <c r="QID234" s="16"/>
      <c r="QIE234" s="15"/>
      <c r="QIF234" s="15"/>
      <c r="QIG234" s="15"/>
      <c r="QIH234" s="16"/>
      <c r="QII234" s="16"/>
      <c r="QIJ234" s="16"/>
      <c r="QIK234" s="16"/>
      <c r="QIL234" s="16"/>
      <c r="QIM234" s="15"/>
      <c r="QIN234" s="15"/>
      <c r="QIO234" s="10"/>
      <c r="QIP234" s="10"/>
      <c r="QIQ234" s="19"/>
      <c r="QIR234" s="19"/>
      <c r="QIU234" s="16"/>
      <c r="QIV234" s="15"/>
      <c r="QIW234" s="15"/>
      <c r="QIX234" s="15"/>
      <c r="QIY234" s="16"/>
      <c r="QIZ234" s="16"/>
      <c r="QJA234" s="16"/>
      <c r="QJB234" s="16"/>
      <c r="QJC234" s="16"/>
      <c r="QJD234" s="15"/>
      <c r="QJE234" s="15"/>
      <c r="QJF234" s="10"/>
      <c r="QJG234" s="10"/>
      <c r="QJH234" s="19"/>
      <c r="QJI234" s="19"/>
      <c r="QJL234" s="16"/>
      <c r="QJM234" s="15"/>
      <c r="QJN234" s="15"/>
      <c r="QJO234" s="15"/>
      <c r="QJP234" s="16"/>
      <c r="QJQ234" s="16"/>
      <c r="QJR234" s="16"/>
      <c r="QJS234" s="16"/>
      <c r="QJT234" s="16"/>
      <c r="QJU234" s="15"/>
      <c r="QJV234" s="15"/>
      <c r="QJW234" s="10"/>
      <c r="QJX234" s="10"/>
      <c r="QJY234" s="19"/>
      <c r="QJZ234" s="19"/>
      <c r="QKC234" s="16"/>
      <c r="QKD234" s="15"/>
      <c r="QKE234" s="15"/>
      <c r="QKF234" s="15"/>
      <c r="QKG234" s="16"/>
      <c r="QKH234" s="16"/>
      <c r="QKI234" s="16"/>
      <c r="QKJ234" s="16"/>
      <c r="QKK234" s="16"/>
      <c r="QKL234" s="15"/>
      <c r="QKM234" s="15"/>
      <c r="QKN234" s="10"/>
      <c r="QKO234" s="10"/>
      <c r="QKP234" s="19"/>
      <c r="QKQ234" s="19"/>
      <c r="QKT234" s="16"/>
      <c r="QKU234" s="15"/>
      <c r="QKV234" s="15"/>
      <c r="QKW234" s="15"/>
      <c r="QKX234" s="16"/>
      <c r="QKY234" s="16"/>
      <c r="QKZ234" s="16"/>
      <c r="QLA234" s="16"/>
      <c r="QLB234" s="16"/>
      <c r="QLC234" s="15"/>
      <c r="QLD234" s="15"/>
      <c r="QLE234" s="10"/>
      <c r="QLF234" s="10"/>
      <c r="QLG234" s="19"/>
      <c r="QLH234" s="19"/>
      <c r="QLK234" s="16"/>
      <c r="QLL234" s="15"/>
      <c r="QLM234" s="15"/>
      <c r="QLN234" s="15"/>
      <c r="QLO234" s="16"/>
      <c r="QLP234" s="16"/>
      <c r="QLQ234" s="16"/>
      <c r="QLR234" s="16"/>
      <c r="QLS234" s="16"/>
      <c r="QLT234" s="15"/>
      <c r="QLU234" s="15"/>
      <c r="QLV234" s="10"/>
      <c r="QLW234" s="10"/>
      <c r="QLX234" s="19"/>
      <c r="QLY234" s="19"/>
      <c r="QMB234" s="16"/>
      <c r="QMC234" s="15"/>
      <c r="QMD234" s="15"/>
      <c r="QME234" s="15"/>
      <c r="QMF234" s="16"/>
      <c r="QMG234" s="16"/>
      <c r="QMH234" s="16"/>
      <c r="QMI234" s="16"/>
      <c r="QMJ234" s="16"/>
      <c r="QMK234" s="15"/>
      <c r="QML234" s="15"/>
      <c r="QMM234" s="10"/>
      <c r="QMN234" s="10"/>
      <c r="QMO234" s="19"/>
      <c r="QMP234" s="19"/>
      <c r="QMS234" s="16"/>
      <c r="QMT234" s="15"/>
      <c r="QMU234" s="15"/>
      <c r="QMV234" s="15"/>
      <c r="QMW234" s="16"/>
      <c r="QMX234" s="16"/>
      <c r="QMY234" s="16"/>
      <c r="QMZ234" s="16"/>
      <c r="QNA234" s="16"/>
      <c r="QNB234" s="15"/>
      <c r="QNC234" s="15"/>
      <c r="QND234" s="10"/>
      <c r="QNE234" s="10"/>
      <c r="QNF234" s="19"/>
      <c r="QNG234" s="19"/>
      <c r="QNJ234" s="16"/>
      <c r="QNK234" s="15"/>
      <c r="QNL234" s="15"/>
      <c r="QNM234" s="15"/>
      <c r="QNN234" s="16"/>
      <c r="QNO234" s="16"/>
      <c r="QNP234" s="16"/>
      <c r="QNQ234" s="16"/>
      <c r="QNR234" s="16"/>
      <c r="QNS234" s="15"/>
      <c r="QNT234" s="15"/>
      <c r="QNU234" s="10"/>
      <c r="QNV234" s="10"/>
      <c r="QNW234" s="19"/>
      <c r="QNX234" s="19"/>
      <c r="QOA234" s="16"/>
      <c r="QOB234" s="15"/>
      <c r="QOC234" s="15"/>
      <c r="QOD234" s="15"/>
      <c r="QOE234" s="16"/>
      <c r="QOF234" s="16"/>
      <c r="QOG234" s="16"/>
      <c r="QOH234" s="16"/>
      <c r="QOI234" s="16"/>
      <c r="QOJ234" s="15"/>
      <c r="QOK234" s="15"/>
      <c r="QOL234" s="10"/>
      <c r="QOM234" s="10"/>
      <c r="QON234" s="19"/>
      <c r="QOO234" s="19"/>
      <c r="QOR234" s="16"/>
      <c r="QOS234" s="15"/>
      <c r="QOT234" s="15"/>
      <c r="QOU234" s="15"/>
      <c r="QOV234" s="16"/>
      <c r="QOW234" s="16"/>
      <c r="QOX234" s="16"/>
      <c r="QOY234" s="16"/>
      <c r="QOZ234" s="16"/>
      <c r="QPA234" s="15"/>
      <c r="QPB234" s="15"/>
      <c r="QPC234" s="10"/>
      <c r="QPD234" s="10"/>
      <c r="QPE234" s="19"/>
      <c r="QPF234" s="19"/>
      <c r="QPI234" s="16"/>
      <c r="QPJ234" s="15"/>
      <c r="QPK234" s="15"/>
      <c r="QPL234" s="15"/>
      <c r="QPM234" s="16"/>
      <c r="QPN234" s="16"/>
      <c r="QPO234" s="16"/>
      <c r="QPP234" s="16"/>
      <c r="QPQ234" s="16"/>
      <c r="QPR234" s="15"/>
      <c r="QPS234" s="15"/>
      <c r="QPT234" s="10"/>
      <c r="QPU234" s="10"/>
      <c r="QPV234" s="19"/>
      <c r="QPW234" s="19"/>
      <c r="QPZ234" s="16"/>
      <c r="QQA234" s="15"/>
      <c r="QQB234" s="15"/>
      <c r="QQC234" s="15"/>
      <c r="QQD234" s="16"/>
      <c r="QQE234" s="16"/>
      <c r="QQF234" s="16"/>
      <c r="QQG234" s="16"/>
      <c r="QQH234" s="16"/>
      <c r="QQI234" s="15"/>
      <c r="QQJ234" s="15"/>
      <c r="QQK234" s="10"/>
      <c r="QQL234" s="10"/>
      <c r="QQM234" s="19"/>
      <c r="QQN234" s="19"/>
      <c r="QQQ234" s="16"/>
      <c r="QQR234" s="15"/>
      <c r="QQS234" s="15"/>
      <c r="QQT234" s="15"/>
      <c r="QQU234" s="16"/>
      <c r="QQV234" s="16"/>
      <c r="QQW234" s="16"/>
      <c r="QQX234" s="16"/>
      <c r="QQY234" s="16"/>
      <c r="QQZ234" s="15"/>
      <c r="QRA234" s="15"/>
      <c r="QRB234" s="10"/>
      <c r="QRC234" s="10"/>
      <c r="QRD234" s="19"/>
      <c r="QRE234" s="19"/>
      <c r="QRH234" s="16"/>
      <c r="QRI234" s="15"/>
      <c r="QRJ234" s="15"/>
      <c r="QRK234" s="15"/>
      <c r="QRL234" s="16"/>
      <c r="QRM234" s="16"/>
      <c r="QRN234" s="16"/>
      <c r="QRO234" s="16"/>
      <c r="QRP234" s="16"/>
      <c r="QRQ234" s="15"/>
      <c r="QRR234" s="15"/>
      <c r="QRS234" s="10"/>
      <c r="QRT234" s="10"/>
      <c r="QRU234" s="19"/>
      <c r="QRV234" s="19"/>
      <c r="QRY234" s="16"/>
      <c r="QRZ234" s="15"/>
      <c r="QSA234" s="15"/>
      <c r="QSB234" s="15"/>
      <c r="QSC234" s="16"/>
      <c r="QSD234" s="16"/>
      <c r="QSE234" s="16"/>
      <c r="QSF234" s="16"/>
      <c r="QSG234" s="16"/>
      <c r="QSH234" s="15"/>
      <c r="QSI234" s="15"/>
      <c r="QSJ234" s="10"/>
      <c r="QSK234" s="10"/>
      <c r="QSL234" s="19"/>
      <c r="QSM234" s="19"/>
      <c r="QSP234" s="16"/>
      <c r="QSQ234" s="15"/>
      <c r="QSR234" s="15"/>
      <c r="QSS234" s="15"/>
      <c r="QST234" s="16"/>
      <c r="QSU234" s="16"/>
      <c r="QSV234" s="16"/>
      <c r="QSW234" s="16"/>
      <c r="QSX234" s="16"/>
      <c r="QSY234" s="15"/>
      <c r="QSZ234" s="15"/>
      <c r="QTA234" s="10"/>
      <c r="QTB234" s="10"/>
      <c r="QTC234" s="19"/>
      <c r="QTD234" s="19"/>
      <c r="QTG234" s="16"/>
      <c r="QTH234" s="15"/>
      <c r="QTI234" s="15"/>
      <c r="QTJ234" s="15"/>
      <c r="QTK234" s="16"/>
      <c r="QTL234" s="16"/>
      <c r="QTM234" s="16"/>
      <c r="QTN234" s="16"/>
      <c r="QTO234" s="16"/>
      <c r="QTP234" s="15"/>
      <c r="QTQ234" s="15"/>
      <c r="QTR234" s="10"/>
      <c r="QTS234" s="10"/>
      <c r="QTT234" s="19"/>
      <c r="QTU234" s="19"/>
      <c r="QTX234" s="16"/>
      <c r="QTY234" s="15"/>
      <c r="QTZ234" s="15"/>
      <c r="QUA234" s="15"/>
      <c r="QUB234" s="16"/>
      <c r="QUC234" s="16"/>
      <c r="QUD234" s="16"/>
      <c r="QUE234" s="16"/>
      <c r="QUF234" s="16"/>
      <c r="QUG234" s="15"/>
      <c r="QUH234" s="15"/>
      <c r="QUI234" s="10"/>
      <c r="QUJ234" s="10"/>
      <c r="QUK234" s="19"/>
      <c r="QUL234" s="19"/>
      <c r="QUO234" s="16"/>
      <c r="QUP234" s="15"/>
      <c r="QUQ234" s="15"/>
      <c r="QUR234" s="15"/>
      <c r="QUS234" s="16"/>
      <c r="QUT234" s="16"/>
      <c r="QUU234" s="16"/>
      <c r="QUV234" s="16"/>
      <c r="QUW234" s="16"/>
      <c r="QUX234" s="15"/>
      <c r="QUY234" s="15"/>
      <c r="QUZ234" s="10"/>
      <c r="QVA234" s="10"/>
      <c r="QVB234" s="19"/>
      <c r="QVC234" s="19"/>
      <c r="QVF234" s="16"/>
      <c r="QVG234" s="15"/>
      <c r="QVH234" s="15"/>
      <c r="QVI234" s="15"/>
      <c r="QVJ234" s="16"/>
      <c r="QVK234" s="16"/>
      <c r="QVL234" s="16"/>
      <c r="QVM234" s="16"/>
      <c r="QVN234" s="16"/>
      <c r="QVO234" s="15"/>
      <c r="QVP234" s="15"/>
      <c r="QVQ234" s="10"/>
      <c r="QVR234" s="10"/>
      <c r="QVS234" s="19"/>
      <c r="QVT234" s="19"/>
      <c r="QVW234" s="16"/>
      <c r="QVX234" s="15"/>
      <c r="QVY234" s="15"/>
      <c r="QVZ234" s="15"/>
      <c r="QWA234" s="16"/>
      <c r="QWB234" s="16"/>
      <c r="QWC234" s="16"/>
      <c r="QWD234" s="16"/>
      <c r="QWE234" s="16"/>
      <c r="QWF234" s="15"/>
      <c r="QWG234" s="15"/>
      <c r="QWH234" s="10"/>
      <c r="QWI234" s="10"/>
      <c r="QWJ234" s="19"/>
      <c r="QWK234" s="19"/>
      <c r="QWN234" s="16"/>
      <c r="QWO234" s="15"/>
      <c r="QWP234" s="15"/>
      <c r="QWQ234" s="15"/>
      <c r="QWR234" s="16"/>
      <c r="QWS234" s="16"/>
      <c r="QWT234" s="16"/>
      <c r="QWU234" s="16"/>
      <c r="QWV234" s="16"/>
      <c r="QWW234" s="15"/>
      <c r="QWX234" s="15"/>
      <c r="QWY234" s="10"/>
      <c r="QWZ234" s="10"/>
      <c r="QXA234" s="19"/>
      <c r="QXB234" s="19"/>
      <c r="QXE234" s="16"/>
      <c r="QXF234" s="15"/>
      <c r="QXG234" s="15"/>
      <c r="QXH234" s="15"/>
      <c r="QXI234" s="16"/>
      <c r="QXJ234" s="16"/>
      <c r="QXK234" s="16"/>
      <c r="QXL234" s="16"/>
      <c r="QXM234" s="16"/>
      <c r="QXN234" s="15"/>
      <c r="QXO234" s="15"/>
      <c r="QXP234" s="10"/>
      <c r="QXQ234" s="10"/>
      <c r="QXR234" s="19"/>
      <c r="QXS234" s="19"/>
      <c r="QXV234" s="16"/>
      <c r="QXW234" s="15"/>
      <c r="QXX234" s="15"/>
      <c r="QXY234" s="15"/>
      <c r="QXZ234" s="16"/>
      <c r="QYA234" s="16"/>
      <c r="QYB234" s="16"/>
      <c r="QYC234" s="16"/>
      <c r="QYD234" s="16"/>
      <c r="QYE234" s="15"/>
      <c r="QYF234" s="15"/>
      <c r="QYG234" s="10"/>
      <c r="QYH234" s="10"/>
      <c r="QYI234" s="19"/>
      <c r="QYJ234" s="19"/>
      <c r="QYM234" s="16"/>
      <c r="QYN234" s="15"/>
      <c r="QYO234" s="15"/>
      <c r="QYP234" s="15"/>
      <c r="QYQ234" s="16"/>
      <c r="QYR234" s="16"/>
      <c r="QYS234" s="16"/>
      <c r="QYT234" s="16"/>
      <c r="QYU234" s="16"/>
      <c r="QYV234" s="15"/>
      <c r="QYW234" s="15"/>
      <c r="QYX234" s="10"/>
      <c r="QYY234" s="10"/>
      <c r="QYZ234" s="19"/>
      <c r="QZA234" s="19"/>
      <c r="QZD234" s="16"/>
      <c r="QZE234" s="15"/>
      <c r="QZF234" s="15"/>
      <c r="QZG234" s="15"/>
      <c r="QZH234" s="16"/>
      <c r="QZI234" s="16"/>
      <c r="QZJ234" s="16"/>
      <c r="QZK234" s="16"/>
      <c r="QZL234" s="16"/>
      <c r="QZM234" s="15"/>
      <c r="QZN234" s="15"/>
      <c r="QZO234" s="10"/>
      <c r="QZP234" s="10"/>
      <c r="QZQ234" s="19"/>
      <c r="QZR234" s="19"/>
      <c r="QZU234" s="16"/>
      <c r="QZV234" s="15"/>
      <c r="QZW234" s="15"/>
      <c r="QZX234" s="15"/>
      <c r="QZY234" s="16"/>
      <c r="QZZ234" s="16"/>
      <c r="RAA234" s="16"/>
      <c r="RAB234" s="16"/>
      <c r="RAC234" s="16"/>
      <c r="RAD234" s="15"/>
      <c r="RAE234" s="15"/>
      <c r="RAF234" s="10"/>
      <c r="RAG234" s="10"/>
      <c r="RAH234" s="19"/>
      <c r="RAI234" s="19"/>
      <c r="RAL234" s="16"/>
      <c r="RAM234" s="15"/>
      <c r="RAN234" s="15"/>
      <c r="RAO234" s="15"/>
      <c r="RAP234" s="16"/>
      <c r="RAQ234" s="16"/>
      <c r="RAR234" s="16"/>
      <c r="RAS234" s="16"/>
      <c r="RAT234" s="16"/>
      <c r="RAU234" s="15"/>
      <c r="RAV234" s="15"/>
      <c r="RAW234" s="10"/>
      <c r="RAX234" s="10"/>
      <c r="RAY234" s="19"/>
      <c r="RAZ234" s="19"/>
      <c r="RBC234" s="16"/>
      <c r="RBD234" s="15"/>
      <c r="RBE234" s="15"/>
      <c r="RBF234" s="15"/>
      <c r="RBG234" s="16"/>
      <c r="RBH234" s="16"/>
      <c r="RBI234" s="16"/>
      <c r="RBJ234" s="16"/>
      <c r="RBK234" s="16"/>
      <c r="RBL234" s="15"/>
      <c r="RBM234" s="15"/>
      <c r="RBN234" s="10"/>
      <c r="RBO234" s="10"/>
      <c r="RBP234" s="19"/>
      <c r="RBQ234" s="19"/>
      <c r="RBT234" s="16"/>
      <c r="RBU234" s="15"/>
      <c r="RBV234" s="15"/>
      <c r="RBW234" s="15"/>
      <c r="RBX234" s="16"/>
      <c r="RBY234" s="16"/>
      <c r="RBZ234" s="16"/>
      <c r="RCA234" s="16"/>
      <c r="RCB234" s="16"/>
      <c r="RCC234" s="15"/>
      <c r="RCD234" s="15"/>
      <c r="RCE234" s="10"/>
      <c r="RCF234" s="10"/>
      <c r="RCG234" s="19"/>
      <c r="RCH234" s="19"/>
      <c r="RCK234" s="16"/>
      <c r="RCL234" s="15"/>
      <c r="RCM234" s="15"/>
      <c r="RCN234" s="15"/>
      <c r="RCO234" s="16"/>
      <c r="RCP234" s="16"/>
      <c r="RCQ234" s="16"/>
      <c r="RCR234" s="16"/>
      <c r="RCS234" s="16"/>
      <c r="RCT234" s="15"/>
      <c r="RCU234" s="15"/>
      <c r="RCV234" s="10"/>
      <c r="RCW234" s="10"/>
      <c r="RCX234" s="19"/>
      <c r="RCY234" s="19"/>
      <c r="RDB234" s="16"/>
      <c r="RDC234" s="15"/>
      <c r="RDD234" s="15"/>
      <c r="RDE234" s="15"/>
      <c r="RDF234" s="16"/>
      <c r="RDG234" s="16"/>
      <c r="RDH234" s="16"/>
      <c r="RDI234" s="16"/>
      <c r="RDJ234" s="16"/>
      <c r="RDK234" s="15"/>
      <c r="RDL234" s="15"/>
      <c r="RDM234" s="10"/>
      <c r="RDN234" s="10"/>
      <c r="RDO234" s="19"/>
      <c r="RDP234" s="19"/>
      <c r="RDS234" s="16"/>
      <c r="RDT234" s="15"/>
      <c r="RDU234" s="15"/>
      <c r="RDV234" s="15"/>
      <c r="RDW234" s="16"/>
      <c r="RDX234" s="16"/>
      <c r="RDY234" s="16"/>
      <c r="RDZ234" s="16"/>
      <c r="REA234" s="16"/>
      <c r="REB234" s="15"/>
      <c r="REC234" s="15"/>
      <c r="RED234" s="10"/>
      <c r="REE234" s="10"/>
      <c r="REF234" s="19"/>
      <c r="REG234" s="19"/>
      <c r="REJ234" s="16"/>
      <c r="REK234" s="15"/>
      <c r="REL234" s="15"/>
      <c r="REM234" s="15"/>
      <c r="REN234" s="16"/>
      <c r="REO234" s="16"/>
      <c r="REP234" s="16"/>
      <c r="REQ234" s="16"/>
      <c r="RER234" s="16"/>
      <c r="RES234" s="15"/>
      <c r="RET234" s="15"/>
      <c r="REU234" s="10"/>
      <c r="REV234" s="10"/>
      <c r="REW234" s="19"/>
      <c r="REX234" s="19"/>
      <c r="RFA234" s="16"/>
      <c r="RFB234" s="15"/>
      <c r="RFC234" s="15"/>
      <c r="RFD234" s="15"/>
      <c r="RFE234" s="16"/>
      <c r="RFF234" s="16"/>
      <c r="RFG234" s="16"/>
      <c r="RFH234" s="16"/>
      <c r="RFI234" s="16"/>
      <c r="RFJ234" s="15"/>
      <c r="RFK234" s="15"/>
      <c r="RFL234" s="10"/>
      <c r="RFM234" s="10"/>
      <c r="RFN234" s="19"/>
      <c r="RFO234" s="19"/>
      <c r="RFR234" s="16"/>
      <c r="RFS234" s="15"/>
      <c r="RFT234" s="15"/>
      <c r="RFU234" s="15"/>
      <c r="RFV234" s="16"/>
      <c r="RFW234" s="16"/>
      <c r="RFX234" s="16"/>
      <c r="RFY234" s="16"/>
      <c r="RFZ234" s="16"/>
      <c r="RGA234" s="15"/>
      <c r="RGB234" s="15"/>
      <c r="RGC234" s="10"/>
      <c r="RGD234" s="10"/>
      <c r="RGE234" s="19"/>
      <c r="RGF234" s="19"/>
      <c r="RGI234" s="16"/>
      <c r="RGJ234" s="15"/>
      <c r="RGK234" s="15"/>
      <c r="RGL234" s="15"/>
      <c r="RGM234" s="16"/>
      <c r="RGN234" s="16"/>
      <c r="RGO234" s="16"/>
      <c r="RGP234" s="16"/>
      <c r="RGQ234" s="16"/>
      <c r="RGR234" s="15"/>
      <c r="RGS234" s="15"/>
      <c r="RGT234" s="10"/>
      <c r="RGU234" s="10"/>
      <c r="RGV234" s="19"/>
      <c r="RGW234" s="19"/>
      <c r="RGZ234" s="16"/>
      <c r="RHA234" s="15"/>
      <c r="RHB234" s="15"/>
      <c r="RHC234" s="15"/>
      <c r="RHD234" s="16"/>
      <c r="RHE234" s="16"/>
      <c r="RHF234" s="16"/>
      <c r="RHG234" s="16"/>
      <c r="RHH234" s="16"/>
      <c r="RHI234" s="15"/>
      <c r="RHJ234" s="15"/>
      <c r="RHK234" s="10"/>
      <c r="RHL234" s="10"/>
      <c r="RHM234" s="19"/>
      <c r="RHN234" s="19"/>
      <c r="RHQ234" s="16"/>
      <c r="RHR234" s="15"/>
      <c r="RHS234" s="15"/>
      <c r="RHT234" s="15"/>
      <c r="RHU234" s="16"/>
      <c r="RHV234" s="16"/>
      <c r="RHW234" s="16"/>
      <c r="RHX234" s="16"/>
      <c r="RHY234" s="16"/>
      <c r="RHZ234" s="15"/>
      <c r="RIA234" s="15"/>
      <c r="RIB234" s="10"/>
      <c r="RIC234" s="10"/>
      <c r="RID234" s="19"/>
      <c r="RIE234" s="19"/>
      <c r="RIH234" s="16"/>
      <c r="RII234" s="15"/>
      <c r="RIJ234" s="15"/>
      <c r="RIK234" s="15"/>
      <c r="RIL234" s="16"/>
      <c r="RIM234" s="16"/>
      <c r="RIN234" s="16"/>
      <c r="RIO234" s="16"/>
      <c r="RIP234" s="16"/>
      <c r="RIQ234" s="15"/>
      <c r="RIR234" s="15"/>
      <c r="RIS234" s="10"/>
      <c r="RIT234" s="10"/>
      <c r="RIU234" s="19"/>
      <c r="RIV234" s="19"/>
      <c r="RIY234" s="16"/>
      <c r="RIZ234" s="15"/>
      <c r="RJA234" s="15"/>
      <c r="RJB234" s="15"/>
      <c r="RJC234" s="16"/>
      <c r="RJD234" s="16"/>
      <c r="RJE234" s="16"/>
      <c r="RJF234" s="16"/>
      <c r="RJG234" s="16"/>
      <c r="RJH234" s="15"/>
      <c r="RJI234" s="15"/>
      <c r="RJJ234" s="10"/>
      <c r="RJK234" s="10"/>
      <c r="RJL234" s="19"/>
      <c r="RJM234" s="19"/>
      <c r="RJP234" s="16"/>
      <c r="RJQ234" s="15"/>
      <c r="RJR234" s="15"/>
      <c r="RJS234" s="15"/>
      <c r="RJT234" s="16"/>
      <c r="RJU234" s="16"/>
      <c r="RJV234" s="16"/>
      <c r="RJW234" s="16"/>
      <c r="RJX234" s="16"/>
      <c r="RJY234" s="15"/>
      <c r="RJZ234" s="15"/>
      <c r="RKA234" s="10"/>
      <c r="RKB234" s="10"/>
      <c r="RKC234" s="19"/>
      <c r="RKD234" s="19"/>
      <c r="RKG234" s="16"/>
      <c r="RKH234" s="15"/>
      <c r="RKI234" s="15"/>
      <c r="RKJ234" s="15"/>
      <c r="RKK234" s="16"/>
      <c r="RKL234" s="16"/>
      <c r="RKM234" s="16"/>
      <c r="RKN234" s="16"/>
      <c r="RKO234" s="16"/>
      <c r="RKP234" s="15"/>
      <c r="RKQ234" s="15"/>
      <c r="RKR234" s="10"/>
      <c r="RKS234" s="10"/>
      <c r="RKT234" s="19"/>
      <c r="RKU234" s="19"/>
      <c r="RKX234" s="16"/>
      <c r="RKY234" s="15"/>
      <c r="RKZ234" s="15"/>
      <c r="RLA234" s="15"/>
      <c r="RLB234" s="16"/>
      <c r="RLC234" s="16"/>
      <c r="RLD234" s="16"/>
      <c r="RLE234" s="16"/>
      <c r="RLF234" s="16"/>
      <c r="RLG234" s="15"/>
      <c r="RLH234" s="15"/>
      <c r="RLI234" s="10"/>
      <c r="RLJ234" s="10"/>
      <c r="RLK234" s="19"/>
      <c r="RLL234" s="19"/>
      <c r="RLO234" s="16"/>
      <c r="RLP234" s="15"/>
      <c r="RLQ234" s="15"/>
      <c r="RLR234" s="15"/>
      <c r="RLS234" s="16"/>
      <c r="RLT234" s="16"/>
      <c r="RLU234" s="16"/>
      <c r="RLV234" s="16"/>
      <c r="RLW234" s="16"/>
      <c r="RLX234" s="15"/>
      <c r="RLY234" s="15"/>
      <c r="RLZ234" s="10"/>
      <c r="RMA234" s="10"/>
      <c r="RMB234" s="19"/>
      <c r="RMC234" s="19"/>
      <c r="RMF234" s="16"/>
      <c r="RMG234" s="15"/>
      <c r="RMH234" s="15"/>
      <c r="RMI234" s="15"/>
      <c r="RMJ234" s="16"/>
      <c r="RMK234" s="16"/>
      <c r="RML234" s="16"/>
      <c r="RMM234" s="16"/>
      <c r="RMN234" s="16"/>
      <c r="RMO234" s="15"/>
      <c r="RMP234" s="15"/>
      <c r="RMQ234" s="10"/>
      <c r="RMR234" s="10"/>
      <c r="RMS234" s="19"/>
      <c r="RMT234" s="19"/>
      <c r="RMW234" s="16"/>
      <c r="RMX234" s="15"/>
      <c r="RMY234" s="15"/>
      <c r="RMZ234" s="15"/>
      <c r="RNA234" s="16"/>
      <c r="RNB234" s="16"/>
      <c r="RNC234" s="16"/>
      <c r="RND234" s="16"/>
      <c r="RNE234" s="16"/>
      <c r="RNF234" s="15"/>
      <c r="RNG234" s="15"/>
      <c r="RNH234" s="10"/>
      <c r="RNI234" s="10"/>
      <c r="RNJ234" s="19"/>
      <c r="RNK234" s="19"/>
      <c r="RNN234" s="16"/>
      <c r="RNO234" s="15"/>
      <c r="RNP234" s="15"/>
      <c r="RNQ234" s="15"/>
      <c r="RNR234" s="16"/>
      <c r="RNS234" s="16"/>
      <c r="RNT234" s="16"/>
      <c r="RNU234" s="16"/>
      <c r="RNV234" s="16"/>
      <c r="RNW234" s="15"/>
      <c r="RNX234" s="15"/>
      <c r="RNY234" s="10"/>
      <c r="RNZ234" s="10"/>
      <c r="ROA234" s="19"/>
      <c r="ROB234" s="19"/>
      <c r="ROE234" s="16"/>
      <c r="ROF234" s="15"/>
      <c r="ROG234" s="15"/>
      <c r="ROH234" s="15"/>
      <c r="ROI234" s="16"/>
      <c r="ROJ234" s="16"/>
      <c r="ROK234" s="16"/>
      <c r="ROL234" s="16"/>
      <c r="ROM234" s="16"/>
      <c r="RON234" s="15"/>
      <c r="ROO234" s="15"/>
      <c r="ROP234" s="10"/>
      <c r="ROQ234" s="10"/>
      <c r="ROR234" s="19"/>
      <c r="ROS234" s="19"/>
      <c r="ROV234" s="16"/>
      <c r="ROW234" s="15"/>
      <c r="ROX234" s="15"/>
      <c r="ROY234" s="15"/>
      <c r="ROZ234" s="16"/>
      <c r="RPA234" s="16"/>
      <c r="RPB234" s="16"/>
      <c r="RPC234" s="16"/>
      <c r="RPD234" s="16"/>
      <c r="RPE234" s="15"/>
      <c r="RPF234" s="15"/>
      <c r="RPG234" s="10"/>
      <c r="RPH234" s="10"/>
      <c r="RPI234" s="19"/>
      <c r="RPJ234" s="19"/>
      <c r="RPM234" s="16"/>
      <c r="RPN234" s="15"/>
      <c r="RPO234" s="15"/>
      <c r="RPP234" s="15"/>
      <c r="RPQ234" s="16"/>
      <c r="RPR234" s="16"/>
      <c r="RPS234" s="16"/>
      <c r="RPT234" s="16"/>
      <c r="RPU234" s="16"/>
      <c r="RPV234" s="15"/>
      <c r="RPW234" s="15"/>
      <c r="RPX234" s="10"/>
      <c r="RPY234" s="10"/>
      <c r="RPZ234" s="19"/>
      <c r="RQA234" s="19"/>
      <c r="RQD234" s="16"/>
      <c r="RQE234" s="15"/>
      <c r="RQF234" s="15"/>
      <c r="RQG234" s="15"/>
      <c r="RQH234" s="16"/>
      <c r="RQI234" s="16"/>
      <c r="RQJ234" s="16"/>
      <c r="RQK234" s="16"/>
      <c r="RQL234" s="16"/>
      <c r="RQM234" s="15"/>
      <c r="RQN234" s="15"/>
      <c r="RQO234" s="10"/>
      <c r="RQP234" s="10"/>
      <c r="RQQ234" s="19"/>
      <c r="RQR234" s="19"/>
      <c r="RQU234" s="16"/>
      <c r="RQV234" s="15"/>
      <c r="RQW234" s="15"/>
      <c r="RQX234" s="15"/>
      <c r="RQY234" s="16"/>
      <c r="RQZ234" s="16"/>
      <c r="RRA234" s="16"/>
      <c r="RRB234" s="16"/>
      <c r="RRC234" s="16"/>
      <c r="RRD234" s="15"/>
      <c r="RRE234" s="15"/>
      <c r="RRF234" s="10"/>
      <c r="RRG234" s="10"/>
      <c r="RRH234" s="19"/>
      <c r="RRI234" s="19"/>
      <c r="RRL234" s="16"/>
      <c r="RRM234" s="15"/>
      <c r="RRN234" s="15"/>
      <c r="RRO234" s="15"/>
      <c r="RRP234" s="16"/>
      <c r="RRQ234" s="16"/>
      <c r="RRR234" s="16"/>
      <c r="RRS234" s="16"/>
      <c r="RRT234" s="16"/>
      <c r="RRU234" s="15"/>
      <c r="RRV234" s="15"/>
      <c r="RRW234" s="10"/>
      <c r="RRX234" s="10"/>
      <c r="RRY234" s="19"/>
      <c r="RRZ234" s="19"/>
      <c r="RSC234" s="16"/>
      <c r="RSD234" s="15"/>
      <c r="RSE234" s="15"/>
      <c r="RSF234" s="15"/>
      <c r="RSG234" s="16"/>
      <c r="RSH234" s="16"/>
      <c r="RSI234" s="16"/>
      <c r="RSJ234" s="16"/>
      <c r="RSK234" s="16"/>
      <c r="RSL234" s="15"/>
      <c r="RSM234" s="15"/>
      <c r="RSN234" s="10"/>
      <c r="RSO234" s="10"/>
      <c r="RSP234" s="19"/>
      <c r="RSQ234" s="19"/>
      <c r="RST234" s="16"/>
      <c r="RSU234" s="15"/>
      <c r="RSV234" s="15"/>
      <c r="RSW234" s="15"/>
      <c r="RSX234" s="16"/>
      <c r="RSY234" s="16"/>
      <c r="RSZ234" s="16"/>
      <c r="RTA234" s="16"/>
      <c r="RTB234" s="16"/>
      <c r="RTC234" s="15"/>
      <c r="RTD234" s="15"/>
      <c r="RTE234" s="10"/>
      <c r="RTF234" s="10"/>
      <c r="RTG234" s="19"/>
      <c r="RTH234" s="19"/>
      <c r="RTK234" s="16"/>
      <c r="RTL234" s="15"/>
      <c r="RTM234" s="15"/>
      <c r="RTN234" s="15"/>
      <c r="RTO234" s="16"/>
      <c r="RTP234" s="16"/>
      <c r="RTQ234" s="16"/>
      <c r="RTR234" s="16"/>
      <c r="RTS234" s="16"/>
      <c r="RTT234" s="15"/>
      <c r="RTU234" s="15"/>
      <c r="RTV234" s="10"/>
      <c r="RTW234" s="10"/>
      <c r="RTX234" s="19"/>
      <c r="RTY234" s="19"/>
      <c r="RUB234" s="16"/>
      <c r="RUC234" s="15"/>
      <c r="RUD234" s="15"/>
      <c r="RUE234" s="15"/>
      <c r="RUF234" s="16"/>
      <c r="RUG234" s="16"/>
      <c r="RUH234" s="16"/>
      <c r="RUI234" s="16"/>
      <c r="RUJ234" s="16"/>
      <c r="RUK234" s="15"/>
      <c r="RUL234" s="15"/>
      <c r="RUM234" s="10"/>
      <c r="RUN234" s="10"/>
      <c r="RUO234" s="19"/>
      <c r="RUP234" s="19"/>
      <c r="RUS234" s="16"/>
      <c r="RUT234" s="15"/>
      <c r="RUU234" s="15"/>
      <c r="RUV234" s="15"/>
      <c r="RUW234" s="16"/>
      <c r="RUX234" s="16"/>
      <c r="RUY234" s="16"/>
      <c r="RUZ234" s="16"/>
      <c r="RVA234" s="16"/>
      <c r="RVB234" s="15"/>
      <c r="RVC234" s="15"/>
      <c r="RVD234" s="10"/>
      <c r="RVE234" s="10"/>
      <c r="RVF234" s="19"/>
      <c r="RVG234" s="19"/>
      <c r="RVJ234" s="16"/>
      <c r="RVK234" s="15"/>
      <c r="RVL234" s="15"/>
      <c r="RVM234" s="15"/>
      <c r="RVN234" s="16"/>
      <c r="RVO234" s="16"/>
      <c r="RVP234" s="16"/>
      <c r="RVQ234" s="16"/>
      <c r="RVR234" s="16"/>
      <c r="RVS234" s="15"/>
      <c r="RVT234" s="15"/>
      <c r="RVU234" s="10"/>
      <c r="RVV234" s="10"/>
      <c r="RVW234" s="19"/>
      <c r="RVX234" s="19"/>
      <c r="RWA234" s="16"/>
      <c r="RWB234" s="15"/>
      <c r="RWC234" s="15"/>
      <c r="RWD234" s="15"/>
      <c r="RWE234" s="16"/>
      <c r="RWF234" s="16"/>
      <c r="RWG234" s="16"/>
      <c r="RWH234" s="16"/>
      <c r="RWI234" s="16"/>
      <c r="RWJ234" s="15"/>
      <c r="RWK234" s="15"/>
      <c r="RWL234" s="10"/>
      <c r="RWM234" s="10"/>
      <c r="RWN234" s="19"/>
      <c r="RWO234" s="19"/>
      <c r="RWR234" s="16"/>
      <c r="RWS234" s="15"/>
      <c r="RWT234" s="15"/>
      <c r="RWU234" s="15"/>
      <c r="RWV234" s="16"/>
      <c r="RWW234" s="16"/>
      <c r="RWX234" s="16"/>
      <c r="RWY234" s="16"/>
      <c r="RWZ234" s="16"/>
      <c r="RXA234" s="15"/>
      <c r="RXB234" s="15"/>
      <c r="RXC234" s="10"/>
      <c r="RXD234" s="10"/>
      <c r="RXE234" s="19"/>
      <c r="RXF234" s="19"/>
      <c r="RXI234" s="16"/>
      <c r="RXJ234" s="15"/>
      <c r="RXK234" s="15"/>
      <c r="RXL234" s="15"/>
      <c r="RXM234" s="16"/>
      <c r="RXN234" s="16"/>
      <c r="RXO234" s="16"/>
      <c r="RXP234" s="16"/>
      <c r="RXQ234" s="16"/>
      <c r="RXR234" s="15"/>
      <c r="RXS234" s="15"/>
      <c r="RXT234" s="10"/>
      <c r="RXU234" s="10"/>
      <c r="RXV234" s="19"/>
      <c r="RXW234" s="19"/>
      <c r="RXZ234" s="16"/>
      <c r="RYA234" s="15"/>
      <c r="RYB234" s="15"/>
      <c r="RYC234" s="15"/>
      <c r="RYD234" s="16"/>
      <c r="RYE234" s="16"/>
      <c r="RYF234" s="16"/>
      <c r="RYG234" s="16"/>
      <c r="RYH234" s="16"/>
      <c r="RYI234" s="15"/>
      <c r="RYJ234" s="15"/>
      <c r="RYK234" s="10"/>
      <c r="RYL234" s="10"/>
      <c r="RYM234" s="19"/>
      <c r="RYN234" s="19"/>
      <c r="RYQ234" s="16"/>
      <c r="RYR234" s="15"/>
      <c r="RYS234" s="15"/>
      <c r="RYT234" s="15"/>
      <c r="RYU234" s="16"/>
      <c r="RYV234" s="16"/>
      <c r="RYW234" s="16"/>
      <c r="RYX234" s="16"/>
      <c r="RYY234" s="16"/>
      <c r="RYZ234" s="15"/>
      <c r="RZA234" s="15"/>
      <c r="RZB234" s="10"/>
      <c r="RZC234" s="10"/>
      <c r="RZD234" s="19"/>
      <c r="RZE234" s="19"/>
      <c r="RZH234" s="16"/>
      <c r="RZI234" s="15"/>
      <c r="RZJ234" s="15"/>
      <c r="RZK234" s="15"/>
      <c r="RZL234" s="16"/>
      <c r="RZM234" s="16"/>
      <c r="RZN234" s="16"/>
      <c r="RZO234" s="16"/>
      <c r="RZP234" s="16"/>
      <c r="RZQ234" s="15"/>
      <c r="RZR234" s="15"/>
      <c r="RZS234" s="10"/>
      <c r="RZT234" s="10"/>
      <c r="RZU234" s="19"/>
      <c r="RZV234" s="19"/>
      <c r="RZY234" s="16"/>
      <c r="RZZ234" s="15"/>
      <c r="SAA234" s="15"/>
      <c r="SAB234" s="15"/>
      <c r="SAC234" s="16"/>
      <c r="SAD234" s="16"/>
      <c r="SAE234" s="16"/>
      <c r="SAF234" s="16"/>
      <c r="SAG234" s="16"/>
      <c r="SAH234" s="15"/>
      <c r="SAI234" s="15"/>
      <c r="SAJ234" s="10"/>
      <c r="SAK234" s="10"/>
      <c r="SAL234" s="19"/>
      <c r="SAM234" s="19"/>
      <c r="SAP234" s="16"/>
      <c r="SAQ234" s="15"/>
      <c r="SAR234" s="15"/>
      <c r="SAS234" s="15"/>
      <c r="SAT234" s="16"/>
      <c r="SAU234" s="16"/>
      <c r="SAV234" s="16"/>
      <c r="SAW234" s="16"/>
      <c r="SAX234" s="16"/>
      <c r="SAY234" s="15"/>
      <c r="SAZ234" s="15"/>
      <c r="SBA234" s="10"/>
      <c r="SBB234" s="10"/>
      <c r="SBC234" s="19"/>
      <c r="SBD234" s="19"/>
      <c r="SBG234" s="16"/>
      <c r="SBH234" s="15"/>
      <c r="SBI234" s="15"/>
      <c r="SBJ234" s="15"/>
      <c r="SBK234" s="16"/>
      <c r="SBL234" s="16"/>
      <c r="SBM234" s="16"/>
      <c r="SBN234" s="16"/>
      <c r="SBO234" s="16"/>
      <c r="SBP234" s="15"/>
      <c r="SBQ234" s="15"/>
      <c r="SBR234" s="10"/>
      <c r="SBS234" s="10"/>
      <c r="SBT234" s="19"/>
      <c r="SBU234" s="19"/>
      <c r="SBX234" s="16"/>
      <c r="SBY234" s="15"/>
      <c r="SBZ234" s="15"/>
      <c r="SCA234" s="15"/>
      <c r="SCB234" s="16"/>
      <c r="SCC234" s="16"/>
      <c r="SCD234" s="16"/>
      <c r="SCE234" s="16"/>
      <c r="SCF234" s="16"/>
      <c r="SCG234" s="15"/>
      <c r="SCH234" s="15"/>
      <c r="SCI234" s="10"/>
      <c r="SCJ234" s="10"/>
      <c r="SCK234" s="19"/>
      <c r="SCL234" s="19"/>
      <c r="SCO234" s="16"/>
      <c r="SCP234" s="15"/>
      <c r="SCQ234" s="15"/>
      <c r="SCR234" s="15"/>
      <c r="SCS234" s="16"/>
      <c r="SCT234" s="16"/>
      <c r="SCU234" s="16"/>
      <c r="SCV234" s="16"/>
      <c r="SCW234" s="16"/>
      <c r="SCX234" s="15"/>
      <c r="SCY234" s="15"/>
      <c r="SCZ234" s="10"/>
      <c r="SDA234" s="10"/>
      <c r="SDB234" s="19"/>
      <c r="SDC234" s="19"/>
      <c r="SDF234" s="16"/>
      <c r="SDG234" s="15"/>
      <c r="SDH234" s="15"/>
      <c r="SDI234" s="15"/>
      <c r="SDJ234" s="16"/>
      <c r="SDK234" s="16"/>
      <c r="SDL234" s="16"/>
      <c r="SDM234" s="16"/>
      <c r="SDN234" s="16"/>
      <c r="SDO234" s="15"/>
      <c r="SDP234" s="15"/>
      <c r="SDQ234" s="10"/>
      <c r="SDR234" s="10"/>
      <c r="SDS234" s="19"/>
      <c r="SDT234" s="19"/>
      <c r="SDW234" s="16"/>
      <c r="SDX234" s="15"/>
      <c r="SDY234" s="15"/>
      <c r="SDZ234" s="15"/>
      <c r="SEA234" s="16"/>
      <c r="SEB234" s="16"/>
      <c r="SEC234" s="16"/>
      <c r="SED234" s="16"/>
      <c r="SEE234" s="16"/>
      <c r="SEF234" s="15"/>
      <c r="SEG234" s="15"/>
      <c r="SEH234" s="10"/>
      <c r="SEI234" s="10"/>
      <c r="SEJ234" s="19"/>
      <c r="SEK234" s="19"/>
      <c r="SEN234" s="16"/>
      <c r="SEO234" s="15"/>
      <c r="SEP234" s="15"/>
      <c r="SEQ234" s="15"/>
      <c r="SER234" s="16"/>
      <c r="SES234" s="16"/>
      <c r="SET234" s="16"/>
      <c r="SEU234" s="16"/>
      <c r="SEV234" s="16"/>
      <c r="SEW234" s="15"/>
      <c r="SEX234" s="15"/>
      <c r="SEY234" s="10"/>
      <c r="SEZ234" s="10"/>
      <c r="SFA234" s="19"/>
      <c r="SFB234" s="19"/>
      <c r="SFE234" s="16"/>
      <c r="SFF234" s="15"/>
      <c r="SFG234" s="15"/>
      <c r="SFH234" s="15"/>
      <c r="SFI234" s="16"/>
      <c r="SFJ234" s="16"/>
      <c r="SFK234" s="16"/>
      <c r="SFL234" s="16"/>
      <c r="SFM234" s="16"/>
      <c r="SFN234" s="15"/>
      <c r="SFO234" s="15"/>
      <c r="SFP234" s="10"/>
      <c r="SFQ234" s="10"/>
      <c r="SFR234" s="19"/>
      <c r="SFS234" s="19"/>
      <c r="SFV234" s="16"/>
      <c r="SFW234" s="15"/>
      <c r="SFX234" s="15"/>
      <c r="SFY234" s="15"/>
      <c r="SFZ234" s="16"/>
      <c r="SGA234" s="16"/>
      <c r="SGB234" s="16"/>
      <c r="SGC234" s="16"/>
      <c r="SGD234" s="16"/>
      <c r="SGE234" s="15"/>
      <c r="SGF234" s="15"/>
      <c r="SGG234" s="10"/>
      <c r="SGH234" s="10"/>
      <c r="SGI234" s="19"/>
      <c r="SGJ234" s="19"/>
      <c r="SGM234" s="16"/>
      <c r="SGN234" s="15"/>
      <c r="SGO234" s="15"/>
      <c r="SGP234" s="15"/>
      <c r="SGQ234" s="16"/>
      <c r="SGR234" s="16"/>
      <c r="SGS234" s="16"/>
      <c r="SGT234" s="16"/>
      <c r="SGU234" s="16"/>
      <c r="SGV234" s="15"/>
      <c r="SGW234" s="15"/>
      <c r="SGX234" s="10"/>
      <c r="SGY234" s="10"/>
      <c r="SGZ234" s="19"/>
      <c r="SHA234" s="19"/>
      <c r="SHD234" s="16"/>
      <c r="SHE234" s="15"/>
      <c r="SHF234" s="15"/>
      <c r="SHG234" s="15"/>
      <c r="SHH234" s="16"/>
      <c r="SHI234" s="16"/>
      <c r="SHJ234" s="16"/>
      <c r="SHK234" s="16"/>
      <c r="SHL234" s="16"/>
      <c r="SHM234" s="15"/>
      <c r="SHN234" s="15"/>
      <c r="SHO234" s="10"/>
      <c r="SHP234" s="10"/>
      <c r="SHQ234" s="19"/>
      <c r="SHR234" s="19"/>
      <c r="SHU234" s="16"/>
      <c r="SHV234" s="15"/>
      <c r="SHW234" s="15"/>
      <c r="SHX234" s="15"/>
      <c r="SHY234" s="16"/>
      <c r="SHZ234" s="16"/>
      <c r="SIA234" s="16"/>
      <c r="SIB234" s="16"/>
      <c r="SIC234" s="16"/>
      <c r="SID234" s="15"/>
      <c r="SIE234" s="15"/>
      <c r="SIF234" s="10"/>
      <c r="SIG234" s="10"/>
      <c r="SIH234" s="19"/>
      <c r="SII234" s="19"/>
      <c r="SIL234" s="16"/>
      <c r="SIM234" s="15"/>
      <c r="SIN234" s="15"/>
      <c r="SIO234" s="15"/>
      <c r="SIP234" s="16"/>
      <c r="SIQ234" s="16"/>
      <c r="SIR234" s="16"/>
      <c r="SIS234" s="16"/>
      <c r="SIT234" s="16"/>
      <c r="SIU234" s="15"/>
      <c r="SIV234" s="15"/>
      <c r="SIW234" s="10"/>
      <c r="SIX234" s="10"/>
      <c r="SIY234" s="19"/>
      <c r="SIZ234" s="19"/>
      <c r="SJC234" s="16"/>
      <c r="SJD234" s="15"/>
      <c r="SJE234" s="15"/>
      <c r="SJF234" s="15"/>
      <c r="SJG234" s="16"/>
      <c r="SJH234" s="16"/>
      <c r="SJI234" s="16"/>
      <c r="SJJ234" s="16"/>
      <c r="SJK234" s="16"/>
      <c r="SJL234" s="15"/>
      <c r="SJM234" s="15"/>
      <c r="SJN234" s="10"/>
      <c r="SJO234" s="10"/>
      <c r="SJP234" s="19"/>
      <c r="SJQ234" s="19"/>
      <c r="SJT234" s="16"/>
      <c r="SJU234" s="15"/>
      <c r="SJV234" s="15"/>
      <c r="SJW234" s="15"/>
      <c r="SJX234" s="16"/>
      <c r="SJY234" s="16"/>
      <c r="SJZ234" s="16"/>
      <c r="SKA234" s="16"/>
      <c r="SKB234" s="16"/>
      <c r="SKC234" s="15"/>
      <c r="SKD234" s="15"/>
      <c r="SKE234" s="10"/>
      <c r="SKF234" s="10"/>
      <c r="SKG234" s="19"/>
      <c r="SKH234" s="19"/>
      <c r="SKK234" s="16"/>
      <c r="SKL234" s="15"/>
      <c r="SKM234" s="15"/>
      <c r="SKN234" s="15"/>
      <c r="SKO234" s="16"/>
      <c r="SKP234" s="16"/>
      <c r="SKQ234" s="16"/>
      <c r="SKR234" s="16"/>
      <c r="SKS234" s="16"/>
      <c r="SKT234" s="15"/>
      <c r="SKU234" s="15"/>
      <c r="SKV234" s="10"/>
      <c r="SKW234" s="10"/>
      <c r="SKX234" s="19"/>
      <c r="SKY234" s="19"/>
      <c r="SLB234" s="16"/>
      <c r="SLC234" s="15"/>
      <c r="SLD234" s="15"/>
      <c r="SLE234" s="15"/>
      <c r="SLF234" s="16"/>
      <c r="SLG234" s="16"/>
      <c r="SLH234" s="16"/>
      <c r="SLI234" s="16"/>
      <c r="SLJ234" s="16"/>
      <c r="SLK234" s="15"/>
      <c r="SLL234" s="15"/>
      <c r="SLM234" s="10"/>
      <c r="SLN234" s="10"/>
      <c r="SLO234" s="19"/>
      <c r="SLP234" s="19"/>
      <c r="SLS234" s="16"/>
      <c r="SLT234" s="15"/>
      <c r="SLU234" s="15"/>
      <c r="SLV234" s="15"/>
      <c r="SLW234" s="16"/>
      <c r="SLX234" s="16"/>
      <c r="SLY234" s="16"/>
      <c r="SLZ234" s="16"/>
      <c r="SMA234" s="16"/>
      <c r="SMB234" s="15"/>
      <c r="SMC234" s="15"/>
      <c r="SMD234" s="10"/>
      <c r="SME234" s="10"/>
      <c r="SMF234" s="19"/>
      <c r="SMG234" s="19"/>
      <c r="SMJ234" s="16"/>
      <c r="SMK234" s="15"/>
      <c r="SML234" s="15"/>
      <c r="SMM234" s="15"/>
      <c r="SMN234" s="16"/>
      <c r="SMO234" s="16"/>
      <c r="SMP234" s="16"/>
      <c r="SMQ234" s="16"/>
      <c r="SMR234" s="16"/>
      <c r="SMS234" s="15"/>
      <c r="SMT234" s="15"/>
      <c r="SMU234" s="10"/>
      <c r="SMV234" s="10"/>
      <c r="SMW234" s="19"/>
      <c r="SMX234" s="19"/>
      <c r="SNA234" s="16"/>
      <c r="SNB234" s="15"/>
      <c r="SNC234" s="15"/>
      <c r="SND234" s="15"/>
      <c r="SNE234" s="16"/>
      <c r="SNF234" s="16"/>
      <c r="SNG234" s="16"/>
      <c r="SNH234" s="16"/>
      <c r="SNI234" s="16"/>
      <c r="SNJ234" s="15"/>
      <c r="SNK234" s="15"/>
      <c r="SNL234" s="10"/>
      <c r="SNM234" s="10"/>
      <c r="SNN234" s="19"/>
      <c r="SNO234" s="19"/>
      <c r="SNR234" s="16"/>
      <c r="SNS234" s="15"/>
      <c r="SNT234" s="15"/>
      <c r="SNU234" s="15"/>
      <c r="SNV234" s="16"/>
      <c r="SNW234" s="16"/>
      <c r="SNX234" s="16"/>
      <c r="SNY234" s="16"/>
      <c r="SNZ234" s="16"/>
      <c r="SOA234" s="15"/>
      <c r="SOB234" s="15"/>
      <c r="SOC234" s="10"/>
      <c r="SOD234" s="10"/>
      <c r="SOE234" s="19"/>
      <c r="SOF234" s="19"/>
      <c r="SOI234" s="16"/>
      <c r="SOJ234" s="15"/>
      <c r="SOK234" s="15"/>
      <c r="SOL234" s="15"/>
      <c r="SOM234" s="16"/>
      <c r="SON234" s="16"/>
      <c r="SOO234" s="16"/>
      <c r="SOP234" s="16"/>
      <c r="SOQ234" s="16"/>
      <c r="SOR234" s="15"/>
      <c r="SOS234" s="15"/>
      <c r="SOT234" s="10"/>
      <c r="SOU234" s="10"/>
      <c r="SOV234" s="19"/>
      <c r="SOW234" s="19"/>
      <c r="SOZ234" s="16"/>
      <c r="SPA234" s="15"/>
      <c r="SPB234" s="15"/>
      <c r="SPC234" s="15"/>
      <c r="SPD234" s="16"/>
      <c r="SPE234" s="16"/>
      <c r="SPF234" s="16"/>
      <c r="SPG234" s="16"/>
      <c r="SPH234" s="16"/>
      <c r="SPI234" s="15"/>
      <c r="SPJ234" s="15"/>
      <c r="SPK234" s="10"/>
      <c r="SPL234" s="10"/>
      <c r="SPM234" s="19"/>
      <c r="SPN234" s="19"/>
      <c r="SPQ234" s="16"/>
      <c r="SPR234" s="15"/>
      <c r="SPS234" s="15"/>
      <c r="SPT234" s="15"/>
      <c r="SPU234" s="16"/>
      <c r="SPV234" s="16"/>
      <c r="SPW234" s="16"/>
      <c r="SPX234" s="16"/>
      <c r="SPY234" s="16"/>
      <c r="SPZ234" s="15"/>
      <c r="SQA234" s="15"/>
      <c r="SQB234" s="10"/>
      <c r="SQC234" s="10"/>
      <c r="SQD234" s="19"/>
      <c r="SQE234" s="19"/>
      <c r="SQH234" s="16"/>
      <c r="SQI234" s="15"/>
      <c r="SQJ234" s="15"/>
      <c r="SQK234" s="15"/>
      <c r="SQL234" s="16"/>
      <c r="SQM234" s="16"/>
      <c r="SQN234" s="16"/>
      <c r="SQO234" s="16"/>
      <c r="SQP234" s="16"/>
      <c r="SQQ234" s="15"/>
      <c r="SQR234" s="15"/>
      <c r="SQS234" s="10"/>
      <c r="SQT234" s="10"/>
      <c r="SQU234" s="19"/>
      <c r="SQV234" s="19"/>
      <c r="SQY234" s="16"/>
      <c r="SQZ234" s="15"/>
      <c r="SRA234" s="15"/>
      <c r="SRB234" s="15"/>
      <c r="SRC234" s="16"/>
      <c r="SRD234" s="16"/>
      <c r="SRE234" s="16"/>
      <c r="SRF234" s="16"/>
      <c r="SRG234" s="16"/>
      <c r="SRH234" s="15"/>
      <c r="SRI234" s="15"/>
      <c r="SRJ234" s="10"/>
      <c r="SRK234" s="10"/>
      <c r="SRL234" s="19"/>
      <c r="SRM234" s="19"/>
      <c r="SRP234" s="16"/>
      <c r="SRQ234" s="15"/>
      <c r="SRR234" s="15"/>
      <c r="SRS234" s="15"/>
      <c r="SRT234" s="16"/>
      <c r="SRU234" s="16"/>
      <c r="SRV234" s="16"/>
      <c r="SRW234" s="16"/>
      <c r="SRX234" s="16"/>
      <c r="SRY234" s="15"/>
      <c r="SRZ234" s="15"/>
      <c r="SSA234" s="10"/>
      <c r="SSB234" s="10"/>
      <c r="SSC234" s="19"/>
      <c r="SSD234" s="19"/>
      <c r="SSG234" s="16"/>
      <c r="SSH234" s="15"/>
      <c r="SSI234" s="15"/>
      <c r="SSJ234" s="15"/>
      <c r="SSK234" s="16"/>
      <c r="SSL234" s="16"/>
      <c r="SSM234" s="16"/>
      <c r="SSN234" s="16"/>
      <c r="SSO234" s="16"/>
      <c r="SSP234" s="15"/>
      <c r="SSQ234" s="15"/>
      <c r="SSR234" s="10"/>
      <c r="SSS234" s="10"/>
      <c r="SST234" s="19"/>
      <c r="SSU234" s="19"/>
      <c r="SSX234" s="16"/>
      <c r="SSY234" s="15"/>
      <c r="SSZ234" s="15"/>
      <c r="STA234" s="15"/>
      <c r="STB234" s="16"/>
      <c r="STC234" s="16"/>
      <c r="STD234" s="16"/>
      <c r="STE234" s="16"/>
      <c r="STF234" s="16"/>
      <c r="STG234" s="15"/>
      <c r="STH234" s="15"/>
      <c r="STI234" s="10"/>
      <c r="STJ234" s="10"/>
      <c r="STK234" s="19"/>
      <c r="STL234" s="19"/>
      <c r="STO234" s="16"/>
      <c r="STP234" s="15"/>
      <c r="STQ234" s="15"/>
      <c r="STR234" s="15"/>
      <c r="STS234" s="16"/>
      <c r="STT234" s="16"/>
      <c r="STU234" s="16"/>
      <c r="STV234" s="16"/>
      <c r="STW234" s="16"/>
      <c r="STX234" s="15"/>
      <c r="STY234" s="15"/>
      <c r="STZ234" s="10"/>
      <c r="SUA234" s="10"/>
      <c r="SUB234" s="19"/>
      <c r="SUC234" s="19"/>
      <c r="SUF234" s="16"/>
      <c r="SUG234" s="15"/>
      <c r="SUH234" s="15"/>
      <c r="SUI234" s="15"/>
      <c r="SUJ234" s="16"/>
      <c r="SUK234" s="16"/>
      <c r="SUL234" s="16"/>
      <c r="SUM234" s="16"/>
      <c r="SUN234" s="16"/>
      <c r="SUO234" s="15"/>
      <c r="SUP234" s="15"/>
      <c r="SUQ234" s="10"/>
      <c r="SUR234" s="10"/>
      <c r="SUS234" s="19"/>
      <c r="SUT234" s="19"/>
      <c r="SUW234" s="16"/>
      <c r="SUX234" s="15"/>
      <c r="SUY234" s="15"/>
      <c r="SUZ234" s="15"/>
      <c r="SVA234" s="16"/>
      <c r="SVB234" s="16"/>
      <c r="SVC234" s="16"/>
      <c r="SVD234" s="16"/>
      <c r="SVE234" s="16"/>
      <c r="SVF234" s="15"/>
      <c r="SVG234" s="15"/>
      <c r="SVH234" s="10"/>
      <c r="SVI234" s="10"/>
      <c r="SVJ234" s="19"/>
      <c r="SVK234" s="19"/>
      <c r="SVN234" s="16"/>
      <c r="SVO234" s="15"/>
      <c r="SVP234" s="15"/>
      <c r="SVQ234" s="15"/>
      <c r="SVR234" s="16"/>
      <c r="SVS234" s="16"/>
      <c r="SVT234" s="16"/>
      <c r="SVU234" s="16"/>
      <c r="SVV234" s="16"/>
      <c r="SVW234" s="15"/>
      <c r="SVX234" s="15"/>
      <c r="SVY234" s="10"/>
      <c r="SVZ234" s="10"/>
      <c r="SWA234" s="19"/>
      <c r="SWB234" s="19"/>
      <c r="SWE234" s="16"/>
      <c r="SWF234" s="15"/>
      <c r="SWG234" s="15"/>
      <c r="SWH234" s="15"/>
      <c r="SWI234" s="16"/>
      <c r="SWJ234" s="16"/>
      <c r="SWK234" s="16"/>
      <c r="SWL234" s="16"/>
      <c r="SWM234" s="16"/>
      <c r="SWN234" s="15"/>
      <c r="SWO234" s="15"/>
      <c r="SWP234" s="10"/>
      <c r="SWQ234" s="10"/>
      <c r="SWR234" s="19"/>
      <c r="SWS234" s="19"/>
      <c r="SWV234" s="16"/>
      <c r="SWW234" s="15"/>
      <c r="SWX234" s="15"/>
      <c r="SWY234" s="15"/>
      <c r="SWZ234" s="16"/>
      <c r="SXA234" s="16"/>
      <c r="SXB234" s="16"/>
      <c r="SXC234" s="16"/>
      <c r="SXD234" s="16"/>
      <c r="SXE234" s="15"/>
      <c r="SXF234" s="15"/>
      <c r="SXG234" s="10"/>
      <c r="SXH234" s="10"/>
      <c r="SXI234" s="19"/>
      <c r="SXJ234" s="19"/>
      <c r="SXM234" s="16"/>
      <c r="SXN234" s="15"/>
      <c r="SXO234" s="15"/>
      <c r="SXP234" s="15"/>
      <c r="SXQ234" s="16"/>
      <c r="SXR234" s="16"/>
      <c r="SXS234" s="16"/>
      <c r="SXT234" s="16"/>
      <c r="SXU234" s="16"/>
      <c r="SXV234" s="15"/>
      <c r="SXW234" s="15"/>
      <c r="SXX234" s="10"/>
      <c r="SXY234" s="10"/>
      <c r="SXZ234" s="19"/>
      <c r="SYA234" s="19"/>
      <c r="SYD234" s="16"/>
      <c r="SYE234" s="15"/>
      <c r="SYF234" s="15"/>
      <c r="SYG234" s="15"/>
      <c r="SYH234" s="16"/>
      <c r="SYI234" s="16"/>
      <c r="SYJ234" s="16"/>
      <c r="SYK234" s="16"/>
      <c r="SYL234" s="16"/>
      <c r="SYM234" s="15"/>
      <c r="SYN234" s="15"/>
      <c r="SYO234" s="10"/>
      <c r="SYP234" s="10"/>
      <c r="SYQ234" s="19"/>
      <c r="SYR234" s="19"/>
      <c r="SYU234" s="16"/>
      <c r="SYV234" s="15"/>
      <c r="SYW234" s="15"/>
      <c r="SYX234" s="15"/>
      <c r="SYY234" s="16"/>
      <c r="SYZ234" s="16"/>
      <c r="SZA234" s="16"/>
      <c r="SZB234" s="16"/>
      <c r="SZC234" s="16"/>
      <c r="SZD234" s="15"/>
      <c r="SZE234" s="15"/>
      <c r="SZF234" s="10"/>
      <c r="SZG234" s="10"/>
      <c r="SZH234" s="19"/>
      <c r="SZI234" s="19"/>
      <c r="SZL234" s="16"/>
      <c r="SZM234" s="15"/>
      <c r="SZN234" s="15"/>
      <c r="SZO234" s="15"/>
      <c r="SZP234" s="16"/>
      <c r="SZQ234" s="16"/>
      <c r="SZR234" s="16"/>
      <c r="SZS234" s="16"/>
      <c r="SZT234" s="16"/>
      <c r="SZU234" s="15"/>
      <c r="SZV234" s="15"/>
      <c r="SZW234" s="10"/>
      <c r="SZX234" s="10"/>
      <c r="SZY234" s="19"/>
      <c r="SZZ234" s="19"/>
      <c r="TAC234" s="16"/>
      <c r="TAD234" s="15"/>
      <c r="TAE234" s="15"/>
      <c r="TAF234" s="15"/>
      <c r="TAG234" s="16"/>
      <c r="TAH234" s="16"/>
      <c r="TAI234" s="16"/>
      <c r="TAJ234" s="16"/>
      <c r="TAK234" s="16"/>
      <c r="TAL234" s="15"/>
      <c r="TAM234" s="15"/>
      <c r="TAN234" s="10"/>
      <c r="TAO234" s="10"/>
      <c r="TAP234" s="19"/>
      <c r="TAQ234" s="19"/>
      <c r="TAT234" s="16"/>
      <c r="TAU234" s="15"/>
      <c r="TAV234" s="15"/>
      <c r="TAW234" s="15"/>
      <c r="TAX234" s="16"/>
      <c r="TAY234" s="16"/>
      <c r="TAZ234" s="16"/>
      <c r="TBA234" s="16"/>
      <c r="TBB234" s="16"/>
      <c r="TBC234" s="15"/>
      <c r="TBD234" s="15"/>
      <c r="TBE234" s="10"/>
      <c r="TBF234" s="10"/>
      <c r="TBG234" s="19"/>
      <c r="TBH234" s="19"/>
      <c r="TBK234" s="16"/>
      <c r="TBL234" s="15"/>
      <c r="TBM234" s="15"/>
      <c r="TBN234" s="15"/>
      <c r="TBO234" s="16"/>
      <c r="TBP234" s="16"/>
      <c r="TBQ234" s="16"/>
      <c r="TBR234" s="16"/>
      <c r="TBS234" s="16"/>
      <c r="TBT234" s="15"/>
      <c r="TBU234" s="15"/>
      <c r="TBV234" s="10"/>
      <c r="TBW234" s="10"/>
      <c r="TBX234" s="19"/>
      <c r="TBY234" s="19"/>
      <c r="TCB234" s="16"/>
      <c r="TCC234" s="15"/>
      <c r="TCD234" s="15"/>
      <c r="TCE234" s="15"/>
      <c r="TCF234" s="16"/>
      <c r="TCG234" s="16"/>
      <c r="TCH234" s="16"/>
      <c r="TCI234" s="16"/>
      <c r="TCJ234" s="16"/>
      <c r="TCK234" s="15"/>
      <c r="TCL234" s="15"/>
      <c r="TCM234" s="10"/>
      <c r="TCN234" s="10"/>
      <c r="TCO234" s="19"/>
      <c r="TCP234" s="19"/>
      <c r="TCS234" s="16"/>
      <c r="TCT234" s="15"/>
      <c r="TCU234" s="15"/>
      <c r="TCV234" s="15"/>
      <c r="TCW234" s="16"/>
      <c r="TCX234" s="16"/>
      <c r="TCY234" s="16"/>
      <c r="TCZ234" s="16"/>
      <c r="TDA234" s="16"/>
      <c r="TDB234" s="15"/>
      <c r="TDC234" s="15"/>
      <c r="TDD234" s="10"/>
      <c r="TDE234" s="10"/>
      <c r="TDF234" s="19"/>
      <c r="TDG234" s="19"/>
      <c r="TDJ234" s="16"/>
      <c r="TDK234" s="15"/>
      <c r="TDL234" s="15"/>
      <c r="TDM234" s="15"/>
      <c r="TDN234" s="16"/>
      <c r="TDO234" s="16"/>
      <c r="TDP234" s="16"/>
      <c r="TDQ234" s="16"/>
      <c r="TDR234" s="16"/>
      <c r="TDS234" s="15"/>
      <c r="TDT234" s="15"/>
      <c r="TDU234" s="10"/>
      <c r="TDV234" s="10"/>
      <c r="TDW234" s="19"/>
      <c r="TDX234" s="19"/>
      <c r="TEA234" s="16"/>
      <c r="TEB234" s="15"/>
      <c r="TEC234" s="15"/>
      <c r="TED234" s="15"/>
      <c r="TEE234" s="16"/>
      <c r="TEF234" s="16"/>
      <c r="TEG234" s="16"/>
      <c r="TEH234" s="16"/>
      <c r="TEI234" s="16"/>
      <c r="TEJ234" s="15"/>
      <c r="TEK234" s="15"/>
      <c r="TEL234" s="10"/>
      <c r="TEM234" s="10"/>
      <c r="TEN234" s="19"/>
      <c r="TEO234" s="19"/>
      <c r="TER234" s="16"/>
      <c r="TES234" s="15"/>
      <c r="TET234" s="15"/>
      <c r="TEU234" s="15"/>
      <c r="TEV234" s="16"/>
      <c r="TEW234" s="16"/>
      <c r="TEX234" s="16"/>
      <c r="TEY234" s="16"/>
      <c r="TEZ234" s="16"/>
      <c r="TFA234" s="15"/>
      <c r="TFB234" s="15"/>
      <c r="TFC234" s="10"/>
      <c r="TFD234" s="10"/>
      <c r="TFE234" s="19"/>
      <c r="TFF234" s="19"/>
      <c r="TFI234" s="16"/>
      <c r="TFJ234" s="15"/>
      <c r="TFK234" s="15"/>
      <c r="TFL234" s="15"/>
      <c r="TFM234" s="16"/>
      <c r="TFN234" s="16"/>
      <c r="TFO234" s="16"/>
      <c r="TFP234" s="16"/>
      <c r="TFQ234" s="16"/>
      <c r="TFR234" s="15"/>
      <c r="TFS234" s="15"/>
      <c r="TFT234" s="10"/>
      <c r="TFU234" s="10"/>
      <c r="TFV234" s="19"/>
      <c r="TFW234" s="19"/>
      <c r="TFZ234" s="16"/>
      <c r="TGA234" s="15"/>
      <c r="TGB234" s="15"/>
      <c r="TGC234" s="15"/>
      <c r="TGD234" s="16"/>
      <c r="TGE234" s="16"/>
      <c r="TGF234" s="16"/>
      <c r="TGG234" s="16"/>
      <c r="TGH234" s="16"/>
      <c r="TGI234" s="15"/>
      <c r="TGJ234" s="15"/>
      <c r="TGK234" s="10"/>
      <c r="TGL234" s="10"/>
      <c r="TGM234" s="19"/>
      <c r="TGN234" s="19"/>
      <c r="TGQ234" s="16"/>
      <c r="TGR234" s="15"/>
      <c r="TGS234" s="15"/>
      <c r="TGT234" s="15"/>
      <c r="TGU234" s="16"/>
      <c r="TGV234" s="16"/>
      <c r="TGW234" s="16"/>
      <c r="TGX234" s="16"/>
      <c r="TGY234" s="16"/>
      <c r="TGZ234" s="15"/>
      <c r="THA234" s="15"/>
      <c r="THB234" s="10"/>
      <c r="THC234" s="10"/>
      <c r="THD234" s="19"/>
      <c r="THE234" s="19"/>
      <c r="THH234" s="16"/>
      <c r="THI234" s="15"/>
      <c r="THJ234" s="15"/>
      <c r="THK234" s="15"/>
      <c r="THL234" s="16"/>
      <c r="THM234" s="16"/>
      <c r="THN234" s="16"/>
      <c r="THO234" s="16"/>
      <c r="THP234" s="16"/>
      <c r="THQ234" s="15"/>
      <c r="THR234" s="15"/>
      <c r="THS234" s="10"/>
      <c r="THT234" s="10"/>
      <c r="THU234" s="19"/>
      <c r="THV234" s="19"/>
      <c r="THY234" s="16"/>
      <c r="THZ234" s="15"/>
      <c r="TIA234" s="15"/>
      <c r="TIB234" s="15"/>
      <c r="TIC234" s="16"/>
      <c r="TID234" s="16"/>
      <c r="TIE234" s="16"/>
      <c r="TIF234" s="16"/>
      <c r="TIG234" s="16"/>
      <c r="TIH234" s="15"/>
      <c r="TII234" s="15"/>
      <c r="TIJ234" s="10"/>
      <c r="TIK234" s="10"/>
      <c r="TIL234" s="19"/>
      <c r="TIM234" s="19"/>
      <c r="TIP234" s="16"/>
      <c r="TIQ234" s="15"/>
      <c r="TIR234" s="15"/>
      <c r="TIS234" s="15"/>
      <c r="TIT234" s="16"/>
      <c r="TIU234" s="16"/>
      <c r="TIV234" s="16"/>
      <c r="TIW234" s="16"/>
      <c r="TIX234" s="16"/>
      <c r="TIY234" s="15"/>
      <c r="TIZ234" s="15"/>
      <c r="TJA234" s="10"/>
      <c r="TJB234" s="10"/>
      <c r="TJC234" s="19"/>
      <c r="TJD234" s="19"/>
      <c r="TJG234" s="16"/>
      <c r="TJH234" s="15"/>
      <c r="TJI234" s="15"/>
      <c r="TJJ234" s="15"/>
      <c r="TJK234" s="16"/>
      <c r="TJL234" s="16"/>
      <c r="TJM234" s="16"/>
      <c r="TJN234" s="16"/>
      <c r="TJO234" s="16"/>
      <c r="TJP234" s="15"/>
      <c r="TJQ234" s="15"/>
      <c r="TJR234" s="10"/>
      <c r="TJS234" s="10"/>
      <c r="TJT234" s="19"/>
      <c r="TJU234" s="19"/>
      <c r="TJX234" s="16"/>
      <c r="TJY234" s="15"/>
      <c r="TJZ234" s="15"/>
      <c r="TKA234" s="15"/>
      <c r="TKB234" s="16"/>
      <c r="TKC234" s="16"/>
      <c r="TKD234" s="16"/>
      <c r="TKE234" s="16"/>
      <c r="TKF234" s="16"/>
      <c r="TKG234" s="15"/>
      <c r="TKH234" s="15"/>
      <c r="TKI234" s="10"/>
      <c r="TKJ234" s="10"/>
      <c r="TKK234" s="19"/>
      <c r="TKL234" s="19"/>
      <c r="TKO234" s="16"/>
      <c r="TKP234" s="15"/>
      <c r="TKQ234" s="15"/>
      <c r="TKR234" s="15"/>
      <c r="TKS234" s="16"/>
      <c r="TKT234" s="16"/>
      <c r="TKU234" s="16"/>
      <c r="TKV234" s="16"/>
      <c r="TKW234" s="16"/>
      <c r="TKX234" s="15"/>
      <c r="TKY234" s="15"/>
      <c r="TKZ234" s="10"/>
      <c r="TLA234" s="10"/>
      <c r="TLB234" s="19"/>
      <c r="TLC234" s="19"/>
      <c r="TLF234" s="16"/>
      <c r="TLG234" s="15"/>
      <c r="TLH234" s="15"/>
      <c r="TLI234" s="15"/>
      <c r="TLJ234" s="16"/>
      <c r="TLK234" s="16"/>
      <c r="TLL234" s="16"/>
      <c r="TLM234" s="16"/>
      <c r="TLN234" s="16"/>
      <c r="TLO234" s="15"/>
      <c r="TLP234" s="15"/>
      <c r="TLQ234" s="10"/>
      <c r="TLR234" s="10"/>
      <c r="TLS234" s="19"/>
      <c r="TLT234" s="19"/>
      <c r="TLW234" s="16"/>
      <c r="TLX234" s="15"/>
      <c r="TLY234" s="15"/>
      <c r="TLZ234" s="15"/>
      <c r="TMA234" s="16"/>
      <c r="TMB234" s="16"/>
      <c r="TMC234" s="16"/>
      <c r="TMD234" s="16"/>
      <c r="TME234" s="16"/>
      <c r="TMF234" s="15"/>
      <c r="TMG234" s="15"/>
      <c r="TMH234" s="10"/>
      <c r="TMI234" s="10"/>
      <c r="TMJ234" s="19"/>
      <c r="TMK234" s="19"/>
      <c r="TMN234" s="16"/>
      <c r="TMO234" s="15"/>
      <c r="TMP234" s="15"/>
      <c r="TMQ234" s="15"/>
      <c r="TMR234" s="16"/>
      <c r="TMS234" s="16"/>
      <c r="TMT234" s="16"/>
      <c r="TMU234" s="16"/>
      <c r="TMV234" s="16"/>
      <c r="TMW234" s="15"/>
      <c r="TMX234" s="15"/>
      <c r="TMY234" s="10"/>
      <c r="TMZ234" s="10"/>
      <c r="TNA234" s="19"/>
      <c r="TNB234" s="19"/>
      <c r="TNE234" s="16"/>
      <c r="TNF234" s="15"/>
      <c r="TNG234" s="15"/>
      <c r="TNH234" s="15"/>
      <c r="TNI234" s="16"/>
      <c r="TNJ234" s="16"/>
      <c r="TNK234" s="16"/>
      <c r="TNL234" s="16"/>
      <c r="TNM234" s="16"/>
      <c r="TNN234" s="15"/>
      <c r="TNO234" s="15"/>
      <c r="TNP234" s="10"/>
      <c r="TNQ234" s="10"/>
      <c r="TNR234" s="19"/>
      <c r="TNS234" s="19"/>
      <c r="TNV234" s="16"/>
      <c r="TNW234" s="15"/>
      <c r="TNX234" s="15"/>
      <c r="TNY234" s="15"/>
      <c r="TNZ234" s="16"/>
      <c r="TOA234" s="16"/>
      <c r="TOB234" s="16"/>
      <c r="TOC234" s="16"/>
      <c r="TOD234" s="16"/>
      <c r="TOE234" s="15"/>
      <c r="TOF234" s="15"/>
      <c r="TOG234" s="10"/>
      <c r="TOH234" s="10"/>
      <c r="TOI234" s="19"/>
      <c r="TOJ234" s="19"/>
      <c r="TOM234" s="16"/>
      <c r="TON234" s="15"/>
      <c r="TOO234" s="15"/>
      <c r="TOP234" s="15"/>
      <c r="TOQ234" s="16"/>
      <c r="TOR234" s="16"/>
      <c r="TOS234" s="16"/>
      <c r="TOT234" s="16"/>
      <c r="TOU234" s="16"/>
      <c r="TOV234" s="15"/>
      <c r="TOW234" s="15"/>
      <c r="TOX234" s="10"/>
      <c r="TOY234" s="10"/>
      <c r="TOZ234" s="19"/>
      <c r="TPA234" s="19"/>
      <c r="TPD234" s="16"/>
      <c r="TPE234" s="15"/>
      <c r="TPF234" s="15"/>
      <c r="TPG234" s="15"/>
      <c r="TPH234" s="16"/>
      <c r="TPI234" s="16"/>
      <c r="TPJ234" s="16"/>
      <c r="TPK234" s="16"/>
      <c r="TPL234" s="16"/>
      <c r="TPM234" s="15"/>
      <c r="TPN234" s="15"/>
      <c r="TPO234" s="10"/>
      <c r="TPP234" s="10"/>
      <c r="TPQ234" s="19"/>
      <c r="TPR234" s="19"/>
      <c r="TPU234" s="16"/>
      <c r="TPV234" s="15"/>
      <c r="TPW234" s="15"/>
      <c r="TPX234" s="15"/>
      <c r="TPY234" s="16"/>
      <c r="TPZ234" s="16"/>
      <c r="TQA234" s="16"/>
      <c r="TQB234" s="16"/>
      <c r="TQC234" s="16"/>
      <c r="TQD234" s="15"/>
      <c r="TQE234" s="15"/>
      <c r="TQF234" s="10"/>
      <c r="TQG234" s="10"/>
      <c r="TQH234" s="19"/>
      <c r="TQI234" s="19"/>
      <c r="TQL234" s="16"/>
      <c r="TQM234" s="15"/>
      <c r="TQN234" s="15"/>
      <c r="TQO234" s="15"/>
      <c r="TQP234" s="16"/>
      <c r="TQQ234" s="16"/>
      <c r="TQR234" s="16"/>
      <c r="TQS234" s="16"/>
      <c r="TQT234" s="16"/>
      <c r="TQU234" s="15"/>
      <c r="TQV234" s="15"/>
      <c r="TQW234" s="10"/>
      <c r="TQX234" s="10"/>
      <c r="TQY234" s="19"/>
      <c r="TQZ234" s="19"/>
      <c r="TRC234" s="16"/>
      <c r="TRD234" s="15"/>
      <c r="TRE234" s="15"/>
      <c r="TRF234" s="15"/>
      <c r="TRG234" s="16"/>
      <c r="TRH234" s="16"/>
      <c r="TRI234" s="16"/>
      <c r="TRJ234" s="16"/>
      <c r="TRK234" s="16"/>
      <c r="TRL234" s="15"/>
      <c r="TRM234" s="15"/>
      <c r="TRN234" s="10"/>
      <c r="TRO234" s="10"/>
      <c r="TRP234" s="19"/>
      <c r="TRQ234" s="19"/>
      <c r="TRT234" s="16"/>
      <c r="TRU234" s="15"/>
      <c r="TRV234" s="15"/>
      <c r="TRW234" s="15"/>
      <c r="TRX234" s="16"/>
      <c r="TRY234" s="16"/>
      <c r="TRZ234" s="16"/>
      <c r="TSA234" s="16"/>
      <c r="TSB234" s="16"/>
      <c r="TSC234" s="15"/>
      <c r="TSD234" s="15"/>
      <c r="TSE234" s="10"/>
      <c r="TSF234" s="10"/>
      <c r="TSG234" s="19"/>
      <c r="TSH234" s="19"/>
      <c r="TSK234" s="16"/>
      <c r="TSL234" s="15"/>
      <c r="TSM234" s="15"/>
      <c r="TSN234" s="15"/>
      <c r="TSO234" s="16"/>
      <c r="TSP234" s="16"/>
      <c r="TSQ234" s="16"/>
      <c r="TSR234" s="16"/>
      <c r="TSS234" s="16"/>
      <c r="TST234" s="15"/>
      <c r="TSU234" s="15"/>
      <c r="TSV234" s="10"/>
      <c r="TSW234" s="10"/>
      <c r="TSX234" s="19"/>
      <c r="TSY234" s="19"/>
      <c r="TTB234" s="16"/>
      <c r="TTC234" s="15"/>
      <c r="TTD234" s="15"/>
      <c r="TTE234" s="15"/>
      <c r="TTF234" s="16"/>
      <c r="TTG234" s="16"/>
      <c r="TTH234" s="16"/>
      <c r="TTI234" s="16"/>
      <c r="TTJ234" s="16"/>
      <c r="TTK234" s="15"/>
      <c r="TTL234" s="15"/>
      <c r="TTM234" s="10"/>
      <c r="TTN234" s="10"/>
      <c r="TTO234" s="19"/>
      <c r="TTP234" s="19"/>
      <c r="TTS234" s="16"/>
      <c r="TTT234" s="15"/>
      <c r="TTU234" s="15"/>
      <c r="TTV234" s="15"/>
      <c r="TTW234" s="16"/>
      <c r="TTX234" s="16"/>
      <c r="TTY234" s="16"/>
      <c r="TTZ234" s="16"/>
      <c r="TUA234" s="16"/>
      <c r="TUB234" s="15"/>
      <c r="TUC234" s="15"/>
      <c r="TUD234" s="10"/>
      <c r="TUE234" s="10"/>
      <c r="TUF234" s="19"/>
      <c r="TUG234" s="19"/>
      <c r="TUJ234" s="16"/>
      <c r="TUK234" s="15"/>
      <c r="TUL234" s="15"/>
      <c r="TUM234" s="15"/>
      <c r="TUN234" s="16"/>
      <c r="TUO234" s="16"/>
      <c r="TUP234" s="16"/>
      <c r="TUQ234" s="16"/>
      <c r="TUR234" s="16"/>
      <c r="TUS234" s="15"/>
      <c r="TUT234" s="15"/>
      <c r="TUU234" s="10"/>
      <c r="TUV234" s="10"/>
      <c r="TUW234" s="19"/>
      <c r="TUX234" s="19"/>
      <c r="TVA234" s="16"/>
      <c r="TVB234" s="15"/>
      <c r="TVC234" s="15"/>
      <c r="TVD234" s="15"/>
      <c r="TVE234" s="16"/>
      <c r="TVF234" s="16"/>
      <c r="TVG234" s="16"/>
      <c r="TVH234" s="16"/>
      <c r="TVI234" s="16"/>
      <c r="TVJ234" s="15"/>
      <c r="TVK234" s="15"/>
      <c r="TVL234" s="10"/>
      <c r="TVM234" s="10"/>
      <c r="TVN234" s="19"/>
      <c r="TVO234" s="19"/>
      <c r="TVR234" s="16"/>
      <c r="TVS234" s="15"/>
      <c r="TVT234" s="15"/>
      <c r="TVU234" s="15"/>
      <c r="TVV234" s="16"/>
      <c r="TVW234" s="16"/>
      <c r="TVX234" s="16"/>
      <c r="TVY234" s="16"/>
      <c r="TVZ234" s="16"/>
      <c r="TWA234" s="15"/>
      <c r="TWB234" s="15"/>
      <c r="TWC234" s="10"/>
      <c r="TWD234" s="10"/>
      <c r="TWE234" s="19"/>
      <c r="TWF234" s="19"/>
      <c r="TWI234" s="16"/>
      <c r="TWJ234" s="15"/>
      <c r="TWK234" s="15"/>
      <c r="TWL234" s="15"/>
      <c r="TWM234" s="16"/>
      <c r="TWN234" s="16"/>
      <c r="TWO234" s="16"/>
      <c r="TWP234" s="16"/>
      <c r="TWQ234" s="16"/>
      <c r="TWR234" s="15"/>
      <c r="TWS234" s="15"/>
      <c r="TWT234" s="10"/>
      <c r="TWU234" s="10"/>
      <c r="TWV234" s="19"/>
      <c r="TWW234" s="19"/>
      <c r="TWZ234" s="16"/>
      <c r="TXA234" s="15"/>
      <c r="TXB234" s="15"/>
      <c r="TXC234" s="15"/>
      <c r="TXD234" s="16"/>
      <c r="TXE234" s="16"/>
      <c r="TXF234" s="16"/>
      <c r="TXG234" s="16"/>
      <c r="TXH234" s="16"/>
      <c r="TXI234" s="15"/>
      <c r="TXJ234" s="15"/>
      <c r="TXK234" s="10"/>
      <c r="TXL234" s="10"/>
      <c r="TXM234" s="19"/>
      <c r="TXN234" s="19"/>
      <c r="TXQ234" s="16"/>
      <c r="TXR234" s="15"/>
      <c r="TXS234" s="15"/>
      <c r="TXT234" s="15"/>
      <c r="TXU234" s="16"/>
      <c r="TXV234" s="16"/>
      <c r="TXW234" s="16"/>
      <c r="TXX234" s="16"/>
      <c r="TXY234" s="16"/>
      <c r="TXZ234" s="15"/>
      <c r="TYA234" s="15"/>
      <c r="TYB234" s="10"/>
      <c r="TYC234" s="10"/>
      <c r="TYD234" s="19"/>
      <c r="TYE234" s="19"/>
      <c r="TYH234" s="16"/>
      <c r="TYI234" s="15"/>
      <c r="TYJ234" s="15"/>
      <c r="TYK234" s="15"/>
      <c r="TYL234" s="16"/>
      <c r="TYM234" s="16"/>
      <c r="TYN234" s="16"/>
      <c r="TYO234" s="16"/>
      <c r="TYP234" s="16"/>
      <c r="TYQ234" s="15"/>
      <c r="TYR234" s="15"/>
      <c r="TYS234" s="10"/>
      <c r="TYT234" s="10"/>
      <c r="TYU234" s="19"/>
      <c r="TYV234" s="19"/>
      <c r="TYY234" s="16"/>
      <c r="TYZ234" s="15"/>
      <c r="TZA234" s="15"/>
      <c r="TZB234" s="15"/>
      <c r="TZC234" s="16"/>
      <c r="TZD234" s="16"/>
      <c r="TZE234" s="16"/>
      <c r="TZF234" s="16"/>
      <c r="TZG234" s="16"/>
      <c r="TZH234" s="15"/>
      <c r="TZI234" s="15"/>
      <c r="TZJ234" s="10"/>
      <c r="TZK234" s="10"/>
      <c r="TZL234" s="19"/>
      <c r="TZM234" s="19"/>
      <c r="TZP234" s="16"/>
      <c r="TZQ234" s="15"/>
      <c r="TZR234" s="15"/>
      <c r="TZS234" s="15"/>
      <c r="TZT234" s="16"/>
      <c r="TZU234" s="16"/>
      <c r="TZV234" s="16"/>
      <c r="TZW234" s="16"/>
      <c r="TZX234" s="16"/>
      <c r="TZY234" s="15"/>
      <c r="TZZ234" s="15"/>
      <c r="UAA234" s="10"/>
      <c r="UAB234" s="10"/>
      <c r="UAC234" s="19"/>
      <c r="UAD234" s="19"/>
      <c r="UAG234" s="16"/>
      <c r="UAH234" s="15"/>
      <c r="UAI234" s="15"/>
      <c r="UAJ234" s="15"/>
      <c r="UAK234" s="16"/>
      <c r="UAL234" s="16"/>
      <c r="UAM234" s="16"/>
      <c r="UAN234" s="16"/>
      <c r="UAO234" s="16"/>
      <c r="UAP234" s="15"/>
      <c r="UAQ234" s="15"/>
      <c r="UAR234" s="10"/>
      <c r="UAS234" s="10"/>
      <c r="UAT234" s="19"/>
      <c r="UAU234" s="19"/>
      <c r="UAX234" s="16"/>
      <c r="UAY234" s="15"/>
      <c r="UAZ234" s="15"/>
      <c r="UBA234" s="15"/>
      <c r="UBB234" s="16"/>
      <c r="UBC234" s="16"/>
      <c r="UBD234" s="16"/>
      <c r="UBE234" s="16"/>
      <c r="UBF234" s="16"/>
      <c r="UBG234" s="15"/>
      <c r="UBH234" s="15"/>
      <c r="UBI234" s="10"/>
      <c r="UBJ234" s="10"/>
      <c r="UBK234" s="19"/>
      <c r="UBL234" s="19"/>
      <c r="UBO234" s="16"/>
      <c r="UBP234" s="15"/>
      <c r="UBQ234" s="15"/>
      <c r="UBR234" s="15"/>
      <c r="UBS234" s="16"/>
      <c r="UBT234" s="16"/>
      <c r="UBU234" s="16"/>
      <c r="UBV234" s="16"/>
      <c r="UBW234" s="16"/>
      <c r="UBX234" s="15"/>
      <c r="UBY234" s="15"/>
      <c r="UBZ234" s="10"/>
      <c r="UCA234" s="10"/>
      <c r="UCB234" s="19"/>
      <c r="UCC234" s="19"/>
      <c r="UCF234" s="16"/>
      <c r="UCG234" s="15"/>
      <c r="UCH234" s="15"/>
      <c r="UCI234" s="15"/>
      <c r="UCJ234" s="16"/>
      <c r="UCK234" s="16"/>
      <c r="UCL234" s="16"/>
      <c r="UCM234" s="16"/>
      <c r="UCN234" s="16"/>
      <c r="UCO234" s="15"/>
      <c r="UCP234" s="15"/>
      <c r="UCQ234" s="10"/>
      <c r="UCR234" s="10"/>
      <c r="UCS234" s="19"/>
      <c r="UCT234" s="19"/>
      <c r="UCW234" s="16"/>
      <c r="UCX234" s="15"/>
      <c r="UCY234" s="15"/>
      <c r="UCZ234" s="15"/>
      <c r="UDA234" s="16"/>
      <c r="UDB234" s="16"/>
      <c r="UDC234" s="16"/>
      <c r="UDD234" s="16"/>
      <c r="UDE234" s="16"/>
      <c r="UDF234" s="15"/>
      <c r="UDG234" s="15"/>
      <c r="UDH234" s="10"/>
      <c r="UDI234" s="10"/>
      <c r="UDJ234" s="19"/>
      <c r="UDK234" s="19"/>
      <c r="UDN234" s="16"/>
      <c r="UDO234" s="15"/>
      <c r="UDP234" s="15"/>
      <c r="UDQ234" s="15"/>
      <c r="UDR234" s="16"/>
      <c r="UDS234" s="16"/>
      <c r="UDT234" s="16"/>
      <c r="UDU234" s="16"/>
      <c r="UDV234" s="16"/>
      <c r="UDW234" s="15"/>
      <c r="UDX234" s="15"/>
      <c r="UDY234" s="10"/>
      <c r="UDZ234" s="10"/>
      <c r="UEA234" s="19"/>
      <c r="UEB234" s="19"/>
      <c r="UEE234" s="16"/>
      <c r="UEF234" s="15"/>
      <c r="UEG234" s="15"/>
      <c r="UEH234" s="15"/>
      <c r="UEI234" s="16"/>
      <c r="UEJ234" s="16"/>
      <c r="UEK234" s="16"/>
      <c r="UEL234" s="16"/>
      <c r="UEM234" s="16"/>
      <c r="UEN234" s="15"/>
      <c r="UEO234" s="15"/>
      <c r="UEP234" s="10"/>
      <c r="UEQ234" s="10"/>
      <c r="UER234" s="19"/>
      <c r="UES234" s="19"/>
      <c r="UEV234" s="16"/>
      <c r="UEW234" s="15"/>
      <c r="UEX234" s="15"/>
      <c r="UEY234" s="15"/>
      <c r="UEZ234" s="16"/>
      <c r="UFA234" s="16"/>
      <c r="UFB234" s="16"/>
      <c r="UFC234" s="16"/>
      <c r="UFD234" s="16"/>
      <c r="UFE234" s="15"/>
      <c r="UFF234" s="15"/>
      <c r="UFG234" s="10"/>
      <c r="UFH234" s="10"/>
      <c r="UFI234" s="19"/>
      <c r="UFJ234" s="19"/>
      <c r="UFM234" s="16"/>
      <c r="UFN234" s="15"/>
      <c r="UFO234" s="15"/>
      <c r="UFP234" s="15"/>
      <c r="UFQ234" s="16"/>
      <c r="UFR234" s="16"/>
      <c r="UFS234" s="16"/>
      <c r="UFT234" s="16"/>
      <c r="UFU234" s="16"/>
      <c r="UFV234" s="15"/>
      <c r="UFW234" s="15"/>
      <c r="UFX234" s="10"/>
      <c r="UFY234" s="10"/>
      <c r="UFZ234" s="19"/>
      <c r="UGA234" s="19"/>
      <c r="UGD234" s="16"/>
      <c r="UGE234" s="15"/>
      <c r="UGF234" s="15"/>
      <c r="UGG234" s="15"/>
      <c r="UGH234" s="16"/>
      <c r="UGI234" s="16"/>
      <c r="UGJ234" s="16"/>
      <c r="UGK234" s="16"/>
      <c r="UGL234" s="16"/>
      <c r="UGM234" s="15"/>
      <c r="UGN234" s="15"/>
      <c r="UGO234" s="10"/>
      <c r="UGP234" s="10"/>
      <c r="UGQ234" s="19"/>
      <c r="UGR234" s="19"/>
      <c r="UGU234" s="16"/>
      <c r="UGV234" s="15"/>
      <c r="UGW234" s="15"/>
      <c r="UGX234" s="15"/>
      <c r="UGY234" s="16"/>
      <c r="UGZ234" s="16"/>
      <c r="UHA234" s="16"/>
      <c r="UHB234" s="16"/>
      <c r="UHC234" s="16"/>
      <c r="UHD234" s="15"/>
      <c r="UHE234" s="15"/>
      <c r="UHF234" s="10"/>
      <c r="UHG234" s="10"/>
      <c r="UHH234" s="19"/>
      <c r="UHI234" s="19"/>
      <c r="UHL234" s="16"/>
      <c r="UHM234" s="15"/>
      <c r="UHN234" s="15"/>
      <c r="UHO234" s="15"/>
      <c r="UHP234" s="16"/>
      <c r="UHQ234" s="16"/>
      <c r="UHR234" s="16"/>
      <c r="UHS234" s="16"/>
      <c r="UHT234" s="16"/>
      <c r="UHU234" s="15"/>
      <c r="UHV234" s="15"/>
      <c r="UHW234" s="10"/>
      <c r="UHX234" s="10"/>
      <c r="UHY234" s="19"/>
      <c r="UHZ234" s="19"/>
      <c r="UIC234" s="16"/>
      <c r="UID234" s="15"/>
      <c r="UIE234" s="15"/>
      <c r="UIF234" s="15"/>
      <c r="UIG234" s="16"/>
      <c r="UIH234" s="16"/>
      <c r="UII234" s="16"/>
      <c r="UIJ234" s="16"/>
      <c r="UIK234" s="16"/>
      <c r="UIL234" s="15"/>
      <c r="UIM234" s="15"/>
      <c r="UIN234" s="10"/>
      <c r="UIO234" s="10"/>
      <c r="UIP234" s="19"/>
      <c r="UIQ234" s="19"/>
      <c r="UIT234" s="16"/>
      <c r="UIU234" s="15"/>
      <c r="UIV234" s="15"/>
      <c r="UIW234" s="15"/>
      <c r="UIX234" s="16"/>
      <c r="UIY234" s="16"/>
      <c r="UIZ234" s="16"/>
      <c r="UJA234" s="16"/>
      <c r="UJB234" s="16"/>
      <c r="UJC234" s="15"/>
      <c r="UJD234" s="15"/>
      <c r="UJE234" s="10"/>
      <c r="UJF234" s="10"/>
      <c r="UJG234" s="19"/>
      <c r="UJH234" s="19"/>
      <c r="UJK234" s="16"/>
      <c r="UJL234" s="15"/>
      <c r="UJM234" s="15"/>
      <c r="UJN234" s="15"/>
      <c r="UJO234" s="16"/>
      <c r="UJP234" s="16"/>
      <c r="UJQ234" s="16"/>
      <c r="UJR234" s="16"/>
      <c r="UJS234" s="16"/>
      <c r="UJT234" s="15"/>
      <c r="UJU234" s="15"/>
      <c r="UJV234" s="10"/>
      <c r="UJW234" s="10"/>
      <c r="UJX234" s="19"/>
      <c r="UJY234" s="19"/>
      <c r="UKB234" s="16"/>
      <c r="UKC234" s="15"/>
      <c r="UKD234" s="15"/>
      <c r="UKE234" s="15"/>
      <c r="UKF234" s="16"/>
      <c r="UKG234" s="16"/>
      <c r="UKH234" s="16"/>
      <c r="UKI234" s="16"/>
      <c r="UKJ234" s="16"/>
      <c r="UKK234" s="15"/>
      <c r="UKL234" s="15"/>
      <c r="UKM234" s="10"/>
      <c r="UKN234" s="10"/>
      <c r="UKO234" s="19"/>
      <c r="UKP234" s="19"/>
      <c r="UKS234" s="16"/>
      <c r="UKT234" s="15"/>
      <c r="UKU234" s="15"/>
      <c r="UKV234" s="15"/>
      <c r="UKW234" s="16"/>
      <c r="UKX234" s="16"/>
      <c r="UKY234" s="16"/>
      <c r="UKZ234" s="16"/>
      <c r="ULA234" s="16"/>
      <c r="ULB234" s="15"/>
      <c r="ULC234" s="15"/>
      <c r="ULD234" s="10"/>
      <c r="ULE234" s="10"/>
      <c r="ULF234" s="19"/>
      <c r="ULG234" s="19"/>
      <c r="ULJ234" s="16"/>
      <c r="ULK234" s="15"/>
      <c r="ULL234" s="15"/>
      <c r="ULM234" s="15"/>
      <c r="ULN234" s="16"/>
      <c r="ULO234" s="16"/>
      <c r="ULP234" s="16"/>
      <c r="ULQ234" s="16"/>
      <c r="ULR234" s="16"/>
      <c r="ULS234" s="15"/>
      <c r="ULT234" s="15"/>
      <c r="ULU234" s="10"/>
      <c r="ULV234" s="10"/>
      <c r="ULW234" s="19"/>
      <c r="ULX234" s="19"/>
      <c r="UMA234" s="16"/>
      <c r="UMB234" s="15"/>
      <c r="UMC234" s="15"/>
      <c r="UMD234" s="15"/>
      <c r="UME234" s="16"/>
      <c r="UMF234" s="16"/>
      <c r="UMG234" s="16"/>
      <c r="UMH234" s="16"/>
      <c r="UMI234" s="16"/>
      <c r="UMJ234" s="15"/>
      <c r="UMK234" s="15"/>
      <c r="UML234" s="10"/>
      <c r="UMM234" s="10"/>
      <c r="UMN234" s="19"/>
      <c r="UMO234" s="19"/>
      <c r="UMR234" s="16"/>
      <c r="UMS234" s="15"/>
      <c r="UMT234" s="15"/>
      <c r="UMU234" s="15"/>
      <c r="UMV234" s="16"/>
      <c r="UMW234" s="16"/>
      <c r="UMX234" s="16"/>
      <c r="UMY234" s="16"/>
      <c r="UMZ234" s="16"/>
      <c r="UNA234" s="15"/>
      <c r="UNB234" s="15"/>
      <c r="UNC234" s="10"/>
      <c r="UND234" s="10"/>
      <c r="UNE234" s="19"/>
      <c r="UNF234" s="19"/>
      <c r="UNI234" s="16"/>
      <c r="UNJ234" s="15"/>
      <c r="UNK234" s="15"/>
      <c r="UNL234" s="15"/>
      <c r="UNM234" s="16"/>
      <c r="UNN234" s="16"/>
      <c r="UNO234" s="16"/>
      <c r="UNP234" s="16"/>
      <c r="UNQ234" s="16"/>
      <c r="UNR234" s="15"/>
      <c r="UNS234" s="15"/>
      <c r="UNT234" s="10"/>
      <c r="UNU234" s="10"/>
      <c r="UNV234" s="19"/>
      <c r="UNW234" s="19"/>
      <c r="UNZ234" s="16"/>
      <c r="UOA234" s="15"/>
      <c r="UOB234" s="15"/>
      <c r="UOC234" s="15"/>
      <c r="UOD234" s="16"/>
      <c r="UOE234" s="16"/>
      <c r="UOF234" s="16"/>
      <c r="UOG234" s="16"/>
      <c r="UOH234" s="16"/>
      <c r="UOI234" s="15"/>
      <c r="UOJ234" s="15"/>
      <c r="UOK234" s="10"/>
      <c r="UOL234" s="10"/>
      <c r="UOM234" s="19"/>
      <c r="UON234" s="19"/>
      <c r="UOQ234" s="16"/>
      <c r="UOR234" s="15"/>
      <c r="UOS234" s="15"/>
      <c r="UOT234" s="15"/>
      <c r="UOU234" s="16"/>
      <c r="UOV234" s="16"/>
      <c r="UOW234" s="16"/>
      <c r="UOX234" s="16"/>
      <c r="UOY234" s="16"/>
      <c r="UOZ234" s="15"/>
      <c r="UPA234" s="15"/>
      <c r="UPB234" s="10"/>
      <c r="UPC234" s="10"/>
      <c r="UPD234" s="19"/>
      <c r="UPE234" s="19"/>
      <c r="UPH234" s="16"/>
      <c r="UPI234" s="15"/>
      <c r="UPJ234" s="15"/>
      <c r="UPK234" s="15"/>
      <c r="UPL234" s="16"/>
      <c r="UPM234" s="16"/>
      <c r="UPN234" s="16"/>
      <c r="UPO234" s="16"/>
      <c r="UPP234" s="16"/>
      <c r="UPQ234" s="15"/>
      <c r="UPR234" s="15"/>
      <c r="UPS234" s="10"/>
      <c r="UPT234" s="10"/>
      <c r="UPU234" s="19"/>
      <c r="UPV234" s="19"/>
      <c r="UPY234" s="16"/>
      <c r="UPZ234" s="15"/>
      <c r="UQA234" s="15"/>
      <c r="UQB234" s="15"/>
      <c r="UQC234" s="16"/>
      <c r="UQD234" s="16"/>
      <c r="UQE234" s="16"/>
      <c r="UQF234" s="16"/>
      <c r="UQG234" s="16"/>
      <c r="UQH234" s="15"/>
      <c r="UQI234" s="15"/>
      <c r="UQJ234" s="10"/>
      <c r="UQK234" s="10"/>
      <c r="UQL234" s="19"/>
      <c r="UQM234" s="19"/>
      <c r="UQP234" s="16"/>
      <c r="UQQ234" s="15"/>
      <c r="UQR234" s="15"/>
      <c r="UQS234" s="15"/>
      <c r="UQT234" s="16"/>
      <c r="UQU234" s="16"/>
      <c r="UQV234" s="16"/>
      <c r="UQW234" s="16"/>
      <c r="UQX234" s="16"/>
      <c r="UQY234" s="15"/>
      <c r="UQZ234" s="15"/>
      <c r="URA234" s="10"/>
      <c r="URB234" s="10"/>
      <c r="URC234" s="19"/>
      <c r="URD234" s="19"/>
      <c r="URG234" s="16"/>
      <c r="URH234" s="15"/>
      <c r="URI234" s="15"/>
      <c r="URJ234" s="15"/>
      <c r="URK234" s="16"/>
      <c r="URL234" s="16"/>
      <c r="URM234" s="16"/>
      <c r="URN234" s="16"/>
      <c r="URO234" s="16"/>
      <c r="URP234" s="15"/>
      <c r="URQ234" s="15"/>
      <c r="URR234" s="10"/>
      <c r="URS234" s="10"/>
      <c r="URT234" s="19"/>
      <c r="URU234" s="19"/>
      <c r="URX234" s="16"/>
      <c r="URY234" s="15"/>
      <c r="URZ234" s="15"/>
      <c r="USA234" s="15"/>
      <c r="USB234" s="16"/>
      <c r="USC234" s="16"/>
      <c r="USD234" s="16"/>
      <c r="USE234" s="16"/>
      <c r="USF234" s="16"/>
      <c r="USG234" s="15"/>
      <c r="USH234" s="15"/>
      <c r="USI234" s="10"/>
      <c r="USJ234" s="10"/>
      <c r="USK234" s="19"/>
      <c r="USL234" s="19"/>
      <c r="USO234" s="16"/>
      <c r="USP234" s="15"/>
      <c r="USQ234" s="15"/>
      <c r="USR234" s="15"/>
      <c r="USS234" s="16"/>
      <c r="UST234" s="16"/>
      <c r="USU234" s="16"/>
      <c r="USV234" s="16"/>
      <c r="USW234" s="16"/>
      <c r="USX234" s="15"/>
      <c r="USY234" s="15"/>
      <c r="USZ234" s="10"/>
      <c r="UTA234" s="10"/>
      <c r="UTB234" s="19"/>
      <c r="UTC234" s="19"/>
      <c r="UTF234" s="16"/>
      <c r="UTG234" s="15"/>
      <c r="UTH234" s="15"/>
      <c r="UTI234" s="15"/>
      <c r="UTJ234" s="16"/>
      <c r="UTK234" s="16"/>
      <c r="UTL234" s="16"/>
      <c r="UTM234" s="16"/>
      <c r="UTN234" s="16"/>
      <c r="UTO234" s="15"/>
      <c r="UTP234" s="15"/>
      <c r="UTQ234" s="10"/>
      <c r="UTR234" s="10"/>
      <c r="UTS234" s="19"/>
      <c r="UTT234" s="19"/>
      <c r="UTW234" s="16"/>
      <c r="UTX234" s="15"/>
      <c r="UTY234" s="15"/>
      <c r="UTZ234" s="15"/>
      <c r="UUA234" s="16"/>
      <c r="UUB234" s="16"/>
      <c r="UUC234" s="16"/>
      <c r="UUD234" s="16"/>
      <c r="UUE234" s="16"/>
      <c r="UUF234" s="15"/>
      <c r="UUG234" s="15"/>
      <c r="UUH234" s="10"/>
      <c r="UUI234" s="10"/>
      <c r="UUJ234" s="19"/>
      <c r="UUK234" s="19"/>
      <c r="UUN234" s="16"/>
      <c r="UUO234" s="15"/>
      <c r="UUP234" s="15"/>
      <c r="UUQ234" s="15"/>
      <c r="UUR234" s="16"/>
      <c r="UUS234" s="16"/>
      <c r="UUT234" s="16"/>
      <c r="UUU234" s="16"/>
      <c r="UUV234" s="16"/>
      <c r="UUW234" s="15"/>
      <c r="UUX234" s="15"/>
      <c r="UUY234" s="10"/>
      <c r="UUZ234" s="10"/>
      <c r="UVA234" s="19"/>
      <c r="UVB234" s="19"/>
      <c r="UVE234" s="16"/>
      <c r="UVF234" s="15"/>
      <c r="UVG234" s="15"/>
      <c r="UVH234" s="15"/>
      <c r="UVI234" s="16"/>
      <c r="UVJ234" s="16"/>
      <c r="UVK234" s="16"/>
      <c r="UVL234" s="16"/>
      <c r="UVM234" s="16"/>
      <c r="UVN234" s="15"/>
      <c r="UVO234" s="15"/>
      <c r="UVP234" s="10"/>
      <c r="UVQ234" s="10"/>
      <c r="UVR234" s="19"/>
      <c r="UVS234" s="19"/>
      <c r="UVV234" s="16"/>
      <c r="UVW234" s="15"/>
      <c r="UVX234" s="15"/>
      <c r="UVY234" s="15"/>
      <c r="UVZ234" s="16"/>
      <c r="UWA234" s="16"/>
      <c r="UWB234" s="16"/>
      <c r="UWC234" s="16"/>
      <c r="UWD234" s="16"/>
      <c r="UWE234" s="15"/>
      <c r="UWF234" s="15"/>
      <c r="UWG234" s="10"/>
      <c r="UWH234" s="10"/>
      <c r="UWI234" s="19"/>
      <c r="UWJ234" s="19"/>
      <c r="UWM234" s="16"/>
      <c r="UWN234" s="15"/>
      <c r="UWO234" s="15"/>
      <c r="UWP234" s="15"/>
      <c r="UWQ234" s="16"/>
      <c r="UWR234" s="16"/>
      <c r="UWS234" s="16"/>
      <c r="UWT234" s="16"/>
      <c r="UWU234" s="16"/>
      <c r="UWV234" s="15"/>
      <c r="UWW234" s="15"/>
      <c r="UWX234" s="10"/>
      <c r="UWY234" s="10"/>
      <c r="UWZ234" s="19"/>
      <c r="UXA234" s="19"/>
      <c r="UXD234" s="16"/>
      <c r="UXE234" s="15"/>
      <c r="UXF234" s="15"/>
      <c r="UXG234" s="15"/>
      <c r="UXH234" s="16"/>
      <c r="UXI234" s="16"/>
      <c r="UXJ234" s="16"/>
      <c r="UXK234" s="16"/>
      <c r="UXL234" s="16"/>
      <c r="UXM234" s="15"/>
      <c r="UXN234" s="15"/>
      <c r="UXO234" s="10"/>
      <c r="UXP234" s="10"/>
      <c r="UXQ234" s="19"/>
      <c r="UXR234" s="19"/>
      <c r="UXU234" s="16"/>
      <c r="UXV234" s="15"/>
      <c r="UXW234" s="15"/>
      <c r="UXX234" s="15"/>
      <c r="UXY234" s="16"/>
      <c r="UXZ234" s="16"/>
      <c r="UYA234" s="16"/>
      <c r="UYB234" s="16"/>
      <c r="UYC234" s="16"/>
      <c r="UYD234" s="15"/>
      <c r="UYE234" s="15"/>
      <c r="UYF234" s="10"/>
      <c r="UYG234" s="10"/>
      <c r="UYH234" s="19"/>
      <c r="UYI234" s="19"/>
      <c r="UYL234" s="16"/>
      <c r="UYM234" s="15"/>
      <c r="UYN234" s="15"/>
      <c r="UYO234" s="15"/>
      <c r="UYP234" s="16"/>
      <c r="UYQ234" s="16"/>
      <c r="UYR234" s="16"/>
      <c r="UYS234" s="16"/>
      <c r="UYT234" s="16"/>
      <c r="UYU234" s="15"/>
      <c r="UYV234" s="15"/>
      <c r="UYW234" s="10"/>
      <c r="UYX234" s="10"/>
      <c r="UYY234" s="19"/>
      <c r="UYZ234" s="19"/>
      <c r="UZC234" s="16"/>
      <c r="UZD234" s="15"/>
      <c r="UZE234" s="15"/>
      <c r="UZF234" s="15"/>
      <c r="UZG234" s="16"/>
      <c r="UZH234" s="16"/>
      <c r="UZI234" s="16"/>
      <c r="UZJ234" s="16"/>
      <c r="UZK234" s="16"/>
      <c r="UZL234" s="15"/>
      <c r="UZM234" s="15"/>
      <c r="UZN234" s="10"/>
      <c r="UZO234" s="10"/>
      <c r="UZP234" s="19"/>
      <c r="UZQ234" s="19"/>
      <c r="UZT234" s="16"/>
      <c r="UZU234" s="15"/>
      <c r="UZV234" s="15"/>
      <c r="UZW234" s="15"/>
      <c r="UZX234" s="16"/>
      <c r="UZY234" s="16"/>
      <c r="UZZ234" s="16"/>
      <c r="VAA234" s="16"/>
      <c r="VAB234" s="16"/>
      <c r="VAC234" s="15"/>
      <c r="VAD234" s="15"/>
      <c r="VAE234" s="10"/>
      <c r="VAF234" s="10"/>
      <c r="VAG234" s="19"/>
      <c r="VAH234" s="19"/>
      <c r="VAK234" s="16"/>
      <c r="VAL234" s="15"/>
      <c r="VAM234" s="15"/>
      <c r="VAN234" s="15"/>
      <c r="VAO234" s="16"/>
      <c r="VAP234" s="16"/>
      <c r="VAQ234" s="16"/>
      <c r="VAR234" s="16"/>
      <c r="VAS234" s="16"/>
      <c r="VAT234" s="15"/>
      <c r="VAU234" s="15"/>
      <c r="VAV234" s="10"/>
      <c r="VAW234" s="10"/>
      <c r="VAX234" s="19"/>
      <c r="VAY234" s="19"/>
      <c r="VBB234" s="16"/>
      <c r="VBC234" s="15"/>
      <c r="VBD234" s="15"/>
      <c r="VBE234" s="15"/>
      <c r="VBF234" s="16"/>
      <c r="VBG234" s="16"/>
      <c r="VBH234" s="16"/>
      <c r="VBI234" s="16"/>
      <c r="VBJ234" s="16"/>
      <c r="VBK234" s="15"/>
      <c r="VBL234" s="15"/>
      <c r="VBM234" s="10"/>
      <c r="VBN234" s="10"/>
      <c r="VBO234" s="19"/>
      <c r="VBP234" s="19"/>
      <c r="VBS234" s="16"/>
      <c r="VBT234" s="15"/>
      <c r="VBU234" s="15"/>
      <c r="VBV234" s="15"/>
      <c r="VBW234" s="16"/>
      <c r="VBX234" s="16"/>
      <c r="VBY234" s="16"/>
      <c r="VBZ234" s="16"/>
      <c r="VCA234" s="16"/>
      <c r="VCB234" s="15"/>
      <c r="VCC234" s="15"/>
      <c r="VCD234" s="10"/>
      <c r="VCE234" s="10"/>
      <c r="VCF234" s="19"/>
      <c r="VCG234" s="19"/>
      <c r="VCJ234" s="16"/>
      <c r="VCK234" s="15"/>
      <c r="VCL234" s="15"/>
      <c r="VCM234" s="15"/>
      <c r="VCN234" s="16"/>
      <c r="VCO234" s="16"/>
      <c r="VCP234" s="16"/>
      <c r="VCQ234" s="16"/>
      <c r="VCR234" s="16"/>
      <c r="VCS234" s="15"/>
      <c r="VCT234" s="15"/>
      <c r="VCU234" s="10"/>
      <c r="VCV234" s="10"/>
      <c r="VCW234" s="19"/>
      <c r="VCX234" s="19"/>
      <c r="VDA234" s="16"/>
      <c r="VDB234" s="15"/>
      <c r="VDC234" s="15"/>
      <c r="VDD234" s="15"/>
      <c r="VDE234" s="16"/>
      <c r="VDF234" s="16"/>
      <c r="VDG234" s="16"/>
      <c r="VDH234" s="16"/>
      <c r="VDI234" s="16"/>
      <c r="VDJ234" s="15"/>
      <c r="VDK234" s="15"/>
      <c r="VDL234" s="10"/>
      <c r="VDM234" s="10"/>
      <c r="VDN234" s="19"/>
      <c r="VDO234" s="19"/>
      <c r="VDR234" s="16"/>
      <c r="VDS234" s="15"/>
      <c r="VDT234" s="15"/>
      <c r="VDU234" s="15"/>
      <c r="VDV234" s="16"/>
      <c r="VDW234" s="16"/>
      <c r="VDX234" s="16"/>
      <c r="VDY234" s="16"/>
      <c r="VDZ234" s="16"/>
      <c r="VEA234" s="15"/>
      <c r="VEB234" s="15"/>
      <c r="VEC234" s="10"/>
      <c r="VED234" s="10"/>
      <c r="VEE234" s="19"/>
      <c r="VEF234" s="19"/>
      <c r="VEI234" s="16"/>
      <c r="VEJ234" s="15"/>
      <c r="VEK234" s="15"/>
      <c r="VEL234" s="15"/>
      <c r="VEM234" s="16"/>
      <c r="VEN234" s="16"/>
      <c r="VEO234" s="16"/>
      <c r="VEP234" s="16"/>
      <c r="VEQ234" s="16"/>
      <c r="VER234" s="15"/>
      <c r="VES234" s="15"/>
      <c r="VET234" s="10"/>
      <c r="VEU234" s="10"/>
      <c r="VEV234" s="19"/>
      <c r="VEW234" s="19"/>
      <c r="VEZ234" s="16"/>
      <c r="VFA234" s="15"/>
      <c r="VFB234" s="15"/>
      <c r="VFC234" s="15"/>
      <c r="VFD234" s="16"/>
      <c r="VFE234" s="16"/>
      <c r="VFF234" s="16"/>
      <c r="VFG234" s="16"/>
      <c r="VFH234" s="16"/>
      <c r="VFI234" s="15"/>
      <c r="VFJ234" s="15"/>
      <c r="VFK234" s="10"/>
      <c r="VFL234" s="10"/>
      <c r="VFM234" s="19"/>
      <c r="VFN234" s="19"/>
      <c r="VFQ234" s="16"/>
      <c r="VFR234" s="15"/>
      <c r="VFS234" s="15"/>
      <c r="VFT234" s="15"/>
      <c r="VFU234" s="16"/>
      <c r="VFV234" s="16"/>
      <c r="VFW234" s="16"/>
      <c r="VFX234" s="16"/>
      <c r="VFY234" s="16"/>
      <c r="VFZ234" s="15"/>
      <c r="VGA234" s="15"/>
      <c r="VGB234" s="10"/>
      <c r="VGC234" s="10"/>
      <c r="VGD234" s="19"/>
      <c r="VGE234" s="19"/>
      <c r="VGH234" s="16"/>
      <c r="VGI234" s="15"/>
      <c r="VGJ234" s="15"/>
      <c r="VGK234" s="15"/>
      <c r="VGL234" s="16"/>
      <c r="VGM234" s="16"/>
      <c r="VGN234" s="16"/>
      <c r="VGO234" s="16"/>
      <c r="VGP234" s="16"/>
      <c r="VGQ234" s="15"/>
      <c r="VGR234" s="15"/>
      <c r="VGS234" s="10"/>
      <c r="VGT234" s="10"/>
      <c r="VGU234" s="19"/>
      <c r="VGV234" s="19"/>
      <c r="VGY234" s="16"/>
      <c r="VGZ234" s="15"/>
      <c r="VHA234" s="15"/>
      <c r="VHB234" s="15"/>
      <c r="VHC234" s="16"/>
      <c r="VHD234" s="16"/>
      <c r="VHE234" s="16"/>
      <c r="VHF234" s="16"/>
      <c r="VHG234" s="16"/>
      <c r="VHH234" s="15"/>
      <c r="VHI234" s="15"/>
      <c r="VHJ234" s="10"/>
      <c r="VHK234" s="10"/>
      <c r="VHL234" s="19"/>
      <c r="VHM234" s="19"/>
      <c r="VHP234" s="16"/>
      <c r="VHQ234" s="15"/>
      <c r="VHR234" s="15"/>
      <c r="VHS234" s="15"/>
      <c r="VHT234" s="16"/>
      <c r="VHU234" s="16"/>
      <c r="VHV234" s="16"/>
      <c r="VHW234" s="16"/>
      <c r="VHX234" s="16"/>
      <c r="VHY234" s="15"/>
      <c r="VHZ234" s="15"/>
      <c r="VIA234" s="10"/>
      <c r="VIB234" s="10"/>
      <c r="VIC234" s="19"/>
      <c r="VID234" s="19"/>
      <c r="VIG234" s="16"/>
      <c r="VIH234" s="15"/>
      <c r="VII234" s="15"/>
      <c r="VIJ234" s="15"/>
      <c r="VIK234" s="16"/>
      <c r="VIL234" s="16"/>
      <c r="VIM234" s="16"/>
      <c r="VIN234" s="16"/>
      <c r="VIO234" s="16"/>
      <c r="VIP234" s="15"/>
      <c r="VIQ234" s="15"/>
      <c r="VIR234" s="10"/>
      <c r="VIS234" s="10"/>
      <c r="VIT234" s="19"/>
      <c r="VIU234" s="19"/>
      <c r="VIX234" s="16"/>
      <c r="VIY234" s="15"/>
      <c r="VIZ234" s="15"/>
      <c r="VJA234" s="15"/>
      <c r="VJB234" s="16"/>
      <c r="VJC234" s="16"/>
      <c r="VJD234" s="16"/>
      <c r="VJE234" s="16"/>
      <c r="VJF234" s="16"/>
      <c r="VJG234" s="15"/>
      <c r="VJH234" s="15"/>
      <c r="VJI234" s="10"/>
      <c r="VJJ234" s="10"/>
      <c r="VJK234" s="19"/>
      <c r="VJL234" s="19"/>
      <c r="VJO234" s="16"/>
      <c r="VJP234" s="15"/>
      <c r="VJQ234" s="15"/>
      <c r="VJR234" s="15"/>
      <c r="VJS234" s="16"/>
      <c r="VJT234" s="16"/>
      <c r="VJU234" s="16"/>
      <c r="VJV234" s="16"/>
      <c r="VJW234" s="16"/>
      <c r="VJX234" s="15"/>
      <c r="VJY234" s="15"/>
      <c r="VJZ234" s="10"/>
      <c r="VKA234" s="10"/>
      <c r="VKB234" s="19"/>
      <c r="VKC234" s="19"/>
      <c r="VKF234" s="16"/>
      <c r="VKG234" s="15"/>
      <c r="VKH234" s="15"/>
      <c r="VKI234" s="15"/>
      <c r="VKJ234" s="16"/>
      <c r="VKK234" s="16"/>
      <c r="VKL234" s="16"/>
      <c r="VKM234" s="16"/>
      <c r="VKN234" s="16"/>
      <c r="VKO234" s="15"/>
      <c r="VKP234" s="15"/>
      <c r="VKQ234" s="10"/>
      <c r="VKR234" s="10"/>
      <c r="VKS234" s="19"/>
      <c r="VKT234" s="19"/>
      <c r="VKW234" s="16"/>
      <c r="VKX234" s="15"/>
      <c r="VKY234" s="15"/>
      <c r="VKZ234" s="15"/>
      <c r="VLA234" s="16"/>
      <c r="VLB234" s="16"/>
      <c r="VLC234" s="16"/>
      <c r="VLD234" s="16"/>
      <c r="VLE234" s="16"/>
      <c r="VLF234" s="15"/>
      <c r="VLG234" s="15"/>
      <c r="VLH234" s="10"/>
      <c r="VLI234" s="10"/>
      <c r="VLJ234" s="19"/>
      <c r="VLK234" s="19"/>
      <c r="VLN234" s="16"/>
      <c r="VLO234" s="15"/>
      <c r="VLP234" s="15"/>
      <c r="VLQ234" s="15"/>
      <c r="VLR234" s="16"/>
      <c r="VLS234" s="16"/>
      <c r="VLT234" s="16"/>
      <c r="VLU234" s="16"/>
      <c r="VLV234" s="16"/>
      <c r="VLW234" s="15"/>
      <c r="VLX234" s="15"/>
      <c r="VLY234" s="10"/>
      <c r="VLZ234" s="10"/>
      <c r="VMA234" s="19"/>
      <c r="VMB234" s="19"/>
      <c r="VME234" s="16"/>
      <c r="VMF234" s="15"/>
      <c r="VMG234" s="15"/>
      <c r="VMH234" s="15"/>
      <c r="VMI234" s="16"/>
      <c r="VMJ234" s="16"/>
      <c r="VMK234" s="16"/>
      <c r="VML234" s="16"/>
      <c r="VMM234" s="16"/>
      <c r="VMN234" s="15"/>
      <c r="VMO234" s="15"/>
      <c r="VMP234" s="10"/>
      <c r="VMQ234" s="10"/>
      <c r="VMR234" s="19"/>
      <c r="VMS234" s="19"/>
      <c r="VMV234" s="16"/>
      <c r="VMW234" s="15"/>
      <c r="VMX234" s="15"/>
      <c r="VMY234" s="15"/>
      <c r="VMZ234" s="16"/>
      <c r="VNA234" s="16"/>
      <c r="VNB234" s="16"/>
      <c r="VNC234" s="16"/>
      <c r="VND234" s="16"/>
      <c r="VNE234" s="15"/>
      <c r="VNF234" s="15"/>
      <c r="VNG234" s="10"/>
      <c r="VNH234" s="10"/>
      <c r="VNI234" s="19"/>
      <c r="VNJ234" s="19"/>
      <c r="VNM234" s="16"/>
      <c r="VNN234" s="15"/>
      <c r="VNO234" s="15"/>
      <c r="VNP234" s="15"/>
      <c r="VNQ234" s="16"/>
      <c r="VNR234" s="16"/>
      <c r="VNS234" s="16"/>
      <c r="VNT234" s="16"/>
      <c r="VNU234" s="16"/>
      <c r="VNV234" s="15"/>
      <c r="VNW234" s="15"/>
      <c r="VNX234" s="10"/>
      <c r="VNY234" s="10"/>
      <c r="VNZ234" s="19"/>
      <c r="VOA234" s="19"/>
      <c r="VOD234" s="16"/>
      <c r="VOE234" s="15"/>
      <c r="VOF234" s="15"/>
      <c r="VOG234" s="15"/>
      <c r="VOH234" s="16"/>
      <c r="VOI234" s="16"/>
      <c r="VOJ234" s="16"/>
      <c r="VOK234" s="16"/>
      <c r="VOL234" s="16"/>
      <c r="VOM234" s="15"/>
      <c r="VON234" s="15"/>
      <c r="VOO234" s="10"/>
      <c r="VOP234" s="10"/>
      <c r="VOQ234" s="19"/>
      <c r="VOR234" s="19"/>
      <c r="VOU234" s="16"/>
      <c r="VOV234" s="15"/>
      <c r="VOW234" s="15"/>
      <c r="VOX234" s="15"/>
      <c r="VOY234" s="16"/>
      <c r="VOZ234" s="16"/>
      <c r="VPA234" s="16"/>
      <c r="VPB234" s="16"/>
      <c r="VPC234" s="16"/>
      <c r="VPD234" s="15"/>
      <c r="VPE234" s="15"/>
      <c r="VPF234" s="10"/>
      <c r="VPG234" s="10"/>
      <c r="VPH234" s="19"/>
      <c r="VPI234" s="19"/>
      <c r="VPL234" s="16"/>
      <c r="VPM234" s="15"/>
      <c r="VPN234" s="15"/>
      <c r="VPO234" s="15"/>
      <c r="VPP234" s="16"/>
      <c r="VPQ234" s="16"/>
      <c r="VPR234" s="16"/>
      <c r="VPS234" s="16"/>
      <c r="VPT234" s="16"/>
      <c r="VPU234" s="15"/>
      <c r="VPV234" s="15"/>
      <c r="VPW234" s="10"/>
      <c r="VPX234" s="10"/>
      <c r="VPY234" s="19"/>
      <c r="VPZ234" s="19"/>
      <c r="VQC234" s="16"/>
      <c r="VQD234" s="15"/>
      <c r="VQE234" s="15"/>
      <c r="VQF234" s="15"/>
      <c r="VQG234" s="16"/>
      <c r="VQH234" s="16"/>
      <c r="VQI234" s="16"/>
      <c r="VQJ234" s="16"/>
      <c r="VQK234" s="16"/>
      <c r="VQL234" s="15"/>
      <c r="VQM234" s="15"/>
      <c r="VQN234" s="10"/>
      <c r="VQO234" s="10"/>
      <c r="VQP234" s="19"/>
      <c r="VQQ234" s="19"/>
      <c r="VQT234" s="16"/>
      <c r="VQU234" s="15"/>
      <c r="VQV234" s="15"/>
      <c r="VQW234" s="15"/>
      <c r="VQX234" s="16"/>
      <c r="VQY234" s="16"/>
      <c r="VQZ234" s="16"/>
      <c r="VRA234" s="16"/>
      <c r="VRB234" s="16"/>
      <c r="VRC234" s="15"/>
      <c r="VRD234" s="15"/>
      <c r="VRE234" s="10"/>
      <c r="VRF234" s="10"/>
      <c r="VRG234" s="19"/>
      <c r="VRH234" s="19"/>
      <c r="VRK234" s="16"/>
      <c r="VRL234" s="15"/>
      <c r="VRM234" s="15"/>
      <c r="VRN234" s="15"/>
      <c r="VRO234" s="16"/>
      <c r="VRP234" s="16"/>
      <c r="VRQ234" s="16"/>
      <c r="VRR234" s="16"/>
      <c r="VRS234" s="16"/>
      <c r="VRT234" s="15"/>
      <c r="VRU234" s="15"/>
      <c r="VRV234" s="10"/>
      <c r="VRW234" s="10"/>
      <c r="VRX234" s="19"/>
      <c r="VRY234" s="19"/>
      <c r="VSB234" s="16"/>
      <c r="VSC234" s="15"/>
      <c r="VSD234" s="15"/>
      <c r="VSE234" s="15"/>
      <c r="VSF234" s="16"/>
      <c r="VSG234" s="16"/>
      <c r="VSH234" s="16"/>
      <c r="VSI234" s="16"/>
      <c r="VSJ234" s="16"/>
      <c r="VSK234" s="15"/>
      <c r="VSL234" s="15"/>
      <c r="VSM234" s="10"/>
      <c r="VSN234" s="10"/>
      <c r="VSO234" s="19"/>
      <c r="VSP234" s="19"/>
      <c r="VSS234" s="16"/>
      <c r="VST234" s="15"/>
      <c r="VSU234" s="15"/>
      <c r="VSV234" s="15"/>
      <c r="VSW234" s="16"/>
      <c r="VSX234" s="16"/>
      <c r="VSY234" s="16"/>
      <c r="VSZ234" s="16"/>
      <c r="VTA234" s="16"/>
      <c r="VTB234" s="15"/>
      <c r="VTC234" s="15"/>
      <c r="VTD234" s="10"/>
      <c r="VTE234" s="10"/>
      <c r="VTF234" s="19"/>
      <c r="VTG234" s="19"/>
      <c r="VTJ234" s="16"/>
      <c r="VTK234" s="15"/>
      <c r="VTL234" s="15"/>
      <c r="VTM234" s="15"/>
      <c r="VTN234" s="16"/>
      <c r="VTO234" s="16"/>
      <c r="VTP234" s="16"/>
      <c r="VTQ234" s="16"/>
      <c r="VTR234" s="16"/>
      <c r="VTS234" s="15"/>
      <c r="VTT234" s="15"/>
      <c r="VTU234" s="10"/>
      <c r="VTV234" s="10"/>
      <c r="VTW234" s="19"/>
      <c r="VTX234" s="19"/>
      <c r="VUA234" s="16"/>
      <c r="VUB234" s="15"/>
      <c r="VUC234" s="15"/>
      <c r="VUD234" s="15"/>
      <c r="VUE234" s="16"/>
      <c r="VUF234" s="16"/>
      <c r="VUG234" s="16"/>
      <c r="VUH234" s="16"/>
      <c r="VUI234" s="16"/>
      <c r="VUJ234" s="15"/>
      <c r="VUK234" s="15"/>
      <c r="VUL234" s="10"/>
      <c r="VUM234" s="10"/>
      <c r="VUN234" s="19"/>
      <c r="VUO234" s="19"/>
      <c r="VUR234" s="16"/>
      <c r="VUS234" s="15"/>
      <c r="VUT234" s="15"/>
      <c r="VUU234" s="15"/>
      <c r="VUV234" s="16"/>
      <c r="VUW234" s="16"/>
      <c r="VUX234" s="16"/>
      <c r="VUY234" s="16"/>
      <c r="VUZ234" s="16"/>
      <c r="VVA234" s="15"/>
      <c r="VVB234" s="15"/>
      <c r="VVC234" s="10"/>
      <c r="VVD234" s="10"/>
      <c r="VVE234" s="19"/>
      <c r="VVF234" s="19"/>
      <c r="VVI234" s="16"/>
      <c r="VVJ234" s="15"/>
      <c r="VVK234" s="15"/>
      <c r="VVL234" s="15"/>
      <c r="VVM234" s="16"/>
      <c r="VVN234" s="16"/>
      <c r="VVO234" s="16"/>
      <c r="VVP234" s="16"/>
      <c r="VVQ234" s="16"/>
      <c r="VVR234" s="15"/>
      <c r="VVS234" s="15"/>
      <c r="VVT234" s="10"/>
      <c r="VVU234" s="10"/>
      <c r="VVV234" s="19"/>
      <c r="VVW234" s="19"/>
      <c r="VVZ234" s="16"/>
      <c r="VWA234" s="15"/>
      <c r="VWB234" s="15"/>
      <c r="VWC234" s="15"/>
      <c r="VWD234" s="16"/>
      <c r="VWE234" s="16"/>
      <c r="VWF234" s="16"/>
      <c r="VWG234" s="16"/>
      <c r="VWH234" s="16"/>
      <c r="VWI234" s="15"/>
      <c r="VWJ234" s="15"/>
      <c r="VWK234" s="10"/>
      <c r="VWL234" s="10"/>
      <c r="VWM234" s="19"/>
      <c r="VWN234" s="19"/>
      <c r="VWQ234" s="16"/>
      <c r="VWR234" s="15"/>
      <c r="VWS234" s="15"/>
      <c r="VWT234" s="15"/>
      <c r="VWU234" s="16"/>
      <c r="VWV234" s="16"/>
      <c r="VWW234" s="16"/>
      <c r="VWX234" s="16"/>
      <c r="VWY234" s="16"/>
      <c r="VWZ234" s="15"/>
      <c r="VXA234" s="15"/>
      <c r="VXB234" s="10"/>
      <c r="VXC234" s="10"/>
      <c r="VXD234" s="19"/>
      <c r="VXE234" s="19"/>
      <c r="VXH234" s="16"/>
      <c r="VXI234" s="15"/>
      <c r="VXJ234" s="15"/>
      <c r="VXK234" s="15"/>
      <c r="VXL234" s="16"/>
      <c r="VXM234" s="16"/>
      <c r="VXN234" s="16"/>
      <c r="VXO234" s="16"/>
      <c r="VXP234" s="16"/>
      <c r="VXQ234" s="15"/>
      <c r="VXR234" s="15"/>
      <c r="VXS234" s="10"/>
      <c r="VXT234" s="10"/>
      <c r="VXU234" s="19"/>
      <c r="VXV234" s="19"/>
      <c r="VXY234" s="16"/>
      <c r="VXZ234" s="15"/>
      <c r="VYA234" s="15"/>
      <c r="VYB234" s="15"/>
      <c r="VYC234" s="16"/>
      <c r="VYD234" s="16"/>
      <c r="VYE234" s="16"/>
      <c r="VYF234" s="16"/>
      <c r="VYG234" s="16"/>
      <c r="VYH234" s="15"/>
      <c r="VYI234" s="15"/>
      <c r="VYJ234" s="10"/>
      <c r="VYK234" s="10"/>
      <c r="VYL234" s="19"/>
      <c r="VYM234" s="19"/>
      <c r="VYP234" s="16"/>
      <c r="VYQ234" s="15"/>
      <c r="VYR234" s="15"/>
      <c r="VYS234" s="15"/>
      <c r="VYT234" s="16"/>
      <c r="VYU234" s="16"/>
      <c r="VYV234" s="16"/>
      <c r="VYW234" s="16"/>
      <c r="VYX234" s="16"/>
      <c r="VYY234" s="15"/>
      <c r="VYZ234" s="15"/>
      <c r="VZA234" s="10"/>
      <c r="VZB234" s="10"/>
      <c r="VZC234" s="19"/>
      <c r="VZD234" s="19"/>
      <c r="VZG234" s="16"/>
      <c r="VZH234" s="15"/>
      <c r="VZI234" s="15"/>
      <c r="VZJ234" s="15"/>
      <c r="VZK234" s="16"/>
      <c r="VZL234" s="16"/>
      <c r="VZM234" s="16"/>
      <c r="VZN234" s="16"/>
      <c r="VZO234" s="16"/>
      <c r="VZP234" s="15"/>
      <c r="VZQ234" s="15"/>
      <c r="VZR234" s="10"/>
      <c r="VZS234" s="10"/>
      <c r="VZT234" s="19"/>
      <c r="VZU234" s="19"/>
      <c r="VZX234" s="16"/>
      <c r="VZY234" s="15"/>
      <c r="VZZ234" s="15"/>
      <c r="WAA234" s="15"/>
      <c r="WAB234" s="16"/>
      <c r="WAC234" s="16"/>
      <c r="WAD234" s="16"/>
      <c r="WAE234" s="16"/>
      <c r="WAF234" s="16"/>
      <c r="WAG234" s="15"/>
      <c r="WAH234" s="15"/>
      <c r="WAI234" s="10"/>
      <c r="WAJ234" s="10"/>
      <c r="WAK234" s="19"/>
      <c r="WAL234" s="19"/>
      <c r="WAO234" s="16"/>
      <c r="WAP234" s="15"/>
      <c r="WAQ234" s="15"/>
      <c r="WAR234" s="15"/>
      <c r="WAS234" s="16"/>
      <c r="WAT234" s="16"/>
      <c r="WAU234" s="16"/>
      <c r="WAV234" s="16"/>
      <c r="WAW234" s="16"/>
      <c r="WAX234" s="15"/>
      <c r="WAY234" s="15"/>
      <c r="WAZ234" s="10"/>
      <c r="WBA234" s="10"/>
      <c r="WBB234" s="19"/>
      <c r="WBC234" s="19"/>
      <c r="WBF234" s="16"/>
      <c r="WBG234" s="15"/>
      <c r="WBH234" s="15"/>
      <c r="WBI234" s="15"/>
      <c r="WBJ234" s="16"/>
      <c r="WBK234" s="16"/>
      <c r="WBL234" s="16"/>
      <c r="WBM234" s="16"/>
      <c r="WBN234" s="16"/>
      <c r="WBO234" s="15"/>
      <c r="WBP234" s="15"/>
      <c r="WBQ234" s="10"/>
      <c r="WBR234" s="10"/>
      <c r="WBS234" s="19"/>
      <c r="WBT234" s="19"/>
      <c r="WBW234" s="16"/>
      <c r="WBX234" s="15"/>
      <c r="WBY234" s="15"/>
      <c r="WBZ234" s="15"/>
      <c r="WCA234" s="16"/>
      <c r="WCB234" s="16"/>
      <c r="WCC234" s="16"/>
      <c r="WCD234" s="16"/>
      <c r="WCE234" s="16"/>
      <c r="WCF234" s="15"/>
      <c r="WCG234" s="15"/>
      <c r="WCH234" s="10"/>
      <c r="WCI234" s="10"/>
      <c r="WCJ234" s="19"/>
      <c r="WCK234" s="19"/>
      <c r="WCN234" s="16"/>
      <c r="WCO234" s="15"/>
      <c r="WCP234" s="15"/>
      <c r="WCQ234" s="15"/>
      <c r="WCR234" s="16"/>
      <c r="WCS234" s="16"/>
      <c r="WCT234" s="16"/>
      <c r="WCU234" s="16"/>
      <c r="WCV234" s="16"/>
      <c r="WCW234" s="15"/>
      <c r="WCX234" s="15"/>
      <c r="WCY234" s="10"/>
      <c r="WCZ234" s="10"/>
      <c r="WDA234" s="19"/>
      <c r="WDB234" s="19"/>
      <c r="WDE234" s="16"/>
      <c r="WDF234" s="15"/>
      <c r="WDG234" s="15"/>
      <c r="WDH234" s="15"/>
      <c r="WDI234" s="16"/>
      <c r="WDJ234" s="16"/>
      <c r="WDK234" s="16"/>
      <c r="WDL234" s="16"/>
      <c r="WDM234" s="16"/>
      <c r="WDN234" s="15"/>
      <c r="WDO234" s="15"/>
      <c r="WDP234" s="10"/>
      <c r="WDQ234" s="10"/>
      <c r="WDR234" s="19"/>
      <c r="WDS234" s="19"/>
      <c r="WDV234" s="16"/>
      <c r="WDW234" s="15"/>
      <c r="WDX234" s="15"/>
      <c r="WDY234" s="15"/>
      <c r="WDZ234" s="16"/>
      <c r="WEA234" s="16"/>
      <c r="WEB234" s="16"/>
      <c r="WEC234" s="16"/>
      <c r="WED234" s="16"/>
      <c r="WEE234" s="15"/>
      <c r="WEF234" s="15"/>
      <c r="WEG234" s="10"/>
      <c r="WEH234" s="10"/>
      <c r="WEI234" s="19"/>
      <c r="WEJ234" s="19"/>
      <c r="WEM234" s="16"/>
      <c r="WEN234" s="15"/>
      <c r="WEO234" s="15"/>
      <c r="WEP234" s="15"/>
      <c r="WEQ234" s="16"/>
      <c r="WER234" s="16"/>
      <c r="WES234" s="16"/>
      <c r="WET234" s="16"/>
      <c r="WEU234" s="16"/>
      <c r="WEV234" s="15"/>
      <c r="WEW234" s="15"/>
      <c r="WEX234" s="10"/>
      <c r="WEY234" s="10"/>
      <c r="WEZ234" s="19"/>
      <c r="WFA234" s="19"/>
      <c r="WFD234" s="16"/>
      <c r="WFE234" s="15"/>
      <c r="WFF234" s="15"/>
      <c r="WFG234" s="15"/>
      <c r="WFH234" s="16"/>
      <c r="WFI234" s="16"/>
      <c r="WFJ234" s="16"/>
      <c r="WFK234" s="16"/>
      <c r="WFL234" s="16"/>
      <c r="WFM234" s="15"/>
      <c r="WFN234" s="15"/>
      <c r="WFO234" s="10"/>
      <c r="WFP234" s="10"/>
      <c r="WFQ234" s="19"/>
      <c r="WFR234" s="19"/>
      <c r="WFU234" s="16"/>
      <c r="WFV234" s="15"/>
      <c r="WFW234" s="15"/>
      <c r="WFX234" s="15"/>
      <c r="WFY234" s="16"/>
      <c r="WFZ234" s="16"/>
      <c r="WGA234" s="16"/>
      <c r="WGB234" s="16"/>
      <c r="WGC234" s="16"/>
      <c r="WGD234" s="15"/>
      <c r="WGE234" s="15"/>
      <c r="WGF234" s="10"/>
      <c r="WGG234" s="10"/>
      <c r="WGH234" s="19"/>
      <c r="WGI234" s="19"/>
      <c r="WGL234" s="16"/>
      <c r="WGM234" s="15"/>
      <c r="WGN234" s="15"/>
      <c r="WGO234" s="15"/>
      <c r="WGP234" s="16"/>
      <c r="WGQ234" s="16"/>
      <c r="WGR234" s="16"/>
      <c r="WGS234" s="16"/>
      <c r="WGT234" s="16"/>
      <c r="WGU234" s="15"/>
      <c r="WGV234" s="15"/>
      <c r="WGW234" s="10"/>
      <c r="WGX234" s="10"/>
      <c r="WGY234" s="19"/>
      <c r="WGZ234" s="19"/>
      <c r="WHC234" s="16"/>
      <c r="WHD234" s="15"/>
      <c r="WHE234" s="15"/>
      <c r="WHF234" s="15"/>
      <c r="WHG234" s="16"/>
      <c r="WHH234" s="16"/>
      <c r="WHI234" s="16"/>
      <c r="WHJ234" s="16"/>
      <c r="WHK234" s="16"/>
      <c r="WHL234" s="15"/>
      <c r="WHM234" s="15"/>
      <c r="WHN234" s="10"/>
      <c r="WHO234" s="10"/>
      <c r="WHP234" s="19"/>
      <c r="WHQ234" s="19"/>
      <c r="WHT234" s="16"/>
      <c r="WHU234" s="15"/>
      <c r="WHV234" s="15"/>
      <c r="WHW234" s="15"/>
      <c r="WHX234" s="16"/>
      <c r="WHY234" s="16"/>
      <c r="WHZ234" s="16"/>
      <c r="WIA234" s="16"/>
      <c r="WIB234" s="16"/>
      <c r="WIC234" s="15"/>
      <c r="WID234" s="15"/>
      <c r="WIE234" s="10"/>
      <c r="WIF234" s="10"/>
      <c r="WIG234" s="19"/>
      <c r="WIH234" s="19"/>
      <c r="WIK234" s="16"/>
      <c r="WIL234" s="15"/>
      <c r="WIM234" s="15"/>
      <c r="WIN234" s="15"/>
      <c r="WIO234" s="16"/>
      <c r="WIP234" s="16"/>
      <c r="WIQ234" s="16"/>
      <c r="WIR234" s="16"/>
      <c r="WIS234" s="16"/>
      <c r="WIT234" s="15"/>
      <c r="WIU234" s="15"/>
      <c r="WIV234" s="10"/>
      <c r="WIW234" s="10"/>
      <c r="WIX234" s="19"/>
      <c r="WIY234" s="19"/>
      <c r="WJB234" s="16"/>
      <c r="WJC234" s="15"/>
      <c r="WJD234" s="15"/>
      <c r="WJE234" s="15"/>
      <c r="WJF234" s="16"/>
      <c r="WJG234" s="16"/>
      <c r="WJH234" s="16"/>
      <c r="WJI234" s="16"/>
      <c r="WJJ234" s="16"/>
      <c r="WJK234" s="15"/>
      <c r="WJL234" s="15"/>
      <c r="WJM234" s="10"/>
      <c r="WJN234" s="10"/>
      <c r="WJO234" s="19"/>
      <c r="WJP234" s="19"/>
      <c r="WJS234" s="16"/>
      <c r="WJT234" s="15"/>
      <c r="WJU234" s="15"/>
      <c r="WJV234" s="15"/>
      <c r="WJW234" s="16"/>
      <c r="WJX234" s="16"/>
      <c r="WJY234" s="16"/>
      <c r="WJZ234" s="16"/>
      <c r="WKA234" s="16"/>
      <c r="WKB234" s="15"/>
      <c r="WKC234" s="15"/>
      <c r="WKD234" s="10"/>
      <c r="WKE234" s="10"/>
      <c r="WKF234" s="19"/>
      <c r="WKG234" s="19"/>
      <c r="WKJ234" s="16"/>
      <c r="WKK234" s="15"/>
      <c r="WKL234" s="15"/>
      <c r="WKM234" s="15"/>
      <c r="WKN234" s="16"/>
      <c r="WKO234" s="16"/>
      <c r="WKP234" s="16"/>
      <c r="WKQ234" s="16"/>
      <c r="WKR234" s="16"/>
      <c r="WKS234" s="15"/>
      <c r="WKT234" s="15"/>
      <c r="WKU234" s="10"/>
      <c r="WKV234" s="10"/>
      <c r="WKW234" s="19"/>
      <c r="WKX234" s="19"/>
      <c r="WLA234" s="16"/>
      <c r="WLB234" s="15"/>
      <c r="WLC234" s="15"/>
      <c r="WLD234" s="15"/>
      <c r="WLE234" s="16"/>
      <c r="WLF234" s="16"/>
      <c r="WLG234" s="16"/>
      <c r="WLH234" s="16"/>
      <c r="WLI234" s="16"/>
      <c r="WLJ234" s="15"/>
      <c r="WLK234" s="15"/>
      <c r="WLL234" s="10"/>
      <c r="WLM234" s="10"/>
      <c r="WLN234" s="19"/>
      <c r="WLO234" s="19"/>
      <c r="WLR234" s="16"/>
      <c r="WLS234" s="15"/>
      <c r="WLT234" s="15"/>
      <c r="WLU234" s="15"/>
      <c r="WLV234" s="16"/>
      <c r="WLW234" s="16"/>
      <c r="WLX234" s="16"/>
      <c r="WLY234" s="16"/>
      <c r="WLZ234" s="16"/>
      <c r="WMA234" s="15"/>
      <c r="WMB234" s="15"/>
      <c r="WMC234" s="10"/>
      <c r="WMD234" s="10"/>
      <c r="WME234" s="19"/>
      <c r="WMF234" s="19"/>
      <c r="WMI234" s="16"/>
      <c r="WMJ234" s="15"/>
      <c r="WMK234" s="15"/>
      <c r="WML234" s="15"/>
      <c r="WMM234" s="16"/>
      <c r="WMN234" s="16"/>
      <c r="WMO234" s="16"/>
      <c r="WMP234" s="16"/>
      <c r="WMQ234" s="16"/>
      <c r="WMR234" s="15"/>
      <c r="WMS234" s="15"/>
      <c r="WMT234" s="10"/>
      <c r="WMU234" s="10"/>
      <c r="WMV234" s="19"/>
      <c r="WMW234" s="19"/>
      <c r="WMZ234" s="16"/>
      <c r="WNA234" s="15"/>
      <c r="WNB234" s="15"/>
      <c r="WNC234" s="15"/>
      <c r="WND234" s="16"/>
      <c r="WNE234" s="16"/>
      <c r="WNF234" s="16"/>
      <c r="WNG234" s="16"/>
      <c r="WNH234" s="16"/>
      <c r="WNI234" s="15"/>
      <c r="WNJ234" s="15"/>
      <c r="WNK234" s="10"/>
      <c r="WNL234" s="10"/>
      <c r="WNM234" s="19"/>
      <c r="WNN234" s="19"/>
      <c r="WNQ234" s="16"/>
      <c r="WNR234" s="15"/>
      <c r="WNS234" s="15"/>
      <c r="WNT234" s="15"/>
      <c r="WNU234" s="16"/>
      <c r="WNV234" s="16"/>
      <c r="WNW234" s="16"/>
      <c r="WNX234" s="16"/>
      <c r="WNY234" s="16"/>
      <c r="WNZ234" s="15"/>
      <c r="WOA234" s="15"/>
      <c r="WOB234" s="10"/>
      <c r="WOC234" s="10"/>
      <c r="WOD234" s="19"/>
      <c r="WOE234" s="19"/>
      <c r="WOH234" s="16"/>
      <c r="WOI234" s="15"/>
      <c r="WOJ234" s="15"/>
      <c r="WOK234" s="15"/>
      <c r="WOL234" s="16"/>
      <c r="WOM234" s="16"/>
      <c r="WON234" s="16"/>
      <c r="WOO234" s="16"/>
      <c r="WOP234" s="16"/>
      <c r="WOQ234" s="15"/>
      <c r="WOR234" s="15"/>
      <c r="WOS234" s="10"/>
      <c r="WOT234" s="10"/>
      <c r="WOU234" s="19"/>
      <c r="WOV234" s="19"/>
      <c r="WOY234" s="16"/>
      <c r="WOZ234" s="15"/>
      <c r="WPA234" s="15"/>
      <c r="WPB234" s="15"/>
      <c r="WPC234" s="16"/>
      <c r="WPD234" s="16"/>
      <c r="WPE234" s="16"/>
      <c r="WPF234" s="16"/>
      <c r="WPG234" s="16"/>
      <c r="WPH234" s="15"/>
      <c r="WPI234" s="15"/>
      <c r="WPJ234" s="10"/>
      <c r="WPK234" s="10"/>
      <c r="WPL234" s="19"/>
      <c r="WPM234" s="19"/>
      <c r="WPP234" s="16"/>
      <c r="WPQ234" s="15"/>
      <c r="WPR234" s="15"/>
      <c r="WPS234" s="15"/>
      <c r="WPT234" s="16"/>
      <c r="WPU234" s="16"/>
      <c r="WPV234" s="16"/>
      <c r="WPW234" s="16"/>
      <c r="WPX234" s="16"/>
      <c r="WPY234" s="15"/>
      <c r="WPZ234" s="15"/>
      <c r="WQA234" s="10"/>
      <c r="WQB234" s="10"/>
      <c r="WQC234" s="19"/>
      <c r="WQD234" s="19"/>
      <c r="WQG234" s="16"/>
      <c r="WQH234" s="15"/>
      <c r="WQI234" s="15"/>
      <c r="WQJ234" s="15"/>
      <c r="WQK234" s="16"/>
      <c r="WQL234" s="16"/>
      <c r="WQM234" s="16"/>
      <c r="WQN234" s="16"/>
      <c r="WQO234" s="16"/>
      <c r="WQP234" s="15"/>
      <c r="WQQ234" s="15"/>
      <c r="WQR234" s="10"/>
      <c r="WQS234" s="10"/>
      <c r="WQT234" s="19"/>
      <c r="WQU234" s="19"/>
      <c r="WQX234" s="16"/>
      <c r="WQY234" s="15"/>
      <c r="WQZ234" s="15"/>
      <c r="WRA234" s="15"/>
      <c r="WRB234" s="16"/>
      <c r="WRC234" s="16"/>
      <c r="WRD234" s="16"/>
      <c r="WRE234" s="16"/>
      <c r="WRF234" s="16"/>
      <c r="WRG234" s="15"/>
      <c r="WRH234" s="15"/>
      <c r="WRI234" s="10"/>
      <c r="WRJ234" s="10"/>
      <c r="WRK234" s="19"/>
      <c r="WRL234" s="19"/>
      <c r="WRO234" s="16"/>
      <c r="WRP234" s="15"/>
      <c r="WRQ234" s="15"/>
      <c r="WRR234" s="15"/>
      <c r="WRS234" s="16"/>
      <c r="WRT234" s="16"/>
      <c r="WRU234" s="16"/>
      <c r="WRV234" s="16"/>
      <c r="WRW234" s="16"/>
      <c r="WRX234" s="15"/>
      <c r="WRY234" s="15"/>
      <c r="WRZ234" s="10"/>
      <c r="WSA234" s="10"/>
      <c r="WSB234" s="19"/>
      <c r="WSC234" s="19"/>
      <c r="WSF234" s="16"/>
      <c r="WSG234" s="15"/>
      <c r="WSH234" s="15"/>
      <c r="WSI234" s="15"/>
      <c r="WSJ234" s="16"/>
      <c r="WSK234" s="16"/>
      <c r="WSL234" s="16"/>
      <c r="WSM234" s="16"/>
      <c r="WSN234" s="16"/>
      <c r="WSO234" s="15"/>
      <c r="WSP234" s="15"/>
      <c r="WSQ234" s="10"/>
      <c r="WSR234" s="10"/>
      <c r="WSS234" s="19"/>
      <c r="WST234" s="19"/>
      <c r="WSW234" s="16"/>
      <c r="WSX234" s="15"/>
      <c r="WSY234" s="15"/>
      <c r="WSZ234" s="15"/>
      <c r="WTA234" s="16"/>
      <c r="WTB234" s="16"/>
      <c r="WTC234" s="16"/>
      <c r="WTD234" s="16"/>
      <c r="WTE234" s="16"/>
      <c r="WTF234" s="15"/>
      <c r="WTG234" s="15"/>
      <c r="WTH234" s="10"/>
      <c r="WTI234" s="10"/>
      <c r="WTJ234" s="19"/>
      <c r="WTK234" s="19"/>
      <c r="WTN234" s="16"/>
      <c r="WTO234" s="15"/>
      <c r="WTP234" s="15"/>
      <c r="WTQ234" s="15"/>
      <c r="WTR234" s="16"/>
      <c r="WTS234" s="16"/>
      <c r="WTT234" s="16"/>
      <c r="WTU234" s="16"/>
      <c r="WTV234" s="16"/>
      <c r="WTW234" s="15"/>
      <c r="WTX234" s="15"/>
      <c r="WTY234" s="10"/>
      <c r="WTZ234" s="10"/>
      <c r="WUA234" s="19"/>
      <c r="WUB234" s="19"/>
      <c r="WUE234" s="16"/>
      <c r="WUF234" s="15"/>
      <c r="WUG234" s="15"/>
      <c r="WUH234" s="15"/>
      <c r="WUI234" s="16"/>
      <c r="WUJ234" s="16"/>
      <c r="WUK234" s="16"/>
      <c r="WUL234" s="16"/>
      <c r="WUM234" s="16"/>
      <c r="WUN234" s="15"/>
      <c r="WUO234" s="15"/>
      <c r="WUP234" s="10"/>
      <c r="WUQ234" s="10"/>
      <c r="WUR234" s="19"/>
      <c r="WUS234" s="19"/>
      <c r="WUV234" s="16"/>
      <c r="WUW234" s="15"/>
      <c r="WUX234" s="15"/>
      <c r="WUY234" s="15"/>
      <c r="WUZ234" s="16"/>
      <c r="WVA234" s="16"/>
      <c r="WVB234" s="16"/>
      <c r="WVC234" s="16"/>
      <c r="WVD234" s="16"/>
      <c r="WVE234" s="15"/>
      <c r="WVF234" s="15"/>
      <c r="WVG234" s="10"/>
      <c r="WVH234" s="10"/>
      <c r="WVI234" s="19"/>
      <c r="WVJ234" s="19"/>
      <c r="WVM234" s="16"/>
      <c r="WVN234" s="15"/>
      <c r="WVO234" s="15"/>
      <c r="WVP234" s="15"/>
      <c r="WVQ234" s="16"/>
      <c r="WVR234" s="16"/>
      <c r="WVS234" s="16"/>
      <c r="WVT234" s="16"/>
      <c r="WVU234" s="16"/>
      <c r="WVV234" s="15"/>
      <c r="WVW234" s="15"/>
      <c r="WVX234" s="10"/>
      <c r="WVY234" s="10"/>
      <c r="WVZ234" s="19"/>
      <c r="WWA234" s="19"/>
      <c r="WWD234" s="16"/>
      <c r="WWE234" s="15"/>
      <c r="WWF234" s="15"/>
      <c r="WWG234" s="15"/>
      <c r="WWH234" s="16"/>
      <c r="WWI234" s="16"/>
      <c r="WWJ234" s="16"/>
      <c r="WWK234" s="16"/>
      <c r="WWL234" s="16"/>
      <c r="WWM234" s="15"/>
      <c r="WWN234" s="15"/>
      <c r="WWO234" s="10"/>
      <c r="WWP234" s="10"/>
      <c r="WWQ234" s="19"/>
      <c r="WWR234" s="19"/>
      <c r="WWU234" s="16"/>
      <c r="WWV234" s="15"/>
      <c r="WWW234" s="15"/>
      <c r="WWX234" s="15"/>
      <c r="WWY234" s="16"/>
      <c r="WWZ234" s="16"/>
      <c r="WXA234" s="16"/>
      <c r="WXB234" s="16"/>
      <c r="WXC234" s="16"/>
      <c r="WXD234" s="15"/>
      <c r="WXE234" s="15"/>
      <c r="WXF234" s="10"/>
      <c r="WXG234" s="10"/>
      <c r="WXH234" s="19"/>
      <c r="WXI234" s="19"/>
      <c r="WXL234" s="16"/>
      <c r="WXM234" s="15"/>
      <c r="WXN234" s="15"/>
      <c r="WXO234" s="15"/>
      <c r="WXP234" s="16"/>
      <c r="WXQ234" s="16"/>
      <c r="WXR234" s="16"/>
      <c r="WXS234" s="16"/>
      <c r="WXT234" s="16"/>
      <c r="WXU234" s="15"/>
      <c r="WXV234" s="15"/>
      <c r="WXW234" s="10"/>
      <c r="WXX234" s="10"/>
      <c r="WXY234" s="19"/>
      <c r="WXZ234" s="19"/>
      <c r="WYC234" s="16"/>
      <c r="WYD234" s="15"/>
      <c r="WYE234" s="15"/>
      <c r="WYF234" s="15"/>
      <c r="WYG234" s="16"/>
      <c r="WYH234" s="16"/>
      <c r="WYI234" s="16"/>
      <c r="WYJ234" s="16"/>
      <c r="WYK234" s="16"/>
      <c r="WYL234" s="15"/>
      <c r="WYM234" s="15"/>
      <c r="WYN234" s="10"/>
      <c r="WYO234" s="10"/>
      <c r="WYP234" s="19"/>
      <c r="WYQ234" s="19"/>
      <c r="WYT234" s="16"/>
      <c r="WYU234" s="15"/>
      <c r="WYV234" s="15"/>
      <c r="WYW234" s="15"/>
      <c r="WYX234" s="16"/>
      <c r="WYY234" s="16"/>
      <c r="WYZ234" s="16"/>
      <c r="WZA234" s="16"/>
      <c r="WZB234" s="16"/>
      <c r="WZC234" s="15"/>
      <c r="WZD234" s="15"/>
      <c r="WZE234" s="10"/>
      <c r="WZF234" s="10"/>
      <c r="WZG234" s="19"/>
      <c r="WZH234" s="19"/>
      <c r="WZK234" s="16"/>
      <c r="WZL234" s="15"/>
      <c r="WZM234" s="15"/>
      <c r="WZN234" s="15"/>
      <c r="WZO234" s="16"/>
      <c r="WZP234" s="16"/>
      <c r="WZQ234" s="16"/>
      <c r="WZR234" s="16"/>
      <c r="WZS234" s="16"/>
      <c r="WZT234" s="15"/>
      <c r="WZU234" s="15"/>
      <c r="WZV234" s="10"/>
      <c r="WZW234" s="10"/>
      <c r="WZX234" s="19"/>
      <c r="WZY234" s="19"/>
      <c r="XAB234" s="16"/>
      <c r="XAC234" s="15"/>
      <c r="XAD234" s="15"/>
      <c r="XAE234" s="15"/>
      <c r="XAF234" s="16"/>
      <c r="XAG234" s="16"/>
      <c r="XAH234" s="16"/>
      <c r="XAI234" s="16"/>
      <c r="XAJ234" s="16"/>
      <c r="XAK234" s="15"/>
      <c r="XAL234" s="15"/>
      <c r="XAM234" s="10"/>
      <c r="XAN234" s="10"/>
      <c r="XAO234" s="19"/>
      <c r="XAP234" s="19"/>
      <c r="XAS234" s="16"/>
      <c r="XAT234" s="15"/>
      <c r="XAU234" s="15"/>
      <c r="XAV234" s="15"/>
      <c r="XAW234" s="16"/>
      <c r="XAX234" s="16"/>
      <c r="XAY234" s="16"/>
      <c r="XAZ234" s="16"/>
      <c r="XBA234" s="16"/>
      <c r="XBB234" s="15"/>
      <c r="XBC234" s="15"/>
      <c r="XBD234" s="10"/>
      <c r="XBE234" s="10"/>
      <c r="XBF234" s="19"/>
      <c r="XBG234" s="19"/>
      <c r="XBJ234" s="16"/>
      <c r="XBK234" s="15"/>
      <c r="XBL234" s="15"/>
      <c r="XBM234" s="15"/>
      <c r="XBN234" s="16"/>
      <c r="XBO234" s="16"/>
      <c r="XBP234" s="16"/>
      <c r="XBQ234" s="16"/>
      <c r="XBR234" s="16"/>
      <c r="XBS234" s="15"/>
      <c r="XBT234" s="15"/>
      <c r="XBU234" s="10"/>
      <c r="XBV234" s="10"/>
      <c r="XBW234" s="19"/>
      <c r="XBX234" s="19"/>
      <c r="XCA234" s="16"/>
      <c r="XCB234" s="15"/>
      <c r="XCC234" s="15"/>
      <c r="XCD234" s="15"/>
      <c r="XCE234" s="16"/>
      <c r="XCF234" s="16"/>
      <c r="XCG234" s="16"/>
      <c r="XCH234" s="16"/>
      <c r="XCI234" s="16"/>
      <c r="XCJ234" s="15"/>
      <c r="XCK234" s="15"/>
      <c r="XCL234" s="10"/>
      <c r="XCM234" s="10"/>
      <c r="XCN234" s="19"/>
      <c r="XCO234" s="19"/>
      <c r="XCR234" s="16"/>
      <c r="XCS234" s="15"/>
      <c r="XCT234" s="15"/>
      <c r="XCU234" s="15"/>
      <c r="XCV234" s="16"/>
      <c r="XCW234" s="16"/>
      <c r="XCX234" s="16"/>
      <c r="XCY234" s="16"/>
      <c r="XCZ234" s="16"/>
      <c r="XDA234" s="15"/>
      <c r="XDB234" s="15"/>
      <c r="XDC234" s="10"/>
      <c r="XDD234" s="10"/>
      <c r="XDE234" s="19"/>
      <c r="XDF234" s="19"/>
      <c r="XDI234" s="16"/>
      <c r="XDJ234" s="15"/>
      <c r="XDK234" s="15"/>
      <c r="XDL234" s="15"/>
      <c r="XDM234" s="16"/>
      <c r="XDN234" s="16"/>
      <c r="XDO234" s="16"/>
      <c r="XDP234" s="16"/>
      <c r="XDQ234" s="16"/>
      <c r="XDR234" s="15"/>
      <c r="XDS234" s="15"/>
      <c r="XDT234" s="10"/>
      <c r="XDU234" s="10"/>
      <c r="XDV234" s="19"/>
      <c r="XDW234" s="19"/>
      <c r="XDZ234" s="16"/>
      <c r="XEA234" s="15"/>
      <c r="XEB234" s="15"/>
      <c r="XEC234" s="15"/>
      <c r="XED234" s="16"/>
      <c r="XEE234" s="16"/>
      <c r="XEF234" s="16"/>
      <c r="XEG234" s="16"/>
      <c r="XEH234" s="16"/>
      <c r="XEI234" s="15"/>
      <c r="XEJ234" s="15"/>
      <c r="XEK234" s="10"/>
      <c r="XEL234" s="10"/>
      <c r="XEM234" s="19"/>
      <c r="XEN234" s="19"/>
      <c r="XEQ234" s="16"/>
      <c r="XER234" s="15"/>
      <c r="XES234" s="15"/>
      <c r="XET234" s="15"/>
      <c r="XEU234" s="16"/>
      <c r="XEV234" s="16"/>
      <c r="XEW234" s="16"/>
      <c r="XEX234" s="16"/>
      <c r="XEY234" s="16"/>
      <c r="XEZ234" s="15"/>
      <c r="XFA234" s="15"/>
      <c r="XFB234" s="10"/>
      <c r="XFC234" s="10"/>
      <c r="XFD234" s="19"/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1072</v>
      </c>
      <c r="E235" s="32" t="s">
        <v>166</v>
      </c>
      <c r="F235" s="32" t="s">
        <v>656</v>
      </c>
      <c r="G235" s="32" t="s">
        <v>178</v>
      </c>
      <c r="H235" s="32" t="s">
        <v>352</v>
      </c>
      <c r="I235" s="31" t="s">
        <v>379</v>
      </c>
      <c r="J235" s="31">
        <v>10</v>
      </c>
      <c r="K235" s="33" t="s">
        <v>718</v>
      </c>
      <c r="L235" s="33" t="s">
        <v>700</v>
      </c>
      <c r="M235" s="34" t="s">
        <v>703</v>
      </c>
      <c r="N235" s="34" t="s">
        <v>1734</v>
      </c>
      <c r="O235" s="35">
        <v>1</v>
      </c>
      <c r="P235" s="35"/>
      <c r="Q235" s="32"/>
      <c r="S235" s="1">
        <f t="shared" si="103"/>
        <v>0</v>
      </c>
      <c r="T235" s="1">
        <f t="shared" si="104"/>
        <v>0</v>
      </c>
      <c r="U235" s="1">
        <f t="shared" si="105"/>
        <v>0</v>
      </c>
      <c r="V235" s="1">
        <f t="shared" si="106"/>
        <v>0</v>
      </c>
      <c r="W235" s="1">
        <f t="shared" si="107"/>
        <v>0</v>
      </c>
      <c r="X235" s="1">
        <f t="shared" si="108"/>
        <v>0</v>
      </c>
      <c r="Y235" s="1">
        <f t="shared" si="109"/>
        <v>0</v>
      </c>
      <c r="Z235" s="1">
        <f t="shared" si="110"/>
        <v>0</v>
      </c>
      <c r="AA235" s="1">
        <f t="shared" si="111"/>
        <v>0</v>
      </c>
      <c r="AB235" s="1">
        <f t="shared" si="112"/>
        <v>1</v>
      </c>
      <c r="AD235" s="1">
        <f t="shared" si="113"/>
        <v>0</v>
      </c>
      <c r="AE235" s="1">
        <f t="shared" si="114"/>
        <v>1</v>
      </c>
      <c r="AF235" s="1">
        <f t="shared" si="99"/>
        <v>0</v>
      </c>
      <c r="AG235" s="1">
        <f t="shared" si="100"/>
        <v>1</v>
      </c>
      <c r="AH235" s="1">
        <f t="shared" si="101"/>
        <v>0</v>
      </c>
      <c r="AI235" s="1">
        <f t="shared" si="102"/>
        <v>1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1213</v>
      </c>
      <c r="E236" s="32" t="s">
        <v>164</v>
      </c>
      <c r="F236" s="32" t="s">
        <v>1214</v>
      </c>
      <c r="G236" s="32" t="s">
        <v>1216</v>
      </c>
      <c r="H236" s="32" t="s">
        <v>352</v>
      </c>
      <c r="I236" s="31" t="s">
        <v>1215</v>
      </c>
      <c r="J236" s="31">
        <v>99</v>
      </c>
      <c r="K236" s="33" t="s">
        <v>718</v>
      </c>
      <c r="L236" s="33" t="s">
        <v>689</v>
      </c>
      <c r="M236" s="34" t="s">
        <v>1385</v>
      </c>
      <c r="N236" s="34" t="s">
        <v>1727</v>
      </c>
      <c r="O236" s="35">
        <v>1</v>
      </c>
      <c r="P236" s="35"/>
      <c r="Q236" s="32"/>
      <c r="R236" s="15"/>
      <c r="S236" s="1">
        <f t="shared" si="103"/>
        <v>0</v>
      </c>
      <c r="T236" s="1">
        <f t="shared" si="104"/>
        <v>0</v>
      </c>
      <c r="U236" s="1">
        <f t="shared" si="105"/>
        <v>0</v>
      </c>
      <c r="V236" s="1">
        <f t="shared" si="106"/>
        <v>0</v>
      </c>
      <c r="W236" s="1">
        <f t="shared" si="107"/>
        <v>0</v>
      </c>
      <c r="X236" s="1">
        <f t="shared" si="108"/>
        <v>0</v>
      </c>
      <c r="Y236" s="1">
        <f t="shared" si="109"/>
        <v>0</v>
      </c>
      <c r="Z236" s="1">
        <f t="shared" si="110"/>
        <v>0</v>
      </c>
      <c r="AA236" s="1">
        <f t="shared" si="111"/>
        <v>0</v>
      </c>
      <c r="AB236" s="1">
        <f t="shared" si="112"/>
        <v>0</v>
      </c>
      <c r="AD236" s="1">
        <f t="shared" si="113"/>
        <v>0</v>
      </c>
      <c r="AE236" s="1">
        <f t="shared" si="114"/>
        <v>1</v>
      </c>
      <c r="AF236" s="1">
        <f t="shared" si="99"/>
        <v>0</v>
      </c>
      <c r="AG236" s="1">
        <f t="shared" si="100"/>
        <v>1</v>
      </c>
      <c r="AH236" s="1">
        <f t="shared" si="101"/>
        <v>0</v>
      </c>
      <c r="AI236" s="1">
        <f t="shared" si="102"/>
        <v>1</v>
      </c>
      <c r="AJ236" s="15"/>
      <c r="AK236" s="15"/>
      <c r="AL236" s="15"/>
      <c r="AM236" s="15"/>
      <c r="AN236" s="15"/>
      <c r="AO236" s="15"/>
      <c r="AP236" s="15"/>
      <c r="AQ236" s="15"/>
      <c r="AR236" s="15"/>
      <c r="AS236" s="10"/>
      <c r="AT236" s="10"/>
      <c r="AU236" s="21"/>
      <c r="AV236" s="21"/>
      <c r="AY236" s="21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0"/>
      <c r="BK236" s="10"/>
      <c r="BL236" s="21"/>
      <c r="BM236" s="21"/>
      <c r="BP236" s="21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0"/>
      <c r="CB236" s="10"/>
      <c r="CC236" s="21"/>
      <c r="CD236" s="21"/>
      <c r="CG236" s="21"/>
      <c r="CH236" s="15"/>
      <c r="CI236" s="15"/>
      <c r="CJ236" s="15"/>
      <c r="CK236" s="15"/>
      <c r="CL236" s="15"/>
      <c r="CM236" s="15"/>
      <c r="CN236" s="15"/>
      <c r="CO236" s="15"/>
      <c r="CP236" s="15"/>
      <c r="CQ236" s="15"/>
      <c r="CR236" s="10"/>
      <c r="CS236" s="10"/>
      <c r="CT236" s="21"/>
      <c r="CU236" s="21"/>
      <c r="CX236" s="21"/>
      <c r="CY236" s="15"/>
      <c r="CZ236" s="15"/>
      <c r="DA236" s="15"/>
      <c r="DB236" s="15"/>
      <c r="DC236" s="15"/>
      <c r="DD236" s="15"/>
      <c r="DE236" s="15"/>
      <c r="DF236" s="15"/>
      <c r="DG236" s="15"/>
      <c r="DH236" s="15"/>
      <c r="DI236" s="10"/>
      <c r="DJ236" s="10"/>
      <c r="DK236" s="21"/>
      <c r="DL236" s="21"/>
      <c r="DO236" s="21"/>
      <c r="DP236" s="15"/>
      <c r="DQ236" s="15"/>
      <c r="DR236" s="15"/>
      <c r="DS236" s="15"/>
      <c r="DT236" s="15"/>
      <c r="DU236" s="15"/>
      <c r="DV236" s="15"/>
      <c r="DW236" s="15"/>
      <c r="DX236" s="15"/>
      <c r="DY236" s="15"/>
      <c r="DZ236" s="10"/>
      <c r="EA236" s="10"/>
      <c r="EB236" s="21"/>
      <c r="EC236" s="21"/>
      <c r="EF236" s="21"/>
      <c r="EG236" s="15"/>
      <c r="EH236" s="15"/>
      <c r="EI236" s="15"/>
      <c r="EJ236" s="15"/>
      <c r="EK236" s="15"/>
      <c r="EL236" s="15"/>
      <c r="EM236" s="15"/>
      <c r="EN236" s="15"/>
      <c r="EO236" s="15"/>
      <c r="EP236" s="15"/>
      <c r="EQ236" s="10"/>
      <c r="ER236" s="10"/>
      <c r="ES236" s="21"/>
      <c r="ET236" s="21"/>
      <c r="EW236" s="21"/>
      <c r="EX236" s="15"/>
      <c r="EY236" s="15"/>
      <c r="EZ236" s="15"/>
      <c r="FA236" s="15"/>
      <c r="FB236" s="15"/>
      <c r="FC236" s="15"/>
      <c r="FD236" s="15"/>
      <c r="FE236" s="15"/>
      <c r="FF236" s="15"/>
      <c r="FG236" s="15"/>
      <c r="FH236" s="10"/>
      <c r="FI236" s="10"/>
      <c r="FJ236" s="21"/>
      <c r="FK236" s="21"/>
      <c r="FN236" s="21"/>
      <c r="FO236" s="15"/>
      <c r="FP236" s="15"/>
      <c r="FQ236" s="15"/>
      <c r="FR236" s="15"/>
      <c r="FS236" s="15"/>
      <c r="FT236" s="15"/>
      <c r="FU236" s="15"/>
      <c r="FV236" s="15"/>
      <c r="FW236" s="15"/>
      <c r="FX236" s="15"/>
      <c r="FY236" s="10"/>
      <c r="FZ236" s="10"/>
      <c r="GA236" s="21"/>
      <c r="GB236" s="21"/>
      <c r="GE236" s="21"/>
      <c r="GF236" s="15"/>
      <c r="GG236" s="15"/>
      <c r="GH236" s="15"/>
      <c r="GI236" s="15"/>
      <c r="GJ236" s="15"/>
      <c r="GK236" s="15"/>
      <c r="GL236" s="15"/>
      <c r="GM236" s="15"/>
      <c r="GN236" s="15"/>
      <c r="GO236" s="15"/>
      <c r="GP236" s="10"/>
      <c r="GQ236" s="10"/>
      <c r="GR236" s="21"/>
      <c r="GS236" s="21"/>
      <c r="GV236" s="21"/>
      <c r="GW236" s="15"/>
      <c r="GX236" s="15"/>
      <c r="GY236" s="15"/>
      <c r="GZ236" s="15"/>
      <c r="HA236" s="15"/>
      <c r="HB236" s="15"/>
      <c r="HC236" s="15"/>
      <c r="HD236" s="15"/>
      <c r="HE236" s="15"/>
      <c r="HF236" s="15"/>
      <c r="HG236" s="10"/>
      <c r="HH236" s="10"/>
      <c r="HI236" s="21"/>
      <c r="HJ236" s="21"/>
      <c r="HM236" s="21"/>
      <c r="HN236" s="15"/>
      <c r="HO236" s="15"/>
      <c r="HP236" s="15"/>
      <c r="HQ236" s="15"/>
      <c r="HR236" s="15"/>
      <c r="HS236" s="15"/>
      <c r="HT236" s="15"/>
      <c r="HU236" s="15"/>
      <c r="HV236" s="15"/>
      <c r="HW236" s="15"/>
      <c r="HX236" s="10"/>
      <c r="HY236" s="10"/>
      <c r="HZ236" s="21"/>
      <c r="IA236" s="21"/>
      <c r="ID236" s="21"/>
      <c r="IE236" s="15"/>
      <c r="IF236" s="15"/>
      <c r="IG236" s="15"/>
      <c r="IH236" s="15"/>
      <c r="II236" s="15"/>
      <c r="IJ236" s="15"/>
      <c r="IK236" s="15"/>
      <c r="IL236" s="15"/>
      <c r="IM236" s="15"/>
      <c r="IN236" s="15"/>
      <c r="IO236" s="10"/>
      <c r="IP236" s="10"/>
      <c r="IQ236" s="21"/>
      <c r="IR236" s="21"/>
      <c r="IU236" s="21"/>
      <c r="IV236" s="15"/>
      <c r="IW236" s="15"/>
      <c r="IX236" s="15"/>
      <c r="IY236" s="15"/>
      <c r="IZ236" s="15"/>
      <c r="JA236" s="15"/>
      <c r="JB236" s="15"/>
      <c r="JC236" s="15"/>
      <c r="JD236" s="15"/>
      <c r="JE236" s="15"/>
      <c r="JF236" s="10"/>
      <c r="JG236" s="10"/>
      <c r="JH236" s="21"/>
      <c r="JI236" s="21"/>
      <c r="JL236" s="21"/>
      <c r="JM236" s="15"/>
      <c r="JN236" s="15"/>
      <c r="JO236" s="15"/>
      <c r="JP236" s="15"/>
      <c r="JQ236" s="15"/>
      <c r="JR236" s="15"/>
      <c r="JS236" s="15"/>
      <c r="JT236" s="15"/>
      <c r="JU236" s="15"/>
      <c r="JV236" s="15"/>
      <c r="JW236" s="10"/>
      <c r="JX236" s="10"/>
      <c r="JY236" s="21"/>
      <c r="JZ236" s="21"/>
      <c r="KC236" s="21"/>
      <c r="KD236" s="15"/>
      <c r="KE236" s="15"/>
      <c r="KF236" s="15"/>
      <c r="KG236" s="15"/>
      <c r="KH236" s="15"/>
      <c r="KI236" s="15"/>
      <c r="KJ236" s="15"/>
      <c r="KK236" s="15"/>
      <c r="KL236" s="15"/>
      <c r="KM236" s="15"/>
      <c r="KN236" s="10"/>
      <c r="KO236" s="10"/>
      <c r="KP236" s="21"/>
      <c r="KQ236" s="21"/>
      <c r="KT236" s="21"/>
      <c r="KU236" s="15"/>
      <c r="KV236" s="15"/>
      <c r="KW236" s="15"/>
      <c r="KX236" s="15"/>
      <c r="KY236" s="15"/>
      <c r="KZ236" s="15"/>
      <c r="LA236" s="15"/>
      <c r="LB236" s="15"/>
      <c r="LC236" s="15"/>
      <c r="LD236" s="15"/>
      <c r="LE236" s="10"/>
      <c r="LF236" s="10"/>
      <c r="LG236" s="21"/>
      <c r="LH236" s="21"/>
      <c r="LK236" s="21"/>
      <c r="LL236" s="15"/>
      <c r="LM236" s="15"/>
      <c r="LN236" s="15"/>
      <c r="LO236" s="15"/>
      <c r="LP236" s="15"/>
      <c r="LQ236" s="15"/>
      <c r="LR236" s="15"/>
      <c r="LS236" s="15"/>
      <c r="LT236" s="15"/>
      <c r="LU236" s="15"/>
      <c r="LV236" s="10"/>
      <c r="LW236" s="10"/>
      <c r="LX236" s="21"/>
      <c r="LY236" s="21"/>
      <c r="MB236" s="21"/>
      <c r="MC236" s="15"/>
      <c r="MD236" s="15"/>
      <c r="ME236" s="15"/>
      <c r="MF236" s="15"/>
      <c r="MG236" s="15"/>
      <c r="MH236" s="15"/>
      <c r="MI236" s="15"/>
      <c r="MJ236" s="15"/>
      <c r="MK236" s="15"/>
      <c r="ML236" s="15"/>
      <c r="MM236" s="10"/>
      <c r="MN236" s="10"/>
      <c r="MO236" s="21"/>
      <c r="MP236" s="21"/>
      <c r="MS236" s="21"/>
      <c r="MT236" s="15"/>
      <c r="MU236" s="15"/>
      <c r="MV236" s="15"/>
      <c r="MW236" s="15"/>
      <c r="MX236" s="15"/>
      <c r="MY236" s="15"/>
      <c r="MZ236" s="15"/>
      <c r="NA236" s="15"/>
      <c r="NB236" s="15"/>
      <c r="NC236" s="15"/>
      <c r="ND236" s="10"/>
      <c r="NE236" s="10"/>
      <c r="NF236" s="21"/>
      <c r="NG236" s="21"/>
      <c r="NJ236" s="21"/>
      <c r="NK236" s="15"/>
      <c r="NL236" s="15"/>
      <c r="NM236" s="15"/>
      <c r="NN236" s="15"/>
      <c r="NO236" s="15"/>
      <c r="NP236" s="15"/>
      <c r="NQ236" s="15"/>
      <c r="NR236" s="15"/>
      <c r="NS236" s="15"/>
      <c r="NT236" s="15"/>
      <c r="NU236" s="10"/>
      <c r="NV236" s="10"/>
      <c r="NW236" s="21"/>
      <c r="NX236" s="21"/>
      <c r="OA236" s="21"/>
      <c r="OB236" s="15"/>
      <c r="OC236" s="15"/>
      <c r="OD236" s="15"/>
      <c r="OE236" s="15"/>
      <c r="OF236" s="15"/>
      <c r="OG236" s="15"/>
      <c r="OH236" s="15"/>
      <c r="OI236" s="15"/>
      <c r="OJ236" s="15"/>
      <c r="OK236" s="15"/>
      <c r="OL236" s="10"/>
      <c r="OM236" s="10"/>
      <c r="ON236" s="21"/>
      <c r="OO236" s="21"/>
      <c r="OR236" s="21"/>
      <c r="OS236" s="15"/>
      <c r="OT236" s="15"/>
      <c r="OU236" s="15"/>
      <c r="OV236" s="15"/>
      <c r="OW236" s="15"/>
      <c r="OX236" s="15"/>
      <c r="OY236" s="15"/>
      <c r="OZ236" s="15"/>
      <c r="PA236" s="15"/>
      <c r="PB236" s="15"/>
      <c r="PC236" s="10"/>
      <c r="PD236" s="10"/>
      <c r="PE236" s="21"/>
      <c r="PF236" s="21"/>
      <c r="PI236" s="21"/>
      <c r="PJ236" s="15"/>
      <c r="PK236" s="15"/>
      <c r="PL236" s="15"/>
      <c r="PM236" s="15"/>
      <c r="PN236" s="15"/>
      <c r="PO236" s="15"/>
      <c r="PP236" s="15"/>
      <c r="PQ236" s="15"/>
      <c r="PR236" s="15"/>
      <c r="PS236" s="15"/>
      <c r="PT236" s="10"/>
      <c r="PU236" s="10"/>
      <c r="PV236" s="21"/>
      <c r="PW236" s="21"/>
      <c r="PZ236" s="21"/>
      <c r="QA236" s="15"/>
      <c r="QB236" s="15"/>
      <c r="QC236" s="15"/>
      <c r="QD236" s="15"/>
      <c r="QE236" s="15"/>
      <c r="QF236" s="15"/>
      <c r="QG236" s="15"/>
      <c r="QH236" s="15"/>
      <c r="QI236" s="15"/>
      <c r="QJ236" s="15"/>
      <c r="QK236" s="10"/>
      <c r="QL236" s="10"/>
      <c r="QM236" s="21"/>
      <c r="QN236" s="21"/>
      <c r="QQ236" s="21"/>
      <c r="QR236" s="15"/>
      <c r="QS236" s="15"/>
      <c r="QT236" s="15"/>
      <c r="QU236" s="15"/>
      <c r="QV236" s="15"/>
      <c r="QW236" s="15"/>
      <c r="QX236" s="15"/>
      <c r="QY236" s="15"/>
      <c r="QZ236" s="15"/>
      <c r="RA236" s="15"/>
      <c r="RB236" s="10"/>
      <c r="RC236" s="10"/>
      <c r="RD236" s="21"/>
      <c r="RE236" s="21"/>
      <c r="RH236" s="21"/>
      <c r="RI236" s="15"/>
      <c r="RJ236" s="15"/>
      <c r="RK236" s="15"/>
      <c r="RL236" s="15"/>
      <c r="RM236" s="15"/>
      <c r="RN236" s="15"/>
      <c r="RO236" s="15"/>
      <c r="RP236" s="15"/>
      <c r="RQ236" s="15"/>
      <c r="RR236" s="15"/>
      <c r="RS236" s="10"/>
      <c r="RT236" s="10"/>
      <c r="RU236" s="21"/>
      <c r="RV236" s="21"/>
      <c r="RY236" s="21"/>
      <c r="RZ236" s="15"/>
      <c r="SA236" s="15"/>
      <c r="SB236" s="15"/>
      <c r="SC236" s="15"/>
      <c r="SD236" s="15"/>
      <c r="SE236" s="15"/>
      <c r="SF236" s="15"/>
      <c r="SG236" s="15"/>
      <c r="SH236" s="15"/>
      <c r="SI236" s="15"/>
      <c r="SJ236" s="10"/>
      <c r="SK236" s="10"/>
      <c r="SL236" s="21"/>
      <c r="SM236" s="21"/>
      <c r="SP236" s="21"/>
      <c r="SQ236" s="15"/>
      <c r="SR236" s="15"/>
      <c r="SS236" s="15"/>
      <c r="ST236" s="15"/>
      <c r="SU236" s="15"/>
      <c r="SV236" s="15"/>
      <c r="SW236" s="15"/>
      <c r="SX236" s="15"/>
      <c r="SY236" s="15"/>
      <c r="SZ236" s="15"/>
      <c r="TA236" s="10"/>
      <c r="TB236" s="10"/>
      <c r="TC236" s="21"/>
      <c r="TD236" s="21"/>
      <c r="TG236" s="21"/>
      <c r="TH236" s="15"/>
      <c r="TI236" s="15"/>
      <c r="TJ236" s="15"/>
      <c r="TK236" s="15"/>
      <c r="TL236" s="15"/>
      <c r="TM236" s="15"/>
      <c r="TN236" s="15"/>
      <c r="TO236" s="15"/>
      <c r="TP236" s="15"/>
      <c r="TQ236" s="15"/>
      <c r="TR236" s="10"/>
      <c r="TS236" s="10"/>
      <c r="TT236" s="21"/>
      <c r="TU236" s="21"/>
      <c r="TX236" s="21"/>
      <c r="TY236" s="15"/>
      <c r="TZ236" s="15"/>
      <c r="UA236" s="15"/>
      <c r="UB236" s="15"/>
      <c r="UC236" s="15"/>
      <c r="UD236" s="15"/>
      <c r="UE236" s="15"/>
      <c r="UF236" s="15"/>
      <c r="UG236" s="15"/>
      <c r="UH236" s="15"/>
      <c r="UI236" s="10"/>
      <c r="UJ236" s="10"/>
      <c r="UK236" s="21"/>
      <c r="UL236" s="21"/>
      <c r="UO236" s="21"/>
      <c r="UP236" s="15"/>
      <c r="UQ236" s="15"/>
      <c r="UR236" s="15"/>
      <c r="US236" s="15"/>
      <c r="UT236" s="15"/>
      <c r="UU236" s="15"/>
      <c r="UV236" s="15"/>
      <c r="UW236" s="15"/>
      <c r="UX236" s="15"/>
      <c r="UY236" s="15"/>
      <c r="UZ236" s="10"/>
      <c r="VA236" s="10"/>
      <c r="VB236" s="21"/>
      <c r="VC236" s="21"/>
      <c r="VF236" s="21"/>
      <c r="VG236" s="15"/>
      <c r="VH236" s="15"/>
      <c r="VI236" s="15"/>
      <c r="VJ236" s="15"/>
      <c r="VK236" s="15"/>
      <c r="VL236" s="15"/>
      <c r="VM236" s="15"/>
      <c r="VN236" s="15"/>
      <c r="VO236" s="15"/>
      <c r="VP236" s="15"/>
      <c r="VQ236" s="10"/>
      <c r="VR236" s="10"/>
      <c r="VS236" s="21"/>
      <c r="VT236" s="21"/>
      <c r="VW236" s="21"/>
      <c r="VX236" s="15"/>
      <c r="VY236" s="15"/>
      <c r="VZ236" s="15"/>
      <c r="WA236" s="15"/>
      <c r="WB236" s="15"/>
      <c r="WC236" s="15"/>
      <c r="WD236" s="15"/>
      <c r="WE236" s="15"/>
      <c r="WF236" s="15"/>
      <c r="WG236" s="15"/>
      <c r="WH236" s="10"/>
      <c r="WI236" s="10"/>
      <c r="WJ236" s="21"/>
      <c r="WK236" s="21"/>
      <c r="WN236" s="21"/>
      <c r="WO236" s="15"/>
      <c r="WP236" s="15"/>
      <c r="WQ236" s="15"/>
      <c r="WR236" s="15"/>
      <c r="WS236" s="15"/>
      <c r="WT236" s="15"/>
      <c r="WU236" s="15"/>
      <c r="WV236" s="15"/>
      <c r="WW236" s="15"/>
      <c r="WX236" s="15"/>
      <c r="WY236" s="10"/>
      <c r="WZ236" s="10"/>
      <c r="XA236" s="21"/>
      <c r="XB236" s="21"/>
      <c r="XE236" s="21"/>
      <c r="XF236" s="15"/>
      <c r="XG236" s="15"/>
      <c r="XH236" s="15"/>
      <c r="XI236" s="15"/>
      <c r="XJ236" s="15"/>
      <c r="XK236" s="15"/>
      <c r="XL236" s="15"/>
      <c r="XM236" s="15"/>
      <c r="XN236" s="15"/>
      <c r="XO236" s="15"/>
      <c r="XP236" s="10"/>
      <c r="XQ236" s="10"/>
      <c r="XR236" s="21"/>
      <c r="XS236" s="21"/>
      <c r="XV236" s="21"/>
      <c r="XW236" s="15"/>
      <c r="XX236" s="15"/>
      <c r="XY236" s="15"/>
      <c r="XZ236" s="15"/>
      <c r="YA236" s="15"/>
      <c r="YB236" s="15"/>
      <c r="YC236" s="15"/>
      <c r="YD236" s="15"/>
      <c r="YE236" s="15"/>
      <c r="YF236" s="15"/>
      <c r="YG236" s="10"/>
      <c r="YH236" s="10"/>
      <c r="YI236" s="21"/>
      <c r="YJ236" s="21"/>
      <c r="YM236" s="21"/>
      <c r="YN236" s="15"/>
      <c r="YO236" s="15"/>
      <c r="YP236" s="15"/>
      <c r="YQ236" s="15"/>
      <c r="YR236" s="15"/>
      <c r="YS236" s="15"/>
      <c r="YT236" s="15"/>
      <c r="YU236" s="15"/>
      <c r="YV236" s="15"/>
      <c r="YW236" s="15"/>
      <c r="YX236" s="10"/>
      <c r="YY236" s="10"/>
      <c r="YZ236" s="21"/>
      <c r="ZA236" s="21"/>
      <c r="ZD236" s="21"/>
      <c r="ZE236" s="15"/>
      <c r="ZF236" s="15"/>
      <c r="ZG236" s="15"/>
      <c r="ZH236" s="15"/>
      <c r="ZI236" s="15"/>
      <c r="ZJ236" s="15"/>
      <c r="ZK236" s="15"/>
      <c r="ZL236" s="15"/>
      <c r="ZM236" s="15"/>
      <c r="ZN236" s="15"/>
      <c r="ZO236" s="10"/>
      <c r="ZP236" s="10"/>
      <c r="ZQ236" s="21"/>
      <c r="ZR236" s="21"/>
      <c r="ZU236" s="21"/>
      <c r="ZV236" s="15"/>
      <c r="ZW236" s="15"/>
      <c r="ZX236" s="15"/>
      <c r="ZY236" s="15"/>
      <c r="ZZ236" s="15"/>
      <c r="AAA236" s="15"/>
      <c r="AAB236" s="15"/>
      <c r="AAC236" s="15"/>
      <c r="AAD236" s="15"/>
      <c r="AAE236" s="15"/>
      <c r="AAF236" s="10"/>
      <c r="AAG236" s="10"/>
      <c r="AAH236" s="21"/>
      <c r="AAI236" s="21"/>
      <c r="AAL236" s="21"/>
      <c r="AAM236" s="15"/>
      <c r="AAN236" s="15"/>
      <c r="AAO236" s="15"/>
      <c r="AAP236" s="15"/>
      <c r="AAQ236" s="15"/>
      <c r="AAR236" s="15"/>
      <c r="AAS236" s="15"/>
      <c r="AAT236" s="15"/>
      <c r="AAU236" s="15"/>
      <c r="AAV236" s="15"/>
      <c r="AAW236" s="10"/>
      <c r="AAX236" s="10"/>
      <c r="AAY236" s="21"/>
      <c r="AAZ236" s="21"/>
      <c r="ABC236" s="21"/>
      <c r="ABD236" s="15"/>
      <c r="ABE236" s="15"/>
      <c r="ABF236" s="15"/>
      <c r="ABG236" s="15"/>
      <c r="ABH236" s="15"/>
      <c r="ABI236" s="15"/>
      <c r="ABJ236" s="15"/>
      <c r="ABK236" s="15"/>
      <c r="ABL236" s="15"/>
      <c r="ABM236" s="15"/>
      <c r="ABN236" s="10"/>
      <c r="ABO236" s="10"/>
      <c r="ABP236" s="21"/>
      <c r="ABQ236" s="21"/>
      <c r="ABT236" s="21"/>
      <c r="ABU236" s="15"/>
      <c r="ABV236" s="15"/>
      <c r="ABW236" s="15"/>
      <c r="ABX236" s="15"/>
      <c r="ABY236" s="15"/>
      <c r="ABZ236" s="15"/>
      <c r="ACA236" s="15"/>
      <c r="ACB236" s="15"/>
      <c r="ACC236" s="15"/>
      <c r="ACD236" s="15"/>
      <c r="ACE236" s="10"/>
      <c r="ACF236" s="10"/>
      <c r="ACG236" s="21"/>
      <c r="ACH236" s="21"/>
      <c r="ACK236" s="21"/>
      <c r="ACL236" s="15"/>
      <c r="ACM236" s="15"/>
      <c r="ACN236" s="15"/>
      <c r="ACO236" s="15"/>
      <c r="ACP236" s="15"/>
      <c r="ACQ236" s="15"/>
      <c r="ACR236" s="15"/>
      <c r="ACS236" s="15"/>
      <c r="ACT236" s="15"/>
      <c r="ACU236" s="15"/>
      <c r="ACV236" s="10"/>
      <c r="ACW236" s="10"/>
      <c r="ACX236" s="21"/>
      <c r="ACY236" s="21"/>
      <c r="ADB236" s="21"/>
      <c r="ADC236" s="15"/>
      <c r="ADD236" s="15"/>
      <c r="ADE236" s="15"/>
      <c r="ADF236" s="15"/>
      <c r="ADG236" s="15"/>
      <c r="ADH236" s="15"/>
      <c r="ADI236" s="15"/>
      <c r="ADJ236" s="15"/>
      <c r="ADK236" s="15"/>
      <c r="ADL236" s="15"/>
      <c r="ADM236" s="10"/>
      <c r="ADN236" s="10"/>
      <c r="ADO236" s="21"/>
      <c r="ADP236" s="21"/>
      <c r="ADS236" s="21"/>
      <c r="ADT236" s="15"/>
      <c r="ADU236" s="15"/>
      <c r="ADV236" s="15"/>
      <c r="ADW236" s="15"/>
      <c r="ADX236" s="15"/>
      <c r="ADY236" s="15"/>
      <c r="ADZ236" s="15"/>
      <c r="AEA236" s="15"/>
      <c r="AEB236" s="15"/>
      <c r="AEC236" s="15"/>
      <c r="AED236" s="10"/>
      <c r="AEE236" s="10"/>
      <c r="AEF236" s="21"/>
      <c r="AEG236" s="21"/>
      <c r="AEJ236" s="21"/>
      <c r="AEK236" s="15"/>
      <c r="AEL236" s="15"/>
      <c r="AEM236" s="15"/>
      <c r="AEN236" s="15"/>
      <c r="AEO236" s="15"/>
      <c r="AEP236" s="15"/>
      <c r="AEQ236" s="15"/>
      <c r="AER236" s="15"/>
      <c r="AES236" s="15"/>
      <c r="AET236" s="15"/>
      <c r="AEU236" s="10"/>
      <c r="AEV236" s="10"/>
      <c r="AEW236" s="21"/>
      <c r="AEX236" s="21"/>
      <c r="AFA236" s="21"/>
      <c r="AFB236" s="15"/>
      <c r="AFC236" s="15"/>
      <c r="AFD236" s="15"/>
      <c r="AFE236" s="15"/>
      <c r="AFF236" s="15"/>
      <c r="AFG236" s="15"/>
      <c r="AFH236" s="15"/>
      <c r="AFI236" s="15"/>
      <c r="AFJ236" s="15"/>
      <c r="AFK236" s="15"/>
      <c r="AFL236" s="10"/>
      <c r="AFM236" s="10"/>
      <c r="AFN236" s="21"/>
      <c r="AFO236" s="21"/>
      <c r="AFR236" s="21"/>
      <c r="AFS236" s="15"/>
      <c r="AFT236" s="15"/>
      <c r="AFU236" s="15"/>
      <c r="AFV236" s="15"/>
      <c r="AFW236" s="15"/>
      <c r="AFX236" s="15"/>
      <c r="AFY236" s="15"/>
      <c r="AFZ236" s="15"/>
      <c r="AGA236" s="15"/>
      <c r="AGB236" s="15"/>
      <c r="AGC236" s="10"/>
      <c r="AGD236" s="10"/>
      <c r="AGE236" s="21"/>
      <c r="AGF236" s="21"/>
      <c r="AGI236" s="21"/>
      <c r="AGJ236" s="15"/>
      <c r="AGK236" s="15"/>
      <c r="AGL236" s="15"/>
      <c r="AGM236" s="15"/>
      <c r="AGN236" s="15"/>
      <c r="AGO236" s="15"/>
      <c r="AGP236" s="15"/>
      <c r="AGQ236" s="15"/>
      <c r="AGR236" s="15"/>
      <c r="AGS236" s="15"/>
      <c r="AGT236" s="10"/>
      <c r="AGU236" s="10"/>
      <c r="AGV236" s="21"/>
      <c r="AGW236" s="21"/>
      <c r="AGZ236" s="21"/>
      <c r="AHA236" s="15"/>
      <c r="AHB236" s="15"/>
      <c r="AHC236" s="15"/>
      <c r="AHD236" s="15"/>
      <c r="AHE236" s="15"/>
      <c r="AHF236" s="15"/>
      <c r="AHG236" s="15"/>
      <c r="AHH236" s="15"/>
      <c r="AHI236" s="15"/>
      <c r="AHJ236" s="15"/>
      <c r="AHK236" s="10"/>
      <c r="AHL236" s="10"/>
      <c r="AHM236" s="21"/>
      <c r="AHN236" s="21"/>
      <c r="AHQ236" s="21"/>
      <c r="AHR236" s="15"/>
      <c r="AHS236" s="15"/>
      <c r="AHT236" s="15"/>
      <c r="AHU236" s="15"/>
      <c r="AHV236" s="15"/>
      <c r="AHW236" s="15"/>
      <c r="AHX236" s="15"/>
      <c r="AHY236" s="15"/>
      <c r="AHZ236" s="15"/>
      <c r="AIA236" s="15"/>
      <c r="AIB236" s="10"/>
      <c r="AIC236" s="10"/>
      <c r="AID236" s="21"/>
      <c r="AIE236" s="21"/>
      <c r="AIH236" s="21"/>
      <c r="AII236" s="15"/>
      <c r="AIJ236" s="15"/>
      <c r="AIK236" s="15"/>
      <c r="AIL236" s="15"/>
      <c r="AIM236" s="15"/>
      <c r="AIN236" s="15"/>
      <c r="AIO236" s="15"/>
      <c r="AIP236" s="15"/>
      <c r="AIQ236" s="15"/>
      <c r="AIR236" s="15"/>
      <c r="AIS236" s="10"/>
      <c r="AIT236" s="10"/>
      <c r="AIU236" s="21"/>
      <c r="AIV236" s="21"/>
      <c r="AIY236" s="21"/>
      <c r="AIZ236" s="15"/>
      <c r="AJA236" s="15"/>
      <c r="AJB236" s="15"/>
      <c r="AJC236" s="15"/>
      <c r="AJD236" s="15"/>
      <c r="AJE236" s="15"/>
      <c r="AJF236" s="15"/>
      <c r="AJG236" s="15"/>
      <c r="AJH236" s="15"/>
      <c r="AJI236" s="15"/>
      <c r="AJJ236" s="10"/>
      <c r="AJK236" s="10"/>
      <c r="AJL236" s="21"/>
      <c r="AJM236" s="21"/>
      <c r="AJP236" s="21"/>
      <c r="AJQ236" s="15"/>
      <c r="AJR236" s="15"/>
      <c r="AJS236" s="15"/>
      <c r="AJT236" s="15"/>
      <c r="AJU236" s="15"/>
      <c r="AJV236" s="15"/>
      <c r="AJW236" s="15"/>
      <c r="AJX236" s="15"/>
      <c r="AJY236" s="15"/>
      <c r="AJZ236" s="15"/>
      <c r="AKA236" s="10"/>
      <c r="AKB236" s="10"/>
      <c r="AKC236" s="21"/>
      <c r="AKD236" s="21"/>
      <c r="AKG236" s="21"/>
      <c r="AKH236" s="15"/>
      <c r="AKI236" s="15"/>
      <c r="AKJ236" s="15"/>
      <c r="AKK236" s="15"/>
      <c r="AKL236" s="15"/>
      <c r="AKM236" s="15"/>
      <c r="AKN236" s="15"/>
      <c r="AKO236" s="15"/>
      <c r="AKP236" s="15"/>
      <c r="AKQ236" s="15"/>
      <c r="AKR236" s="10"/>
      <c r="AKS236" s="10"/>
      <c r="AKT236" s="21"/>
      <c r="AKU236" s="21"/>
      <c r="AKX236" s="21"/>
      <c r="AKY236" s="15"/>
      <c r="AKZ236" s="15"/>
      <c r="ALA236" s="15"/>
      <c r="ALB236" s="15"/>
      <c r="ALC236" s="15"/>
      <c r="ALD236" s="15"/>
      <c r="ALE236" s="15"/>
      <c r="ALF236" s="15"/>
      <c r="ALG236" s="15"/>
      <c r="ALH236" s="15"/>
      <c r="ALI236" s="10"/>
      <c r="ALJ236" s="10"/>
      <c r="ALK236" s="21"/>
      <c r="ALL236" s="21"/>
      <c r="ALO236" s="21"/>
      <c r="ALP236" s="15"/>
      <c r="ALQ236" s="15"/>
      <c r="ALR236" s="15"/>
      <c r="ALS236" s="15"/>
      <c r="ALT236" s="15"/>
      <c r="ALU236" s="15"/>
      <c r="ALV236" s="15"/>
      <c r="ALW236" s="15"/>
      <c r="ALX236" s="15"/>
      <c r="ALY236" s="15"/>
      <c r="ALZ236" s="10"/>
      <c r="AMA236" s="10"/>
      <c r="AMB236" s="21"/>
      <c r="AMC236" s="21"/>
      <c r="AMF236" s="21"/>
      <c r="AMG236" s="15"/>
      <c r="AMH236" s="15"/>
      <c r="AMI236" s="15"/>
      <c r="AMJ236" s="15"/>
      <c r="AMK236" s="15"/>
      <c r="AML236" s="15"/>
      <c r="AMM236" s="15"/>
      <c r="AMN236" s="15"/>
      <c r="AMO236" s="15"/>
      <c r="AMP236" s="15"/>
      <c r="AMQ236" s="10"/>
      <c r="AMR236" s="10"/>
      <c r="AMS236" s="21"/>
      <c r="AMT236" s="21"/>
      <c r="AMW236" s="21"/>
      <c r="AMX236" s="15"/>
      <c r="AMY236" s="15"/>
      <c r="AMZ236" s="15"/>
      <c r="ANA236" s="15"/>
      <c r="ANB236" s="15"/>
      <c r="ANC236" s="15"/>
      <c r="AND236" s="15"/>
      <c r="ANE236" s="15"/>
      <c r="ANF236" s="15"/>
      <c r="ANG236" s="15"/>
      <c r="ANH236" s="10"/>
      <c r="ANI236" s="10"/>
      <c r="ANJ236" s="21"/>
      <c r="ANK236" s="21"/>
      <c r="ANN236" s="21"/>
      <c r="ANO236" s="15"/>
      <c r="ANP236" s="15"/>
      <c r="ANQ236" s="15"/>
      <c r="ANR236" s="15"/>
      <c r="ANS236" s="15"/>
      <c r="ANT236" s="15"/>
      <c r="ANU236" s="15"/>
      <c r="ANV236" s="15"/>
      <c r="ANW236" s="15"/>
      <c r="ANX236" s="15"/>
      <c r="ANY236" s="10"/>
      <c r="ANZ236" s="10"/>
      <c r="AOA236" s="21"/>
      <c r="AOB236" s="21"/>
      <c r="AOE236" s="21"/>
      <c r="AOF236" s="15"/>
      <c r="AOG236" s="15"/>
      <c r="AOH236" s="15"/>
      <c r="AOI236" s="15"/>
      <c r="AOJ236" s="15"/>
      <c r="AOK236" s="15"/>
      <c r="AOL236" s="15"/>
      <c r="AOM236" s="15"/>
      <c r="AON236" s="15"/>
      <c r="AOO236" s="15"/>
      <c r="AOP236" s="10"/>
      <c r="AOQ236" s="10"/>
      <c r="AOR236" s="21"/>
      <c r="AOS236" s="21"/>
      <c r="AOV236" s="21"/>
      <c r="AOW236" s="15"/>
      <c r="AOX236" s="15"/>
      <c r="AOY236" s="15"/>
      <c r="AOZ236" s="15"/>
      <c r="APA236" s="15"/>
      <c r="APB236" s="15"/>
      <c r="APC236" s="15"/>
      <c r="APD236" s="15"/>
      <c r="APE236" s="15"/>
      <c r="APF236" s="15"/>
      <c r="APG236" s="10"/>
      <c r="APH236" s="10"/>
      <c r="API236" s="21"/>
      <c r="APJ236" s="21"/>
      <c r="APM236" s="21"/>
      <c r="APN236" s="15"/>
      <c r="APO236" s="15"/>
      <c r="APP236" s="15"/>
      <c r="APQ236" s="15"/>
      <c r="APR236" s="15"/>
      <c r="APS236" s="15"/>
      <c r="APT236" s="15"/>
      <c r="APU236" s="15"/>
      <c r="APV236" s="15"/>
      <c r="APW236" s="15"/>
      <c r="APX236" s="10"/>
      <c r="APY236" s="10"/>
      <c r="APZ236" s="21"/>
      <c r="AQA236" s="21"/>
      <c r="AQD236" s="21"/>
      <c r="AQE236" s="15"/>
      <c r="AQF236" s="15"/>
      <c r="AQG236" s="15"/>
      <c r="AQH236" s="15"/>
      <c r="AQI236" s="15"/>
      <c r="AQJ236" s="15"/>
      <c r="AQK236" s="15"/>
      <c r="AQL236" s="15"/>
      <c r="AQM236" s="15"/>
      <c r="AQN236" s="15"/>
      <c r="AQO236" s="10"/>
      <c r="AQP236" s="10"/>
      <c r="AQQ236" s="21"/>
      <c r="AQR236" s="21"/>
      <c r="AQU236" s="21"/>
      <c r="AQV236" s="15"/>
      <c r="AQW236" s="15"/>
      <c r="AQX236" s="15"/>
      <c r="AQY236" s="15"/>
      <c r="AQZ236" s="15"/>
      <c r="ARA236" s="15"/>
      <c r="ARB236" s="15"/>
      <c r="ARC236" s="15"/>
      <c r="ARD236" s="15"/>
      <c r="ARE236" s="15"/>
      <c r="ARF236" s="10"/>
      <c r="ARG236" s="10"/>
      <c r="ARH236" s="21"/>
      <c r="ARI236" s="21"/>
      <c r="ARL236" s="21"/>
      <c r="ARM236" s="15"/>
      <c r="ARN236" s="15"/>
      <c r="ARO236" s="15"/>
      <c r="ARP236" s="15"/>
      <c r="ARQ236" s="15"/>
      <c r="ARR236" s="15"/>
      <c r="ARS236" s="15"/>
      <c r="ART236" s="15"/>
      <c r="ARU236" s="15"/>
      <c r="ARV236" s="15"/>
      <c r="ARW236" s="10"/>
      <c r="ARX236" s="10"/>
      <c r="ARY236" s="21"/>
      <c r="ARZ236" s="21"/>
      <c r="ASC236" s="21"/>
      <c r="ASD236" s="15"/>
      <c r="ASE236" s="15"/>
      <c r="ASF236" s="15"/>
      <c r="ASG236" s="15"/>
      <c r="ASH236" s="15"/>
      <c r="ASI236" s="15"/>
      <c r="ASJ236" s="15"/>
      <c r="ASK236" s="15"/>
      <c r="ASL236" s="15"/>
      <c r="ASM236" s="15"/>
      <c r="ASN236" s="10"/>
      <c r="ASO236" s="10"/>
      <c r="ASP236" s="21"/>
      <c r="ASQ236" s="21"/>
      <c r="AST236" s="21"/>
      <c r="ASU236" s="15"/>
      <c r="ASV236" s="15"/>
      <c r="ASW236" s="15"/>
      <c r="ASX236" s="15"/>
      <c r="ASY236" s="15"/>
      <c r="ASZ236" s="15"/>
      <c r="ATA236" s="15"/>
      <c r="ATB236" s="15"/>
      <c r="ATC236" s="15"/>
      <c r="ATD236" s="15"/>
      <c r="ATE236" s="10"/>
      <c r="ATF236" s="10"/>
      <c r="ATG236" s="21"/>
      <c r="ATH236" s="21"/>
      <c r="ATK236" s="21"/>
      <c r="ATL236" s="15"/>
      <c r="ATM236" s="15"/>
      <c r="ATN236" s="15"/>
      <c r="ATO236" s="15"/>
      <c r="ATP236" s="15"/>
      <c r="ATQ236" s="15"/>
      <c r="ATR236" s="15"/>
      <c r="ATS236" s="15"/>
      <c r="ATT236" s="15"/>
      <c r="ATU236" s="15"/>
      <c r="ATV236" s="10"/>
      <c r="ATW236" s="10"/>
      <c r="ATX236" s="21"/>
      <c r="ATY236" s="21"/>
      <c r="AUB236" s="21"/>
      <c r="AUC236" s="15"/>
      <c r="AUD236" s="15"/>
      <c r="AUE236" s="15"/>
      <c r="AUF236" s="15"/>
      <c r="AUG236" s="15"/>
      <c r="AUH236" s="15"/>
      <c r="AUI236" s="15"/>
      <c r="AUJ236" s="15"/>
      <c r="AUK236" s="15"/>
      <c r="AUL236" s="15"/>
      <c r="AUM236" s="10"/>
      <c r="AUN236" s="10"/>
      <c r="AUO236" s="21"/>
      <c r="AUP236" s="21"/>
      <c r="AUS236" s="21"/>
      <c r="AUT236" s="15"/>
      <c r="AUU236" s="15"/>
      <c r="AUV236" s="15"/>
      <c r="AUW236" s="15"/>
      <c r="AUX236" s="15"/>
      <c r="AUY236" s="15"/>
      <c r="AUZ236" s="15"/>
      <c r="AVA236" s="15"/>
      <c r="AVB236" s="15"/>
      <c r="AVC236" s="15"/>
      <c r="AVD236" s="10"/>
      <c r="AVE236" s="10"/>
      <c r="AVF236" s="21"/>
      <c r="AVG236" s="21"/>
      <c r="AVJ236" s="21"/>
      <c r="AVK236" s="15"/>
      <c r="AVL236" s="15"/>
      <c r="AVM236" s="15"/>
      <c r="AVN236" s="15"/>
      <c r="AVO236" s="15"/>
      <c r="AVP236" s="15"/>
      <c r="AVQ236" s="15"/>
      <c r="AVR236" s="15"/>
      <c r="AVS236" s="15"/>
      <c r="AVT236" s="15"/>
      <c r="AVU236" s="10"/>
      <c r="AVV236" s="10"/>
      <c r="AVW236" s="21"/>
      <c r="AVX236" s="21"/>
      <c r="AWA236" s="21"/>
      <c r="AWB236" s="15"/>
      <c r="AWC236" s="15"/>
      <c r="AWD236" s="15"/>
      <c r="AWE236" s="15"/>
      <c r="AWF236" s="15"/>
      <c r="AWG236" s="15"/>
      <c r="AWH236" s="15"/>
      <c r="AWI236" s="15"/>
      <c r="AWJ236" s="15"/>
      <c r="AWK236" s="15"/>
      <c r="AWL236" s="10"/>
      <c r="AWM236" s="10"/>
      <c r="AWN236" s="21"/>
      <c r="AWO236" s="21"/>
      <c r="AWR236" s="21"/>
      <c r="AWS236" s="15"/>
      <c r="AWT236" s="15"/>
      <c r="AWU236" s="15"/>
      <c r="AWV236" s="15"/>
      <c r="AWW236" s="15"/>
      <c r="AWX236" s="15"/>
      <c r="AWY236" s="15"/>
      <c r="AWZ236" s="15"/>
      <c r="AXA236" s="15"/>
      <c r="AXB236" s="15"/>
      <c r="AXC236" s="10"/>
      <c r="AXD236" s="10"/>
      <c r="AXE236" s="21"/>
      <c r="AXF236" s="21"/>
      <c r="AXI236" s="21"/>
      <c r="AXJ236" s="15"/>
      <c r="AXK236" s="15"/>
      <c r="AXL236" s="15"/>
      <c r="AXM236" s="15"/>
      <c r="AXN236" s="15"/>
      <c r="AXO236" s="15"/>
      <c r="AXP236" s="15"/>
      <c r="AXQ236" s="15"/>
      <c r="AXR236" s="15"/>
      <c r="AXS236" s="15"/>
      <c r="AXT236" s="10"/>
      <c r="AXU236" s="10"/>
      <c r="AXV236" s="21"/>
      <c r="AXW236" s="21"/>
      <c r="AXZ236" s="21"/>
      <c r="AYA236" s="15"/>
      <c r="AYB236" s="15"/>
      <c r="AYC236" s="15"/>
      <c r="AYD236" s="15"/>
      <c r="AYE236" s="15"/>
      <c r="AYF236" s="15"/>
      <c r="AYG236" s="15"/>
      <c r="AYH236" s="15"/>
      <c r="AYI236" s="15"/>
      <c r="AYJ236" s="15"/>
      <c r="AYK236" s="10"/>
      <c r="AYL236" s="10"/>
      <c r="AYM236" s="21"/>
      <c r="AYN236" s="21"/>
      <c r="AYQ236" s="21"/>
      <c r="AYR236" s="15"/>
      <c r="AYS236" s="15"/>
      <c r="AYT236" s="15"/>
      <c r="AYU236" s="15"/>
      <c r="AYV236" s="15"/>
      <c r="AYW236" s="15"/>
      <c r="AYX236" s="15"/>
      <c r="AYY236" s="15"/>
      <c r="AYZ236" s="15"/>
      <c r="AZA236" s="15"/>
      <c r="AZB236" s="10"/>
      <c r="AZC236" s="10"/>
      <c r="AZD236" s="21"/>
      <c r="AZE236" s="21"/>
      <c r="AZH236" s="21"/>
      <c r="AZI236" s="15"/>
      <c r="AZJ236" s="15"/>
      <c r="AZK236" s="15"/>
      <c r="AZL236" s="15"/>
      <c r="AZM236" s="15"/>
      <c r="AZN236" s="15"/>
      <c r="AZO236" s="15"/>
      <c r="AZP236" s="15"/>
      <c r="AZQ236" s="15"/>
      <c r="AZR236" s="15"/>
      <c r="AZS236" s="10"/>
      <c r="AZT236" s="10"/>
      <c r="AZU236" s="21"/>
      <c r="AZV236" s="21"/>
      <c r="AZY236" s="21"/>
      <c r="AZZ236" s="15"/>
      <c r="BAA236" s="15"/>
      <c r="BAB236" s="15"/>
      <c r="BAC236" s="15"/>
      <c r="BAD236" s="15"/>
      <c r="BAE236" s="15"/>
      <c r="BAF236" s="15"/>
      <c r="BAG236" s="15"/>
      <c r="BAH236" s="15"/>
      <c r="BAI236" s="15"/>
      <c r="BAJ236" s="10"/>
      <c r="BAK236" s="10"/>
      <c r="BAL236" s="21"/>
      <c r="BAM236" s="21"/>
      <c r="BAP236" s="21"/>
      <c r="BAQ236" s="15"/>
      <c r="BAR236" s="15"/>
      <c r="BAS236" s="15"/>
      <c r="BAT236" s="15"/>
      <c r="BAU236" s="15"/>
      <c r="BAV236" s="15"/>
      <c r="BAW236" s="15"/>
      <c r="BAX236" s="15"/>
      <c r="BAY236" s="15"/>
      <c r="BAZ236" s="15"/>
      <c r="BBA236" s="10"/>
      <c r="BBB236" s="10"/>
      <c r="BBC236" s="21"/>
      <c r="BBD236" s="21"/>
      <c r="BBG236" s="21"/>
      <c r="BBH236" s="15"/>
      <c r="BBI236" s="15"/>
      <c r="BBJ236" s="15"/>
      <c r="BBK236" s="15"/>
      <c r="BBL236" s="15"/>
      <c r="BBM236" s="15"/>
      <c r="BBN236" s="15"/>
      <c r="BBO236" s="15"/>
      <c r="BBP236" s="15"/>
      <c r="BBQ236" s="15"/>
      <c r="BBR236" s="10"/>
      <c r="BBS236" s="10"/>
      <c r="BBT236" s="21"/>
      <c r="BBU236" s="21"/>
      <c r="BBX236" s="21"/>
      <c r="BBY236" s="15"/>
      <c r="BBZ236" s="15"/>
      <c r="BCA236" s="15"/>
      <c r="BCB236" s="15"/>
      <c r="BCC236" s="15"/>
      <c r="BCD236" s="15"/>
      <c r="BCE236" s="15"/>
      <c r="BCF236" s="15"/>
      <c r="BCG236" s="15"/>
      <c r="BCH236" s="15"/>
      <c r="BCI236" s="10"/>
      <c r="BCJ236" s="10"/>
      <c r="BCK236" s="21"/>
      <c r="BCL236" s="21"/>
      <c r="BCO236" s="21"/>
      <c r="BCP236" s="15"/>
      <c r="BCQ236" s="15"/>
      <c r="BCR236" s="15"/>
      <c r="BCS236" s="15"/>
      <c r="BCT236" s="15"/>
      <c r="BCU236" s="15"/>
      <c r="BCV236" s="15"/>
      <c r="BCW236" s="15"/>
      <c r="BCX236" s="15"/>
      <c r="BCY236" s="15"/>
      <c r="BCZ236" s="10"/>
      <c r="BDA236" s="10"/>
      <c r="BDB236" s="21"/>
      <c r="BDC236" s="21"/>
      <c r="BDF236" s="21"/>
      <c r="BDG236" s="15"/>
      <c r="BDH236" s="15"/>
      <c r="BDI236" s="15"/>
      <c r="BDJ236" s="15"/>
      <c r="BDK236" s="15"/>
      <c r="BDL236" s="15"/>
      <c r="BDM236" s="15"/>
      <c r="BDN236" s="15"/>
      <c r="BDO236" s="15"/>
      <c r="BDP236" s="15"/>
      <c r="BDQ236" s="10"/>
      <c r="BDR236" s="10"/>
      <c r="BDS236" s="21"/>
      <c r="BDT236" s="21"/>
      <c r="BDW236" s="21"/>
      <c r="BDX236" s="15"/>
      <c r="BDY236" s="15"/>
      <c r="BDZ236" s="15"/>
      <c r="BEA236" s="15"/>
      <c r="BEB236" s="15"/>
      <c r="BEC236" s="15"/>
      <c r="BED236" s="15"/>
      <c r="BEE236" s="15"/>
      <c r="BEF236" s="15"/>
      <c r="BEG236" s="15"/>
      <c r="BEH236" s="10"/>
      <c r="BEI236" s="10"/>
      <c r="BEJ236" s="21"/>
      <c r="BEK236" s="21"/>
      <c r="BEN236" s="21"/>
      <c r="BEO236" s="15"/>
      <c r="BEP236" s="15"/>
      <c r="BEQ236" s="15"/>
      <c r="BER236" s="15"/>
      <c r="BES236" s="15"/>
      <c r="BET236" s="15"/>
      <c r="BEU236" s="15"/>
      <c r="BEV236" s="15"/>
      <c r="BEW236" s="15"/>
      <c r="BEX236" s="15"/>
      <c r="BEY236" s="10"/>
      <c r="BEZ236" s="10"/>
      <c r="BFA236" s="21"/>
      <c r="BFB236" s="21"/>
      <c r="BFE236" s="21"/>
      <c r="BFF236" s="15"/>
      <c r="BFG236" s="15"/>
      <c r="BFH236" s="15"/>
      <c r="BFI236" s="15"/>
      <c r="BFJ236" s="15"/>
      <c r="BFK236" s="15"/>
      <c r="BFL236" s="15"/>
      <c r="BFM236" s="15"/>
      <c r="BFN236" s="15"/>
      <c r="BFO236" s="15"/>
      <c r="BFP236" s="10"/>
      <c r="BFQ236" s="10"/>
      <c r="BFR236" s="21"/>
      <c r="BFS236" s="21"/>
      <c r="BFV236" s="21"/>
      <c r="BFW236" s="15"/>
      <c r="BFX236" s="15"/>
      <c r="BFY236" s="15"/>
      <c r="BFZ236" s="15"/>
      <c r="BGA236" s="15"/>
      <c r="BGB236" s="15"/>
      <c r="BGC236" s="15"/>
      <c r="BGD236" s="15"/>
      <c r="BGE236" s="15"/>
      <c r="BGF236" s="15"/>
      <c r="BGG236" s="10"/>
      <c r="BGH236" s="10"/>
      <c r="BGI236" s="21"/>
      <c r="BGJ236" s="21"/>
      <c r="BGM236" s="21"/>
      <c r="BGN236" s="15"/>
      <c r="BGO236" s="15"/>
      <c r="BGP236" s="15"/>
      <c r="BGQ236" s="15"/>
      <c r="BGR236" s="15"/>
      <c r="BGS236" s="15"/>
      <c r="BGT236" s="15"/>
      <c r="BGU236" s="15"/>
      <c r="BGV236" s="15"/>
      <c r="BGW236" s="15"/>
      <c r="BGX236" s="10"/>
      <c r="BGY236" s="10"/>
      <c r="BGZ236" s="21"/>
      <c r="BHA236" s="21"/>
      <c r="BHD236" s="21"/>
      <c r="BHE236" s="15"/>
      <c r="BHF236" s="15"/>
      <c r="BHG236" s="15"/>
      <c r="BHH236" s="15"/>
      <c r="BHI236" s="15"/>
      <c r="BHJ236" s="15"/>
      <c r="BHK236" s="15"/>
      <c r="BHL236" s="15"/>
      <c r="BHM236" s="15"/>
      <c r="BHN236" s="15"/>
      <c r="BHO236" s="10"/>
      <c r="BHP236" s="10"/>
      <c r="BHQ236" s="21"/>
      <c r="BHR236" s="21"/>
      <c r="BHU236" s="21"/>
      <c r="BHV236" s="15"/>
      <c r="BHW236" s="15"/>
      <c r="BHX236" s="15"/>
      <c r="BHY236" s="15"/>
      <c r="BHZ236" s="15"/>
      <c r="BIA236" s="15"/>
      <c r="BIB236" s="15"/>
      <c r="BIC236" s="15"/>
      <c r="BID236" s="15"/>
      <c r="BIE236" s="15"/>
      <c r="BIF236" s="10"/>
      <c r="BIG236" s="10"/>
      <c r="BIH236" s="21"/>
      <c r="BII236" s="21"/>
      <c r="BIL236" s="21"/>
      <c r="BIM236" s="15"/>
      <c r="BIN236" s="15"/>
      <c r="BIO236" s="15"/>
      <c r="BIP236" s="15"/>
      <c r="BIQ236" s="15"/>
      <c r="BIR236" s="15"/>
      <c r="BIS236" s="15"/>
      <c r="BIT236" s="15"/>
      <c r="BIU236" s="15"/>
      <c r="BIV236" s="15"/>
      <c r="BIW236" s="10"/>
      <c r="BIX236" s="10"/>
      <c r="BIY236" s="21"/>
      <c r="BIZ236" s="21"/>
      <c r="BJC236" s="21"/>
      <c r="BJD236" s="15"/>
      <c r="BJE236" s="15"/>
      <c r="BJF236" s="15"/>
      <c r="BJG236" s="15"/>
      <c r="BJH236" s="15"/>
      <c r="BJI236" s="15"/>
      <c r="BJJ236" s="15"/>
      <c r="BJK236" s="15"/>
      <c r="BJL236" s="15"/>
      <c r="BJM236" s="15"/>
      <c r="BJN236" s="10"/>
      <c r="BJO236" s="10"/>
      <c r="BJP236" s="21"/>
      <c r="BJQ236" s="21"/>
      <c r="BJT236" s="21"/>
      <c r="BJU236" s="15"/>
      <c r="BJV236" s="15"/>
      <c r="BJW236" s="15"/>
      <c r="BJX236" s="15"/>
      <c r="BJY236" s="15"/>
      <c r="BJZ236" s="15"/>
      <c r="BKA236" s="15"/>
      <c r="BKB236" s="15"/>
      <c r="BKC236" s="15"/>
      <c r="BKD236" s="15"/>
      <c r="BKE236" s="10"/>
      <c r="BKF236" s="10"/>
      <c r="BKG236" s="21"/>
      <c r="BKH236" s="21"/>
      <c r="BKK236" s="21"/>
      <c r="BKL236" s="15"/>
      <c r="BKM236" s="15"/>
      <c r="BKN236" s="15"/>
      <c r="BKO236" s="15"/>
      <c r="BKP236" s="15"/>
      <c r="BKQ236" s="15"/>
      <c r="BKR236" s="15"/>
      <c r="BKS236" s="15"/>
      <c r="BKT236" s="15"/>
      <c r="BKU236" s="15"/>
      <c r="BKV236" s="10"/>
      <c r="BKW236" s="10"/>
      <c r="BKX236" s="21"/>
      <c r="BKY236" s="21"/>
      <c r="BLB236" s="21"/>
      <c r="BLC236" s="15"/>
      <c r="BLD236" s="15"/>
      <c r="BLE236" s="15"/>
      <c r="BLF236" s="15"/>
      <c r="BLG236" s="15"/>
      <c r="BLH236" s="15"/>
      <c r="BLI236" s="15"/>
      <c r="BLJ236" s="15"/>
      <c r="BLK236" s="15"/>
      <c r="BLL236" s="15"/>
      <c r="BLM236" s="10"/>
      <c r="BLN236" s="10"/>
      <c r="BLO236" s="21"/>
      <c r="BLP236" s="21"/>
      <c r="BLS236" s="21"/>
      <c r="BLT236" s="15"/>
      <c r="BLU236" s="15"/>
      <c r="BLV236" s="15"/>
      <c r="BLW236" s="15"/>
      <c r="BLX236" s="15"/>
      <c r="BLY236" s="15"/>
      <c r="BLZ236" s="15"/>
      <c r="BMA236" s="15"/>
      <c r="BMB236" s="15"/>
      <c r="BMC236" s="15"/>
      <c r="BMD236" s="10"/>
      <c r="BME236" s="10"/>
      <c r="BMF236" s="21"/>
      <c r="BMG236" s="21"/>
      <c r="BMJ236" s="21"/>
      <c r="BMK236" s="15"/>
      <c r="BML236" s="15"/>
      <c r="BMM236" s="15"/>
      <c r="BMN236" s="15"/>
      <c r="BMO236" s="15"/>
      <c r="BMP236" s="15"/>
      <c r="BMQ236" s="15"/>
      <c r="BMR236" s="15"/>
      <c r="BMS236" s="15"/>
      <c r="BMT236" s="15"/>
      <c r="BMU236" s="10"/>
      <c r="BMV236" s="10"/>
      <c r="BMW236" s="21"/>
      <c r="BMX236" s="21"/>
      <c r="BNA236" s="21"/>
      <c r="BNB236" s="15"/>
      <c r="BNC236" s="15"/>
      <c r="BND236" s="15"/>
      <c r="BNE236" s="15"/>
      <c r="BNF236" s="15"/>
      <c r="BNG236" s="15"/>
      <c r="BNH236" s="15"/>
      <c r="BNI236" s="15"/>
      <c r="BNJ236" s="15"/>
      <c r="BNK236" s="15"/>
      <c r="BNL236" s="10"/>
      <c r="BNM236" s="10"/>
      <c r="BNN236" s="21"/>
      <c r="BNO236" s="21"/>
      <c r="BNR236" s="21"/>
      <c r="BNS236" s="15"/>
      <c r="BNT236" s="15"/>
      <c r="BNU236" s="15"/>
      <c r="BNV236" s="15"/>
      <c r="BNW236" s="15"/>
      <c r="BNX236" s="15"/>
      <c r="BNY236" s="15"/>
      <c r="BNZ236" s="15"/>
      <c r="BOA236" s="15"/>
      <c r="BOB236" s="15"/>
      <c r="BOC236" s="10"/>
      <c r="BOD236" s="10"/>
      <c r="BOE236" s="21"/>
      <c r="BOF236" s="21"/>
      <c r="BOI236" s="21"/>
      <c r="BOJ236" s="15"/>
      <c r="BOK236" s="15"/>
      <c r="BOL236" s="15"/>
      <c r="BOM236" s="15"/>
      <c r="BON236" s="15"/>
      <c r="BOO236" s="15"/>
      <c r="BOP236" s="15"/>
      <c r="BOQ236" s="15"/>
      <c r="BOR236" s="15"/>
      <c r="BOS236" s="15"/>
      <c r="BOT236" s="10"/>
      <c r="BOU236" s="10"/>
      <c r="BOV236" s="21"/>
      <c r="BOW236" s="21"/>
      <c r="BOZ236" s="21"/>
      <c r="BPA236" s="15"/>
      <c r="BPB236" s="15"/>
      <c r="BPC236" s="15"/>
      <c r="BPD236" s="15"/>
      <c r="BPE236" s="15"/>
      <c r="BPF236" s="15"/>
      <c r="BPG236" s="15"/>
      <c r="BPH236" s="15"/>
      <c r="BPI236" s="15"/>
      <c r="BPJ236" s="15"/>
      <c r="BPK236" s="10"/>
      <c r="BPL236" s="10"/>
      <c r="BPM236" s="21"/>
      <c r="BPN236" s="21"/>
      <c r="BPQ236" s="21"/>
      <c r="BPR236" s="15"/>
      <c r="BPS236" s="15"/>
      <c r="BPT236" s="15"/>
      <c r="BPU236" s="15"/>
      <c r="BPV236" s="15"/>
      <c r="BPW236" s="15"/>
      <c r="BPX236" s="15"/>
      <c r="BPY236" s="15"/>
      <c r="BPZ236" s="15"/>
      <c r="BQA236" s="15"/>
      <c r="BQB236" s="10"/>
      <c r="BQC236" s="10"/>
      <c r="BQD236" s="21"/>
      <c r="BQE236" s="21"/>
      <c r="BQH236" s="21"/>
      <c r="BQI236" s="15"/>
      <c r="BQJ236" s="15"/>
      <c r="BQK236" s="15"/>
      <c r="BQL236" s="15"/>
      <c r="BQM236" s="15"/>
      <c r="BQN236" s="15"/>
      <c r="BQO236" s="15"/>
      <c r="BQP236" s="15"/>
      <c r="BQQ236" s="15"/>
      <c r="BQR236" s="15"/>
      <c r="BQS236" s="10"/>
      <c r="BQT236" s="10"/>
      <c r="BQU236" s="21"/>
      <c r="BQV236" s="21"/>
      <c r="BQY236" s="21"/>
      <c r="BQZ236" s="15"/>
      <c r="BRA236" s="15"/>
      <c r="BRB236" s="15"/>
      <c r="BRC236" s="15"/>
      <c r="BRD236" s="15"/>
      <c r="BRE236" s="15"/>
      <c r="BRF236" s="15"/>
      <c r="BRG236" s="15"/>
      <c r="BRH236" s="15"/>
      <c r="BRI236" s="15"/>
      <c r="BRJ236" s="10"/>
      <c r="BRK236" s="10"/>
      <c r="BRL236" s="21"/>
      <c r="BRM236" s="21"/>
      <c r="BRP236" s="21"/>
      <c r="BRQ236" s="15"/>
      <c r="BRR236" s="15"/>
      <c r="BRS236" s="15"/>
      <c r="BRT236" s="15"/>
      <c r="BRU236" s="15"/>
      <c r="BRV236" s="15"/>
      <c r="BRW236" s="15"/>
      <c r="BRX236" s="15"/>
      <c r="BRY236" s="15"/>
      <c r="BRZ236" s="15"/>
      <c r="BSA236" s="10"/>
      <c r="BSB236" s="10"/>
      <c r="BSC236" s="21"/>
      <c r="BSD236" s="21"/>
      <c r="BSG236" s="21"/>
      <c r="BSH236" s="15"/>
      <c r="BSI236" s="15"/>
      <c r="BSJ236" s="15"/>
      <c r="BSK236" s="15"/>
      <c r="BSL236" s="15"/>
      <c r="BSM236" s="15"/>
      <c r="BSN236" s="15"/>
      <c r="BSO236" s="15"/>
      <c r="BSP236" s="15"/>
      <c r="BSQ236" s="15"/>
      <c r="BSR236" s="10"/>
      <c r="BSS236" s="10"/>
      <c r="BST236" s="21"/>
      <c r="BSU236" s="21"/>
      <c r="BSX236" s="21"/>
      <c r="BSY236" s="15"/>
      <c r="BSZ236" s="15"/>
      <c r="BTA236" s="15"/>
      <c r="BTB236" s="15"/>
      <c r="BTC236" s="15"/>
      <c r="BTD236" s="15"/>
      <c r="BTE236" s="15"/>
      <c r="BTF236" s="15"/>
      <c r="BTG236" s="15"/>
      <c r="BTH236" s="15"/>
      <c r="BTI236" s="10"/>
      <c r="BTJ236" s="10"/>
      <c r="BTK236" s="21"/>
      <c r="BTL236" s="21"/>
      <c r="BTO236" s="21"/>
      <c r="BTP236" s="15"/>
      <c r="BTQ236" s="15"/>
      <c r="BTR236" s="15"/>
      <c r="BTS236" s="15"/>
      <c r="BTT236" s="15"/>
      <c r="BTU236" s="15"/>
      <c r="BTV236" s="15"/>
      <c r="BTW236" s="15"/>
      <c r="BTX236" s="15"/>
      <c r="BTY236" s="15"/>
      <c r="BTZ236" s="10"/>
      <c r="BUA236" s="10"/>
      <c r="BUB236" s="21"/>
      <c r="BUC236" s="21"/>
      <c r="BUF236" s="21"/>
      <c r="BUG236" s="15"/>
      <c r="BUH236" s="15"/>
      <c r="BUI236" s="15"/>
      <c r="BUJ236" s="15"/>
      <c r="BUK236" s="15"/>
      <c r="BUL236" s="15"/>
      <c r="BUM236" s="15"/>
      <c r="BUN236" s="15"/>
      <c r="BUO236" s="15"/>
      <c r="BUP236" s="15"/>
      <c r="BUQ236" s="10"/>
      <c r="BUR236" s="10"/>
      <c r="BUS236" s="21"/>
      <c r="BUT236" s="21"/>
      <c r="BUW236" s="21"/>
      <c r="BUX236" s="15"/>
      <c r="BUY236" s="15"/>
      <c r="BUZ236" s="15"/>
      <c r="BVA236" s="15"/>
      <c r="BVB236" s="15"/>
      <c r="BVC236" s="15"/>
      <c r="BVD236" s="15"/>
      <c r="BVE236" s="15"/>
      <c r="BVF236" s="15"/>
      <c r="BVG236" s="15"/>
      <c r="BVH236" s="10"/>
      <c r="BVI236" s="10"/>
      <c r="BVJ236" s="21"/>
      <c r="BVK236" s="21"/>
      <c r="BVN236" s="21"/>
      <c r="BVO236" s="15"/>
      <c r="BVP236" s="15"/>
      <c r="BVQ236" s="15"/>
      <c r="BVR236" s="15"/>
      <c r="BVS236" s="15"/>
      <c r="BVT236" s="15"/>
      <c r="BVU236" s="15"/>
      <c r="BVV236" s="15"/>
      <c r="BVW236" s="15"/>
      <c r="BVX236" s="15"/>
      <c r="BVY236" s="10"/>
      <c r="BVZ236" s="10"/>
      <c r="BWA236" s="21"/>
      <c r="BWB236" s="21"/>
      <c r="BWE236" s="21"/>
      <c r="BWF236" s="15"/>
      <c r="BWG236" s="15"/>
      <c r="BWH236" s="15"/>
      <c r="BWI236" s="15"/>
      <c r="BWJ236" s="15"/>
      <c r="BWK236" s="15"/>
      <c r="BWL236" s="15"/>
      <c r="BWM236" s="15"/>
      <c r="BWN236" s="15"/>
      <c r="BWO236" s="15"/>
      <c r="BWP236" s="10"/>
      <c r="BWQ236" s="10"/>
      <c r="BWR236" s="21"/>
      <c r="BWS236" s="21"/>
      <c r="BWV236" s="21"/>
      <c r="BWW236" s="15"/>
      <c r="BWX236" s="15"/>
      <c r="BWY236" s="15"/>
      <c r="BWZ236" s="15"/>
      <c r="BXA236" s="15"/>
      <c r="BXB236" s="15"/>
      <c r="BXC236" s="15"/>
      <c r="BXD236" s="15"/>
      <c r="BXE236" s="15"/>
      <c r="BXF236" s="15"/>
      <c r="BXG236" s="10"/>
      <c r="BXH236" s="10"/>
      <c r="BXI236" s="21"/>
      <c r="BXJ236" s="21"/>
      <c r="BXM236" s="21"/>
      <c r="BXN236" s="15"/>
      <c r="BXO236" s="15"/>
      <c r="BXP236" s="15"/>
      <c r="BXQ236" s="15"/>
      <c r="BXR236" s="15"/>
      <c r="BXS236" s="15"/>
      <c r="BXT236" s="15"/>
      <c r="BXU236" s="15"/>
      <c r="BXV236" s="15"/>
      <c r="BXW236" s="15"/>
      <c r="BXX236" s="10"/>
      <c r="BXY236" s="10"/>
      <c r="BXZ236" s="21"/>
      <c r="BYA236" s="21"/>
      <c r="BYD236" s="21"/>
      <c r="BYE236" s="15"/>
      <c r="BYF236" s="15"/>
      <c r="BYG236" s="15"/>
      <c r="BYH236" s="15"/>
      <c r="BYI236" s="15"/>
      <c r="BYJ236" s="15"/>
      <c r="BYK236" s="15"/>
      <c r="BYL236" s="15"/>
      <c r="BYM236" s="15"/>
      <c r="BYN236" s="15"/>
      <c r="BYO236" s="10"/>
      <c r="BYP236" s="10"/>
      <c r="BYQ236" s="21"/>
      <c r="BYR236" s="21"/>
      <c r="BYU236" s="21"/>
      <c r="BYV236" s="15"/>
      <c r="BYW236" s="15"/>
      <c r="BYX236" s="15"/>
      <c r="BYY236" s="15"/>
      <c r="BYZ236" s="15"/>
      <c r="BZA236" s="15"/>
      <c r="BZB236" s="15"/>
      <c r="BZC236" s="15"/>
      <c r="BZD236" s="15"/>
      <c r="BZE236" s="15"/>
      <c r="BZF236" s="10"/>
      <c r="BZG236" s="10"/>
      <c r="BZH236" s="21"/>
      <c r="BZI236" s="21"/>
      <c r="BZL236" s="21"/>
      <c r="BZM236" s="15"/>
      <c r="BZN236" s="15"/>
      <c r="BZO236" s="15"/>
      <c r="BZP236" s="15"/>
      <c r="BZQ236" s="15"/>
      <c r="BZR236" s="15"/>
      <c r="BZS236" s="15"/>
      <c r="BZT236" s="15"/>
      <c r="BZU236" s="15"/>
      <c r="BZV236" s="15"/>
      <c r="BZW236" s="10"/>
      <c r="BZX236" s="10"/>
      <c r="BZY236" s="21"/>
      <c r="BZZ236" s="21"/>
      <c r="CAC236" s="21"/>
      <c r="CAD236" s="15"/>
      <c r="CAE236" s="15"/>
      <c r="CAF236" s="15"/>
      <c r="CAG236" s="15"/>
      <c r="CAH236" s="15"/>
      <c r="CAI236" s="15"/>
      <c r="CAJ236" s="15"/>
      <c r="CAK236" s="15"/>
      <c r="CAL236" s="15"/>
      <c r="CAM236" s="15"/>
      <c r="CAN236" s="10"/>
      <c r="CAO236" s="10"/>
      <c r="CAP236" s="21"/>
      <c r="CAQ236" s="21"/>
      <c r="CAT236" s="21"/>
      <c r="CAU236" s="15"/>
      <c r="CAV236" s="15"/>
      <c r="CAW236" s="15"/>
      <c r="CAX236" s="15"/>
      <c r="CAY236" s="15"/>
      <c r="CAZ236" s="15"/>
      <c r="CBA236" s="15"/>
      <c r="CBB236" s="15"/>
      <c r="CBC236" s="15"/>
      <c r="CBD236" s="15"/>
      <c r="CBE236" s="10"/>
      <c r="CBF236" s="10"/>
      <c r="CBG236" s="21"/>
      <c r="CBH236" s="21"/>
      <c r="CBK236" s="21"/>
      <c r="CBL236" s="15"/>
      <c r="CBM236" s="15"/>
      <c r="CBN236" s="15"/>
      <c r="CBO236" s="15"/>
      <c r="CBP236" s="15"/>
      <c r="CBQ236" s="15"/>
      <c r="CBR236" s="15"/>
      <c r="CBS236" s="15"/>
      <c r="CBT236" s="15"/>
      <c r="CBU236" s="15"/>
      <c r="CBV236" s="10"/>
      <c r="CBW236" s="10"/>
      <c r="CBX236" s="21"/>
      <c r="CBY236" s="21"/>
      <c r="CCB236" s="21"/>
      <c r="CCC236" s="15"/>
      <c r="CCD236" s="15"/>
      <c r="CCE236" s="15"/>
      <c r="CCF236" s="15"/>
      <c r="CCG236" s="15"/>
      <c r="CCH236" s="15"/>
      <c r="CCI236" s="15"/>
      <c r="CCJ236" s="15"/>
      <c r="CCK236" s="15"/>
      <c r="CCL236" s="15"/>
      <c r="CCM236" s="10"/>
      <c r="CCN236" s="10"/>
      <c r="CCO236" s="21"/>
      <c r="CCP236" s="21"/>
      <c r="CCS236" s="21"/>
      <c r="CCT236" s="15"/>
      <c r="CCU236" s="15"/>
      <c r="CCV236" s="15"/>
      <c r="CCW236" s="15"/>
      <c r="CCX236" s="15"/>
      <c r="CCY236" s="15"/>
      <c r="CCZ236" s="15"/>
      <c r="CDA236" s="15"/>
      <c r="CDB236" s="15"/>
      <c r="CDC236" s="15"/>
      <c r="CDD236" s="10"/>
      <c r="CDE236" s="10"/>
      <c r="CDF236" s="21"/>
      <c r="CDG236" s="21"/>
      <c r="CDJ236" s="21"/>
      <c r="CDK236" s="15"/>
      <c r="CDL236" s="15"/>
      <c r="CDM236" s="15"/>
      <c r="CDN236" s="15"/>
      <c r="CDO236" s="15"/>
      <c r="CDP236" s="15"/>
      <c r="CDQ236" s="15"/>
      <c r="CDR236" s="15"/>
      <c r="CDS236" s="15"/>
      <c r="CDT236" s="15"/>
      <c r="CDU236" s="10"/>
      <c r="CDV236" s="10"/>
      <c r="CDW236" s="21"/>
      <c r="CDX236" s="21"/>
      <c r="CEA236" s="21"/>
      <c r="CEB236" s="15"/>
      <c r="CEC236" s="15"/>
      <c r="CED236" s="15"/>
      <c r="CEE236" s="15"/>
      <c r="CEF236" s="15"/>
      <c r="CEG236" s="15"/>
      <c r="CEH236" s="15"/>
      <c r="CEI236" s="15"/>
      <c r="CEJ236" s="15"/>
      <c r="CEK236" s="15"/>
      <c r="CEL236" s="10"/>
      <c r="CEM236" s="10"/>
      <c r="CEN236" s="21"/>
      <c r="CEO236" s="21"/>
      <c r="CER236" s="21"/>
      <c r="CES236" s="15"/>
      <c r="CET236" s="15"/>
      <c r="CEU236" s="15"/>
      <c r="CEV236" s="15"/>
      <c r="CEW236" s="15"/>
      <c r="CEX236" s="15"/>
      <c r="CEY236" s="15"/>
      <c r="CEZ236" s="15"/>
      <c r="CFA236" s="15"/>
      <c r="CFB236" s="15"/>
      <c r="CFC236" s="10"/>
      <c r="CFD236" s="10"/>
      <c r="CFE236" s="21"/>
      <c r="CFF236" s="21"/>
      <c r="CFI236" s="21"/>
      <c r="CFJ236" s="15"/>
      <c r="CFK236" s="15"/>
      <c r="CFL236" s="15"/>
      <c r="CFM236" s="15"/>
      <c r="CFN236" s="15"/>
      <c r="CFO236" s="15"/>
      <c r="CFP236" s="15"/>
      <c r="CFQ236" s="15"/>
      <c r="CFR236" s="15"/>
      <c r="CFS236" s="15"/>
      <c r="CFT236" s="10"/>
      <c r="CFU236" s="10"/>
      <c r="CFV236" s="21"/>
      <c r="CFW236" s="21"/>
      <c r="CFZ236" s="21"/>
      <c r="CGA236" s="15"/>
      <c r="CGB236" s="15"/>
      <c r="CGC236" s="15"/>
      <c r="CGD236" s="15"/>
      <c r="CGE236" s="15"/>
      <c r="CGF236" s="15"/>
      <c r="CGG236" s="15"/>
      <c r="CGH236" s="15"/>
      <c r="CGI236" s="15"/>
      <c r="CGJ236" s="15"/>
      <c r="CGK236" s="10"/>
      <c r="CGL236" s="10"/>
      <c r="CGM236" s="21"/>
      <c r="CGN236" s="21"/>
      <c r="CGQ236" s="21"/>
      <c r="CGR236" s="15"/>
      <c r="CGS236" s="15"/>
      <c r="CGT236" s="15"/>
      <c r="CGU236" s="15"/>
      <c r="CGV236" s="15"/>
      <c r="CGW236" s="15"/>
      <c r="CGX236" s="15"/>
      <c r="CGY236" s="15"/>
      <c r="CGZ236" s="15"/>
      <c r="CHA236" s="15"/>
      <c r="CHB236" s="10"/>
      <c r="CHC236" s="10"/>
      <c r="CHD236" s="21"/>
      <c r="CHE236" s="21"/>
      <c r="CHH236" s="21"/>
      <c r="CHI236" s="15"/>
      <c r="CHJ236" s="15"/>
      <c r="CHK236" s="15"/>
      <c r="CHL236" s="15"/>
      <c r="CHM236" s="15"/>
      <c r="CHN236" s="15"/>
      <c r="CHO236" s="15"/>
      <c r="CHP236" s="15"/>
      <c r="CHQ236" s="15"/>
      <c r="CHR236" s="15"/>
      <c r="CHS236" s="10"/>
      <c r="CHT236" s="10"/>
      <c r="CHU236" s="21"/>
      <c r="CHV236" s="21"/>
      <c r="CHY236" s="21"/>
      <c r="CHZ236" s="15"/>
      <c r="CIA236" s="15"/>
      <c r="CIB236" s="15"/>
      <c r="CIC236" s="15"/>
      <c r="CID236" s="15"/>
      <c r="CIE236" s="15"/>
      <c r="CIF236" s="15"/>
      <c r="CIG236" s="15"/>
      <c r="CIH236" s="15"/>
      <c r="CII236" s="15"/>
      <c r="CIJ236" s="10"/>
      <c r="CIK236" s="10"/>
      <c r="CIL236" s="21"/>
      <c r="CIM236" s="21"/>
      <c r="CIP236" s="21"/>
      <c r="CIQ236" s="15"/>
      <c r="CIR236" s="15"/>
      <c r="CIS236" s="15"/>
      <c r="CIT236" s="15"/>
      <c r="CIU236" s="15"/>
      <c r="CIV236" s="15"/>
      <c r="CIW236" s="15"/>
      <c r="CIX236" s="15"/>
      <c r="CIY236" s="15"/>
      <c r="CIZ236" s="15"/>
      <c r="CJA236" s="10"/>
      <c r="CJB236" s="10"/>
      <c r="CJC236" s="21"/>
      <c r="CJD236" s="21"/>
      <c r="CJG236" s="21"/>
      <c r="CJH236" s="15"/>
      <c r="CJI236" s="15"/>
      <c r="CJJ236" s="15"/>
      <c r="CJK236" s="15"/>
      <c r="CJL236" s="15"/>
      <c r="CJM236" s="15"/>
      <c r="CJN236" s="15"/>
      <c r="CJO236" s="15"/>
      <c r="CJP236" s="15"/>
      <c r="CJQ236" s="15"/>
      <c r="CJR236" s="10"/>
      <c r="CJS236" s="10"/>
      <c r="CJT236" s="21"/>
      <c r="CJU236" s="21"/>
      <c r="CJX236" s="21"/>
      <c r="CJY236" s="15"/>
      <c r="CJZ236" s="15"/>
      <c r="CKA236" s="15"/>
      <c r="CKB236" s="15"/>
      <c r="CKC236" s="15"/>
      <c r="CKD236" s="15"/>
      <c r="CKE236" s="15"/>
      <c r="CKF236" s="15"/>
      <c r="CKG236" s="15"/>
      <c r="CKH236" s="15"/>
      <c r="CKI236" s="10"/>
      <c r="CKJ236" s="10"/>
      <c r="CKK236" s="21"/>
      <c r="CKL236" s="21"/>
      <c r="CKO236" s="21"/>
      <c r="CKP236" s="15"/>
      <c r="CKQ236" s="15"/>
      <c r="CKR236" s="15"/>
      <c r="CKS236" s="15"/>
      <c r="CKT236" s="15"/>
      <c r="CKU236" s="15"/>
      <c r="CKV236" s="15"/>
      <c r="CKW236" s="15"/>
      <c r="CKX236" s="15"/>
      <c r="CKY236" s="15"/>
      <c r="CKZ236" s="10"/>
      <c r="CLA236" s="10"/>
      <c r="CLB236" s="21"/>
      <c r="CLC236" s="21"/>
      <c r="CLF236" s="21"/>
      <c r="CLG236" s="15"/>
      <c r="CLH236" s="15"/>
      <c r="CLI236" s="15"/>
      <c r="CLJ236" s="15"/>
      <c r="CLK236" s="15"/>
      <c r="CLL236" s="15"/>
      <c r="CLM236" s="15"/>
      <c r="CLN236" s="15"/>
      <c r="CLO236" s="15"/>
      <c r="CLP236" s="15"/>
      <c r="CLQ236" s="10"/>
      <c r="CLR236" s="10"/>
      <c r="CLS236" s="21"/>
      <c r="CLT236" s="21"/>
      <c r="CLW236" s="21"/>
      <c r="CLX236" s="15"/>
      <c r="CLY236" s="15"/>
      <c r="CLZ236" s="15"/>
      <c r="CMA236" s="15"/>
      <c r="CMB236" s="15"/>
      <c r="CMC236" s="15"/>
      <c r="CMD236" s="15"/>
      <c r="CME236" s="15"/>
      <c r="CMF236" s="15"/>
      <c r="CMG236" s="15"/>
      <c r="CMH236" s="10"/>
      <c r="CMI236" s="10"/>
      <c r="CMJ236" s="21"/>
      <c r="CMK236" s="21"/>
      <c r="CMN236" s="21"/>
      <c r="CMO236" s="15"/>
      <c r="CMP236" s="15"/>
      <c r="CMQ236" s="15"/>
      <c r="CMR236" s="15"/>
      <c r="CMS236" s="15"/>
      <c r="CMT236" s="15"/>
      <c r="CMU236" s="15"/>
      <c r="CMV236" s="15"/>
      <c r="CMW236" s="15"/>
      <c r="CMX236" s="15"/>
      <c r="CMY236" s="10"/>
      <c r="CMZ236" s="10"/>
      <c r="CNA236" s="21"/>
      <c r="CNB236" s="21"/>
      <c r="CNE236" s="21"/>
      <c r="CNF236" s="15"/>
      <c r="CNG236" s="15"/>
      <c r="CNH236" s="15"/>
      <c r="CNI236" s="15"/>
      <c r="CNJ236" s="15"/>
      <c r="CNK236" s="15"/>
      <c r="CNL236" s="15"/>
      <c r="CNM236" s="15"/>
      <c r="CNN236" s="15"/>
      <c r="CNO236" s="15"/>
      <c r="CNP236" s="10"/>
      <c r="CNQ236" s="10"/>
      <c r="CNR236" s="21"/>
      <c r="CNS236" s="21"/>
      <c r="CNV236" s="21"/>
      <c r="CNW236" s="15"/>
      <c r="CNX236" s="15"/>
      <c r="CNY236" s="15"/>
      <c r="CNZ236" s="15"/>
      <c r="COA236" s="15"/>
      <c r="COB236" s="15"/>
      <c r="COC236" s="15"/>
      <c r="COD236" s="15"/>
      <c r="COE236" s="15"/>
      <c r="COF236" s="15"/>
      <c r="COG236" s="10"/>
      <c r="COH236" s="10"/>
      <c r="COI236" s="21"/>
      <c r="COJ236" s="21"/>
      <c r="COM236" s="21"/>
      <c r="CON236" s="15"/>
      <c r="COO236" s="15"/>
      <c r="COP236" s="15"/>
      <c r="COQ236" s="15"/>
      <c r="COR236" s="15"/>
      <c r="COS236" s="15"/>
      <c r="COT236" s="15"/>
      <c r="COU236" s="15"/>
      <c r="COV236" s="15"/>
      <c r="COW236" s="15"/>
      <c r="COX236" s="10"/>
      <c r="COY236" s="10"/>
      <c r="COZ236" s="21"/>
      <c r="CPA236" s="21"/>
      <c r="CPD236" s="21"/>
      <c r="CPE236" s="15"/>
      <c r="CPF236" s="15"/>
      <c r="CPG236" s="15"/>
      <c r="CPH236" s="15"/>
      <c r="CPI236" s="15"/>
      <c r="CPJ236" s="15"/>
      <c r="CPK236" s="15"/>
      <c r="CPL236" s="15"/>
      <c r="CPM236" s="15"/>
      <c r="CPN236" s="15"/>
      <c r="CPO236" s="10"/>
      <c r="CPP236" s="10"/>
      <c r="CPQ236" s="21"/>
      <c r="CPR236" s="21"/>
      <c r="CPU236" s="21"/>
      <c r="CPV236" s="15"/>
      <c r="CPW236" s="15"/>
      <c r="CPX236" s="15"/>
      <c r="CPY236" s="15"/>
      <c r="CPZ236" s="15"/>
      <c r="CQA236" s="15"/>
      <c r="CQB236" s="15"/>
      <c r="CQC236" s="15"/>
      <c r="CQD236" s="15"/>
      <c r="CQE236" s="15"/>
      <c r="CQF236" s="10"/>
      <c r="CQG236" s="10"/>
      <c r="CQH236" s="21"/>
      <c r="CQI236" s="21"/>
      <c r="CQL236" s="21"/>
      <c r="CQM236" s="15"/>
      <c r="CQN236" s="15"/>
      <c r="CQO236" s="15"/>
      <c r="CQP236" s="15"/>
      <c r="CQQ236" s="15"/>
      <c r="CQR236" s="15"/>
      <c r="CQS236" s="15"/>
      <c r="CQT236" s="15"/>
      <c r="CQU236" s="15"/>
      <c r="CQV236" s="15"/>
      <c r="CQW236" s="10"/>
      <c r="CQX236" s="10"/>
      <c r="CQY236" s="21"/>
      <c r="CQZ236" s="21"/>
      <c r="CRC236" s="21"/>
      <c r="CRD236" s="15"/>
      <c r="CRE236" s="15"/>
      <c r="CRF236" s="15"/>
      <c r="CRG236" s="15"/>
      <c r="CRH236" s="15"/>
      <c r="CRI236" s="15"/>
      <c r="CRJ236" s="15"/>
      <c r="CRK236" s="15"/>
      <c r="CRL236" s="15"/>
      <c r="CRM236" s="15"/>
      <c r="CRN236" s="10"/>
      <c r="CRO236" s="10"/>
      <c r="CRP236" s="21"/>
      <c r="CRQ236" s="21"/>
      <c r="CRT236" s="21"/>
      <c r="CRU236" s="15"/>
      <c r="CRV236" s="15"/>
      <c r="CRW236" s="15"/>
      <c r="CRX236" s="15"/>
      <c r="CRY236" s="15"/>
      <c r="CRZ236" s="15"/>
      <c r="CSA236" s="15"/>
      <c r="CSB236" s="15"/>
      <c r="CSC236" s="15"/>
      <c r="CSD236" s="15"/>
      <c r="CSE236" s="10"/>
      <c r="CSF236" s="10"/>
      <c r="CSG236" s="21"/>
      <c r="CSH236" s="21"/>
      <c r="CSK236" s="21"/>
      <c r="CSL236" s="15"/>
      <c r="CSM236" s="15"/>
      <c r="CSN236" s="15"/>
      <c r="CSO236" s="15"/>
      <c r="CSP236" s="15"/>
      <c r="CSQ236" s="15"/>
      <c r="CSR236" s="15"/>
      <c r="CSS236" s="15"/>
      <c r="CST236" s="15"/>
      <c r="CSU236" s="15"/>
      <c r="CSV236" s="10"/>
      <c r="CSW236" s="10"/>
      <c r="CSX236" s="21"/>
      <c r="CSY236" s="21"/>
      <c r="CTB236" s="21"/>
      <c r="CTC236" s="15"/>
      <c r="CTD236" s="15"/>
      <c r="CTE236" s="15"/>
      <c r="CTF236" s="15"/>
      <c r="CTG236" s="15"/>
      <c r="CTH236" s="15"/>
      <c r="CTI236" s="15"/>
      <c r="CTJ236" s="15"/>
      <c r="CTK236" s="15"/>
      <c r="CTL236" s="15"/>
      <c r="CTM236" s="10"/>
      <c r="CTN236" s="10"/>
      <c r="CTO236" s="21"/>
      <c r="CTP236" s="21"/>
      <c r="CTS236" s="21"/>
      <c r="CTT236" s="15"/>
      <c r="CTU236" s="15"/>
      <c r="CTV236" s="15"/>
      <c r="CTW236" s="15"/>
      <c r="CTX236" s="15"/>
      <c r="CTY236" s="15"/>
      <c r="CTZ236" s="15"/>
      <c r="CUA236" s="15"/>
      <c r="CUB236" s="15"/>
      <c r="CUC236" s="15"/>
      <c r="CUD236" s="10"/>
      <c r="CUE236" s="10"/>
      <c r="CUF236" s="21"/>
      <c r="CUG236" s="21"/>
      <c r="CUJ236" s="21"/>
      <c r="CUK236" s="15"/>
      <c r="CUL236" s="15"/>
      <c r="CUM236" s="15"/>
      <c r="CUN236" s="15"/>
      <c r="CUO236" s="15"/>
      <c r="CUP236" s="15"/>
      <c r="CUQ236" s="15"/>
      <c r="CUR236" s="15"/>
      <c r="CUS236" s="15"/>
      <c r="CUT236" s="15"/>
      <c r="CUU236" s="10"/>
      <c r="CUV236" s="10"/>
      <c r="CUW236" s="21"/>
      <c r="CUX236" s="21"/>
      <c r="CVA236" s="21"/>
      <c r="CVB236" s="15"/>
      <c r="CVC236" s="15"/>
      <c r="CVD236" s="15"/>
      <c r="CVE236" s="15"/>
      <c r="CVF236" s="15"/>
      <c r="CVG236" s="15"/>
      <c r="CVH236" s="15"/>
      <c r="CVI236" s="15"/>
      <c r="CVJ236" s="15"/>
      <c r="CVK236" s="15"/>
      <c r="CVL236" s="10"/>
      <c r="CVM236" s="10"/>
      <c r="CVN236" s="21"/>
      <c r="CVO236" s="21"/>
      <c r="CVR236" s="21"/>
      <c r="CVS236" s="15"/>
      <c r="CVT236" s="15"/>
      <c r="CVU236" s="15"/>
      <c r="CVV236" s="15"/>
      <c r="CVW236" s="15"/>
      <c r="CVX236" s="15"/>
      <c r="CVY236" s="15"/>
      <c r="CVZ236" s="15"/>
      <c r="CWA236" s="15"/>
      <c r="CWB236" s="15"/>
      <c r="CWC236" s="10"/>
      <c r="CWD236" s="10"/>
      <c r="CWE236" s="21"/>
      <c r="CWF236" s="21"/>
      <c r="CWI236" s="21"/>
      <c r="CWJ236" s="15"/>
      <c r="CWK236" s="15"/>
      <c r="CWL236" s="15"/>
      <c r="CWM236" s="15"/>
      <c r="CWN236" s="15"/>
      <c r="CWO236" s="15"/>
      <c r="CWP236" s="15"/>
      <c r="CWQ236" s="15"/>
      <c r="CWR236" s="15"/>
      <c r="CWS236" s="15"/>
      <c r="CWT236" s="10"/>
      <c r="CWU236" s="10"/>
      <c r="CWV236" s="21"/>
      <c r="CWW236" s="21"/>
      <c r="CWZ236" s="21"/>
      <c r="CXA236" s="15"/>
      <c r="CXB236" s="15"/>
      <c r="CXC236" s="15"/>
      <c r="CXD236" s="15"/>
      <c r="CXE236" s="15"/>
      <c r="CXF236" s="15"/>
      <c r="CXG236" s="15"/>
      <c r="CXH236" s="15"/>
      <c r="CXI236" s="15"/>
      <c r="CXJ236" s="15"/>
      <c r="CXK236" s="10"/>
      <c r="CXL236" s="10"/>
      <c r="CXM236" s="21"/>
      <c r="CXN236" s="21"/>
      <c r="CXQ236" s="21"/>
      <c r="CXR236" s="15"/>
      <c r="CXS236" s="15"/>
      <c r="CXT236" s="15"/>
      <c r="CXU236" s="15"/>
      <c r="CXV236" s="15"/>
      <c r="CXW236" s="15"/>
      <c r="CXX236" s="15"/>
      <c r="CXY236" s="15"/>
      <c r="CXZ236" s="15"/>
      <c r="CYA236" s="15"/>
      <c r="CYB236" s="10"/>
      <c r="CYC236" s="10"/>
      <c r="CYD236" s="21"/>
      <c r="CYE236" s="21"/>
      <c r="CYH236" s="21"/>
      <c r="CYI236" s="15"/>
      <c r="CYJ236" s="15"/>
      <c r="CYK236" s="15"/>
      <c r="CYL236" s="15"/>
      <c r="CYM236" s="15"/>
      <c r="CYN236" s="15"/>
      <c r="CYO236" s="15"/>
      <c r="CYP236" s="15"/>
      <c r="CYQ236" s="15"/>
      <c r="CYR236" s="15"/>
      <c r="CYS236" s="10"/>
      <c r="CYT236" s="10"/>
      <c r="CYU236" s="21"/>
      <c r="CYV236" s="21"/>
      <c r="CYY236" s="21"/>
      <c r="CYZ236" s="15"/>
      <c r="CZA236" s="15"/>
      <c r="CZB236" s="15"/>
      <c r="CZC236" s="15"/>
      <c r="CZD236" s="15"/>
      <c r="CZE236" s="15"/>
      <c r="CZF236" s="15"/>
      <c r="CZG236" s="15"/>
      <c r="CZH236" s="15"/>
      <c r="CZI236" s="15"/>
      <c r="CZJ236" s="10"/>
      <c r="CZK236" s="10"/>
      <c r="CZL236" s="21"/>
      <c r="CZM236" s="21"/>
      <c r="CZP236" s="21"/>
      <c r="CZQ236" s="15"/>
      <c r="CZR236" s="15"/>
      <c r="CZS236" s="15"/>
      <c r="CZT236" s="15"/>
      <c r="CZU236" s="15"/>
      <c r="CZV236" s="15"/>
      <c r="CZW236" s="15"/>
      <c r="CZX236" s="15"/>
      <c r="CZY236" s="15"/>
      <c r="CZZ236" s="15"/>
      <c r="DAA236" s="10"/>
      <c r="DAB236" s="10"/>
      <c r="DAC236" s="21"/>
      <c r="DAD236" s="21"/>
      <c r="DAG236" s="21"/>
      <c r="DAH236" s="15"/>
      <c r="DAI236" s="15"/>
      <c r="DAJ236" s="15"/>
      <c r="DAK236" s="15"/>
      <c r="DAL236" s="15"/>
      <c r="DAM236" s="15"/>
      <c r="DAN236" s="15"/>
      <c r="DAO236" s="15"/>
      <c r="DAP236" s="15"/>
      <c r="DAQ236" s="15"/>
      <c r="DAR236" s="10"/>
      <c r="DAS236" s="10"/>
      <c r="DAT236" s="21"/>
      <c r="DAU236" s="21"/>
      <c r="DAX236" s="21"/>
      <c r="DAY236" s="15"/>
      <c r="DAZ236" s="15"/>
      <c r="DBA236" s="15"/>
      <c r="DBB236" s="15"/>
      <c r="DBC236" s="15"/>
      <c r="DBD236" s="15"/>
      <c r="DBE236" s="15"/>
      <c r="DBF236" s="15"/>
      <c r="DBG236" s="15"/>
      <c r="DBH236" s="15"/>
      <c r="DBI236" s="10"/>
      <c r="DBJ236" s="10"/>
      <c r="DBK236" s="21"/>
      <c r="DBL236" s="21"/>
      <c r="DBO236" s="21"/>
      <c r="DBP236" s="15"/>
      <c r="DBQ236" s="15"/>
      <c r="DBR236" s="15"/>
      <c r="DBS236" s="15"/>
      <c r="DBT236" s="15"/>
      <c r="DBU236" s="15"/>
      <c r="DBV236" s="15"/>
      <c r="DBW236" s="15"/>
      <c r="DBX236" s="15"/>
      <c r="DBY236" s="15"/>
      <c r="DBZ236" s="10"/>
      <c r="DCA236" s="10"/>
      <c r="DCB236" s="21"/>
      <c r="DCC236" s="21"/>
      <c r="DCF236" s="21"/>
      <c r="DCG236" s="15"/>
      <c r="DCH236" s="15"/>
      <c r="DCI236" s="15"/>
      <c r="DCJ236" s="15"/>
      <c r="DCK236" s="15"/>
      <c r="DCL236" s="15"/>
      <c r="DCM236" s="15"/>
      <c r="DCN236" s="15"/>
      <c r="DCO236" s="15"/>
      <c r="DCP236" s="15"/>
      <c r="DCQ236" s="10"/>
      <c r="DCR236" s="10"/>
      <c r="DCS236" s="21"/>
      <c r="DCT236" s="21"/>
      <c r="DCW236" s="21"/>
      <c r="DCX236" s="15"/>
      <c r="DCY236" s="15"/>
      <c r="DCZ236" s="15"/>
      <c r="DDA236" s="15"/>
      <c r="DDB236" s="15"/>
      <c r="DDC236" s="15"/>
      <c r="DDD236" s="15"/>
      <c r="DDE236" s="15"/>
      <c r="DDF236" s="15"/>
      <c r="DDG236" s="15"/>
      <c r="DDH236" s="10"/>
      <c r="DDI236" s="10"/>
      <c r="DDJ236" s="21"/>
      <c r="DDK236" s="21"/>
      <c r="DDN236" s="21"/>
      <c r="DDO236" s="15"/>
      <c r="DDP236" s="15"/>
      <c r="DDQ236" s="15"/>
      <c r="DDR236" s="15"/>
      <c r="DDS236" s="15"/>
      <c r="DDT236" s="15"/>
      <c r="DDU236" s="15"/>
      <c r="DDV236" s="15"/>
      <c r="DDW236" s="15"/>
      <c r="DDX236" s="15"/>
      <c r="DDY236" s="10"/>
      <c r="DDZ236" s="10"/>
      <c r="DEA236" s="21"/>
      <c r="DEB236" s="21"/>
      <c r="DEE236" s="21"/>
      <c r="DEF236" s="15"/>
      <c r="DEG236" s="15"/>
      <c r="DEH236" s="15"/>
      <c r="DEI236" s="15"/>
      <c r="DEJ236" s="15"/>
      <c r="DEK236" s="15"/>
      <c r="DEL236" s="15"/>
      <c r="DEM236" s="15"/>
      <c r="DEN236" s="15"/>
      <c r="DEO236" s="15"/>
      <c r="DEP236" s="10"/>
      <c r="DEQ236" s="10"/>
      <c r="DER236" s="21"/>
      <c r="DES236" s="21"/>
      <c r="DEV236" s="21"/>
      <c r="DEW236" s="15"/>
      <c r="DEX236" s="15"/>
      <c r="DEY236" s="15"/>
      <c r="DEZ236" s="15"/>
      <c r="DFA236" s="15"/>
      <c r="DFB236" s="15"/>
      <c r="DFC236" s="15"/>
      <c r="DFD236" s="15"/>
      <c r="DFE236" s="15"/>
      <c r="DFF236" s="15"/>
      <c r="DFG236" s="10"/>
      <c r="DFH236" s="10"/>
      <c r="DFI236" s="21"/>
      <c r="DFJ236" s="21"/>
      <c r="DFM236" s="21"/>
      <c r="DFN236" s="15"/>
      <c r="DFO236" s="15"/>
      <c r="DFP236" s="15"/>
      <c r="DFQ236" s="15"/>
      <c r="DFR236" s="15"/>
      <c r="DFS236" s="15"/>
      <c r="DFT236" s="15"/>
      <c r="DFU236" s="15"/>
      <c r="DFV236" s="15"/>
      <c r="DFW236" s="15"/>
      <c r="DFX236" s="10"/>
      <c r="DFY236" s="10"/>
      <c r="DFZ236" s="21"/>
      <c r="DGA236" s="21"/>
      <c r="DGD236" s="21"/>
      <c r="DGE236" s="15"/>
      <c r="DGF236" s="15"/>
      <c r="DGG236" s="15"/>
      <c r="DGH236" s="15"/>
      <c r="DGI236" s="15"/>
      <c r="DGJ236" s="15"/>
      <c r="DGK236" s="15"/>
      <c r="DGL236" s="15"/>
      <c r="DGM236" s="15"/>
      <c r="DGN236" s="15"/>
      <c r="DGO236" s="10"/>
      <c r="DGP236" s="10"/>
      <c r="DGQ236" s="21"/>
      <c r="DGR236" s="21"/>
      <c r="DGU236" s="21"/>
      <c r="DGV236" s="15"/>
      <c r="DGW236" s="15"/>
      <c r="DGX236" s="15"/>
      <c r="DGY236" s="15"/>
      <c r="DGZ236" s="15"/>
      <c r="DHA236" s="15"/>
      <c r="DHB236" s="15"/>
      <c r="DHC236" s="15"/>
      <c r="DHD236" s="15"/>
      <c r="DHE236" s="15"/>
      <c r="DHF236" s="10"/>
      <c r="DHG236" s="10"/>
      <c r="DHH236" s="21"/>
      <c r="DHI236" s="21"/>
      <c r="DHL236" s="21"/>
      <c r="DHM236" s="15"/>
      <c r="DHN236" s="15"/>
      <c r="DHO236" s="15"/>
      <c r="DHP236" s="15"/>
      <c r="DHQ236" s="15"/>
      <c r="DHR236" s="15"/>
      <c r="DHS236" s="15"/>
      <c r="DHT236" s="15"/>
      <c r="DHU236" s="15"/>
      <c r="DHV236" s="15"/>
      <c r="DHW236" s="10"/>
      <c r="DHX236" s="10"/>
      <c r="DHY236" s="21"/>
      <c r="DHZ236" s="21"/>
      <c r="DIC236" s="21"/>
      <c r="DID236" s="15"/>
      <c r="DIE236" s="15"/>
      <c r="DIF236" s="15"/>
      <c r="DIG236" s="15"/>
      <c r="DIH236" s="15"/>
      <c r="DII236" s="15"/>
      <c r="DIJ236" s="15"/>
      <c r="DIK236" s="15"/>
      <c r="DIL236" s="15"/>
      <c r="DIM236" s="15"/>
      <c r="DIN236" s="10"/>
      <c r="DIO236" s="10"/>
      <c r="DIP236" s="21"/>
      <c r="DIQ236" s="21"/>
      <c r="DIT236" s="21"/>
      <c r="DIU236" s="15"/>
      <c r="DIV236" s="15"/>
      <c r="DIW236" s="15"/>
      <c r="DIX236" s="15"/>
      <c r="DIY236" s="15"/>
      <c r="DIZ236" s="15"/>
      <c r="DJA236" s="15"/>
      <c r="DJB236" s="15"/>
      <c r="DJC236" s="15"/>
      <c r="DJD236" s="15"/>
      <c r="DJE236" s="10"/>
      <c r="DJF236" s="10"/>
      <c r="DJG236" s="21"/>
      <c r="DJH236" s="21"/>
      <c r="DJK236" s="21"/>
      <c r="DJL236" s="15"/>
      <c r="DJM236" s="15"/>
      <c r="DJN236" s="15"/>
      <c r="DJO236" s="15"/>
      <c r="DJP236" s="15"/>
      <c r="DJQ236" s="15"/>
      <c r="DJR236" s="15"/>
      <c r="DJS236" s="15"/>
      <c r="DJT236" s="15"/>
      <c r="DJU236" s="15"/>
      <c r="DJV236" s="10"/>
      <c r="DJW236" s="10"/>
      <c r="DJX236" s="21"/>
      <c r="DJY236" s="21"/>
      <c r="DKB236" s="21"/>
      <c r="DKC236" s="15"/>
      <c r="DKD236" s="15"/>
      <c r="DKE236" s="15"/>
      <c r="DKF236" s="15"/>
      <c r="DKG236" s="15"/>
      <c r="DKH236" s="15"/>
      <c r="DKI236" s="15"/>
      <c r="DKJ236" s="15"/>
      <c r="DKK236" s="15"/>
      <c r="DKL236" s="15"/>
      <c r="DKM236" s="10"/>
      <c r="DKN236" s="10"/>
      <c r="DKO236" s="21"/>
      <c r="DKP236" s="21"/>
      <c r="DKS236" s="21"/>
      <c r="DKT236" s="15"/>
      <c r="DKU236" s="15"/>
      <c r="DKV236" s="15"/>
      <c r="DKW236" s="15"/>
      <c r="DKX236" s="15"/>
      <c r="DKY236" s="15"/>
      <c r="DKZ236" s="15"/>
      <c r="DLA236" s="15"/>
      <c r="DLB236" s="15"/>
      <c r="DLC236" s="15"/>
      <c r="DLD236" s="10"/>
      <c r="DLE236" s="10"/>
      <c r="DLF236" s="21"/>
      <c r="DLG236" s="21"/>
      <c r="DLJ236" s="21"/>
      <c r="DLK236" s="15"/>
      <c r="DLL236" s="15"/>
      <c r="DLM236" s="15"/>
      <c r="DLN236" s="15"/>
      <c r="DLO236" s="15"/>
      <c r="DLP236" s="15"/>
      <c r="DLQ236" s="15"/>
      <c r="DLR236" s="15"/>
      <c r="DLS236" s="15"/>
      <c r="DLT236" s="15"/>
      <c r="DLU236" s="10"/>
      <c r="DLV236" s="10"/>
      <c r="DLW236" s="21"/>
      <c r="DLX236" s="21"/>
      <c r="DMA236" s="21"/>
      <c r="DMB236" s="15"/>
      <c r="DMC236" s="15"/>
      <c r="DMD236" s="15"/>
      <c r="DME236" s="15"/>
      <c r="DMF236" s="15"/>
      <c r="DMG236" s="15"/>
      <c r="DMH236" s="15"/>
      <c r="DMI236" s="15"/>
      <c r="DMJ236" s="15"/>
      <c r="DMK236" s="15"/>
      <c r="DML236" s="10"/>
      <c r="DMM236" s="10"/>
      <c r="DMN236" s="21"/>
      <c r="DMO236" s="21"/>
      <c r="DMR236" s="21"/>
      <c r="DMS236" s="15"/>
      <c r="DMT236" s="15"/>
      <c r="DMU236" s="15"/>
      <c r="DMV236" s="15"/>
      <c r="DMW236" s="15"/>
      <c r="DMX236" s="15"/>
      <c r="DMY236" s="15"/>
      <c r="DMZ236" s="15"/>
      <c r="DNA236" s="15"/>
      <c r="DNB236" s="15"/>
      <c r="DNC236" s="10"/>
      <c r="DND236" s="10"/>
      <c r="DNE236" s="21"/>
      <c r="DNF236" s="21"/>
      <c r="DNI236" s="21"/>
      <c r="DNJ236" s="15"/>
      <c r="DNK236" s="15"/>
      <c r="DNL236" s="15"/>
      <c r="DNM236" s="15"/>
      <c r="DNN236" s="15"/>
      <c r="DNO236" s="15"/>
      <c r="DNP236" s="15"/>
      <c r="DNQ236" s="15"/>
      <c r="DNR236" s="15"/>
      <c r="DNS236" s="15"/>
      <c r="DNT236" s="10"/>
      <c r="DNU236" s="10"/>
      <c r="DNV236" s="21"/>
      <c r="DNW236" s="21"/>
      <c r="DNZ236" s="21"/>
      <c r="DOA236" s="15"/>
      <c r="DOB236" s="15"/>
      <c r="DOC236" s="15"/>
      <c r="DOD236" s="15"/>
      <c r="DOE236" s="15"/>
      <c r="DOF236" s="15"/>
      <c r="DOG236" s="15"/>
      <c r="DOH236" s="15"/>
      <c r="DOI236" s="15"/>
      <c r="DOJ236" s="15"/>
      <c r="DOK236" s="10"/>
      <c r="DOL236" s="10"/>
      <c r="DOM236" s="21"/>
      <c r="DON236" s="21"/>
      <c r="DOQ236" s="21"/>
      <c r="DOR236" s="15"/>
      <c r="DOS236" s="15"/>
      <c r="DOT236" s="15"/>
      <c r="DOU236" s="15"/>
      <c r="DOV236" s="15"/>
      <c r="DOW236" s="15"/>
      <c r="DOX236" s="15"/>
      <c r="DOY236" s="15"/>
      <c r="DOZ236" s="15"/>
      <c r="DPA236" s="15"/>
      <c r="DPB236" s="10"/>
      <c r="DPC236" s="10"/>
      <c r="DPD236" s="21"/>
      <c r="DPE236" s="21"/>
      <c r="DPH236" s="21"/>
      <c r="DPI236" s="15"/>
      <c r="DPJ236" s="15"/>
      <c r="DPK236" s="15"/>
      <c r="DPL236" s="15"/>
      <c r="DPM236" s="15"/>
      <c r="DPN236" s="15"/>
      <c r="DPO236" s="15"/>
      <c r="DPP236" s="15"/>
      <c r="DPQ236" s="15"/>
      <c r="DPR236" s="15"/>
      <c r="DPS236" s="10"/>
      <c r="DPT236" s="10"/>
      <c r="DPU236" s="21"/>
      <c r="DPV236" s="21"/>
      <c r="DPY236" s="21"/>
      <c r="DPZ236" s="15"/>
      <c r="DQA236" s="15"/>
      <c r="DQB236" s="15"/>
      <c r="DQC236" s="15"/>
      <c r="DQD236" s="15"/>
      <c r="DQE236" s="15"/>
      <c r="DQF236" s="15"/>
      <c r="DQG236" s="15"/>
      <c r="DQH236" s="15"/>
      <c r="DQI236" s="15"/>
      <c r="DQJ236" s="10"/>
      <c r="DQK236" s="10"/>
      <c r="DQL236" s="21"/>
      <c r="DQM236" s="21"/>
      <c r="DQP236" s="21"/>
      <c r="DQQ236" s="15"/>
      <c r="DQR236" s="15"/>
      <c r="DQS236" s="15"/>
      <c r="DQT236" s="15"/>
      <c r="DQU236" s="15"/>
      <c r="DQV236" s="15"/>
      <c r="DQW236" s="15"/>
      <c r="DQX236" s="15"/>
      <c r="DQY236" s="15"/>
      <c r="DQZ236" s="15"/>
      <c r="DRA236" s="10"/>
      <c r="DRB236" s="10"/>
      <c r="DRC236" s="21"/>
      <c r="DRD236" s="21"/>
      <c r="DRG236" s="21"/>
      <c r="DRH236" s="15"/>
      <c r="DRI236" s="15"/>
      <c r="DRJ236" s="15"/>
      <c r="DRK236" s="15"/>
      <c r="DRL236" s="15"/>
      <c r="DRM236" s="15"/>
      <c r="DRN236" s="15"/>
      <c r="DRO236" s="15"/>
      <c r="DRP236" s="15"/>
      <c r="DRQ236" s="15"/>
      <c r="DRR236" s="10"/>
      <c r="DRS236" s="10"/>
      <c r="DRT236" s="21"/>
      <c r="DRU236" s="21"/>
      <c r="DRX236" s="21"/>
      <c r="DRY236" s="15"/>
      <c r="DRZ236" s="15"/>
      <c r="DSA236" s="15"/>
      <c r="DSB236" s="15"/>
      <c r="DSC236" s="15"/>
      <c r="DSD236" s="15"/>
      <c r="DSE236" s="15"/>
      <c r="DSF236" s="15"/>
      <c r="DSG236" s="15"/>
      <c r="DSH236" s="15"/>
      <c r="DSI236" s="10"/>
      <c r="DSJ236" s="10"/>
      <c r="DSK236" s="21"/>
      <c r="DSL236" s="21"/>
      <c r="DSO236" s="21"/>
      <c r="DSP236" s="15"/>
      <c r="DSQ236" s="15"/>
      <c r="DSR236" s="15"/>
      <c r="DSS236" s="15"/>
      <c r="DST236" s="15"/>
      <c r="DSU236" s="15"/>
      <c r="DSV236" s="15"/>
      <c r="DSW236" s="15"/>
      <c r="DSX236" s="15"/>
      <c r="DSY236" s="15"/>
      <c r="DSZ236" s="10"/>
      <c r="DTA236" s="10"/>
      <c r="DTB236" s="21"/>
      <c r="DTC236" s="21"/>
      <c r="DTF236" s="21"/>
      <c r="DTG236" s="15"/>
      <c r="DTH236" s="15"/>
      <c r="DTI236" s="15"/>
      <c r="DTJ236" s="15"/>
      <c r="DTK236" s="15"/>
      <c r="DTL236" s="15"/>
      <c r="DTM236" s="15"/>
      <c r="DTN236" s="15"/>
      <c r="DTO236" s="15"/>
      <c r="DTP236" s="15"/>
      <c r="DTQ236" s="10"/>
      <c r="DTR236" s="10"/>
      <c r="DTS236" s="21"/>
      <c r="DTT236" s="21"/>
      <c r="DTW236" s="21"/>
      <c r="DTX236" s="15"/>
      <c r="DTY236" s="15"/>
      <c r="DTZ236" s="15"/>
      <c r="DUA236" s="15"/>
      <c r="DUB236" s="15"/>
      <c r="DUC236" s="15"/>
      <c r="DUD236" s="15"/>
      <c r="DUE236" s="15"/>
      <c r="DUF236" s="15"/>
      <c r="DUG236" s="15"/>
      <c r="DUH236" s="10"/>
      <c r="DUI236" s="10"/>
      <c r="DUJ236" s="21"/>
      <c r="DUK236" s="21"/>
      <c r="DUN236" s="21"/>
      <c r="DUO236" s="15"/>
      <c r="DUP236" s="15"/>
      <c r="DUQ236" s="15"/>
      <c r="DUR236" s="15"/>
      <c r="DUS236" s="15"/>
      <c r="DUT236" s="15"/>
      <c r="DUU236" s="15"/>
      <c r="DUV236" s="15"/>
      <c r="DUW236" s="15"/>
      <c r="DUX236" s="15"/>
      <c r="DUY236" s="10"/>
      <c r="DUZ236" s="10"/>
      <c r="DVA236" s="21"/>
      <c r="DVB236" s="21"/>
      <c r="DVE236" s="21"/>
      <c r="DVF236" s="15"/>
      <c r="DVG236" s="15"/>
      <c r="DVH236" s="15"/>
      <c r="DVI236" s="15"/>
      <c r="DVJ236" s="15"/>
      <c r="DVK236" s="15"/>
      <c r="DVL236" s="15"/>
      <c r="DVM236" s="15"/>
      <c r="DVN236" s="15"/>
      <c r="DVO236" s="15"/>
      <c r="DVP236" s="10"/>
      <c r="DVQ236" s="10"/>
      <c r="DVR236" s="21"/>
      <c r="DVS236" s="21"/>
      <c r="DVV236" s="21"/>
      <c r="DVW236" s="15"/>
      <c r="DVX236" s="15"/>
      <c r="DVY236" s="15"/>
      <c r="DVZ236" s="15"/>
      <c r="DWA236" s="15"/>
      <c r="DWB236" s="15"/>
      <c r="DWC236" s="15"/>
      <c r="DWD236" s="15"/>
      <c r="DWE236" s="15"/>
      <c r="DWF236" s="15"/>
      <c r="DWG236" s="10"/>
      <c r="DWH236" s="10"/>
      <c r="DWI236" s="21"/>
      <c r="DWJ236" s="21"/>
      <c r="DWM236" s="21"/>
      <c r="DWN236" s="15"/>
      <c r="DWO236" s="15"/>
      <c r="DWP236" s="15"/>
      <c r="DWQ236" s="15"/>
      <c r="DWR236" s="15"/>
      <c r="DWS236" s="15"/>
      <c r="DWT236" s="15"/>
      <c r="DWU236" s="15"/>
      <c r="DWV236" s="15"/>
      <c r="DWW236" s="15"/>
      <c r="DWX236" s="10"/>
      <c r="DWY236" s="10"/>
      <c r="DWZ236" s="21"/>
      <c r="DXA236" s="21"/>
      <c r="DXD236" s="21"/>
      <c r="DXE236" s="15"/>
      <c r="DXF236" s="15"/>
      <c r="DXG236" s="15"/>
      <c r="DXH236" s="15"/>
      <c r="DXI236" s="15"/>
      <c r="DXJ236" s="15"/>
      <c r="DXK236" s="15"/>
      <c r="DXL236" s="15"/>
      <c r="DXM236" s="15"/>
      <c r="DXN236" s="15"/>
      <c r="DXO236" s="10"/>
      <c r="DXP236" s="10"/>
      <c r="DXQ236" s="21"/>
      <c r="DXR236" s="21"/>
      <c r="DXU236" s="21"/>
      <c r="DXV236" s="15"/>
      <c r="DXW236" s="15"/>
      <c r="DXX236" s="15"/>
      <c r="DXY236" s="15"/>
      <c r="DXZ236" s="15"/>
      <c r="DYA236" s="15"/>
      <c r="DYB236" s="15"/>
      <c r="DYC236" s="15"/>
      <c r="DYD236" s="15"/>
      <c r="DYE236" s="15"/>
      <c r="DYF236" s="10"/>
      <c r="DYG236" s="10"/>
      <c r="DYH236" s="21"/>
      <c r="DYI236" s="21"/>
      <c r="DYL236" s="21"/>
      <c r="DYM236" s="15"/>
      <c r="DYN236" s="15"/>
      <c r="DYO236" s="15"/>
      <c r="DYP236" s="15"/>
      <c r="DYQ236" s="15"/>
      <c r="DYR236" s="15"/>
      <c r="DYS236" s="15"/>
      <c r="DYT236" s="15"/>
      <c r="DYU236" s="15"/>
      <c r="DYV236" s="15"/>
      <c r="DYW236" s="10"/>
      <c r="DYX236" s="10"/>
      <c r="DYY236" s="21"/>
      <c r="DYZ236" s="21"/>
      <c r="DZC236" s="21"/>
      <c r="DZD236" s="15"/>
      <c r="DZE236" s="15"/>
      <c r="DZF236" s="15"/>
      <c r="DZG236" s="15"/>
      <c r="DZH236" s="15"/>
      <c r="DZI236" s="15"/>
      <c r="DZJ236" s="15"/>
      <c r="DZK236" s="15"/>
      <c r="DZL236" s="15"/>
      <c r="DZM236" s="15"/>
      <c r="DZN236" s="10"/>
      <c r="DZO236" s="10"/>
      <c r="DZP236" s="21"/>
      <c r="DZQ236" s="21"/>
      <c r="DZT236" s="21"/>
      <c r="DZU236" s="15"/>
      <c r="DZV236" s="15"/>
      <c r="DZW236" s="15"/>
      <c r="DZX236" s="15"/>
      <c r="DZY236" s="15"/>
      <c r="DZZ236" s="15"/>
      <c r="EAA236" s="15"/>
      <c r="EAB236" s="15"/>
      <c r="EAC236" s="15"/>
      <c r="EAD236" s="15"/>
      <c r="EAE236" s="10"/>
      <c r="EAF236" s="10"/>
      <c r="EAG236" s="21"/>
      <c r="EAH236" s="21"/>
      <c r="EAK236" s="21"/>
      <c r="EAL236" s="15"/>
      <c r="EAM236" s="15"/>
      <c r="EAN236" s="15"/>
      <c r="EAO236" s="15"/>
      <c r="EAP236" s="15"/>
      <c r="EAQ236" s="15"/>
      <c r="EAR236" s="15"/>
      <c r="EAS236" s="15"/>
      <c r="EAT236" s="15"/>
      <c r="EAU236" s="15"/>
      <c r="EAV236" s="10"/>
      <c r="EAW236" s="10"/>
      <c r="EAX236" s="21"/>
      <c r="EAY236" s="21"/>
      <c r="EBB236" s="21"/>
      <c r="EBC236" s="15"/>
      <c r="EBD236" s="15"/>
      <c r="EBE236" s="15"/>
      <c r="EBF236" s="15"/>
      <c r="EBG236" s="15"/>
      <c r="EBH236" s="15"/>
      <c r="EBI236" s="15"/>
      <c r="EBJ236" s="15"/>
      <c r="EBK236" s="15"/>
      <c r="EBL236" s="15"/>
      <c r="EBM236" s="10"/>
      <c r="EBN236" s="10"/>
      <c r="EBO236" s="21"/>
      <c r="EBP236" s="21"/>
      <c r="EBS236" s="21"/>
      <c r="EBT236" s="15"/>
      <c r="EBU236" s="15"/>
      <c r="EBV236" s="15"/>
      <c r="EBW236" s="15"/>
      <c r="EBX236" s="15"/>
      <c r="EBY236" s="15"/>
      <c r="EBZ236" s="15"/>
      <c r="ECA236" s="15"/>
      <c r="ECB236" s="15"/>
      <c r="ECC236" s="15"/>
      <c r="ECD236" s="10"/>
      <c r="ECE236" s="10"/>
      <c r="ECF236" s="21"/>
      <c r="ECG236" s="21"/>
      <c r="ECJ236" s="21"/>
      <c r="ECK236" s="15"/>
      <c r="ECL236" s="15"/>
      <c r="ECM236" s="15"/>
      <c r="ECN236" s="15"/>
      <c r="ECO236" s="15"/>
      <c r="ECP236" s="15"/>
      <c r="ECQ236" s="15"/>
      <c r="ECR236" s="15"/>
      <c r="ECS236" s="15"/>
      <c r="ECT236" s="15"/>
      <c r="ECU236" s="10"/>
      <c r="ECV236" s="10"/>
      <c r="ECW236" s="21"/>
      <c r="ECX236" s="21"/>
      <c r="EDA236" s="21"/>
      <c r="EDB236" s="15"/>
      <c r="EDC236" s="15"/>
      <c r="EDD236" s="15"/>
      <c r="EDE236" s="15"/>
      <c r="EDF236" s="15"/>
      <c r="EDG236" s="15"/>
      <c r="EDH236" s="15"/>
      <c r="EDI236" s="15"/>
      <c r="EDJ236" s="15"/>
      <c r="EDK236" s="15"/>
      <c r="EDL236" s="10"/>
      <c r="EDM236" s="10"/>
      <c r="EDN236" s="21"/>
      <c r="EDO236" s="21"/>
      <c r="EDR236" s="21"/>
      <c r="EDS236" s="15"/>
      <c r="EDT236" s="15"/>
      <c r="EDU236" s="15"/>
      <c r="EDV236" s="15"/>
      <c r="EDW236" s="15"/>
      <c r="EDX236" s="15"/>
      <c r="EDY236" s="15"/>
      <c r="EDZ236" s="15"/>
      <c r="EEA236" s="15"/>
      <c r="EEB236" s="15"/>
      <c r="EEC236" s="10"/>
      <c r="EED236" s="10"/>
      <c r="EEE236" s="21"/>
      <c r="EEF236" s="21"/>
      <c r="EEI236" s="21"/>
      <c r="EEJ236" s="15"/>
      <c r="EEK236" s="15"/>
      <c r="EEL236" s="15"/>
      <c r="EEM236" s="15"/>
      <c r="EEN236" s="15"/>
      <c r="EEO236" s="15"/>
      <c r="EEP236" s="15"/>
      <c r="EEQ236" s="15"/>
      <c r="EER236" s="15"/>
      <c r="EES236" s="15"/>
      <c r="EET236" s="10"/>
      <c r="EEU236" s="10"/>
      <c r="EEV236" s="21"/>
      <c r="EEW236" s="21"/>
      <c r="EEZ236" s="21"/>
      <c r="EFA236" s="15"/>
      <c r="EFB236" s="15"/>
      <c r="EFC236" s="15"/>
      <c r="EFD236" s="15"/>
      <c r="EFE236" s="15"/>
      <c r="EFF236" s="15"/>
      <c r="EFG236" s="15"/>
      <c r="EFH236" s="15"/>
      <c r="EFI236" s="15"/>
      <c r="EFJ236" s="15"/>
      <c r="EFK236" s="10"/>
      <c r="EFL236" s="10"/>
      <c r="EFM236" s="21"/>
      <c r="EFN236" s="21"/>
      <c r="EFQ236" s="21"/>
      <c r="EFR236" s="15"/>
      <c r="EFS236" s="15"/>
      <c r="EFT236" s="15"/>
      <c r="EFU236" s="15"/>
      <c r="EFV236" s="15"/>
      <c r="EFW236" s="15"/>
      <c r="EFX236" s="15"/>
      <c r="EFY236" s="15"/>
      <c r="EFZ236" s="15"/>
      <c r="EGA236" s="15"/>
      <c r="EGB236" s="10"/>
      <c r="EGC236" s="10"/>
      <c r="EGD236" s="21"/>
      <c r="EGE236" s="21"/>
      <c r="EGH236" s="21"/>
      <c r="EGI236" s="15"/>
      <c r="EGJ236" s="15"/>
      <c r="EGK236" s="15"/>
      <c r="EGL236" s="15"/>
      <c r="EGM236" s="15"/>
      <c r="EGN236" s="15"/>
      <c r="EGO236" s="15"/>
      <c r="EGP236" s="15"/>
      <c r="EGQ236" s="15"/>
      <c r="EGR236" s="15"/>
      <c r="EGS236" s="10"/>
      <c r="EGT236" s="10"/>
      <c r="EGU236" s="21"/>
      <c r="EGV236" s="21"/>
      <c r="EGY236" s="21"/>
      <c r="EGZ236" s="15"/>
      <c r="EHA236" s="15"/>
      <c r="EHB236" s="15"/>
      <c r="EHC236" s="15"/>
      <c r="EHD236" s="15"/>
      <c r="EHE236" s="15"/>
      <c r="EHF236" s="15"/>
      <c r="EHG236" s="15"/>
      <c r="EHH236" s="15"/>
      <c r="EHI236" s="15"/>
      <c r="EHJ236" s="10"/>
      <c r="EHK236" s="10"/>
      <c r="EHL236" s="21"/>
      <c r="EHM236" s="21"/>
      <c r="EHP236" s="21"/>
      <c r="EHQ236" s="15"/>
      <c r="EHR236" s="15"/>
      <c r="EHS236" s="15"/>
      <c r="EHT236" s="15"/>
      <c r="EHU236" s="15"/>
      <c r="EHV236" s="15"/>
      <c r="EHW236" s="15"/>
      <c r="EHX236" s="15"/>
      <c r="EHY236" s="15"/>
      <c r="EHZ236" s="15"/>
      <c r="EIA236" s="10"/>
      <c r="EIB236" s="10"/>
      <c r="EIC236" s="21"/>
      <c r="EID236" s="21"/>
      <c r="EIG236" s="21"/>
      <c r="EIH236" s="15"/>
      <c r="EII236" s="15"/>
      <c r="EIJ236" s="15"/>
      <c r="EIK236" s="15"/>
      <c r="EIL236" s="15"/>
      <c r="EIM236" s="15"/>
      <c r="EIN236" s="15"/>
      <c r="EIO236" s="15"/>
      <c r="EIP236" s="15"/>
      <c r="EIQ236" s="15"/>
      <c r="EIR236" s="10"/>
      <c r="EIS236" s="10"/>
      <c r="EIT236" s="21"/>
      <c r="EIU236" s="21"/>
      <c r="EIX236" s="21"/>
      <c r="EIY236" s="15"/>
      <c r="EIZ236" s="15"/>
      <c r="EJA236" s="15"/>
      <c r="EJB236" s="15"/>
      <c r="EJC236" s="15"/>
      <c r="EJD236" s="15"/>
      <c r="EJE236" s="15"/>
      <c r="EJF236" s="15"/>
      <c r="EJG236" s="15"/>
      <c r="EJH236" s="15"/>
      <c r="EJI236" s="10"/>
      <c r="EJJ236" s="10"/>
      <c r="EJK236" s="21"/>
      <c r="EJL236" s="21"/>
      <c r="EJO236" s="21"/>
      <c r="EJP236" s="15"/>
      <c r="EJQ236" s="15"/>
      <c r="EJR236" s="15"/>
      <c r="EJS236" s="15"/>
      <c r="EJT236" s="15"/>
      <c r="EJU236" s="15"/>
      <c r="EJV236" s="15"/>
      <c r="EJW236" s="15"/>
      <c r="EJX236" s="15"/>
      <c r="EJY236" s="15"/>
      <c r="EJZ236" s="10"/>
      <c r="EKA236" s="10"/>
      <c r="EKB236" s="21"/>
      <c r="EKC236" s="21"/>
      <c r="EKF236" s="21"/>
      <c r="EKG236" s="15"/>
      <c r="EKH236" s="15"/>
      <c r="EKI236" s="15"/>
      <c r="EKJ236" s="15"/>
      <c r="EKK236" s="15"/>
      <c r="EKL236" s="15"/>
      <c r="EKM236" s="15"/>
      <c r="EKN236" s="15"/>
      <c r="EKO236" s="15"/>
      <c r="EKP236" s="15"/>
      <c r="EKQ236" s="10"/>
      <c r="EKR236" s="10"/>
      <c r="EKS236" s="21"/>
      <c r="EKT236" s="21"/>
      <c r="EKW236" s="21"/>
      <c r="EKX236" s="15"/>
      <c r="EKY236" s="15"/>
      <c r="EKZ236" s="15"/>
      <c r="ELA236" s="15"/>
      <c r="ELB236" s="15"/>
      <c r="ELC236" s="15"/>
      <c r="ELD236" s="15"/>
      <c r="ELE236" s="15"/>
      <c r="ELF236" s="15"/>
      <c r="ELG236" s="15"/>
      <c r="ELH236" s="10"/>
      <c r="ELI236" s="10"/>
      <c r="ELJ236" s="21"/>
      <c r="ELK236" s="21"/>
      <c r="ELN236" s="21"/>
      <c r="ELO236" s="15"/>
      <c r="ELP236" s="15"/>
      <c r="ELQ236" s="15"/>
      <c r="ELR236" s="15"/>
      <c r="ELS236" s="15"/>
      <c r="ELT236" s="15"/>
      <c r="ELU236" s="15"/>
      <c r="ELV236" s="15"/>
      <c r="ELW236" s="15"/>
      <c r="ELX236" s="15"/>
      <c r="ELY236" s="10"/>
      <c r="ELZ236" s="10"/>
      <c r="EMA236" s="21"/>
      <c r="EMB236" s="21"/>
      <c r="EME236" s="21"/>
      <c r="EMF236" s="15"/>
      <c r="EMG236" s="15"/>
      <c r="EMH236" s="15"/>
      <c r="EMI236" s="15"/>
      <c r="EMJ236" s="15"/>
      <c r="EMK236" s="15"/>
      <c r="EML236" s="15"/>
      <c r="EMM236" s="15"/>
      <c r="EMN236" s="15"/>
      <c r="EMO236" s="15"/>
      <c r="EMP236" s="10"/>
      <c r="EMQ236" s="10"/>
      <c r="EMR236" s="21"/>
      <c r="EMS236" s="21"/>
      <c r="EMV236" s="21"/>
      <c r="EMW236" s="15"/>
      <c r="EMX236" s="15"/>
      <c r="EMY236" s="15"/>
      <c r="EMZ236" s="15"/>
      <c r="ENA236" s="15"/>
      <c r="ENB236" s="15"/>
      <c r="ENC236" s="15"/>
      <c r="END236" s="15"/>
      <c r="ENE236" s="15"/>
      <c r="ENF236" s="15"/>
      <c r="ENG236" s="10"/>
      <c r="ENH236" s="10"/>
      <c r="ENI236" s="21"/>
      <c r="ENJ236" s="21"/>
      <c r="ENM236" s="21"/>
      <c r="ENN236" s="15"/>
      <c r="ENO236" s="15"/>
      <c r="ENP236" s="15"/>
      <c r="ENQ236" s="15"/>
      <c r="ENR236" s="15"/>
      <c r="ENS236" s="15"/>
      <c r="ENT236" s="15"/>
      <c r="ENU236" s="15"/>
      <c r="ENV236" s="15"/>
      <c r="ENW236" s="15"/>
      <c r="ENX236" s="10"/>
      <c r="ENY236" s="10"/>
      <c r="ENZ236" s="21"/>
      <c r="EOA236" s="21"/>
      <c r="EOD236" s="21"/>
      <c r="EOE236" s="15"/>
      <c r="EOF236" s="15"/>
      <c r="EOG236" s="15"/>
      <c r="EOH236" s="15"/>
      <c r="EOI236" s="15"/>
      <c r="EOJ236" s="15"/>
      <c r="EOK236" s="15"/>
      <c r="EOL236" s="15"/>
      <c r="EOM236" s="15"/>
      <c r="EON236" s="15"/>
      <c r="EOO236" s="10"/>
      <c r="EOP236" s="10"/>
      <c r="EOQ236" s="21"/>
      <c r="EOR236" s="21"/>
      <c r="EOU236" s="21"/>
      <c r="EOV236" s="15"/>
      <c r="EOW236" s="15"/>
      <c r="EOX236" s="15"/>
      <c r="EOY236" s="15"/>
      <c r="EOZ236" s="15"/>
      <c r="EPA236" s="15"/>
      <c r="EPB236" s="15"/>
      <c r="EPC236" s="15"/>
      <c r="EPD236" s="15"/>
      <c r="EPE236" s="15"/>
      <c r="EPF236" s="10"/>
      <c r="EPG236" s="10"/>
      <c r="EPH236" s="21"/>
      <c r="EPI236" s="21"/>
      <c r="EPL236" s="21"/>
      <c r="EPM236" s="15"/>
      <c r="EPN236" s="15"/>
      <c r="EPO236" s="15"/>
      <c r="EPP236" s="15"/>
      <c r="EPQ236" s="15"/>
      <c r="EPR236" s="15"/>
      <c r="EPS236" s="15"/>
      <c r="EPT236" s="15"/>
      <c r="EPU236" s="15"/>
      <c r="EPV236" s="15"/>
      <c r="EPW236" s="10"/>
      <c r="EPX236" s="10"/>
      <c r="EPY236" s="21"/>
      <c r="EPZ236" s="21"/>
      <c r="EQC236" s="21"/>
      <c r="EQD236" s="15"/>
      <c r="EQE236" s="15"/>
      <c r="EQF236" s="15"/>
      <c r="EQG236" s="15"/>
      <c r="EQH236" s="15"/>
      <c r="EQI236" s="15"/>
      <c r="EQJ236" s="15"/>
      <c r="EQK236" s="15"/>
      <c r="EQL236" s="15"/>
      <c r="EQM236" s="15"/>
      <c r="EQN236" s="10"/>
      <c r="EQO236" s="10"/>
      <c r="EQP236" s="21"/>
      <c r="EQQ236" s="21"/>
      <c r="EQT236" s="21"/>
      <c r="EQU236" s="15"/>
      <c r="EQV236" s="15"/>
      <c r="EQW236" s="15"/>
      <c r="EQX236" s="15"/>
      <c r="EQY236" s="15"/>
      <c r="EQZ236" s="15"/>
      <c r="ERA236" s="15"/>
      <c r="ERB236" s="15"/>
      <c r="ERC236" s="15"/>
      <c r="ERD236" s="15"/>
      <c r="ERE236" s="10"/>
      <c r="ERF236" s="10"/>
      <c r="ERG236" s="21"/>
      <c r="ERH236" s="21"/>
      <c r="ERK236" s="21"/>
      <c r="ERL236" s="15"/>
      <c r="ERM236" s="15"/>
      <c r="ERN236" s="15"/>
      <c r="ERO236" s="15"/>
      <c r="ERP236" s="15"/>
      <c r="ERQ236" s="15"/>
      <c r="ERR236" s="15"/>
      <c r="ERS236" s="15"/>
      <c r="ERT236" s="15"/>
      <c r="ERU236" s="15"/>
      <c r="ERV236" s="10"/>
      <c r="ERW236" s="10"/>
      <c r="ERX236" s="21"/>
      <c r="ERY236" s="21"/>
      <c r="ESB236" s="21"/>
      <c r="ESC236" s="15"/>
      <c r="ESD236" s="15"/>
      <c r="ESE236" s="15"/>
      <c r="ESF236" s="15"/>
      <c r="ESG236" s="15"/>
      <c r="ESH236" s="15"/>
      <c r="ESI236" s="15"/>
      <c r="ESJ236" s="15"/>
      <c r="ESK236" s="15"/>
      <c r="ESL236" s="15"/>
      <c r="ESM236" s="10"/>
      <c r="ESN236" s="10"/>
      <c r="ESO236" s="21"/>
      <c r="ESP236" s="21"/>
      <c r="ESS236" s="21"/>
      <c r="EST236" s="15"/>
      <c r="ESU236" s="15"/>
      <c r="ESV236" s="15"/>
      <c r="ESW236" s="15"/>
      <c r="ESX236" s="15"/>
      <c r="ESY236" s="15"/>
      <c r="ESZ236" s="15"/>
      <c r="ETA236" s="15"/>
      <c r="ETB236" s="15"/>
      <c r="ETC236" s="15"/>
      <c r="ETD236" s="10"/>
      <c r="ETE236" s="10"/>
      <c r="ETF236" s="21"/>
      <c r="ETG236" s="21"/>
      <c r="ETJ236" s="21"/>
      <c r="ETK236" s="15"/>
      <c r="ETL236" s="15"/>
      <c r="ETM236" s="15"/>
      <c r="ETN236" s="15"/>
      <c r="ETO236" s="15"/>
      <c r="ETP236" s="15"/>
      <c r="ETQ236" s="15"/>
      <c r="ETR236" s="15"/>
      <c r="ETS236" s="15"/>
      <c r="ETT236" s="15"/>
      <c r="ETU236" s="10"/>
      <c r="ETV236" s="10"/>
      <c r="ETW236" s="21"/>
      <c r="ETX236" s="21"/>
      <c r="EUA236" s="21"/>
      <c r="EUB236" s="15"/>
      <c r="EUC236" s="15"/>
      <c r="EUD236" s="15"/>
      <c r="EUE236" s="15"/>
      <c r="EUF236" s="15"/>
      <c r="EUG236" s="15"/>
      <c r="EUH236" s="15"/>
      <c r="EUI236" s="15"/>
      <c r="EUJ236" s="15"/>
      <c r="EUK236" s="15"/>
      <c r="EUL236" s="10"/>
      <c r="EUM236" s="10"/>
      <c r="EUN236" s="21"/>
      <c r="EUO236" s="21"/>
      <c r="EUR236" s="21"/>
      <c r="EUS236" s="15"/>
      <c r="EUT236" s="15"/>
      <c r="EUU236" s="15"/>
      <c r="EUV236" s="15"/>
      <c r="EUW236" s="15"/>
      <c r="EUX236" s="15"/>
      <c r="EUY236" s="15"/>
      <c r="EUZ236" s="15"/>
      <c r="EVA236" s="15"/>
      <c r="EVB236" s="15"/>
      <c r="EVC236" s="10"/>
      <c r="EVD236" s="10"/>
      <c r="EVE236" s="21"/>
      <c r="EVF236" s="21"/>
      <c r="EVI236" s="21"/>
      <c r="EVJ236" s="15"/>
      <c r="EVK236" s="15"/>
      <c r="EVL236" s="15"/>
      <c r="EVM236" s="15"/>
      <c r="EVN236" s="15"/>
      <c r="EVO236" s="15"/>
      <c r="EVP236" s="15"/>
      <c r="EVQ236" s="15"/>
      <c r="EVR236" s="15"/>
      <c r="EVS236" s="15"/>
      <c r="EVT236" s="10"/>
      <c r="EVU236" s="10"/>
      <c r="EVV236" s="21"/>
      <c r="EVW236" s="21"/>
      <c r="EVZ236" s="21"/>
      <c r="EWA236" s="15"/>
      <c r="EWB236" s="15"/>
      <c r="EWC236" s="15"/>
      <c r="EWD236" s="15"/>
      <c r="EWE236" s="15"/>
      <c r="EWF236" s="15"/>
      <c r="EWG236" s="15"/>
      <c r="EWH236" s="15"/>
      <c r="EWI236" s="15"/>
      <c r="EWJ236" s="15"/>
      <c r="EWK236" s="10"/>
      <c r="EWL236" s="10"/>
      <c r="EWM236" s="21"/>
      <c r="EWN236" s="21"/>
      <c r="EWQ236" s="21"/>
      <c r="EWR236" s="15"/>
      <c r="EWS236" s="15"/>
      <c r="EWT236" s="15"/>
      <c r="EWU236" s="15"/>
      <c r="EWV236" s="15"/>
      <c r="EWW236" s="15"/>
      <c r="EWX236" s="15"/>
      <c r="EWY236" s="15"/>
      <c r="EWZ236" s="15"/>
      <c r="EXA236" s="15"/>
      <c r="EXB236" s="10"/>
      <c r="EXC236" s="10"/>
      <c r="EXD236" s="21"/>
      <c r="EXE236" s="21"/>
      <c r="EXH236" s="21"/>
      <c r="EXI236" s="15"/>
      <c r="EXJ236" s="15"/>
      <c r="EXK236" s="15"/>
      <c r="EXL236" s="15"/>
      <c r="EXM236" s="15"/>
      <c r="EXN236" s="15"/>
      <c r="EXO236" s="15"/>
      <c r="EXP236" s="15"/>
      <c r="EXQ236" s="15"/>
      <c r="EXR236" s="15"/>
      <c r="EXS236" s="10"/>
      <c r="EXT236" s="10"/>
      <c r="EXU236" s="21"/>
      <c r="EXV236" s="21"/>
      <c r="EXY236" s="21"/>
      <c r="EXZ236" s="15"/>
      <c r="EYA236" s="15"/>
      <c r="EYB236" s="15"/>
      <c r="EYC236" s="15"/>
      <c r="EYD236" s="15"/>
      <c r="EYE236" s="15"/>
      <c r="EYF236" s="15"/>
      <c r="EYG236" s="15"/>
      <c r="EYH236" s="15"/>
      <c r="EYI236" s="15"/>
      <c r="EYJ236" s="10"/>
      <c r="EYK236" s="10"/>
      <c r="EYL236" s="21"/>
      <c r="EYM236" s="21"/>
      <c r="EYP236" s="21"/>
      <c r="EYQ236" s="15"/>
      <c r="EYR236" s="15"/>
      <c r="EYS236" s="15"/>
      <c r="EYT236" s="15"/>
      <c r="EYU236" s="15"/>
      <c r="EYV236" s="15"/>
      <c r="EYW236" s="15"/>
      <c r="EYX236" s="15"/>
      <c r="EYY236" s="15"/>
      <c r="EYZ236" s="15"/>
      <c r="EZA236" s="10"/>
      <c r="EZB236" s="10"/>
      <c r="EZC236" s="21"/>
      <c r="EZD236" s="21"/>
      <c r="EZG236" s="21"/>
      <c r="EZH236" s="15"/>
      <c r="EZI236" s="15"/>
      <c r="EZJ236" s="15"/>
      <c r="EZK236" s="15"/>
      <c r="EZL236" s="15"/>
      <c r="EZM236" s="15"/>
      <c r="EZN236" s="15"/>
      <c r="EZO236" s="15"/>
      <c r="EZP236" s="15"/>
      <c r="EZQ236" s="15"/>
      <c r="EZR236" s="10"/>
      <c r="EZS236" s="10"/>
      <c r="EZT236" s="21"/>
      <c r="EZU236" s="21"/>
      <c r="EZX236" s="21"/>
      <c r="EZY236" s="15"/>
      <c r="EZZ236" s="15"/>
      <c r="FAA236" s="15"/>
      <c r="FAB236" s="15"/>
      <c r="FAC236" s="15"/>
      <c r="FAD236" s="15"/>
      <c r="FAE236" s="15"/>
      <c r="FAF236" s="15"/>
      <c r="FAG236" s="15"/>
      <c r="FAH236" s="15"/>
      <c r="FAI236" s="10"/>
      <c r="FAJ236" s="10"/>
      <c r="FAK236" s="21"/>
      <c r="FAL236" s="21"/>
      <c r="FAO236" s="21"/>
      <c r="FAP236" s="15"/>
      <c r="FAQ236" s="15"/>
      <c r="FAR236" s="15"/>
      <c r="FAS236" s="15"/>
      <c r="FAT236" s="15"/>
      <c r="FAU236" s="15"/>
      <c r="FAV236" s="15"/>
      <c r="FAW236" s="15"/>
      <c r="FAX236" s="15"/>
      <c r="FAY236" s="15"/>
      <c r="FAZ236" s="10"/>
      <c r="FBA236" s="10"/>
      <c r="FBB236" s="21"/>
      <c r="FBC236" s="21"/>
      <c r="FBF236" s="21"/>
      <c r="FBG236" s="15"/>
      <c r="FBH236" s="15"/>
      <c r="FBI236" s="15"/>
      <c r="FBJ236" s="15"/>
      <c r="FBK236" s="15"/>
      <c r="FBL236" s="15"/>
      <c r="FBM236" s="15"/>
      <c r="FBN236" s="15"/>
      <c r="FBO236" s="15"/>
      <c r="FBP236" s="15"/>
      <c r="FBQ236" s="10"/>
      <c r="FBR236" s="10"/>
      <c r="FBS236" s="21"/>
      <c r="FBT236" s="21"/>
      <c r="FBW236" s="21"/>
      <c r="FBX236" s="15"/>
      <c r="FBY236" s="15"/>
      <c r="FBZ236" s="15"/>
      <c r="FCA236" s="15"/>
      <c r="FCB236" s="15"/>
      <c r="FCC236" s="15"/>
      <c r="FCD236" s="15"/>
      <c r="FCE236" s="15"/>
      <c r="FCF236" s="15"/>
      <c r="FCG236" s="15"/>
      <c r="FCH236" s="10"/>
      <c r="FCI236" s="10"/>
      <c r="FCJ236" s="21"/>
      <c r="FCK236" s="21"/>
      <c r="FCN236" s="21"/>
      <c r="FCO236" s="15"/>
      <c r="FCP236" s="15"/>
      <c r="FCQ236" s="15"/>
      <c r="FCR236" s="15"/>
      <c r="FCS236" s="15"/>
      <c r="FCT236" s="15"/>
      <c r="FCU236" s="15"/>
      <c r="FCV236" s="15"/>
      <c r="FCW236" s="15"/>
      <c r="FCX236" s="15"/>
      <c r="FCY236" s="10"/>
      <c r="FCZ236" s="10"/>
      <c r="FDA236" s="21"/>
      <c r="FDB236" s="21"/>
      <c r="FDE236" s="21"/>
      <c r="FDF236" s="15"/>
      <c r="FDG236" s="15"/>
      <c r="FDH236" s="15"/>
      <c r="FDI236" s="15"/>
      <c r="FDJ236" s="15"/>
      <c r="FDK236" s="15"/>
      <c r="FDL236" s="15"/>
      <c r="FDM236" s="15"/>
      <c r="FDN236" s="15"/>
      <c r="FDO236" s="15"/>
      <c r="FDP236" s="10"/>
      <c r="FDQ236" s="10"/>
      <c r="FDR236" s="21"/>
      <c r="FDS236" s="21"/>
      <c r="FDV236" s="21"/>
      <c r="FDW236" s="15"/>
      <c r="FDX236" s="15"/>
      <c r="FDY236" s="15"/>
      <c r="FDZ236" s="15"/>
      <c r="FEA236" s="15"/>
      <c r="FEB236" s="15"/>
      <c r="FEC236" s="15"/>
      <c r="FED236" s="15"/>
      <c r="FEE236" s="15"/>
      <c r="FEF236" s="15"/>
      <c r="FEG236" s="10"/>
      <c r="FEH236" s="10"/>
      <c r="FEI236" s="21"/>
      <c r="FEJ236" s="21"/>
      <c r="FEM236" s="21"/>
      <c r="FEN236" s="15"/>
      <c r="FEO236" s="15"/>
      <c r="FEP236" s="15"/>
      <c r="FEQ236" s="15"/>
      <c r="FER236" s="15"/>
      <c r="FES236" s="15"/>
      <c r="FET236" s="15"/>
      <c r="FEU236" s="15"/>
      <c r="FEV236" s="15"/>
      <c r="FEW236" s="15"/>
      <c r="FEX236" s="10"/>
      <c r="FEY236" s="10"/>
      <c r="FEZ236" s="21"/>
      <c r="FFA236" s="21"/>
      <c r="FFD236" s="21"/>
      <c r="FFE236" s="15"/>
      <c r="FFF236" s="15"/>
      <c r="FFG236" s="15"/>
      <c r="FFH236" s="15"/>
      <c r="FFI236" s="15"/>
      <c r="FFJ236" s="15"/>
      <c r="FFK236" s="15"/>
      <c r="FFL236" s="15"/>
      <c r="FFM236" s="15"/>
      <c r="FFN236" s="15"/>
      <c r="FFO236" s="10"/>
      <c r="FFP236" s="10"/>
      <c r="FFQ236" s="21"/>
      <c r="FFR236" s="21"/>
      <c r="FFU236" s="21"/>
      <c r="FFV236" s="15"/>
      <c r="FFW236" s="15"/>
      <c r="FFX236" s="15"/>
      <c r="FFY236" s="15"/>
      <c r="FFZ236" s="15"/>
      <c r="FGA236" s="15"/>
      <c r="FGB236" s="15"/>
      <c r="FGC236" s="15"/>
      <c r="FGD236" s="15"/>
      <c r="FGE236" s="15"/>
      <c r="FGF236" s="10"/>
      <c r="FGG236" s="10"/>
      <c r="FGH236" s="21"/>
      <c r="FGI236" s="21"/>
      <c r="FGL236" s="21"/>
      <c r="FGM236" s="15"/>
      <c r="FGN236" s="15"/>
      <c r="FGO236" s="15"/>
      <c r="FGP236" s="15"/>
      <c r="FGQ236" s="15"/>
      <c r="FGR236" s="15"/>
      <c r="FGS236" s="15"/>
      <c r="FGT236" s="15"/>
      <c r="FGU236" s="15"/>
      <c r="FGV236" s="15"/>
      <c r="FGW236" s="10"/>
      <c r="FGX236" s="10"/>
      <c r="FGY236" s="21"/>
      <c r="FGZ236" s="21"/>
      <c r="FHC236" s="21"/>
      <c r="FHD236" s="15"/>
      <c r="FHE236" s="15"/>
      <c r="FHF236" s="15"/>
      <c r="FHG236" s="15"/>
      <c r="FHH236" s="15"/>
      <c r="FHI236" s="15"/>
      <c r="FHJ236" s="15"/>
      <c r="FHK236" s="15"/>
      <c r="FHL236" s="15"/>
      <c r="FHM236" s="15"/>
      <c r="FHN236" s="10"/>
      <c r="FHO236" s="10"/>
      <c r="FHP236" s="21"/>
      <c r="FHQ236" s="21"/>
      <c r="FHT236" s="21"/>
      <c r="FHU236" s="15"/>
      <c r="FHV236" s="15"/>
      <c r="FHW236" s="15"/>
      <c r="FHX236" s="15"/>
      <c r="FHY236" s="15"/>
      <c r="FHZ236" s="15"/>
      <c r="FIA236" s="15"/>
      <c r="FIB236" s="15"/>
      <c r="FIC236" s="15"/>
      <c r="FID236" s="15"/>
      <c r="FIE236" s="10"/>
      <c r="FIF236" s="10"/>
      <c r="FIG236" s="21"/>
      <c r="FIH236" s="21"/>
      <c r="FIK236" s="21"/>
      <c r="FIL236" s="15"/>
      <c r="FIM236" s="15"/>
      <c r="FIN236" s="15"/>
      <c r="FIO236" s="15"/>
      <c r="FIP236" s="15"/>
      <c r="FIQ236" s="15"/>
      <c r="FIR236" s="15"/>
      <c r="FIS236" s="15"/>
      <c r="FIT236" s="15"/>
      <c r="FIU236" s="15"/>
      <c r="FIV236" s="10"/>
      <c r="FIW236" s="10"/>
      <c r="FIX236" s="21"/>
      <c r="FIY236" s="21"/>
      <c r="FJB236" s="21"/>
      <c r="FJC236" s="15"/>
      <c r="FJD236" s="15"/>
      <c r="FJE236" s="15"/>
      <c r="FJF236" s="15"/>
      <c r="FJG236" s="15"/>
      <c r="FJH236" s="15"/>
      <c r="FJI236" s="15"/>
      <c r="FJJ236" s="15"/>
      <c r="FJK236" s="15"/>
      <c r="FJL236" s="15"/>
      <c r="FJM236" s="10"/>
      <c r="FJN236" s="10"/>
      <c r="FJO236" s="21"/>
      <c r="FJP236" s="21"/>
      <c r="FJS236" s="21"/>
      <c r="FJT236" s="15"/>
      <c r="FJU236" s="15"/>
      <c r="FJV236" s="15"/>
      <c r="FJW236" s="15"/>
      <c r="FJX236" s="15"/>
      <c r="FJY236" s="15"/>
      <c r="FJZ236" s="15"/>
      <c r="FKA236" s="15"/>
      <c r="FKB236" s="15"/>
      <c r="FKC236" s="15"/>
      <c r="FKD236" s="10"/>
      <c r="FKE236" s="10"/>
      <c r="FKF236" s="21"/>
      <c r="FKG236" s="21"/>
      <c r="FKJ236" s="21"/>
      <c r="FKK236" s="15"/>
      <c r="FKL236" s="15"/>
      <c r="FKM236" s="15"/>
      <c r="FKN236" s="15"/>
      <c r="FKO236" s="15"/>
      <c r="FKP236" s="15"/>
      <c r="FKQ236" s="15"/>
      <c r="FKR236" s="15"/>
      <c r="FKS236" s="15"/>
      <c r="FKT236" s="15"/>
      <c r="FKU236" s="10"/>
      <c r="FKV236" s="10"/>
      <c r="FKW236" s="21"/>
      <c r="FKX236" s="21"/>
      <c r="FLA236" s="21"/>
      <c r="FLB236" s="15"/>
      <c r="FLC236" s="15"/>
      <c r="FLD236" s="15"/>
      <c r="FLE236" s="15"/>
      <c r="FLF236" s="15"/>
      <c r="FLG236" s="15"/>
      <c r="FLH236" s="15"/>
      <c r="FLI236" s="15"/>
      <c r="FLJ236" s="15"/>
      <c r="FLK236" s="15"/>
      <c r="FLL236" s="10"/>
      <c r="FLM236" s="10"/>
      <c r="FLN236" s="21"/>
      <c r="FLO236" s="21"/>
      <c r="FLR236" s="21"/>
      <c r="FLS236" s="15"/>
      <c r="FLT236" s="15"/>
      <c r="FLU236" s="15"/>
      <c r="FLV236" s="15"/>
      <c r="FLW236" s="15"/>
      <c r="FLX236" s="15"/>
      <c r="FLY236" s="15"/>
      <c r="FLZ236" s="15"/>
      <c r="FMA236" s="15"/>
      <c r="FMB236" s="15"/>
      <c r="FMC236" s="10"/>
      <c r="FMD236" s="10"/>
      <c r="FME236" s="21"/>
      <c r="FMF236" s="21"/>
      <c r="FMI236" s="21"/>
      <c r="FMJ236" s="15"/>
      <c r="FMK236" s="15"/>
      <c r="FML236" s="15"/>
      <c r="FMM236" s="15"/>
      <c r="FMN236" s="15"/>
      <c r="FMO236" s="15"/>
      <c r="FMP236" s="15"/>
      <c r="FMQ236" s="15"/>
      <c r="FMR236" s="15"/>
      <c r="FMS236" s="15"/>
      <c r="FMT236" s="10"/>
      <c r="FMU236" s="10"/>
      <c r="FMV236" s="21"/>
      <c r="FMW236" s="21"/>
      <c r="FMZ236" s="21"/>
      <c r="FNA236" s="15"/>
      <c r="FNB236" s="15"/>
      <c r="FNC236" s="15"/>
      <c r="FND236" s="15"/>
      <c r="FNE236" s="15"/>
      <c r="FNF236" s="15"/>
      <c r="FNG236" s="15"/>
      <c r="FNH236" s="15"/>
      <c r="FNI236" s="15"/>
      <c r="FNJ236" s="15"/>
      <c r="FNK236" s="10"/>
      <c r="FNL236" s="10"/>
      <c r="FNM236" s="21"/>
      <c r="FNN236" s="21"/>
      <c r="FNQ236" s="21"/>
      <c r="FNR236" s="15"/>
      <c r="FNS236" s="15"/>
      <c r="FNT236" s="15"/>
      <c r="FNU236" s="15"/>
      <c r="FNV236" s="15"/>
      <c r="FNW236" s="15"/>
      <c r="FNX236" s="15"/>
      <c r="FNY236" s="15"/>
      <c r="FNZ236" s="15"/>
      <c r="FOA236" s="15"/>
      <c r="FOB236" s="10"/>
      <c r="FOC236" s="10"/>
      <c r="FOD236" s="21"/>
      <c r="FOE236" s="21"/>
      <c r="FOH236" s="21"/>
      <c r="FOI236" s="15"/>
      <c r="FOJ236" s="15"/>
      <c r="FOK236" s="15"/>
      <c r="FOL236" s="15"/>
      <c r="FOM236" s="15"/>
      <c r="FON236" s="15"/>
      <c r="FOO236" s="15"/>
      <c r="FOP236" s="15"/>
      <c r="FOQ236" s="15"/>
      <c r="FOR236" s="15"/>
      <c r="FOS236" s="10"/>
      <c r="FOT236" s="10"/>
      <c r="FOU236" s="21"/>
      <c r="FOV236" s="21"/>
      <c r="FOY236" s="21"/>
      <c r="FOZ236" s="15"/>
      <c r="FPA236" s="15"/>
      <c r="FPB236" s="15"/>
      <c r="FPC236" s="15"/>
      <c r="FPD236" s="15"/>
      <c r="FPE236" s="15"/>
      <c r="FPF236" s="15"/>
      <c r="FPG236" s="15"/>
      <c r="FPH236" s="15"/>
      <c r="FPI236" s="15"/>
      <c r="FPJ236" s="10"/>
      <c r="FPK236" s="10"/>
      <c r="FPL236" s="21"/>
      <c r="FPM236" s="21"/>
      <c r="FPP236" s="21"/>
      <c r="FPQ236" s="15"/>
      <c r="FPR236" s="15"/>
      <c r="FPS236" s="15"/>
      <c r="FPT236" s="15"/>
      <c r="FPU236" s="15"/>
      <c r="FPV236" s="15"/>
      <c r="FPW236" s="15"/>
      <c r="FPX236" s="15"/>
      <c r="FPY236" s="15"/>
      <c r="FPZ236" s="15"/>
      <c r="FQA236" s="10"/>
      <c r="FQB236" s="10"/>
      <c r="FQC236" s="21"/>
      <c r="FQD236" s="21"/>
      <c r="FQG236" s="21"/>
      <c r="FQH236" s="15"/>
      <c r="FQI236" s="15"/>
      <c r="FQJ236" s="15"/>
      <c r="FQK236" s="15"/>
      <c r="FQL236" s="15"/>
      <c r="FQM236" s="15"/>
      <c r="FQN236" s="15"/>
      <c r="FQO236" s="15"/>
      <c r="FQP236" s="15"/>
      <c r="FQQ236" s="15"/>
      <c r="FQR236" s="10"/>
      <c r="FQS236" s="10"/>
      <c r="FQT236" s="21"/>
      <c r="FQU236" s="21"/>
      <c r="FQX236" s="21"/>
      <c r="FQY236" s="15"/>
      <c r="FQZ236" s="15"/>
      <c r="FRA236" s="15"/>
      <c r="FRB236" s="15"/>
      <c r="FRC236" s="15"/>
      <c r="FRD236" s="15"/>
      <c r="FRE236" s="15"/>
      <c r="FRF236" s="15"/>
      <c r="FRG236" s="15"/>
      <c r="FRH236" s="15"/>
      <c r="FRI236" s="10"/>
      <c r="FRJ236" s="10"/>
      <c r="FRK236" s="21"/>
      <c r="FRL236" s="21"/>
      <c r="FRO236" s="21"/>
      <c r="FRP236" s="15"/>
      <c r="FRQ236" s="15"/>
      <c r="FRR236" s="15"/>
      <c r="FRS236" s="15"/>
      <c r="FRT236" s="15"/>
      <c r="FRU236" s="15"/>
      <c r="FRV236" s="15"/>
      <c r="FRW236" s="15"/>
      <c r="FRX236" s="15"/>
      <c r="FRY236" s="15"/>
      <c r="FRZ236" s="10"/>
      <c r="FSA236" s="10"/>
      <c r="FSB236" s="21"/>
      <c r="FSC236" s="21"/>
      <c r="FSF236" s="21"/>
      <c r="FSG236" s="15"/>
      <c r="FSH236" s="15"/>
      <c r="FSI236" s="15"/>
      <c r="FSJ236" s="15"/>
      <c r="FSK236" s="15"/>
      <c r="FSL236" s="15"/>
      <c r="FSM236" s="15"/>
      <c r="FSN236" s="15"/>
      <c r="FSO236" s="15"/>
      <c r="FSP236" s="15"/>
      <c r="FSQ236" s="10"/>
      <c r="FSR236" s="10"/>
      <c r="FSS236" s="21"/>
      <c r="FST236" s="21"/>
      <c r="FSW236" s="21"/>
      <c r="FSX236" s="15"/>
      <c r="FSY236" s="15"/>
      <c r="FSZ236" s="15"/>
      <c r="FTA236" s="15"/>
      <c r="FTB236" s="15"/>
      <c r="FTC236" s="15"/>
      <c r="FTD236" s="15"/>
      <c r="FTE236" s="15"/>
      <c r="FTF236" s="15"/>
      <c r="FTG236" s="15"/>
      <c r="FTH236" s="10"/>
      <c r="FTI236" s="10"/>
      <c r="FTJ236" s="21"/>
      <c r="FTK236" s="21"/>
      <c r="FTN236" s="21"/>
      <c r="FTO236" s="15"/>
      <c r="FTP236" s="15"/>
      <c r="FTQ236" s="15"/>
      <c r="FTR236" s="15"/>
      <c r="FTS236" s="15"/>
      <c r="FTT236" s="15"/>
      <c r="FTU236" s="15"/>
      <c r="FTV236" s="15"/>
      <c r="FTW236" s="15"/>
      <c r="FTX236" s="15"/>
      <c r="FTY236" s="10"/>
      <c r="FTZ236" s="10"/>
      <c r="FUA236" s="21"/>
      <c r="FUB236" s="21"/>
      <c r="FUE236" s="21"/>
      <c r="FUF236" s="15"/>
      <c r="FUG236" s="15"/>
      <c r="FUH236" s="15"/>
      <c r="FUI236" s="15"/>
      <c r="FUJ236" s="15"/>
      <c r="FUK236" s="15"/>
      <c r="FUL236" s="15"/>
      <c r="FUM236" s="15"/>
      <c r="FUN236" s="15"/>
      <c r="FUO236" s="15"/>
      <c r="FUP236" s="10"/>
      <c r="FUQ236" s="10"/>
      <c r="FUR236" s="21"/>
      <c r="FUS236" s="21"/>
      <c r="FUV236" s="21"/>
      <c r="FUW236" s="15"/>
      <c r="FUX236" s="15"/>
      <c r="FUY236" s="15"/>
      <c r="FUZ236" s="15"/>
      <c r="FVA236" s="15"/>
      <c r="FVB236" s="15"/>
      <c r="FVC236" s="15"/>
      <c r="FVD236" s="15"/>
      <c r="FVE236" s="15"/>
      <c r="FVF236" s="15"/>
      <c r="FVG236" s="10"/>
      <c r="FVH236" s="10"/>
      <c r="FVI236" s="21"/>
      <c r="FVJ236" s="21"/>
      <c r="FVM236" s="21"/>
      <c r="FVN236" s="15"/>
      <c r="FVO236" s="15"/>
      <c r="FVP236" s="15"/>
      <c r="FVQ236" s="15"/>
      <c r="FVR236" s="15"/>
      <c r="FVS236" s="15"/>
      <c r="FVT236" s="15"/>
      <c r="FVU236" s="15"/>
      <c r="FVV236" s="15"/>
      <c r="FVW236" s="15"/>
      <c r="FVX236" s="10"/>
      <c r="FVY236" s="10"/>
      <c r="FVZ236" s="21"/>
      <c r="FWA236" s="21"/>
      <c r="FWD236" s="21"/>
      <c r="FWE236" s="15"/>
      <c r="FWF236" s="15"/>
      <c r="FWG236" s="15"/>
      <c r="FWH236" s="15"/>
      <c r="FWI236" s="15"/>
      <c r="FWJ236" s="15"/>
      <c r="FWK236" s="15"/>
      <c r="FWL236" s="15"/>
      <c r="FWM236" s="15"/>
      <c r="FWN236" s="15"/>
      <c r="FWO236" s="10"/>
      <c r="FWP236" s="10"/>
      <c r="FWQ236" s="21"/>
      <c r="FWR236" s="21"/>
      <c r="FWU236" s="21"/>
      <c r="FWV236" s="15"/>
      <c r="FWW236" s="15"/>
      <c r="FWX236" s="15"/>
      <c r="FWY236" s="15"/>
      <c r="FWZ236" s="15"/>
      <c r="FXA236" s="15"/>
      <c r="FXB236" s="15"/>
      <c r="FXC236" s="15"/>
      <c r="FXD236" s="15"/>
      <c r="FXE236" s="15"/>
      <c r="FXF236" s="10"/>
      <c r="FXG236" s="10"/>
      <c r="FXH236" s="21"/>
      <c r="FXI236" s="21"/>
      <c r="FXL236" s="21"/>
      <c r="FXM236" s="15"/>
      <c r="FXN236" s="15"/>
      <c r="FXO236" s="15"/>
      <c r="FXP236" s="15"/>
      <c r="FXQ236" s="15"/>
      <c r="FXR236" s="15"/>
      <c r="FXS236" s="15"/>
      <c r="FXT236" s="15"/>
      <c r="FXU236" s="15"/>
      <c r="FXV236" s="15"/>
      <c r="FXW236" s="10"/>
      <c r="FXX236" s="10"/>
      <c r="FXY236" s="21"/>
      <c r="FXZ236" s="21"/>
      <c r="FYC236" s="21"/>
      <c r="FYD236" s="15"/>
      <c r="FYE236" s="15"/>
      <c r="FYF236" s="15"/>
      <c r="FYG236" s="15"/>
      <c r="FYH236" s="15"/>
      <c r="FYI236" s="15"/>
      <c r="FYJ236" s="15"/>
      <c r="FYK236" s="15"/>
      <c r="FYL236" s="15"/>
      <c r="FYM236" s="15"/>
      <c r="FYN236" s="10"/>
      <c r="FYO236" s="10"/>
      <c r="FYP236" s="21"/>
      <c r="FYQ236" s="21"/>
      <c r="FYT236" s="21"/>
      <c r="FYU236" s="15"/>
      <c r="FYV236" s="15"/>
      <c r="FYW236" s="15"/>
      <c r="FYX236" s="15"/>
      <c r="FYY236" s="15"/>
      <c r="FYZ236" s="15"/>
      <c r="FZA236" s="15"/>
      <c r="FZB236" s="15"/>
      <c r="FZC236" s="15"/>
      <c r="FZD236" s="15"/>
      <c r="FZE236" s="10"/>
      <c r="FZF236" s="10"/>
      <c r="FZG236" s="21"/>
      <c r="FZH236" s="21"/>
      <c r="FZK236" s="21"/>
      <c r="FZL236" s="15"/>
      <c r="FZM236" s="15"/>
      <c r="FZN236" s="15"/>
      <c r="FZO236" s="15"/>
      <c r="FZP236" s="15"/>
      <c r="FZQ236" s="15"/>
      <c r="FZR236" s="15"/>
      <c r="FZS236" s="15"/>
      <c r="FZT236" s="15"/>
      <c r="FZU236" s="15"/>
      <c r="FZV236" s="10"/>
      <c r="FZW236" s="10"/>
      <c r="FZX236" s="21"/>
      <c r="FZY236" s="21"/>
      <c r="GAB236" s="21"/>
      <c r="GAC236" s="15"/>
      <c r="GAD236" s="15"/>
      <c r="GAE236" s="15"/>
      <c r="GAF236" s="15"/>
      <c r="GAG236" s="15"/>
      <c r="GAH236" s="15"/>
      <c r="GAI236" s="15"/>
      <c r="GAJ236" s="15"/>
      <c r="GAK236" s="15"/>
      <c r="GAL236" s="15"/>
      <c r="GAM236" s="10"/>
      <c r="GAN236" s="10"/>
      <c r="GAO236" s="21"/>
      <c r="GAP236" s="21"/>
      <c r="GAS236" s="21"/>
      <c r="GAT236" s="15"/>
      <c r="GAU236" s="15"/>
      <c r="GAV236" s="15"/>
      <c r="GAW236" s="15"/>
      <c r="GAX236" s="15"/>
      <c r="GAY236" s="15"/>
      <c r="GAZ236" s="15"/>
      <c r="GBA236" s="15"/>
      <c r="GBB236" s="15"/>
      <c r="GBC236" s="15"/>
      <c r="GBD236" s="10"/>
      <c r="GBE236" s="10"/>
      <c r="GBF236" s="21"/>
      <c r="GBG236" s="21"/>
      <c r="GBJ236" s="21"/>
      <c r="GBK236" s="15"/>
      <c r="GBL236" s="15"/>
      <c r="GBM236" s="15"/>
      <c r="GBN236" s="15"/>
      <c r="GBO236" s="15"/>
      <c r="GBP236" s="15"/>
      <c r="GBQ236" s="15"/>
      <c r="GBR236" s="15"/>
      <c r="GBS236" s="15"/>
      <c r="GBT236" s="15"/>
      <c r="GBU236" s="10"/>
      <c r="GBV236" s="10"/>
      <c r="GBW236" s="21"/>
      <c r="GBX236" s="21"/>
      <c r="GCA236" s="21"/>
      <c r="GCB236" s="15"/>
      <c r="GCC236" s="15"/>
      <c r="GCD236" s="15"/>
      <c r="GCE236" s="15"/>
      <c r="GCF236" s="15"/>
      <c r="GCG236" s="15"/>
      <c r="GCH236" s="15"/>
      <c r="GCI236" s="15"/>
      <c r="GCJ236" s="15"/>
      <c r="GCK236" s="15"/>
      <c r="GCL236" s="10"/>
      <c r="GCM236" s="10"/>
      <c r="GCN236" s="21"/>
      <c r="GCO236" s="21"/>
      <c r="GCR236" s="21"/>
      <c r="GCS236" s="15"/>
      <c r="GCT236" s="15"/>
      <c r="GCU236" s="15"/>
      <c r="GCV236" s="15"/>
      <c r="GCW236" s="15"/>
      <c r="GCX236" s="15"/>
      <c r="GCY236" s="15"/>
      <c r="GCZ236" s="15"/>
      <c r="GDA236" s="15"/>
      <c r="GDB236" s="15"/>
      <c r="GDC236" s="10"/>
      <c r="GDD236" s="10"/>
      <c r="GDE236" s="21"/>
      <c r="GDF236" s="21"/>
      <c r="GDI236" s="21"/>
      <c r="GDJ236" s="15"/>
      <c r="GDK236" s="15"/>
      <c r="GDL236" s="15"/>
      <c r="GDM236" s="15"/>
      <c r="GDN236" s="15"/>
      <c r="GDO236" s="15"/>
      <c r="GDP236" s="15"/>
      <c r="GDQ236" s="15"/>
      <c r="GDR236" s="15"/>
      <c r="GDS236" s="15"/>
      <c r="GDT236" s="10"/>
      <c r="GDU236" s="10"/>
      <c r="GDV236" s="21"/>
      <c r="GDW236" s="21"/>
      <c r="GDZ236" s="21"/>
      <c r="GEA236" s="15"/>
      <c r="GEB236" s="15"/>
      <c r="GEC236" s="15"/>
      <c r="GED236" s="15"/>
      <c r="GEE236" s="15"/>
      <c r="GEF236" s="15"/>
      <c r="GEG236" s="15"/>
      <c r="GEH236" s="15"/>
      <c r="GEI236" s="15"/>
      <c r="GEJ236" s="15"/>
      <c r="GEK236" s="10"/>
      <c r="GEL236" s="10"/>
      <c r="GEM236" s="21"/>
      <c r="GEN236" s="21"/>
      <c r="GEQ236" s="21"/>
      <c r="GER236" s="15"/>
      <c r="GES236" s="15"/>
      <c r="GET236" s="15"/>
      <c r="GEU236" s="15"/>
      <c r="GEV236" s="15"/>
      <c r="GEW236" s="15"/>
      <c r="GEX236" s="15"/>
      <c r="GEY236" s="15"/>
      <c r="GEZ236" s="15"/>
      <c r="GFA236" s="15"/>
      <c r="GFB236" s="10"/>
      <c r="GFC236" s="10"/>
      <c r="GFD236" s="21"/>
      <c r="GFE236" s="21"/>
      <c r="GFH236" s="21"/>
      <c r="GFI236" s="15"/>
      <c r="GFJ236" s="15"/>
      <c r="GFK236" s="15"/>
      <c r="GFL236" s="15"/>
      <c r="GFM236" s="15"/>
      <c r="GFN236" s="15"/>
      <c r="GFO236" s="15"/>
      <c r="GFP236" s="15"/>
      <c r="GFQ236" s="15"/>
      <c r="GFR236" s="15"/>
      <c r="GFS236" s="10"/>
      <c r="GFT236" s="10"/>
      <c r="GFU236" s="21"/>
      <c r="GFV236" s="21"/>
      <c r="GFY236" s="21"/>
      <c r="GFZ236" s="15"/>
      <c r="GGA236" s="15"/>
      <c r="GGB236" s="15"/>
      <c r="GGC236" s="15"/>
      <c r="GGD236" s="15"/>
      <c r="GGE236" s="15"/>
      <c r="GGF236" s="15"/>
      <c r="GGG236" s="15"/>
      <c r="GGH236" s="15"/>
      <c r="GGI236" s="15"/>
      <c r="GGJ236" s="10"/>
      <c r="GGK236" s="10"/>
      <c r="GGL236" s="21"/>
      <c r="GGM236" s="21"/>
      <c r="GGP236" s="21"/>
      <c r="GGQ236" s="15"/>
      <c r="GGR236" s="15"/>
      <c r="GGS236" s="15"/>
      <c r="GGT236" s="15"/>
      <c r="GGU236" s="15"/>
      <c r="GGV236" s="15"/>
      <c r="GGW236" s="15"/>
      <c r="GGX236" s="15"/>
      <c r="GGY236" s="15"/>
      <c r="GGZ236" s="15"/>
      <c r="GHA236" s="10"/>
      <c r="GHB236" s="10"/>
      <c r="GHC236" s="21"/>
      <c r="GHD236" s="21"/>
      <c r="GHG236" s="21"/>
      <c r="GHH236" s="15"/>
      <c r="GHI236" s="15"/>
      <c r="GHJ236" s="15"/>
      <c r="GHK236" s="15"/>
      <c r="GHL236" s="15"/>
      <c r="GHM236" s="15"/>
      <c r="GHN236" s="15"/>
      <c r="GHO236" s="15"/>
      <c r="GHP236" s="15"/>
      <c r="GHQ236" s="15"/>
      <c r="GHR236" s="10"/>
      <c r="GHS236" s="10"/>
      <c r="GHT236" s="21"/>
      <c r="GHU236" s="21"/>
      <c r="GHX236" s="21"/>
      <c r="GHY236" s="15"/>
      <c r="GHZ236" s="15"/>
      <c r="GIA236" s="15"/>
      <c r="GIB236" s="15"/>
      <c r="GIC236" s="15"/>
      <c r="GID236" s="15"/>
      <c r="GIE236" s="15"/>
      <c r="GIF236" s="15"/>
      <c r="GIG236" s="15"/>
      <c r="GIH236" s="15"/>
      <c r="GII236" s="10"/>
      <c r="GIJ236" s="10"/>
      <c r="GIK236" s="21"/>
      <c r="GIL236" s="21"/>
      <c r="GIO236" s="21"/>
      <c r="GIP236" s="15"/>
      <c r="GIQ236" s="15"/>
      <c r="GIR236" s="15"/>
      <c r="GIS236" s="15"/>
      <c r="GIT236" s="15"/>
      <c r="GIU236" s="15"/>
      <c r="GIV236" s="15"/>
      <c r="GIW236" s="15"/>
      <c r="GIX236" s="15"/>
      <c r="GIY236" s="15"/>
      <c r="GIZ236" s="10"/>
      <c r="GJA236" s="10"/>
      <c r="GJB236" s="21"/>
      <c r="GJC236" s="21"/>
      <c r="GJF236" s="21"/>
      <c r="GJG236" s="15"/>
      <c r="GJH236" s="15"/>
      <c r="GJI236" s="15"/>
      <c r="GJJ236" s="15"/>
      <c r="GJK236" s="15"/>
      <c r="GJL236" s="15"/>
      <c r="GJM236" s="15"/>
      <c r="GJN236" s="15"/>
      <c r="GJO236" s="15"/>
      <c r="GJP236" s="15"/>
      <c r="GJQ236" s="10"/>
      <c r="GJR236" s="10"/>
      <c r="GJS236" s="21"/>
      <c r="GJT236" s="21"/>
      <c r="GJW236" s="21"/>
      <c r="GJX236" s="15"/>
      <c r="GJY236" s="15"/>
      <c r="GJZ236" s="15"/>
      <c r="GKA236" s="15"/>
      <c r="GKB236" s="15"/>
      <c r="GKC236" s="15"/>
      <c r="GKD236" s="15"/>
      <c r="GKE236" s="15"/>
      <c r="GKF236" s="15"/>
      <c r="GKG236" s="15"/>
      <c r="GKH236" s="10"/>
      <c r="GKI236" s="10"/>
      <c r="GKJ236" s="21"/>
      <c r="GKK236" s="21"/>
      <c r="GKN236" s="21"/>
      <c r="GKO236" s="15"/>
      <c r="GKP236" s="15"/>
      <c r="GKQ236" s="15"/>
      <c r="GKR236" s="15"/>
      <c r="GKS236" s="15"/>
      <c r="GKT236" s="15"/>
      <c r="GKU236" s="15"/>
      <c r="GKV236" s="15"/>
      <c r="GKW236" s="15"/>
      <c r="GKX236" s="15"/>
      <c r="GKY236" s="10"/>
      <c r="GKZ236" s="10"/>
      <c r="GLA236" s="21"/>
      <c r="GLB236" s="21"/>
      <c r="GLE236" s="21"/>
      <c r="GLF236" s="15"/>
      <c r="GLG236" s="15"/>
      <c r="GLH236" s="15"/>
      <c r="GLI236" s="15"/>
      <c r="GLJ236" s="15"/>
      <c r="GLK236" s="15"/>
      <c r="GLL236" s="15"/>
      <c r="GLM236" s="15"/>
      <c r="GLN236" s="15"/>
      <c r="GLO236" s="15"/>
      <c r="GLP236" s="10"/>
      <c r="GLQ236" s="10"/>
      <c r="GLR236" s="21"/>
      <c r="GLS236" s="21"/>
      <c r="GLV236" s="21"/>
      <c r="GLW236" s="15"/>
      <c r="GLX236" s="15"/>
      <c r="GLY236" s="15"/>
      <c r="GLZ236" s="15"/>
      <c r="GMA236" s="15"/>
      <c r="GMB236" s="15"/>
      <c r="GMC236" s="15"/>
      <c r="GMD236" s="15"/>
      <c r="GME236" s="15"/>
      <c r="GMF236" s="15"/>
      <c r="GMG236" s="10"/>
      <c r="GMH236" s="10"/>
      <c r="GMI236" s="21"/>
      <c r="GMJ236" s="21"/>
      <c r="GMM236" s="21"/>
      <c r="GMN236" s="15"/>
      <c r="GMO236" s="15"/>
      <c r="GMP236" s="15"/>
      <c r="GMQ236" s="15"/>
      <c r="GMR236" s="15"/>
      <c r="GMS236" s="15"/>
      <c r="GMT236" s="15"/>
      <c r="GMU236" s="15"/>
      <c r="GMV236" s="15"/>
      <c r="GMW236" s="15"/>
      <c r="GMX236" s="10"/>
      <c r="GMY236" s="10"/>
      <c r="GMZ236" s="21"/>
      <c r="GNA236" s="21"/>
      <c r="GND236" s="21"/>
      <c r="GNE236" s="15"/>
      <c r="GNF236" s="15"/>
      <c r="GNG236" s="15"/>
      <c r="GNH236" s="15"/>
      <c r="GNI236" s="15"/>
      <c r="GNJ236" s="15"/>
      <c r="GNK236" s="15"/>
      <c r="GNL236" s="15"/>
      <c r="GNM236" s="15"/>
      <c r="GNN236" s="15"/>
      <c r="GNO236" s="10"/>
      <c r="GNP236" s="10"/>
      <c r="GNQ236" s="21"/>
      <c r="GNR236" s="21"/>
      <c r="GNU236" s="21"/>
      <c r="GNV236" s="15"/>
      <c r="GNW236" s="15"/>
      <c r="GNX236" s="15"/>
      <c r="GNY236" s="15"/>
      <c r="GNZ236" s="15"/>
      <c r="GOA236" s="15"/>
      <c r="GOB236" s="15"/>
      <c r="GOC236" s="15"/>
      <c r="GOD236" s="15"/>
      <c r="GOE236" s="15"/>
      <c r="GOF236" s="10"/>
      <c r="GOG236" s="10"/>
      <c r="GOH236" s="21"/>
      <c r="GOI236" s="21"/>
      <c r="GOL236" s="21"/>
      <c r="GOM236" s="15"/>
      <c r="GON236" s="15"/>
      <c r="GOO236" s="15"/>
      <c r="GOP236" s="15"/>
      <c r="GOQ236" s="15"/>
      <c r="GOR236" s="15"/>
      <c r="GOS236" s="15"/>
      <c r="GOT236" s="15"/>
      <c r="GOU236" s="15"/>
      <c r="GOV236" s="15"/>
      <c r="GOW236" s="10"/>
      <c r="GOX236" s="10"/>
      <c r="GOY236" s="21"/>
      <c r="GOZ236" s="21"/>
      <c r="GPC236" s="21"/>
      <c r="GPD236" s="15"/>
      <c r="GPE236" s="15"/>
      <c r="GPF236" s="15"/>
      <c r="GPG236" s="15"/>
      <c r="GPH236" s="15"/>
      <c r="GPI236" s="15"/>
      <c r="GPJ236" s="15"/>
      <c r="GPK236" s="15"/>
      <c r="GPL236" s="15"/>
      <c r="GPM236" s="15"/>
      <c r="GPN236" s="10"/>
      <c r="GPO236" s="10"/>
      <c r="GPP236" s="21"/>
      <c r="GPQ236" s="21"/>
      <c r="GPT236" s="21"/>
      <c r="GPU236" s="15"/>
      <c r="GPV236" s="15"/>
      <c r="GPW236" s="15"/>
      <c r="GPX236" s="15"/>
      <c r="GPY236" s="15"/>
      <c r="GPZ236" s="15"/>
      <c r="GQA236" s="15"/>
      <c r="GQB236" s="15"/>
      <c r="GQC236" s="15"/>
      <c r="GQD236" s="15"/>
      <c r="GQE236" s="10"/>
      <c r="GQF236" s="10"/>
      <c r="GQG236" s="21"/>
      <c r="GQH236" s="21"/>
      <c r="GQK236" s="21"/>
      <c r="GQL236" s="15"/>
      <c r="GQM236" s="15"/>
      <c r="GQN236" s="15"/>
      <c r="GQO236" s="15"/>
      <c r="GQP236" s="15"/>
      <c r="GQQ236" s="15"/>
      <c r="GQR236" s="15"/>
      <c r="GQS236" s="15"/>
      <c r="GQT236" s="15"/>
      <c r="GQU236" s="15"/>
      <c r="GQV236" s="10"/>
      <c r="GQW236" s="10"/>
      <c r="GQX236" s="21"/>
      <c r="GQY236" s="21"/>
      <c r="GRB236" s="21"/>
      <c r="GRC236" s="15"/>
      <c r="GRD236" s="15"/>
      <c r="GRE236" s="15"/>
      <c r="GRF236" s="15"/>
      <c r="GRG236" s="15"/>
      <c r="GRH236" s="15"/>
      <c r="GRI236" s="15"/>
      <c r="GRJ236" s="15"/>
      <c r="GRK236" s="15"/>
      <c r="GRL236" s="15"/>
      <c r="GRM236" s="10"/>
      <c r="GRN236" s="10"/>
      <c r="GRO236" s="21"/>
      <c r="GRP236" s="21"/>
      <c r="GRS236" s="21"/>
      <c r="GRT236" s="15"/>
      <c r="GRU236" s="15"/>
      <c r="GRV236" s="15"/>
      <c r="GRW236" s="15"/>
      <c r="GRX236" s="15"/>
      <c r="GRY236" s="15"/>
      <c r="GRZ236" s="15"/>
      <c r="GSA236" s="15"/>
      <c r="GSB236" s="15"/>
      <c r="GSC236" s="15"/>
      <c r="GSD236" s="10"/>
      <c r="GSE236" s="10"/>
      <c r="GSF236" s="21"/>
      <c r="GSG236" s="21"/>
      <c r="GSJ236" s="21"/>
      <c r="GSK236" s="15"/>
      <c r="GSL236" s="15"/>
      <c r="GSM236" s="15"/>
      <c r="GSN236" s="15"/>
      <c r="GSO236" s="15"/>
      <c r="GSP236" s="15"/>
      <c r="GSQ236" s="15"/>
      <c r="GSR236" s="15"/>
      <c r="GSS236" s="15"/>
      <c r="GST236" s="15"/>
      <c r="GSU236" s="10"/>
      <c r="GSV236" s="10"/>
      <c r="GSW236" s="21"/>
      <c r="GSX236" s="21"/>
      <c r="GTA236" s="21"/>
      <c r="GTB236" s="15"/>
      <c r="GTC236" s="15"/>
      <c r="GTD236" s="15"/>
      <c r="GTE236" s="15"/>
      <c r="GTF236" s="15"/>
      <c r="GTG236" s="15"/>
      <c r="GTH236" s="15"/>
      <c r="GTI236" s="15"/>
      <c r="GTJ236" s="15"/>
      <c r="GTK236" s="15"/>
      <c r="GTL236" s="10"/>
      <c r="GTM236" s="10"/>
      <c r="GTN236" s="21"/>
      <c r="GTO236" s="21"/>
      <c r="GTR236" s="21"/>
      <c r="GTS236" s="15"/>
      <c r="GTT236" s="15"/>
      <c r="GTU236" s="15"/>
      <c r="GTV236" s="15"/>
      <c r="GTW236" s="15"/>
      <c r="GTX236" s="15"/>
      <c r="GTY236" s="15"/>
      <c r="GTZ236" s="15"/>
      <c r="GUA236" s="15"/>
      <c r="GUB236" s="15"/>
      <c r="GUC236" s="10"/>
      <c r="GUD236" s="10"/>
      <c r="GUE236" s="21"/>
      <c r="GUF236" s="21"/>
      <c r="GUI236" s="21"/>
      <c r="GUJ236" s="15"/>
      <c r="GUK236" s="15"/>
      <c r="GUL236" s="15"/>
      <c r="GUM236" s="15"/>
      <c r="GUN236" s="15"/>
      <c r="GUO236" s="15"/>
      <c r="GUP236" s="15"/>
      <c r="GUQ236" s="15"/>
      <c r="GUR236" s="15"/>
      <c r="GUS236" s="15"/>
      <c r="GUT236" s="10"/>
      <c r="GUU236" s="10"/>
      <c r="GUV236" s="21"/>
      <c r="GUW236" s="21"/>
      <c r="GUZ236" s="21"/>
      <c r="GVA236" s="15"/>
      <c r="GVB236" s="15"/>
      <c r="GVC236" s="15"/>
      <c r="GVD236" s="15"/>
      <c r="GVE236" s="15"/>
      <c r="GVF236" s="15"/>
      <c r="GVG236" s="15"/>
      <c r="GVH236" s="15"/>
      <c r="GVI236" s="15"/>
      <c r="GVJ236" s="15"/>
      <c r="GVK236" s="10"/>
      <c r="GVL236" s="10"/>
      <c r="GVM236" s="21"/>
      <c r="GVN236" s="21"/>
      <c r="GVQ236" s="21"/>
      <c r="GVR236" s="15"/>
      <c r="GVS236" s="15"/>
      <c r="GVT236" s="15"/>
      <c r="GVU236" s="15"/>
      <c r="GVV236" s="15"/>
      <c r="GVW236" s="15"/>
      <c r="GVX236" s="15"/>
      <c r="GVY236" s="15"/>
      <c r="GVZ236" s="15"/>
      <c r="GWA236" s="15"/>
      <c r="GWB236" s="10"/>
      <c r="GWC236" s="10"/>
      <c r="GWD236" s="21"/>
      <c r="GWE236" s="21"/>
      <c r="GWH236" s="21"/>
      <c r="GWI236" s="15"/>
      <c r="GWJ236" s="15"/>
      <c r="GWK236" s="15"/>
      <c r="GWL236" s="15"/>
      <c r="GWM236" s="15"/>
      <c r="GWN236" s="15"/>
      <c r="GWO236" s="15"/>
      <c r="GWP236" s="15"/>
      <c r="GWQ236" s="15"/>
      <c r="GWR236" s="15"/>
      <c r="GWS236" s="10"/>
      <c r="GWT236" s="10"/>
      <c r="GWU236" s="21"/>
      <c r="GWV236" s="21"/>
      <c r="GWY236" s="21"/>
      <c r="GWZ236" s="15"/>
      <c r="GXA236" s="15"/>
      <c r="GXB236" s="15"/>
      <c r="GXC236" s="15"/>
      <c r="GXD236" s="15"/>
      <c r="GXE236" s="15"/>
      <c r="GXF236" s="15"/>
      <c r="GXG236" s="15"/>
      <c r="GXH236" s="15"/>
      <c r="GXI236" s="15"/>
      <c r="GXJ236" s="10"/>
      <c r="GXK236" s="10"/>
      <c r="GXL236" s="21"/>
      <c r="GXM236" s="21"/>
      <c r="GXP236" s="21"/>
      <c r="GXQ236" s="15"/>
      <c r="GXR236" s="15"/>
      <c r="GXS236" s="15"/>
      <c r="GXT236" s="15"/>
      <c r="GXU236" s="15"/>
      <c r="GXV236" s="15"/>
      <c r="GXW236" s="15"/>
      <c r="GXX236" s="15"/>
      <c r="GXY236" s="15"/>
      <c r="GXZ236" s="15"/>
      <c r="GYA236" s="10"/>
      <c r="GYB236" s="10"/>
      <c r="GYC236" s="21"/>
      <c r="GYD236" s="21"/>
      <c r="GYG236" s="21"/>
      <c r="GYH236" s="15"/>
      <c r="GYI236" s="15"/>
      <c r="GYJ236" s="15"/>
      <c r="GYK236" s="15"/>
      <c r="GYL236" s="15"/>
      <c r="GYM236" s="15"/>
      <c r="GYN236" s="15"/>
      <c r="GYO236" s="15"/>
      <c r="GYP236" s="15"/>
      <c r="GYQ236" s="15"/>
      <c r="GYR236" s="10"/>
      <c r="GYS236" s="10"/>
      <c r="GYT236" s="21"/>
      <c r="GYU236" s="21"/>
      <c r="GYX236" s="21"/>
      <c r="GYY236" s="15"/>
      <c r="GYZ236" s="15"/>
      <c r="GZA236" s="15"/>
      <c r="GZB236" s="15"/>
      <c r="GZC236" s="15"/>
      <c r="GZD236" s="15"/>
      <c r="GZE236" s="15"/>
      <c r="GZF236" s="15"/>
      <c r="GZG236" s="15"/>
      <c r="GZH236" s="15"/>
      <c r="GZI236" s="10"/>
      <c r="GZJ236" s="10"/>
      <c r="GZK236" s="21"/>
      <c r="GZL236" s="21"/>
      <c r="GZO236" s="21"/>
      <c r="GZP236" s="15"/>
      <c r="GZQ236" s="15"/>
      <c r="GZR236" s="15"/>
      <c r="GZS236" s="15"/>
      <c r="GZT236" s="15"/>
      <c r="GZU236" s="15"/>
      <c r="GZV236" s="15"/>
      <c r="GZW236" s="15"/>
      <c r="GZX236" s="15"/>
      <c r="GZY236" s="15"/>
      <c r="GZZ236" s="10"/>
      <c r="HAA236" s="10"/>
      <c r="HAB236" s="21"/>
      <c r="HAC236" s="21"/>
      <c r="HAF236" s="21"/>
      <c r="HAG236" s="15"/>
      <c r="HAH236" s="15"/>
      <c r="HAI236" s="15"/>
      <c r="HAJ236" s="15"/>
      <c r="HAK236" s="15"/>
      <c r="HAL236" s="15"/>
      <c r="HAM236" s="15"/>
      <c r="HAN236" s="15"/>
      <c r="HAO236" s="15"/>
      <c r="HAP236" s="15"/>
      <c r="HAQ236" s="10"/>
      <c r="HAR236" s="10"/>
      <c r="HAS236" s="21"/>
      <c r="HAT236" s="21"/>
      <c r="HAW236" s="21"/>
      <c r="HAX236" s="15"/>
      <c r="HAY236" s="15"/>
      <c r="HAZ236" s="15"/>
      <c r="HBA236" s="15"/>
      <c r="HBB236" s="15"/>
      <c r="HBC236" s="15"/>
      <c r="HBD236" s="15"/>
      <c r="HBE236" s="15"/>
      <c r="HBF236" s="15"/>
      <c r="HBG236" s="15"/>
      <c r="HBH236" s="10"/>
      <c r="HBI236" s="10"/>
      <c r="HBJ236" s="21"/>
      <c r="HBK236" s="21"/>
      <c r="HBN236" s="21"/>
      <c r="HBO236" s="15"/>
      <c r="HBP236" s="15"/>
      <c r="HBQ236" s="15"/>
      <c r="HBR236" s="15"/>
      <c r="HBS236" s="15"/>
      <c r="HBT236" s="15"/>
      <c r="HBU236" s="15"/>
      <c r="HBV236" s="15"/>
      <c r="HBW236" s="15"/>
      <c r="HBX236" s="15"/>
      <c r="HBY236" s="10"/>
      <c r="HBZ236" s="10"/>
      <c r="HCA236" s="21"/>
      <c r="HCB236" s="21"/>
      <c r="HCE236" s="21"/>
      <c r="HCF236" s="15"/>
      <c r="HCG236" s="15"/>
      <c r="HCH236" s="15"/>
      <c r="HCI236" s="15"/>
      <c r="HCJ236" s="15"/>
      <c r="HCK236" s="15"/>
      <c r="HCL236" s="15"/>
      <c r="HCM236" s="15"/>
      <c r="HCN236" s="15"/>
      <c r="HCO236" s="15"/>
      <c r="HCP236" s="10"/>
      <c r="HCQ236" s="10"/>
      <c r="HCR236" s="21"/>
      <c r="HCS236" s="21"/>
      <c r="HCV236" s="21"/>
      <c r="HCW236" s="15"/>
      <c r="HCX236" s="15"/>
      <c r="HCY236" s="15"/>
      <c r="HCZ236" s="15"/>
      <c r="HDA236" s="15"/>
      <c r="HDB236" s="15"/>
      <c r="HDC236" s="15"/>
      <c r="HDD236" s="15"/>
      <c r="HDE236" s="15"/>
      <c r="HDF236" s="15"/>
      <c r="HDG236" s="10"/>
      <c r="HDH236" s="10"/>
      <c r="HDI236" s="21"/>
      <c r="HDJ236" s="21"/>
      <c r="HDM236" s="21"/>
      <c r="HDN236" s="15"/>
      <c r="HDO236" s="15"/>
      <c r="HDP236" s="15"/>
      <c r="HDQ236" s="15"/>
      <c r="HDR236" s="15"/>
      <c r="HDS236" s="15"/>
      <c r="HDT236" s="15"/>
      <c r="HDU236" s="15"/>
      <c r="HDV236" s="15"/>
      <c r="HDW236" s="15"/>
      <c r="HDX236" s="10"/>
      <c r="HDY236" s="10"/>
      <c r="HDZ236" s="21"/>
      <c r="HEA236" s="21"/>
      <c r="HED236" s="21"/>
      <c r="HEE236" s="15"/>
      <c r="HEF236" s="15"/>
      <c r="HEG236" s="15"/>
      <c r="HEH236" s="15"/>
      <c r="HEI236" s="15"/>
      <c r="HEJ236" s="15"/>
      <c r="HEK236" s="15"/>
      <c r="HEL236" s="15"/>
      <c r="HEM236" s="15"/>
      <c r="HEN236" s="15"/>
      <c r="HEO236" s="10"/>
      <c r="HEP236" s="10"/>
      <c r="HEQ236" s="21"/>
      <c r="HER236" s="21"/>
      <c r="HEU236" s="21"/>
      <c r="HEV236" s="15"/>
      <c r="HEW236" s="15"/>
      <c r="HEX236" s="15"/>
      <c r="HEY236" s="15"/>
      <c r="HEZ236" s="15"/>
      <c r="HFA236" s="15"/>
      <c r="HFB236" s="15"/>
      <c r="HFC236" s="15"/>
      <c r="HFD236" s="15"/>
      <c r="HFE236" s="15"/>
      <c r="HFF236" s="10"/>
      <c r="HFG236" s="10"/>
      <c r="HFH236" s="21"/>
      <c r="HFI236" s="21"/>
      <c r="HFL236" s="21"/>
      <c r="HFM236" s="15"/>
      <c r="HFN236" s="15"/>
      <c r="HFO236" s="15"/>
      <c r="HFP236" s="15"/>
      <c r="HFQ236" s="15"/>
      <c r="HFR236" s="15"/>
      <c r="HFS236" s="15"/>
      <c r="HFT236" s="15"/>
      <c r="HFU236" s="15"/>
      <c r="HFV236" s="15"/>
      <c r="HFW236" s="10"/>
      <c r="HFX236" s="10"/>
      <c r="HFY236" s="21"/>
      <c r="HFZ236" s="21"/>
      <c r="HGC236" s="21"/>
      <c r="HGD236" s="15"/>
      <c r="HGE236" s="15"/>
      <c r="HGF236" s="15"/>
      <c r="HGG236" s="15"/>
      <c r="HGH236" s="15"/>
      <c r="HGI236" s="15"/>
      <c r="HGJ236" s="15"/>
      <c r="HGK236" s="15"/>
      <c r="HGL236" s="15"/>
      <c r="HGM236" s="15"/>
      <c r="HGN236" s="10"/>
      <c r="HGO236" s="10"/>
      <c r="HGP236" s="21"/>
      <c r="HGQ236" s="21"/>
      <c r="HGT236" s="21"/>
      <c r="HGU236" s="15"/>
      <c r="HGV236" s="15"/>
      <c r="HGW236" s="15"/>
      <c r="HGX236" s="15"/>
      <c r="HGY236" s="15"/>
      <c r="HGZ236" s="15"/>
      <c r="HHA236" s="15"/>
      <c r="HHB236" s="15"/>
      <c r="HHC236" s="15"/>
      <c r="HHD236" s="15"/>
      <c r="HHE236" s="10"/>
      <c r="HHF236" s="10"/>
      <c r="HHG236" s="21"/>
      <c r="HHH236" s="21"/>
      <c r="HHK236" s="21"/>
      <c r="HHL236" s="15"/>
      <c r="HHM236" s="15"/>
      <c r="HHN236" s="15"/>
      <c r="HHO236" s="15"/>
      <c r="HHP236" s="15"/>
      <c r="HHQ236" s="15"/>
      <c r="HHR236" s="15"/>
      <c r="HHS236" s="15"/>
      <c r="HHT236" s="15"/>
      <c r="HHU236" s="15"/>
      <c r="HHV236" s="10"/>
      <c r="HHW236" s="10"/>
      <c r="HHX236" s="21"/>
      <c r="HHY236" s="21"/>
      <c r="HIB236" s="21"/>
      <c r="HIC236" s="15"/>
      <c r="HID236" s="15"/>
      <c r="HIE236" s="15"/>
      <c r="HIF236" s="15"/>
      <c r="HIG236" s="15"/>
      <c r="HIH236" s="15"/>
      <c r="HII236" s="15"/>
      <c r="HIJ236" s="15"/>
      <c r="HIK236" s="15"/>
      <c r="HIL236" s="15"/>
      <c r="HIM236" s="10"/>
      <c r="HIN236" s="10"/>
      <c r="HIO236" s="21"/>
      <c r="HIP236" s="21"/>
      <c r="HIS236" s="21"/>
      <c r="HIT236" s="15"/>
      <c r="HIU236" s="15"/>
      <c r="HIV236" s="15"/>
      <c r="HIW236" s="15"/>
      <c r="HIX236" s="15"/>
      <c r="HIY236" s="15"/>
      <c r="HIZ236" s="15"/>
      <c r="HJA236" s="15"/>
      <c r="HJB236" s="15"/>
      <c r="HJC236" s="15"/>
      <c r="HJD236" s="10"/>
      <c r="HJE236" s="10"/>
      <c r="HJF236" s="21"/>
      <c r="HJG236" s="21"/>
      <c r="HJJ236" s="21"/>
      <c r="HJK236" s="15"/>
      <c r="HJL236" s="15"/>
      <c r="HJM236" s="15"/>
      <c r="HJN236" s="15"/>
      <c r="HJO236" s="15"/>
      <c r="HJP236" s="15"/>
      <c r="HJQ236" s="15"/>
      <c r="HJR236" s="15"/>
      <c r="HJS236" s="15"/>
      <c r="HJT236" s="15"/>
      <c r="HJU236" s="10"/>
      <c r="HJV236" s="10"/>
      <c r="HJW236" s="21"/>
      <c r="HJX236" s="21"/>
      <c r="HKA236" s="21"/>
      <c r="HKB236" s="15"/>
      <c r="HKC236" s="15"/>
      <c r="HKD236" s="15"/>
      <c r="HKE236" s="15"/>
      <c r="HKF236" s="15"/>
      <c r="HKG236" s="15"/>
      <c r="HKH236" s="15"/>
      <c r="HKI236" s="15"/>
      <c r="HKJ236" s="15"/>
      <c r="HKK236" s="15"/>
      <c r="HKL236" s="10"/>
      <c r="HKM236" s="10"/>
      <c r="HKN236" s="21"/>
      <c r="HKO236" s="21"/>
      <c r="HKR236" s="21"/>
      <c r="HKS236" s="15"/>
      <c r="HKT236" s="15"/>
      <c r="HKU236" s="15"/>
      <c r="HKV236" s="15"/>
      <c r="HKW236" s="15"/>
      <c r="HKX236" s="15"/>
      <c r="HKY236" s="15"/>
      <c r="HKZ236" s="15"/>
      <c r="HLA236" s="15"/>
      <c r="HLB236" s="15"/>
      <c r="HLC236" s="10"/>
      <c r="HLD236" s="10"/>
      <c r="HLE236" s="21"/>
      <c r="HLF236" s="21"/>
      <c r="HLI236" s="21"/>
      <c r="HLJ236" s="15"/>
      <c r="HLK236" s="15"/>
      <c r="HLL236" s="15"/>
      <c r="HLM236" s="15"/>
      <c r="HLN236" s="15"/>
      <c r="HLO236" s="15"/>
      <c r="HLP236" s="15"/>
      <c r="HLQ236" s="15"/>
      <c r="HLR236" s="15"/>
      <c r="HLS236" s="15"/>
      <c r="HLT236" s="10"/>
      <c r="HLU236" s="10"/>
      <c r="HLV236" s="21"/>
      <c r="HLW236" s="21"/>
      <c r="HLZ236" s="21"/>
      <c r="HMA236" s="15"/>
      <c r="HMB236" s="15"/>
      <c r="HMC236" s="15"/>
      <c r="HMD236" s="15"/>
      <c r="HME236" s="15"/>
      <c r="HMF236" s="15"/>
      <c r="HMG236" s="15"/>
      <c r="HMH236" s="15"/>
      <c r="HMI236" s="15"/>
      <c r="HMJ236" s="15"/>
      <c r="HMK236" s="10"/>
      <c r="HML236" s="10"/>
      <c r="HMM236" s="21"/>
      <c r="HMN236" s="21"/>
      <c r="HMQ236" s="21"/>
      <c r="HMR236" s="15"/>
      <c r="HMS236" s="15"/>
      <c r="HMT236" s="15"/>
      <c r="HMU236" s="15"/>
      <c r="HMV236" s="15"/>
      <c r="HMW236" s="15"/>
      <c r="HMX236" s="15"/>
      <c r="HMY236" s="15"/>
      <c r="HMZ236" s="15"/>
      <c r="HNA236" s="15"/>
      <c r="HNB236" s="10"/>
      <c r="HNC236" s="10"/>
      <c r="HND236" s="21"/>
      <c r="HNE236" s="21"/>
      <c r="HNH236" s="21"/>
      <c r="HNI236" s="15"/>
      <c r="HNJ236" s="15"/>
      <c r="HNK236" s="15"/>
      <c r="HNL236" s="15"/>
      <c r="HNM236" s="15"/>
      <c r="HNN236" s="15"/>
      <c r="HNO236" s="15"/>
      <c r="HNP236" s="15"/>
      <c r="HNQ236" s="15"/>
      <c r="HNR236" s="15"/>
      <c r="HNS236" s="10"/>
      <c r="HNT236" s="10"/>
      <c r="HNU236" s="21"/>
      <c r="HNV236" s="21"/>
      <c r="HNY236" s="21"/>
      <c r="HNZ236" s="15"/>
      <c r="HOA236" s="15"/>
      <c r="HOB236" s="15"/>
      <c r="HOC236" s="15"/>
      <c r="HOD236" s="15"/>
      <c r="HOE236" s="15"/>
      <c r="HOF236" s="15"/>
      <c r="HOG236" s="15"/>
      <c r="HOH236" s="15"/>
      <c r="HOI236" s="15"/>
      <c r="HOJ236" s="10"/>
      <c r="HOK236" s="10"/>
      <c r="HOL236" s="21"/>
      <c r="HOM236" s="21"/>
      <c r="HOP236" s="21"/>
      <c r="HOQ236" s="15"/>
      <c r="HOR236" s="15"/>
      <c r="HOS236" s="15"/>
      <c r="HOT236" s="15"/>
      <c r="HOU236" s="15"/>
      <c r="HOV236" s="15"/>
      <c r="HOW236" s="15"/>
      <c r="HOX236" s="15"/>
      <c r="HOY236" s="15"/>
      <c r="HOZ236" s="15"/>
      <c r="HPA236" s="10"/>
      <c r="HPB236" s="10"/>
      <c r="HPC236" s="21"/>
      <c r="HPD236" s="21"/>
      <c r="HPG236" s="21"/>
      <c r="HPH236" s="15"/>
      <c r="HPI236" s="15"/>
      <c r="HPJ236" s="15"/>
      <c r="HPK236" s="15"/>
      <c r="HPL236" s="15"/>
      <c r="HPM236" s="15"/>
      <c r="HPN236" s="15"/>
      <c r="HPO236" s="15"/>
      <c r="HPP236" s="15"/>
      <c r="HPQ236" s="15"/>
      <c r="HPR236" s="10"/>
      <c r="HPS236" s="10"/>
      <c r="HPT236" s="21"/>
      <c r="HPU236" s="21"/>
      <c r="HPX236" s="21"/>
      <c r="HPY236" s="15"/>
      <c r="HPZ236" s="15"/>
      <c r="HQA236" s="15"/>
      <c r="HQB236" s="15"/>
      <c r="HQC236" s="15"/>
      <c r="HQD236" s="15"/>
      <c r="HQE236" s="15"/>
      <c r="HQF236" s="15"/>
      <c r="HQG236" s="15"/>
      <c r="HQH236" s="15"/>
      <c r="HQI236" s="10"/>
      <c r="HQJ236" s="10"/>
      <c r="HQK236" s="21"/>
      <c r="HQL236" s="21"/>
      <c r="HQO236" s="21"/>
      <c r="HQP236" s="15"/>
      <c r="HQQ236" s="15"/>
      <c r="HQR236" s="15"/>
      <c r="HQS236" s="15"/>
      <c r="HQT236" s="15"/>
      <c r="HQU236" s="15"/>
      <c r="HQV236" s="15"/>
      <c r="HQW236" s="15"/>
      <c r="HQX236" s="15"/>
      <c r="HQY236" s="15"/>
      <c r="HQZ236" s="10"/>
      <c r="HRA236" s="10"/>
      <c r="HRB236" s="21"/>
      <c r="HRC236" s="21"/>
      <c r="HRF236" s="21"/>
      <c r="HRG236" s="15"/>
      <c r="HRH236" s="15"/>
      <c r="HRI236" s="15"/>
      <c r="HRJ236" s="15"/>
      <c r="HRK236" s="15"/>
      <c r="HRL236" s="15"/>
      <c r="HRM236" s="15"/>
      <c r="HRN236" s="15"/>
      <c r="HRO236" s="15"/>
      <c r="HRP236" s="15"/>
      <c r="HRQ236" s="10"/>
      <c r="HRR236" s="10"/>
      <c r="HRS236" s="21"/>
      <c r="HRT236" s="21"/>
      <c r="HRW236" s="21"/>
      <c r="HRX236" s="15"/>
      <c r="HRY236" s="15"/>
      <c r="HRZ236" s="15"/>
      <c r="HSA236" s="15"/>
      <c r="HSB236" s="15"/>
      <c r="HSC236" s="15"/>
      <c r="HSD236" s="15"/>
      <c r="HSE236" s="15"/>
      <c r="HSF236" s="15"/>
      <c r="HSG236" s="15"/>
      <c r="HSH236" s="10"/>
      <c r="HSI236" s="10"/>
      <c r="HSJ236" s="21"/>
      <c r="HSK236" s="21"/>
      <c r="HSN236" s="21"/>
      <c r="HSO236" s="15"/>
      <c r="HSP236" s="15"/>
      <c r="HSQ236" s="15"/>
      <c r="HSR236" s="15"/>
      <c r="HSS236" s="15"/>
      <c r="HST236" s="15"/>
      <c r="HSU236" s="15"/>
      <c r="HSV236" s="15"/>
      <c r="HSW236" s="15"/>
      <c r="HSX236" s="15"/>
      <c r="HSY236" s="10"/>
      <c r="HSZ236" s="10"/>
      <c r="HTA236" s="21"/>
      <c r="HTB236" s="21"/>
      <c r="HTE236" s="21"/>
      <c r="HTF236" s="15"/>
      <c r="HTG236" s="15"/>
      <c r="HTH236" s="15"/>
      <c r="HTI236" s="15"/>
      <c r="HTJ236" s="15"/>
      <c r="HTK236" s="15"/>
      <c r="HTL236" s="15"/>
      <c r="HTM236" s="15"/>
      <c r="HTN236" s="15"/>
      <c r="HTO236" s="15"/>
      <c r="HTP236" s="10"/>
      <c r="HTQ236" s="10"/>
      <c r="HTR236" s="21"/>
      <c r="HTS236" s="21"/>
      <c r="HTV236" s="21"/>
      <c r="HTW236" s="15"/>
      <c r="HTX236" s="15"/>
      <c r="HTY236" s="15"/>
      <c r="HTZ236" s="15"/>
      <c r="HUA236" s="15"/>
      <c r="HUB236" s="15"/>
      <c r="HUC236" s="15"/>
      <c r="HUD236" s="15"/>
      <c r="HUE236" s="15"/>
      <c r="HUF236" s="15"/>
      <c r="HUG236" s="10"/>
      <c r="HUH236" s="10"/>
      <c r="HUI236" s="21"/>
      <c r="HUJ236" s="21"/>
      <c r="HUM236" s="21"/>
      <c r="HUN236" s="15"/>
      <c r="HUO236" s="15"/>
      <c r="HUP236" s="15"/>
      <c r="HUQ236" s="15"/>
      <c r="HUR236" s="15"/>
      <c r="HUS236" s="15"/>
      <c r="HUT236" s="15"/>
      <c r="HUU236" s="15"/>
      <c r="HUV236" s="15"/>
      <c r="HUW236" s="15"/>
      <c r="HUX236" s="10"/>
      <c r="HUY236" s="10"/>
      <c r="HUZ236" s="21"/>
      <c r="HVA236" s="21"/>
      <c r="HVD236" s="21"/>
      <c r="HVE236" s="15"/>
      <c r="HVF236" s="15"/>
      <c r="HVG236" s="15"/>
      <c r="HVH236" s="15"/>
      <c r="HVI236" s="15"/>
      <c r="HVJ236" s="15"/>
      <c r="HVK236" s="15"/>
      <c r="HVL236" s="15"/>
      <c r="HVM236" s="15"/>
      <c r="HVN236" s="15"/>
      <c r="HVO236" s="10"/>
      <c r="HVP236" s="10"/>
      <c r="HVQ236" s="21"/>
      <c r="HVR236" s="21"/>
      <c r="HVU236" s="21"/>
      <c r="HVV236" s="15"/>
      <c r="HVW236" s="15"/>
      <c r="HVX236" s="15"/>
      <c r="HVY236" s="15"/>
      <c r="HVZ236" s="15"/>
      <c r="HWA236" s="15"/>
      <c r="HWB236" s="15"/>
      <c r="HWC236" s="15"/>
      <c r="HWD236" s="15"/>
      <c r="HWE236" s="15"/>
      <c r="HWF236" s="10"/>
      <c r="HWG236" s="10"/>
      <c r="HWH236" s="21"/>
      <c r="HWI236" s="21"/>
      <c r="HWL236" s="21"/>
      <c r="HWM236" s="15"/>
      <c r="HWN236" s="15"/>
      <c r="HWO236" s="15"/>
      <c r="HWP236" s="15"/>
      <c r="HWQ236" s="15"/>
      <c r="HWR236" s="15"/>
      <c r="HWS236" s="15"/>
      <c r="HWT236" s="15"/>
      <c r="HWU236" s="15"/>
      <c r="HWV236" s="15"/>
      <c r="HWW236" s="10"/>
      <c r="HWX236" s="10"/>
      <c r="HWY236" s="21"/>
      <c r="HWZ236" s="21"/>
      <c r="HXC236" s="21"/>
      <c r="HXD236" s="15"/>
      <c r="HXE236" s="15"/>
      <c r="HXF236" s="15"/>
      <c r="HXG236" s="15"/>
      <c r="HXH236" s="15"/>
      <c r="HXI236" s="15"/>
      <c r="HXJ236" s="15"/>
      <c r="HXK236" s="15"/>
      <c r="HXL236" s="15"/>
      <c r="HXM236" s="15"/>
      <c r="HXN236" s="10"/>
      <c r="HXO236" s="10"/>
      <c r="HXP236" s="21"/>
      <c r="HXQ236" s="21"/>
      <c r="HXT236" s="21"/>
      <c r="HXU236" s="15"/>
      <c r="HXV236" s="15"/>
      <c r="HXW236" s="15"/>
      <c r="HXX236" s="15"/>
      <c r="HXY236" s="15"/>
      <c r="HXZ236" s="15"/>
      <c r="HYA236" s="15"/>
      <c r="HYB236" s="15"/>
      <c r="HYC236" s="15"/>
      <c r="HYD236" s="15"/>
      <c r="HYE236" s="10"/>
      <c r="HYF236" s="10"/>
      <c r="HYG236" s="21"/>
      <c r="HYH236" s="21"/>
      <c r="HYK236" s="21"/>
      <c r="HYL236" s="15"/>
      <c r="HYM236" s="15"/>
      <c r="HYN236" s="15"/>
      <c r="HYO236" s="15"/>
      <c r="HYP236" s="15"/>
      <c r="HYQ236" s="15"/>
      <c r="HYR236" s="15"/>
      <c r="HYS236" s="15"/>
      <c r="HYT236" s="15"/>
      <c r="HYU236" s="15"/>
      <c r="HYV236" s="10"/>
      <c r="HYW236" s="10"/>
      <c r="HYX236" s="21"/>
      <c r="HYY236" s="21"/>
      <c r="HZB236" s="21"/>
      <c r="HZC236" s="15"/>
      <c r="HZD236" s="15"/>
      <c r="HZE236" s="15"/>
      <c r="HZF236" s="15"/>
      <c r="HZG236" s="15"/>
      <c r="HZH236" s="15"/>
      <c r="HZI236" s="15"/>
      <c r="HZJ236" s="15"/>
      <c r="HZK236" s="15"/>
      <c r="HZL236" s="15"/>
      <c r="HZM236" s="10"/>
      <c r="HZN236" s="10"/>
      <c r="HZO236" s="21"/>
      <c r="HZP236" s="21"/>
      <c r="HZS236" s="21"/>
      <c r="HZT236" s="15"/>
      <c r="HZU236" s="15"/>
      <c r="HZV236" s="15"/>
      <c r="HZW236" s="15"/>
      <c r="HZX236" s="15"/>
      <c r="HZY236" s="15"/>
      <c r="HZZ236" s="15"/>
      <c r="IAA236" s="15"/>
      <c r="IAB236" s="15"/>
      <c r="IAC236" s="15"/>
      <c r="IAD236" s="10"/>
      <c r="IAE236" s="10"/>
      <c r="IAF236" s="21"/>
      <c r="IAG236" s="21"/>
      <c r="IAJ236" s="21"/>
      <c r="IAK236" s="15"/>
      <c r="IAL236" s="15"/>
      <c r="IAM236" s="15"/>
      <c r="IAN236" s="15"/>
      <c r="IAO236" s="15"/>
      <c r="IAP236" s="15"/>
      <c r="IAQ236" s="15"/>
      <c r="IAR236" s="15"/>
      <c r="IAS236" s="15"/>
      <c r="IAT236" s="15"/>
      <c r="IAU236" s="10"/>
      <c r="IAV236" s="10"/>
      <c r="IAW236" s="21"/>
      <c r="IAX236" s="21"/>
      <c r="IBA236" s="21"/>
      <c r="IBB236" s="15"/>
      <c r="IBC236" s="15"/>
      <c r="IBD236" s="15"/>
      <c r="IBE236" s="15"/>
      <c r="IBF236" s="15"/>
      <c r="IBG236" s="15"/>
      <c r="IBH236" s="15"/>
      <c r="IBI236" s="15"/>
      <c r="IBJ236" s="15"/>
      <c r="IBK236" s="15"/>
      <c r="IBL236" s="10"/>
      <c r="IBM236" s="10"/>
      <c r="IBN236" s="21"/>
      <c r="IBO236" s="21"/>
      <c r="IBR236" s="21"/>
      <c r="IBS236" s="15"/>
      <c r="IBT236" s="15"/>
      <c r="IBU236" s="15"/>
      <c r="IBV236" s="15"/>
      <c r="IBW236" s="15"/>
      <c r="IBX236" s="15"/>
      <c r="IBY236" s="15"/>
      <c r="IBZ236" s="15"/>
      <c r="ICA236" s="15"/>
      <c r="ICB236" s="15"/>
      <c r="ICC236" s="10"/>
      <c r="ICD236" s="10"/>
      <c r="ICE236" s="21"/>
      <c r="ICF236" s="21"/>
      <c r="ICI236" s="21"/>
      <c r="ICJ236" s="15"/>
      <c r="ICK236" s="15"/>
      <c r="ICL236" s="15"/>
      <c r="ICM236" s="15"/>
      <c r="ICN236" s="15"/>
      <c r="ICO236" s="15"/>
      <c r="ICP236" s="15"/>
      <c r="ICQ236" s="15"/>
      <c r="ICR236" s="15"/>
      <c r="ICS236" s="15"/>
      <c r="ICT236" s="10"/>
      <c r="ICU236" s="10"/>
      <c r="ICV236" s="21"/>
      <c r="ICW236" s="21"/>
      <c r="ICZ236" s="21"/>
      <c r="IDA236" s="15"/>
      <c r="IDB236" s="15"/>
      <c r="IDC236" s="15"/>
      <c r="IDD236" s="15"/>
      <c r="IDE236" s="15"/>
      <c r="IDF236" s="15"/>
      <c r="IDG236" s="15"/>
      <c r="IDH236" s="15"/>
      <c r="IDI236" s="15"/>
      <c r="IDJ236" s="15"/>
      <c r="IDK236" s="10"/>
      <c r="IDL236" s="10"/>
      <c r="IDM236" s="21"/>
      <c r="IDN236" s="21"/>
      <c r="IDQ236" s="21"/>
      <c r="IDR236" s="15"/>
      <c r="IDS236" s="15"/>
      <c r="IDT236" s="15"/>
      <c r="IDU236" s="15"/>
      <c r="IDV236" s="15"/>
      <c r="IDW236" s="15"/>
      <c r="IDX236" s="15"/>
      <c r="IDY236" s="15"/>
      <c r="IDZ236" s="15"/>
      <c r="IEA236" s="15"/>
      <c r="IEB236" s="10"/>
      <c r="IEC236" s="10"/>
      <c r="IED236" s="21"/>
      <c r="IEE236" s="21"/>
      <c r="IEH236" s="21"/>
      <c r="IEI236" s="15"/>
      <c r="IEJ236" s="15"/>
      <c r="IEK236" s="15"/>
      <c r="IEL236" s="15"/>
      <c r="IEM236" s="15"/>
      <c r="IEN236" s="15"/>
      <c r="IEO236" s="15"/>
      <c r="IEP236" s="15"/>
      <c r="IEQ236" s="15"/>
      <c r="IER236" s="15"/>
      <c r="IES236" s="10"/>
      <c r="IET236" s="10"/>
      <c r="IEU236" s="21"/>
      <c r="IEV236" s="21"/>
      <c r="IEY236" s="21"/>
      <c r="IEZ236" s="15"/>
      <c r="IFA236" s="15"/>
      <c r="IFB236" s="15"/>
      <c r="IFC236" s="15"/>
      <c r="IFD236" s="15"/>
      <c r="IFE236" s="15"/>
      <c r="IFF236" s="15"/>
      <c r="IFG236" s="15"/>
      <c r="IFH236" s="15"/>
      <c r="IFI236" s="15"/>
      <c r="IFJ236" s="10"/>
      <c r="IFK236" s="10"/>
      <c r="IFL236" s="21"/>
      <c r="IFM236" s="21"/>
      <c r="IFP236" s="21"/>
      <c r="IFQ236" s="15"/>
      <c r="IFR236" s="15"/>
      <c r="IFS236" s="15"/>
      <c r="IFT236" s="15"/>
      <c r="IFU236" s="15"/>
      <c r="IFV236" s="15"/>
      <c r="IFW236" s="15"/>
      <c r="IFX236" s="15"/>
      <c r="IFY236" s="15"/>
      <c r="IFZ236" s="15"/>
      <c r="IGA236" s="10"/>
      <c r="IGB236" s="10"/>
      <c r="IGC236" s="21"/>
      <c r="IGD236" s="21"/>
      <c r="IGG236" s="21"/>
      <c r="IGH236" s="15"/>
      <c r="IGI236" s="15"/>
      <c r="IGJ236" s="15"/>
      <c r="IGK236" s="15"/>
      <c r="IGL236" s="15"/>
      <c r="IGM236" s="15"/>
      <c r="IGN236" s="15"/>
      <c r="IGO236" s="15"/>
      <c r="IGP236" s="15"/>
      <c r="IGQ236" s="15"/>
      <c r="IGR236" s="10"/>
      <c r="IGS236" s="10"/>
      <c r="IGT236" s="21"/>
      <c r="IGU236" s="21"/>
      <c r="IGX236" s="21"/>
      <c r="IGY236" s="15"/>
      <c r="IGZ236" s="15"/>
      <c r="IHA236" s="15"/>
      <c r="IHB236" s="15"/>
      <c r="IHC236" s="15"/>
      <c r="IHD236" s="15"/>
      <c r="IHE236" s="15"/>
      <c r="IHF236" s="15"/>
      <c r="IHG236" s="15"/>
      <c r="IHH236" s="15"/>
      <c r="IHI236" s="10"/>
      <c r="IHJ236" s="10"/>
      <c r="IHK236" s="21"/>
      <c r="IHL236" s="21"/>
      <c r="IHO236" s="21"/>
      <c r="IHP236" s="15"/>
      <c r="IHQ236" s="15"/>
      <c r="IHR236" s="15"/>
      <c r="IHS236" s="15"/>
      <c r="IHT236" s="15"/>
      <c r="IHU236" s="15"/>
      <c r="IHV236" s="15"/>
      <c r="IHW236" s="15"/>
      <c r="IHX236" s="15"/>
      <c r="IHY236" s="15"/>
      <c r="IHZ236" s="10"/>
      <c r="IIA236" s="10"/>
      <c r="IIB236" s="21"/>
      <c r="IIC236" s="21"/>
      <c r="IIF236" s="21"/>
      <c r="IIG236" s="15"/>
      <c r="IIH236" s="15"/>
      <c r="III236" s="15"/>
      <c r="IIJ236" s="15"/>
      <c r="IIK236" s="15"/>
      <c r="IIL236" s="15"/>
      <c r="IIM236" s="15"/>
      <c r="IIN236" s="15"/>
      <c r="IIO236" s="15"/>
      <c r="IIP236" s="15"/>
      <c r="IIQ236" s="10"/>
      <c r="IIR236" s="10"/>
      <c r="IIS236" s="21"/>
      <c r="IIT236" s="21"/>
      <c r="IIW236" s="21"/>
      <c r="IIX236" s="15"/>
      <c r="IIY236" s="15"/>
      <c r="IIZ236" s="15"/>
      <c r="IJA236" s="15"/>
      <c r="IJB236" s="15"/>
      <c r="IJC236" s="15"/>
      <c r="IJD236" s="15"/>
      <c r="IJE236" s="15"/>
      <c r="IJF236" s="15"/>
      <c r="IJG236" s="15"/>
      <c r="IJH236" s="10"/>
      <c r="IJI236" s="10"/>
      <c r="IJJ236" s="21"/>
      <c r="IJK236" s="21"/>
      <c r="IJN236" s="21"/>
      <c r="IJO236" s="15"/>
      <c r="IJP236" s="15"/>
      <c r="IJQ236" s="15"/>
      <c r="IJR236" s="15"/>
      <c r="IJS236" s="15"/>
      <c r="IJT236" s="15"/>
      <c r="IJU236" s="15"/>
      <c r="IJV236" s="15"/>
      <c r="IJW236" s="15"/>
      <c r="IJX236" s="15"/>
      <c r="IJY236" s="10"/>
      <c r="IJZ236" s="10"/>
      <c r="IKA236" s="21"/>
      <c r="IKB236" s="21"/>
      <c r="IKE236" s="21"/>
      <c r="IKF236" s="15"/>
      <c r="IKG236" s="15"/>
      <c r="IKH236" s="15"/>
      <c r="IKI236" s="15"/>
      <c r="IKJ236" s="15"/>
      <c r="IKK236" s="15"/>
      <c r="IKL236" s="15"/>
      <c r="IKM236" s="15"/>
      <c r="IKN236" s="15"/>
      <c r="IKO236" s="15"/>
      <c r="IKP236" s="10"/>
      <c r="IKQ236" s="10"/>
      <c r="IKR236" s="21"/>
      <c r="IKS236" s="21"/>
      <c r="IKV236" s="21"/>
      <c r="IKW236" s="15"/>
      <c r="IKX236" s="15"/>
      <c r="IKY236" s="15"/>
      <c r="IKZ236" s="15"/>
      <c r="ILA236" s="15"/>
      <c r="ILB236" s="15"/>
      <c r="ILC236" s="15"/>
      <c r="ILD236" s="15"/>
      <c r="ILE236" s="15"/>
      <c r="ILF236" s="15"/>
      <c r="ILG236" s="10"/>
      <c r="ILH236" s="10"/>
      <c r="ILI236" s="21"/>
      <c r="ILJ236" s="21"/>
      <c r="ILM236" s="21"/>
      <c r="ILN236" s="15"/>
      <c r="ILO236" s="15"/>
      <c r="ILP236" s="15"/>
      <c r="ILQ236" s="15"/>
      <c r="ILR236" s="15"/>
      <c r="ILS236" s="15"/>
      <c r="ILT236" s="15"/>
      <c r="ILU236" s="15"/>
      <c r="ILV236" s="15"/>
      <c r="ILW236" s="15"/>
      <c r="ILX236" s="10"/>
      <c r="ILY236" s="10"/>
      <c r="ILZ236" s="21"/>
      <c r="IMA236" s="21"/>
      <c r="IMD236" s="21"/>
      <c r="IME236" s="15"/>
      <c r="IMF236" s="15"/>
      <c r="IMG236" s="15"/>
      <c r="IMH236" s="15"/>
      <c r="IMI236" s="15"/>
      <c r="IMJ236" s="15"/>
      <c r="IMK236" s="15"/>
      <c r="IML236" s="15"/>
      <c r="IMM236" s="15"/>
      <c r="IMN236" s="15"/>
      <c r="IMO236" s="10"/>
      <c r="IMP236" s="10"/>
      <c r="IMQ236" s="21"/>
      <c r="IMR236" s="21"/>
      <c r="IMU236" s="21"/>
      <c r="IMV236" s="15"/>
      <c r="IMW236" s="15"/>
      <c r="IMX236" s="15"/>
      <c r="IMY236" s="15"/>
      <c r="IMZ236" s="15"/>
      <c r="INA236" s="15"/>
      <c r="INB236" s="15"/>
      <c r="INC236" s="15"/>
      <c r="IND236" s="15"/>
      <c r="INE236" s="15"/>
      <c r="INF236" s="10"/>
      <c r="ING236" s="10"/>
      <c r="INH236" s="21"/>
      <c r="INI236" s="21"/>
      <c r="INL236" s="21"/>
      <c r="INM236" s="15"/>
      <c r="INN236" s="15"/>
      <c r="INO236" s="15"/>
      <c r="INP236" s="15"/>
      <c r="INQ236" s="15"/>
      <c r="INR236" s="15"/>
      <c r="INS236" s="15"/>
      <c r="INT236" s="15"/>
      <c r="INU236" s="15"/>
      <c r="INV236" s="15"/>
      <c r="INW236" s="10"/>
      <c r="INX236" s="10"/>
      <c r="INY236" s="21"/>
      <c r="INZ236" s="21"/>
      <c r="IOC236" s="21"/>
      <c r="IOD236" s="15"/>
      <c r="IOE236" s="15"/>
      <c r="IOF236" s="15"/>
      <c r="IOG236" s="15"/>
      <c r="IOH236" s="15"/>
      <c r="IOI236" s="15"/>
      <c r="IOJ236" s="15"/>
      <c r="IOK236" s="15"/>
      <c r="IOL236" s="15"/>
      <c r="IOM236" s="15"/>
      <c r="ION236" s="10"/>
      <c r="IOO236" s="10"/>
      <c r="IOP236" s="21"/>
      <c r="IOQ236" s="21"/>
      <c r="IOT236" s="21"/>
      <c r="IOU236" s="15"/>
      <c r="IOV236" s="15"/>
      <c r="IOW236" s="15"/>
      <c r="IOX236" s="15"/>
      <c r="IOY236" s="15"/>
      <c r="IOZ236" s="15"/>
      <c r="IPA236" s="15"/>
      <c r="IPB236" s="15"/>
      <c r="IPC236" s="15"/>
      <c r="IPD236" s="15"/>
      <c r="IPE236" s="10"/>
      <c r="IPF236" s="10"/>
      <c r="IPG236" s="21"/>
      <c r="IPH236" s="21"/>
      <c r="IPK236" s="21"/>
      <c r="IPL236" s="15"/>
      <c r="IPM236" s="15"/>
      <c r="IPN236" s="15"/>
      <c r="IPO236" s="15"/>
      <c r="IPP236" s="15"/>
      <c r="IPQ236" s="15"/>
      <c r="IPR236" s="15"/>
      <c r="IPS236" s="15"/>
      <c r="IPT236" s="15"/>
      <c r="IPU236" s="15"/>
      <c r="IPV236" s="10"/>
      <c r="IPW236" s="10"/>
      <c r="IPX236" s="21"/>
      <c r="IPY236" s="21"/>
      <c r="IQB236" s="21"/>
      <c r="IQC236" s="15"/>
      <c r="IQD236" s="15"/>
      <c r="IQE236" s="15"/>
      <c r="IQF236" s="15"/>
      <c r="IQG236" s="15"/>
      <c r="IQH236" s="15"/>
      <c r="IQI236" s="15"/>
      <c r="IQJ236" s="15"/>
      <c r="IQK236" s="15"/>
      <c r="IQL236" s="15"/>
      <c r="IQM236" s="10"/>
      <c r="IQN236" s="10"/>
      <c r="IQO236" s="21"/>
      <c r="IQP236" s="21"/>
      <c r="IQS236" s="21"/>
      <c r="IQT236" s="15"/>
      <c r="IQU236" s="15"/>
      <c r="IQV236" s="15"/>
      <c r="IQW236" s="15"/>
      <c r="IQX236" s="15"/>
      <c r="IQY236" s="15"/>
      <c r="IQZ236" s="15"/>
      <c r="IRA236" s="15"/>
      <c r="IRB236" s="15"/>
      <c r="IRC236" s="15"/>
      <c r="IRD236" s="10"/>
      <c r="IRE236" s="10"/>
      <c r="IRF236" s="21"/>
      <c r="IRG236" s="21"/>
      <c r="IRJ236" s="21"/>
      <c r="IRK236" s="15"/>
      <c r="IRL236" s="15"/>
      <c r="IRM236" s="15"/>
      <c r="IRN236" s="15"/>
      <c r="IRO236" s="15"/>
      <c r="IRP236" s="15"/>
      <c r="IRQ236" s="15"/>
      <c r="IRR236" s="15"/>
      <c r="IRS236" s="15"/>
      <c r="IRT236" s="15"/>
      <c r="IRU236" s="10"/>
      <c r="IRV236" s="10"/>
      <c r="IRW236" s="21"/>
      <c r="IRX236" s="21"/>
      <c r="ISA236" s="21"/>
      <c r="ISB236" s="15"/>
      <c r="ISC236" s="15"/>
      <c r="ISD236" s="15"/>
      <c r="ISE236" s="15"/>
      <c r="ISF236" s="15"/>
      <c r="ISG236" s="15"/>
      <c r="ISH236" s="15"/>
      <c r="ISI236" s="15"/>
      <c r="ISJ236" s="15"/>
      <c r="ISK236" s="15"/>
      <c r="ISL236" s="10"/>
      <c r="ISM236" s="10"/>
      <c r="ISN236" s="21"/>
      <c r="ISO236" s="21"/>
      <c r="ISR236" s="21"/>
      <c r="ISS236" s="15"/>
      <c r="IST236" s="15"/>
      <c r="ISU236" s="15"/>
      <c r="ISV236" s="15"/>
      <c r="ISW236" s="15"/>
      <c r="ISX236" s="15"/>
      <c r="ISY236" s="15"/>
      <c r="ISZ236" s="15"/>
      <c r="ITA236" s="15"/>
      <c r="ITB236" s="15"/>
      <c r="ITC236" s="10"/>
      <c r="ITD236" s="10"/>
      <c r="ITE236" s="21"/>
      <c r="ITF236" s="21"/>
      <c r="ITI236" s="21"/>
      <c r="ITJ236" s="15"/>
      <c r="ITK236" s="15"/>
      <c r="ITL236" s="15"/>
      <c r="ITM236" s="15"/>
      <c r="ITN236" s="15"/>
      <c r="ITO236" s="15"/>
      <c r="ITP236" s="15"/>
      <c r="ITQ236" s="15"/>
      <c r="ITR236" s="15"/>
      <c r="ITS236" s="15"/>
      <c r="ITT236" s="10"/>
      <c r="ITU236" s="10"/>
      <c r="ITV236" s="21"/>
      <c r="ITW236" s="21"/>
      <c r="ITZ236" s="21"/>
      <c r="IUA236" s="15"/>
      <c r="IUB236" s="15"/>
      <c r="IUC236" s="15"/>
      <c r="IUD236" s="15"/>
      <c r="IUE236" s="15"/>
      <c r="IUF236" s="15"/>
      <c r="IUG236" s="15"/>
      <c r="IUH236" s="15"/>
      <c r="IUI236" s="15"/>
      <c r="IUJ236" s="15"/>
      <c r="IUK236" s="10"/>
      <c r="IUL236" s="10"/>
      <c r="IUM236" s="21"/>
      <c r="IUN236" s="21"/>
      <c r="IUQ236" s="21"/>
      <c r="IUR236" s="15"/>
      <c r="IUS236" s="15"/>
      <c r="IUT236" s="15"/>
      <c r="IUU236" s="15"/>
      <c r="IUV236" s="15"/>
      <c r="IUW236" s="15"/>
      <c r="IUX236" s="15"/>
      <c r="IUY236" s="15"/>
      <c r="IUZ236" s="15"/>
      <c r="IVA236" s="15"/>
      <c r="IVB236" s="10"/>
      <c r="IVC236" s="10"/>
      <c r="IVD236" s="21"/>
      <c r="IVE236" s="21"/>
      <c r="IVH236" s="21"/>
      <c r="IVI236" s="15"/>
      <c r="IVJ236" s="15"/>
      <c r="IVK236" s="15"/>
      <c r="IVL236" s="15"/>
      <c r="IVM236" s="15"/>
      <c r="IVN236" s="15"/>
      <c r="IVO236" s="15"/>
      <c r="IVP236" s="15"/>
      <c r="IVQ236" s="15"/>
      <c r="IVR236" s="15"/>
      <c r="IVS236" s="10"/>
      <c r="IVT236" s="10"/>
      <c r="IVU236" s="21"/>
      <c r="IVV236" s="21"/>
      <c r="IVY236" s="21"/>
      <c r="IVZ236" s="15"/>
      <c r="IWA236" s="15"/>
      <c r="IWB236" s="15"/>
      <c r="IWC236" s="15"/>
      <c r="IWD236" s="15"/>
      <c r="IWE236" s="15"/>
      <c r="IWF236" s="15"/>
      <c r="IWG236" s="15"/>
      <c r="IWH236" s="15"/>
      <c r="IWI236" s="15"/>
      <c r="IWJ236" s="10"/>
      <c r="IWK236" s="10"/>
      <c r="IWL236" s="21"/>
      <c r="IWM236" s="21"/>
      <c r="IWP236" s="21"/>
      <c r="IWQ236" s="15"/>
      <c r="IWR236" s="15"/>
      <c r="IWS236" s="15"/>
      <c r="IWT236" s="15"/>
      <c r="IWU236" s="15"/>
      <c r="IWV236" s="15"/>
      <c r="IWW236" s="15"/>
      <c r="IWX236" s="15"/>
      <c r="IWY236" s="15"/>
      <c r="IWZ236" s="15"/>
      <c r="IXA236" s="10"/>
      <c r="IXB236" s="10"/>
      <c r="IXC236" s="21"/>
      <c r="IXD236" s="21"/>
      <c r="IXG236" s="21"/>
      <c r="IXH236" s="15"/>
      <c r="IXI236" s="15"/>
      <c r="IXJ236" s="15"/>
      <c r="IXK236" s="15"/>
      <c r="IXL236" s="15"/>
      <c r="IXM236" s="15"/>
      <c r="IXN236" s="15"/>
      <c r="IXO236" s="15"/>
      <c r="IXP236" s="15"/>
      <c r="IXQ236" s="15"/>
      <c r="IXR236" s="10"/>
      <c r="IXS236" s="10"/>
      <c r="IXT236" s="21"/>
      <c r="IXU236" s="21"/>
      <c r="IXX236" s="21"/>
      <c r="IXY236" s="15"/>
      <c r="IXZ236" s="15"/>
      <c r="IYA236" s="15"/>
      <c r="IYB236" s="15"/>
      <c r="IYC236" s="15"/>
      <c r="IYD236" s="15"/>
      <c r="IYE236" s="15"/>
      <c r="IYF236" s="15"/>
      <c r="IYG236" s="15"/>
      <c r="IYH236" s="15"/>
      <c r="IYI236" s="10"/>
      <c r="IYJ236" s="10"/>
      <c r="IYK236" s="21"/>
      <c r="IYL236" s="21"/>
      <c r="IYO236" s="21"/>
      <c r="IYP236" s="15"/>
      <c r="IYQ236" s="15"/>
      <c r="IYR236" s="15"/>
      <c r="IYS236" s="15"/>
      <c r="IYT236" s="15"/>
      <c r="IYU236" s="15"/>
      <c r="IYV236" s="15"/>
      <c r="IYW236" s="15"/>
      <c r="IYX236" s="15"/>
      <c r="IYY236" s="15"/>
      <c r="IYZ236" s="10"/>
      <c r="IZA236" s="10"/>
      <c r="IZB236" s="21"/>
      <c r="IZC236" s="21"/>
      <c r="IZF236" s="21"/>
      <c r="IZG236" s="15"/>
      <c r="IZH236" s="15"/>
      <c r="IZI236" s="15"/>
      <c r="IZJ236" s="15"/>
      <c r="IZK236" s="15"/>
      <c r="IZL236" s="15"/>
      <c r="IZM236" s="15"/>
      <c r="IZN236" s="15"/>
      <c r="IZO236" s="15"/>
      <c r="IZP236" s="15"/>
      <c r="IZQ236" s="10"/>
      <c r="IZR236" s="10"/>
      <c r="IZS236" s="21"/>
      <c r="IZT236" s="21"/>
      <c r="IZW236" s="21"/>
      <c r="IZX236" s="15"/>
      <c r="IZY236" s="15"/>
      <c r="IZZ236" s="15"/>
      <c r="JAA236" s="15"/>
      <c r="JAB236" s="15"/>
      <c r="JAC236" s="15"/>
      <c r="JAD236" s="15"/>
      <c r="JAE236" s="15"/>
      <c r="JAF236" s="15"/>
      <c r="JAG236" s="15"/>
      <c r="JAH236" s="10"/>
      <c r="JAI236" s="10"/>
      <c r="JAJ236" s="21"/>
      <c r="JAK236" s="21"/>
      <c r="JAN236" s="21"/>
      <c r="JAO236" s="15"/>
      <c r="JAP236" s="15"/>
      <c r="JAQ236" s="15"/>
      <c r="JAR236" s="15"/>
      <c r="JAS236" s="15"/>
      <c r="JAT236" s="15"/>
      <c r="JAU236" s="15"/>
      <c r="JAV236" s="15"/>
      <c r="JAW236" s="15"/>
      <c r="JAX236" s="15"/>
      <c r="JAY236" s="10"/>
      <c r="JAZ236" s="10"/>
      <c r="JBA236" s="21"/>
      <c r="JBB236" s="21"/>
      <c r="JBE236" s="21"/>
      <c r="JBF236" s="15"/>
      <c r="JBG236" s="15"/>
      <c r="JBH236" s="15"/>
      <c r="JBI236" s="15"/>
      <c r="JBJ236" s="15"/>
      <c r="JBK236" s="15"/>
      <c r="JBL236" s="15"/>
      <c r="JBM236" s="15"/>
      <c r="JBN236" s="15"/>
      <c r="JBO236" s="15"/>
      <c r="JBP236" s="10"/>
      <c r="JBQ236" s="10"/>
      <c r="JBR236" s="21"/>
      <c r="JBS236" s="21"/>
      <c r="JBV236" s="21"/>
      <c r="JBW236" s="15"/>
      <c r="JBX236" s="15"/>
      <c r="JBY236" s="15"/>
      <c r="JBZ236" s="15"/>
      <c r="JCA236" s="15"/>
      <c r="JCB236" s="15"/>
      <c r="JCC236" s="15"/>
      <c r="JCD236" s="15"/>
      <c r="JCE236" s="15"/>
      <c r="JCF236" s="15"/>
      <c r="JCG236" s="10"/>
      <c r="JCH236" s="10"/>
      <c r="JCI236" s="21"/>
      <c r="JCJ236" s="21"/>
      <c r="JCM236" s="21"/>
      <c r="JCN236" s="15"/>
      <c r="JCO236" s="15"/>
      <c r="JCP236" s="15"/>
      <c r="JCQ236" s="15"/>
      <c r="JCR236" s="15"/>
      <c r="JCS236" s="15"/>
      <c r="JCT236" s="15"/>
      <c r="JCU236" s="15"/>
      <c r="JCV236" s="15"/>
      <c r="JCW236" s="15"/>
      <c r="JCX236" s="10"/>
      <c r="JCY236" s="10"/>
      <c r="JCZ236" s="21"/>
      <c r="JDA236" s="21"/>
      <c r="JDD236" s="21"/>
      <c r="JDE236" s="15"/>
      <c r="JDF236" s="15"/>
      <c r="JDG236" s="15"/>
      <c r="JDH236" s="15"/>
      <c r="JDI236" s="15"/>
      <c r="JDJ236" s="15"/>
      <c r="JDK236" s="15"/>
      <c r="JDL236" s="15"/>
      <c r="JDM236" s="15"/>
      <c r="JDN236" s="15"/>
      <c r="JDO236" s="10"/>
      <c r="JDP236" s="10"/>
      <c r="JDQ236" s="21"/>
      <c r="JDR236" s="21"/>
      <c r="JDU236" s="21"/>
      <c r="JDV236" s="15"/>
      <c r="JDW236" s="15"/>
      <c r="JDX236" s="15"/>
      <c r="JDY236" s="15"/>
      <c r="JDZ236" s="15"/>
      <c r="JEA236" s="15"/>
      <c r="JEB236" s="15"/>
      <c r="JEC236" s="15"/>
      <c r="JED236" s="15"/>
      <c r="JEE236" s="15"/>
      <c r="JEF236" s="10"/>
      <c r="JEG236" s="10"/>
      <c r="JEH236" s="21"/>
      <c r="JEI236" s="21"/>
      <c r="JEL236" s="21"/>
      <c r="JEM236" s="15"/>
      <c r="JEN236" s="15"/>
      <c r="JEO236" s="15"/>
      <c r="JEP236" s="15"/>
      <c r="JEQ236" s="15"/>
      <c r="JER236" s="15"/>
      <c r="JES236" s="15"/>
      <c r="JET236" s="15"/>
      <c r="JEU236" s="15"/>
      <c r="JEV236" s="15"/>
      <c r="JEW236" s="10"/>
      <c r="JEX236" s="10"/>
      <c r="JEY236" s="21"/>
      <c r="JEZ236" s="21"/>
      <c r="JFC236" s="21"/>
      <c r="JFD236" s="15"/>
      <c r="JFE236" s="15"/>
      <c r="JFF236" s="15"/>
      <c r="JFG236" s="15"/>
      <c r="JFH236" s="15"/>
      <c r="JFI236" s="15"/>
      <c r="JFJ236" s="15"/>
      <c r="JFK236" s="15"/>
      <c r="JFL236" s="15"/>
      <c r="JFM236" s="15"/>
      <c r="JFN236" s="10"/>
      <c r="JFO236" s="10"/>
      <c r="JFP236" s="21"/>
      <c r="JFQ236" s="21"/>
      <c r="JFT236" s="21"/>
      <c r="JFU236" s="15"/>
      <c r="JFV236" s="15"/>
      <c r="JFW236" s="15"/>
      <c r="JFX236" s="15"/>
      <c r="JFY236" s="15"/>
      <c r="JFZ236" s="15"/>
      <c r="JGA236" s="15"/>
      <c r="JGB236" s="15"/>
      <c r="JGC236" s="15"/>
      <c r="JGD236" s="15"/>
      <c r="JGE236" s="10"/>
      <c r="JGF236" s="10"/>
      <c r="JGG236" s="21"/>
      <c r="JGH236" s="21"/>
      <c r="JGK236" s="21"/>
      <c r="JGL236" s="15"/>
      <c r="JGM236" s="15"/>
      <c r="JGN236" s="15"/>
      <c r="JGO236" s="15"/>
      <c r="JGP236" s="15"/>
      <c r="JGQ236" s="15"/>
      <c r="JGR236" s="15"/>
      <c r="JGS236" s="15"/>
      <c r="JGT236" s="15"/>
      <c r="JGU236" s="15"/>
      <c r="JGV236" s="10"/>
      <c r="JGW236" s="10"/>
      <c r="JGX236" s="21"/>
      <c r="JGY236" s="21"/>
      <c r="JHB236" s="21"/>
      <c r="JHC236" s="15"/>
      <c r="JHD236" s="15"/>
      <c r="JHE236" s="15"/>
      <c r="JHF236" s="15"/>
      <c r="JHG236" s="15"/>
      <c r="JHH236" s="15"/>
      <c r="JHI236" s="15"/>
      <c r="JHJ236" s="15"/>
      <c r="JHK236" s="15"/>
      <c r="JHL236" s="15"/>
      <c r="JHM236" s="10"/>
      <c r="JHN236" s="10"/>
      <c r="JHO236" s="21"/>
      <c r="JHP236" s="21"/>
      <c r="JHS236" s="21"/>
      <c r="JHT236" s="15"/>
      <c r="JHU236" s="15"/>
      <c r="JHV236" s="15"/>
      <c r="JHW236" s="15"/>
      <c r="JHX236" s="15"/>
      <c r="JHY236" s="15"/>
      <c r="JHZ236" s="15"/>
      <c r="JIA236" s="15"/>
      <c r="JIB236" s="15"/>
      <c r="JIC236" s="15"/>
      <c r="JID236" s="10"/>
      <c r="JIE236" s="10"/>
      <c r="JIF236" s="21"/>
      <c r="JIG236" s="21"/>
      <c r="JIJ236" s="21"/>
      <c r="JIK236" s="15"/>
      <c r="JIL236" s="15"/>
      <c r="JIM236" s="15"/>
      <c r="JIN236" s="15"/>
      <c r="JIO236" s="15"/>
      <c r="JIP236" s="15"/>
      <c r="JIQ236" s="15"/>
      <c r="JIR236" s="15"/>
      <c r="JIS236" s="15"/>
      <c r="JIT236" s="15"/>
      <c r="JIU236" s="10"/>
      <c r="JIV236" s="10"/>
      <c r="JIW236" s="21"/>
      <c r="JIX236" s="21"/>
      <c r="JJA236" s="21"/>
      <c r="JJB236" s="15"/>
      <c r="JJC236" s="15"/>
      <c r="JJD236" s="15"/>
      <c r="JJE236" s="15"/>
      <c r="JJF236" s="15"/>
      <c r="JJG236" s="15"/>
      <c r="JJH236" s="15"/>
      <c r="JJI236" s="15"/>
      <c r="JJJ236" s="15"/>
      <c r="JJK236" s="15"/>
      <c r="JJL236" s="10"/>
      <c r="JJM236" s="10"/>
      <c r="JJN236" s="21"/>
      <c r="JJO236" s="21"/>
      <c r="JJR236" s="21"/>
      <c r="JJS236" s="15"/>
      <c r="JJT236" s="15"/>
      <c r="JJU236" s="15"/>
      <c r="JJV236" s="15"/>
      <c r="JJW236" s="15"/>
      <c r="JJX236" s="15"/>
      <c r="JJY236" s="15"/>
      <c r="JJZ236" s="15"/>
      <c r="JKA236" s="15"/>
      <c r="JKB236" s="15"/>
      <c r="JKC236" s="10"/>
      <c r="JKD236" s="10"/>
      <c r="JKE236" s="21"/>
      <c r="JKF236" s="21"/>
      <c r="JKI236" s="21"/>
      <c r="JKJ236" s="15"/>
      <c r="JKK236" s="15"/>
      <c r="JKL236" s="15"/>
      <c r="JKM236" s="15"/>
      <c r="JKN236" s="15"/>
      <c r="JKO236" s="15"/>
      <c r="JKP236" s="15"/>
      <c r="JKQ236" s="15"/>
      <c r="JKR236" s="15"/>
      <c r="JKS236" s="15"/>
      <c r="JKT236" s="10"/>
      <c r="JKU236" s="10"/>
      <c r="JKV236" s="21"/>
      <c r="JKW236" s="21"/>
      <c r="JKZ236" s="21"/>
      <c r="JLA236" s="15"/>
      <c r="JLB236" s="15"/>
      <c r="JLC236" s="15"/>
      <c r="JLD236" s="15"/>
      <c r="JLE236" s="15"/>
      <c r="JLF236" s="15"/>
      <c r="JLG236" s="15"/>
      <c r="JLH236" s="15"/>
      <c r="JLI236" s="15"/>
      <c r="JLJ236" s="15"/>
      <c r="JLK236" s="10"/>
      <c r="JLL236" s="10"/>
      <c r="JLM236" s="21"/>
      <c r="JLN236" s="21"/>
      <c r="JLQ236" s="21"/>
      <c r="JLR236" s="15"/>
      <c r="JLS236" s="15"/>
      <c r="JLT236" s="15"/>
      <c r="JLU236" s="15"/>
      <c r="JLV236" s="15"/>
      <c r="JLW236" s="15"/>
      <c r="JLX236" s="15"/>
      <c r="JLY236" s="15"/>
      <c r="JLZ236" s="15"/>
      <c r="JMA236" s="15"/>
      <c r="JMB236" s="10"/>
      <c r="JMC236" s="10"/>
      <c r="JMD236" s="21"/>
      <c r="JME236" s="21"/>
      <c r="JMH236" s="21"/>
      <c r="JMI236" s="15"/>
      <c r="JMJ236" s="15"/>
      <c r="JMK236" s="15"/>
      <c r="JML236" s="15"/>
      <c r="JMM236" s="15"/>
      <c r="JMN236" s="15"/>
      <c r="JMO236" s="15"/>
      <c r="JMP236" s="15"/>
      <c r="JMQ236" s="15"/>
      <c r="JMR236" s="15"/>
      <c r="JMS236" s="10"/>
      <c r="JMT236" s="10"/>
      <c r="JMU236" s="21"/>
      <c r="JMV236" s="21"/>
      <c r="JMY236" s="21"/>
      <c r="JMZ236" s="15"/>
      <c r="JNA236" s="15"/>
      <c r="JNB236" s="15"/>
      <c r="JNC236" s="15"/>
      <c r="JND236" s="15"/>
      <c r="JNE236" s="15"/>
      <c r="JNF236" s="15"/>
      <c r="JNG236" s="15"/>
      <c r="JNH236" s="15"/>
      <c r="JNI236" s="15"/>
      <c r="JNJ236" s="10"/>
      <c r="JNK236" s="10"/>
      <c r="JNL236" s="21"/>
      <c r="JNM236" s="21"/>
      <c r="JNP236" s="21"/>
      <c r="JNQ236" s="15"/>
      <c r="JNR236" s="15"/>
      <c r="JNS236" s="15"/>
      <c r="JNT236" s="15"/>
      <c r="JNU236" s="15"/>
      <c r="JNV236" s="15"/>
      <c r="JNW236" s="15"/>
      <c r="JNX236" s="15"/>
      <c r="JNY236" s="15"/>
      <c r="JNZ236" s="15"/>
      <c r="JOA236" s="10"/>
      <c r="JOB236" s="10"/>
      <c r="JOC236" s="21"/>
      <c r="JOD236" s="21"/>
      <c r="JOG236" s="21"/>
      <c r="JOH236" s="15"/>
      <c r="JOI236" s="15"/>
      <c r="JOJ236" s="15"/>
      <c r="JOK236" s="15"/>
      <c r="JOL236" s="15"/>
      <c r="JOM236" s="15"/>
      <c r="JON236" s="15"/>
      <c r="JOO236" s="15"/>
      <c r="JOP236" s="15"/>
      <c r="JOQ236" s="15"/>
      <c r="JOR236" s="10"/>
      <c r="JOS236" s="10"/>
      <c r="JOT236" s="21"/>
      <c r="JOU236" s="21"/>
      <c r="JOX236" s="21"/>
      <c r="JOY236" s="15"/>
      <c r="JOZ236" s="15"/>
      <c r="JPA236" s="15"/>
      <c r="JPB236" s="15"/>
      <c r="JPC236" s="15"/>
      <c r="JPD236" s="15"/>
      <c r="JPE236" s="15"/>
      <c r="JPF236" s="15"/>
      <c r="JPG236" s="15"/>
      <c r="JPH236" s="15"/>
      <c r="JPI236" s="10"/>
      <c r="JPJ236" s="10"/>
      <c r="JPK236" s="21"/>
      <c r="JPL236" s="21"/>
      <c r="JPO236" s="21"/>
      <c r="JPP236" s="15"/>
      <c r="JPQ236" s="15"/>
      <c r="JPR236" s="15"/>
      <c r="JPS236" s="15"/>
      <c r="JPT236" s="15"/>
      <c r="JPU236" s="15"/>
      <c r="JPV236" s="15"/>
      <c r="JPW236" s="15"/>
      <c r="JPX236" s="15"/>
      <c r="JPY236" s="15"/>
      <c r="JPZ236" s="10"/>
      <c r="JQA236" s="10"/>
      <c r="JQB236" s="21"/>
      <c r="JQC236" s="21"/>
      <c r="JQF236" s="21"/>
      <c r="JQG236" s="15"/>
      <c r="JQH236" s="15"/>
      <c r="JQI236" s="15"/>
      <c r="JQJ236" s="15"/>
      <c r="JQK236" s="15"/>
      <c r="JQL236" s="15"/>
      <c r="JQM236" s="15"/>
      <c r="JQN236" s="15"/>
      <c r="JQO236" s="15"/>
      <c r="JQP236" s="15"/>
      <c r="JQQ236" s="10"/>
      <c r="JQR236" s="10"/>
      <c r="JQS236" s="21"/>
      <c r="JQT236" s="21"/>
      <c r="JQW236" s="21"/>
      <c r="JQX236" s="15"/>
      <c r="JQY236" s="15"/>
      <c r="JQZ236" s="15"/>
      <c r="JRA236" s="15"/>
      <c r="JRB236" s="15"/>
      <c r="JRC236" s="15"/>
      <c r="JRD236" s="15"/>
      <c r="JRE236" s="15"/>
      <c r="JRF236" s="15"/>
      <c r="JRG236" s="15"/>
      <c r="JRH236" s="10"/>
      <c r="JRI236" s="10"/>
      <c r="JRJ236" s="21"/>
      <c r="JRK236" s="21"/>
      <c r="JRN236" s="21"/>
      <c r="JRO236" s="15"/>
      <c r="JRP236" s="15"/>
      <c r="JRQ236" s="15"/>
      <c r="JRR236" s="15"/>
      <c r="JRS236" s="15"/>
      <c r="JRT236" s="15"/>
      <c r="JRU236" s="15"/>
      <c r="JRV236" s="15"/>
      <c r="JRW236" s="15"/>
      <c r="JRX236" s="15"/>
      <c r="JRY236" s="10"/>
      <c r="JRZ236" s="10"/>
      <c r="JSA236" s="21"/>
      <c r="JSB236" s="21"/>
      <c r="JSE236" s="21"/>
      <c r="JSF236" s="15"/>
      <c r="JSG236" s="15"/>
      <c r="JSH236" s="15"/>
      <c r="JSI236" s="15"/>
      <c r="JSJ236" s="15"/>
      <c r="JSK236" s="15"/>
      <c r="JSL236" s="15"/>
      <c r="JSM236" s="15"/>
      <c r="JSN236" s="15"/>
      <c r="JSO236" s="15"/>
      <c r="JSP236" s="10"/>
      <c r="JSQ236" s="10"/>
      <c r="JSR236" s="21"/>
      <c r="JSS236" s="21"/>
      <c r="JSV236" s="21"/>
      <c r="JSW236" s="15"/>
      <c r="JSX236" s="15"/>
      <c r="JSY236" s="15"/>
      <c r="JSZ236" s="15"/>
      <c r="JTA236" s="15"/>
      <c r="JTB236" s="15"/>
      <c r="JTC236" s="15"/>
      <c r="JTD236" s="15"/>
      <c r="JTE236" s="15"/>
      <c r="JTF236" s="15"/>
      <c r="JTG236" s="10"/>
      <c r="JTH236" s="10"/>
      <c r="JTI236" s="21"/>
      <c r="JTJ236" s="21"/>
      <c r="JTM236" s="21"/>
      <c r="JTN236" s="15"/>
      <c r="JTO236" s="15"/>
      <c r="JTP236" s="15"/>
      <c r="JTQ236" s="15"/>
      <c r="JTR236" s="15"/>
      <c r="JTS236" s="15"/>
      <c r="JTT236" s="15"/>
      <c r="JTU236" s="15"/>
      <c r="JTV236" s="15"/>
      <c r="JTW236" s="15"/>
      <c r="JTX236" s="10"/>
      <c r="JTY236" s="10"/>
      <c r="JTZ236" s="21"/>
      <c r="JUA236" s="21"/>
      <c r="JUD236" s="21"/>
      <c r="JUE236" s="15"/>
      <c r="JUF236" s="15"/>
      <c r="JUG236" s="15"/>
      <c r="JUH236" s="15"/>
      <c r="JUI236" s="15"/>
      <c r="JUJ236" s="15"/>
      <c r="JUK236" s="15"/>
      <c r="JUL236" s="15"/>
      <c r="JUM236" s="15"/>
      <c r="JUN236" s="15"/>
      <c r="JUO236" s="10"/>
      <c r="JUP236" s="10"/>
      <c r="JUQ236" s="21"/>
      <c r="JUR236" s="21"/>
      <c r="JUU236" s="21"/>
      <c r="JUV236" s="15"/>
      <c r="JUW236" s="15"/>
      <c r="JUX236" s="15"/>
      <c r="JUY236" s="15"/>
      <c r="JUZ236" s="15"/>
      <c r="JVA236" s="15"/>
      <c r="JVB236" s="15"/>
      <c r="JVC236" s="15"/>
      <c r="JVD236" s="15"/>
      <c r="JVE236" s="15"/>
      <c r="JVF236" s="10"/>
      <c r="JVG236" s="10"/>
      <c r="JVH236" s="21"/>
      <c r="JVI236" s="21"/>
      <c r="JVL236" s="21"/>
      <c r="JVM236" s="15"/>
      <c r="JVN236" s="15"/>
      <c r="JVO236" s="15"/>
      <c r="JVP236" s="15"/>
      <c r="JVQ236" s="15"/>
      <c r="JVR236" s="15"/>
      <c r="JVS236" s="15"/>
      <c r="JVT236" s="15"/>
      <c r="JVU236" s="15"/>
      <c r="JVV236" s="15"/>
      <c r="JVW236" s="10"/>
      <c r="JVX236" s="10"/>
      <c r="JVY236" s="21"/>
      <c r="JVZ236" s="21"/>
      <c r="JWC236" s="21"/>
      <c r="JWD236" s="15"/>
      <c r="JWE236" s="15"/>
      <c r="JWF236" s="15"/>
      <c r="JWG236" s="15"/>
      <c r="JWH236" s="15"/>
      <c r="JWI236" s="15"/>
      <c r="JWJ236" s="15"/>
      <c r="JWK236" s="15"/>
      <c r="JWL236" s="15"/>
      <c r="JWM236" s="15"/>
      <c r="JWN236" s="10"/>
      <c r="JWO236" s="10"/>
      <c r="JWP236" s="21"/>
      <c r="JWQ236" s="21"/>
      <c r="JWT236" s="21"/>
      <c r="JWU236" s="15"/>
      <c r="JWV236" s="15"/>
      <c r="JWW236" s="15"/>
      <c r="JWX236" s="15"/>
      <c r="JWY236" s="15"/>
      <c r="JWZ236" s="15"/>
      <c r="JXA236" s="15"/>
      <c r="JXB236" s="15"/>
      <c r="JXC236" s="15"/>
      <c r="JXD236" s="15"/>
      <c r="JXE236" s="10"/>
      <c r="JXF236" s="10"/>
      <c r="JXG236" s="21"/>
      <c r="JXH236" s="21"/>
      <c r="JXK236" s="21"/>
      <c r="JXL236" s="15"/>
      <c r="JXM236" s="15"/>
      <c r="JXN236" s="15"/>
      <c r="JXO236" s="15"/>
      <c r="JXP236" s="15"/>
      <c r="JXQ236" s="15"/>
      <c r="JXR236" s="15"/>
      <c r="JXS236" s="15"/>
      <c r="JXT236" s="15"/>
      <c r="JXU236" s="15"/>
      <c r="JXV236" s="10"/>
      <c r="JXW236" s="10"/>
      <c r="JXX236" s="21"/>
      <c r="JXY236" s="21"/>
      <c r="JYB236" s="21"/>
      <c r="JYC236" s="15"/>
      <c r="JYD236" s="15"/>
      <c r="JYE236" s="15"/>
      <c r="JYF236" s="15"/>
      <c r="JYG236" s="15"/>
      <c r="JYH236" s="15"/>
      <c r="JYI236" s="15"/>
      <c r="JYJ236" s="15"/>
      <c r="JYK236" s="15"/>
      <c r="JYL236" s="15"/>
      <c r="JYM236" s="10"/>
      <c r="JYN236" s="10"/>
      <c r="JYO236" s="21"/>
      <c r="JYP236" s="21"/>
      <c r="JYS236" s="21"/>
      <c r="JYT236" s="15"/>
      <c r="JYU236" s="15"/>
      <c r="JYV236" s="15"/>
      <c r="JYW236" s="15"/>
      <c r="JYX236" s="15"/>
      <c r="JYY236" s="15"/>
      <c r="JYZ236" s="15"/>
      <c r="JZA236" s="15"/>
      <c r="JZB236" s="15"/>
      <c r="JZC236" s="15"/>
      <c r="JZD236" s="10"/>
      <c r="JZE236" s="10"/>
      <c r="JZF236" s="21"/>
      <c r="JZG236" s="21"/>
      <c r="JZJ236" s="21"/>
      <c r="JZK236" s="15"/>
      <c r="JZL236" s="15"/>
      <c r="JZM236" s="15"/>
      <c r="JZN236" s="15"/>
      <c r="JZO236" s="15"/>
      <c r="JZP236" s="15"/>
      <c r="JZQ236" s="15"/>
      <c r="JZR236" s="15"/>
      <c r="JZS236" s="15"/>
      <c r="JZT236" s="15"/>
      <c r="JZU236" s="10"/>
      <c r="JZV236" s="10"/>
      <c r="JZW236" s="21"/>
      <c r="JZX236" s="21"/>
      <c r="KAA236" s="21"/>
      <c r="KAB236" s="15"/>
      <c r="KAC236" s="15"/>
      <c r="KAD236" s="15"/>
      <c r="KAE236" s="15"/>
      <c r="KAF236" s="15"/>
      <c r="KAG236" s="15"/>
      <c r="KAH236" s="15"/>
      <c r="KAI236" s="15"/>
      <c r="KAJ236" s="15"/>
      <c r="KAK236" s="15"/>
      <c r="KAL236" s="10"/>
      <c r="KAM236" s="10"/>
      <c r="KAN236" s="21"/>
      <c r="KAO236" s="21"/>
      <c r="KAR236" s="21"/>
      <c r="KAS236" s="15"/>
      <c r="KAT236" s="15"/>
      <c r="KAU236" s="15"/>
      <c r="KAV236" s="15"/>
      <c r="KAW236" s="15"/>
      <c r="KAX236" s="15"/>
      <c r="KAY236" s="15"/>
      <c r="KAZ236" s="15"/>
      <c r="KBA236" s="15"/>
      <c r="KBB236" s="15"/>
      <c r="KBC236" s="10"/>
      <c r="KBD236" s="10"/>
      <c r="KBE236" s="21"/>
      <c r="KBF236" s="21"/>
      <c r="KBI236" s="21"/>
      <c r="KBJ236" s="15"/>
      <c r="KBK236" s="15"/>
      <c r="KBL236" s="15"/>
      <c r="KBM236" s="15"/>
      <c r="KBN236" s="15"/>
      <c r="KBO236" s="15"/>
      <c r="KBP236" s="15"/>
      <c r="KBQ236" s="15"/>
      <c r="KBR236" s="15"/>
      <c r="KBS236" s="15"/>
      <c r="KBT236" s="10"/>
      <c r="KBU236" s="10"/>
      <c r="KBV236" s="21"/>
      <c r="KBW236" s="21"/>
      <c r="KBZ236" s="21"/>
      <c r="KCA236" s="15"/>
      <c r="KCB236" s="15"/>
      <c r="KCC236" s="15"/>
      <c r="KCD236" s="15"/>
      <c r="KCE236" s="15"/>
      <c r="KCF236" s="15"/>
      <c r="KCG236" s="15"/>
      <c r="KCH236" s="15"/>
      <c r="KCI236" s="15"/>
      <c r="KCJ236" s="15"/>
      <c r="KCK236" s="10"/>
      <c r="KCL236" s="10"/>
      <c r="KCM236" s="21"/>
      <c r="KCN236" s="21"/>
      <c r="KCQ236" s="21"/>
      <c r="KCR236" s="15"/>
      <c r="KCS236" s="15"/>
      <c r="KCT236" s="15"/>
      <c r="KCU236" s="15"/>
      <c r="KCV236" s="15"/>
      <c r="KCW236" s="15"/>
      <c r="KCX236" s="15"/>
      <c r="KCY236" s="15"/>
      <c r="KCZ236" s="15"/>
      <c r="KDA236" s="15"/>
      <c r="KDB236" s="10"/>
      <c r="KDC236" s="10"/>
      <c r="KDD236" s="21"/>
      <c r="KDE236" s="21"/>
      <c r="KDH236" s="21"/>
      <c r="KDI236" s="15"/>
      <c r="KDJ236" s="15"/>
      <c r="KDK236" s="15"/>
      <c r="KDL236" s="15"/>
      <c r="KDM236" s="15"/>
      <c r="KDN236" s="15"/>
      <c r="KDO236" s="15"/>
      <c r="KDP236" s="15"/>
      <c r="KDQ236" s="15"/>
      <c r="KDR236" s="15"/>
      <c r="KDS236" s="10"/>
      <c r="KDT236" s="10"/>
      <c r="KDU236" s="21"/>
      <c r="KDV236" s="21"/>
      <c r="KDY236" s="21"/>
      <c r="KDZ236" s="15"/>
      <c r="KEA236" s="15"/>
      <c r="KEB236" s="15"/>
      <c r="KEC236" s="15"/>
      <c r="KED236" s="15"/>
      <c r="KEE236" s="15"/>
      <c r="KEF236" s="15"/>
      <c r="KEG236" s="15"/>
      <c r="KEH236" s="15"/>
      <c r="KEI236" s="15"/>
      <c r="KEJ236" s="10"/>
      <c r="KEK236" s="10"/>
      <c r="KEL236" s="21"/>
      <c r="KEM236" s="21"/>
      <c r="KEP236" s="21"/>
      <c r="KEQ236" s="15"/>
      <c r="KER236" s="15"/>
      <c r="KES236" s="15"/>
      <c r="KET236" s="15"/>
      <c r="KEU236" s="15"/>
      <c r="KEV236" s="15"/>
      <c r="KEW236" s="15"/>
      <c r="KEX236" s="15"/>
      <c r="KEY236" s="15"/>
      <c r="KEZ236" s="15"/>
      <c r="KFA236" s="10"/>
      <c r="KFB236" s="10"/>
      <c r="KFC236" s="21"/>
      <c r="KFD236" s="21"/>
      <c r="KFG236" s="21"/>
      <c r="KFH236" s="15"/>
      <c r="KFI236" s="15"/>
      <c r="KFJ236" s="15"/>
      <c r="KFK236" s="15"/>
      <c r="KFL236" s="15"/>
      <c r="KFM236" s="15"/>
      <c r="KFN236" s="15"/>
      <c r="KFO236" s="15"/>
      <c r="KFP236" s="15"/>
      <c r="KFQ236" s="15"/>
      <c r="KFR236" s="10"/>
      <c r="KFS236" s="10"/>
      <c r="KFT236" s="21"/>
      <c r="KFU236" s="21"/>
      <c r="KFX236" s="21"/>
      <c r="KFY236" s="15"/>
      <c r="KFZ236" s="15"/>
      <c r="KGA236" s="15"/>
      <c r="KGB236" s="15"/>
      <c r="KGC236" s="15"/>
      <c r="KGD236" s="15"/>
      <c r="KGE236" s="15"/>
      <c r="KGF236" s="15"/>
      <c r="KGG236" s="15"/>
      <c r="KGH236" s="15"/>
      <c r="KGI236" s="10"/>
      <c r="KGJ236" s="10"/>
      <c r="KGK236" s="21"/>
      <c r="KGL236" s="21"/>
      <c r="KGO236" s="21"/>
      <c r="KGP236" s="15"/>
      <c r="KGQ236" s="15"/>
      <c r="KGR236" s="15"/>
      <c r="KGS236" s="15"/>
      <c r="KGT236" s="15"/>
      <c r="KGU236" s="15"/>
      <c r="KGV236" s="15"/>
      <c r="KGW236" s="15"/>
      <c r="KGX236" s="15"/>
      <c r="KGY236" s="15"/>
      <c r="KGZ236" s="10"/>
      <c r="KHA236" s="10"/>
      <c r="KHB236" s="21"/>
      <c r="KHC236" s="21"/>
      <c r="KHF236" s="21"/>
      <c r="KHG236" s="15"/>
      <c r="KHH236" s="15"/>
      <c r="KHI236" s="15"/>
      <c r="KHJ236" s="15"/>
      <c r="KHK236" s="15"/>
      <c r="KHL236" s="15"/>
      <c r="KHM236" s="15"/>
      <c r="KHN236" s="15"/>
      <c r="KHO236" s="15"/>
      <c r="KHP236" s="15"/>
      <c r="KHQ236" s="10"/>
      <c r="KHR236" s="10"/>
      <c r="KHS236" s="21"/>
      <c r="KHT236" s="21"/>
      <c r="KHW236" s="21"/>
      <c r="KHX236" s="15"/>
      <c r="KHY236" s="15"/>
      <c r="KHZ236" s="15"/>
      <c r="KIA236" s="15"/>
      <c r="KIB236" s="15"/>
      <c r="KIC236" s="15"/>
      <c r="KID236" s="15"/>
      <c r="KIE236" s="15"/>
      <c r="KIF236" s="15"/>
      <c r="KIG236" s="15"/>
      <c r="KIH236" s="10"/>
      <c r="KII236" s="10"/>
      <c r="KIJ236" s="21"/>
      <c r="KIK236" s="21"/>
      <c r="KIN236" s="21"/>
      <c r="KIO236" s="15"/>
      <c r="KIP236" s="15"/>
      <c r="KIQ236" s="15"/>
      <c r="KIR236" s="15"/>
      <c r="KIS236" s="15"/>
      <c r="KIT236" s="15"/>
      <c r="KIU236" s="15"/>
      <c r="KIV236" s="15"/>
      <c r="KIW236" s="15"/>
      <c r="KIX236" s="15"/>
      <c r="KIY236" s="10"/>
      <c r="KIZ236" s="10"/>
      <c r="KJA236" s="21"/>
      <c r="KJB236" s="21"/>
      <c r="KJE236" s="21"/>
      <c r="KJF236" s="15"/>
      <c r="KJG236" s="15"/>
      <c r="KJH236" s="15"/>
      <c r="KJI236" s="15"/>
      <c r="KJJ236" s="15"/>
      <c r="KJK236" s="15"/>
      <c r="KJL236" s="15"/>
      <c r="KJM236" s="15"/>
      <c r="KJN236" s="15"/>
      <c r="KJO236" s="15"/>
      <c r="KJP236" s="10"/>
      <c r="KJQ236" s="10"/>
      <c r="KJR236" s="21"/>
      <c r="KJS236" s="21"/>
      <c r="KJV236" s="21"/>
      <c r="KJW236" s="15"/>
      <c r="KJX236" s="15"/>
      <c r="KJY236" s="15"/>
      <c r="KJZ236" s="15"/>
      <c r="KKA236" s="15"/>
      <c r="KKB236" s="15"/>
      <c r="KKC236" s="15"/>
      <c r="KKD236" s="15"/>
      <c r="KKE236" s="15"/>
      <c r="KKF236" s="15"/>
      <c r="KKG236" s="10"/>
      <c r="KKH236" s="10"/>
      <c r="KKI236" s="21"/>
      <c r="KKJ236" s="21"/>
      <c r="KKM236" s="21"/>
      <c r="KKN236" s="15"/>
      <c r="KKO236" s="15"/>
      <c r="KKP236" s="15"/>
      <c r="KKQ236" s="15"/>
      <c r="KKR236" s="15"/>
      <c r="KKS236" s="15"/>
      <c r="KKT236" s="15"/>
      <c r="KKU236" s="15"/>
      <c r="KKV236" s="15"/>
      <c r="KKW236" s="15"/>
      <c r="KKX236" s="10"/>
      <c r="KKY236" s="10"/>
      <c r="KKZ236" s="21"/>
      <c r="KLA236" s="21"/>
      <c r="KLD236" s="21"/>
      <c r="KLE236" s="15"/>
      <c r="KLF236" s="15"/>
      <c r="KLG236" s="15"/>
      <c r="KLH236" s="15"/>
      <c r="KLI236" s="15"/>
      <c r="KLJ236" s="15"/>
      <c r="KLK236" s="15"/>
      <c r="KLL236" s="15"/>
      <c r="KLM236" s="15"/>
      <c r="KLN236" s="15"/>
      <c r="KLO236" s="10"/>
      <c r="KLP236" s="10"/>
      <c r="KLQ236" s="21"/>
      <c r="KLR236" s="21"/>
      <c r="KLU236" s="21"/>
      <c r="KLV236" s="15"/>
      <c r="KLW236" s="15"/>
      <c r="KLX236" s="15"/>
      <c r="KLY236" s="15"/>
      <c r="KLZ236" s="15"/>
      <c r="KMA236" s="15"/>
      <c r="KMB236" s="15"/>
      <c r="KMC236" s="15"/>
      <c r="KMD236" s="15"/>
      <c r="KME236" s="15"/>
      <c r="KMF236" s="10"/>
      <c r="KMG236" s="10"/>
      <c r="KMH236" s="21"/>
      <c r="KMI236" s="21"/>
      <c r="KML236" s="21"/>
      <c r="KMM236" s="15"/>
      <c r="KMN236" s="15"/>
      <c r="KMO236" s="15"/>
      <c r="KMP236" s="15"/>
      <c r="KMQ236" s="15"/>
      <c r="KMR236" s="15"/>
      <c r="KMS236" s="15"/>
      <c r="KMT236" s="15"/>
      <c r="KMU236" s="15"/>
      <c r="KMV236" s="15"/>
      <c r="KMW236" s="10"/>
      <c r="KMX236" s="10"/>
      <c r="KMY236" s="21"/>
      <c r="KMZ236" s="21"/>
      <c r="KNC236" s="21"/>
      <c r="KND236" s="15"/>
      <c r="KNE236" s="15"/>
      <c r="KNF236" s="15"/>
      <c r="KNG236" s="15"/>
      <c r="KNH236" s="15"/>
      <c r="KNI236" s="15"/>
      <c r="KNJ236" s="15"/>
      <c r="KNK236" s="15"/>
      <c r="KNL236" s="15"/>
      <c r="KNM236" s="15"/>
      <c r="KNN236" s="10"/>
      <c r="KNO236" s="10"/>
      <c r="KNP236" s="21"/>
      <c r="KNQ236" s="21"/>
      <c r="KNT236" s="21"/>
      <c r="KNU236" s="15"/>
      <c r="KNV236" s="15"/>
      <c r="KNW236" s="15"/>
      <c r="KNX236" s="15"/>
      <c r="KNY236" s="15"/>
      <c r="KNZ236" s="15"/>
      <c r="KOA236" s="15"/>
      <c r="KOB236" s="15"/>
      <c r="KOC236" s="15"/>
      <c r="KOD236" s="15"/>
      <c r="KOE236" s="10"/>
      <c r="KOF236" s="10"/>
      <c r="KOG236" s="21"/>
      <c r="KOH236" s="21"/>
      <c r="KOK236" s="21"/>
      <c r="KOL236" s="15"/>
      <c r="KOM236" s="15"/>
      <c r="KON236" s="15"/>
      <c r="KOO236" s="15"/>
      <c r="KOP236" s="15"/>
      <c r="KOQ236" s="15"/>
      <c r="KOR236" s="15"/>
      <c r="KOS236" s="15"/>
      <c r="KOT236" s="15"/>
      <c r="KOU236" s="15"/>
      <c r="KOV236" s="10"/>
      <c r="KOW236" s="10"/>
      <c r="KOX236" s="21"/>
      <c r="KOY236" s="21"/>
      <c r="KPB236" s="21"/>
      <c r="KPC236" s="15"/>
      <c r="KPD236" s="15"/>
      <c r="KPE236" s="15"/>
      <c r="KPF236" s="15"/>
      <c r="KPG236" s="15"/>
      <c r="KPH236" s="15"/>
      <c r="KPI236" s="15"/>
      <c r="KPJ236" s="15"/>
      <c r="KPK236" s="15"/>
      <c r="KPL236" s="15"/>
      <c r="KPM236" s="10"/>
      <c r="KPN236" s="10"/>
      <c r="KPO236" s="21"/>
      <c r="KPP236" s="21"/>
      <c r="KPS236" s="21"/>
      <c r="KPT236" s="15"/>
      <c r="KPU236" s="15"/>
      <c r="KPV236" s="15"/>
      <c r="KPW236" s="15"/>
      <c r="KPX236" s="15"/>
      <c r="KPY236" s="15"/>
      <c r="KPZ236" s="15"/>
      <c r="KQA236" s="15"/>
      <c r="KQB236" s="15"/>
      <c r="KQC236" s="15"/>
      <c r="KQD236" s="10"/>
      <c r="KQE236" s="10"/>
      <c r="KQF236" s="21"/>
      <c r="KQG236" s="21"/>
      <c r="KQJ236" s="21"/>
      <c r="KQK236" s="15"/>
      <c r="KQL236" s="15"/>
      <c r="KQM236" s="15"/>
      <c r="KQN236" s="15"/>
      <c r="KQO236" s="15"/>
      <c r="KQP236" s="15"/>
      <c r="KQQ236" s="15"/>
      <c r="KQR236" s="15"/>
      <c r="KQS236" s="15"/>
      <c r="KQT236" s="15"/>
      <c r="KQU236" s="10"/>
      <c r="KQV236" s="10"/>
      <c r="KQW236" s="21"/>
      <c r="KQX236" s="21"/>
      <c r="KRA236" s="21"/>
      <c r="KRB236" s="15"/>
      <c r="KRC236" s="15"/>
      <c r="KRD236" s="15"/>
      <c r="KRE236" s="15"/>
      <c r="KRF236" s="15"/>
      <c r="KRG236" s="15"/>
      <c r="KRH236" s="15"/>
      <c r="KRI236" s="15"/>
      <c r="KRJ236" s="15"/>
      <c r="KRK236" s="15"/>
      <c r="KRL236" s="10"/>
      <c r="KRM236" s="10"/>
      <c r="KRN236" s="21"/>
      <c r="KRO236" s="21"/>
      <c r="KRR236" s="21"/>
      <c r="KRS236" s="15"/>
      <c r="KRT236" s="15"/>
      <c r="KRU236" s="15"/>
      <c r="KRV236" s="15"/>
      <c r="KRW236" s="15"/>
      <c r="KRX236" s="15"/>
      <c r="KRY236" s="15"/>
      <c r="KRZ236" s="15"/>
      <c r="KSA236" s="15"/>
      <c r="KSB236" s="15"/>
      <c r="KSC236" s="10"/>
      <c r="KSD236" s="10"/>
      <c r="KSE236" s="21"/>
      <c r="KSF236" s="21"/>
      <c r="KSI236" s="21"/>
      <c r="KSJ236" s="15"/>
      <c r="KSK236" s="15"/>
      <c r="KSL236" s="15"/>
      <c r="KSM236" s="15"/>
      <c r="KSN236" s="15"/>
      <c r="KSO236" s="15"/>
      <c r="KSP236" s="15"/>
      <c r="KSQ236" s="15"/>
      <c r="KSR236" s="15"/>
      <c r="KSS236" s="15"/>
      <c r="KST236" s="10"/>
      <c r="KSU236" s="10"/>
      <c r="KSV236" s="21"/>
      <c r="KSW236" s="21"/>
      <c r="KSZ236" s="21"/>
      <c r="KTA236" s="15"/>
      <c r="KTB236" s="15"/>
      <c r="KTC236" s="15"/>
      <c r="KTD236" s="15"/>
      <c r="KTE236" s="15"/>
      <c r="KTF236" s="15"/>
      <c r="KTG236" s="15"/>
      <c r="KTH236" s="15"/>
      <c r="KTI236" s="15"/>
      <c r="KTJ236" s="15"/>
      <c r="KTK236" s="10"/>
      <c r="KTL236" s="10"/>
      <c r="KTM236" s="21"/>
      <c r="KTN236" s="21"/>
      <c r="KTQ236" s="21"/>
      <c r="KTR236" s="15"/>
      <c r="KTS236" s="15"/>
      <c r="KTT236" s="15"/>
      <c r="KTU236" s="15"/>
      <c r="KTV236" s="15"/>
      <c r="KTW236" s="15"/>
      <c r="KTX236" s="15"/>
      <c r="KTY236" s="15"/>
      <c r="KTZ236" s="15"/>
      <c r="KUA236" s="15"/>
      <c r="KUB236" s="10"/>
      <c r="KUC236" s="10"/>
      <c r="KUD236" s="21"/>
      <c r="KUE236" s="21"/>
      <c r="KUH236" s="21"/>
      <c r="KUI236" s="15"/>
      <c r="KUJ236" s="15"/>
      <c r="KUK236" s="15"/>
      <c r="KUL236" s="15"/>
      <c r="KUM236" s="15"/>
      <c r="KUN236" s="15"/>
      <c r="KUO236" s="15"/>
      <c r="KUP236" s="15"/>
      <c r="KUQ236" s="15"/>
      <c r="KUR236" s="15"/>
      <c r="KUS236" s="10"/>
      <c r="KUT236" s="10"/>
      <c r="KUU236" s="21"/>
      <c r="KUV236" s="21"/>
      <c r="KUY236" s="21"/>
      <c r="KUZ236" s="15"/>
      <c r="KVA236" s="15"/>
      <c r="KVB236" s="15"/>
      <c r="KVC236" s="15"/>
      <c r="KVD236" s="15"/>
      <c r="KVE236" s="15"/>
      <c r="KVF236" s="15"/>
      <c r="KVG236" s="15"/>
      <c r="KVH236" s="15"/>
      <c r="KVI236" s="15"/>
      <c r="KVJ236" s="10"/>
      <c r="KVK236" s="10"/>
      <c r="KVL236" s="21"/>
      <c r="KVM236" s="21"/>
      <c r="KVP236" s="21"/>
      <c r="KVQ236" s="15"/>
      <c r="KVR236" s="15"/>
      <c r="KVS236" s="15"/>
      <c r="KVT236" s="15"/>
      <c r="KVU236" s="15"/>
      <c r="KVV236" s="15"/>
      <c r="KVW236" s="15"/>
      <c r="KVX236" s="15"/>
      <c r="KVY236" s="15"/>
      <c r="KVZ236" s="15"/>
      <c r="KWA236" s="10"/>
      <c r="KWB236" s="10"/>
      <c r="KWC236" s="21"/>
      <c r="KWD236" s="21"/>
      <c r="KWG236" s="21"/>
      <c r="KWH236" s="15"/>
      <c r="KWI236" s="15"/>
      <c r="KWJ236" s="15"/>
      <c r="KWK236" s="15"/>
      <c r="KWL236" s="15"/>
      <c r="KWM236" s="15"/>
      <c r="KWN236" s="15"/>
      <c r="KWO236" s="15"/>
      <c r="KWP236" s="15"/>
      <c r="KWQ236" s="15"/>
      <c r="KWR236" s="10"/>
      <c r="KWS236" s="10"/>
      <c r="KWT236" s="21"/>
      <c r="KWU236" s="21"/>
      <c r="KWX236" s="21"/>
      <c r="KWY236" s="15"/>
      <c r="KWZ236" s="15"/>
      <c r="KXA236" s="15"/>
      <c r="KXB236" s="15"/>
      <c r="KXC236" s="15"/>
      <c r="KXD236" s="15"/>
      <c r="KXE236" s="15"/>
      <c r="KXF236" s="15"/>
      <c r="KXG236" s="15"/>
      <c r="KXH236" s="15"/>
      <c r="KXI236" s="10"/>
      <c r="KXJ236" s="10"/>
      <c r="KXK236" s="21"/>
      <c r="KXL236" s="21"/>
      <c r="KXO236" s="21"/>
      <c r="KXP236" s="15"/>
      <c r="KXQ236" s="15"/>
      <c r="KXR236" s="15"/>
      <c r="KXS236" s="15"/>
      <c r="KXT236" s="15"/>
      <c r="KXU236" s="15"/>
      <c r="KXV236" s="15"/>
      <c r="KXW236" s="15"/>
      <c r="KXX236" s="15"/>
      <c r="KXY236" s="15"/>
      <c r="KXZ236" s="10"/>
      <c r="KYA236" s="10"/>
      <c r="KYB236" s="21"/>
      <c r="KYC236" s="21"/>
      <c r="KYF236" s="21"/>
      <c r="KYG236" s="15"/>
      <c r="KYH236" s="15"/>
      <c r="KYI236" s="15"/>
      <c r="KYJ236" s="15"/>
      <c r="KYK236" s="15"/>
      <c r="KYL236" s="15"/>
      <c r="KYM236" s="15"/>
      <c r="KYN236" s="15"/>
      <c r="KYO236" s="15"/>
      <c r="KYP236" s="15"/>
      <c r="KYQ236" s="10"/>
      <c r="KYR236" s="10"/>
      <c r="KYS236" s="21"/>
      <c r="KYT236" s="21"/>
      <c r="KYW236" s="21"/>
      <c r="KYX236" s="15"/>
      <c r="KYY236" s="15"/>
      <c r="KYZ236" s="15"/>
      <c r="KZA236" s="15"/>
      <c r="KZB236" s="15"/>
      <c r="KZC236" s="15"/>
      <c r="KZD236" s="15"/>
      <c r="KZE236" s="15"/>
      <c r="KZF236" s="15"/>
      <c r="KZG236" s="15"/>
      <c r="KZH236" s="10"/>
      <c r="KZI236" s="10"/>
      <c r="KZJ236" s="21"/>
      <c r="KZK236" s="21"/>
      <c r="KZN236" s="21"/>
      <c r="KZO236" s="15"/>
      <c r="KZP236" s="15"/>
      <c r="KZQ236" s="15"/>
      <c r="KZR236" s="15"/>
      <c r="KZS236" s="15"/>
      <c r="KZT236" s="15"/>
      <c r="KZU236" s="15"/>
      <c r="KZV236" s="15"/>
      <c r="KZW236" s="15"/>
      <c r="KZX236" s="15"/>
      <c r="KZY236" s="10"/>
      <c r="KZZ236" s="10"/>
      <c r="LAA236" s="21"/>
      <c r="LAB236" s="21"/>
      <c r="LAE236" s="21"/>
      <c r="LAF236" s="15"/>
      <c r="LAG236" s="15"/>
      <c r="LAH236" s="15"/>
      <c r="LAI236" s="15"/>
      <c r="LAJ236" s="15"/>
      <c r="LAK236" s="15"/>
      <c r="LAL236" s="15"/>
      <c r="LAM236" s="15"/>
      <c r="LAN236" s="15"/>
      <c r="LAO236" s="15"/>
      <c r="LAP236" s="10"/>
      <c r="LAQ236" s="10"/>
      <c r="LAR236" s="21"/>
      <c r="LAS236" s="21"/>
      <c r="LAV236" s="21"/>
      <c r="LAW236" s="15"/>
      <c r="LAX236" s="15"/>
      <c r="LAY236" s="15"/>
      <c r="LAZ236" s="15"/>
      <c r="LBA236" s="15"/>
      <c r="LBB236" s="15"/>
      <c r="LBC236" s="15"/>
      <c r="LBD236" s="15"/>
      <c r="LBE236" s="15"/>
      <c r="LBF236" s="15"/>
      <c r="LBG236" s="10"/>
      <c r="LBH236" s="10"/>
      <c r="LBI236" s="21"/>
      <c r="LBJ236" s="21"/>
      <c r="LBM236" s="21"/>
      <c r="LBN236" s="15"/>
      <c r="LBO236" s="15"/>
      <c r="LBP236" s="15"/>
      <c r="LBQ236" s="15"/>
      <c r="LBR236" s="15"/>
      <c r="LBS236" s="15"/>
      <c r="LBT236" s="15"/>
      <c r="LBU236" s="15"/>
      <c r="LBV236" s="15"/>
      <c r="LBW236" s="15"/>
      <c r="LBX236" s="10"/>
      <c r="LBY236" s="10"/>
      <c r="LBZ236" s="21"/>
      <c r="LCA236" s="21"/>
      <c r="LCD236" s="21"/>
      <c r="LCE236" s="15"/>
      <c r="LCF236" s="15"/>
      <c r="LCG236" s="15"/>
      <c r="LCH236" s="15"/>
      <c r="LCI236" s="15"/>
      <c r="LCJ236" s="15"/>
      <c r="LCK236" s="15"/>
      <c r="LCL236" s="15"/>
      <c r="LCM236" s="15"/>
      <c r="LCN236" s="15"/>
      <c r="LCO236" s="10"/>
      <c r="LCP236" s="10"/>
      <c r="LCQ236" s="21"/>
      <c r="LCR236" s="21"/>
      <c r="LCU236" s="21"/>
      <c r="LCV236" s="15"/>
      <c r="LCW236" s="15"/>
      <c r="LCX236" s="15"/>
      <c r="LCY236" s="15"/>
      <c r="LCZ236" s="15"/>
      <c r="LDA236" s="15"/>
      <c r="LDB236" s="15"/>
      <c r="LDC236" s="15"/>
      <c r="LDD236" s="15"/>
      <c r="LDE236" s="15"/>
      <c r="LDF236" s="10"/>
      <c r="LDG236" s="10"/>
      <c r="LDH236" s="21"/>
      <c r="LDI236" s="21"/>
      <c r="LDL236" s="21"/>
      <c r="LDM236" s="15"/>
      <c r="LDN236" s="15"/>
      <c r="LDO236" s="15"/>
      <c r="LDP236" s="15"/>
      <c r="LDQ236" s="15"/>
      <c r="LDR236" s="15"/>
      <c r="LDS236" s="15"/>
      <c r="LDT236" s="15"/>
      <c r="LDU236" s="15"/>
      <c r="LDV236" s="15"/>
      <c r="LDW236" s="10"/>
      <c r="LDX236" s="10"/>
      <c r="LDY236" s="21"/>
      <c r="LDZ236" s="21"/>
      <c r="LEC236" s="21"/>
      <c r="LED236" s="15"/>
      <c r="LEE236" s="15"/>
      <c r="LEF236" s="15"/>
      <c r="LEG236" s="15"/>
      <c r="LEH236" s="15"/>
      <c r="LEI236" s="15"/>
      <c r="LEJ236" s="15"/>
      <c r="LEK236" s="15"/>
      <c r="LEL236" s="15"/>
      <c r="LEM236" s="15"/>
      <c r="LEN236" s="10"/>
      <c r="LEO236" s="10"/>
      <c r="LEP236" s="21"/>
      <c r="LEQ236" s="21"/>
      <c r="LET236" s="21"/>
      <c r="LEU236" s="15"/>
      <c r="LEV236" s="15"/>
      <c r="LEW236" s="15"/>
      <c r="LEX236" s="15"/>
      <c r="LEY236" s="15"/>
      <c r="LEZ236" s="15"/>
      <c r="LFA236" s="15"/>
      <c r="LFB236" s="15"/>
      <c r="LFC236" s="15"/>
      <c r="LFD236" s="15"/>
      <c r="LFE236" s="10"/>
      <c r="LFF236" s="10"/>
      <c r="LFG236" s="21"/>
      <c r="LFH236" s="21"/>
      <c r="LFK236" s="21"/>
      <c r="LFL236" s="15"/>
      <c r="LFM236" s="15"/>
      <c r="LFN236" s="15"/>
      <c r="LFO236" s="15"/>
      <c r="LFP236" s="15"/>
      <c r="LFQ236" s="15"/>
      <c r="LFR236" s="15"/>
      <c r="LFS236" s="15"/>
      <c r="LFT236" s="15"/>
      <c r="LFU236" s="15"/>
      <c r="LFV236" s="10"/>
      <c r="LFW236" s="10"/>
      <c r="LFX236" s="21"/>
      <c r="LFY236" s="21"/>
      <c r="LGB236" s="21"/>
      <c r="LGC236" s="15"/>
      <c r="LGD236" s="15"/>
      <c r="LGE236" s="15"/>
      <c r="LGF236" s="15"/>
      <c r="LGG236" s="15"/>
      <c r="LGH236" s="15"/>
      <c r="LGI236" s="15"/>
      <c r="LGJ236" s="15"/>
      <c r="LGK236" s="15"/>
      <c r="LGL236" s="15"/>
      <c r="LGM236" s="10"/>
      <c r="LGN236" s="10"/>
      <c r="LGO236" s="21"/>
      <c r="LGP236" s="21"/>
      <c r="LGS236" s="21"/>
      <c r="LGT236" s="15"/>
      <c r="LGU236" s="15"/>
      <c r="LGV236" s="15"/>
      <c r="LGW236" s="15"/>
      <c r="LGX236" s="15"/>
      <c r="LGY236" s="15"/>
      <c r="LGZ236" s="15"/>
      <c r="LHA236" s="15"/>
      <c r="LHB236" s="15"/>
      <c r="LHC236" s="15"/>
      <c r="LHD236" s="10"/>
      <c r="LHE236" s="10"/>
      <c r="LHF236" s="21"/>
      <c r="LHG236" s="21"/>
      <c r="LHJ236" s="21"/>
      <c r="LHK236" s="15"/>
      <c r="LHL236" s="15"/>
      <c r="LHM236" s="15"/>
      <c r="LHN236" s="15"/>
      <c r="LHO236" s="15"/>
      <c r="LHP236" s="15"/>
      <c r="LHQ236" s="15"/>
      <c r="LHR236" s="15"/>
      <c r="LHS236" s="15"/>
      <c r="LHT236" s="15"/>
      <c r="LHU236" s="10"/>
      <c r="LHV236" s="10"/>
      <c r="LHW236" s="21"/>
      <c r="LHX236" s="21"/>
      <c r="LIA236" s="21"/>
      <c r="LIB236" s="15"/>
      <c r="LIC236" s="15"/>
      <c r="LID236" s="15"/>
      <c r="LIE236" s="15"/>
      <c r="LIF236" s="15"/>
      <c r="LIG236" s="15"/>
      <c r="LIH236" s="15"/>
      <c r="LII236" s="15"/>
      <c r="LIJ236" s="15"/>
      <c r="LIK236" s="15"/>
      <c r="LIL236" s="10"/>
      <c r="LIM236" s="10"/>
      <c r="LIN236" s="21"/>
      <c r="LIO236" s="21"/>
      <c r="LIR236" s="21"/>
      <c r="LIS236" s="15"/>
      <c r="LIT236" s="15"/>
      <c r="LIU236" s="15"/>
      <c r="LIV236" s="15"/>
      <c r="LIW236" s="15"/>
      <c r="LIX236" s="15"/>
      <c r="LIY236" s="15"/>
      <c r="LIZ236" s="15"/>
      <c r="LJA236" s="15"/>
      <c r="LJB236" s="15"/>
      <c r="LJC236" s="10"/>
      <c r="LJD236" s="10"/>
      <c r="LJE236" s="21"/>
      <c r="LJF236" s="21"/>
      <c r="LJI236" s="21"/>
      <c r="LJJ236" s="15"/>
      <c r="LJK236" s="15"/>
      <c r="LJL236" s="15"/>
      <c r="LJM236" s="15"/>
      <c r="LJN236" s="15"/>
      <c r="LJO236" s="15"/>
      <c r="LJP236" s="15"/>
      <c r="LJQ236" s="15"/>
      <c r="LJR236" s="15"/>
      <c r="LJS236" s="15"/>
      <c r="LJT236" s="10"/>
      <c r="LJU236" s="10"/>
      <c r="LJV236" s="21"/>
      <c r="LJW236" s="21"/>
      <c r="LJZ236" s="21"/>
      <c r="LKA236" s="15"/>
      <c r="LKB236" s="15"/>
      <c r="LKC236" s="15"/>
      <c r="LKD236" s="15"/>
      <c r="LKE236" s="15"/>
      <c r="LKF236" s="15"/>
      <c r="LKG236" s="15"/>
      <c r="LKH236" s="15"/>
      <c r="LKI236" s="15"/>
      <c r="LKJ236" s="15"/>
      <c r="LKK236" s="10"/>
      <c r="LKL236" s="10"/>
      <c r="LKM236" s="21"/>
      <c r="LKN236" s="21"/>
      <c r="LKQ236" s="21"/>
      <c r="LKR236" s="15"/>
      <c r="LKS236" s="15"/>
      <c r="LKT236" s="15"/>
      <c r="LKU236" s="15"/>
      <c r="LKV236" s="15"/>
      <c r="LKW236" s="15"/>
      <c r="LKX236" s="15"/>
      <c r="LKY236" s="15"/>
      <c r="LKZ236" s="15"/>
      <c r="LLA236" s="15"/>
      <c r="LLB236" s="10"/>
      <c r="LLC236" s="10"/>
      <c r="LLD236" s="21"/>
      <c r="LLE236" s="21"/>
      <c r="LLH236" s="21"/>
      <c r="LLI236" s="15"/>
      <c r="LLJ236" s="15"/>
      <c r="LLK236" s="15"/>
      <c r="LLL236" s="15"/>
      <c r="LLM236" s="15"/>
      <c r="LLN236" s="15"/>
      <c r="LLO236" s="15"/>
      <c r="LLP236" s="15"/>
      <c r="LLQ236" s="15"/>
      <c r="LLR236" s="15"/>
      <c r="LLS236" s="10"/>
      <c r="LLT236" s="10"/>
      <c r="LLU236" s="21"/>
      <c r="LLV236" s="21"/>
      <c r="LLY236" s="21"/>
      <c r="LLZ236" s="15"/>
      <c r="LMA236" s="15"/>
      <c r="LMB236" s="15"/>
      <c r="LMC236" s="15"/>
      <c r="LMD236" s="15"/>
      <c r="LME236" s="15"/>
      <c r="LMF236" s="15"/>
      <c r="LMG236" s="15"/>
      <c r="LMH236" s="15"/>
      <c r="LMI236" s="15"/>
      <c r="LMJ236" s="10"/>
      <c r="LMK236" s="10"/>
      <c r="LML236" s="21"/>
      <c r="LMM236" s="21"/>
      <c r="LMP236" s="21"/>
      <c r="LMQ236" s="15"/>
      <c r="LMR236" s="15"/>
      <c r="LMS236" s="15"/>
      <c r="LMT236" s="15"/>
      <c r="LMU236" s="15"/>
      <c r="LMV236" s="15"/>
      <c r="LMW236" s="15"/>
      <c r="LMX236" s="15"/>
      <c r="LMY236" s="15"/>
      <c r="LMZ236" s="15"/>
      <c r="LNA236" s="10"/>
      <c r="LNB236" s="10"/>
      <c r="LNC236" s="21"/>
      <c r="LND236" s="21"/>
      <c r="LNG236" s="21"/>
      <c r="LNH236" s="15"/>
      <c r="LNI236" s="15"/>
      <c r="LNJ236" s="15"/>
      <c r="LNK236" s="15"/>
      <c r="LNL236" s="15"/>
      <c r="LNM236" s="15"/>
      <c r="LNN236" s="15"/>
      <c r="LNO236" s="15"/>
      <c r="LNP236" s="15"/>
      <c r="LNQ236" s="15"/>
      <c r="LNR236" s="10"/>
      <c r="LNS236" s="10"/>
      <c r="LNT236" s="21"/>
      <c r="LNU236" s="21"/>
      <c r="LNX236" s="21"/>
      <c r="LNY236" s="15"/>
      <c r="LNZ236" s="15"/>
      <c r="LOA236" s="15"/>
      <c r="LOB236" s="15"/>
      <c r="LOC236" s="15"/>
      <c r="LOD236" s="15"/>
      <c r="LOE236" s="15"/>
      <c r="LOF236" s="15"/>
      <c r="LOG236" s="15"/>
      <c r="LOH236" s="15"/>
      <c r="LOI236" s="10"/>
      <c r="LOJ236" s="10"/>
      <c r="LOK236" s="21"/>
      <c r="LOL236" s="21"/>
      <c r="LOO236" s="21"/>
      <c r="LOP236" s="15"/>
      <c r="LOQ236" s="15"/>
      <c r="LOR236" s="15"/>
      <c r="LOS236" s="15"/>
      <c r="LOT236" s="15"/>
      <c r="LOU236" s="15"/>
      <c r="LOV236" s="15"/>
      <c r="LOW236" s="15"/>
      <c r="LOX236" s="15"/>
      <c r="LOY236" s="15"/>
      <c r="LOZ236" s="10"/>
      <c r="LPA236" s="10"/>
      <c r="LPB236" s="21"/>
      <c r="LPC236" s="21"/>
      <c r="LPF236" s="21"/>
      <c r="LPG236" s="15"/>
      <c r="LPH236" s="15"/>
      <c r="LPI236" s="15"/>
      <c r="LPJ236" s="15"/>
      <c r="LPK236" s="15"/>
      <c r="LPL236" s="15"/>
      <c r="LPM236" s="15"/>
      <c r="LPN236" s="15"/>
      <c r="LPO236" s="15"/>
      <c r="LPP236" s="15"/>
      <c r="LPQ236" s="10"/>
      <c r="LPR236" s="10"/>
      <c r="LPS236" s="21"/>
      <c r="LPT236" s="21"/>
      <c r="LPW236" s="21"/>
      <c r="LPX236" s="15"/>
      <c r="LPY236" s="15"/>
      <c r="LPZ236" s="15"/>
      <c r="LQA236" s="15"/>
      <c r="LQB236" s="15"/>
      <c r="LQC236" s="15"/>
      <c r="LQD236" s="15"/>
      <c r="LQE236" s="15"/>
      <c r="LQF236" s="15"/>
      <c r="LQG236" s="15"/>
      <c r="LQH236" s="10"/>
      <c r="LQI236" s="10"/>
      <c r="LQJ236" s="21"/>
      <c r="LQK236" s="21"/>
      <c r="LQN236" s="21"/>
      <c r="LQO236" s="15"/>
      <c r="LQP236" s="15"/>
      <c r="LQQ236" s="15"/>
      <c r="LQR236" s="15"/>
      <c r="LQS236" s="15"/>
      <c r="LQT236" s="15"/>
      <c r="LQU236" s="15"/>
      <c r="LQV236" s="15"/>
      <c r="LQW236" s="15"/>
      <c r="LQX236" s="15"/>
      <c r="LQY236" s="10"/>
      <c r="LQZ236" s="10"/>
      <c r="LRA236" s="21"/>
      <c r="LRB236" s="21"/>
      <c r="LRE236" s="21"/>
      <c r="LRF236" s="15"/>
      <c r="LRG236" s="15"/>
      <c r="LRH236" s="15"/>
      <c r="LRI236" s="15"/>
      <c r="LRJ236" s="15"/>
      <c r="LRK236" s="15"/>
      <c r="LRL236" s="15"/>
      <c r="LRM236" s="15"/>
      <c r="LRN236" s="15"/>
      <c r="LRO236" s="15"/>
      <c r="LRP236" s="10"/>
      <c r="LRQ236" s="10"/>
      <c r="LRR236" s="21"/>
      <c r="LRS236" s="21"/>
      <c r="LRV236" s="21"/>
      <c r="LRW236" s="15"/>
      <c r="LRX236" s="15"/>
      <c r="LRY236" s="15"/>
      <c r="LRZ236" s="15"/>
      <c r="LSA236" s="15"/>
      <c r="LSB236" s="15"/>
      <c r="LSC236" s="15"/>
      <c r="LSD236" s="15"/>
      <c r="LSE236" s="15"/>
      <c r="LSF236" s="15"/>
      <c r="LSG236" s="10"/>
      <c r="LSH236" s="10"/>
      <c r="LSI236" s="21"/>
      <c r="LSJ236" s="21"/>
      <c r="LSM236" s="21"/>
      <c r="LSN236" s="15"/>
      <c r="LSO236" s="15"/>
      <c r="LSP236" s="15"/>
      <c r="LSQ236" s="15"/>
      <c r="LSR236" s="15"/>
      <c r="LSS236" s="15"/>
      <c r="LST236" s="15"/>
      <c r="LSU236" s="15"/>
      <c r="LSV236" s="15"/>
      <c r="LSW236" s="15"/>
      <c r="LSX236" s="10"/>
      <c r="LSY236" s="10"/>
      <c r="LSZ236" s="21"/>
      <c r="LTA236" s="21"/>
      <c r="LTD236" s="21"/>
      <c r="LTE236" s="15"/>
      <c r="LTF236" s="15"/>
      <c r="LTG236" s="15"/>
      <c r="LTH236" s="15"/>
      <c r="LTI236" s="15"/>
      <c r="LTJ236" s="15"/>
      <c r="LTK236" s="15"/>
      <c r="LTL236" s="15"/>
      <c r="LTM236" s="15"/>
      <c r="LTN236" s="15"/>
      <c r="LTO236" s="10"/>
      <c r="LTP236" s="10"/>
      <c r="LTQ236" s="21"/>
      <c r="LTR236" s="21"/>
      <c r="LTU236" s="21"/>
      <c r="LTV236" s="15"/>
      <c r="LTW236" s="15"/>
      <c r="LTX236" s="15"/>
      <c r="LTY236" s="15"/>
      <c r="LTZ236" s="15"/>
      <c r="LUA236" s="15"/>
      <c r="LUB236" s="15"/>
      <c r="LUC236" s="15"/>
      <c r="LUD236" s="15"/>
      <c r="LUE236" s="15"/>
      <c r="LUF236" s="10"/>
      <c r="LUG236" s="10"/>
      <c r="LUH236" s="21"/>
      <c r="LUI236" s="21"/>
      <c r="LUL236" s="21"/>
      <c r="LUM236" s="15"/>
      <c r="LUN236" s="15"/>
      <c r="LUO236" s="15"/>
      <c r="LUP236" s="15"/>
      <c r="LUQ236" s="15"/>
      <c r="LUR236" s="15"/>
      <c r="LUS236" s="15"/>
      <c r="LUT236" s="15"/>
      <c r="LUU236" s="15"/>
      <c r="LUV236" s="15"/>
      <c r="LUW236" s="10"/>
      <c r="LUX236" s="10"/>
      <c r="LUY236" s="21"/>
      <c r="LUZ236" s="21"/>
      <c r="LVC236" s="21"/>
      <c r="LVD236" s="15"/>
      <c r="LVE236" s="15"/>
      <c r="LVF236" s="15"/>
      <c r="LVG236" s="15"/>
      <c r="LVH236" s="15"/>
      <c r="LVI236" s="15"/>
      <c r="LVJ236" s="15"/>
      <c r="LVK236" s="15"/>
      <c r="LVL236" s="15"/>
      <c r="LVM236" s="15"/>
      <c r="LVN236" s="10"/>
      <c r="LVO236" s="10"/>
      <c r="LVP236" s="21"/>
      <c r="LVQ236" s="21"/>
      <c r="LVT236" s="21"/>
      <c r="LVU236" s="15"/>
      <c r="LVV236" s="15"/>
      <c r="LVW236" s="15"/>
      <c r="LVX236" s="15"/>
      <c r="LVY236" s="15"/>
      <c r="LVZ236" s="15"/>
      <c r="LWA236" s="15"/>
      <c r="LWB236" s="15"/>
      <c r="LWC236" s="15"/>
      <c r="LWD236" s="15"/>
      <c r="LWE236" s="10"/>
      <c r="LWF236" s="10"/>
      <c r="LWG236" s="21"/>
      <c r="LWH236" s="21"/>
      <c r="LWK236" s="21"/>
      <c r="LWL236" s="15"/>
      <c r="LWM236" s="15"/>
      <c r="LWN236" s="15"/>
      <c r="LWO236" s="15"/>
      <c r="LWP236" s="15"/>
      <c r="LWQ236" s="15"/>
      <c r="LWR236" s="15"/>
      <c r="LWS236" s="15"/>
      <c r="LWT236" s="15"/>
      <c r="LWU236" s="15"/>
      <c r="LWV236" s="10"/>
      <c r="LWW236" s="10"/>
      <c r="LWX236" s="21"/>
      <c r="LWY236" s="21"/>
      <c r="LXB236" s="21"/>
      <c r="LXC236" s="15"/>
      <c r="LXD236" s="15"/>
      <c r="LXE236" s="15"/>
      <c r="LXF236" s="15"/>
      <c r="LXG236" s="15"/>
      <c r="LXH236" s="15"/>
      <c r="LXI236" s="15"/>
      <c r="LXJ236" s="15"/>
      <c r="LXK236" s="15"/>
      <c r="LXL236" s="15"/>
      <c r="LXM236" s="10"/>
      <c r="LXN236" s="10"/>
      <c r="LXO236" s="21"/>
      <c r="LXP236" s="21"/>
      <c r="LXS236" s="21"/>
      <c r="LXT236" s="15"/>
      <c r="LXU236" s="15"/>
      <c r="LXV236" s="15"/>
      <c r="LXW236" s="15"/>
      <c r="LXX236" s="15"/>
      <c r="LXY236" s="15"/>
      <c r="LXZ236" s="15"/>
      <c r="LYA236" s="15"/>
      <c r="LYB236" s="15"/>
      <c r="LYC236" s="15"/>
      <c r="LYD236" s="10"/>
      <c r="LYE236" s="10"/>
      <c r="LYF236" s="21"/>
      <c r="LYG236" s="21"/>
      <c r="LYJ236" s="21"/>
      <c r="LYK236" s="15"/>
      <c r="LYL236" s="15"/>
      <c r="LYM236" s="15"/>
      <c r="LYN236" s="15"/>
      <c r="LYO236" s="15"/>
      <c r="LYP236" s="15"/>
      <c r="LYQ236" s="15"/>
      <c r="LYR236" s="15"/>
      <c r="LYS236" s="15"/>
      <c r="LYT236" s="15"/>
      <c r="LYU236" s="10"/>
      <c r="LYV236" s="10"/>
      <c r="LYW236" s="21"/>
      <c r="LYX236" s="21"/>
      <c r="LZA236" s="21"/>
      <c r="LZB236" s="15"/>
      <c r="LZC236" s="15"/>
      <c r="LZD236" s="15"/>
      <c r="LZE236" s="15"/>
      <c r="LZF236" s="15"/>
      <c r="LZG236" s="15"/>
      <c r="LZH236" s="15"/>
      <c r="LZI236" s="15"/>
      <c r="LZJ236" s="15"/>
      <c r="LZK236" s="15"/>
      <c r="LZL236" s="10"/>
      <c r="LZM236" s="10"/>
      <c r="LZN236" s="21"/>
      <c r="LZO236" s="21"/>
      <c r="LZR236" s="21"/>
      <c r="LZS236" s="15"/>
      <c r="LZT236" s="15"/>
      <c r="LZU236" s="15"/>
      <c r="LZV236" s="15"/>
      <c r="LZW236" s="15"/>
      <c r="LZX236" s="15"/>
      <c r="LZY236" s="15"/>
      <c r="LZZ236" s="15"/>
      <c r="MAA236" s="15"/>
      <c r="MAB236" s="15"/>
      <c r="MAC236" s="10"/>
      <c r="MAD236" s="10"/>
      <c r="MAE236" s="21"/>
      <c r="MAF236" s="21"/>
      <c r="MAI236" s="21"/>
      <c r="MAJ236" s="15"/>
      <c r="MAK236" s="15"/>
      <c r="MAL236" s="15"/>
      <c r="MAM236" s="15"/>
      <c r="MAN236" s="15"/>
      <c r="MAO236" s="15"/>
      <c r="MAP236" s="15"/>
      <c r="MAQ236" s="15"/>
      <c r="MAR236" s="15"/>
      <c r="MAS236" s="15"/>
      <c r="MAT236" s="10"/>
      <c r="MAU236" s="10"/>
      <c r="MAV236" s="21"/>
      <c r="MAW236" s="21"/>
      <c r="MAZ236" s="21"/>
      <c r="MBA236" s="15"/>
      <c r="MBB236" s="15"/>
      <c r="MBC236" s="15"/>
      <c r="MBD236" s="15"/>
      <c r="MBE236" s="15"/>
      <c r="MBF236" s="15"/>
      <c r="MBG236" s="15"/>
      <c r="MBH236" s="15"/>
      <c r="MBI236" s="15"/>
      <c r="MBJ236" s="15"/>
      <c r="MBK236" s="10"/>
      <c r="MBL236" s="10"/>
      <c r="MBM236" s="21"/>
      <c r="MBN236" s="21"/>
      <c r="MBQ236" s="21"/>
      <c r="MBR236" s="15"/>
      <c r="MBS236" s="15"/>
      <c r="MBT236" s="15"/>
      <c r="MBU236" s="15"/>
      <c r="MBV236" s="15"/>
      <c r="MBW236" s="15"/>
      <c r="MBX236" s="15"/>
      <c r="MBY236" s="15"/>
      <c r="MBZ236" s="15"/>
      <c r="MCA236" s="15"/>
      <c r="MCB236" s="10"/>
      <c r="MCC236" s="10"/>
      <c r="MCD236" s="21"/>
      <c r="MCE236" s="21"/>
      <c r="MCH236" s="21"/>
      <c r="MCI236" s="15"/>
      <c r="MCJ236" s="15"/>
      <c r="MCK236" s="15"/>
      <c r="MCL236" s="15"/>
      <c r="MCM236" s="15"/>
      <c r="MCN236" s="15"/>
      <c r="MCO236" s="15"/>
      <c r="MCP236" s="15"/>
      <c r="MCQ236" s="15"/>
      <c r="MCR236" s="15"/>
      <c r="MCS236" s="10"/>
      <c r="MCT236" s="10"/>
      <c r="MCU236" s="21"/>
      <c r="MCV236" s="21"/>
      <c r="MCY236" s="21"/>
      <c r="MCZ236" s="15"/>
      <c r="MDA236" s="15"/>
      <c r="MDB236" s="15"/>
      <c r="MDC236" s="15"/>
      <c r="MDD236" s="15"/>
      <c r="MDE236" s="15"/>
      <c r="MDF236" s="15"/>
      <c r="MDG236" s="15"/>
      <c r="MDH236" s="15"/>
      <c r="MDI236" s="15"/>
      <c r="MDJ236" s="10"/>
      <c r="MDK236" s="10"/>
      <c r="MDL236" s="21"/>
      <c r="MDM236" s="21"/>
      <c r="MDP236" s="21"/>
      <c r="MDQ236" s="15"/>
      <c r="MDR236" s="15"/>
      <c r="MDS236" s="15"/>
      <c r="MDT236" s="15"/>
      <c r="MDU236" s="15"/>
      <c r="MDV236" s="15"/>
      <c r="MDW236" s="15"/>
      <c r="MDX236" s="15"/>
      <c r="MDY236" s="15"/>
      <c r="MDZ236" s="15"/>
      <c r="MEA236" s="10"/>
      <c r="MEB236" s="10"/>
      <c r="MEC236" s="21"/>
      <c r="MED236" s="21"/>
      <c r="MEG236" s="21"/>
      <c r="MEH236" s="15"/>
      <c r="MEI236" s="15"/>
      <c r="MEJ236" s="15"/>
      <c r="MEK236" s="15"/>
      <c r="MEL236" s="15"/>
      <c r="MEM236" s="15"/>
      <c r="MEN236" s="15"/>
      <c r="MEO236" s="15"/>
      <c r="MEP236" s="15"/>
      <c r="MEQ236" s="15"/>
      <c r="MER236" s="10"/>
      <c r="MES236" s="10"/>
      <c r="MET236" s="21"/>
      <c r="MEU236" s="21"/>
      <c r="MEX236" s="21"/>
      <c r="MEY236" s="15"/>
      <c r="MEZ236" s="15"/>
      <c r="MFA236" s="15"/>
      <c r="MFB236" s="15"/>
      <c r="MFC236" s="15"/>
      <c r="MFD236" s="15"/>
      <c r="MFE236" s="15"/>
      <c r="MFF236" s="15"/>
      <c r="MFG236" s="15"/>
      <c r="MFH236" s="15"/>
      <c r="MFI236" s="10"/>
      <c r="MFJ236" s="10"/>
      <c r="MFK236" s="21"/>
      <c r="MFL236" s="21"/>
      <c r="MFO236" s="21"/>
      <c r="MFP236" s="15"/>
      <c r="MFQ236" s="15"/>
      <c r="MFR236" s="15"/>
      <c r="MFS236" s="15"/>
      <c r="MFT236" s="15"/>
      <c r="MFU236" s="15"/>
      <c r="MFV236" s="15"/>
      <c r="MFW236" s="15"/>
      <c r="MFX236" s="15"/>
      <c r="MFY236" s="15"/>
      <c r="MFZ236" s="10"/>
      <c r="MGA236" s="10"/>
      <c r="MGB236" s="21"/>
      <c r="MGC236" s="21"/>
      <c r="MGF236" s="21"/>
      <c r="MGG236" s="15"/>
      <c r="MGH236" s="15"/>
      <c r="MGI236" s="15"/>
      <c r="MGJ236" s="15"/>
      <c r="MGK236" s="15"/>
      <c r="MGL236" s="15"/>
      <c r="MGM236" s="15"/>
      <c r="MGN236" s="15"/>
      <c r="MGO236" s="15"/>
      <c r="MGP236" s="15"/>
      <c r="MGQ236" s="10"/>
      <c r="MGR236" s="10"/>
      <c r="MGS236" s="21"/>
      <c r="MGT236" s="21"/>
      <c r="MGW236" s="21"/>
      <c r="MGX236" s="15"/>
      <c r="MGY236" s="15"/>
      <c r="MGZ236" s="15"/>
      <c r="MHA236" s="15"/>
      <c r="MHB236" s="15"/>
      <c r="MHC236" s="15"/>
      <c r="MHD236" s="15"/>
      <c r="MHE236" s="15"/>
      <c r="MHF236" s="15"/>
      <c r="MHG236" s="15"/>
      <c r="MHH236" s="10"/>
      <c r="MHI236" s="10"/>
      <c r="MHJ236" s="21"/>
      <c r="MHK236" s="21"/>
      <c r="MHN236" s="21"/>
      <c r="MHO236" s="15"/>
      <c r="MHP236" s="15"/>
      <c r="MHQ236" s="15"/>
      <c r="MHR236" s="15"/>
      <c r="MHS236" s="15"/>
      <c r="MHT236" s="15"/>
      <c r="MHU236" s="15"/>
      <c r="MHV236" s="15"/>
      <c r="MHW236" s="15"/>
      <c r="MHX236" s="15"/>
      <c r="MHY236" s="10"/>
      <c r="MHZ236" s="10"/>
      <c r="MIA236" s="21"/>
      <c r="MIB236" s="21"/>
      <c r="MIE236" s="21"/>
      <c r="MIF236" s="15"/>
      <c r="MIG236" s="15"/>
      <c r="MIH236" s="15"/>
      <c r="MII236" s="15"/>
      <c r="MIJ236" s="15"/>
      <c r="MIK236" s="15"/>
      <c r="MIL236" s="15"/>
      <c r="MIM236" s="15"/>
      <c r="MIN236" s="15"/>
      <c r="MIO236" s="15"/>
      <c r="MIP236" s="10"/>
      <c r="MIQ236" s="10"/>
      <c r="MIR236" s="21"/>
      <c r="MIS236" s="21"/>
      <c r="MIV236" s="21"/>
      <c r="MIW236" s="15"/>
      <c r="MIX236" s="15"/>
      <c r="MIY236" s="15"/>
      <c r="MIZ236" s="15"/>
      <c r="MJA236" s="15"/>
      <c r="MJB236" s="15"/>
      <c r="MJC236" s="15"/>
      <c r="MJD236" s="15"/>
      <c r="MJE236" s="15"/>
      <c r="MJF236" s="15"/>
      <c r="MJG236" s="10"/>
      <c r="MJH236" s="10"/>
      <c r="MJI236" s="21"/>
      <c r="MJJ236" s="21"/>
      <c r="MJM236" s="21"/>
      <c r="MJN236" s="15"/>
      <c r="MJO236" s="15"/>
      <c r="MJP236" s="15"/>
      <c r="MJQ236" s="15"/>
      <c r="MJR236" s="15"/>
      <c r="MJS236" s="15"/>
      <c r="MJT236" s="15"/>
      <c r="MJU236" s="15"/>
      <c r="MJV236" s="15"/>
      <c r="MJW236" s="15"/>
      <c r="MJX236" s="10"/>
      <c r="MJY236" s="10"/>
      <c r="MJZ236" s="21"/>
      <c r="MKA236" s="21"/>
      <c r="MKD236" s="21"/>
      <c r="MKE236" s="15"/>
      <c r="MKF236" s="15"/>
      <c r="MKG236" s="15"/>
      <c r="MKH236" s="15"/>
      <c r="MKI236" s="15"/>
      <c r="MKJ236" s="15"/>
      <c r="MKK236" s="15"/>
      <c r="MKL236" s="15"/>
      <c r="MKM236" s="15"/>
      <c r="MKN236" s="15"/>
      <c r="MKO236" s="10"/>
      <c r="MKP236" s="10"/>
      <c r="MKQ236" s="21"/>
      <c r="MKR236" s="21"/>
      <c r="MKU236" s="21"/>
      <c r="MKV236" s="15"/>
      <c r="MKW236" s="15"/>
      <c r="MKX236" s="15"/>
      <c r="MKY236" s="15"/>
      <c r="MKZ236" s="15"/>
      <c r="MLA236" s="15"/>
      <c r="MLB236" s="15"/>
      <c r="MLC236" s="15"/>
      <c r="MLD236" s="15"/>
      <c r="MLE236" s="15"/>
      <c r="MLF236" s="10"/>
      <c r="MLG236" s="10"/>
      <c r="MLH236" s="21"/>
      <c r="MLI236" s="21"/>
      <c r="MLL236" s="21"/>
      <c r="MLM236" s="15"/>
      <c r="MLN236" s="15"/>
      <c r="MLO236" s="15"/>
      <c r="MLP236" s="15"/>
      <c r="MLQ236" s="15"/>
      <c r="MLR236" s="15"/>
      <c r="MLS236" s="15"/>
      <c r="MLT236" s="15"/>
      <c r="MLU236" s="15"/>
      <c r="MLV236" s="15"/>
      <c r="MLW236" s="10"/>
      <c r="MLX236" s="10"/>
      <c r="MLY236" s="21"/>
      <c r="MLZ236" s="21"/>
      <c r="MMC236" s="21"/>
      <c r="MMD236" s="15"/>
      <c r="MME236" s="15"/>
      <c r="MMF236" s="15"/>
      <c r="MMG236" s="15"/>
      <c r="MMH236" s="15"/>
      <c r="MMI236" s="15"/>
      <c r="MMJ236" s="15"/>
      <c r="MMK236" s="15"/>
      <c r="MML236" s="15"/>
      <c r="MMM236" s="15"/>
      <c r="MMN236" s="10"/>
      <c r="MMO236" s="10"/>
      <c r="MMP236" s="21"/>
      <c r="MMQ236" s="21"/>
      <c r="MMT236" s="21"/>
      <c r="MMU236" s="15"/>
      <c r="MMV236" s="15"/>
      <c r="MMW236" s="15"/>
      <c r="MMX236" s="15"/>
      <c r="MMY236" s="15"/>
      <c r="MMZ236" s="15"/>
      <c r="MNA236" s="15"/>
      <c r="MNB236" s="15"/>
      <c r="MNC236" s="15"/>
      <c r="MND236" s="15"/>
      <c r="MNE236" s="10"/>
      <c r="MNF236" s="10"/>
      <c r="MNG236" s="21"/>
      <c r="MNH236" s="21"/>
      <c r="MNK236" s="21"/>
      <c r="MNL236" s="15"/>
      <c r="MNM236" s="15"/>
      <c r="MNN236" s="15"/>
      <c r="MNO236" s="15"/>
      <c r="MNP236" s="15"/>
      <c r="MNQ236" s="15"/>
      <c r="MNR236" s="15"/>
      <c r="MNS236" s="15"/>
      <c r="MNT236" s="15"/>
      <c r="MNU236" s="15"/>
      <c r="MNV236" s="10"/>
      <c r="MNW236" s="10"/>
      <c r="MNX236" s="21"/>
      <c r="MNY236" s="21"/>
      <c r="MOB236" s="21"/>
      <c r="MOC236" s="15"/>
      <c r="MOD236" s="15"/>
      <c r="MOE236" s="15"/>
      <c r="MOF236" s="15"/>
      <c r="MOG236" s="15"/>
      <c r="MOH236" s="15"/>
      <c r="MOI236" s="15"/>
      <c r="MOJ236" s="15"/>
      <c r="MOK236" s="15"/>
      <c r="MOL236" s="15"/>
      <c r="MOM236" s="10"/>
      <c r="MON236" s="10"/>
      <c r="MOO236" s="21"/>
      <c r="MOP236" s="21"/>
      <c r="MOS236" s="21"/>
      <c r="MOT236" s="15"/>
      <c r="MOU236" s="15"/>
      <c r="MOV236" s="15"/>
      <c r="MOW236" s="15"/>
      <c r="MOX236" s="15"/>
      <c r="MOY236" s="15"/>
      <c r="MOZ236" s="15"/>
      <c r="MPA236" s="15"/>
      <c r="MPB236" s="15"/>
      <c r="MPC236" s="15"/>
      <c r="MPD236" s="10"/>
      <c r="MPE236" s="10"/>
      <c r="MPF236" s="21"/>
      <c r="MPG236" s="21"/>
      <c r="MPJ236" s="21"/>
      <c r="MPK236" s="15"/>
      <c r="MPL236" s="15"/>
      <c r="MPM236" s="15"/>
      <c r="MPN236" s="15"/>
      <c r="MPO236" s="15"/>
      <c r="MPP236" s="15"/>
      <c r="MPQ236" s="15"/>
      <c r="MPR236" s="15"/>
      <c r="MPS236" s="15"/>
      <c r="MPT236" s="15"/>
      <c r="MPU236" s="10"/>
      <c r="MPV236" s="10"/>
      <c r="MPW236" s="21"/>
      <c r="MPX236" s="21"/>
      <c r="MQA236" s="21"/>
      <c r="MQB236" s="15"/>
      <c r="MQC236" s="15"/>
      <c r="MQD236" s="15"/>
      <c r="MQE236" s="15"/>
      <c r="MQF236" s="15"/>
      <c r="MQG236" s="15"/>
      <c r="MQH236" s="15"/>
      <c r="MQI236" s="15"/>
      <c r="MQJ236" s="15"/>
      <c r="MQK236" s="15"/>
      <c r="MQL236" s="10"/>
      <c r="MQM236" s="10"/>
      <c r="MQN236" s="21"/>
      <c r="MQO236" s="21"/>
      <c r="MQR236" s="21"/>
      <c r="MQS236" s="15"/>
      <c r="MQT236" s="15"/>
      <c r="MQU236" s="15"/>
      <c r="MQV236" s="15"/>
      <c r="MQW236" s="15"/>
      <c r="MQX236" s="15"/>
      <c r="MQY236" s="15"/>
      <c r="MQZ236" s="15"/>
      <c r="MRA236" s="15"/>
      <c r="MRB236" s="15"/>
      <c r="MRC236" s="10"/>
      <c r="MRD236" s="10"/>
      <c r="MRE236" s="21"/>
      <c r="MRF236" s="21"/>
      <c r="MRI236" s="21"/>
      <c r="MRJ236" s="15"/>
      <c r="MRK236" s="15"/>
      <c r="MRL236" s="15"/>
      <c r="MRM236" s="15"/>
      <c r="MRN236" s="15"/>
      <c r="MRO236" s="15"/>
      <c r="MRP236" s="15"/>
      <c r="MRQ236" s="15"/>
      <c r="MRR236" s="15"/>
      <c r="MRS236" s="15"/>
      <c r="MRT236" s="10"/>
      <c r="MRU236" s="10"/>
      <c r="MRV236" s="21"/>
      <c r="MRW236" s="21"/>
      <c r="MRZ236" s="21"/>
      <c r="MSA236" s="15"/>
      <c r="MSB236" s="15"/>
      <c r="MSC236" s="15"/>
      <c r="MSD236" s="15"/>
      <c r="MSE236" s="15"/>
      <c r="MSF236" s="15"/>
      <c r="MSG236" s="15"/>
      <c r="MSH236" s="15"/>
      <c r="MSI236" s="15"/>
      <c r="MSJ236" s="15"/>
      <c r="MSK236" s="10"/>
      <c r="MSL236" s="10"/>
      <c r="MSM236" s="21"/>
      <c r="MSN236" s="21"/>
      <c r="MSQ236" s="21"/>
      <c r="MSR236" s="15"/>
      <c r="MSS236" s="15"/>
      <c r="MST236" s="15"/>
      <c r="MSU236" s="15"/>
      <c r="MSV236" s="15"/>
      <c r="MSW236" s="15"/>
      <c r="MSX236" s="15"/>
      <c r="MSY236" s="15"/>
      <c r="MSZ236" s="15"/>
      <c r="MTA236" s="15"/>
      <c r="MTB236" s="10"/>
      <c r="MTC236" s="10"/>
      <c r="MTD236" s="21"/>
      <c r="MTE236" s="21"/>
      <c r="MTH236" s="21"/>
      <c r="MTI236" s="15"/>
      <c r="MTJ236" s="15"/>
      <c r="MTK236" s="15"/>
      <c r="MTL236" s="15"/>
      <c r="MTM236" s="15"/>
      <c r="MTN236" s="15"/>
      <c r="MTO236" s="15"/>
      <c r="MTP236" s="15"/>
      <c r="MTQ236" s="15"/>
      <c r="MTR236" s="15"/>
      <c r="MTS236" s="10"/>
      <c r="MTT236" s="10"/>
      <c r="MTU236" s="21"/>
      <c r="MTV236" s="21"/>
      <c r="MTY236" s="21"/>
      <c r="MTZ236" s="15"/>
      <c r="MUA236" s="15"/>
      <c r="MUB236" s="15"/>
      <c r="MUC236" s="15"/>
      <c r="MUD236" s="15"/>
      <c r="MUE236" s="15"/>
      <c r="MUF236" s="15"/>
      <c r="MUG236" s="15"/>
      <c r="MUH236" s="15"/>
      <c r="MUI236" s="15"/>
      <c r="MUJ236" s="10"/>
      <c r="MUK236" s="10"/>
      <c r="MUL236" s="21"/>
      <c r="MUM236" s="21"/>
      <c r="MUP236" s="21"/>
      <c r="MUQ236" s="15"/>
      <c r="MUR236" s="15"/>
      <c r="MUS236" s="15"/>
      <c r="MUT236" s="15"/>
      <c r="MUU236" s="15"/>
      <c r="MUV236" s="15"/>
      <c r="MUW236" s="15"/>
      <c r="MUX236" s="15"/>
      <c r="MUY236" s="15"/>
      <c r="MUZ236" s="15"/>
      <c r="MVA236" s="10"/>
      <c r="MVB236" s="10"/>
      <c r="MVC236" s="21"/>
      <c r="MVD236" s="21"/>
      <c r="MVG236" s="21"/>
      <c r="MVH236" s="15"/>
      <c r="MVI236" s="15"/>
      <c r="MVJ236" s="15"/>
      <c r="MVK236" s="15"/>
      <c r="MVL236" s="15"/>
      <c r="MVM236" s="15"/>
      <c r="MVN236" s="15"/>
      <c r="MVO236" s="15"/>
      <c r="MVP236" s="15"/>
      <c r="MVQ236" s="15"/>
      <c r="MVR236" s="10"/>
      <c r="MVS236" s="10"/>
      <c r="MVT236" s="21"/>
      <c r="MVU236" s="21"/>
      <c r="MVX236" s="21"/>
      <c r="MVY236" s="15"/>
      <c r="MVZ236" s="15"/>
      <c r="MWA236" s="15"/>
      <c r="MWB236" s="15"/>
      <c r="MWC236" s="15"/>
      <c r="MWD236" s="15"/>
      <c r="MWE236" s="15"/>
      <c r="MWF236" s="15"/>
      <c r="MWG236" s="15"/>
      <c r="MWH236" s="15"/>
      <c r="MWI236" s="10"/>
      <c r="MWJ236" s="10"/>
      <c r="MWK236" s="21"/>
      <c r="MWL236" s="21"/>
      <c r="MWO236" s="21"/>
      <c r="MWP236" s="15"/>
      <c r="MWQ236" s="15"/>
      <c r="MWR236" s="15"/>
      <c r="MWS236" s="15"/>
      <c r="MWT236" s="15"/>
      <c r="MWU236" s="15"/>
      <c r="MWV236" s="15"/>
      <c r="MWW236" s="15"/>
      <c r="MWX236" s="15"/>
      <c r="MWY236" s="15"/>
      <c r="MWZ236" s="10"/>
      <c r="MXA236" s="10"/>
      <c r="MXB236" s="21"/>
      <c r="MXC236" s="21"/>
      <c r="MXF236" s="21"/>
      <c r="MXG236" s="15"/>
      <c r="MXH236" s="15"/>
      <c r="MXI236" s="15"/>
      <c r="MXJ236" s="15"/>
      <c r="MXK236" s="15"/>
      <c r="MXL236" s="15"/>
      <c r="MXM236" s="15"/>
      <c r="MXN236" s="15"/>
      <c r="MXO236" s="15"/>
      <c r="MXP236" s="15"/>
      <c r="MXQ236" s="10"/>
      <c r="MXR236" s="10"/>
      <c r="MXS236" s="21"/>
      <c r="MXT236" s="21"/>
      <c r="MXW236" s="21"/>
      <c r="MXX236" s="15"/>
      <c r="MXY236" s="15"/>
      <c r="MXZ236" s="15"/>
      <c r="MYA236" s="15"/>
      <c r="MYB236" s="15"/>
      <c r="MYC236" s="15"/>
      <c r="MYD236" s="15"/>
      <c r="MYE236" s="15"/>
      <c r="MYF236" s="15"/>
      <c r="MYG236" s="15"/>
      <c r="MYH236" s="10"/>
      <c r="MYI236" s="10"/>
      <c r="MYJ236" s="21"/>
      <c r="MYK236" s="21"/>
      <c r="MYN236" s="21"/>
      <c r="MYO236" s="15"/>
      <c r="MYP236" s="15"/>
      <c r="MYQ236" s="15"/>
      <c r="MYR236" s="15"/>
      <c r="MYS236" s="15"/>
      <c r="MYT236" s="15"/>
      <c r="MYU236" s="15"/>
      <c r="MYV236" s="15"/>
      <c r="MYW236" s="15"/>
      <c r="MYX236" s="15"/>
      <c r="MYY236" s="10"/>
      <c r="MYZ236" s="10"/>
      <c r="MZA236" s="21"/>
      <c r="MZB236" s="21"/>
      <c r="MZE236" s="21"/>
      <c r="MZF236" s="15"/>
      <c r="MZG236" s="15"/>
      <c r="MZH236" s="15"/>
      <c r="MZI236" s="15"/>
      <c r="MZJ236" s="15"/>
      <c r="MZK236" s="15"/>
      <c r="MZL236" s="15"/>
      <c r="MZM236" s="15"/>
      <c r="MZN236" s="15"/>
      <c r="MZO236" s="15"/>
      <c r="MZP236" s="10"/>
      <c r="MZQ236" s="10"/>
      <c r="MZR236" s="21"/>
      <c r="MZS236" s="21"/>
      <c r="MZV236" s="21"/>
      <c r="MZW236" s="15"/>
      <c r="MZX236" s="15"/>
      <c r="MZY236" s="15"/>
      <c r="MZZ236" s="15"/>
      <c r="NAA236" s="15"/>
      <c r="NAB236" s="15"/>
      <c r="NAC236" s="15"/>
      <c r="NAD236" s="15"/>
      <c r="NAE236" s="15"/>
      <c r="NAF236" s="15"/>
      <c r="NAG236" s="10"/>
      <c r="NAH236" s="10"/>
      <c r="NAI236" s="21"/>
      <c r="NAJ236" s="21"/>
      <c r="NAM236" s="21"/>
      <c r="NAN236" s="15"/>
      <c r="NAO236" s="15"/>
      <c r="NAP236" s="15"/>
      <c r="NAQ236" s="15"/>
      <c r="NAR236" s="15"/>
      <c r="NAS236" s="15"/>
      <c r="NAT236" s="15"/>
      <c r="NAU236" s="15"/>
      <c r="NAV236" s="15"/>
      <c r="NAW236" s="15"/>
      <c r="NAX236" s="10"/>
      <c r="NAY236" s="10"/>
      <c r="NAZ236" s="21"/>
      <c r="NBA236" s="21"/>
      <c r="NBD236" s="21"/>
      <c r="NBE236" s="15"/>
      <c r="NBF236" s="15"/>
      <c r="NBG236" s="15"/>
      <c r="NBH236" s="15"/>
      <c r="NBI236" s="15"/>
      <c r="NBJ236" s="15"/>
      <c r="NBK236" s="15"/>
      <c r="NBL236" s="15"/>
      <c r="NBM236" s="15"/>
      <c r="NBN236" s="15"/>
      <c r="NBO236" s="10"/>
      <c r="NBP236" s="10"/>
      <c r="NBQ236" s="21"/>
      <c r="NBR236" s="21"/>
      <c r="NBU236" s="21"/>
      <c r="NBV236" s="15"/>
      <c r="NBW236" s="15"/>
      <c r="NBX236" s="15"/>
      <c r="NBY236" s="15"/>
      <c r="NBZ236" s="15"/>
      <c r="NCA236" s="15"/>
      <c r="NCB236" s="15"/>
      <c r="NCC236" s="15"/>
      <c r="NCD236" s="15"/>
      <c r="NCE236" s="15"/>
      <c r="NCF236" s="10"/>
      <c r="NCG236" s="10"/>
      <c r="NCH236" s="21"/>
      <c r="NCI236" s="21"/>
      <c r="NCL236" s="21"/>
      <c r="NCM236" s="15"/>
      <c r="NCN236" s="15"/>
      <c r="NCO236" s="15"/>
      <c r="NCP236" s="15"/>
      <c r="NCQ236" s="15"/>
      <c r="NCR236" s="15"/>
      <c r="NCS236" s="15"/>
      <c r="NCT236" s="15"/>
      <c r="NCU236" s="15"/>
      <c r="NCV236" s="15"/>
      <c r="NCW236" s="10"/>
      <c r="NCX236" s="10"/>
      <c r="NCY236" s="21"/>
      <c r="NCZ236" s="21"/>
      <c r="NDC236" s="21"/>
      <c r="NDD236" s="15"/>
      <c r="NDE236" s="15"/>
      <c r="NDF236" s="15"/>
      <c r="NDG236" s="15"/>
      <c r="NDH236" s="15"/>
      <c r="NDI236" s="15"/>
      <c r="NDJ236" s="15"/>
      <c r="NDK236" s="15"/>
      <c r="NDL236" s="15"/>
      <c r="NDM236" s="15"/>
      <c r="NDN236" s="10"/>
      <c r="NDO236" s="10"/>
      <c r="NDP236" s="21"/>
      <c r="NDQ236" s="21"/>
      <c r="NDT236" s="21"/>
      <c r="NDU236" s="15"/>
      <c r="NDV236" s="15"/>
      <c r="NDW236" s="15"/>
      <c r="NDX236" s="15"/>
      <c r="NDY236" s="15"/>
      <c r="NDZ236" s="15"/>
      <c r="NEA236" s="15"/>
      <c r="NEB236" s="15"/>
      <c r="NEC236" s="15"/>
      <c r="NED236" s="15"/>
      <c r="NEE236" s="10"/>
      <c r="NEF236" s="10"/>
      <c r="NEG236" s="21"/>
      <c r="NEH236" s="21"/>
      <c r="NEK236" s="21"/>
      <c r="NEL236" s="15"/>
      <c r="NEM236" s="15"/>
      <c r="NEN236" s="15"/>
      <c r="NEO236" s="15"/>
      <c r="NEP236" s="15"/>
      <c r="NEQ236" s="15"/>
      <c r="NER236" s="15"/>
      <c r="NES236" s="15"/>
      <c r="NET236" s="15"/>
      <c r="NEU236" s="15"/>
      <c r="NEV236" s="10"/>
      <c r="NEW236" s="10"/>
      <c r="NEX236" s="21"/>
      <c r="NEY236" s="21"/>
      <c r="NFB236" s="21"/>
      <c r="NFC236" s="15"/>
      <c r="NFD236" s="15"/>
      <c r="NFE236" s="15"/>
      <c r="NFF236" s="15"/>
      <c r="NFG236" s="15"/>
      <c r="NFH236" s="15"/>
      <c r="NFI236" s="15"/>
      <c r="NFJ236" s="15"/>
      <c r="NFK236" s="15"/>
      <c r="NFL236" s="15"/>
      <c r="NFM236" s="10"/>
      <c r="NFN236" s="10"/>
      <c r="NFO236" s="21"/>
      <c r="NFP236" s="21"/>
      <c r="NFS236" s="21"/>
      <c r="NFT236" s="15"/>
      <c r="NFU236" s="15"/>
      <c r="NFV236" s="15"/>
      <c r="NFW236" s="15"/>
      <c r="NFX236" s="15"/>
      <c r="NFY236" s="15"/>
      <c r="NFZ236" s="15"/>
      <c r="NGA236" s="15"/>
      <c r="NGB236" s="15"/>
      <c r="NGC236" s="15"/>
      <c r="NGD236" s="10"/>
      <c r="NGE236" s="10"/>
      <c r="NGF236" s="21"/>
      <c r="NGG236" s="21"/>
      <c r="NGJ236" s="21"/>
      <c r="NGK236" s="15"/>
      <c r="NGL236" s="15"/>
      <c r="NGM236" s="15"/>
      <c r="NGN236" s="15"/>
      <c r="NGO236" s="15"/>
      <c r="NGP236" s="15"/>
      <c r="NGQ236" s="15"/>
      <c r="NGR236" s="15"/>
      <c r="NGS236" s="15"/>
      <c r="NGT236" s="15"/>
      <c r="NGU236" s="10"/>
      <c r="NGV236" s="10"/>
      <c r="NGW236" s="21"/>
      <c r="NGX236" s="21"/>
      <c r="NHA236" s="21"/>
      <c r="NHB236" s="15"/>
      <c r="NHC236" s="15"/>
      <c r="NHD236" s="15"/>
      <c r="NHE236" s="15"/>
      <c r="NHF236" s="15"/>
      <c r="NHG236" s="15"/>
      <c r="NHH236" s="15"/>
      <c r="NHI236" s="15"/>
      <c r="NHJ236" s="15"/>
      <c r="NHK236" s="15"/>
      <c r="NHL236" s="10"/>
      <c r="NHM236" s="10"/>
      <c r="NHN236" s="21"/>
      <c r="NHO236" s="21"/>
      <c r="NHR236" s="21"/>
      <c r="NHS236" s="15"/>
      <c r="NHT236" s="15"/>
      <c r="NHU236" s="15"/>
      <c r="NHV236" s="15"/>
      <c r="NHW236" s="15"/>
      <c r="NHX236" s="15"/>
      <c r="NHY236" s="15"/>
      <c r="NHZ236" s="15"/>
      <c r="NIA236" s="15"/>
      <c r="NIB236" s="15"/>
      <c r="NIC236" s="10"/>
      <c r="NID236" s="10"/>
      <c r="NIE236" s="21"/>
      <c r="NIF236" s="21"/>
      <c r="NII236" s="21"/>
      <c r="NIJ236" s="15"/>
      <c r="NIK236" s="15"/>
      <c r="NIL236" s="15"/>
      <c r="NIM236" s="15"/>
      <c r="NIN236" s="15"/>
      <c r="NIO236" s="15"/>
      <c r="NIP236" s="15"/>
      <c r="NIQ236" s="15"/>
      <c r="NIR236" s="15"/>
      <c r="NIS236" s="15"/>
      <c r="NIT236" s="10"/>
      <c r="NIU236" s="10"/>
      <c r="NIV236" s="21"/>
      <c r="NIW236" s="21"/>
      <c r="NIZ236" s="21"/>
      <c r="NJA236" s="15"/>
      <c r="NJB236" s="15"/>
      <c r="NJC236" s="15"/>
      <c r="NJD236" s="15"/>
      <c r="NJE236" s="15"/>
      <c r="NJF236" s="15"/>
      <c r="NJG236" s="15"/>
      <c r="NJH236" s="15"/>
      <c r="NJI236" s="15"/>
      <c r="NJJ236" s="15"/>
      <c r="NJK236" s="10"/>
      <c r="NJL236" s="10"/>
      <c r="NJM236" s="21"/>
      <c r="NJN236" s="21"/>
      <c r="NJQ236" s="21"/>
      <c r="NJR236" s="15"/>
      <c r="NJS236" s="15"/>
      <c r="NJT236" s="15"/>
      <c r="NJU236" s="15"/>
      <c r="NJV236" s="15"/>
      <c r="NJW236" s="15"/>
      <c r="NJX236" s="15"/>
      <c r="NJY236" s="15"/>
      <c r="NJZ236" s="15"/>
      <c r="NKA236" s="15"/>
      <c r="NKB236" s="10"/>
      <c r="NKC236" s="10"/>
      <c r="NKD236" s="21"/>
      <c r="NKE236" s="21"/>
      <c r="NKH236" s="21"/>
      <c r="NKI236" s="15"/>
      <c r="NKJ236" s="15"/>
      <c r="NKK236" s="15"/>
      <c r="NKL236" s="15"/>
      <c r="NKM236" s="15"/>
      <c r="NKN236" s="15"/>
      <c r="NKO236" s="15"/>
      <c r="NKP236" s="15"/>
      <c r="NKQ236" s="15"/>
      <c r="NKR236" s="15"/>
      <c r="NKS236" s="10"/>
      <c r="NKT236" s="10"/>
      <c r="NKU236" s="21"/>
      <c r="NKV236" s="21"/>
      <c r="NKY236" s="21"/>
      <c r="NKZ236" s="15"/>
      <c r="NLA236" s="15"/>
      <c r="NLB236" s="15"/>
      <c r="NLC236" s="15"/>
      <c r="NLD236" s="15"/>
      <c r="NLE236" s="15"/>
      <c r="NLF236" s="15"/>
      <c r="NLG236" s="15"/>
      <c r="NLH236" s="15"/>
      <c r="NLI236" s="15"/>
      <c r="NLJ236" s="10"/>
      <c r="NLK236" s="10"/>
      <c r="NLL236" s="21"/>
      <c r="NLM236" s="21"/>
      <c r="NLP236" s="21"/>
      <c r="NLQ236" s="15"/>
      <c r="NLR236" s="15"/>
      <c r="NLS236" s="15"/>
      <c r="NLT236" s="15"/>
      <c r="NLU236" s="15"/>
      <c r="NLV236" s="15"/>
      <c r="NLW236" s="15"/>
      <c r="NLX236" s="15"/>
      <c r="NLY236" s="15"/>
      <c r="NLZ236" s="15"/>
      <c r="NMA236" s="10"/>
      <c r="NMB236" s="10"/>
      <c r="NMC236" s="21"/>
      <c r="NMD236" s="21"/>
      <c r="NMG236" s="21"/>
      <c r="NMH236" s="15"/>
      <c r="NMI236" s="15"/>
      <c r="NMJ236" s="15"/>
      <c r="NMK236" s="15"/>
      <c r="NML236" s="15"/>
      <c r="NMM236" s="15"/>
      <c r="NMN236" s="15"/>
      <c r="NMO236" s="15"/>
      <c r="NMP236" s="15"/>
      <c r="NMQ236" s="15"/>
      <c r="NMR236" s="10"/>
      <c r="NMS236" s="10"/>
      <c r="NMT236" s="21"/>
      <c r="NMU236" s="21"/>
      <c r="NMX236" s="21"/>
      <c r="NMY236" s="15"/>
      <c r="NMZ236" s="15"/>
      <c r="NNA236" s="15"/>
      <c r="NNB236" s="15"/>
      <c r="NNC236" s="15"/>
      <c r="NND236" s="15"/>
      <c r="NNE236" s="15"/>
      <c r="NNF236" s="15"/>
      <c r="NNG236" s="15"/>
      <c r="NNH236" s="15"/>
      <c r="NNI236" s="10"/>
      <c r="NNJ236" s="10"/>
      <c r="NNK236" s="21"/>
      <c r="NNL236" s="21"/>
      <c r="NNO236" s="21"/>
      <c r="NNP236" s="15"/>
      <c r="NNQ236" s="15"/>
      <c r="NNR236" s="15"/>
      <c r="NNS236" s="15"/>
      <c r="NNT236" s="15"/>
      <c r="NNU236" s="15"/>
      <c r="NNV236" s="15"/>
      <c r="NNW236" s="15"/>
      <c r="NNX236" s="15"/>
      <c r="NNY236" s="15"/>
      <c r="NNZ236" s="10"/>
      <c r="NOA236" s="10"/>
      <c r="NOB236" s="21"/>
      <c r="NOC236" s="21"/>
      <c r="NOF236" s="21"/>
      <c r="NOG236" s="15"/>
      <c r="NOH236" s="15"/>
      <c r="NOI236" s="15"/>
      <c r="NOJ236" s="15"/>
      <c r="NOK236" s="15"/>
      <c r="NOL236" s="15"/>
      <c r="NOM236" s="15"/>
      <c r="NON236" s="15"/>
      <c r="NOO236" s="15"/>
      <c r="NOP236" s="15"/>
      <c r="NOQ236" s="10"/>
      <c r="NOR236" s="10"/>
      <c r="NOS236" s="21"/>
      <c r="NOT236" s="21"/>
      <c r="NOW236" s="21"/>
      <c r="NOX236" s="15"/>
      <c r="NOY236" s="15"/>
      <c r="NOZ236" s="15"/>
      <c r="NPA236" s="15"/>
      <c r="NPB236" s="15"/>
      <c r="NPC236" s="15"/>
      <c r="NPD236" s="15"/>
      <c r="NPE236" s="15"/>
      <c r="NPF236" s="15"/>
      <c r="NPG236" s="15"/>
      <c r="NPH236" s="10"/>
      <c r="NPI236" s="10"/>
      <c r="NPJ236" s="21"/>
      <c r="NPK236" s="21"/>
      <c r="NPN236" s="21"/>
      <c r="NPO236" s="15"/>
      <c r="NPP236" s="15"/>
      <c r="NPQ236" s="15"/>
      <c r="NPR236" s="15"/>
      <c r="NPS236" s="15"/>
      <c r="NPT236" s="15"/>
      <c r="NPU236" s="15"/>
      <c r="NPV236" s="15"/>
      <c r="NPW236" s="15"/>
      <c r="NPX236" s="15"/>
      <c r="NPY236" s="10"/>
      <c r="NPZ236" s="10"/>
      <c r="NQA236" s="21"/>
      <c r="NQB236" s="21"/>
      <c r="NQE236" s="21"/>
      <c r="NQF236" s="15"/>
      <c r="NQG236" s="15"/>
      <c r="NQH236" s="15"/>
      <c r="NQI236" s="15"/>
      <c r="NQJ236" s="15"/>
      <c r="NQK236" s="15"/>
      <c r="NQL236" s="15"/>
      <c r="NQM236" s="15"/>
      <c r="NQN236" s="15"/>
      <c r="NQO236" s="15"/>
      <c r="NQP236" s="10"/>
      <c r="NQQ236" s="10"/>
      <c r="NQR236" s="21"/>
      <c r="NQS236" s="21"/>
      <c r="NQV236" s="21"/>
      <c r="NQW236" s="15"/>
      <c r="NQX236" s="15"/>
      <c r="NQY236" s="15"/>
      <c r="NQZ236" s="15"/>
      <c r="NRA236" s="15"/>
      <c r="NRB236" s="15"/>
      <c r="NRC236" s="15"/>
      <c r="NRD236" s="15"/>
      <c r="NRE236" s="15"/>
      <c r="NRF236" s="15"/>
      <c r="NRG236" s="10"/>
      <c r="NRH236" s="10"/>
      <c r="NRI236" s="21"/>
      <c r="NRJ236" s="21"/>
      <c r="NRM236" s="21"/>
      <c r="NRN236" s="15"/>
      <c r="NRO236" s="15"/>
      <c r="NRP236" s="15"/>
      <c r="NRQ236" s="15"/>
      <c r="NRR236" s="15"/>
      <c r="NRS236" s="15"/>
      <c r="NRT236" s="15"/>
      <c r="NRU236" s="15"/>
      <c r="NRV236" s="15"/>
      <c r="NRW236" s="15"/>
      <c r="NRX236" s="10"/>
      <c r="NRY236" s="10"/>
      <c r="NRZ236" s="21"/>
      <c r="NSA236" s="21"/>
      <c r="NSD236" s="21"/>
      <c r="NSE236" s="15"/>
      <c r="NSF236" s="15"/>
      <c r="NSG236" s="15"/>
      <c r="NSH236" s="15"/>
      <c r="NSI236" s="15"/>
      <c r="NSJ236" s="15"/>
      <c r="NSK236" s="15"/>
      <c r="NSL236" s="15"/>
      <c r="NSM236" s="15"/>
      <c r="NSN236" s="15"/>
      <c r="NSO236" s="10"/>
      <c r="NSP236" s="10"/>
      <c r="NSQ236" s="21"/>
      <c r="NSR236" s="21"/>
      <c r="NSU236" s="21"/>
      <c r="NSV236" s="15"/>
      <c r="NSW236" s="15"/>
      <c r="NSX236" s="15"/>
      <c r="NSY236" s="15"/>
      <c r="NSZ236" s="15"/>
      <c r="NTA236" s="15"/>
      <c r="NTB236" s="15"/>
      <c r="NTC236" s="15"/>
      <c r="NTD236" s="15"/>
      <c r="NTE236" s="15"/>
      <c r="NTF236" s="10"/>
      <c r="NTG236" s="10"/>
      <c r="NTH236" s="21"/>
      <c r="NTI236" s="21"/>
      <c r="NTL236" s="21"/>
      <c r="NTM236" s="15"/>
      <c r="NTN236" s="15"/>
      <c r="NTO236" s="15"/>
      <c r="NTP236" s="15"/>
      <c r="NTQ236" s="15"/>
      <c r="NTR236" s="15"/>
      <c r="NTS236" s="15"/>
      <c r="NTT236" s="15"/>
      <c r="NTU236" s="15"/>
      <c r="NTV236" s="15"/>
      <c r="NTW236" s="10"/>
      <c r="NTX236" s="10"/>
      <c r="NTY236" s="21"/>
      <c r="NTZ236" s="21"/>
      <c r="NUC236" s="21"/>
      <c r="NUD236" s="15"/>
      <c r="NUE236" s="15"/>
      <c r="NUF236" s="15"/>
      <c r="NUG236" s="15"/>
      <c r="NUH236" s="15"/>
      <c r="NUI236" s="15"/>
      <c r="NUJ236" s="15"/>
      <c r="NUK236" s="15"/>
      <c r="NUL236" s="15"/>
      <c r="NUM236" s="15"/>
      <c r="NUN236" s="10"/>
      <c r="NUO236" s="10"/>
      <c r="NUP236" s="21"/>
      <c r="NUQ236" s="21"/>
      <c r="NUT236" s="21"/>
      <c r="NUU236" s="15"/>
      <c r="NUV236" s="15"/>
      <c r="NUW236" s="15"/>
      <c r="NUX236" s="15"/>
      <c r="NUY236" s="15"/>
      <c r="NUZ236" s="15"/>
      <c r="NVA236" s="15"/>
      <c r="NVB236" s="15"/>
      <c r="NVC236" s="15"/>
      <c r="NVD236" s="15"/>
      <c r="NVE236" s="10"/>
      <c r="NVF236" s="10"/>
      <c r="NVG236" s="21"/>
      <c r="NVH236" s="21"/>
      <c r="NVK236" s="21"/>
      <c r="NVL236" s="15"/>
      <c r="NVM236" s="15"/>
      <c r="NVN236" s="15"/>
      <c r="NVO236" s="15"/>
      <c r="NVP236" s="15"/>
      <c r="NVQ236" s="15"/>
      <c r="NVR236" s="15"/>
      <c r="NVS236" s="15"/>
      <c r="NVT236" s="15"/>
      <c r="NVU236" s="15"/>
      <c r="NVV236" s="10"/>
      <c r="NVW236" s="10"/>
      <c r="NVX236" s="21"/>
      <c r="NVY236" s="21"/>
      <c r="NWB236" s="21"/>
      <c r="NWC236" s="15"/>
      <c r="NWD236" s="15"/>
      <c r="NWE236" s="15"/>
      <c r="NWF236" s="15"/>
      <c r="NWG236" s="15"/>
      <c r="NWH236" s="15"/>
      <c r="NWI236" s="15"/>
      <c r="NWJ236" s="15"/>
      <c r="NWK236" s="15"/>
      <c r="NWL236" s="15"/>
      <c r="NWM236" s="10"/>
      <c r="NWN236" s="10"/>
      <c r="NWO236" s="21"/>
      <c r="NWP236" s="21"/>
      <c r="NWS236" s="21"/>
      <c r="NWT236" s="15"/>
      <c r="NWU236" s="15"/>
      <c r="NWV236" s="15"/>
      <c r="NWW236" s="15"/>
      <c r="NWX236" s="15"/>
      <c r="NWY236" s="15"/>
      <c r="NWZ236" s="15"/>
      <c r="NXA236" s="15"/>
      <c r="NXB236" s="15"/>
      <c r="NXC236" s="15"/>
      <c r="NXD236" s="10"/>
      <c r="NXE236" s="10"/>
      <c r="NXF236" s="21"/>
      <c r="NXG236" s="21"/>
      <c r="NXJ236" s="21"/>
      <c r="NXK236" s="15"/>
      <c r="NXL236" s="15"/>
      <c r="NXM236" s="15"/>
      <c r="NXN236" s="15"/>
      <c r="NXO236" s="15"/>
      <c r="NXP236" s="15"/>
      <c r="NXQ236" s="15"/>
      <c r="NXR236" s="15"/>
      <c r="NXS236" s="15"/>
      <c r="NXT236" s="15"/>
      <c r="NXU236" s="10"/>
      <c r="NXV236" s="10"/>
      <c r="NXW236" s="21"/>
      <c r="NXX236" s="21"/>
      <c r="NYA236" s="21"/>
      <c r="NYB236" s="15"/>
      <c r="NYC236" s="15"/>
      <c r="NYD236" s="15"/>
      <c r="NYE236" s="15"/>
      <c r="NYF236" s="15"/>
      <c r="NYG236" s="15"/>
      <c r="NYH236" s="15"/>
      <c r="NYI236" s="15"/>
      <c r="NYJ236" s="15"/>
      <c r="NYK236" s="15"/>
      <c r="NYL236" s="10"/>
      <c r="NYM236" s="10"/>
      <c r="NYN236" s="21"/>
      <c r="NYO236" s="21"/>
      <c r="NYR236" s="21"/>
      <c r="NYS236" s="15"/>
      <c r="NYT236" s="15"/>
      <c r="NYU236" s="15"/>
      <c r="NYV236" s="15"/>
      <c r="NYW236" s="15"/>
      <c r="NYX236" s="15"/>
      <c r="NYY236" s="15"/>
      <c r="NYZ236" s="15"/>
      <c r="NZA236" s="15"/>
      <c r="NZB236" s="15"/>
      <c r="NZC236" s="10"/>
      <c r="NZD236" s="10"/>
      <c r="NZE236" s="21"/>
      <c r="NZF236" s="21"/>
      <c r="NZI236" s="21"/>
      <c r="NZJ236" s="15"/>
      <c r="NZK236" s="15"/>
      <c r="NZL236" s="15"/>
      <c r="NZM236" s="15"/>
      <c r="NZN236" s="15"/>
      <c r="NZO236" s="15"/>
      <c r="NZP236" s="15"/>
      <c r="NZQ236" s="15"/>
      <c r="NZR236" s="15"/>
      <c r="NZS236" s="15"/>
      <c r="NZT236" s="10"/>
      <c r="NZU236" s="10"/>
      <c r="NZV236" s="21"/>
      <c r="NZW236" s="21"/>
      <c r="NZZ236" s="21"/>
      <c r="OAA236" s="15"/>
      <c r="OAB236" s="15"/>
      <c r="OAC236" s="15"/>
      <c r="OAD236" s="15"/>
      <c r="OAE236" s="15"/>
      <c r="OAF236" s="15"/>
      <c r="OAG236" s="15"/>
      <c r="OAH236" s="15"/>
      <c r="OAI236" s="15"/>
      <c r="OAJ236" s="15"/>
      <c r="OAK236" s="10"/>
      <c r="OAL236" s="10"/>
      <c r="OAM236" s="21"/>
      <c r="OAN236" s="21"/>
      <c r="OAQ236" s="21"/>
      <c r="OAR236" s="15"/>
      <c r="OAS236" s="15"/>
      <c r="OAT236" s="15"/>
      <c r="OAU236" s="15"/>
      <c r="OAV236" s="15"/>
      <c r="OAW236" s="15"/>
      <c r="OAX236" s="15"/>
      <c r="OAY236" s="15"/>
      <c r="OAZ236" s="15"/>
      <c r="OBA236" s="15"/>
      <c r="OBB236" s="10"/>
      <c r="OBC236" s="10"/>
      <c r="OBD236" s="21"/>
      <c r="OBE236" s="21"/>
      <c r="OBH236" s="21"/>
      <c r="OBI236" s="15"/>
      <c r="OBJ236" s="15"/>
      <c r="OBK236" s="15"/>
      <c r="OBL236" s="15"/>
      <c r="OBM236" s="15"/>
      <c r="OBN236" s="15"/>
      <c r="OBO236" s="15"/>
      <c r="OBP236" s="15"/>
      <c r="OBQ236" s="15"/>
      <c r="OBR236" s="15"/>
      <c r="OBS236" s="10"/>
      <c r="OBT236" s="10"/>
      <c r="OBU236" s="21"/>
      <c r="OBV236" s="21"/>
      <c r="OBY236" s="21"/>
      <c r="OBZ236" s="15"/>
      <c r="OCA236" s="15"/>
      <c r="OCB236" s="15"/>
      <c r="OCC236" s="15"/>
      <c r="OCD236" s="15"/>
      <c r="OCE236" s="15"/>
      <c r="OCF236" s="15"/>
      <c r="OCG236" s="15"/>
      <c r="OCH236" s="15"/>
      <c r="OCI236" s="15"/>
      <c r="OCJ236" s="10"/>
      <c r="OCK236" s="10"/>
      <c r="OCL236" s="21"/>
      <c r="OCM236" s="21"/>
      <c r="OCP236" s="21"/>
      <c r="OCQ236" s="15"/>
      <c r="OCR236" s="15"/>
      <c r="OCS236" s="15"/>
      <c r="OCT236" s="15"/>
      <c r="OCU236" s="15"/>
      <c r="OCV236" s="15"/>
      <c r="OCW236" s="15"/>
      <c r="OCX236" s="15"/>
      <c r="OCY236" s="15"/>
      <c r="OCZ236" s="15"/>
      <c r="ODA236" s="10"/>
      <c r="ODB236" s="10"/>
      <c r="ODC236" s="21"/>
      <c r="ODD236" s="21"/>
      <c r="ODG236" s="21"/>
      <c r="ODH236" s="15"/>
      <c r="ODI236" s="15"/>
      <c r="ODJ236" s="15"/>
      <c r="ODK236" s="15"/>
      <c r="ODL236" s="15"/>
      <c r="ODM236" s="15"/>
      <c r="ODN236" s="15"/>
      <c r="ODO236" s="15"/>
      <c r="ODP236" s="15"/>
      <c r="ODQ236" s="15"/>
      <c r="ODR236" s="10"/>
      <c r="ODS236" s="10"/>
      <c r="ODT236" s="21"/>
      <c r="ODU236" s="21"/>
      <c r="ODX236" s="21"/>
      <c r="ODY236" s="15"/>
      <c r="ODZ236" s="15"/>
      <c r="OEA236" s="15"/>
      <c r="OEB236" s="15"/>
      <c r="OEC236" s="15"/>
      <c r="OED236" s="15"/>
      <c r="OEE236" s="15"/>
      <c r="OEF236" s="15"/>
      <c r="OEG236" s="15"/>
      <c r="OEH236" s="15"/>
      <c r="OEI236" s="10"/>
      <c r="OEJ236" s="10"/>
      <c r="OEK236" s="21"/>
      <c r="OEL236" s="21"/>
      <c r="OEO236" s="21"/>
      <c r="OEP236" s="15"/>
      <c r="OEQ236" s="15"/>
      <c r="OER236" s="15"/>
      <c r="OES236" s="15"/>
      <c r="OET236" s="15"/>
      <c r="OEU236" s="15"/>
      <c r="OEV236" s="15"/>
      <c r="OEW236" s="15"/>
      <c r="OEX236" s="15"/>
      <c r="OEY236" s="15"/>
      <c r="OEZ236" s="10"/>
      <c r="OFA236" s="10"/>
      <c r="OFB236" s="21"/>
      <c r="OFC236" s="21"/>
      <c r="OFF236" s="21"/>
      <c r="OFG236" s="15"/>
      <c r="OFH236" s="15"/>
      <c r="OFI236" s="15"/>
      <c r="OFJ236" s="15"/>
      <c r="OFK236" s="15"/>
      <c r="OFL236" s="15"/>
      <c r="OFM236" s="15"/>
      <c r="OFN236" s="15"/>
      <c r="OFO236" s="15"/>
      <c r="OFP236" s="15"/>
      <c r="OFQ236" s="10"/>
      <c r="OFR236" s="10"/>
      <c r="OFS236" s="21"/>
      <c r="OFT236" s="21"/>
      <c r="OFW236" s="21"/>
      <c r="OFX236" s="15"/>
      <c r="OFY236" s="15"/>
      <c r="OFZ236" s="15"/>
      <c r="OGA236" s="15"/>
      <c r="OGB236" s="15"/>
      <c r="OGC236" s="15"/>
      <c r="OGD236" s="15"/>
      <c r="OGE236" s="15"/>
      <c r="OGF236" s="15"/>
      <c r="OGG236" s="15"/>
      <c r="OGH236" s="10"/>
      <c r="OGI236" s="10"/>
      <c r="OGJ236" s="21"/>
      <c r="OGK236" s="21"/>
      <c r="OGN236" s="21"/>
      <c r="OGO236" s="15"/>
      <c r="OGP236" s="15"/>
      <c r="OGQ236" s="15"/>
      <c r="OGR236" s="15"/>
      <c r="OGS236" s="15"/>
      <c r="OGT236" s="15"/>
      <c r="OGU236" s="15"/>
      <c r="OGV236" s="15"/>
      <c r="OGW236" s="15"/>
      <c r="OGX236" s="15"/>
      <c r="OGY236" s="10"/>
      <c r="OGZ236" s="10"/>
      <c r="OHA236" s="21"/>
      <c r="OHB236" s="21"/>
      <c r="OHE236" s="21"/>
      <c r="OHF236" s="15"/>
      <c r="OHG236" s="15"/>
      <c r="OHH236" s="15"/>
      <c r="OHI236" s="15"/>
      <c r="OHJ236" s="15"/>
      <c r="OHK236" s="15"/>
      <c r="OHL236" s="15"/>
      <c r="OHM236" s="15"/>
      <c r="OHN236" s="15"/>
      <c r="OHO236" s="15"/>
      <c r="OHP236" s="10"/>
      <c r="OHQ236" s="10"/>
      <c r="OHR236" s="21"/>
      <c r="OHS236" s="21"/>
      <c r="OHV236" s="21"/>
      <c r="OHW236" s="15"/>
      <c r="OHX236" s="15"/>
      <c r="OHY236" s="15"/>
      <c r="OHZ236" s="15"/>
      <c r="OIA236" s="15"/>
      <c r="OIB236" s="15"/>
      <c r="OIC236" s="15"/>
      <c r="OID236" s="15"/>
      <c r="OIE236" s="15"/>
      <c r="OIF236" s="15"/>
      <c r="OIG236" s="10"/>
      <c r="OIH236" s="10"/>
      <c r="OII236" s="21"/>
      <c r="OIJ236" s="21"/>
      <c r="OIM236" s="21"/>
      <c r="OIN236" s="15"/>
      <c r="OIO236" s="15"/>
      <c r="OIP236" s="15"/>
      <c r="OIQ236" s="15"/>
      <c r="OIR236" s="15"/>
      <c r="OIS236" s="15"/>
      <c r="OIT236" s="15"/>
      <c r="OIU236" s="15"/>
      <c r="OIV236" s="15"/>
      <c r="OIW236" s="15"/>
      <c r="OIX236" s="10"/>
      <c r="OIY236" s="10"/>
      <c r="OIZ236" s="21"/>
      <c r="OJA236" s="21"/>
      <c r="OJD236" s="21"/>
      <c r="OJE236" s="15"/>
      <c r="OJF236" s="15"/>
      <c r="OJG236" s="15"/>
      <c r="OJH236" s="15"/>
      <c r="OJI236" s="15"/>
      <c r="OJJ236" s="15"/>
      <c r="OJK236" s="15"/>
      <c r="OJL236" s="15"/>
      <c r="OJM236" s="15"/>
      <c r="OJN236" s="15"/>
      <c r="OJO236" s="10"/>
      <c r="OJP236" s="10"/>
      <c r="OJQ236" s="21"/>
      <c r="OJR236" s="21"/>
      <c r="OJU236" s="21"/>
      <c r="OJV236" s="15"/>
      <c r="OJW236" s="15"/>
      <c r="OJX236" s="15"/>
      <c r="OJY236" s="15"/>
      <c r="OJZ236" s="15"/>
      <c r="OKA236" s="15"/>
      <c r="OKB236" s="15"/>
      <c r="OKC236" s="15"/>
      <c r="OKD236" s="15"/>
      <c r="OKE236" s="15"/>
      <c r="OKF236" s="10"/>
      <c r="OKG236" s="10"/>
      <c r="OKH236" s="21"/>
      <c r="OKI236" s="21"/>
      <c r="OKL236" s="21"/>
      <c r="OKM236" s="15"/>
      <c r="OKN236" s="15"/>
      <c r="OKO236" s="15"/>
      <c r="OKP236" s="15"/>
      <c r="OKQ236" s="15"/>
      <c r="OKR236" s="15"/>
      <c r="OKS236" s="15"/>
      <c r="OKT236" s="15"/>
      <c r="OKU236" s="15"/>
      <c r="OKV236" s="15"/>
      <c r="OKW236" s="10"/>
      <c r="OKX236" s="10"/>
      <c r="OKY236" s="21"/>
      <c r="OKZ236" s="21"/>
      <c r="OLC236" s="21"/>
      <c r="OLD236" s="15"/>
      <c r="OLE236" s="15"/>
      <c r="OLF236" s="15"/>
      <c r="OLG236" s="15"/>
      <c r="OLH236" s="15"/>
      <c r="OLI236" s="15"/>
      <c r="OLJ236" s="15"/>
      <c r="OLK236" s="15"/>
      <c r="OLL236" s="15"/>
      <c r="OLM236" s="15"/>
      <c r="OLN236" s="10"/>
      <c r="OLO236" s="10"/>
      <c r="OLP236" s="21"/>
      <c r="OLQ236" s="21"/>
      <c r="OLT236" s="21"/>
      <c r="OLU236" s="15"/>
      <c r="OLV236" s="15"/>
      <c r="OLW236" s="15"/>
      <c r="OLX236" s="15"/>
      <c r="OLY236" s="15"/>
      <c r="OLZ236" s="15"/>
      <c r="OMA236" s="15"/>
      <c r="OMB236" s="15"/>
      <c r="OMC236" s="15"/>
      <c r="OMD236" s="15"/>
      <c r="OME236" s="10"/>
      <c r="OMF236" s="10"/>
      <c r="OMG236" s="21"/>
      <c r="OMH236" s="21"/>
      <c r="OMK236" s="21"/>
      <c r="OML236" s="15"/>
      <c r="OMM236" s="15"/>
      <c r="OMN236" s="15"/>
      <c r="OMO236" s="15"/>
      <c r="OMP236" s="15"/>
      <c r="OMQ236" s="15"/>
      <c r="OMR236" s="15"/>
      <c r="OMS236" s="15"/>
      <c r="OMT236" s="15"/>
      <c r="OMU236" s="15"/>
      <c r="OMV236" s="10"/>
      <c r="OMW236" s="10"/>
      <c r="OMX236" s="21"/>
      <c r="OMY236" s="21"/>
      <c r="ONB236" s="21"/>
      <c r="ONC236" s="15"/>
      <c r="OND236" s="15"/>
      <c r="ONE236" s="15"/>
      <c r="ONF236" s="15"/>
      <c r="ONG236" s="15"/>
      <c r="ONH236" s="15"/>
      <c r="ONI236" s="15"/>
      <c r="ONJ236" s="15"/>
      <c r="ONK236" s="15"/>
      <c r="ONL236" s="15"/>
      <c r="ONM236" s="10"/>
      <c r="ONN236" s="10"/>
      <c r="ONO236" s="21"/>
      <c r="ONP236" s="21"/>
      <c r="ONS236" s="21"/>
      <c r="ONT236" s="15"/>
      <c r="ONU236" s="15"/>
      <c r="ONV236" s="15"/>
      <c r="ONW236" s="15"/>
      <c r="ONX236" s="15"/>
      <c r="ONY236" s="15"/>
      <c r="ONZ236" s="15"/>
      <c r="OOA236" s="15"/>
      <c r="OOB236" s="15"/>
      <c r="OOC236" s="15"/>
      <c r="OOD236" s="10"/>
      <c r="OOE236" s="10"/>
      <c r="OOF236" s="21"/>
      <c r="OOG236" s="21"/>
      <c r="OOJ236" s="21"/>
      <c r="OOK236" s="15"/>
      <c r="OOL236" s="15"/>
      <c r="OOM236" s="15"/>
      <c r="OON236" s="15"/>
      <c r="OOO236" s="15"/>
      <c r="OOP236" s="15"/>
      <c r="OOQ236" s="15"/>
      <c r="OOR236" s="15"/>
      <c r="OOS236" s="15"/>
      <c r="OOT236" s="15"/>
      <c r="OOU236" s="10"/>
      <c r="OOV236" s="10"/>
      <c r="OOW236" s="21"/>
      <c r="OOX236" s="21"/>
      <c r="OPA236" s="21"/>
      <c r="OPB236" s="15"/>
      <c r="OPC236" s="15"/>
      <c r="OPD236" s="15"/>
      <c r="OPE236" s="15"/>
      <c r="OPF236" s="15"/>
      <c r="OPG236" s="15"/>
      <c r="OPH236" s="15"/>
      <c r="OPI236" s="15"/>
      <c r="OPJ236" s="15"/>
      <c r="OPK236" s="15"/>
      <c r="OPL236" s="10"/>
      <c r="OPM236" s="10"/>
      <c r="OPN236" s="21"/>
      <c r="OPO236" s="21"/>
      <c r="OPR236" s="21"/>
      <c r="OPS236" s="15"/>
      <c r="OPT236" s="15"/>
      <c r="OPU236" s="15"/>
      <c r="OPV236" s="15"/>
      <c r="OPW236" s="15"/>
      <c r="OPX236" s="15"/>
      <c r="OPY236" s="15"/>
      <c r="OPZ236" s="15"/>
      <c r="OQA236" s="15"/>
      <c r="OQB236" s="15"/>
      <c r="OQC236" s="10"/>
      <c r="OQD236" s="10"/>
      <c r="OQE236" s="21"/>
      <c r="OQF236" s="21"/>
      <c r="OQI236" s="21"/>
      <c r="OQJ236" s="15"/>
      <c r="OQK236" s="15"/>
      <c r="OQL236" s="15"/>
      <c r="OQM236" s="15"/>
      <c r="OQN236" s="15"/>
      <c r="OQO236" s="15"/>
      <c r="OQP236" s="15"/>
      <c r="OQQ236" s="15"/>
      <c r="OQR236" s="15"/>
      <c r="OQS236" s="15"/>
      <c r="OQT236" s="10"/>
      <c r="OQU236" s="10"/>
      <c r="OQV236" s="21"/>
      <c r="OQW236" s="21"/>
      <c r="OQZ236" s="21"/>
      <c r="ORA236" s="15"/>
      <c r="ORB236" s="15"/>
      <c r="ORC236" s="15"/>
      <c r="ORD236" s="15"/>
      <c r="ORE236" s="15"/>
      <c r="ORF236" s="15"/>
      <c r="ORG236" s="15"/>
      <c r="ORH236" s="15"/>
      <c r="ORI236" s="15"/>
      <c r="ORJ236" s="15"/>
      <c r="ORK236" s="10"/>
      <c r="ORL236" s="10"/>
      <c r="ORM236" s="21"/>
      <c r="ORN236" s="21"/>
      <c r="ORQ236" s="21"/>
      <c r="ORR236" s="15"/>
      <c r="ORS236" s="15"/>
      <c r="ORT236" s="15"/>
      <c r="ORU236" s="15"/>
      <c r="ORV236" s="15"/>
      <c r="ORW236" s="15"/>
      <c r="ORX236" s="15"/>
      <c r="ORY236" s="15"/>
      <c r="ORZ236" s="15"/>
      <c r="OSA236" s="15"/>
      <c r="OSB236" s="10"/>
      <c r="OSC236" s="10"/>
      <c r="OSD236" s="21"/>
      <c r="OSE236" s="21"/>
      <c r="OSH236" s="21"/>
      <c r="OSI236" s="15"/>
      <c r="OSJ236" s="15"/>
      <c r="OSK236" s="15"/>
      <c r="OSL236" s="15"/>
      <c r="OSM236" s="15"/>
      <c r="OSN236" s="15"/>
      <c r="OSO236" s="15"/>
      <c r="OSP236" s="15"/>
      <c r="OSQ236" s="15"/>
      <c r="OSR236" s="15"/>
      <c r="OSS236" s="10"/>
      <c r="OST236" s="10"/>
      <c r="OSU236" s="21"/>
      <c r="OSV236" s="21"/>
      <c r="OSY236" s="21"/>
      <c r="OSZ236" s="15"/>
      <c r="OTA236" s="15"/>
      <c r="OTB236" s="15"/>
      <c r="OTC236" s="15"/>
      <c r="OTD236" s="15"/>
      <c r="OTE236" s="15"/>
      <c r="OTF236" s="15"/>
      <c r="OTG236" s="15"/>
      <c r="OTH236" s="15"/>
      <c r="OTI236" s="15"/>
      <c r="OTJ236" s="10"/>
      <c r="OTK236" s="10"/>
      <c r="OTL236" s="21"/>
      <c r="OTM236" s="21"/>
      <c r="OTP236" s="21"/>
      <c r="OTQ236" s="15"/>
      <c r="OTR236" s="15"/>
      <c r="OTS236" s="15"/>
      <c r="OTT236" s="15"/>
      <c r="OTU236" s="15"/>
      <c r="OTV236" s="15"/>
      <c r="OTW236" s="15"/>
      <c r="OTX236" s="15"/>
      <c r="OTY236" s="15"/>
      <c r="OTZ236" s="15"/>
      <c r="OUA236" s="10"/>
      <c r="OUB236" s="10"/>
      <c r="OUC236" s="21"/>
      <c r="OUD236" s="21"/>
      <c r="OUG236" s="21"/>
      <c r="OUH236" s="15"/>
      <c r="OUI236" s="15"/>
      <c r="OUJ236" s="15"/>
      <c r="OUK236" s="15"/>
      <c r="OUL236" s="15"/>
      <c r="OUM236" s="15"/>
      <c r="OUN236" s="15"/>
      <c r="OUO236" s="15"/>
      <c r="OUP236" s="15"/>
      <c r="OUQ236" s="15"/>
      <c r="OUR236" s="10"/>
      <c r="OUS236" s="10"/>
      <c r="OUT236" s="21"/>
      <c r="OUU236" s="21"/>
      <c r="OUX236" s="21"/>
      <c r="OUY236" s="15"/>
      <c r="OUZ236" s="15"/>
      <c r="OVA236" s="15"/>
      <c r="OVB236" s="15"/>
      <c r="OVC236" s="15"/>
      <c r="OVD236" s="15"/>
      <c r="OVE236" s="15"/>
      <c r="OVF236" s="15"/>
      <c r="OVG236" s="15"/>
      <c r="OVH236" s="15"/>
      <c r="OVI236" s="10"/>
      <c r="OVJ236" s="10"/>
      <c r="OVK236" s="21"/>
      <c r="OVL236" s="21"/>
      <c r="OVO236" s="21"/>
      <c r="OVP236" s="15"/>
      <c r="OVQ236" s="15"/>
      <c r="OVR236" s="15"/>
      <c r="OVS236" s="15"/>
      <c r="OVT236" s="15"/>
      <c r="OVU236" s="15"/>
      <c r="OVV236" s="15"/>
      <c r="OVW236" s="15"/>
      <c r="OVX236" s="15"/>
      <c r="OVY236" s="15"/>
      <c r="OVZ236" s="10"/>
      <c r="OWA236" s="10"/>
      <c r="OWB236" s="21"/>
      <c r="OWC236" s="21"/>
      <c r="OWF236" s="21"/>
      <c r="OWG236" s="15"/>
      <c r="OWH236" s="15"/>
      <c r="OWI236" s="15"/>
      <c r="OWJ236" s="15"/>
      <c r="OWK236" s="15"/>
      <c r="OWL236" s="15"/>
      <c r="OWM236" s="15"/>
      <c r="OWN236" s="15"/>
      <c r="OWO236" s="15"/>
      <c r="OWP236" s="15"/>
      <c r="OWQ236" s="10"/>
      <c r="OWR236" s="10"/>
      <c r="OWS236" s="21"/>
      <c r="OWT236" s="21"/>
      <c r="OWW236" s="21"/>
      <c r="OWX236" s="15"/>
      <c r="OWY236" s="15"/>
      <c r="OWZ236" s="15"/>
      <c r="OXA236" s="15"/>
      <c r="OXB236" s="15"/>
      <c r="OXC236" s="15"/>
      <c r="OXD236" s="15"/>
      <c r="OXE236" s="15"/>
      <c r="OXF236" s="15"/>
      <c r="OXG236" s="15"/>
      <c r="OXH236" s="10"/>
      <c r="OXI236" s="10"/>
      <c r="OXJ236" s="21"/>
      <c r="OXK236" s="21"/>
      <c r="OXN236" s="21"/>
      <c r="OXO236" s="15"/>
      <c r="OXP236" s="15"/>
      <c r="OXQ236" s="15"/>
      <c r="OXR236" s="15"/>
      <c r="OXS236" s="15"/>
      <c r="OXT236" s="15"/>
      <c r="OXU236" s="15"/>
      <c r="OXV236" s="15"/>
      <c r="OXW236" s="15"/>
      <c r="OXX236" s="15"/>
      <c r="OXY236" s="10"/>
      <c r="OXZ236" s="10"/>
      <c r="OYA236" s="21"/>
      <c r="OYB236" s="21"/>
      <c r="OYE236" s="21"/>
      <c r="OYF236" s="15"/>
      <c r="OYG236" s="15"/>
      <c r="OYH236" s="15"/>
      <c r="OYI236" s="15"/>
      <c r="OYJ236" s="15"/>
      <c r="OYK236" s="15"/>
      <c r="OYL236" s="15"/>
      <c r="OYM236" s="15"/>
      <c r="OYN236" s="15"/>
      <c r="OYO236" s="15"/>
      <c r="OYP236" s="10"/>
      <c r="OYQ236" s="10"/>
      <c r="OYR236" s="21"/>
      <c r="OYS236" s="21"/>
      <c r="OYV236" s="21"/>
      <c r="OYW236" s="15"/>
      <c r="OYX236" s="15"/>
      <c r="OYY236" s="15"/>
      <c r="OYZ236" s="15"/>
      <c r="OZA236" s="15"/>
      <c r="OZB236" s="15"/>
      <c r="OZC236" s="15"/>
      <c r="OZD236" s="15"/>
      <c r="OZE236" s="15"/>
      <c r="OZF236" s="15"/>
      <c r="OZG236" s="10"/>
      <c r="OZH236" s="10"/>
      <c r="OZI236" s="21"/>
      <c r="OZJ236" s="21"/>
      <c r="OZM236" s="21"/>
      <c r="OZN236" s="15"/>
      <c r="OZO236" s="15"/>
      <c r="OZP236" s="15"/>
      <c r="OZQ236" s="15"/>
      <c r="OZR236" s="15"/>
      <c r="OZS236" s="15"/>
      <c r="OZT236" s="15"/>
      <c r="OZU236" s="15"/>
      <c r="OZV236" s="15"/>
      <c r="OZW236" s="15"/>
      <c r="OZX236" s="10"/>
      <c r="OZY236" s="10"/>
      <c r="OZZ236" s="21"/>
      <c r="PAA236" s="21"/>
      <c r="PAD236" s="21"/>
      <c r="PAE236" s="15"/>
      <c r="PAF236" s="15"/>
      <c r="PAG236" s="15"/>
      <c r="PAH236" s="15"/>
      <c r="PAI236" s="15"/>
      <c r="PAJ236" s="15"/>
      <c r="PAK236" s="15"/>
      <c r="PAL236" s="15"/>
      <c r="PAM236" s="15"/>
      <c r="PAN236" s="15"/>
      <c r="PAO236" s="10"/>
      <c r="PAP236" s="10"/>
      <c r="PAQ236" s="21"/>
      <c r="PAR236" s="21"/>
      <c r="PAU236" s="21"/>
      <c r="PAV236" s="15"/>
      <c r="PAW236" s="15"/>
      <c r="PAX236" s="15"/>
      <c r="PAY236" s="15"/>
      <c r="PAZ236" s="15"/>
      <c r="PBA236" s="15"/>
      <c r="PBB236" s="15"/>
      <c r="PBC236" s="15"/>
      <c r="PBD236" s="15"/>
      <c r="PBE236" s="15"/>
      <c r="PBF236" s="10"/>
      <c r="PBG236" s="10"/>
      <c r="PBH236" s="21"/>
      <c r="PBI236" s="21"/>
      <c r="PBL236" s="21"/>
      <c r="PBM236" s="15"/>
      <c r="PBN236" s="15"/>
      <c r="PBO236" s="15"/>
      <c r="PBP236" s="15"/>
      <c r="PBQ236" s="15"/>
      <c r="PBR236" s="15"/>
      <c r="PBS236" s="15"/>
      <c r="PBT236" s="15"/>
      <c r="PBU236" s="15"/>
      <c r="PBV236" s="15"/>
      <c r="PBW236" s="10"/>
      <c r="PBX236" s="10"/>
      <c r="PBY236" s="21"/>
      <c r="PBZ236" s="21"/>
      <c r="PCC236" s="21"/>
      <c r="PCD236" s="15"/>
      <c r="PCE236" s="15"/>
      <c r="PCF236" s="15"/>
      <c r="PCG236" s="15"/>
      <c r="PCH236" s="15"/>
      <c r="PCI236" s="15"/>
      <c r="PCJ236" s="15"/>
      <c r="PCK236" s="15"/>
      <c r="PCL236" s="15"/>
      <c r="PCM236" s="15"/>
      <c r="PCN236" s="10"/>
      <c r="PCO236" s="10"/>
      <c r="PCP236" s="21"/>
      <c r="PCQ236" s="21"/>
      <c r="PCT236" s="21"/>
      <c r="PCU236" s="15"/>
      <c r="PCV236" s="15"/>
      <c r="PCW236" s="15"/>
      <c r="PCX236" s="15"/>
      <c r="PCY236" s="15"/>
      <c r="PCZ236" s="15"/>
      <c r="PDA236" s="15"/>
      <c r="PDB236" s="15"/>
      <c r="PDC236" s="15"/>
      <c r="PDD236" s="15"/>
      <c r="PDE236" s="10"/>
      <c r="PDF236" s="10"/>
      <c r="PDG236" s="21"/>
      <c r="PDH236" s="21"/>
      <c r="PDK236" s="21"/>
      <c r="PDL236" s="15"/>
      <c r="PDM236" s="15"/>
      <c r="PDN236" s="15"/>
      <c r="PDO236" s="15"/>
      <c r="PDP236" s="15"/>
      <c r="PDQ236" s="15"/>
      <c r="PDR236" s="15"/>
      <c r="PDS236" s="15"/>
      <c r="PDT236" s="15"/>
      <c r="PDU236" s="15"/>
      <c r="PDV236" s="10"/>
      <c r="PDW236" s="10"/>
      <c r="PDX236" s="21"/>
      <c r="PDY236" s="21"/>
      <c r="PEB236" s="21"/>
      <c r="PEC236" s="15"/>
      <c r="PED236" s="15"/>
      <c r="PEE236" s="15"/>
      <c r="PEF236" s="15"/>
      <c r="PEG236" s="15"/>
      <c r="PEH236" s="15"/>
      <c r="PEI236" s="15"/>
      <c r="PEJ236" s="15"/>
      <c r="PEK236" s="15"/>
      <c r="PEL236" s="15"/>
      <c r="PEM236" s="10"/>
      <c r="PEN236" s="10"/>
      <c r="PEO236" s="21"/>
      <c r="PEP236" s="21"/>
      <c r="PES236" s="21"/>
      <c r="PET236" s="15"/>
      <c r="PEU236" s="15"/>
      <c r="PEV236" s="15"/>
      <c r="PEW236" s="15"/>
      <c r="PEX236" s="15"/>
      <c r="PEY236" s="15"/>
      <c r="PEZ236" s="15"/>
      <c r="PFA236" s="15"/>
      <c r="PFB236" s="15"/>
      <c r="PFC236" s="15"/>
      <c r="PFD236" s="10"/>
      <c r="PFE236" s="10"/>
      <c r="PFF236" s="21"/>
      <c r="PFG236" s="21"/>
      <c r="PFJ236" s="21"/>
      <c r="PFK236" s="15"/>
      <c r="PFL236" s="15"/>
      <c r="PFM236" s="15"/>
      <c r="PFN236" s="15"/>
      <c r="PFO236" s="15"/>
      <c r="PFP236" s="15"/>
      <c r="PFQ236" s="15"/>
      <c r="PFR236" s="15"/>
      <c r="PFS236" s="15"/>
      <c r="PFT236" s="15"/>
      <c r="PFU236" s="10"/>
      <c r="PFV236" s="10"/>
      <c r="PFW236" s="21"/>
      <c r="PFX236" s="21"/>
      <c r="PGA236" s="21"/>
      <c r="PGB236" s="15"/>
      <c r="PGC236" s="15"/>
      <c r="PGD236" s="15"/>
      <c r="PGE236" s="15"/>
      <c r="PGF236" s="15"/>
      <c r="PGG236" s="15"/>
      <c r="PGH236" s="15"/>
      <c r="PGI236" s="15"/>
      <c r="PGJ236" s="15"/>
      <c r="PGK236" s="15"/>
      <c r="PGL236" s="10"/>
      <c r="PGM236" s="10"/>
      <c r="PGN236" s="21"/>
      <c r="PGO236" s="21"/>
      <c r="PGR236" s="21"/>
      <c r="PGS236" s="15"/>
      <c r="PGT236" s="15"/>
      <c r="PGU236" s="15"/>
      <c r="PGV236" s="15"/>
      <c r="PGW236" s="15"/>
      <c r="PGX236" s="15"/>
      <c r="PGY236" s="15"/>
      <c r="PGZ236" s="15"/>
      <c r="PHA236" s="15"/>
      <c r="PHB236" s="15"/>
      <c r="PHC236" s="10"/>
      <c r="PHD236" s="10"/>
      <c r="PHE236" s="21"/>
      <c r="PHF236" s="21"/>
      <c r="PHI236" s="21"/>
      <c r="PHJ236" s="15"/>
      <c r="PHK236" s="15"/>
      <c r="PHL236" s="15"/>
      <c r="PHM236" s="15"/>
      <c r="PHN236" s="15"/>
      <c r="PHO236" s="15"/>
      <c r="PHP236" s="15"/>
      <c r="PHQ236" s="15"/>
      <c r="PHR236" s="15"/>
      <c r="PHS236" s="15"/>
      <c r="PHT236" s="10"/>
      <c r="PHU236" s="10"/>
      <c r="PHV236" s="21"/>
      <c r="PHW236" s="21"/>
      <c r="PHZ236" s="21"/>
      <c r="PIA236" s="15"/>
      <c r="PIB236" s="15"/>
      <c r="PIC236" s="15"/>
      <c r="PID236" s="15"/>
      <c r="PIE236" s="15"/>
      <c r="PIF236" s="15"/>
      <c r="PIG236" s="15"/>
      <c r="PIH236" s="15"/>
      <c r="PII236" s="15"/>
      <c r="PIJ236" s="15"/>
      <c r="PIK236" s="10"/>
      <c r="PIL236" s="10"/>
      <c r="PIM236" s="21"/>
      <c r="PIN236" s="21"/>
      <c r="PIQ236" s="21"/>
      <c r="PIR236" s="15"/>
      <c r="PIS236" s="15"/>
      <c r="PIT236" s="15"/>
      <c r="PIU236" s="15"/>
      <c r="PIV236" s="15"/>
      <c r="PIW236" s="15"/>
      <c r="PIX236" s="15"/>
      <c r="PIY236" s="15"/>
      <c r="PIZ236" s="15"/>
      <c r="PJA236" s="15"/>
      <c r="PJB236" s="10"/>
      <c r="PJC236" s="10"/>
      <c r="PJD236" s="21"/>
      <c r="PJE236" s="21"/>
      <c r="PJH236" s="21"/>
      <c r="PJI236" s="15"/>
      <c r="PJJ236" s="15"/>
      <c r="PJK236" s="15"/>
      <c r="PJL236" s="15"/>
      <c r="PJM236" s="15"/>
      <c r="PJN236" s="15"/>
      <c r="PJO236" s="15"/>
      <c r="PJP236" s="15"/>
      <c r="PJQ236" s="15"/>
      <c r="PJR236" s="15"/>
      <c r="PJS236" s="10"/>
      <c r="PJT236" s="10"/>
      <c r="PJU236" s="21"/>
      <c r="PJV236" s="21"/>
      <c r="PJY236" s="21"/>
      <c r="PJZ236" s="15"/>
      <c r="PKA236" s="15"/>
      <c r="PKB236" s="15"/>
      <c r="PKC236" s="15"/>
      <c r="PKD236" s="15"/>
      <c r="PKE236" s="15"/>
      <c r="PKF236" s="15"/>
      <c r="PKG236" s="15"/>
      <c r="PKH236" s="15"/>
      <c r="PKI236" s="15"/>
      <c r="PKJ236" s="10"/>
      <c r="PKK236" s="10"/>
      <c r="PKL236" s="21"/>
      <c r="PKM236" s="21"/>
      <c r="PKP236" s="21"/>
      <c r="PKQ236" s="15"/>
      <c r="PKR236" s="15"/>
      <c r="PKS236" s="15"/>
      <c r="PKT236" s="15"/>
      <c r="PKU236" s="15"/>
      <c r="PKV236" s="15"/>
      <c r="PKW236" s="15"/>
      <c r="PKX236" s="15"/>
      <c r="PKY236" s="15"/>
      <c r="PKZ236" s="15"/>
      <c r="PLA236" s="10"/>
      <c r="PLB236" s="10"/>
      <c r="PLC236" s="21"/>
      <c r="PLD236" s="21"/>
      <c r="PLG236" s="21"/>
      <c r="PLH236" s="15"/>
      <c r="PLI236" s="15"/>
      <c r="PLJ236" s="15"/>
      <c r="PLK236" s="15"/>
      <c r="PLL236" s="15"/>
      <c r="PLM236" s="15"/>
      <c r="PLN236" s="15"/>
      <c r="PLO236" s="15"/>
      <c r="PLP236" s="15"/>
      <c r="PLQ236" s="15"/>
      <c r="PLR236" s="10"/>
      <c r="PLS236" s="10"/>
      <c r="PLT236" s="21"/>
      <c r="PLU236" s="21"/>
      <c r="PLX236" s="21"/>
      <c r="PLY236" s="15"/>
      <c r="PLZ236" s="15"/>
      <c r="PMA236" s="15"/>
      <c r="PMB236" s="15"/>
      <c r="PMC236" s="15"/>
      <c r="PMD236" s="15"/>
      <c r="PME236" s="15"/>
      <c r="PMF236" s="15"/>
      <c r="PMG236" s="15"/>
      <c r="PMH236" s="15"/>
      <c r="PMI236" s="10"/>
      <c r="PMJ236" s="10"/>
      <c r="PMK236" s="21"/>
      <c r="PML236" s="21"/>
      <c r="PMO236" s="21"/>
      <c r="PMP236" s="15"/>
      <c r="PMQ236" s="15"/>
      <c r="PMR236" s="15"/>
      <c r="PMS236" s="15"/>
      <c r="PMT236" s="15"/>
      <c r="PMU236" s="15"/>
      <c r="PMV236" s="15"/>
      <c r="PMW236" s="15"/>
      <c r="PMX236" s="15"/>
      <c r="PMY236" s="15"/>
      <c r="PMZ236" s="10"/>
      <c r="PNA236" s="10"/>
      <c r="PNB236" s="21"/>
      <c r="PNC236" s="21"/>
      <c r="PNF236" s="21"/>
      <c r="PNG236" s="15"/>
      <c r="PNH236" s="15"/>
      <c r="PNI236" s="15"/>
      <c r="PNJ236" s="15"/>
      <c r="PNK236" s="15"/>
      <c r="PNL236" s="15"/>
      <c r="PNM236" s="15"/>
      <c r="PNN236" s="15"/>
      <c r="PNO236" s="15"/>
      <c r="PNP236" s="15"/>
      <c r="PNQ236" s="10"/>
      <c r="PNR236" s="10"/>
      <c r="PNS236" s="21"/>
      <c r="PNT236" s="21"/>
      <c r="PNW236" s="21"/>
      <c r="PNX236" s="15"/>
      <c r="PNY236" s="15"/>
      <c r="PNZ236" s="15"/>
      <c r="POA236" s="15"/>
      <c r="POB236" s="15"/>
      <c r="POC236" s="15"/>
      <c r="POD236" s="15"/>
      <c r="POE236" s="15"/>
      <c r="POF236" s="15"/>
      <c r="POG236" s="15"/>
      <c r="POH236" s="10"/>
      <c r="POI236" s="10"/>
      <c r="POJ236" s="21"/>
      <c r="POK236" s="21"/>
      <c r="PON236" s="21"/>
      <c r="POO236" s="15"/>
      <c r="POP236" s="15"/>
      <c r="POQ236" s="15"/>
      <c r="POR236" s="15"/>
      <c r="POS236" s="15"/>
      <c r="POT236" s="15"/>
      <c r="POU236" s="15"/>
      <c r="POV236" s="15"/>
      <c r="POW236" s="15"/>
      <c r="POX236" s="15"/>
      <c r="POY236" s="10"/>
      <c r="POZ236" s="10"/>
      <c r="PPA236" s="21"/>
      <c r="PPB236" s="21"/>
      <c r="PPE236" s="21"/>
      <c r="PPF236" s="15"/>
      <c r="PPG236" s="15"/>
      <c r="PPH236" s="15"/>
      <c r="PPI236" s="15"/>
      <c r="PPJ236" s="15"/>
      <c r="PPK236" s="15"/>
      <c r="PPL236" s="15"/>
      <c r="PPM236" s="15"/>
      <c r="PPN236" s="15"/>
      <c r="PPO236" s="15"/>
      <c r="PPP236" s="10"/>
      <c r="PPQ236" s="10"/>
      <c r="PPR236" s="21"/>
      <c r="PPS236" s="21"/>
      <c r="PPV236" s="21"/>
      <c r="PPW236" s="15"/>
      <c r="PPX236" s="15"/>
      <c r="PPY236" s="15"/>
      <c r="PPZ236" s="15"/>
      <c r="PQA236" s="15"/>
      <c r="PQB236" s="15"/>
      <c r="PQC236" s="15"/>
      <c r="PQD236" s="15"/>
      <c r="PQE236" s="15"/>
      <c r="PQF236" s="15"/>
      <c r="PQG236" s="10"/>
      <c r="PQH236" s="10"/>
      <c r="PQI236" s="21"/>
      <c r="PQJ236" s="21"/>
      <c r="PQM236" s="21"/>
      <c r="PQN236" s="15"/>
      <c r="PQO236" s="15"/>
      <c r="PQP236" s="15"/>
      <c r="PQQ236" s="15"/>
      <c r="PQR236" s="15"/>
      <c r="PQS236" s="15"/>
      <c r="PQT236" s="15"/>
      <c r="PQU236" s="15"/>
      <c r="PQV236" s="15"/>
      <c r="PQW236" s="15"/>
      <c r="PQX236" s="10"/>
      <c r="PQY236" s="10"/>
      <c r="PQZ236" s="21"/>
      <c r="PRA236" s="21"/>
      <c r="PRD236" s="21"/>
      <c r="PRE236" s="15"/>
      <c r="PRF236" s="15"/>
      <c r="PRG236" s="15"/>
      <c r="PRH236" s="15"/>
      <c r="PRI236" s="15"/>
      <c r="PRJ236" s="15"/>
      <c r="PRK236" s="15"/>
      <c r="PRL236" s="15"/>
      <c r="PRM236" s="15"/>
      <c r="PRN236" s="15"/>
      <c r="PRO236" s="10"/>
      <c r="PRP236" s="10"/>
      <c r="PRQ236" s="21"/>
      <c r="PRR236" s="21"/>
      <c r="PRU236" s="21"/>
      <c r="PRV236" s="15"/>
      <c r="PRW236" s="15"/>
      <c r="PRX236" s="15"/>
      <c r="PRY236" s="15"/>
      <c r="PRZ236" s="15"/>
      <c r="PSA236" s="15"/>
      <c r="PSB236" s="15"/>
      <c r="PSC236" s="15"/>
      <c r="PSD236" s="15"/>
      <c r="PSE236" s="15"/>
      <c r="PSF236" s="10"/>
      <c r="PSG236" s="10"/>
      <c r="PSH236" s="21"/>
      <c r="PSI236" s="21"/>
      <c r="PSL236" s="21"/>
      <c r="PSM236" s="15"/>
      <c r="PSN236" s="15"/>
      <c r="PSO236" s="15"/>
      <c r="PSP236" s="15"/>
      <c r="PSQ236" s="15"/>
      <c r="PSR236" s="15"/>
      <c r="PSS236" s="15"/>
      <c r="PST236" s="15"/>
      <c r="PSU236" s="15"/>
      <c r="PSV236" s="15"/>
      <c r="PSW236" s="10"/>
      <c r="PSX236" s="10"/>
      <c r="PSY236" s="21"/>
      <c r="PSZ236" s="21"/>
      <c r="PTC236" s="21"/>
      <c r="PTD236" s="15"/>
      <c r="PTE236" s="15"/>
      <c r="PTF236" s="15"/>
      <c r="PTG236" s="15"/>
      <c r="PTH236" s="15"/>
      <c r="PTI236" s="15"/>
      <c r="PTJ236" s="15"/>
      <c r="PTK236" s="15"/>
      <c r="PTL236" s="15"/>
      <c r="PTM236" s="15"/>
      <c r="PTN236" s="10"/>
      <c r="PTO236" s="10"/>
      <c r="PTP236" s="21"/>
      <c r="PTQ236" s="21"/>
      <c r="PTT236" s="21"/>
      <c r="PTU236" s="15"/>
      <c r="PTV236" s="15"/>
      <c r="PTW236" s="15"/>
      <c r="PTX236" s="15"/>
      <c r="PTY236" s="15"/>
      <c r="PTZ236" s="15"/>
      <c r="PUA236" s="15"/>
      <c r="PUB236" s="15"/>
      <c r="PUC236" s="15"/>
      <c r="PUD236" s="15"/>
      <c r="PUE236" s="10"/>
      <c r="PUF236" s="10"/>
      <c r="PUG236" s="21"/>
      <c r="PUH236" s="21"/>
      <c r="PUK236" s="21"/>
      <c r="PUL236" s="15"/>
      <c r="PUM236" s="15"/>
      <c r="PUN236" s="15"/>
      <c r="PUO236" s="15"/>
      <c r="PUP236" s="15"/>
      <c r="PUQ236" s="15"/>
      <c r="PUR236" s="15"/>
      <c r="PUS236" s="15"/>
      <c r="PUT236" s="15"/>
      <c r="PUU236" s="15"/>
      <c r="PUV236" s="10"/>
      <c r="PUW236" s="10"/>
      <c r="PUX236" s="21"/>
      <c r="PUY236" s="21"/>
      <c r="PVB236" s="21"/>
      <c r="PVC236" s="15"/>
      <c r="PVD236" s="15"/>
      <c r="PVE236" s="15"/>
      <c r="PVF236" s="15"/>
      <c r="PVG236" s="15"/>
      <c r="PVH236" s="15"/>
      <c r="PVI236" s="15"/>
      <c r="PVJ236" s="15"/>
      <c r="PVK236" s="15"/>
      <c r="PVL236" s="15"/>
      <c r="PVM236" s="10"/>
      <c r="PVN236" s="10"/>
      <c r="PVO236" s="21"/>
      <c r="PVP236" s="21"/>
      <c r="PVS236" s="21"/>
      <c r="PVT236" s="15"/>
      <c r="PVU236" s="15"/>
      <c r="PVV236" s="15"/>
      <c r="PVW236" s="15"/>
      <c r="PVX236" s="15"/>
      <c r="PVY236" s="15"/>
      <c r="PVZ236" s="15"/>
      <c r="PWA236" s="15"/>
      <c r="PWB236" s="15"/>
      <c r="PWC236" s="15"/>
      <c r="PWD236" s="10"/>
      <c r="PWE236" s="10"/>
      <c r="PWF236" s="21"/>
      <c r="PWG236" s="21"/>
      <c r="PWJ236" s="21"/>
      <c r="PWK236" s="15"/>
      <c r="PWL236" s="15"/>
      <c r="PWM236" s="15"/>
      <c r="PWN236" s="15"/>
      <c r="PWO236" s="15"/>
      <c r="PWP236" s="15"/>
      <c r="PWQ236" s="15"/>
      <c r="PWR236" s="15"/>
      <c r="PWS236" s="15"/>
      <c r="PWT236" s="15"/>
      <c r="PWU236" s="10"/>
      <c r="PWV236" s="10"/>
      <c r="PWW236" s="21"/>
      <c r="PWX236" s="21"/>
      <c r="PXA236" s="21"/>
      <c r="PXB236" s="15"/>
      <c r="PXC236" s="15"/>
      <c r="PXD236" s="15"/>
      <c r="PXE236" s="15"/>
      <c r="PXF236" s="15"/>
      <c r="PXG236" s="15"/>
      <c r="PXH236" s="15"/>
      <c r="PXI236" s="15"/>
      <c r="PXJ236" s="15"/>
      <c r="PXK236" s="15"/>
      <c r="PXL236" s="10"/>
      <c r="PXM236" s="10"/>
      <c r="PXN236" s="21"/>
      <c r="PXO236" s="21"/>
      <c r="PXR236" s="21"/>
      <c r="PXS236" s="15"/>
      <c r="PXT236" s="15"/>
      <c r="PXU236" s="15"/>
      <c r="PXV236" s="15"/>
      <c r="PXW236" s="15"/>
      <c r="PXX236" s="15"/>
      <c r="PXY236" s="15"/>
      <c r="PXZ236" s="15"/>
      <c r="PYA236" s="15"/>
      <c r="PYB236" s="15"/>
      <c r="PYC236" s="10"/>
      <c r="PYD236" s="10"/>
      <c r="PYE236" s="21"/>
      <c r="PYF236" s="21"/>
      <c r="PYI236" s="21"/>
      <c r="PYJ236" s="15"/>
      <c r="PYK236" s="15"/>
      <c r="PYL236" s="15"/>
      <c r="PYM236" s="15"/>
      <c r="PYN236" s="15"/>
      <c r="PYO236" s="15"/>
      <c r="PYP236" s="15"/>
      <c r="PYQ236" s="15"/>
      <c r="PYR236" s="15"/>
      <c r="PYS236" s="15"/>
      <c r="PYT236" s="10"/>
      <c r="PYU236" s="10"/>
      <c r="PYV236" s="21"/>
      <c r="PYW236" s="21"/>
      <c r="PYZ236" s="21"/>
      <c r="PZA236" s="15"/>
      <c r="PZB236" s="15"/>
      <c r="PZC236" s="15"/>
      <c r="PZD236" s="15"/>
      <c r="PZE236" s="15"/>
      <c r="PZF236" s="15"/>
      <c r="PZG236" s="15"/>
      <c r="PZH236" s="15"/>
      <c r="PZI236" s="15"/>
      <c r="PZJ236" s="15"/>
      <c r="PZK236" s="10"/>
      <c r="PZL236" s="10"/>
      <c r="PZM236" s="21"/>
      <c r="PZN236" s="21"/>
      <c r="PZQ236" s="21"/>
      <c r="PZR236" s="15"/>
      <c r="PZS236" s="15"/>
      <c r="PZT236" s="15"/>
      <c r="PZU236" s="15"/>
      <c r="PZV236" s="15"/>
      <c r="PZW236" s="15"/>
      <c r="PZX236" s="15"/>
      <c r="PZY236" s="15"/>
      <c r="PZZ236" s="15"/>
      <c r="QAA236" s="15"/>
      <c r="QAB236" s="10"/>
      <c r="QAC236" s="10"/>
      <c r="QAD236" s="21"/>
      <c r="QAE236" s="21"/>
      <c r="QAH236" s="21"/>
      <c r="QAI236" s="15"/>
      <c r="QAJ236" s="15"/>
      <c r="QAK236" s="15"/>
      <c r="QAL236" s="15"/>
      <c r="QAM236" s="15"/>
      <c r="QAN236" s="15"/>
      <c r="QAO236" s="15"/>
      <c r="QAP236" s="15"/>
      <c r="QAQ236" s="15"/>
      <c r="QAR236" s="15"/>
      <c r="QAS236" s="10"/>
      <c r="QAT236" s="10"/>
      <c r="QAU236" s="21"/>
      <c r="QAV236" s="21"/>
      <c r="QAY236" s="21"/>
      <c r="QAZ236" s="15"/>
      <c r="QBA236" s="15"/>
      <c r="QBB236" s="15"/>
      <c r="QBC236" s="15"/>
      <c r="QBD236" s="15"/>
      <c r="QBE236" s="15"/>
      <c r="QBF236" s="15"/>
      <c r="QBG236" s="15"/>
      <c r="QBH236" s="15"/>
      <c r="QBI236" s="15"/>
      <c r="QBJ236" s="10"/>
      <c r="QBK236" s="10"/>
      <c r="QBL236" s="21"/>
      <c r="QBM236" s="21"/>
      <c r="QBP236" s="21"/>
      <c r="QBQ236" s="15"/>
      <c r="QBR236" s="15"/>
      <c r="QBS236" s="15"/>
      <c r="QBT236" s="15"/>
      <c r="QBU236" s="15"/>
      <c r="QBV236" s="15"/>
      <c r="QBW236" s="15"/>
      <c r="QBX236" s="15"/>
      <c r="QBY236" s="15"/>
      <c r="QBZ236" s="15"/>
      <c r="QCA236" s="10"/>
      <c r="QCB236" s="10"/>
      <c r="QCC236" s="21"/>
      <c r="QCD236" s="21"/>
      <c r="QCG236" s="21"/>
      <c r="QCH236" s="15"/>
      <c r="QCI236" s="15"/>
      <c r="QCJ236" s="15"/>
      <c r="QCK236" s="15"/>
      <c r="QCL236" s="15"/>
      <c r="QCM236" s="15"/>
      <c r="QCN236" s="15"/>
      <c r="QCO236" s="15"/>
      <c r="QCP236" s="15"/>
      <c r="QCQ236" s="15"/>
      <c r="QCR236" s="10"/>
      <c r="QCS236" s="10"/>
      <c r="QCT236" s="21"/>
      <c r="QCU236" s="21"/>
      <c r="QCX236" s="21"/>
      <c r="QCY236" s="15"/>
      <c r="QCZ236" s="15"/>
      <c r="QDA236" s="15"/>
      <c r="QDB236" s="15"/>
      <c r="QDC236" s="15"/>
      <c r="QDD236" s="15"/>
      <c r="QDE236" s="15"/>
      <c r="QDF236" s="15"/>
      <c r="QDG236" s="15"/>
      <c r="QDH236" s="15"/>
      <c r="QDI236" s="10"/>
      <c r="QDJ236" s="10"/>
      <c r="QDK236" s="21"/>
      <c r="QDL236" s="21"/>
      <c r="QDO236" s="21"/>
      <c r="QDP236" s="15"/>
      <c r="QDQ236" s="15"/>
      <c r="QDR236" s="15"/>
      <c r="QDS236" s="15"/>
      <c r="QDT236" s="15"/>
      <c r="QDU236" s="15"/>
      <c r="QDV236" s="15"/>
      <c r="QDW236" s="15"/>
      <c r="QDX236" s="15"/>
      <c r="QDY236" s="15"/>
      <c r="QDZ236" s="10"/>
      <c r="QEA236" s="10"/>
      <c r="QEB236" s="21"/>
      <c r="QEC236" s="21"/>
      <c r="QEF236" s="21"/>
      <c r="QEG236" s="15"/>
      <c r="QEH236" s="15"/>
      <c r="QEI236" s="15"/>
      <c r="QEJ236" s="15"/>
      <c r="QEK236" s="15"/>
      <c r="QEL236" s="15"/>
      <c r="QEM236" s="15"/>
      <c r="QEN236" s="15"/>
      <c r="QEO236" s="15"/>
      <c r="QEP236" s="15"/>
      <c r="QEQ236" s="10"/>
      <c r="QER236" s="10"/>
      <c r="QES236" s="21"/>
      <c r="QET236" s="21"/>
      <c r="QEW236" s="21"/>
      <c r="QEX236" s="15"/>
      <c r="QEY236" s="15"/>
      <c r="QEZ236" s="15"/>
      <c r="QFA236" s="15"/>
      <c r="QFB236" s="15"/>
      <c r="QFC236" s="15"/>
      <c r="QFD236" s="15"/>
      <c r="QFE236" s="15"/>
      <c r="QFF236" s="15"/>
      <c r="QFG236" s="15"/>
      <c r="QFH236" s="10"/>
      <c r="QFI236" s="10"/>
      <c r="QFJ236" s="21"/>
      <c r="QFK236" s="21"/>
      <c r="QFN236" s="21"/>
      <c r="QFO236" s="15"/>
      <c r="QFP236" s="15"/>
      <c r="QFQ236" s="15"/>
      <c r="QFR236" s="15"/>
      <c r="QFS236" s="15"/>
      <c r="QFT236" s="15"/>
      <c r="QFU236" s="15"/>
      <c r="QFV236" s="15"/>
      <c r="QFW236" s="15"/>
      <c r="QFX236" s="15"/>
      <c r="QFY236" s="10"/>
      <c r="QFZ236" s="10"/>
      <c r="QGA236" s="21"/>
      <c r="QGB236" s="21"/>
      <c r="QGE236" s="21"/>
      <c r="QGF236" s="15"/>
      <c r="QGG236" s="15"/>
      <c r="QGH236" s="15"/>
      <c r="QGI236" s="15"/>
      <c r="QGJ236" s="15"/>
      <c r="QGK236" s="15"/>
      <c r="QGL236" s="15"/>
      <c r="QGM236" s="15"/>
      <c r="QGN236" s="15"/>
      <c r="QGO236" s="15"/>
      <c r="QGP236" s="10"/>
      <c r="QGQ236" s="10"/>
      <c r="QGR236" s="21"/>
      <c r="QGS236" s="21"/>
      <c r="QGV236" s="21"/>
      <c r="QGW236" s="15"/>
      <c r="QGX236" s="15"/>
      <c r="QGY236" s="15"/>
      <c r="QGZ236" s="15"/>
      <c r="QHA236" s="15"/>
      <c r="QHB236" s="15"/>
      <c r="QHC236" s="15"/>
      <c r="QHD236" s="15"/>
      <c r="QHE236" s="15"/>
      <c r="QHF236" s="15"/>
      <c r="QHG236" s="10"/>
      <c r="QHH236" s="10"/>
      <c r="QHI236" s="21"/>
      <c r="QHJ236" s="21"/>
      <c r="QHM236" s="21"/>
      <c r="QHN236" s="15"/>
      <c r="QHO236" s="15"/>
      <c r="QHP236" s="15"/>
      <c r="QHQ236" s="15"/>
      <c r="QHR236" s="15"/>
      <c r="QHS236" s="15"/>
      <c r="QHT236" s="15"/>
      <c r="QHU236" s="15"/>
      <c r="QHV236" s="15"/>
      <c r="QHW236" s="15"/>
      <c r="QHX236" s="10"/>
      <c r="QHY236" s="10"/>
      <c r="QHZ236" s="21"/>
      <c r="QIA236" s="21"/>
      <c r="QID236" s="21"/>
      <c r="QIE236" s="15"/>
      <c r="QIF236" s="15"/>
      <c r="QIG236" s="15"/>
      <c r="QIH236" s="15"/>
      <c r="QII236" s="15"/>
      <c r="QIJ236" s="15"/>
      <c r="QIK236" s="15"/>
      <c r="QIL236" s="15"/>
      <c r="QIM236" s="15"/>
      <c r="QIN236" s="15"/>
      <c r="QIO236" s="10"/>
      <c r="QIP236" s="10"/>
      <c r="QIQ236" s="21"/>
      <c r="QIR236" s="21"/>
      <c r="QIU236" s="21"/>
      <c r="QIV236" s="15"/>
      <c r="QIW236" s="15"/>
      <c r="QIX236" s="15"/>
      <c r="QIY236" s="15"/>
      <c r="QIZ236" s="15"/>
      <c r="QJA236" s="15"/>
      <c r="QJB236" s="15"/>
      <c r="QJC236" s="15"/>
      <c r="QJD236" s="15"/>
      <c r="QJE236" s="15"/>
      <c r="QJF236" s="10"/>
      <c r="QJG236" s="10"/>
      <c r="QJH236" s="21"/>
      <c r="QJI236" s="21"/>
      <c r="QJL236" s="21"/>
      <c r="QJM236" s="15"/>
      <c r="QJN236" s="15"/>
      <c r="QJO236" s="15"/>
      <c r="QJP236" s="15"/>
      <c r="QJQ236" s="15"/>
      <c r="QJR236" s="15"/>
      <c r="QJS236" s="15"/>
      <c r="QJT236" s="15"/>
      <c r="QJU236" s="15"/>
      <c r="QJV236" s="15"/>
      <c r="QJW236" s="10"/>
      <c r="QJX236" s="10"/>
      <c r="QJY236" s="21"/>
      <c r="QJZ236" s="21"/>
      <c r="QKC236" s="21"/>
      <c r="QKD236" s="15"/>
      <c r="QKE236" s="15"/>
      <c r="QKF236" s="15"/>
      <c r="QKG236" s="15"/>
      <c r="QKH236" s="15"/>
      <c r="QKI236" s="15"/>
      <c r="QKJ236" s="15"/>
      <c r="QKK236" s="15"/>
      <c r="QKL236" s="15"/>
      <c r="QKM236" s="15"/>
      <c r="QKN236" s="10"/>
      <c r="QKO236" s="10"/>
      <c r="QKP236" s="21"/>
      <c r="QKQ236" s="21"/>
      <c r="QKT236" s="21"/>
      <c r="QKU236" s="15"/>
      <c r="QKV236" s="15"/>
      <c r="QKW236" s="15"/>
      <c r="QKX236" s="15"/>
      <c r="QKY236" s="15"/>
      <c r="QKZ236" s="15"/>
      <c r="QLA236" s="15"/>
      <c r="QLB236" s="15"/>
      <c r="QLC236" s="15"/>
      <c r="QLD236" s="15"/>
      <c r="QLE236" s="10"/>
      <c r="QLF236" s="10"/>
      <c r="QLG236" s="21"/>
      <c r="QLH236" s="21"/>
      <c r="QLK236" s="21"/>
      <c r="QLL236" s="15"/>
      <c r="QLM236" s="15"/>
      <c r="QLN236" s="15"/>
      <c r="QLO236" s="15"/>
      <c r="QLP236" s="15"/>
      <c r="QLQ236" s="15"/>
      <c r="QLR236" s="15"/>
      <c r="QLS236" s="15"/>
      <c r="QLT236" s="15"/>
      <c r="QLU236" s="15"/>
      <c r="QLV236" s="10"/>
      <c r="QLW236" s="10"/>
      <c r="QLX236" s="21"/>
      <c r="QLY236" s="21"/>
      <c r="QMB236" s="21"/>
      <c r="QMC236" s="15"/>
      <c r="QMD236" s="15"/>
      <c r="QME236" s="15"/>
      <c r="QMF236" s="15"/>
      <c r="QMG236" s="15"/>
      <c r="QMH236" s="15"/>
      <c r="QMI236" s="15"/>
      <c r="QMJ236" s="15"/>
      <c r="QMK236" s="15"/>
      <c r="QML236" s="15"/>
      <c r="QMM236" s="10"/>
      <c r="QMN236" s="10"/>
      <c r="QMO236" s="21"/>
      <c r="QMP236" s="21"/>
      <c r="QMS236" s="21"/>
      <c r="QMT236" s="15"/>
      <c r="QMU236" s="15"/>
      <c r="QMV236" s="15"/>
      <c r="QMW236" s="15"/>
      <c r="QMX236" s="15"/>
      <c r="QMY236" s="15"/>
      <c r="QMZ236" s="15"/>
      <c r="QNA236" s="15"/>
      <c r="QNB236" s="15"/>
      <c r="QNC236" s="15"/>
      <c r="QND236" s="10"/>
      <c r="QNE236" s="10"/>
      <c r="QNF236" s="21"/>
      <c r="QNG236" s="21"/>
      <c r="QNJ236" s="21"/>
      <c r="QNK236" s="15"/>
      <c r="QNL236" s="15"/>
      <c r="QNM236" s="15"/>
      <c r="QNN236" s="15"/>
      <c r="QNO236" s="15"/>
      <c r="QNP236" s="15"/>
      <c r="QNQ236" s="15"/>
      <c r="QNR236" s="15"/>
      <c r="QNS236" s="15"/>
      <c r="QNT236" s="15"/>
      <c r="QNU236" s="10"/>
      <c r="QNV236" s="10"/>
      <c r="QNW236" s="21"/>
      <c r="QNX236" s="21"/>
      <c r="QOA236" s="21"/>
      <c r="QOB236" s="15"/>
      <c r="QOC236" s="15"/>
      <c r="QOD236" s="15"/>
      <c r="QOE236" s="15"/>
      <c r="QOF236" s="15"/>
      <c r="QOG236" s="15"/>
      <c r="QOH236" s="15"/>
      <c r="QOI236" s="15"/>
      <c r="QOJ236" s="15"/>
      <c r="QOK236" s="15"/>
      <c r="QOL236" s="10"/>
      <c r="QOM236" s="10"/>
      <c r="QON236" s="21"/>
      <c r="QOO236" s="21"/>
      <c r="QOR236" s="21"/>
      <c r="QOS236" s="15"/>
      <c r="QOT236" s="15"/>
      <c r="QOU236" s="15"/>
      <c r="QOV236" s="15"/>
      <c r="QOW236" s="15"/>
      <c r="QOX236" s="15"/>
      <c r="QOY236" s="15"/>
      <c r="QOZ236" s="15"/>
      <c r="QPA236" s="15"/>
      <c r="QPB236" s="15"/>
      <c r="QPC236" s="10"/>
      <c r="QPD236" s="10"/>
      <c r="QPE236" s="21"/>
      <c r="QPF236" s="21"/>
      <c r="QPI236" s="21"/>
      <c r="QPJ236" s="15"/>
      <c r="QPK236" s="15"/>
      <c r="QPL236" s="15"/>
      <c r="QPM236" s="15"/>
      <c r="QPN236" s="15"/>
      <c r="QPO236" s="15"/>
      <c r="QPP236" s="15"/>
      <c r="QPQ236" s="15"/>
      <c r="QPR236" s="15"/>
      <c r="QPS236" s="15"/>
      <c r="QPT236" s="10"/>
      <c r="QPU236" s="10"/>
      <c r="QPV236" s="21"/>
      <c r="QPW236" s="21"/>
      <c r="QPZ236" s="21"/>
      <c r="QQA236" s="15"/>
      <c r="QQB236" s="15"/>
      <c r="QQC236" s="15"/>
      <c r="QQD236" s="15"/>
      <c r="QQE236" s="15"/>
      <c r="QQF236" s="15"/>
      <c r="QQG236" s="15"/>
      <c r="QQH236" s="15"/>
      <c r="QQI236" s="15"/>
      <c r="QQJ236" s="15"/>
      <c r="QQK236" s="10"/>
      <c r="QQL236" s="10"/>
      <c r="QQM236" s="21"/>
      <c r="QQN236" s="21"/>
      <c r="QQQ236" s="21"/>
      <c r="QQR236" s="15"/>
      <c r="QQS236" s="15"/>
      <c r="QQT236" s="15"/>
      <c r="QQU236" s="15"/>
      <c r="QQV236" s="15"/>
      <c r="QQW236" s="15"/>
      <c r="QQX236" s="15"/>
      <c r="QQY236" s="15"/>
      <c r="QQZ236" s="15"/>
      <c r="QRA236" s="15"/>
      <c r="QRB236" s="10"/>
      <c r="QRC236" s="10"/>
      <c r="QRD236" s="21"/>
      <c r="QRE236" s="21"/>
      <c r="QRH236" s="21"/>
      <c r="QRI236" s="15"/>
      <c r="QRJ236" s="15"/>
      <c r="QRK236" s="15"/>
      <c r="QRL236" s="15"/>
      <c r="QRM236" s="15"/>
      <c r="QRN236" s="15"/>
      <c r="QRO236" s="15"/>
      <c r="QRP236" s="15"/>
      <c r="QRQ236" s="15"/>
      <c r="QRR236" s="15"/>
      <c r="QRS236" s="10"/>
      <c r="QRT236" s="10"/>
      <c r="QRU236" s="21"/>
      <c r="QRV236" s="21"/>
      <c r="QRY236" s="21"/>
      <c r="QRZ236" s="15"/>
      <c r="QSA236" s="15"/>
      <c r="QSB236" s="15"/>
      <c r="QSC236" s="15"/>
      <c r="QSD236" s="15"/>
      <c r="QSE236" s="15"/>
      <c r="QSF236" s="15"/>
      <c r="QSG236" s="15"/>
      <c r="QSH236" s="15"/>
      <c r="QSI236" s="15"/>
      <c r="QSJ236" s="10"/>
      <c r="QSK236" s="10"/>
      <c r="QSL236" s="21"/>
      <c r="QSM236" s="21"/>
      <c r="QSP236" s="21"/>
      <c r="QSQ236" s="15"/>
      <c r="QSR236" s="15"/>
      <c r="QSS236" s="15"/>
      <c r="QST236" s="15"/>
      <c r="QSU236" s="15"/>
      <c r="QSV236" s="15"/>
      <c r="QSW236" s="15"/>
      <c r="QSX236" s="15"/>
      <c r="QSY236" s="15"/>
      <c r="QSZ236" s="15"/>
      <c r="QTA236" s="10"/>
      <c r="QTB236" s="10"/>
      <c r="QTC236" s="21"/>
      <c r="QTD236" s="21"/>
      <c r="QTG236" s="21"/>
      <c r="QTH236" s="15"/>
      <c r="QTI236" s="15"/>
      <c r="QTJ236" s="15"/>
      <c r="QTK236" s="15"/>
      <c r="QTL236" s="15"/>
      <c r="QTM236" s="15"/>
      <c r="QTN236" s="15"/>
      <c r="QTO236" s="15"/>
      <c r="QTP236" s="15"/>
      <c r="QTQ236" s="15"/>
      <c r="QTR236" s="10"/>
      <c r="QTS236" s="10"/>
      <c r="QTT236" s="21"/>
      <c r="QTU236" s="21"/>
      <c r="QTX236" s="21"/>
      <c r="QTY236" s="15"/>
      <c r="QTZ236" s="15"/>
      <c r="QUA236" s="15"/>
      <c r="QUB236" s="15"/>
      <c r="QUC236" s="15"/>
      <c r="QUD236" s="15"/>
      <c r="QUE236" s="15"/>
      <c r="QUF236" s="15"/>
      <c r="QUG236" s="15"/>
      <c r="QUH236" s="15"/>
      <c r="QUI236" s="10"/>
      <c r="QUJ236" s="10"/>
      <c r="QUK236" s="21"/>
      <c r="QUL236" s="21"/>
      <c r="QUO236" s="21"/>
      <c r="QUP236" s="15"/>
      <c r="QUQ236" s="15"/>
      <c r="QUR236" s="15"/>
      <c r="QUS236" s="15"/>
      <c r="QUT236" s="15"/>
      <c r="QUU236" s="15"/>
      <c r="QUV236" s="15"/>
      <c r="QUW236" s="15"/>
      <c r="QUX236" s="15"/>
      <c r="QUY236" s="15"/>
      <c r="QUZ236" s="10"/>
      <c r="QVA236" s="10"/>
      <c r="QVB236" s="21"/>
      <c r="QVC236" s="21"/>
      <c r="QVF236" s="21"/>
      <c r="QVG236" s="15"/>
      <c r="QVH236" s="15"/>
      <c r="QVI236" s="15"/>
      <c r="QVJ236" s="15"/>
      <c r="QVK236" s="15"/>
      <c r="QVL236" s="15"/>
      <c r="QVM236" s="15"/>
      <c r="QVN236" s="15"/>
      <c r="QVO236" s="15"/>
      <c r="QVP236" s="15"/>
      <c r="QVQ236" s="10"/>
      <c r="QVR236" s="10"/>
      <c r="QVS236" s="21"/>
      <c r="QVT236" s="21"/>
      <c r="QVW236" s="21"/>
      <c r="QVX236" s="15"/>
      <c r="QVY236" s="15"/>
      <c r="QVZ236" s="15"/>
      <c r="QWA236" s="15"/>
      <c r="QWB236" s="15"/>
      <c r="QWC236" s="15"/>
      <c r="QWD236" s="15"/>
      <c r="QWE236" s="15"/>
      <c r="QWF236" s="15"/>
      <c r="QWG236" s="15"/>
      <c r="QWH236" s="10"/>
      <c r="QWI236" s="10"/>
      <c r="QWJ236" s="21"/>
      <c r="QWK236" s="21"/>
      <c r="QWN236" s="21"/>
      <c r="QWO236" s="15"/>
      <c r="QWP236" s="15"/>
      <c r="QWQ236" s="15"/>
      <c r="QWR236" s="15"/>
      <c r="QWS236" s="15"/>
      <c r="QWT236" s="15"/>
      <c r="QWU236" s="15"/>
      <c r="QWV236" s="15"/>
      <c r="QWW236" s="15"/>
      <c r="QWX236" s="15"/>
      <c r="QWY236" s="10"/>
      <c r="QWZ236" s="10"/>
      <c r="QXA236" s="21"/>
      <c r="QXB236" s="21"/>
      <c r="QXE236" s="21"/>
      <c r="QXF236" s="15"/>
      <c r="QXG236" s="15"/>
      <c r="QXH236" s="15"/>
      <c r="QXI236" s="15"/>
      <c r="QXJ236" s="15"/>
      <c r="QXK236" s="15"/>
      <c r="QXL236" s="15"/>
      <c r="QXM236" s="15"/>
      <c r="QXN236" s="15"/>
      <c r="QXO236" s="15"/>
      <c r="QXP236" s="10"/>
      <c r="QXQ236" s="10"/>
      <c r="QXR236" s="21"/>
      <c r="QXS236" s="21"/>
      <c r="QXV236" s="21"/>
      <c r="QXW236" s="15"/>
      <c r="QXX236" s="15"/>
      <c r="QXY236" s="15"/>
      <c r="QXZ236" s="15"/>
      <c r="QYA236" s="15"/>
      <c r="QYB236" s="15"/>
      <c r="QYC236" s="15"/>
      <c r="QYD236" s="15"/>
      <c r="QYE236" s="15"/>
      <c r="QYF236" s="15"/>
      <c r="QYG236" s="10"/>
      <c r="QYH236" s="10"/>
      <c r="QYI236" s="21"/>
      <c r="QYJ236" s="21"/>
      <c r="QYM236" s="21"/>
      <c r="QYN236" s="15"/>
      <c r="QYO236" s="15"/>
      <c r="QYP236" s="15"/>
      <c r="QYQ236" s="15"/>
      <c r="QYR236" s="15"/>
      <c r="QYS236" s="15"/>
      <c r="QYT236" s="15"/>
      <c r="QYU236" s="15"/>
      <c r="QYV236" s="15"/>
      <c r="QYW236" s="15"/>
      <c r="QYX236" s="10"/>
      <c r="QYY236" s="10"/>
      <c r="QYZ236" s="21"/>
      <c r="QZA236" s="21"/>
      <c r="QZD236" s="21"/>
      <c r="QZE236" s="15"/>
      <c r="QZF236" s="15"/>
      <c r="QZG236" s="15"/>
      <c r="QZH236" s="15"/>
      <c r="QZI236" s="15"/>
      <c r="QZJ236" s="15"/>
      <c r="QZK236" s="15"/>
      <c r="QZL236" s="15"/>
      <c r="QZM236" s="15"/>
      <c r="QZN236" s="15"/>
      <c r="QZO236" s="10"/>
      <c r="QZP236" s="10"/>
      <c r="QZQ236" s="21"/>
      <c r="QZR236" s="21"/>
      <c r="QZU236" s="21"/>
      <c r="QZV236" s="15"/>
      <c r="QZW236" s="15"/>
      <c r="QZX236" s="15"/>
      <c r="QZY236" s="15"/>
      <c r="QZZ236" s="15"/>
      <c r="RAA236" s="15"/>
      <c r="RAB236" s="15"/>
      <c r="RAC236" s="15"/>
      <c r="RAD236" s="15"/>
      <c r="RAE236" s="15"/>
      <c r="RAF236" s="10"/>
      <c r="RAG236" s="10"/>
      <c r="RAH236" s="21"/>
      <c r="RAI236" s="21"/>
      <c r="RAL236" s="21"/>
      <c r="RAM236" s="15"/>
      <c r="RAN236" s="15"/>
      <c r="RAO236" s="15"/>
      <c r="RAP236" s="15"/>
      <c r="RAQ236" s="15"/>
      <c r="RAR236" s="15"/>
      <c r="RAS236" s="15"/>
      <c r="RAT236" s="15"/>
      <c r="RAU236" s="15"/>
      <c r="RAV236" s="15"/>
      <c r="RAW236" s="10"/>
      <c r="RAX236" s="10"/>
      <c r="RAY236" s="21"/>
      <c r="RAZ236" s="21"/>
      <c r="RBC236" s="21"/>
      <c r="RBD236" s="15"/>
      <c r="RBE236" s="15"/>
      <c r="RBF236" s="15"/>
      <c r="RBG236" s="15"/>
      <c r="RBH236" s="15"/>
      <c r="RBI236" s="15"/>
      <c r="RBJ236" s="15"/>
      <c r="RBK236" s="15"/>
      <c r="RBL236" s="15"/>
      <c r="RBM236" s="15"/>
      <c r="RBN236" s="10"/>
      <c r="RBO236" s="10"/>
      <c r="RBP236" s="21"/>
      <c r="RBQ236" s="21"/>
      <c r="RBT236" s="21"/>
      <c r="RBU236" s="15"/>
      <c r="RBV236" s="15"/>
      <c r="RBW236" s="15"/>
      <c r="RBX236" s="15"/>
      <c r="RBY236" s="15"/>
      <c r="RBZ236" s="15"/>
      <c r="RCA236" s="15"/>
      <c r="RCB236" s="15"/>
      <c r="RCC236" s="15"/>
      <c r="RCD236" s="15"/>
      <c r="RCE236" s="10"/>
      <c r="RCF236" s="10"/>
      <c r="RCG236" s="21"/>
      <c r="RCH236" s="21"/>
      <c r="RCK236" s="21"/>
      <c r="RCL236" s="15"/>
      <c r="RCM236" s="15"/>
      <c r="RCN236" s="15"/>
      <c r="RCO236" s="15"/>
      <c r="RCP236" s="15"/>
      <c r="RCQ236" s="15"/>
      <c r="RCR236" s="15"/>
      <c r="RCS236" s="15"/>
      <c r="RCT236" s="15"/>
      <c r="RCU236" s="15"/>
      <c r="RCV236" s="10"/>
      <c r="RCW236" s="10"/>
      <c r="RCX236" s="21"/>
      <c r="RCY236" s="21"/>
      <c r="RDB236" s="21"/>
      <c r="RDC236" s="15"/>
      <c r="RDD236" s="15"/>
      <c r="RDE236" s="15"/>
      <c r="RDF236" s="15"/>
      <c r="RDG236" s="15"/>
      <c r="RDH236" s="15"/>
      <c r="RDI236" s="15"/>
      <c r="RDJ236" s="15"/>
      <c r="RDK236" s="15"/>
      <c r="RDL236" s="15"/>
      <c r="RDM236" s="10"/>
      <c r="RDN236" s="10"/>
      <c r="RDO236" s="21"/>
      <c r="RDP236" s="21"/>
      <c r="RDS236" s="21"/>
      <c r="RDT236" s="15"/>
      <c r="RDU236" s="15"/>
      <c r="RDV236" s="15"/>
      <c r="RDW236" s="15"/>
      <c r="RDX236" s="15"/>
      <c r="RDY236" s="15"/>
      <c r="RDZ236" s="15"/>
      <c r="REA236" s="15"/>
      <c r="REB236" s="15"/>
      <c r="REC236" s="15"/>
      <c r="RED236" s="10"/>
      <c r="REE236" s="10"/>
      <c r="REF236" s="21"/>
      <c r="REG236" s="21"/>
      <c r="REJ236" s="21"/>
      <c r="REK236" s="15"/>
      <c r="REL236" s="15"/>
      <c r="REM236" s="15"/>
      <c r="REN236" s="15"/>
      <c r="REO236" s="15"/>
      <c r="REP236" s="15"/>
      <c r="REQ236" s="15"/>
      <c r="RER236" s="15"/>
      <c r="RES236" s="15"/>
      <c r="RET236" s="15"/>
      <c r="REU236" s="10"/>
      <c r="REV236" s="10"/>
      <c r="REW236" s="21"/>
      <c r="REX236" s="21"/>
      <c r="RFA236" s="21"/>
      <c r="RFB236" s="15"/>
      <c r="RFC236" s="15"/>
      <c r="RFD236" s="15"/>
      <c r="RFE236" s="15"/>
      <c r="RFF236" s="15"/>
      <c r="RFG236" s="15"/>
      <c r="RFH236" s="15"/>
      <c r="RFI236" s="15"/>
      <c r="RFJ236" s="15"/>
      <c r="RFK236" s="15"/>
      <c r="RFL236" s="10"/>
      <c r="RFM236" s="10"/>
      <c r="RFN236" s="21"/>
      <c r="RFO236" s="21"/>
      <c r="RFR236" s="21"/>
      <c r="RFS236" s="15"/>
      <c r="RFT236" s="15"/>
      <c r="RFU236" s="15"/>
      <c r="RFV236" s="15"/>
      <c r="RFW236" s="15"/>
      <c r="RFX236" s="15"/>
      <c r="RFY236" s="15"/>
      <c r="RFZ236" s="15"/>
      <c r="RGA236" s="15"/>
      <c r="RGB236" s="15"/>
      <c r="RGC236" s="10"/>
      <c r="RGD236" s="10"/>
      <c r="RGE236" s="21"/>
      <c r="RGF236" s="21"/>
      <c r="RGI236" s="21"/>
      <c r="RGJ236" s="15"/>
      <c r="RGK236" s="15"/>
      <c r="RGL236" s="15"/>
      <c r="RGM236" s="15"/>
      <c r="RGN236" s="15"/>
      <c r="RGO236" s="15"/>
      <c r="RGP236" s="15"/>
      <c r="RGQ236" s="15"/>
      <c r="RGR236" s="15"/>
      <c r="RGS236" s="15"/>
      <c r="RGT236" s="10"/>
      <c r="RGU236" s="10"/>
      <c r="RGV236" s="21"/>
      <c r="RGW236" s="21"/>
      <c r="RGZ236" s="21"/>
      <c r="RHA236" s="15"/>
      <c r="RHB236" s="15"/>
      <c r="RHC236" s="15"/>
      <c r="RHD236" s="15"/>
      <c r="RHE236" s="15"/>
      <c r="RHF236" s="15"/>
      <c r="RHG236" s="15"/>
      <c r="RHH236" s="15"/>
      <c r="RHI236" s="15"/>
      <c r="RHJ236" s="15"/>
      <c r="RHK236" s="10"/>
      <c r="RHL236" s="10"/>
      <c r="RHM236" s="21"/>
      <c r="RHN236" s="21"/>
      <c r="RHQ236" s="21"/>
      <c r="RHR236" s="15"/>
      <c r="RHS236" s="15"/>
      <c r="RHT236" s="15"/>
      <c r="RHU236" s="15"/>
      <c r="RHV236" s="15"/>
      <c r="RHW236" s="15"/>
      <c r="RHX236" s="15"/>
      <c r="RHY236" s="15"/>
      <c r="RHZ236" s="15"/>
      <c r="RIA236" s="15"/>
      <c r="RIB236" s="10"/>
      <c r="RIC236" s="10"/>
      <c r="RID236" s="21"/>
      <c r="RIE236" s="21"/>
      <c r="RIH236" s="21"/>
      <c r="RII236" s="15"/>
      <c r="RIJ236" s="15"/>
      <c r="RIK236" s="15"/>
      <c r="RIL236" s="15"/>
      <c r="RIM236" s="15"/>
      <c r="RIN236" s="15"/>
      <c r="RIO236" s="15"/>
      <c r="RIP236" s="15"/>
      <c r="RIQ236" s="15"/>
      <c r="RIR236" s="15"/>
      <c r="RIS236" s="10"/>
      <c r="RIT236" s="10"/>
      <c r="RIU236" s="21"/>
      <c r="RIV236" s="21"/>
      <c r="RIY236" s="21"/>
      <c r="RIZ236" s="15"/>
      <c r="RJA236" s="15"/>
      <c r="RJB236" s="15"/>
      <c r="RJC236" s="15"/>
      <c r="RJD236" s="15"/>
      <c r="RJE236" s="15"/>
      <c r="RJF236" s="15"/>
      <c r="RJG236" s="15"/>
      <c r="RJH236" s="15"/>
      <c r="RJI236" s="15"/>
      <c r="RJJ236" s="10"/>
      <c r="RJK236" s="10"/>
      <c r="RJL236" s="21"/>
      <c r="RJM236" s="21"/>
      <c r="RJP236" s="21"/>
      <c r="RJQ236" s="15"/>
      <c r="RJR236" s="15"/>
      <c r="RJS236" s="15"/>
      <c r="RJT236" s="15"/>
      <c r="RJU236" s="15"/>
      <c r="RJV236" s="15"/>
      <c r="RJW236" s="15"/>
      <c r="RJX236" s="15"/>
      <c r="RJY236" s="15"/>
      <c r="RJZ236" s="15"/>
      <c r="RKA236" s="10"/>
      <c r="RKB236" s="10"/>
      <c r="RKC236" s="21"/>
      <c r="RKD236" s="21"/>
      <c r="RKG236" s="21"/>
      <c r="RKH236" s="15"/>
      <c r="RKI236" s="15"/>
      <c r="RKJ236" s="15"/>
      <c r="RKK236" s="15"/>
      <c r="RKL236" s="15"/>
      <c r="RKM236" s="15"/>
      <c r="RKN236" s="15"/>
      <c r="RKO236" s="15"/>
      <c r="RKP236" s="15"/>
      <c r="RKQ236" s="15"/>
      <c r="RKR236" s="10"/>
      <c r="RKS236" s="10"/>
      <c r="RKT236" s="21"/>
      <c r="RKU236" s="21"/>
      <c r="RKX236" s="21"/>
      <c r="RKY236" s="15"/>
      <c r="RKZ236" s="15"/>
      <c r="RLA236" s="15"/>
      <c r="RLB236" s="15"/>
      <c r="RLC236" s="15"/>
      <c r="RLD236" s="15"/>
      <c r="RLE236" s="15"/>
      <c r="RLF236" s="15"/>
      <c r="RLG236" s="15"/>
      <c r="RLH236" s="15"/>
      <c r="RLI236" s="10"/>
      <c r="RLJ236" s="10"/>
      <c r="RLK236" s="21"/>
      <c r="RLL236" s="21"/>
      <c r="RLO236" s="21"/>
      <c r="RLP236" s="15"/>
      <c r="RLQ236" s="15"/>
      <c r="RLR236" s="15"/>
      <c r="RLS236" s="15"/>
      <c r="RLT236" s="15"/>
      <c r="RLU236" s="15"/>
      <c r="RLV236" s="15"/>
      <c r="RLW236" s="15"/>
      <c r="RLX236" s="15"/>
      <c r="RLY236" s="15"/>
      <c r="RLZ236" s="10"/>
      <c r="RMA236" s="10"/>
      <c r="RMB236" s="21"/>
      <c r="RMC236" s="21"/>
      <c r="RMF236" s="21"/>
      <c r="RMG236" s="15"/>
      <c r="RMH236" s="15"/>
      <c r="RMI236" s="15"/>
      <c r="RMJ236" s="15"/>
      <c r="RMK236" s="15"/>
      <c r="RML236" s="15"/>
      <c r="RMM236" s="15"/>
      <c r="RMN236" s="15"/>
      <c r="RMO236" s="15"/>
      <c r="RMP236" s="15"/>
      <c r="RMQ236" s="10"/>
      <c r="RMR236" s="10"/>
      <c r="RMS236" s="21"/>
      <c r="RMT236" s="21"/>
      <c r="RMW236" s="21"/>
      <c r="RMX236" s="15"/>
      <c r="RMY236" s="15"/>
      <c r="RMZ236" s="15"/>
      <c r="RNA236" s="15"/>
      <c r="RNB236" s="15"/>
      <c r="RNC236" s="15"/>
      <c r="RND236" s="15"/>
      <c r="RNE236" s="15"/>
      <c r="RNF236" s="15"/>
      <c r="RNG236" s="15"/>
      <c r="RNH236" s="10"/>
      <c r="RNI236" s="10"/>
      <c r="RNJ236" s="21"/>
      <c r="RNK236" s="21"/>
      <c r="RNN236" s="21"/>
      <c r="RNO236" s="15"/>
      <c r="RNP236" s="15"/>
      <c r="RNQ236" s="15"/>
      <c r="RNR236" s="15"/>
      <c r="RNS236" s="15"/>
      <c r="RNT236" s="15"/>
      <c r="RNU236" s="15"/>
      <c r="RNV236" s="15"/>
      <c r="RNW236" s="15"/>
      <c r="RNX236" s="15"/>
      <c r="RNY236" s="10"/>
      <c r="RNZ236" s="10"/>
      <c r="ROA236" s="21"/>
      <c r="ROB236" s="21"/>
      <c r="ROE236" s="21"/>
      <c r="ROF236" s="15"/>
      <c r="ROG236" s="15"/>
      <c r="ROH236" s="15"/>
      <c r="ROI236" s="15"/>
      <c r="ROJ236" s="15"/>
      <c r="ROK236" s="15"/>
      <c r="ROL236" s="15"/>
      <c r="ROM236" s="15"/>
      <c r="RON236" s="15"/>
      <c r="ROO236" s="15"/>
      <c r="ROP236" s="10"/>
      <c r="ROQ236" s="10"/>
      <c r="ROR236" s="21"/>
      <c r="ROS236" s="21"/>
      <c r="ROV236" s="21"/>
      <c r="ROW236" s="15"/>
      <c r="ROX236" s="15"/>
      <c r="ROY236" s="15"/>
      <c r="ROZ236" s="15"/>
      <c r="RPA236" s="15"/>
      <c r="RPB236" s="15"/>
      <c r="RPC236" s="15"/>
      <c r="RPD236" s="15"/>
      <c r="RPE236" s="15"/>
      <c r="RPF236" s="15"/>
      <c r="RPG236" s="10"/>
      <c r="RPH236" s="10"/>
      <c r="RPI236" s="21"/>
      <c r="RPJ236" s="21"/>
      <c r="RPM236" s="21"/>
      <c r="RPN236" s="15"/>
      <c r="RPO236" s="15"/>
      <c r="RPP236" s="15"/>
      <c r="RPQ236" s="15"/>
      <c r="RPR236" s="15"/>
      <c r="RPS236" s="15"/>
      <c r="RPT236" s="15"/>
      <c r="RPU236" s="15"/>
      <c r="RPV236" s="15"/>
      <c r="RPW236" s="15"/>
      <c r="RPX236" s="10"/>
      <c r="RPY236" s="10"/>
      <c r="RPZ236" s="21"/>
      <c r="RQA236" s="21"/>
      <c r="RQD236" s="21"/>
      <c r="RQE236" s="15"/>
      <c r="RQF236" s="15"/>
      <c r="RQG236" s="15"/>
      <c r="RQH236" s="15"/>
      <c r="RQI236" s="15"/>
      <c r="RQJ236" s="15"/>
      <c r="RQK236" s="15"/>
      <c r="RQL236" s="15"/>
      <c r="RQM236" s="15"/>
      <c r="RQN236" s="15"/>
      <c r="RQO236" s="10"/>
      <c r="RQP236" s="10"/>
      <c r="RQQ236" s="21"/>
      <c r="RQR236" s="21"/>
      <c r="RQU236" s="21"/>
      <c r="RQV236" s="15"/>
      <c r="RQW236" s="15"/>
      <c r="RQX236" s="15"/>
      <c r="RQY236" s="15"/>
      <c r="RQZ236" s="15"/>
      <c r="RRA236" s="15"/>
      <c r="RRB236" s="15"/>
      <c r="RRC236" s="15"/>
      <c r="RRD236" s="15"/>
      <c r="RRE236" s="15"/>
      <c r="RRF236" s="10"/>
      <c r="RRG236" s="10"/>
      <c r="RRH236" s="21"/>
      <c r="RRI236" s="21"/>
      <c r="RRL236" s="21"/>
      <c r="RRM236" s="15"/>
      <c r="RRN236" s="15"/>
      <c r="RRO236" s="15"/>
      <c r="RRP236" s="15"/>
      <c r="RRQ236" s="15"/>
      <c r="RRR236" s="15"/>
      <c r="RRS236" s="15"/>
      <c r="RRT236" s="15"/>
      <c r="RRU236" s="15"/>
      <c r="RRV236" s="15"/>
      <c r="RRW236" s="10"/>
      <c r="RRX236" s="10"/>
      <c r="RRY236" s="21"/>
      <c r="RRZ236" s="21"/>
      <c r="RSC236" s="21"/>
      <c r="RSD236" s="15"/>
      <c r="RSE236" s="15"/>
      <c r="RSF236" s="15"/>
      <c r="RSG236" s="15"/>
      <c r="RSH236" s="15"/>
      <c r="RSI236" s="15"/>
      <c r="RSJ236" s="15"/>
      <c r="RSK236" s="15"/>
      <c r="RSL236" s="15"/>
      <c r="RSM236" s="15"/>
      <c r="RSN236" s="10"/>
      <c r="RSO236" s="10"/>
      <c r="RSP236" s="21"/>
      <c r="RSQ236" s="21"/>
      <c r="RST236" s="21"/>
      <c r="RSU236" s="15"/>
      <c r="RSV236" s="15"/>
      <c r="RSW236" s="15"/>
      <c r="RSX236" s="15"/>
      <c r="RSY236" s="15"/>
      <c r="RSZ236" s="15"/>
      <c r="RTA236" s="15"/>
      <c r="RTB236" s="15"/>
      <c r="RTC236" s="15"/>
      <c r="RTD236" s="15"/>
      <c r="RTE236" s="10"/>
      <c r="RTF236" s="10"/>
      <c r="RTG236" s="21"/>
      <c r="RTH236" s="21"/>
      <c r="RTK236" s="21"/>
      <c r="RTL236" s="15"/>
      <c r="RTM236" s="15"/>
      <c r="RTN236" s="15"/>
      <c r="RTO236" s="15"/>
      <c r="RTP236" s="15"/>
      <c r="RTQ236" s="15"/>
      <c r="RTR236" s="15"/>
      <c r="RTS236" s="15"/>
      <c r="RTT236" s="15"/>
      <c r="RTU236" s="15"/>
      <c r="RTV236" s="10"/>
      <c r="RTW236" s="10"/>
      <c r="RTX236" s="21"/>
      <c r="RTY236" s="21"/>
      <c r="RUB236" s="21"/>
      <c r="RUC236" s="15"/>
      <c r="RUD236" s="15"/>
      <c r="RUE236" s="15"/>
      <c r="RUF236" s="15"/>
      <c r="RUG236" s="15"/>
      <c r="RUH236" s="15"/>
      <c r="RUI236" s="15"/>
      <c r="RUJ236" s="15"/>
      <c r="RUK236" s="15"/>
      <c r="RUL236" s="15"/>
      <c r="RUM236" s="10"/>
      <c r="RUN236" s="10"/>
      <c r="RUO236" s="21"/>
      <c r="RUP236" s="21"/>
      <c r="RUS236" s="21"/>
      <c r="RUT236" s="15"/>
      <c r="RUU236" s="15"/>
      <c r="RUV236" s="15"/>
      <c r="RUW236" s="15"/>
      <c r="RUX236" s="15"/>
      <c r="RUY236" s="15"/>
      <c r="RUZ236" s="15"/>
      <c r="RVA236" s="15"/>
      <c r="RVB236" s="15"/>
      <c r="RVC236" s="15"/>
      <c r="RVD236" s="10"/>
      <c r="RVE236" s="10"/>
      <c r="RVF236" s="21"/>
      <c r="RVG236" s="21"/>
      <c r="RVJ236" s="21"/>
      <c r="RVK236" s="15"/>
      <c r="RVL236" s="15"/>
      <c r="RVM236" s="15"/>
      <c r="RVN236" s="15"/>
      <c r="RVO236" s="15"/>
      <c r="RVP236" s="15"/>
      <c r="RVQ236" s="15"/>
      <c r="RVR236" s="15"/>
      <c r="RVS236" s="15"/>
      <c r="RVT236" s="15"/>
      <c r="RVU236" s="10"/>
      <c r="RVV236" s="10"/>
      <c r="RVW236" s="21"/>
      <c r="RVX236" s="21"/>
      <c r="RWA236" s="21"/>
      <c r="RWB236" s="15"/>
      <c r="RWC236" s="15"/>
      <c r="RWD236" s="15"/>
      <c r="RWE236" s="15"/>
      <c r="RWF236" s="15"/>
      <c r="RWG236" s="15"/>
      <c r="RWH236" s="15"/>
      <c r="RWI236" s="15"/>
      <c r="RWJ236" s="15"/>
      <c r="RWK236" s="15"/>
      <c r="RWL236" s="10"/>
      <c r="RWM236" s="10"/>
      <c r="RWN236" s="21"/>
      <c r="RWO236" s="21"/>
      <c r="RWR236" s="21"/>
      <c r="RWS236" s="15"/>
      <c r="RWT236" s="15"/>
      <c r="RWU236" s="15"/>
      <c r="RWV236" s="15"/>
      <c r="RWW236" s="15"/>
      <c r="RWX236" s="15"/>
      <c r="RWY236" s="15"/>
      <c r="RWZ236" s="15"/>
      <c r="RXA236" s="15"/>
      <c r="RXB236" s="15"/>
      <c r="RXC236" s="10"/>
      <c r="RXD236" s="10"/>
      <c r="RXE236" s="21"/>
      <c r="RXF236" s="21"/>
      <c r="RXI236" s="21"/>
      <c r="RXJ236" s="15"/>
      <c r="RXK236" s="15"/>
      <c r="RXL236" s="15"/>
      <c r="RXM236" s="15"/>
      <c r="RXN236" s="15"/>
      <c r="RXO236" s="15"/>
      <c r="RXP236" s="15"/>
      <c r="RXQ236" s="15"/>
      <c r="RXR236" s="15"/>
      <c r="RXS236" s="15"/>
      <c r="RXT236" s="10"/>
      <c r="RXU236" s="10"/>
      <c r="RXV236" s="21"/>
      <c r="RXW236" s="21"/>
      <c r="RXZ236" s="21"/>
      <c r="RYA236" s="15"/>
      <c r="RYB236" s="15"/>
      <c r="RYC236" s="15"/>
      <c r="RYD236" s="15"/>
      <c r="RYE236" s="15"/>
      <c r="RYF236" s="15"/>
      <c r="RYG236" s="15"/>
      <c r="RYH236" s="15"/>
      <c r="RYI236" s="15"/>
      <c r="RYJ236" s="15"/>
      <c r="RYK236" s="10"/>
      <c r="RYL236" s="10"/>
      <c r="RYM236" s="21"/>
      <c r="RYN236" s="21"/>
      <c r="RYQ236" s="21"/>
      <c r="RYR236" s="15"/>
      <c r="RYS236" s="15"/>
      <c r="RYT236" s="15"/>
      <c r="RYU236" s="15"/>
      <c r="RYV236" s="15"/>
      <c r="RYW236" s="15"/>
      <c r="RYX236" s="15"/>
      <c r="RYY236" s="15"/>
      <c r="RYZ236" s="15"/>
      <c r="RZA236" s="15"/>
      <c r="RZB236" s="10"/>
      <c r="RZC236" s="10"/>
      <c r="RZD236" s="21"/>
      <c r="RZE236" s="21"/>
      <c r="RZH236" s="21"/>
      <c r="RZI236" s="15"/>
      <c r="RZJ236" s="15"/>
      <c r="RZK236" s="15"/>
      <c r="RZL236" s="15"/>
      <c r="RZM236" s="15"/>
      <c r="RZN236" s="15"/>
      <c r="RZO236" s="15"/>
      <c r="RZP236" s="15"/>
      <c r="RZQ236" s="15"/>
      <c r="RZR236" s="15"/>
      <c r="RZS236" s="10"/>
      <c r="RZT236" s="10"/>
      <c r="RZU236" s="21"/>
      <c r="RZV236" s="21"/>
      <c r="RZY236" s="21"/>
      <c r="RZZ236" s="15"/>
      <c r="SAA236" s="15"/>
      <c r="SAB236" s="15"/>
      <c r="SAC236" s="15"/>
      <c r="SAD236" s="15"/>
      <c r="SAE236" s="15"/>
      <c r="SAF236" s="15"/>
      <c r="SAG236" s="15"/>
      <c r="SAH236" s="15"/>
      <c r="SAI236" s="15"/>
      <c r="SAJ236" s="10"/>
      <c r="SAK236" s="10"/>
      <c r="SAL236" s="21"/>
      <c r="SAM236" s="21"/>
      <c r="SAP236" s="21"/>
      <c r="SAQ236" s="15"/>
      <c r="SAR236" s="15"/>
      <c r="SAS236" s="15"/>
      <c r="SAT236" s="15"/>
      <c r="SAU236" s="15"/>
      <c r="SAV236" s="15"/>
      <c r="SAW236" s="15"/>
      <c r="SAX236" s="15"/>
      <c r="SAY236" s="15"/>
      <c r="SAZ236" s="15"/>
      <c r="SBA236" s="10"/>
      <c r="SBB236" s="10"/>
      <c r="SBC236" s="21"/>
      <c r="SBD236" s="21"/>
      <c r="SBG236" s="21"/>
      <c r="SBH236" s="15"/>
      <c r="SBI236" s="15"/>
      <c r="SBJ236" s="15"/>
      <c r="SBK236" s="15"/>
      <c r="SBL236" s="15"/>
      <c r="SBM236" s="15"/>
      <c r="SBN236" s="15"/>
      <c r="SBO236" s="15"/>
      <c r="SBP236" s="15"/>
      <c r="SBQ236" s="15"/>
      <c r="SBR236" s="10"/>
      <c r="SBS236" s="10"/>
      <c r="SBT236" s="21"/>
      <c r="SBU236" s="21"/>
      <c r="SBX236" s="21"/>
      <c r="SBY236" s="15"/>
      <c r="SBZ236" s="15"/>
      <c r="SCA236" s="15"/>
      <c r="SCB236" s="15"/>
      <c r="SCC236" s="15"/>
      <c r="SCD236" s="15"/>
      <c r="SCE236" s="15"/>
      <c r="SCF236" s="15"/>
      <c r="SCG236" s="15"/>
      <c r="SCH236" s="15"/>
      <c r="SCI236" s="10"/>
      <c r="SCJ236" s="10"/>
      <c r="SCK236" s="21"/>
      <c r="SCL236" s="21"/>
      <c r="SCO236" s="21"/>
      <c r="SCP236" s="15"/>
      <c r="SCQ236" s="15"/>
      <c r="SCR236" s="15"/>
      <c r="SCS236" s="15"/>
      <c r="SCT236" s="15"/>
      <c r="SCU236" s="15"/>
      <c r="SCV236" s="15"/>
      <c r="SCW236" s="15"/>
      <c r="SCX236" s="15"/>
      <c r="SCY236" s="15"/>
      <c r="SCZ236" s="10"/>
      <c r="SDA236" s="10"/>
      <c r="SDB236" s="21"/>
      <c r="SDC236" s="21"/>
      <c r="SDF236" s="21"/>
      <c r="SDG236" s="15"/>
      <c r="SDH236" s="15"/>
      <c r="SDI236" s="15"/>
      <c r="SDJ236" s="15"/>
      <c r="SDK236" s="15"/>
      <c r="SDL236" s="15"/>
      <c r="SDM236" s="15"/>
      <c r="SDN236" s="15"/>
      <c r="SDO236" s="15"/>
      <c r="SDP236" s="15"/>
      <c r="SDQ236" s="10"/>
      <c r="SDR236" s="10"/>
      <c r="SDS236" s="21"/>
      <c r="SDT236" s="21"/>
      <c r="SDW236" s="21"/>
      <c r="SDX236" s="15"/>
      <c r="SDY236" s="15"/>
      <c r="SDZ236" s="15"/>
      <c r="SEA236" s="15"/>
      <c r="SEB236" s="15"/>
      <c r="SEC236" s="15"/>
      <c r="SED236" s="15"/>
      <c r="SEE236" s="15"/>
      <c r="SEF236" s="15"/>
      <c r="SEG236" s="15"/>
      <c r="SEH236" s="10"/>
      <c r="SEI236" s="10"/>
      <c r="SEJ236" s="21"/>
      <c r="SEK236" s="21"/>
      <c r="SEN236" s="21"/>
      <c r="SEO236" s="15"/>
      <c r="SEP236" s="15"/>
      <c r="SEQ236" s="15"/>
      <c r="SER236" s="15"/>
      <c r="SES236" s="15"/>
      <c r="SET236" s="15"/>
      <c r="SEU236" s="15"/>
      <c r="SEV236" s="15"/>
      <c r="SEW236" s="15"/>
      <c r="SEX236" s="15"/>
      <c r="SEY236" s="10"/>
      <c r="SEZ236" s="10"/>
      <c r="SFA236" s="21"/>
      <c r="SFB236" s="21"/>
      <c r="SFE236" s="21"/>
      <c r="SFF236" s="15"/>
      <c r="SFG236" s="15"/>
      <c r="SFH236" s="15"/>
      <c r="SFI236" s="15"/>
      <c r="SFJ236" s="15"/>
      <c r="SFK236" s="15"/>
      <c r="SFL236" s="15"/>
      <c r="SFM236" s="15"/>
      <c r="SFN236" s="15"/>
      <c r="SFO236" s="15"/>
      <c r="SFP236" s="10"/>
      <c r="SFQ236" s="10"/>
      <c r="SFR236" s="21"/>
      <c r="SFS236" s="21"/>
      <c r="SFV236" s="21"/>
      <c r="SFW236" s="15"/>
      <c r="SFX236" s="15"/>
      <c r="SFY236" s="15"/>
      <c r="SFZ236" s="15"/>
      <c r="SGA236" s="15"/>
      <c r="SGB236" s="15"/>
      <c r="SGC236" s="15"/>
      <c r="SGD236" s="15"/>
      <c r="SGE236" s="15"/>
      <c r="SGF236" s="15"/>
      <c r="SGG236" s="10"/>
      <c r="SGH236" s="10"/>
      <c r="SGI236" s="21"/>
      <c r="SGJ236" s="21"/>
      <c r="SGM236" s="21"/>
      <c r="SGN236" s="15"/>
      <c r="SGO236" s="15"/>
      <c r="SGP236" s="15"/>
      <c r="SGQ236" s="15"/>
      <c r="SGR236" s="15"/>
      <c r="SGS236" s="15"/>
      <c r="SGT236" s="15"/>
      <c r="SGU236" s="15"/>
      <c r="SGV236" s="15"/>
      <c r="SGW236" s="15"/>
      <c r="SGX236" s="10"/>
      <c r="SGY236" s="10"/>
      <c r="SGZ236" s="21"/>
      <c r="SHA236" s="21"/>
      <c r="SHD236" s="21"/>
      <c r="SHE236" s="15"/>
      <c r="SHF236" s="15"/>
      <c r="SHG236" s="15"/>
      <c r="SHH236" s="15"/>
      <c r="SHI236" s="15"/>
      <c r="SHJ236" s="15"/>
      <c r="SHK236" s="15"/>
      <c r="SHL236" s="15"/>
      <c r="SHM236" s="15"/>
      <c r="SHN236" s="15"/>
      <c r="SHO236" s="10"/>
      <c r="SHP236" s="10"/>
      <c r="SHQ236" s="21"/>
      <c r="SHR236" s="21"/>
      <c r="SHU236" s="21"/>
      <c r="SHV236" s="15"/>
      <c r="SHW236" s="15"/>
      <c r="SHX236" s="15"/>
      <c r="SHY236" s="15"/>
      <c r="SHZ236" s="15"/>
      <c r="SIA236" s="15"/>
      <c r="SIB236" s="15"/>
      <c r="SIC236" s="15"/>
      <c r="SID236" s="15"/>
      <c r="SIE236" s="15"/>
      <c r="SIF236" s="10"/>
      <c r="SIG236" s="10"/>
      <c r="SIH236" s="21"/>
      <c r="SII236" s="21"/>
      <c r="SIL236" s="21"/>
      <c r="SIM236" s="15"/>
      <c r="SIN236" s="15"/>
      <c r="SIO236" s="15"/>
      <c r="SIP236" s="15"/>
      <c r="SIQ236" s="15"/>
      <c r="SIR236" s="15"/>
      <c r="SIS236" s="15"/>
      <c r="SIT236" s="15"/>
      <c r="SIU236" s="15"/>
      <c r="SIV236" s="15"/>
      <c r="SIW236" s="10"/>
      <c r="SIX236" s="10"/>
      <c r="SIY236" s="21"/>
      <c r="SIZ236" s="21"/>
      <c r="SJC236" s="21"/>
      <c r="SJD236" s="15"/>
      <c r="SJE236" s="15"/>
      <c r="SJF236" s="15"/>
      <c r="SJG236" s="15"/>
      <c r="SJH236" s="15"/>
      <c r="SJI236" s="15"/>
      <c r="SJJ236" s="15"/>
      <c r="SJK236" s="15"/>
      <c r="SJL236" s="15"/>
      <c r="SJM236" s="15"/>
      <c r="SJN236" s="10"/>
      <c r="SJO236" s="10"/>
      <c r="SJP236" s="21"/>
      <c r="SJQ236" s="21"/>
      <c r="SJT236" s="21"/>
      <c r="SJU236" s="15"/>
      <c r="SJV236" s="15"/>
      <c r="SJW236" s="15"/>
      <c r="SJX236" s="15"/>
      <c r="SJY236" s="15"/>
      <c r="SJZ236" s="15"/>
      <c r="SKA236" s="15"/>
      <c r="SKB236" s="15"/>
      <c r="SKC236" s="15"/>
      <c r="SKD236" s="15"/>
      <c r="SKE236" s="10"/>
      <c r="SKF236" s="10"/>
      <c r="SKG236" s="21"/>
      <c r="SKH236" s="21"/>
      <c r="SKK236" s="21"/>
      <c r="SKL236" s="15"/>
      <c r="SKM236" s="15"/>
      <c r="SKN236" s="15"/>
      <c r="SKO236" s="15"/>
      <c r="SKP236" s="15"/>
      <c r="SKQ236" s="15"/>
      <c r="SKR236" s="15"/>
      <c r="SKS236" s="15"/>
      <c r="SKT236" s="15"/>
      <c r="SKU236" s="15"/>
      <c r="SKV236" s="10"/>
      <c r="SKW236" s="10"/>
      <c r="SKX236" s="21"/>
      <c r="SKY236" s="21"/>
      <c r="SLB236" s="21"/>
      <c r="SLC236" s="15"/>
      <c r="SLD236" s="15"/>
      <c r="SLE236" s="15"/>
      <c r="SLF236" s="15"/>
      <c r="SLG236" s="15"/>
      <c r="SLH236" s="15"/>
      <c r="SLI236" s="15"/>
      <c r="SLJ236" s="15"/>
      <c r="SLK236" s="15"/>
      <c r="SLL236" s="15"/>
      <c r="SLM236" s="10"/>
      <c r="SLN236" s="10"/>
      <c r="SLO236" s="21"/>
      <c r="SLP236" s="21"/>
      <c r="SLS236" s="21"/>
      <c r="SLT236" s="15"/>
      <c r="SLU236" s="15"/>
      <c r="SLV236" s="15"/>
      <c r="SLW236" s="15"/>
      <c r="SLX236" s="15"/>
      <c r="SLY236" s="15"/>
      <c r="SLZ236" s="15"/>
      <c r="SMA236" s="15"/>
      <c r="SMB236" s="15"/>
      <c r="SMC236" s="15"/>
      <c r="SMD236" s="10"/>
      <c r="SME236" s="10"/>
      <c r="SMF236" s="21"/>
      <c r="SMG236" s="21"/>
      <c r="SMJ236" s="21"/>
      <c r="SMK236" s="15"/>
      <c r="SML236" s="15"/>
      <c r="SMM236" s="15"/>
      <c r="SMN236" s="15"/>
      <c r="SMO236" s="15"/>
      <c r="SMP236" s="15"/>
      <c r="SMQ236" s="15"/>
      <c r="SMR236" s="15"/>
      <c r="SMS236" s="15"/>
      <c r="SMT236" s="15"/>
      <c r="SMU236" s="10"/>
      <c r="SMV236" s="10"/>
      <c r="SMW236" s="21"/>
      <c r="SMX236" s="21"/>
      <c r="SNA236" s="21"/>
      <c r="SNB236" s="15"/>
      <c r="SNC236" s="15"/>
      <c r="SND236" s="15"/>
      <c r="SNE236" s="15"/>
      <c r="SNF236" s="15"/>
      <c r="SNG236" s="15"/>
      <c r="SNH236" s="15"/>
      <c r="SNI236" s="15"/>
      <c r="SNJ236" s="15"/>
      <c r="SNK236" s="15"/>
      <c r="SNL236" s="10"/>
      <c r="SNM236" s="10"/>
      <c r="SNN236" s="21"/>
      <c r="SNO236" s="21"/>
      <c r="SNR236" s="21"/>
      <c r="SNS236" s="15"/>
      <c r="SNT236" s="15"/>
      <c r="SNU236" s="15"/>
      <c r="SNV236" s="15"/>
      <c r="SNW236" s="15"/>
      <c r="SNX236" s="15"/>
      <c r="SNY236" s="15"/>
      <c r="SNZ236" s="15"/>
      <c r="SOA236" s="15"/>
      <c r="SOB236" s="15"/>
      <c r="SOC236" s="10"/>
      <c r="SOD236" s="10"/>
      <c r="SOE236" s="21"/>
      <c r="SOF236" s="21"/>
      <c r="SOI236" s="21"/>
      <c r="SOJ236" s="15"/>
      <c r="SOK236" s="15"/>
      <c r="SOL236" s="15"/>
      <c r="SOM236" s="15"/>
      <c r="SON236" s="15"/>
      <c r="SOO236" s="15"/>
      <c r="SOP236" s="15"/>
      <c r="SOQ236" s="15"/>
      <c r="SOR236" s="15"/>
      <c r="SOS236" s="15"/>
      <c r="SOT236" s="10"/>
      <c r="SOU236" s="10"/>
      <c r="SOV236" s="21"/>
      <c r="SOW236" s="21"/>
      <c r="SOZ236" s="21"/>
      <c r="SPA236" s="15"/>
      <c r="SPB236" s="15"/>
      <c r="SPC236" s="15"/>
      <c r="SPD236" s="15"/>
      <c r="SPE236" s="15"/>
      <c r="SPF236" s="15"/>
      <c r="SPG236" s="15"/>
      <c r="SPH236" s="15"/>
      <c r="SPI236" s="15"/>
      <c r="SPJ236" s="15"/>
      <c r="SPK236" s="10"/>
      <c r="SPL236" s="10"/>
      <c r="SPM236" s="21"/>
      <c r="SPN236" s="21"/>
      <c r="SPQ236" s="21"/>
      <c r="SPR236" s="15"/>
      <c r="SPS236" s="15"/>
      <c r="SPT236" s="15"/>
      <c r="SPU236" s="15"/>
      <c r="SPV236" s="15"/>
      <c r="SPW236" s="15"/>
      <c r="SPX236" s="15"/>
      <c r="SPY236" s="15"/>
      <c r="SPZ236" s="15"/>
      <c r="SQA236" s="15"/>
      <c r="SQB236" s="10"/>
      <c r="SQC236" s="10"/>
      <c r="SQD236" s="21"/>
      <c r="SQE236" s="21"/>
      <c r="SQH236" s="21"/>
      <c r="SQI236" s="15"/>
      <c r="SQJ236" s="15"/>
      <c r="SQK236" s="15"/>
      <c r="SQL236" s="15"/>
      <c r="SQM236" s="15"/>
      <c r="SQN236" s="15"/>
      <c r="SQO236" s="15"/>
      <c r="SQP236" s="15"/>
      <c r="SQQ236" s="15"/>
      <c r="SQR236" s="15"/>
      <c r="SQS236" s="10"/>
      <c r="SQT236" s="10"/>
      <c r="SQU236" s="21"/>
      <c r="SQV236" s="21"/>
      <c r="SQY236" s="21"/>
      <c r="SQZ236" s="15"/>
      <c r="SRA236" s="15"/>
      <c r="SRB236" s="15"/>
      <c r="SRC236" s="15"/>
      <c r="SRD236" s="15"/>
      <c r="SRE236" s="15"/>
      <c r="SRF236" s="15"/>
      <c r="SRG236" s="15"/>
      <c r="SRH236" s="15"/>
      <c r="SRI236" s="15"/>
      <c r="SRJ236" s="10"/>
      <c r="SRK236" s="10"/>
      <c r="SRL236" s="21"/>
      <c r="SRM236" s="21"/>
      <c r="SRP236" s="21"/>
      <c r="SRQ236" s="15"/>
      <c r="SRR236" s="15"/>
      <c r="SRS236" s="15"/>
      <c r="SRT236" s="15"/>
      <c r="SRU236" s="15"/>
      <c r="SRV236" s="15"/>
      <c r="SRW236" s="15"/>
      <c r="SRX236" s="15"/>
      <c r="SRY236" s="15"/>
      <c r="SRZ236" s="15"/>
      <c r="SSA236" s="10"/>
      <c r="SSB236" s="10"/>
      <c r="SSC236" s="21"/>
      <c r="SSD236" s="21"/>
      <c r="SSG236" s="21"/>
      <c r="SSH236" s="15"/>
      <c r="SSI236" s="15"/>
      <c r="SSJ236" s="15"/>
      <c r="SSK236" s="15"/>
      <c r="SSL236" s="15"/>
      <c r="SSM236" s="15"/>
      <c r="SSN236" s="15"/>
      <c r="SSO236" s="15"/>
      <c r="SSP236" s="15"/>
      <c r="SSQ236" s="15"/>
      <c r="SSR236" s="10"/>
      <c r="SSS236" s="10"/>
      <c r="SST236" s="21"/>
      <c r="SSU236" s="21"/>
      <c r="SSX236" s="21"/>
      <c r="SSY236" s="15"/>
      <c r="SSZ236" s="15"/>
      <c r="STA236" s="15"/>
      <c r="STB236" s="15"/>
      <c r="STC236" s="15"/>
      <c r="STD236" s="15"/>
      <c r="STE236" s="15"/>
      <c r="STF236" s="15"/>
      <c r="STG236" s="15"/>
      <c r="STH236" s="15"/>
      <c r="STI236" s="10"/>
      <c r="STJ236" s="10"/>
      <c r="STK236" s="21"/>
      <c r="STL236" s="21"/>
      <c r="STO236" s="21"/>
      <c r="STP236" s="15"/>
      <c r="STQ236" s="15"/>
      <c r="STR236" s="15"/>
      <c r="STS236" s="15"/>
      <c r="STT236" s="15"/>
      <c r="STU236" s="15"/>
      <c r="STV236" s="15"/>
      <c r="STW236" s="15"/>
      <c r="STX236" s="15"/>
      <c r="STY236" s="15"/>
      <c r="STZ236" s="10"/>
      <c r="SUA236" s="10"/>
      <c r="SUB236" s="21"/>
      <c r="SUC236" s="21"/>
      <c r="SUF236" s="21"/>
      <c r="SUG236" s="15"/>
      <c r="SUH236" s="15"/>
      <c r="SUI236" s="15"/>
      <c r="SUJ236" s="15"/>
      <c r="SUK236" s="15"/>
      <c r="SUL236" s="15"/>
      <c r="SUM236" s="15"/>
      <c r="SUN236" s="15"/>
      <c r="SUO236" s="15"/>
      <c r="SUP236" s="15"/>
      <c r="SUQ236" s="10"/>
      <c r="SUR236" s="10"/>
      <c r="SUS236" s="21"/>
      <c r="SUT236" s="21"/>
      <c r="SUW236" s="21"/>
      <c r="SUX236" s="15"/>
      <c r="SUY236" s="15"/>
      <c r="SUZ236" s="15"/>
      <c r="SVA236" s="15"/>
      <c r="SVB236" s="15"/>
      <c r="SVC236" s="15"/>
      <c r="SVD236" s="15"/>
      <c r="SVE236" s="15"/>
      <c r="SVF236" s="15"/>
      <c r="SVG236" s="15"/>
      <c r="SVH236" s="10"/>
      <c r="SVI236" s="10"/>
      <c r="SVJ236" s="21"/>
      <c r="SVK236" s="21"/>
      <c r="SVN236" s="21"/>
      <c r="SVO236" s="15"/>
      <c r="SVP236" s="15"/>
      <c r="SVQ236" s="15"/>
      <c r="SVR236" s="15"/>
      <c r="SVS236" s="15"/>
      <c r="SVT236" s="15"/>
      <c r="SVU236" s="15"/>
      <c r="SVV236" s="15"/>
      <c r="SVW236" s="15"/>
      <c r="SVX236" s="15"/>
      <c r="SVY236" s="10"/>
      <c r="SVZ236" s="10"/>
      <c r="SWA236" s="21"/>
      <c r="SWB236" s="21"/>
      <c r="SWE236" s="21"/>
      <c r="SWF236" s="15"/>
      <c r="SWG236" s="15"/>
      <c r="SWH236" s="15"/>
      <c r="SWI236" s="15"/>
      <c r="SWJ236" s="15"/>
      <c r="SWK236" s="15"/>
      <c r="SWL236" s="15"/>
      <c r="SWM236" s="15"/>
      <c r="SWN236" s="15"/>
      <c r="SWO236" s="15"/>
      <c r="SWP236" s="10"/>
      <c r="SWQ236" s="10"/>
      <c r="SWR236" s="21"/>
      <c r="SWS236" s="21"/>
      <c r="SWV236" s="21"/>
      <c r="SWW236" s="15"/>
      <c r="SWX236" s="15"/>
      <c r="SWY236" s="15"/>
      <c r="SWZ236" s="15"/>
      <c r="SXA236" s="15"/>
      <c r="SXB236" s="15"/>
      <c r="SXC236" s="15"/>
      <c r="SXD236" s="15"/>
      <c r="SXE236" s="15"/>
      <c r="SXF236" s="15"/>
      <c r="SXG236" s="10"/>
      <c r="SXH236" s="10"/>
      <c r="SXI236" s="21"/>
      <c r="SXJ236" s="21"/>
      <c r="SXM236" s="21"/>
      <c r="SXN236" s="15"/>
      <c r="SXO236" s="15"/>
      <c r="SXP236" s="15"/>
      <c r="SXQ236" s="15"/>
      <c r="SXR236" s="15"/>
      <c r="SXS236" s="15"/>
      <c r="SXT236" s="15"/>
      <c r="SXU236" s="15"/>
      <c r="SXV236" s="15"/>
      <c r="SXW236" s="15"/>
      <c r="SXX236" s="10"/>
      <c r="SXY236" s="10"/>
      <c r="SXZ236" s="21"/>
      <c r="SYA236" s="21"/>
      <c r="SYD236" s="21"/>
      <c r="SYE236" s="15"/>
      <c r="SYF236" s="15"/>
      <c r="SYG236" s="15"/>
      <c r="SYH236" s="15"/>
      <c r="SYI236" s="15"/>
      <c r="SYJ236" s="15"/>
      <c r="SYK236" s="15"/>
      <c r="SYL236" s="15"/>
      <c r="SYM236" s="15"/>
      <c r="SYN236" s="15"/>
      <c r="SYO236" s="10"/>
      <c r="SYP236" s="10"/>
      <c r="SYQ236" s="21"/>
      <c r="SYR236" s="21"/>
      <c r="SYU236" s="21"/>
      <c r="SYV236" s="15"/>
      <c r="SYW236" s="15"/>
      <c r="SYX236" s="15"/>
      <c r="SYY236" s="15"/>
      <c r="SYZ236" s="15"/>
      <c r="SZA236" s="15"/>
      <c r="SZB236" s="15"/>
      <c r="SZC236" s="15"/>
      <c r="SZD236" s="15"/>
      <c r="SZE236" s="15"/>
      <c r="SZF236" s="10"/>
      <c r="SZG236" s="10"/>
      <c r="SZH236" s="21"/>
      <c r="SZI236" s="21"/>
      <c r="SZL236" s="21"/>
      <c r="SZM236" s="15"/>
      <c r="SZN236" s="15"/>
      <c r="SZO236" s="15"/>
      <c r="SZP236" s="15"/>
      <c r="SZQ236" s="15"/>
      <c r="SZR236" s="15"/>
      <c r="SZS236" s="15"/>
      <c r="SZT236" s="15"/>
      <c r="SZU236" s="15"/>
      <c r="SZV236" s="15"/>
      <c r="SZW236" s="10"/>
      <c r="SZX236" s="10"/>
      <c r="SZY236" s="21"/>
      <c r="SZZ236" s="21"/>
      <c r="TAC236" s="21"/>
      <c r="TAD236" s="15"/>
      <c r="TAE236" s="15"/>
      <c r="TAF236" s="15"/>
      <c r="TAG236" s="15"/>
      <c r="TAH236" s="15"/>
      <c r="TAI236" s="15"/>
      <c r="TAJ236" s="15"/>
      <c r="TAK236" s="15"/>
      <c r="TAL236" s="15"/>
      <c r="TAM236" s="15"/>
      <c r="TAN236" s="10"/>
      <c r="TAO236" s="10"/>
      <c r="TAP236" s="21"/>
      <c r="TAQ236" s="21"/>
      <c r="TAT236" s="21"/>
      <c r="TAU236" s="15"/>
      <c r="TAV236" s="15"/>
      <c r="TAW236" s="15"/>
      <c r="TAX236" s="15"/>
      <c r="TAY236" s="15"/>
      <c r="TAZ236" s="15"/>
      <c r="TBA236" s="15"/>
      <c r="TBB236" s="15"/>
      <c r="TBC236" s="15"/>
      <c r="TBD236" s="15"/>
      <c r="TBE236" s="10"/>
      <c r="TBF236" s="10"/>
      <c r="TBG236" s="21"/>
      <c r="TBH236" s="21"/>
      <c r="TBK236" s="21"/>
      <c r="TBL236" s="15"/>
      <c r="TBM236" s="15"/>
      <c r="TBN236" s="15"/>
      <c r="TBO236" s="15"/>
      <c r="TBP236" s="15"/>
      <c r="TBQ236" s="15"/>
      <c r="TBR236" s="15"/>
      <c r="TBS236" s="15"/>
      <c r="TBT236" s="15"/>
      <c r="TBU236" s="15"/>
      <c r="TBV236" s="10"/>
      <c r="TBW236" s="10"/>
      <c r="TBX236" s="21"/>
      <c r="TBY236" s="21"/>
      <c r="TCB236" s="21"/>
      <c r="TCC236" s="15"/>
      <c r="TCD236" s="15"/>
      <c r="TCE236" s="15"/>
      <c r="TCF236" s="15"/>
      <c r="TCG236" s="15"/>
      <c r="TCH236" s="15"/>
      <c r="TCI236" s="15"/>
      <c r="TCJ236" s="15"/>
      <c r="TCK236" s="15"/>
      <c r="TCL236" s="15"/>
      <c r="TCM236" s="10"/>
      <c r="TCN236" s="10"/>
      <c r="TCO236" s="21"/>
      <c r="TCP236" s="21"/>
      <c r="TCS236" s="21"/>
      <c r="TCT236" s="15"/>
      <c r="TCU236" s="15"/>
      <c r="TCV236" s="15"/>
      <c r="TCW236" s="15"/>
      <c r="TCX236" s="15"/>
      <c r="TCY236" s="15"/>
      <c r="TCZ236" s="15"/>
      <c r="TDA236" s="15"/>
      <c r="TDB236" s="15"/>
      <c r="TDC236" s="15"/>
      <c r="TDD236" s="10"/>
      <c r="TDE236" s="10"/>
      <c r="TDF236" s="21"/>
      <c r="TDG236" s="21"/>
      <c r="TDJ236" s="21"/>
      <c r="TDK236" s="15"/>
      <c r="TDL236" s="15"/>
      <c r="TDM236" s="15"/>
      <c r="TDN236" s="15"/>
      <c r="TDO236" s="15"/>
      <c r="TDP236" s="15"/>
      <c r="TDQ236" s="15"/>
      <c r="TDR236" s="15"/>
      <c r="TDS236" s="15"/>
      <c r="TDT236" s="15"/>
      <c r="TDU236" s="10"/>
      <c r="TDV236" s="10"/>
      <c r="TDW236" s="21"/>
      <c r="TDX236" s="21"/>
      <c r="TEA236" s="21"/>
      <c r="TEB236" s="15"/>
      <c r="TEC236" s="15"/>
      <c r="TED236" s="15"/>
      <c r="TEE236" s="15"/>
      <c r="TEF236" s="15"/>
      <c r="TEG236" s="15"/>
      <c r="TEH236" s="15"/>
      <c r="TEI236" s="15"/>
      <c r="TEJ236" s="15"/>
      <c r="TEK236" s="15"/>
      <c r="TEL236" s="10"/>
      <c r="TEM236" s="10"/>
      <c r="TEN236" s="21"/>
      <c r="TEO236" s="21"/>
      <c r="TER236" s="21"/>
      <c r="TES236" s="15"/>
      <c r="TET236" s="15"/>
      <c r="TEU236" s="15"/>
      <c r="TEV236" s="15"/>
      <c r="TEW236" s="15"/>
      <c r="TEX236" s="15"/>
      <c r="TEY236" s="15"/>
      <c r="TEZ236" s="15"/>
      <c r="TFA236" s="15"/>
      <c r="TFB236" s="15"/>
      <c r="TFC236" s="10"/>
      <c r="TFD236" s="10"/>
      <c r="TFE236" s="21"/>
      <c r="TFF236" s="21"/>
      <c r="TFI236" s="21"/>
      <c r="TFJ236" s="15"/>
      <c r="TFK236" s="15"/>
      <c r="TFL236" s="15"/>
      <c r="TFM236" s="15"/>
      <c r="TFN236" s="15"/>
      <c r="TFO236" s="15"/>
      <c r="TFP236" s="15"/>
      <c r="TFQ236" s="15"/>
      <c r="TFR236" s="15"/>
      <c r="TFS236" s="15"/>
      <c r="TFT236" s="10"/>
      <c r="TFU236" s="10"/>
      <c r="TFV236" s="21"/>
      <c r="TFW236" s="21"/>
      <c r="TFZ236" s="21"/>
      <c r="TGA236" s="15"/>
      <c r="TGB236" s="15"/>
      <c r="TGC236" s="15"/>
      <c r="TGD236" s="15"/>
      <c r="TGE236" s="15"/>
      <c r="TGF236" s="15"/>
      <c r="TGG236" s="15"/>
      <c r="TGH236" s="15"/>
      <c r="TGI236" s="15"/>
      <c r="TGJ236" s="15"/>
      <c r="TGK236" s="10"/>
      <c r="TGL236" s="10"/>
      <c r="TGM236" s="21"/>
      <c r="TGN236" s="21"/>
      <c r="TGQ236" s="21"/>
      <c r="TGR236" s="15"/>
      <c r="TGS236" s="15"/>
      <c r="TGT236" s="15"/>
      <c r="TGU236" s="15"/>
      <c r="TGV236" s="15"/>
      <c r="TGW236" s="15"/>
      <c r="TGX236" s="15"/>
      <c r="TGY236" s="15"/>
      <c r="TGZ236" s="15"/>
      <c r="THA236" s="15"/>
      <c r="THB236" s="10"/>
      <c r="THC236" s="10"/>
      <c r="THD236" s="21"/>
      <c r="THE236" s="21"/>
      <c r="THH236" s="21"/>
      <c r="THI236" s="15"/>
      <c r="THJ236" s="15"/>
      <c r="THK236" s="15"/>
      <c r="THL236" s="15"/>
      <c r="THM236" s="15"/>
      <c r="THN236" s="15"/>
      <c r="THO236" s="15"/>
      <c r="THP236" s="15"/>
      <c r="THQ236" s="15"/>
      <c r="THR236" s="15"/>
      <c r="THS236" s="10"/>
      <c r="THT236" s="10"/>
      <c r="THU236" s="21"/>
      <c r="THV236" s="21"/>
      <c r="THY236" s="21"/>
      <c r="THZ236" s="15"/>
      <c r="TIA236" s="15"/>
      <c r="TIB236" s="15"/>
      <c r="TIC236" s="15"/>
      <c r="TID236" s="15"/>
      <c r="TIE236" s="15"/>
      <c r="TIF236" s="15"/>
      <c r="TIG236" s="15"/>
      <c r="TIH236" s="15"/>
      <c r="TII236" s="15"/>
      <c r="TIJ236" s="10"/>
      <c r="TIK236" s="10"/>
      <c r="TIL236" s="21"/>
      <c r="TIM236" s="21"/>
      <c r="TIP236" s="21"/>
      <c r="TIQ236" s="15"/>
      <c r="TIR236" s="15"/>
      <c r="TIS236" s="15"/>
      <c r="TIT236" s="15"/>
      <c r="TIU236" s="15"/>
      <c r="TIV236" s="15"/>
      <c r="TIW236" s="15"/>
      <c r="TIX236" s="15"/>
      <c r="TIY236" s="15"/>
      <c r="TIZ236" s="15"/>
      <c r="TJA236" s="10"/>
      <c r="TJB236" s="10"/>
      <c r="TJC236" s="21"/>
      <c r="TJD236" s="21"/>
      <c r="TJG236" s="21"/>
      <c r="TJH236" s="15"/>
      <c r="TJI236" s="15"/>
      <c r="TJJ236" s="15"/>
      <c r="TJK236" s="15"/>
      <c r="TJL236" s="15"/>
      <c r="TJM236" s="15"/>
      <c r="TJN236" s="15"/>
      <c r="TJO236" s="15"/>
      <c r="TJP236" s="15"/>
      <c r="TJQ236" s="15"/>
      <c r="TJR236" s="10"/>
      <c r="TJS236" s="10"/>
      <c r="TJT236" s="21"/>
      <c r="TJU236" s="21"/>
      <c r="TJX236" s="21"/>
      <c r="TJY236" s="15"/>
      <c r="TJZ236" s="15"/>
      <c r="TKA236" s="15"/>
      <c r="TKB236" s="15"/>
      <c r="TKC236" s="15"/>
      <c r="TKD236" s="15"/>
      <c r="TKE236" s="15"/>
      <c r="TKF236" s="15"/>
      <c r="TKG236" s="15"/>
      <c r="TKH236" s="15"/>
      <c r="TKI236" s="10"/>
      <c r="TKJ236" s="10"/>
      <c r="TKK236" s="21"/>
      <c r="TKL236" s="21"/>
      <c r="TKO236" s="21"/>
      <c r="TKP236" s="15"/>
      <c r="TKQ236" s="15"/>
      <c r="TKR236" s="15"/>
      <c r="TKS236" s="15"/>
      <c r="TKT236" s="15"/>
      <c r="TKU236" s="15"/>
      <c r="TKV236" s="15"/>
      <c r="TKW236" s="15"/>
      <c r="TKX236" s="15"/>
      <c r="TKY236" s="15"/>
      <c r="TKZ236" s="10"/>
      <c r="TLA236" s="10"/>
      <c r="TLB236" s="21"/>
      <c r="TLC236" s="21"/>
      <c r="TLF236" s="21"/>
      <c r="TLG236" s="15"/>
      <c r="TLH236" s="15"/>
      <c r="TLI236" s="15"/>
      <c r="TLJ236" s="15"/>
      <c r="TLK236" s="15"/>
      <c r="TLL236" s="15"/>
      <c r="TLM236" s="15"/>
      <c r="TLN236" s="15"/>
      <c r="TLO236" s="15"/>
      <c r="TLP236" s="15"/>
      <c r="TLQ236" s="10"/>
      <c r="TLR236" s="10"/>
      <c r="TLS236" s="21"/>
      <c r="TLT236" s="21"/>
      <c r="TLW236" s="21"/>
      <c r="TLX236" s="15"/>
      <c r="TLY236" s="15"/>
      <c r="TLZ236" s="15"/>
      <c r="TMA236" s="15"/>
      <c r="TMB236" s="15"/>
      <c r="TMC236" s="15"/>
      <c r="TMD236" s="15"/>
      <c r="TME236" s="15"/>
      <c r="TMF236" s="15"/>
      <c r="TMG236" s="15"/>
      <c r="TMH236" s="10"/>
      <c r="TMI236" s="10"/>
      <c r="TMJ236" s="21"/>
      <c r="TMK236" s="21"/>
      <c r="TMN236" s="21"/>
      <c r="TMO236" s="15"/>
      <c r="TMP236" s="15"/>
      <c r="TMQ236" s="15"/>
      <c r="TMR236" s="15"/>
      <c r="TMS236" s="15"/>
      <c r="TMT236" s="15"/>
      <c r="TMU236" s="15"/>
      <c r="TMV236" s="15"/>
      <c r="TMW236" s="15"/>
      <c r="TMX236" s="15"/>
      <c r="TMY236" s="10"/>
      <c r="TMZ236" s="10"/>
      <c r="TNA236" s="21"/>
      <c r="TNB236" s="21"/>
      <c r="TNE236" s="21"/>
      <c r="TNF236" s="15"/>
      <c r="TNG236" s="15"/>
      <c r="TNH236" s="15"/>
      <c r="TNI236" s="15"/>
      <c r="TNJ236" s="15"/>
      <c r="TNK236" s="15"/>
      <c r="TNL236" s="15"/>
      <c r="TNM236" s="15"/>
      <c r="TNN236" s="15"/>
      <c r="TNO236" s="15"/>
      <c r="TNP236" s="10"/>
      <c r="TNQ236" s="10"/>
      <c r="TNR236" s="21"/>
      <c r="TNS236" s="21"/>
      <c r="TNV236" s="21"/>
      <c r="TNW236" s="15"/>
      <c r="TNX236" s="15"/>
      <c r="TNY236" s="15"/>
      <c r="TNZ236" s="15"/>
      <c r="TOA236" s="15"/>
      <c r="TOB236" s="15"/>
      <c r="TOC236" s="15"/>
      <c r="TOD236" s="15"/>
      <c r="TOE236" s="15"/>
      <c r="TOF236" s="15"/>
      <c r="TOG236" s="10"/>
      <c r="TOH236" s="10"/>
      <c r="TOI236" s="21"/>
      <c r="TOJ236" s="21"/>
      <c r="TOM236" s="21"/>
      <c r="TON236" s="15"/>
      <c r="TOO236" s="15"/>
      <c r="TOP236" s="15"/>
      <c r="TOQ236" s="15"/>
      <c r="TOR236" s="15"/>
      <c r="TOS236" s="15"/>
      <c r="TOT236" s="15"/>
      <c r="TOU236" s="15"/>
      <c r="TOV236" s="15"/>
      <c r="TOW236" s="15"/>
      <c r="TOX236" s="10"/>
      <c r="TOY236" s="10"/>
      <c r="TOZ236" s="21"/>
      <c r="TPA236" s="21"/>
      <c r="TPD236" s="21"/>
      <c r="TPE236" s="15"/>
      <c r="TPF236" s="15"/>
      <c r="TPG236" s="15"/>
      <c r="TPH236" s="15"/>
      <c r="TPI236" s="15"/>
      <c r="TPJ236" s="15"/>
      <c r="TPK236" s="15"/>
      <c r="TPL236" s="15"/>
      <c r="TPM236" s="15"/>
      <c r="TPN236" s="15"/>
      <c r="TPO236" s="10"/>
      <c r="TPP236" s="10"/>
      <c r="TPQ236" s="21"/>
      <c r="TPR236" s="21"/>
      <c r="TPU236" s="21"/>
      <c r="TPV236" s="15"/>
      <c r="TPW236" s="15"/>
      <c r="TPX236" s="15"/>
      <c r="TPY236" s="15"/>
      <c r="TPZ236" s="15"/>
      <c r="TQA236" s="15"/>
      <c r="TQB236" s="15"/>
      <c r="TQC236" s="15"/>
      <c r="TQD236" s="15"/>
      <c r="TQE236" s="15"/>
      <c r="TQF236" s="10"/>
      <c r="TQG236" s="10"/>
      <c r="TQH236" s="21"/>
      <c r="TQI236" s="21"/>
      <c r="TQL236" s="21"/>
      <c r="TQM236" s="15"/>
      <c r="TQN236" s="15"/>
      <c r="TQO236" s="15"/>
      <c r="TQP236" s="15"/>
      <c r="TQQ236" s="15"/>
      <c r="TQR236" s="15"/>
      <c r="TQS236" s="15"/>
      <c r="TQT236" s="15"/>
      <c r="TQU236" s="15"/>
      <c r="TQV236" s="15"/>
      <c r="TQW236" s="10"/>
      <c r="TQX236" s="10"/>
      <c r="TQY236" s="21"/>
      <c r="TQZ236" s="21"/>
      <c r="TRC236" s="21"/>
      <c r="TRD236" s="15"/>
      <c r="TRE236" s="15"/>
      <c r="TRF236" s="15"/>
      <c r="TRG236" s="15"/>
      <c r="TRH236" s="15"/>
      <c r="TRI236" s="15"/>
      <c r="TRJ236" s="15"/>
      <c r="TRK236" s="15"/>
      <c r="TRL236" s="15"/>
      <c r="TRM236" s="15"/>
      <c r="TRN236" s="10"/>
      <c r="TRO236" s="10"/>
      <c r="TRP236" s="21"/>
      <c r="TRQ236" s="21"/>
      <c r="TRT236" s="21"/>
      <c r="TRU236" s="15"/>
      <c r="TRV236" s="15"/>
      <c r="TRW236" s="15"/>
      <c r="TRX236" s="15"/>
      <c r="TRY236" s="15"/>
      <c r="TRZ236" s="15"/>
      <c r="TSA236" s="15"/>
      <c r="TSB236" s="15"/>
      <c r="TSC236" s="15"/>
      <c r="TSD236" s="15"/>
      <c r="TSE236" s="10"/>
      <c r="TSF236" s="10"/>
      <c r="TSG236" s="21"/>
      <c r="TSH236" s="21"/>
      <c r="TSK236" s="21"/>
      <c r="TSL236" s="15"/>
      <c r="TSM236" s="15"/>
      <c r="TSN236" s="15"/>
      <c r="TSO236" s="15"/>
      <c r="TSP236" s="15"/>
      <c r="TSQ236" s="15"/>
      <c r="TSR236" s="15"/>
      <c r="TSS236" s="15"/>
      <c r="TST236" s="15"/>
      <c r="TSU236" s="15"/>
      <c r="TSV236" s="10"/>
      <c r="TSW236" s="10"/>
      <c r="TSX236" s="21"/>
      <c r="TSY236" s="21"/>
      <c r="TTB236" s="21"/>
      <c r="TTC236" s="15"/>
      <c r="TTD236" s="15"/>
      <c r="TTE236" s="15"/>
      <c r="TTF236" s="15"/>
      <c r="TTG236" s="15"/>
      <c r="TTH236" s="15"/>
      <c r="TTI236" s="15"/>
      <c r="TTJ236" s="15"/>
      <c r="TTK236" s="15"/>
      <c r="TTL236" s="15"/>
      <c r="TTM236" s="10"/>
      <c r="TTN236" s="10"/>
      <c r="TTO236" s="21"/>
      <c r="TTP236" s="21"/>
      <c r="TTS236" s="21"/>
      <c r="TTT236" s="15"/>
      <c r="TTU236" s="15"/>
      <c r="TTV236" s="15"/>
      <c r="TTW236" s="15"/>
      <c r="TTX236" s="15"/>
      <c r="TTY236" s="15"/>
      <c r="TTZ236" s="15"/>
      <c r="TUA236" s="15"/>
      <c r="TUB236" s="15"/>
      <c r="TUC236" s="15"/>
      <c r="TUD236" s="10"/>
      <c r="TUE236" s="10"/>
      <c r="TUF236" s="21"/>
      <c r="TUG236" s="21"/>
      <c r="TUJ236" s="21"/>
      <c r="TUK236" s="15"/>
      <c r="TUL236" s="15"/>
      <c r="TUM236" s="15"/>
      <c r="TUN236" s="15"/>
      <c r="TUO236" s="15"/>
      <c r="TUP236" s="15"/>
      <c r="TUQ236" s="15"/>
      <c r="TUR236" s="15"/>
      <c r="TUS236" s="15"/>
      <c r="TUT236" s="15"/>
      <c r="TUU236" s="10"/>
      <c r="TUV236" s="10"/>
      <c r="TUW236" s="21"/>
      <c r="TUX236" s="21"/>
      <c r="TVA236" s="21"/>
      <c r="TVB236" s="15"/>
      <c r="TVC236" s="15"/>
      <c r="TVD236" s="15"/>
      <c r="TVE236" s="15"/>
      <c r="TVF236" s="15"/>
      <c r="TVG236" s="15"/>
      <c r="TVH236" s="15"/>
      <c r="TVI236" s="15"/>
      <c r="TVJ236" s="15"/>
      <c r="TVK236" s="15"/>
      <c r="TVL236" s="10"/>
      <c r="TVM236" s="10"/>
      <c r="TVN236" s="21"/>
      <c r="TVO236" s="21"/>
      <c r="TVR236" s="21"/>
      <c r="TVS236" s="15"/>
      <c r="TVT236" s="15"/>
      <c r="TVU236" s="15"/>
      <c r="TVV236" s="15"/>
      <c r="TVW236" s="15"/>
      <c r="TVX236" s="15"/>
      <c r="TVY236" s="15"/>
      <c r="TVZ236" s="15"/>
      <c r="TWA236" s="15"/>
      <c r="TWB236" s="15"/>
      <c r="TWC236" s="10"/>
      <c r="TWD236" s="10"/>
      <c r="TWE236" s="21"/>
      <c r="TWF236" s="21"/>
      <c r="TWI236" s="21"/>
      <c r="TWJ236" s="15"/>
      <c r="TWK236" s="15"/>
      <c r="TWL236" s="15"/>
      <c r="TWM236" s="15"/>
      <c r="TWN236" s="15"/>
      <c r="TWO236" s="15"/>
      <c r="TWP236" s="15"/>
      <c r="TWQ236" s="15"/>
      <c r="TWR236" s="15"/>
      <c r="TWS236" s="15"/>
      <c r="TWT236" s="10"/>
      <c r="TWU236" s="10"/>
      <c r="TWV236" s="21"/>
      <c r="TWW236" s="21"/>
      <c r="TWZ236" s="21"/>
      <c r="TXA236" s="15"/>
      <c r="TXB236" s="15"/>
      <c r="TXC236" s="15"/>
      <c r="TXD236" s="15"/>
      <c r="TXE236" s="15"/>
      <c r="TXF236" s="15"/>
      <c r="TXG236" s="15"/>
      <c r="TXH236" s="15"/>
      <c r="TXI236" s="15"/>
      <c r="TXJ236" s="15"/>
      <c r="TXK236" s="10"/>
      <c r="TXL236" s="10"/>
      <c r="TXM236" s="21"/>
      <c r="TXN236" s="21"/>
      <c r="TXQ236" s="21"/>
      <c r="TXR236" s="15"/>
      <c r="TXS236" s="15"/>
      <c r="TXT236" s="15"/>
      <c r="TXU236" s="15"/>
      <c r="TXV236" s="15"/>
      <c r="TXW236" s="15"/>
      <c r="TXX236" s="15"/>
      <c r="TXY236" s="15"/>
      <c r="TXZ236" s="15"/>
      <c r="TYA236" s="15"/>
      <c r="TYB236" s="10"/>
      <c r="TYC236" s="10"/>
      <c r="TYD236" s="21"/>
      <c r="TYE236" s="21"/>
      <c r="TYH236" s="21"/>
      <c r="TYI236" s="15"/>
      <c r="TYJ236" s="15"/>
      <c r="TYK236" s="15"/>
      <c r="TYL236" s="15"/>
      <c r="TYM236" s="15"/>
      <c r="TYN236" s="15"/>
      <c r="TYO236" s="15"/>
      <c r="TYP236" s="15"/>
      <c r="TYQ236" s="15"/>
      <c r="TYR236" s="15"/>
      <c r="TYS236" s="10"/>
      <c r="TYT236" s="10"/>
      <c r="TYU236" s="21"/>
      <c r="TYV236" s="21"/>
      <c r="TYY236" s="21"/>
      <c r="TYZ236" s="15"/>
      <c r="TZA236" s="15"/>
      <c r="TZB236" s="15"/>
      <c r="TZC236" s="15"/>
      <c r="TZD236" s="15"/>
      <c r="TZE236" s="15"/>
      <c r="TZF236" s="15"/>
      <c r="TZG236" s="15"/>
      <c r="TZH236" s="15"/>
      <c r="TZI236" s="15"/>
      <c r="TZJ236" s="10"/>
      <c r="TZK236" s="10"/>
      <c r="TZL236" s="21"/>
      <c r="TZM236" s="21"/>
      <c r="TZP236" s="21"/>
      <c r="TZQ236" s="15"/>
      <c r="TZR236" s="15"/>
      <c r="TZS236" s="15"/>
      <c r="TZT236" s="15"/>
      <c r="TZU236" s="15"/>
      <c r="TZV236" s="15"/>
      <c r="TZW236" s="15"/>
      <c r="TZX236" s="15"/>
      <c r="TZY236" s="15"/>
      <c r="TZZ236" s="15"/>
      <c r="UAA236" s="10"/>
      <c r="UAB236" s="10"/>
      <c r="UAC236" s="21"/>
      <c r="UAD236" s="21"/>
      <c r="UAG236" s="21"/>
      <c r="UAH236" s="15"/>
      <c r="UAI236" s="15"/>
      <c r="UAJ236" s="15"/>
      <c r="UAK236" s="15"/>
      <c r="UAL236" s="15"/>
      <c r="UAM236" s="15"/>
      <c r="UAN236" s="15"/>
      <c r="UAO236" s="15"/>
      <c r="UAP236" s="15"/>
      <c r="UAQ236" s="15"/>
      <c r="UAR236" s="10"/>
      <c r="UAS236" s="10"/>
      <c r="UAT236" s="21"/>
      <c r="UAU236" s="21"/>
      <c r="UAX236" s="21"/>
      <c r="UAY236" s="15"/>
      <c r="UAZ236" s="15"/>
      <c r="UBA236" s="15"/>
      <c r="UBB236" s="15"/>
      <c r="UBC236" s="15"/>
      <c r="UBD236" s="15"/>
      <c r="UBE236" s="15"/>
      <c r="UBF236" s="15"/>
      <c r="UBG236" s="15"/>
      <c r="UBH236" s="15"/>
      <c r="UBI236" s="10"/>
      <c r="UBJ236" s="10"/>
      <c r="UBK236" s="21"/>
      <c r="UBL236" s="21"/>
      <c r="UBO236" s="21"/>
      <c r="UBP236" s="15"/>
      <c r="UBQ236" s="15"/>
      <c r="UBR236" s="15"/>
      <c r="UBS236" s="15"/>
      <c r="UBT236" s="15"/>
      <c r="UBU236" s="15"/>
      <c r="UBV236" s="15"/>
      <c r="UBW236" s="15"/>
      <c r="UBX236" s="15"/>
      <c r="UBY236" s="15"/>
      <c r="UBZ236" s="10"/>
      <c r="UCA236" s="10"/>
      <c r="UCB236" s="21"/>
      <c r="UCC236" s="21"/>
      <c r="UCF236" s="21"/>
      <c r="UCG236" s="15"/>
      <c r="UCH236" s="15"/>
      <c r="UCI236" s="15"/>
      <c r="UCJ236" s="15"/>
      <c r="UCK236" s="15"/>
      <c r="UCL236" s="15"/>
      <c r="UCM236" s="15"/>
      <c r="UCN236" s="15"/>
      <c r="UCO236" s="15"/>
      <c r="UCP236" s="15"/>
      <c r="UCQ236" s="10"/>
      <c r="UCR236" s="10"/>
      <c r="UCS236" s="21"/>
      <c r="UCT236" s="21"/>
      <c r="UCW236" s="21"/>
      <c r="UCX236" s="15"/>
      <c r="UCY236" s="15"/>
      <c r="UCZ236" s="15"/>
      <c r="UDA236" s="15"/>
      <c r="UDB236" s="15"/>
      <c r="UDC236" s="15"/>
      <c r="UDD236" s="15"/>
      <c r="UDE236" s="15"/>
      <c r="UDF236" s="15"/>
      <c r="UDG236" s="15"/>
      <c r="UDH236" s="10"/>
      <c r="UDI236" s="10"/>
      <c r="UDJ236" s="21"/>
      <c r="UDK236" s="21"/>
      <c r="UDN236" s="21"/>
      <c r="UDO236" s="15"/>
      <c r="UDP236" s="15"/>
      <c r="UDQ236" s="15"/>
      <c r="UDR236" s="15"/>
      <c r="UDS236" s="15"/>
      <c r="UDT236" s="15"/>
      <c r="UDU236" s="15"/>
      <c r="UDV236" s="15"/>
      <c r="UDW236" s="15"/>
      <c r="UDX236" s="15"/>
      <c r="UDY236" s="10"/>
      <c r="UDZ236" s="10"/>
      <c r="UEA236" s="21"/>
      <c r="UEB236" s="21"/>
      <c r="UEE236" s="21"/>
      <c r="UEF236" s="15"/>
      <c r="UEG236" s="15"/>
      <c r="UEH236" s="15"/>
      <c r="UEI236" s="15"/>
      <c r="UEJ236" s="15"/>
      <c r="UEK236" s="15"/>
      <c r="UEL236" s="15"/>
      <c r="UEM236" s="15"/>
      <c r="UEN236" s="15"/>
      <c r="UEO236" s="15"/>
      <c r="UEP236" s="10"/>
      <c r="UEQ236" s="10"/>
      <c r="UER236" s="21"/>
      <c r="UES236" s="21"/>
      <c r="UEV236" s="21"/>
      <c r="UEW236" s="15"/>
      <c r="UEX236" s="15"/>
      <c r="UEY236" s="15"/>
      <c r="UEZ236" s="15"/>
      <c r="UFA236" s="15"/>
      <c r="UFB236" s="15"/>
      <c r="UFC236" s="15"/>
      <c r="UFD236" s="15"/>
      <c r="UFE236" s="15"/>
      <c r="UFF236" s="15"/>
      <c r="UFG236" s="10"/>
      <c r="UFH236" s="10"/>
      <c r="UFI236" s="21"/>
      <c r="UFJ236" s="21"/>
      <c r="UFM236" s="21"/>
      <c r="UFN236" s="15"/>
      <c r="UFO236" s="15"/>
      <c r="UFP236" s="15"/>
      <c r="UFQ236" s="15"/>
      <c r="UFR236" s="15"/>
      <c r="UFS236" s="15"/>
      <c r="UFT236" s="15"/>
      <c r="UFU236" s="15"/>
      <c r="UFV236" s="15"/>
      <c r="UFW236" s="15"/>
      <c r="UFX236" s="10"/>
      <c r="UFY236" s="10"/>
      <c r="UFZ236" s="21"/>
      <c r="UGA236" s="21"/>
      <c r="UGD236" s="21"/>
      <c r="UGE236" s="15"/>
      <c r="UGF236" s="15"/>
      <c r="UGG236" s="15"/>
      <c r="UGH236" s="15"/>
      <c r="UGI236" s="15"/>
      <c r="UGJ236" s="15"/>
      <c r="UGK236" s="15"/>
      <c r="UGL236" s="15"/>
      <c r="UGM236" s="15"/>
      <c r="UGN236" s="15"/>
      <c r="UGO236" s="10"/>
      <c r="UGP236" s="10"/>
      <c r="UGQ236" s="21"/>
      <c r="UGR236" s="21"/>
      <c r="UGU236" s="21"/>
      <c r="UGV236" s="15"/>
      <c r="UGW236" s="15"/>
      <c r="UGX236" s="15"/>
      <c r="UGY236" s="15"/>
      <c r="UGZ236" s="15"/>
      <c r="UHA236" s="15"/>
      <c r="UHB236" s="15"/>
      <c r="UHC236" s="15"/>
      <c r="UHD236" s="15"/>
      <c r="UHE236" s="15"/>
      <c r="UHF236" s="10"/>
      <c r="UHG236" s="10"/>
      <c r="UHH236" s="21"/>
      <c r="UHI236" s="21"/>
      <c r="UHL236" s="21"/>
      <c r="UHM236" s="15"/>
      <c r="UHN236" s="15"/>
      <c r="UHO236" s="15"/>
      <c r="UHP236" s="15"/>
      <c r="UHQ236" s="15"/>
      <c r="UHR236" s="15"/>
      <c r="UHS236" s="15"/>
      <c r="UHT236" s="15"/>
      <c r="UHU236" s="15"/>
      <c r="UHV236" s="15"/>
      <c r="UHW236" s="10"/>
      <c r="UHX236" s="10"/>
      <c r="UHY236" s="21"/>
      <c r="UHZ236" s="21"/>
      <c r="UIC236" s="21"/>
      <c r="UID236" s="15"/>
      <c r="UIE236" s="15"/>
      <c r="UIF236" s="15"/>
      <c r="UIG236" s="15"/>
      <c r="UIH236" s="15"/>
      <c r="UII236" s="15"/>
      <c r="UIJ236" s="15"/>
      <c r="UIK236" s="15"/>
      <c r="UIL236" s="15"/>
      <c r="UIM236" s="15"/>
      <c r="UIN236" s="10"/>
      <c r="UIO236" s="10"/>
      <c r="UIP236" s="21"/>
      <c r="UIQ236" s="21"/>
      <c r="UIT236" s="21"/>
      <c r="UIU236" s="15"/>
      <c r="UIV236" s="15"/>
      <c r="UIW236" s="15"/>
      <c r="UIX236" s="15"/>
      <c r="UIY236" s="15"/>
      <c r="UIZ236" s="15"/>
      <c r="UJA236" s="15"/>
      <c r="UJB236" s="15"/>
      <c r="UJC236" s="15"/>
      <c r="UJD236" s="15"/>
      <c r="UJE236" s="10"/>
      <c r="UJF236" s="10"/>
      <c r="UJG236" s="21"/>
      <c r="UJH236" s="21"/>
      <c r="UJK236" s="21"/>
      <c r="UJL236" s="15"/>
      <c r="UJM236" s="15"/>
      <c r="UJN236" s="15"/>
      <c r="UJO236" s="15"/>
      <c r="UJP236" s="15"/>
      <c r="UJQ236" s="15"/>
      <c r="UJR236" s="15"/>
      <c r="UJS236" s="15"/>
      <c r="UJT236" s="15"/>
      <c r="UJU236" s="15"/>
      <c r="UJV236" s="10"/>
      <c r="UJW236" s="10"/>
      <c r="UJX236" s="21"/>
      <c r="UJY236" s="21"/>
      <c r="UKB236" s="21"/>
      <c r="UKC236" s="15"/>
      <c r="UKD236" s="15"/>
      <c r="UKE236" s="15"/>
      <c r="UKF236" s="15"/>
      <c r="UKG236" s="15"/>
      <c r="UKH236" s="15"/>
      <c r="UKI236" s="15"/>
      <c r="UKJ236" s="15"/>
      <c r="UKK236" s="15"/>
      <c r="UKL236" s="15"/>
      <c r="UKM236" s="10"/>
      <c r="UKN236" s="10"/>
      <c r="UKO236" s="21"/>
      <c r="UKP236" s="21"/>
      <c r="UKS236" s="21"/>
      <c r="UKT236" s="15"/>
      <c r="UKU236" s="15"/>
      <c r="UKV236" s="15"/>
      <c r="UKW236" s="15"/>
      <c r="UKX236" s="15"/>
      <c r="UKY236" s="15"/>
      <c r="UKZ236" s="15"/>
      <c r="ULA236" s="15"/>
      <c r="ULB236" s="15"/>
      <c r="ULC236" s="15"/>
      <c r="ULD236" s="10"/>
      <c r="ULE236" s="10"/>
      <c r="ULF236" s="21"/>
      <c r="ULG236" s="21"/>
      <c r="ULJ236" s="21"/>
      <c r="ULK236" s="15"/>
      <c r="ULL236" s="15"/>
      <c r="ULM236" s="15"/>
      <c r="ULN236" s="15"/>
      <c r="ULO236" s="15"/>
      <c r="ULP236" s="15"/>
      <c r="ULQ236" s="15"/>
      <c r="ULR236" s="15"/>
      <c r="ULS236" s="15"/>
      <c r="ULT236" s="15"/>
      <c r="ULU236" s="10"/>
      <c r="ULV236" s="10"/>
      <c r="ULW236" s="21"/>
      <c r="ULX236" s="21"/>
      <c r="UMA236" s="21"/>
      <c r="UMB236" s="15"/>
      <c r="UMC236" s="15"/>
      <c r="UMD236" s="15"/>
      <c r="UME236" s="15"/>
      <c r="UMF236" s="15"/>
      <c r="UMG236" s="15"/>
      <c r="UMH236" s="15"/>
      <c r="UMI236" s="15"/>
      <c r="UMJ236" s="15"/>
      <c r="UMK236" s="15"/>
      <c r="UML236" s="10"/>
      <c r="UMM236" s="10"/>
      <c r="UMN236" s="21"/>
      <c r="UMO236" s="21"/>
      <c r="UMR236" s="21"/>
      <c r="UMS236" s="15"/>
      <c r="UMT236" s="15"/>
      <c r="UMU236" s="15"/>
      <c r="UMV236" s="15"/>
      <c r="UMW236" s="15"/>
      <c r="UMX236" s="15"/>
      <c r="UMY236" s="15"/>
      <c r="UMZ236" s="15"/>
      <c r="UNA236" s="15"/>
      <c r="UNB236" s="15"/>
      <c r="UNC236" s="10"/>
      <c r="UND236" s="10"/>
      <c r="UNE236" s="21"/>
      <c r="UNF236" s="21"/>
      <c r="UNI236" s="21"/>
      <c r="UNJ236" s="15"/>
      <c r="UNK236" s="15"/>
      <c r="UNL236" s="15"/>
      <c r="UNM236" s="15"/>
      <c r="UNN236" s="15"/>
      <c r="UNO236" s="15"/>
      <c r="UNP236" s="15"/>
      <c r="UNQ236" s="15"/>
      <c r="UNR236" s="15"/>
      <c r="UNS236" s="15"/>
      <c r="UNT236" s="10"/>
      <c r="UNU236" s="10"/>
      <c r="UNV236" s="21"/>
      <c r="UNW236" s="21"/>
      <c r="UNZ236" s="21"/>
      <c r="UOA236" s="15"/>
      <c r="UOB236" s="15"/>
      <c r="UOC236" s="15"/>
      <c r="UOD236" s="15"/>
      <c r="UOE236" s="15"/>
      <c r="UOF236" s="15"/>
      <c r="UOG236" s="15"/>
      <c r="UOH236" s="15"/>
      <c r="UOI236" s="15"/>
      <c r="UOJ236" s="15"/>
      <c r="UOK236" s="10"/>
      <c r="UOL236" s="10"/>
      <c r="UOM236" s="21"/>
      <c r="UON236" s="21"/>
      <c r="UOQ236" s="21"/>
      <c r="UOR236" s="15"/>
      <c r="UOS236" s="15"/>
      <c r="UOT236" s="15"/>
      <c r="UOU236" s="15"/>
      <c r="UOV236" s="15"/>
      <c r="UOW236" s="15"/>
      <c r="UOX236" s="15"/>
      <c r="UOY236" s="15"/>
      <c r="UOZ236" s="15"/>
      <c r="UPA236" s="15"/>
      <c r="UPB236" s="10"/>
      <c r="UPC236" s="10"/>
      <c r="UPD236" s="21"/>
      <c r="UPE236" s="21"/>
      <c r="UPH236" s="21"/>
      <c r="UPI236" s="15"/>
      <c r="UPJ236" s="15"/>
      <c r="UPK236" s="15"/>
      <c r="UPL236" s="15"/>
      <c r="UPM236" s="15"/>
      <c r="UPN236" s="15"/>
      <c r="UPO236" s="15"/>
      <c r="UPP236" s="15"/>
      <c r="UPQ236" s="15"/>
      <c r="UPR236" s="15"/>
      <c r="UPS236" s="10"/>
      <c r="UPT236" s="10"/>
      <c r="UPU236" s="21"/>
      <c r="UPV236" s="21"/>
      <c r="UPY236" s="21"/>
      <c r="UPZ236" s="15"/>
      <c r="UQA236" s="15"/>
      <c r="UQB236" s="15"/>
      <c r="UQC236" s="15"/>
      <c r="UQD236" s="15"/>
      <c r="UQE236" s="15"/>
      <c r="UQF236" s="15"/>
      <c r="UQG236" s="15"/>
      <c r="UQH236" s="15"/>
      <c r="UQI236" s="15"/>
      <c r="UQJ236" s="10"/>
      <c r="UQK236" s="10"/>
      <c r="UQL236" s="21"/>
      <c r="UQM236" s="21"/>
      <c r="UQP236" s="21"/>
      <c r="UQQ236" s="15"/>
      <c r="UQR236" s="15"/>
      <c r="UQS236" s="15"/>
      <c r="UQT236" s="15"/>
      <c r="UQU236" s="15"/>
      <c r="UQV236" s="15"/>
      <c r="UQW236" s="15"/>
      <c r="UQX236" s="15"/>
      <c r="UQY236" s="15"/>
      <c r="UQZ236" s="15"/>
      <c r="URA236" s="10"/>
      <c r="URB236" s="10"/>
      <c r="URC236" s="21"/>
      <c r="URD236" s="21"/>
      <c r="URG236" s="21"/>
      <c r="URH236" s="15"/>
      <c r="URI236" s="15"/>
      <c r="URJ236" s="15"/>
      <c r="URK236" s="15"/>
      <c r="URL236" s="15"/>
      <c r="URM236" s="15"/>
      <c r="URN236" s="15"/>
      <c r="URO236" s="15"/>
      <c r="URP236" s="15"/>
      <c r="URQ236" s="15"/>
      <c r="URR236" s="10"/>
      <c r="URS236" s="10"/>
      <c r="URT236" s="21"/>
      <c r="URU236" s="21"/>
      <c r="URX236" s="21"/>
      <c r="URY236" s="15"/>
      <c r="URZ236" s="15"/>
      <c r="USA236" s="15"/>
      <c r="USB236" s="15"/>
      <c r="USC236" s="15"/>
      <c r="USD236" s="15"/>
      <c r="USE236" s="15"/>
      <c r="USF236" s="15"/>
      <c r="USG236" s="15"/>
      <c r="USH236" s="15"/>
      <c r="USI236" s="10"/>
      <c r="USJ236" s="10"/>
      <c r="USK236" s="21"/>
      <c r="USL236" s="21"/>
      <c r="USO236" s="21"/>
      <c r="USP236" s="15"/>
      <c r="USQ236" s="15"/>
      <c r="USR236" s="15"/>
      <c r="USS236" s="15"/>
      <c r="UST236" s="15"/>
      <c r="USU236" s="15"/>
      <c r="USV236" s="15"/>
      <c r="USW236" s="15"/>
      <c r="USX236" s="15"/>
      <c r="USY236" s="15"/>
      <c r="USZ236" s="10"/>
      <c r="UTA236" s="10"/>
      <c r="UTB236" s="21"/>
      <c r="UTC236" s="21"/>
      <c r="UTF236" s="21"/>
      <c r="UTG236" s="15"/>
      <c r="UTH236" s="15"/>
      <c r="UTI236" s="15"/>
      <c r="UTJ236" s="15"/>
      <c r="UTK236" s="15"/>
      <c r="UTL236" s="15"/>
      <c r="UTM236" s="15"/>
      <c r="UTN236" s="15"/>
      <c r="UTO236" s="15"/>
      <c r="UTP236" s="15"/>
      <c r="UTQ236" s="10"/>
      <c r="UTR236" s="10"/>
      <c r="UTS236" s="21"/>
      <c r="UTT236" s="21"/>
      <c r="UTW236" s="21"/>
      <c r="UTX236" s="15"/>
      <c r="UTY236" s="15"/>
      <c r="UTZ236" s="15"/>
      <c r="UUA236" s="15"/>
      <c r="UUB236" s="15"/>
      <c r="UUC236" s="15"/>
      <c r="UUD236" s="15"/>
      <c r="UUE236" s="15"/>
      <c r="UUF236" s="15"/>
      <c r="UUG236" s="15"/>
      <c r="UUH236" s="10"/>
      <c r="UUI236" s="10"/>
      <c r="UUJ236" s="21"/>
      <c r="UUK236" s="21"/>
      <c r="UUN236" s="21"/>
      <c r="UUO236" s="15"/>
      <c r="UUP236" s="15"/>
      <c r="UUQ236" s="15"/>
      <c r="UUR236" s="15"/>
      <c r="UUS236" s="15"/>
      <c r="UUT236" s="15"/>
      <c r="UUU236" s="15"/>
      <c r="UUV236" s="15"/>
      <c r="UUW236" s="15"/>
      <c r="UUX236" s="15"/>
      <c r="UUY236" s="10"/>
      <c r="UUZ236" s="10"/>
      <c r="UVA236" s="21"/>
      <c r="UVB236" s="21"/>
      <c r="UVE236" s="21"/>
      <c r="UVF236" s="15"/>
      <c r="UVG236" s="15"/>
      <c r="UVH236" s="15"/>
      <c r="UVI236" s="15"/>
      <c r="UVJ236" s="15"/>
      <c r="UVK236" s="15"/>
      <c r="UVL236" s="15"/>
      <c r="UVM236" s="15"/>
      <c r="UVN236" s="15"/>
      <c r="UVO236" s="15"/>
      <c r="UVP236" s="10"/>
      <c r="UVQ236" s="10"/>
      <c r="UVR236" s="21"/>
      <c r="UVS236" s="21"/>
      <c r="UVV236" s="21"/>
      <c r="UVW236" s="15"/>
      <c r="UVX236" s="15"/>
      <c r="UVY236" s="15"/>
      <c r="UVZ236" s="15"/>
      <c r="UWA236" s="15"/>
      <c r="UWB236" s="15"/>
      <c r="UWC236" s="15"/>
      <c r="UWD236" s="15"/>
      <c r="UWE236" s="15"/>
      <c r="UWF236" s="15"/>
      <c r="UWG236" s="10"/>
      <c r="UWH236" s="10"/>
      <c r="UWI236" s="21"/>
      <c r="UWJ236" s="21"/>
      <c r="UWM236" s="21"/>
      <c r="UWN236" s="15"/>
      <c r="UWO236" s="15"/>
      <c r="UWP236" s="15"/>
      <c r="UWQ236" s="15"/>
      <c r="UWR236" s="15"/>
      <c r="UWS236" s="15"/>
      <c r="UWT236" s="15"/>
      <c r="UWU236" s="15"/>
      <c r="UWV236" s="15"/>
      <c r="UWW236" s="15"/>
      <c r="UWX236" s="10"/>
      <c r="UWY236" s="10"/>
      <c r="UWZ236" s="21"/>
      <c r="UXA236" s="21"/>
      <c r="UXD236" s="21"/>
      <c r="UXE236" s="15"/>
      <c r="UXF236" s="15"/>
      <c r="UXG236" s="15"/>
      <c r="UXH236" s="15"/>
      <c r="UXI236" s="15"/>
      <c r="UXJ236" s="15"/>
      <c r="UXK236" s="15"/>
      <c r="UXL236" s="15"/>
      <c r="UXM236" s="15"/>
      <c r="UXN236" s="15"/>
      <c r="UXO236" s="10"/>
      <c r="UXP236" s="10"/>
      <c r="UXQ236" s="21"/>
      <c r="UXR236" s="21"/>
      <c r="UXU236" s="21"/>
      <c r="UXV236" s="15"/>
      <c r="UXW236" s="15"/>
      <c r="UXX236" s="15"/>
      <c r="UXY236" s="15"/>
      <c r="UXZ236" s="15"/>
      <c r="UYA236" s="15"/>
      <c r="UYB236" s="15"/>
      <c r="UYC236" s="15"/>
      <c r="UYD236" s="15"/>
      <c r="UYE236" s="15"/>
      <c r="UYF236" s="10"/>
      <c r="UYG236" s="10"/>
      <c r="UYH236" s="21"/>
      <c r="UYI236" s="21"/>
      <c r="UYL236" s="21"/>
      <c r="UYM236" s="15"/>
      <c r="UYN236" s="15"/>
      <c r="UYO236" s="15"/>
      <c r="UYP236" s="15"/>
      <c r="UYQ236" s="15"/>
      <c r="UYR236" s="15"/>
      <c r="UYS236" s="15"/>
      <c r="UYT236" s="15"/>
      <c r="UYU236" s="15"/>
      <c r="UYV236" s="15"/>
      <c r="UYW236" s="10"/>
      <c r="UYX236" s="10"/>
      <c r="UYY236" s="21"/>
      <c r="UYZ236" s="21"/>
      <c r="UZC236" s="21"/>
      <c r="UZD236" s="15"/>
      <c r="UZE236" s="15"/>
      <c r="UZF236" s="15"/>
      <c r="UZG236" s="15"/>
      <c r="UZH236" s="15"/>
      <c r="UZI236" s="15"/>
      <c r="UZJ236" s="15"/>
      <c r="UZK236" s="15"/>
      <c r="UZL236" s="15"/>
      <c r="UZM236" s="15"/>
      <c r="UZN236" s="10"/>
      <c r="UZO236" s="10"/>
      <c r="UZP236" s="21"/>
      <c r="UZQ236" s="21"/>
      <c r="UZT236" s="21"/>
      <c r="UZU236" s="15"/>
      <c r="UZV236" s="15"/>
      <c r="UZW236" s="15"/>
      <c r="UZX236" s="15"/>
      <c r="UZY236" s="15"/>
      <c r="UZZ236" s="15"/>
      <c r="VAA236" s="15"/>
      <c r="VAB236" s="15"/>
      <c r="VAC236" s="15"/>
      <c r="VAD236" s="15"/>
      <c r="VAE236" s="10"/>
      <c r="VAF236" s="10"/>
      <c r="VAG236" s="21"/>
      <c r="VAH236" s="21"/>
      <c r="VAK236" s="21"/>
      <c r="VAL236" s="15"/>
      <c r="VAM236" s="15"/>
      <c r="VAN236" s="15"/>
      <c r="VAO236" s="15"/>
      <c r="VAP236" s="15"/>
      <c r="VAQ236" s="15"/>
      <c r="VAR236" s="15"/>
      <c r="VAS236" s="15"/>
      <c r="VAT236" s="15"/>
      <c r="VAU236" s="15"/>
      <c r="VAV236" s="10"/>
      <c r="VAW236" s="10"/>
      <c r="VAX236" s="21"/>
      <c r="VAY236" s="21"/>
      <c r="VBB236" s="21"/>
      <c r="VBC236" s="15"/>
      <c r="VBD236" s="15"/>
      <c r="VBE236" s="15"/>
      <c r="VBF236" s="15"/>
      <c r="VBG236" s="15"/>
      <c r="VBH236" s="15"/>
      <c r="VBI236" s="15"/>
      <c r="VBJ236" s="15"/>
      <c r="VBK236" s="15"/>
      <c r="VBL236" s="15"/>
      <c r="VBM236" s="10"/>
      <c r="VBN236" s="10"/>
      <c r="VBO236" s="21"/>
      <c r="VBP236" s="21"/>
      <c r="VBS236" s="21"/>
      <c r="VBT236" s="15"/>
      <c r="VBU236" s="15"/>
      <c r="VBV236" s="15"/>
      <c r="VBW236" s="15"/>
      <c r="VBX236" s="15"/>
      <c r="VBY236" s="15"/>
      <c r="VBZ236" s="15"/>
      <c r="VCA236" s="15"/>
      <c r="VCB236" s="15"/>
      <c r="VCC236" s="15"/>
      <c r="VCD236" s="10"/>
      <c r="VCE236" s="10"/>
      <c r="VCF236" s="21"/>
      <c r="VCG236" s="21"/>
      <c r="VCJ236" s="21"/>
      <c r="VCK236" s="15"/>
      <c r="VCL236" s="15"/>
      <c r="VCM236" s="15"/>
      <c r="VCN236" s="15"/>
      <c r="VCO236" s="15"/>
      <c r="VCP236" s="15"/>
      <c r="VCQ236" s="15"/>
      <c r="VCR236" s="15"/>
      <c r="VCS236" s="15"/>
      <c r="VCT236" s="15"/>
      <c r="VCU236" s="10"/>
      <c r="VCV236" s="10"/>
      <c r="VCW236" s="21"/>
      <c r="VCX236" s="21"/>
      <c r="VDA236" s="21"/>
      <c r="VDB236" s="15"/>
      <c r="VDC236" s="15"/>
      <c r="VDD236" s="15"/>
      <c r="VDE236" s="15"/>
      <c r="VDF236" s="15"/>
      <c r="VDG236" s="15"/>
      <c r="VDH236" s="15"/>
      <c r="VDI236" s="15"/>
      <c r="VDJ236" s="15"/>
      <c r="VDK236" s="15"/>
      <c r="VDL236" s="10"/>
      <c r="VDM236" s="10"/>
      <c r="VDN236" s="21"/>
      <c r="VDO236" s="21"/>
      <c r="VDR236" s="21"/>
      <c r="VDS236" s="15"/>
      <c r="VDT236" s="15"/>
      <c r="VDU236" s="15"/>
      <c r="VDV236" s="15"/>
      <c r="VDW236" s="15"/>
      <c r="VDX236" s="15"/>
      <c r="VDY236" s="15"/>
      <c r="VDZ236" s="15"/>
      <c r="VEA236" s="15"/>
      <c r="VEB236" s="15"/>
      <c r="VEC236" s="10"/>
      <c r="VED236" s="10"/>
      <c r="VEE236" s="21"/>
      <c r="VEF236" s="21"/>
      <c r="VEI236" s="21"/>
      <c r="VEJ236" s="15"/>
      <c r="VEK236" s="15"/>
      <c r="VEL236" s="15"/>
      <c r="VEM236" s="15"/>
      <c r="VEN236" s="15"/>
      <c r="VEO236" s="15"/>
      <c r="VEP236" s="15"/>
      <c r="VEQ236" s="15"/>
      <c r="VER236" s="15"/>
      <c r="VES236" s="15"/>
      <c r="VET236" s="10"/>
      <c r="VEU236" s="10"/>
      <c r="VEV236" s="21"/>
      <c r="VEW236" s="21"/>
      <c r="VEZ236" s="21"/>
      <c r="VFA236" s="15"/>
      <c r="VFB236" s="15"/>
      <c r="VFC236" s="15"/>
      <c r="VFD236" s="15"/>
      <c r="VFE236" s="15"/>
      <c r="VFF236" s="15"/>
      <c r="VFG236" s="15"/>
      <c r="VFH236" s="15"/>
      <c r="VFI236" s="15"/>
      <c r="VFJ236" s="15"/>
      <c r="VFK236" s="10"/>
      <c r="VFL236" s="10"/>
      <c r="VFM236" s="21"/>
      <c r="VFN236" s="21"/>
      <c r="VFQ236" s="21"/>
      <c r="VFR236" s="15"/>
      <c r="VFS236" s="15"/>
      <c r="VFT236" s="15"/>
      <c r="VFU236" s="15"/>
      <c r="VFV236" s="15"/>
      <c r="VFW236" s="15"/>
      <c r="VFX236" s="15"/>
      <c r="VFY236" s="15"/>
      <c r="VFZ236" s="15"/>
      <c r="VGA236" s="15"/>
      <c r="VGB236" s="10"/>
      <c r="VGC236" s="10"/>
      <c r="VGD236" s="21"/>
      <c r="VGE236" s="21"/>
      <c r="VGH236" s="21"/>
      <c r="VGI236" s="15"/>
      <c r="VGJ236" s="15"/>
      <c r="VGK236" s="15"/>
      <c r="VGL236" s="15"/>
      <c r="VGM236" s="15"/>
      <c r="VGN236" s="15"/>
      <c r="VGO236" s="15"/>
      <c r="VGP236" s="15"/>
      <c r="VGQ236" s="15"/>
      <c r="VGR236" s="15"/>
      <c r="VGS236" s="10"/>
      <c r="VGT236" s="10"/>
      <c r="VGU236" s="21"/>
      <c r="VGV236" s="21"/>
      <c r="VGY236" s="21"/>
      <c r="VGZ236" s="15"/>
      <c r="VHA236" s="15"/>
      <c r="VHB236" s="15"/>
      <c r="VHC236" s="15"/>
      <c r="VHD236" s="15"/>
      <c r="VHE236" s="15"/>
      <c r="VHF236" s="15"/>
      <c r="VHG236" s="15"/>
      <c r="VHH236" s="15"/>
      <c r="VHI236" s="15"/>
      <c r="VHJ236" s="10"/>
      <c r="VHK236" s="10"/>
      <c r="VHL236" s="21"/>
      <c r="VHM236" s="21"/>
      <c r="VHP236" s="21"/>
      <c r="VHQ236" s="15"/>
      <c r="VHR236" s="15"/>
      <c r="VHS236" s="15"/>
      <c r="VHT236" s="15"/>
      <c r="VHU236" s="15"/>
      <c r="VHV236" s="15"/>
      <c r="VHW236" s="15"/>
      <c r="VHX236" s="15"/>
      <c r="VHY236" s="15"/>
      <c r="VHZ236" s="15"/>
      <c r="VIA236" s="10"/>
      <c r="VIB236" s="10"/>
      <c r="VIC236" s="21"/>
      <c r="VID236" s="21"/>
      <c r="VIG236" s="21"/>
      <c r="VIH236" s="15"/>
      <c r="VII236" s="15"/>
      <c r="VIJ236" s="15"/>
      <c r="VIK236" s="15"/>
      <c r="VIL236" s="15"/>
      <c r="VIM236" s="15"/>
      <c r="VIN236" s="15"/>
      <c r="VIO236" s="15"/>
      <c r="VIP236" s="15"/>
      <c r="VIQ236" s="15"/>
      <c r="VIR236" s="10"/>
      <c r="VIS236" s="10"/>
      <c r="VIT236" s="21"/>
      <c r="VIU236" s="21"/>
      <c r="VIX236" s="21"/>
      <c r="VIY236" s="15"/>
      <c r="VIZ236" s="15"/>
      <c r="VJA236" s="15"/>
      <c r="VJB236" s="15"/>
      <c r="VJC236" s="15"/>
      <c r="VJD236" s="15"/>
      <c r="VJE236" s="15"/>
      <c r="VJF236" s="15"/>
      <c r="VJG236" s="15"/>
      <c r="VJH236" s="15"/>
      <c r="VJI236" s="10"/>
      <c r="VJJ236" s="10"/>
      <c r="VJK236" s="21"/>
      <c r="VJL236" s="21"/>
      <c r="VJO236" s="21"/>
      <c r="VJP236" s="15"/>
      <c r="VJQ236" s="15"/>
      <c r="VJR236" s="15"/>
      <c r="VJS236" s="15"/>
      <c r="VJT236" s="15"/>
      <c r="VJU236" s="15"/>
      <c r="VJV236" s="15"/>
      <c r="VJW236" s="15"/>
      <c r="VJX236" s="15"/>
      <c r="VJY236" s="15"/>
      <c r="VJZ236" s="10"/>
      <c r="VKA236" s="10"/>
      <c r="VKB236" s="21"/>
      <c r="VKC236" s="21"/>
      <c r="VKF236" s="21"/>
      <c r="VKG236" s="15"/>
      <c r="VKH236" s="15"/>
      <c r="VKI236" s="15"/>
      <c r="VKJ236" s="15"/>
      <c r="VKK236" s="15"/>
      <c r="VKL236" s="15"/>
      <c r="VKM236" s="15"/>
      <c r="VKN236" s="15"/>
      <c r="VKO236" s="15"/>
      <c r="VKP236" s="15"/>
      <c r="VKQ236" s="10"/>
      <c r="VKR236" s="10"/>
      <c r="VKS236" s="21"/>
      <c r="VKT236" s="21"/>
      <c r="VKW236" s="21"/>
      <c r="VKX236" s="15"/>
      <c r="VKY236" s="15"/>
      <c r="VKZ236" s="15"/>
      <c r="VLA236" s="15"/>
      <c r="VLB236" s="15"/>
      <c r="VLC236" s="15"/>
      <c r="VLD236" s="15"/>
      <c r="VLE236" s="15"/>
      <c r="VLF236" s="15"/>
      <c r="VLG236" s="15"/>
      <c r="VLH236" s="10"/>
      <c r="VLI236" s="10"/>
      <c r="VLJ236" s="21"/>
      <c r="VLK236" s="21"/>
      <c r="VLN236" s="21"/>
      <c r="VLO236" s="15"/>
      <c r="VLP236" s="15"/>
      <c r="VLQ236" s="15"/>
      <c r="VLR236" s="15"/>
      <c r="VLS236" s="15"/>
      <c r="VLT236" s="15"/>
      <c r="VLU236" s="15"/>
      <c r="VLV236" s="15"/>
      <c r="VLW236" s="15"/>
      <c r="VLX236" s="15"/>
      <c r="VLY236" s="10"/>
      <c r="VLZ236" s="10"/>
      <c r="VMA236" s="21"/>
      <c r="VMB236" s="21"/>
      <c r="VME236" s="21"/>
      <c r="VMF236" s="15"/>
      <c r="VMG236" s="15"/>
      <c r="VMH236" s="15"/>
      <c r="VMI236" s="15"/>
      <c r="VMJ236" s="15"/>
      <c r="VMK236" s="15"/>
      <c r="VML236" s="15"/>
      <c r="VMM236" s="15"/>
      <c r="VMN236" s="15"/>
      <c r="VMO236" s="15"/>
      <c r="VMP236" s="10"/>
      <c r="VMQ236" s="10"/>
      <c r="VMR236" s="21"/>
      <c r="VMS236" s="21"/>
      <c r="VMV236" s="21"/>
      <c r="VMW236" s="15"/>
      <c r="VMX236" s="15"/>
      <c r="VMY236" s="15"/>
      <c r="VMZ236" s="15"/>
      <c r="VNA236" s="15"/>
      <c r="VNB236" s="15"/>
      <c r="VNC236" s="15"/>
      <c r="VND236" s="15"/>
      <c r="VNE236" s="15"/>
      <c r="VNF236" s="15"/>
      <c r="VNG236" s="10"/>
      <c r="VNH236" s="10"/>
      <c r="VNI236" s="21"/>
      <c r="VNJ236" s="21"/>
      <c r="VNM236" s="21"/>
      <c r="VNN236" s="15"/>
      <c r="VNO236" s="15"/>
      <c r="VNP236" s="15"/>
      <c r="VNQ236" s="15"/>
      <c r="VNR236" s="15"/>
      <c r="VNS236" s="15"/>
      <c r="VNT236" s="15"/>
      <c r="VNU236" s="15"/>
      <c r="VNV236" s="15"/>
      <c r="VNW236" s="15"/>
      <c r="VNX236" s="10"/>
      <c r="VNY236" s="10"/>
      <c r="VNZ236" s="21"/>
      <c r="VOA236" s="21"/>
      <c r="VOD236" s="21"/>
      <c r="VOE236" s="15"/>
      <c r="VOF236" s="15"/>
      <c r="VOG236" s="15"/>
      <c r="VOH236" s="15"/>
      <c r="VOI236" s="15"/>
      <c r="VOJ236" s="15"/>
      <c r="VOK236" s="15"/>
      <c r="VOL236" s="15"/>
      <c r="VOM236" s="15"/>
      <c r="VON236" s="15"/>
      <c r="VOO236" s="10"/>
      <c r="VOP236" s="10"/>
      <c r="VOQ236" s="21"/>
      <c r="VOR236" s="21"/>
      <c r="VOU236" s="21"/>
      <c r="VOV236" s="15"/>
      <c r="VOW236" s="15"/>
      <c r="VOX236" s="15"/>
      <c r="VOY236" s="15"/>
      <c r="VOZ236" s="15"/>
      <c r="VPA236" s="15"/>
      <c r="VPB236" s="15"/>
      <c r="VPC236" s="15"/>
      <c r="VPD236" s="15"/>
      <c r="VPE236" s="15"/>
      <c r="VPF236" s="10"/>
      <c r="VPG236" s="10"/>
      <c r="VPH236" s="21"/>
      <c r="VPI236" s="21"/>
      <c r="VPL236" s="21"/>
      <c r="VPM236" s="15"/>
      <c r="VPN236" s="15"/>
      <c r="VPO236" s="15"/>
      <c r="VPP236" s="15"/>
      <c r="VPQ236" s="15"/>
      <c r="VPR236" s="15"/>
      <c r="VPS236" s="15"/>
      <c r="VPT236" s="15"/>
      <c r="VPU236" s="15"/>
      <c r="VPV236" s="15"/>
      <c r="VPW236" s="10"/>
      <c r="VPX236" s="10"/>
      <c r="VPY236" s="21"/>
      <c r="VPZ236" s="21"/>
      <c r="VQC236" s="21"/>
      <c r="VQD236" s="15"/>
      <c r="VQE236" s="15"/>
      <c r="VQF236" s="15"/>
      <c r="VQG236" s="15"/>
      <c r="VQH236" s="15"/>
      <c r="VQI236" s="15"/>
      <c r="VQJ236" s="15"/>
      <c r="VQK236" s="15"/>
      <c r="VQL236" s="15"/>
      <c r="VQM236" s="15"/>
      <c r="VQN236" s="10"/>
      <c r="VQO236" s="10"/>
      <c r="VQP236" s="21"/>
      <c r="VQQ236" s="21"/>
      <c r="VQT236" s="21"/>
      <c r="VQU236" s="15"/>
      <c r="VQV236" s="15"/>
      <c r="VQW236" s="15"/>
      <c r="VQX236" s="15"/>
      <c r="VQY236" s="15"/>
      <c r="VQZ236" s="15"/>
      <c r="VRA236" s="15"/>
      <c r="VRB236" s="15"/>
      <c r="VRC236" s="15"/>
      <c r="VRD236" s="15"/>
      <c r="VRE236" s="10"/>
      <c r="VRF236" s="10"/>
      <c r="VRG236" s="21"/>
      <c r="VRH236" s="21"/>
      <c r="VRK236" s="21"/>
      <c r="VRL236" s="15"/>
      <c r="VRM236" s="15"/>
      <c r="VRN236" s="15"/>
      <c r="VRO236" s="15"/>
      <c r="VRP236" s="15"/>
      <c r="VRQ236" s="15"/>
      <c r="VRR236" s="15"/>
      <c r="VRS236" s="15"/>
      <c r="VRT236" s="15"/>
      <c r="VRU236" s="15"/>
      <c r="VRV236" s="10"/>
      <c r="VRW236" s="10"/>
      <c r="VRX236" s="21"/>
      <c r="VRY236" s="21"/>
      <c r="VSB236" s="21"/>
      <c r="VSC236" s="15"/>
      <c r="VSD236" s="15"/>
      <c r="VSE236" s="15"/>
      <c r="VSF236" s="15"/>
      <c r="VSG236" s="15"/>
      <c r="VSH236" s="15"/>
      <c r="VSI236" s="15"/>
      <c r="VSJ236" s="15"/>
      <c r="VSK236" s="15"/>
      <c r="VSL236" s="15"/>
      <c r="VSM236" s="10"/>
      <c r="VSN236" s="10"/>
      <c r="VSO236" s="21"/>
      <c r="VSP236" s="21"/>
      <c r="VSS236" s="21"/>
      <c r="VST236" s="15"/>
      <c r="VSU236" s="15"/>
      <c r="VSV236" s="15"/>
      <c r="VSW236" s="15"/>
      <c r="VSX236" s="15"/>
      <c r="VSY236" s="15"/>
      <c r="VSZ236" s="15"/>
      <c r="VTA236" s="15"/>
      <c r="VTB236" s="15"/>
      <c r="VTC236" s="15"/>
      <c r="VTD236" s="10"/>
      <c r="VTE236" s="10"/>
      <c r="VTF236" s="21"/>
      <c r="VTG236" s="21"/>
      <c r="VTJ236" s="21"/>
      <c r="VTK236" s="15"/>
      <c r="VTL236" s="15"/>
      <c r="VTM236" s="15"/>
      <c r="VTN236" s="15"/>
      <c r="VTO236" s="15"/>
      <c r="VTP236" s="15"/>
      <c r="VTQ236" s="15"/>
      <c r="VTR236" s="15"/>
      <c r="VTS236" s="15"/>
      <c r="VTT236" s="15"/>
      <c r="VTU236" s="10"/>
      <c r="VTV236" s="10"/>
      <c r="VTW236" s="21"/>
      <c r="VTX236" s="21"/>
      <c r="VUA236" s="21"/>
      <c r="VUB236" s="15"/>
      <c r="VUC236" s="15"/>
      <c r="VUD236" s="15"/>
      <c r="VUE236" s="15"/>
      <c r="VUF236" s="15"/>
      <c r="VUG236" s="15"/>
      <c r="VUH236" s="15"/>
      <c r="VUI236" s="15"/>
      <c r="VUJ236" s="15"/>
      <c r="VUK236" s="15"/>
      <c r="VUL236" s="10"/>
      <c r="VUM236" s="10"/>
      <c r="VUN236" s="21"/>
      <c r="VUO236" s="21"/>
      <c r="VUR236" s="21"/>
      <c r="VUS236" s="15"/>
      <c r="VUT236" s="15"/>
      <c r="VUU236" s="15"/>
      <c r="VUV236" s="15"/>
      <c r="VUW236" s="15"/>
      <c r="VUX236" s="15"/>
      <c r="VUY236" s="15"/>
      <c r="VUZ236" s="15"/>
      <c r="VVA236" s="15"/>
      <c r="VVB236" s="15"/>
      <c r="VVC236" s="10"/>
      <c r="VVD236" s="10"/>
      <c r="VVE236" s="21"/>
      <c r="VVF236" s="21"/>
      <c r="VVI236" s="21"/>
      <c r="VVJ236" s="15"/>
      <c r="VVK236" s="15"/>
      <c r="VVL236" s="15"/>
      <c r="VVM236" s="15"/>
      <c r="VVN236" s="15"/>
      <c r="VVO236" s="15"/>
      <c r="VVP236" s="15"/>
      <c r="VVQ236" s="15"/>
      <c r="VVR236" s="15"/>
      <c r="VVS236" s="15"/>
      <c r="VVT236" s="10"/>
      <c r="VVU236" s="10"/>
      <c r="VVV236" s="21"/>
      <c r="VVW236" s="21"/>
      <c r="VVZ236" s="21"/>
      <c r="VWA236" s="15"/>
      <c r="VWB236" s="15"/>
      <c r="VWC236" s="15"/>
      <c r="VWD236" s="15"/>
      <c r="VWE236" s="15"/>
      <c r="VWF236" s="15"/>
      <c r="VWG236" s="15"/>
      <c r="VWH236" s="15"/>
      <c r="VWI236" s="15"/>
      <c r="VWJ236" s="15"/>
      <c r="VWK236" s="10"/>
      <c r="VWL236" s="10"/>
      <c r="VWM236" s="21"/>
      <c r="VWN236" s="21"/>
      <c r="VWQ236" s="21"/>
      <c r="VWR236" s="15"/>
      <c r="VWS236" s="15"/>
      <c r="VWT236" s="15"/>
      <c r="VWU236" s="15"/>
      <c r="VWV236" s="15"/>
      <c r="VWW236" s="15"/>
      <c r="VWX236" s="15"/>
      <c r="VWY236" s="15"/>
      <c r="VWZ236" s="15"/>
      <c r="VXA236" s="15"/>
      <c r="VXB236" s="10"/>
      <c r="VXC236" s="10"/>
      <c r="VXD236" s="21"/>
      <c r="VXE236" s="21"/>
      <c r="VXH236" s="21"/>
      <c r="VXI236" s="15"/>
      <c r="VXJ236" s="15"/>
      <c r="VXK236" s="15"/>
      <c r="VXL236" s="15"/>
      <c r="VXM236" s="15"/>
      <c r="VXN236" s="15"/>
      <c r="VXO236" s="15"/>
      <c r="VXP236" s="15"/>
      <c r="VXQ236" s="15"/>
      <c r="VXR236" s="15"/>
      <c r="VXS236" s="10"/>
      <c r="VXT236" s="10"/>
      <c r="VXU236" s="21"/>
      <c r="VXV236" s="21"/>
      <c r="VXY236" s="21"/>
      <c r="VXZ236" s="15"/>
      <c r="VYA236" s="15"/>
      <c r="VYB236" s="15"/>
      <c r="VYC236" s="15"/>
      <c r="VYD236" s="15"/>
      <c r="VYE236" s="15"/>
      <c r="VYF236" s="15"/>
      <c r="VYG236" s="15"/>
      <c r="VYH236" s="15"/>
      <c r="VYI236" s="15"/>
      <c r="VYJ236" s="10"/>
      <c r="VYK236" s="10"/>
      <c r="VYL236" s="21"/>
      <c r="VYM236" s="21"/>
      <c r="VYP236" s="21"/>
      <c r="VYQ236" s="15"/>
      <c r="VYR236" s="15"/>
      <c r="VYS236" s="15"/>
      <c r="VYT236" s="15"/>
      <c r="VYU236" s="15"/>
      <c r="VYV236" s="15"/>
      <c r="VYW236" s="15"/>
      <c r="VYX236" s="15"/>
      <c r="VYY236" s="15"/>
      <c r="VYZ236" s="15"/>
      <c r="VZA236" s="10"/>
      <c r="VZB236" s="10"/>
      <c r="VZC236" s="21"/>
      <c r="VZD236" s="21"/>
      <c r="VZG236" s="21"/>
      <c r="VZH236" s="15"/>
      <c r="VZI236" s="15"/>
      <c r="VZJ236" s="15"/>
      <c r="VZK236" s="15"/>
      <c r="VZL236" s="15"/>
      <c r="VZM236" s="15"/>
      <c r="VZN236" s="15"/>
      <c r="VZO236" s="15"/>
      <c r="VZP236" s="15"/>
      <c r="VZQ236" s="15"/>
      <c r="VZR236" s="10"/>
      <c r="VZS236" s="10"/>
      <c r="VZT236" s="21"/>
      <c r="VZU236" s="21"/>
      <c r="VZX236" s="21"/>
      <c r="VZY236" s="15"/>
      <c r="VZZ236" s="15"/>
      <c r="WAA236" s="15"/>
      <c r="WAB236" s="15"/>
      <c r="WAC236" s="15"/>
      <c r="WAD236" s="15"/>
      <c r="WAE236" s="15"/>
      <c r="WAF236" s="15"/>
      <c r="WAG236" s="15"/>
      <c r="WAH236" s="15"/>
      <c r="WAI236" s="10"/>
      <c r="WAJ236" s="10"/>
      <c r="WAK236" s="21"/>
      <c r="WAL236" s="21"/>
      <c r="WAO236" s="21"/>
      <c r="WAP236" s="15"/>
      <c r="WAQ236" s="15"/>
      <c r="WAR236" s="15"/>
      <c r="WAS236" s="15"/>
      <c r="WAT236" s="15"/>
      <c r="WAU236" s="15"/>
      <c r="WAV236" s="15"/>
      <c r="WAW236" s="15"/>
      <c r="WAX236" s="15"/>
      <c r="WAY236" s="15"/>
      <c r="WAZ236" s="10"/>
      <c r="WBA236" s="10"/>
      <c r="WBB236" s="21"/>
      <c r="WBC236" s="21"/>
      <c r="WBF236" s="21"/>
      <c r="WBG236" s="15"/>
      <c r="WBH236" s="15"/>
      <c r="WBI236" s="15"/>
      <c r="WBJ236" s="15"/>
      <c r="WBK236" s="15"/>
      <c r="WBL236" s="15"/>
      <c r="WBM236" s="15"/>
      <c r="WBN236" s="15"/>
      <c r="WBO236" s="15"/>
      <c r="WBP236" s="15"/>
      <c r="WBQ236" s="10"/>
      <c r="WBR236" s="10"/>
      <c r="WBS236" s="21"/>
      <c r="WBT236" s="21"/>
      <c r="WBW236" s="21"/>
      <c r="WBX236" s="15"/>
      <c r="WBY236" s="15"/>
      <c r="WBZ236" s="15"/>
      <c r="WCA236" s="15"/>
      <c r="WCB236" s="15"/>
      <c r="WCC236" s="15"/>
      <c r="WCD236" s="15"/>
      <c r="WCE236" s="15"/>
      <c r="WCF236" s="15"/>
      <c r="WCG236" s="15"/>
      <c r="WCH236" s="10"/>
      <c r="WCI236" s="10"/>
      <c r="WCJ236" s="21"/>
      <c r="WCK236" s="21"/>
      <c r="WCN236" s="21"/>
      <c r="WCO236" s="15"/>
      <c r="WCP236" s="15"/>
      <c r="WCQ236" s="15"/>
      <c r="WCR236" s="15"/>
      <c r="WCS236" s="15"/>
      <c r="WCT236" s="15"/>
      <c r="WCU236" s="15"/>
      <c r="WCV236" s="15"/>
      <c r="WCW236" s="15"/>
      <c r="WCX236" s="15"/>
      <c r="WCY236" s="10"/>
      <c r="WCZ236" s="10"/>
      <c r="WDA236" s="21"/>
      <c r="WDB236" s="21"/>
      <c r="WDE236" s="21"/>
      <c r="WDF236" s="15"/>
      <c r="WDG236" s="15"/>
      <c r="WDH236" s="15"/>
      <c r="WDI236" s="15"/>
      <c r="WDJ236" s="15"/>
      <c r="WDK236" s="15"/>
      <c r="WDL236" s="15"/>
      <c r="WDM236" s="15"/>
      <c r="WDN236" s="15"/>
      <c r="WDO236" s="15"/>
      <c r="WDP236" s="10"/>
      <c r="WDQ236" s="10"/>
      <c r="WDR236" s="21"/>
      <c r="WDS236" s="21"/>
      <c r="WDV236" s="21"/>
      <c r="WDW236" s="15"/>
      <c r="WDX236" s="15"/>
      <c r="WDY236" s="15"/>
      <c r="WDZ236" s="15"/>
      <c r="WEA236" s="15"/>
      <c r="WEB236" s="15"/>
      <c r="WEC236" s="15"/>
      <c r="WED236" s="15"/>
      <c r="WEE236" s="15"/>
      <c r="WEF236" s="15"/>
      <c r="WEG236" s="10"/>
      <c r="WEH236" s="10"/>
      <c r="WEI236" s="21"/>
      <c r="WEJ236" s="21"/>
      <c r="WEM236" s="21"/>
      <c r="WEN236" s="15"/>
      <c r="WEO236" s="15"/>
      <c r="WEP236" s="15"/>
      <c r="WEQ236" s="15"/>
      <c r="WER236" s="15"/>
      <c r="WES236" s="15"/>
      <c r="WET236" s="15"/>
      <c r="WEU236" s="15"/>
      <c r="WEV236" s="15"/>
      <c r="WEW236" s="15"/>
      <c r="WEX236" s="10"/>
      <c r="WEY236" s="10"/>
      <c r="WEZ236" s="21"/>
      <c r="WFA236" s="21"/>
      <c r="WFD236" s="21"/>
      <c r="WFE236" s="15"/>
      <c r="WFF236" s="15"/>
      <c r="WFG236" s="15"/>
      <c r="WFH236" s="15"/>
      <c r="WFI236" s="15"/>
      <c r="WFJ236" s="15"/>
      <c r="WFK236" s="15"/>
      <c r="WFL236" s="15"/>
      <c r="WFM236" s="15"/>
      <c r="WFN236" s="15"/>
      <c r="WFO236" s="10"/>
      <c r="WFP236" s="10"/>
      <c r="WFQ236" s="21"/>
      <c r="WFR236" s="21"/>
      <c r="WFU236" s="21"/>
      <c r="WFV236" s="15"/>
      <c r="WFW236" s="15"/>
      <c r="WFX236" s="15"/>
      <c r="WFY236" s="15"/>
      <c r="WFZ236" s="15"/>
      <c r="WGA236" s="15"/>
      <c r="WGB236" s="15"/>
      <c r="WGC236" s="15"/>
      <c r="WGD236" s="15"/>
      <c r="WGE236" s="15"/>
      <c r="WGF236" s="10"/>
      <c r="WGG236" s="10"/>
      <c r="WGH236" s="21"/>
      <c r="WGI236" s="21"/>
      <c r="WGL236" s="21"/>
      <c r="WGM236" s="15"/>
      <c r="WGN236" s="15"/>
      <c r="WGO236" s="15"/>
      <c r="WGP236" s="15"/>
      <c r="WGQ236" s="15"/>
      <c r="WGR236" s="15"/>
      <c r="WGS236" s="15"/>
      <c r="WGT236" s="15"/>
      <c r="WGU236" s="15"/>
      <c r="WGV236" s="15"/>
      <c r="WGW236" s="10"/>
      <c r="WGX236" s="10"/>
      <c r="WGY236" s="21"/>
      <c r="WGZ236" s="21"/>
      <c r="WHC236" s="21"/>
      <c r="WHD236" s="15"/>
      <c r="WHE236" s="15"/>
      <c r="WHF236" s="15"/>
      <c r="WHG236" s="15"/>
      <c r="WHH236" s="15"/>
      <c r="WHI236" s="15"/>
      <c r="WHJ236" s="15"/>
      <c r="WHK236" s="15"/>
      <c r="WHL236" s="15"/>
      <c r="WHM236" s="15"/>
      <c r="WHN236" s="10"/>
      <c r="WHO236" s="10"/>
      <c r="WHP236" s="21"/>
      <c r="WHQ236" s="21"/>
      <c r="WHT236" s="21"/>
      <c r="WHU236" s="15"/>
      <c r="WHV236" s="15"/>
      <c r="WHW236" s="15"/>
      <c r="WHX236" s="15"/>
      <c r="WHY236" s="15"/>
      <c r="WHZ236" s="15"/>
      <c r="WIA236" s="15"/>
      <c r="WIB236" s="15"/>
      <c r="WIC236" s="15"/>
      <c r="WID236" s="15"/>
      <c r="WIE236" s="10"/>
      <c r="WIF236" s="10"/>
      <c r="WIG236" s="21"/>
      <c r="WIH236" s="21"/>
      <c r="WIK236" s="21"/>
      <c r="WIL236" s="15"/>
      <c r="WIM236" s="15"/>
      <c r="WIN236" s="15"/>
      <c r="WIO236" s="15"/>
      <c r="WIP236" s="15"/>
      <c r="WIQ236" s="15"/>
      <c r="WIR236" s="15"/>
      <c r="WIS236" s="15"/>
      <c r="WIT236" s="15"/>
      <c r="WIU236" s="15"/>
      <c r="WIV236" s="10"/>
      <c r="WIW236" s="10"/>
      <c r="WIX236" s="21"/>
      <c r="WIY236" s="21"/>
      <c r="WJB236" s="21"/>
      <c r="WJC236" s="15"/>
      <c r="WJD236" s="15"/>
      <c r="WJE236" s="15"/>
      <c r="WJF236" s="15"/>
      <c r="WJG236" s="15"/>
      <c r="WJH236" s="15"/>
      <c r="WJI236" s="15"/>
      <c r="WJJ236" s="15"/>
      <c r="WJK236" s="15"/>
      <c r="WJL236" s="15"/>
      <c r="WJM236" s="10"/>
      <c r="WJN236" s="10"/>
      <c r="WJO236" s="21"/>
      <c r="WJP236" s="21"/>
      <c r="WJS236" s="21"/>
      <c r="WJT236" s="15"/>
      <c r="WJU236" s="15"/>
      <c r="WJV236" s="15"/>
      <c r="WJW236" s="15"/>
      <c r="WJX236" s="15"/>
      <c r="WJY236" s="15"/>
      <c r="WJZ236" s="15"/>
      <c r="WKA236" s="15"/>
      <c r="WKB236" s="15"/>
      <c r="WKC236" s="15"/>
      <c r="WKD236" s="10"/>
      <c r="WKE236" s="10"/>
      <c r="WKF236" s="21"/>
      <c r="WKG236" s="21"/>
      <c r="WKJ236" s="21"/>
      <c r="WKK236" s="15"/>
      <c r="WKL236" s="15"/>
      <c r="WKM236" s="15"/>
      <c r="WKN236" s="15"/>
      <c r="WKO236" s="15"/>
      <c r="WKP236" s="15"/>
      <c r="WKQ236" s="15"/>
      <c r="WKR236" s="15"/>
      <c r="WKS236" s="15"/>
      <c r="WKT236" s="15"/>
      <c r="WKU236" s="10"/>
      <c r="WKV236" s="10"/>
      <c r="WKW236" s="21"/>
      <c r="WKX236" s="21"/>
      <c r="WLA236" s="21"/>
      <c r="WLB236" s="15"/>
      <c r="WLC236" s="15"/>
      <c r="WLD236" s="15"/>
      <c r="WLE236" s="15"/>
      <c r="WLF236" s="15"/>
      <c r="WLG236" s="15"/>
      <c r="WLH236" s="15"/>
      <c r="WLI236" s="15"/>
      <c r="WLJ236" s="15"/>
      <c r="WLK236" s="15"/>
      <c r="WLL236" s="10"/>
      <c r="WLM236" s="10"/>
      <c r="WLN236" s="21"/>
      <c r="WLO236" s="21"/>
      <c r="WLR236" s="21"/>
      <c r="WLS236" s="15"/>
      <c r="WLT236" s="15"/>
      <c r="WLU236" s="15"/>
      <c r="WLV236" s="15"/>
      <c r="WLW236" s="15"/>
      <c r="WLX236" s="15"/>
      <c r="WLY236" s="15"/>
      <c r="WLZ236" s="15"/>
      <c r="WMA236" s="15"/>
      <c r="WMB236" s="15"/>
      <c r="WMC236" s="10"/>
      <c r="WMD236" s="10"/>
      <c r="WME236" s="21"/>
      <c r="WMF236" s="21"/>
      <c r="WMI236" s="21"/>
      <c r="WMJ236" s="15"/>
      <c r="WMK236" s="15"/>
      <c r="WML236" s="15"/>
      <c r="WMM236" s="15"/>
      <c r="WMN236" s="15"/>
      <c r="WMO236" s="15"/>
      <c r="WMP236" s="15"/>
      <c r="WMQ236" s="15"/>
      <c r="WMR236" s="15"/>
      <c r="WMS236" s="15"/>
      <c r="WMT236" s="10"/>
      <c r="WMU236" s="10"/>
      <c r="WMV236" s="21"/>
      <c r="WMW236" s="21"/>
      <c r="WMZ236" s="21"/>
      <c r="WNA236" s="15"/>
      <c r="WNB236" s="15"/>
      <c r="WNC236" s="15"/>
      <c r="WND236" s="15"/>
      <c r="WNE236" s="15"/>
      <c r="WNF236" s="15"/>
      <c r="WNG236" s="15"/>
      <c r="WNH236" s="15"/>
      <c r="WNI236" s="15"/>
      <c r="WNJ236" s="15"/>
      <c r="WNK236" s="10"/>
      <c r="WNL236" s="10"/>
      <c r="WNM236" s="21"/>
      <c r="WNN236" s="21"/>
      <c r="WNQ236" s="21"/>
      <c r="WNR236" s="15"/>
      <c r="WNS236" s="15"/>
      <c r="WNT236" s="15"/>
      <c r="WNU236" s="15"/>
      <c r="WNV236" s="15"/>
      <c r="WNW236" s="15"/>
      <c r="WNX236" s="15"/>
      <c r="WNY236" s="15"/>
      <c r="WNZ236" s="15"/>
      <c r="WOA236" s="15"/>
      <c r="WOB236" s="10"/>
      <c r="WOC236" s="10"/>
      <c r="WOD236" s="21"/>
      <c r="WOE236" s="21"/>
      <c r="WOH236" s="21"/>
      <c r="WOI236" s="15"/>
      <c r="WOJ236" s="15"/>
      <c r="WOK236" s="15"/>
      <c r="WOL236" s="15"/>
      <c r="WOM236" s="15"/>
      <c r="WON236" s="15"/>
      <c r="WOO236" s="15"/>
      <c r="WOP236" s="15"/>
      <c r="WOQ236" s="15"/>
      <c r="WOR236" s="15"/>
      <c r="WOS236" s="10"/>
      <c r="WOT236" s="10"/>
      <c r="WOU236" s="21"/>
      <c r="WOV236" s="21"/>
      <c r="WOY236" s="21"/>
      <c r="WOZ236" s="15"/>
      <c r="WPA236" s="15"/>
      <c r="WPB236" s="15"/>
      <c r="WPC236" s="15"/>
      <c r="WPD236" s="15"/>
      <c r="WPE236" s="15"/>
      <c r="WPF236" s="15"/>
      <c r="WPG236" s="15"/>
      <c r="WPH236" s="15"/>
      <c r="WPI236" s="15"/>
      <c r="WPJ236" s="10"/>
      <c r="WPK236" s="10"/>
      <c r="WPL236" s="21"/>
      <c r="WPM236" s="21"/>
      <c r="WPP236" s="21"/>
      <c r="WPQ236" s="15"/>
      <c r="WPR236" s="15"/>
      <c r="WPS236" s="15"/>
      <c r="WPT236" s="15"/>
      <c r="WPU236" s="15"/>
      <c r="WPV236" s="15"/>
      <c r="WPW236" s="15"/>
      <c r="WPX236" s="15"/>
      <c r="WPY236" s="15"/>
      <c r="WPZ236" s="15"/>
      <c r="WQA236" s="10"/>
      <c r="WQB236" s="10"/>
      <c r="WQC236" s="21"/>
      <c r="WQD236" s="21"/>
      <c r="WQG236" s="21"/>
      <c r="WQH236" s="15"/>
      <c r="WQI236" s="15"/>
      <c r="WQJ236" s="15"/>
      <c r="WQK236" s="15"/>
      <c r="WQL236" s="15"/>
      <c r="WQM236" s="15"/>
      <c r="WQN236" s="15"/>
      <c r="WQO236" s="15"/>
      <c r="WQP236" s="15"/>
      <c r="WQQ236" s="15"/>
      <c r="WQR236" s="10"/>
      <c r="WQS236" s="10"/>
      <c r="WQT236" s="21"/>
      <c r="WQU236" s="21"/>
      <c r="WQX236" s="21"/>
      <c r="WQY236" s="15"/>
      <c r="WQZ236" s="15"/>
      <c r="WRA236" s="15"/>
      <c r="WRB236" s="15"/>
      <c r="WRC236" s="15"/>
      <c r="WRD236" s="15"/>
      <c r="WRE236" s="15"/>
      <c r="WRF236" s="15"/>
      <c r="WRG236" s="15"/>
      <c r="WRH236" s="15"/>
      <c r="WRI236" s="10"/>
      <c r="WRJ236" s="10"/>
      <c r="WRK236" s="21"/>
      <c r="WRL236" s="21"/>
      <c r="WRO236" s="21"/>
      <c r="WRP236" s="15"/>
      <c r="WRQ236" s="15"/>
      <c r="WRR236" s="15"/>
      <c r="WRS236" s="15"/>
      <c r="WRT236" s="15"/>
      <c r="WRU236" s="15"/>
      <c r="WRV236" s="15"/>
      <c r="WRW236" s="15"/>
      <c r="WRX236" s="15"/>
      <c r="WRY236" s="15"/>
      <c r="WRZ236" s="10"/>
      <c r="WSA236" s="10"/>
      <c r="WSB236" s="21"/>
      <c r="WSC236" s="21"/>
      <c r="WSF236" s="21"/>
      <c r="WSG236" s="15"/>
      <c r="WSH236" s="15"/>
      <c r="WSI236" s="15"/>
      <c r="WSJ236" s="15"/>
      <c r="WSK236" s="15"/>
      <c r="WSL236" s="15"/>
      <c r="WSM236" s="15"/>
      <c r="WSN236" s="15"/>
      <c r="WSO236" s="15"/>
      <c r="WSP236" s="15"/>
      <c r="WSQ236" s="10"/>
      <c r="WSR236" s="10"/>
      <c r="WSS236" s="21"/>
      <c r="WST236" s="21"/>
      <c r="WSW236" s="21"/>
      <c r="WSX236" s="15"/>
      <c r="WSY236" s="15"/>
      <c r="WSZ236" s="15"/>
      <c r="WTA236" s="15"/>
      <c r="WTB236" s="15"/>
      <c r="WTC236" s="15"/>
      <c r="WTD236" s="15"/>
      <c r="WTE236" s="15"/>
      <c r="WTF236" s="15"/>
      <c r="WTG236" s="15"/>
      <c r="WTH236" s="10"/>
      <c r="WTI236" s="10"/>
      <c r="WTJ236" s="21"/>
      <c r="WTK236" s="21"/>
      <c r="WTN236" s="21"/>
      <c r="WTO236" s="15"/>
      <c r="WTP236" s="15"/>
      <c r="WTQ236" s="15"/>
      <c r="WTR236" s="15"/>
      <c r="WTS236" s="15"/>
      <c r="WTT236" s="15"/>
      <c r="WTU236" s="15"/>
      <c r="WTV236" s="15"/>
      <c r="WTW236" s="15"/>
      <c r="WTX236" s="15"/>
      <c r="WTY236" s="10"/>
      <c r="WTZ236" s="10"/>
      <c r="WUA236" s="21"/>
      <c r="WUB236" s="21"/>
      <c r="WUE236" s="21"/>
      <c r="WUF236" s="15"/>
      <c r="WUG236" s="15"/>
      <c r="WUH236" s="15"/>
      <c r="WUI236" s="15"/>
      <c r="WUJ236" s="15"/>
      <c r="WUK236" s="15"/>
      <c r="WUL236" s="15"/>
      <c r="WUM236" s="15"/>
      <c r="WUN236" s="15"/>
      <c r="WUO236" s="15"/>
      <c r="WUP236" s="10"/>
      <c r="WUQ236" s="10"/>
      <c r="WUR236" s="21"/>
      <c r="WUS236" s="21"/>
      <c r="WUV236" s="21"/>
      <c r="WUW236" s="15"/>
      <c r="WUX236" s="15"/>
      <c r="WUY236" s="15"/>
      <c r="WUZ236" s="15"/>
      <c r="WVA236" s="15"/>
      <c r="WVB236" s="15"/>
      <c r="WVC236" s="15"/>
      <c r="WVD236" s="15"/>
      <c r="WVE236" s="15"/>
      <c r="WVF236" s="15"/>
      <c r="WVG236" s="10"/>
      <c r="WVH236" s="10"/>
      <c r="WVI236" s="21"/>
      <c r="WVJ236" s="21"/>
      <c r="WVM236" s="21"/>
      <c r="WVN236" s="15"/>
      <c r="WVO236" s="15"/>
      <c r="WVP236" s="15"/>
      <c r="WVQ236" s="15"/>
      <c r="WVR236" s="15"/>
      <c r="WVS236" s="15"/>
      <c r="WVT236" s="15"/>
      <c r="WVU236" s="15"/>
      <c r="WVV236" s="15"/>
      <c r="WVW236" s="15"/>
      <c r="WVX236" s="10"/>
      <c r="WVY236" s="10"/>
      <c r="WVZ236" s="21"/>
      <c r="WWA236" s="21"/>
      <c r="WWD236" s="21"/>
      <c r="WWE236" s="15"/>
      <c r="WWF236" s="15"/>
      <c r="WWG236" s="15"/>
      <c r="WWH236" s="15"/>
      <c r="WWI236" s="15"/>
      <c r="WWJ236" s="15"/>
      <c r="WWK236" s="15"/>
      <c r="WWL236" s="15"/>
      <c r="WWM236" s="15"/>
      <c r="WWN236" s="15"/>
      <c r="WWO236" s="10"/>
      <c r="WWP236" s="10"/>
      <c r="WWQ236" s="21"/>
      <c r="WWR236" s="21"/>
      <c r="WWU236" s="21"/>
      <c r="WWV236" s="15"/>
      <c r="WWW236" s="15"/>
      <c r="WWX236" s="15"/>
      <c r="WWY236" s="15"/>
      <c r="WWZ236" s="15"/>
      <c r="WXA236" s="15"/>
      <c r="WXB236" s="15"/>
      <c r="WXC236" s="15"/>
      <c r="WXD236" s="15"/>
      <c r="WXE236" s="15"/>
      <c r="WXF236" s="10"/>
      <c r="WXG236" s="10"/>
      <c r="WXH236" s="21"/>
      <c r="WXI236" s="21"/>
      <c r="WXL236" s="21"/>
      <c r="WXM236" s="15"/>
      <c r="WXN236" s="15"/>
      <c r="WXO236" s="15"/>
      <c r="WXP236" s="15"/>
      <c r="WXQ236" s="15"/>
      <c r="WXR236" s="15"/>
      <c r="WXS236" s="15"/>
      <c r="WXT236" s="15"/>
      <c r="WXU236" s="15"/>
      <c r="WXV236" s="15"/>
      <c r="WXW236" s="10"/>
      <c r="WXX236" s="10"/>
      <c r="WXY236" s="21"/>
      <c r="WXZ236" s="21"/>
      <c r="WYC236" s="21"/>
      <c r="WYD236" s="15"/>
      <c r="WYE236" s="15"/>
      <c r="WYF236" s="15"/>
      <c r="WYG236" s="15"/>
      <c r="WYH236" s="15"/>
      <c r="WYI236" s="15"/>
      <c r="WYJ236" s="15"/>
      <c r="WYK236" s="15"/>
      <c r="WYL236" s="15"/>
      <c r="WYM236" s="15"/>
      <c r="WYN236" s="10"/>
      <c r="WYO236" s="10"/>
      <c r="WYP236" s="21"/>
      <c r="WYQ236" s="21"/>
      <c r="WYT236" s="21"/>
      <c r="WYU236" s="15"/>
      <c r="WYV236" s="15"/>
      <c r="WYW236" s="15"/>
      <c r="WYX236" s="15"/>
      <c r="WYY236" s="15"/>
      <c r="WYZ236" s="15"/>
      <c r="WZA236" s="15"/>
      <c r="WZB236" s="15"/>
      <c r="WZC236" s="15"/>
      <c r="WZD236" s="15"/>
      <c r="WZE236" s="10"/>
      <c r="WZF236" s="10"/>
      <c r="WZG236" s="21"/>
      <c r="WZH236" s="21"/>
      <c r="WZK236" s="21"/>
      <c r="WZL236" s="15"/>
      <c r="WZM236" s="15"/>
      <c r="WZN236" s="15"/>
      <c r="WZO236" s="15"/>
      <c r="WZP236" s="15"/>
      <c r="WZQ236" s="15"/>
      <c r="WZR236" s="15"/>
      <c r="WZS236" s="15"/>
      <c r="WZT236" s="15"/>
      <c r="WZU236" s="15"/>
      <c r="WZV236" s="10"/>
      <c r="WZW236" s="10"/>
      <c r="WZX236" s="21"/>
      <c r="WZY236" s="21"/>
      <c r="XAB236" s="21"/>
      <c r="XAC236" s="15"/>
      <c r="XAD236" s="15"/>
      <c r="XAE236" s="15"/>
      <c r="XAF236" s="15"/>
      <c r="XAG236" s="15"/>
      <c r="XAH236" s="15"/>
      <c r="XAI236" s="15"/>
      <c r="XAJ236" s="15"/>
      <c r="XAK236" s="15"/>
      <c r="XAL236" s="15"/>
      <c r="XAM236" s="10"/>
      <c r="XAN236" s="10"/>
      <c r="XAO236" s="21"/>
      <c r="XAP236" s="21"/>
      <c r="XAS236" s="21"/>
      <c r="XAT236" s="15"/>
      <c r="XAU236" s="15"/>
      <c r="XAV236" s="15"/>
      <c r="XAW236" s="15"/>
      <c r="XAX236" s="15"/>
      <c r="XAY236" s="15"/>
      <c r="XAZ236" s="15"/>
      <c r="XBA236" s="15"/>
      <c r="XBB236" s="15"/>
      <c r="XBC236" s="15"/>
      <c r="XBD236" s="10"/>
      <c r="XBE236" s="10"/>
      <c r="XBF236" s="21"/>
      <c r="XBG236" s="21"/>
      <c r="XBJ236" s="21"/>
      <c r="XBK236" s="15"/>
      <c r="XBL236" s="15"/>
      <c r="XBM236" s="15"/>
      <c r="XBN236" s="15"/>
      <c r="XBO236" s="15"/>
      <c r="XBP236" s="15"/>
      <c r="XBQ236" s="15"/>
      <c r="XBR236" s="15"/>
      <c r="XBS236" s="15"/>
      <c r="XBT236" s="15"/>
      <c r="XBU236" s="10"/>
      <c r="XBV236" s="10"/>
      <c r="XBW236" s="21"/>
      <c r="XBX236" s="21"/>
      <c r="XCA236" s="21"/>
      <c r="XCB236" s="15"/>
      <c r="XCC236" s="15"/>
      <c r="XCD236" s="15"/>
      <c r="XCE236" s="15"/>
      <c r="XCF236" s="15"/>
      <c r="XCG236" s="15"/>
      <c r="XCH236" s="15"/>
      <c r="XCI236" s="15"/>
      <c r="XCJ236" s="15"/>
      <c r="XCK236" s="15"/>
      <c r="XCL236" s="10"/>
      <c r="XCM236" s="10"/>
      <c r="XCN236" s="21"/>
      <c r="XCO236" s="21"/>
      <c r="XCR236" s="21"/>
      <c r="XCS236" s="15"/>
      <c r="XCT236" s="15"/>
      <c r="XCU236" s="15"/>
      <c r="XCV236" s="15"/>
      <c r="XCW236" s="15"/>
      <c r="XCX236" s="15"/>
      <c r="XCY236" s="15"/>
      <c r="XCZ236" s="15"/>
      <c r="XDA236" s="15"/>
      <c r="XDB236" s="15"/>
      <c r="XDC236" s="10"/>
      <c r="XDD236" s="10"/>
      <c r="XDE236" s="21"/>
      <c r="XDF236" s="21"/>
      <c r="XDI236" s="21"/>
      <c r="XDJ236" s="15"/>
      <c r="XDK236" s="15"/>
      <c r="XDL236" s="15"/>
      <c r="XDM236" s="15"/>
      <c r="XDN236" s="15"/>
      <c r="XDO236" s="15"/>
      <c r="XDP236" s="15"/>
      <c r="XDQ236" s="15"/>
      <c r="XDR236" s="15"/>
      <c r="XDS236" s="15"/>
      <c r="XDT236" s="10"/>
      <c r="XDU236" s="10"/>
      <c r="XDV236" s="21"/>
      <c r="XDW236" s="21"/>
      <c r="XDZ236" s="21"/>
      <c r="XEA236" s="15"/>
      <c r="XEB236" s="15"/>
      <c r="XEC236" s="15"/>
      <c r="XED236" s="15"/>
      <c r="XEE236" s="15"/>
      <c r="XEF236" s="15"/>
      <c r="XEG236" s="15"/>
      <c r="XEH236" s="15"/>
      <c r="XEI236" s="15"/>
      <c r="XEJ236" s="15"/>
      <c r="XEK236" s="10"/>
      <c r="XEL236" s="10"/>
      <c r="XEM236" s="21"/>
      <c r="XEN236" s="21"/>
      <c r="XEQ236" s="21"/>
      <c r="XER236" s="15"/>
      <c r="XES236" s="15"/>
      <c r="XET236" s="15"/>
      <c r="XEU236" s="15"/>
      <c r="XEV236" s="15"/>
      <c r="XEW236" s="15"/>
      <c r="XEX236" s="15"/>
      <c r="XEY236" s="15"/>
      <c r="XEZ236" s="15"/>
      <c r="XFA236" s="15"/>
      <c r="XFB236" s="10"/>
      <c r="XFC236" s="10"/>
      <c r="XFD236" s="21"/>
    </row>
    <row r="237" spans="1:4094 4097:8191 8194:12288 1229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965</v>
      </c>
      <c r="E237" s="32" t="s">
        <v>164</v>
      </c>
      <c r="F237" s="32" t="s">
        <v>963</v>
      </c>
      <c r="G237" s="32" t="s">
        <v>1092</v>
      </c>
      <c r="H237" s="32" t="s">
        <v>352</v>
      </c>
      <c r="I237" s="31" t="s">
        <v>964</v>
      </c>
      <c r="J237" s="31">
        <v>1</v>
      </c>
      <c r="K237" s="33" t="s">
        <v>943</v>
      </c>
      <c r="L237" s="33" t="s">
        <v>685</v>
      </c>
      <c r="M237" s="34" t="s">
        <v>1386</v>
      </c>
      <c r="N237" s="34" t="s">
        <v>1732</v>
      </c>
      <c r="O237" s="35">
        <v>1</v>
      </c>
      <c r="P237" s="35"/>
      <c r="Q237" s="32"/>
      <c r="S237" s="1">
        <f t="shared" si="103"/>
        <v>1</v>
      </c>
      <c r="T237" s="1">
        <f t="shared" si="104"/>
        <v>0</v>
      </c>
      <c r="U237" s="1">
        <f t="shared" si="105"/>
        <v>0</v>
      </c>
      <c r="V237" s="1">
        <f t="shared" si="106"/>
        <v>0</v>
      </c>
      <c r="W237" s="1">
        <f t="shared" si="107"/>
        <v>0</v>
      </c>
      <c r="X237" s="1">
        <f t="shared" si="108"/>
        <v>0</v>
      </c>
      <c r="Y237" s="1">
        <f t="shared" si="109"/>
        <v>0</v>
      </c>
      <c r="Z237" s="1">
        <f t="shared" si="110"/>
        <v>0</v>
      </c>
      <c r="AA237" s="1">
        <f t="shared" si="111"/>
        <v>0</v>
      </c>
      <c r="AB237" s="1">
        <f t="shared" si="112"/>
        <v>0</v>
      </c>
      <c r="AD237" s="1">
        <f t="shared" si="113"/>
        <v>0</v>
      </c>
      <c r="AE237" s="1">
        <f t="shared" si="114"/>
        <v>1</v>
      </c>
      <c r="AF237" s="1">
        <f t="shared" si="99"/>
        <v>0</v>
      </c>
      <c r="AG237" s="1">
        <f t="shared" si="100"/>
        <v>1</v>
      </c>
      <c r="AH237" s="1">
        <f t="shared" si="101"/>
        <v>0</v>
      </c>
      <c r="AI237" s="1">
        <f t="shared" si="102"/>
        <v>1</v>
      </c>
    </row>
    <row r="238" spans="1:4094 4097:8191 8194:12288 12291:16384" s="1" customFormat="1" ht="13.9" customHeight="1" x14ac:dyDescent="0.25">
      <c r="A238" s="31">
        <v>0</v>
      </c>
      <c r="B238" s="31">
        <v>1</v>
      </c>
      <c r="C238" s="31">
        <v>6</v>
      </c>
      <c r="D238" s="32" t="s">
        <v>517</v>
      </c>
      <c r="E238" s="32" t="s">
        <v>166</v>
      </c>
      <c r="F238" s="32" t="s">
        <v>518</v>
      </c>
      <c r="G238" s="32" t="s">
        <v>519</v>
      </c>
      <c r="H238" s="32" t="s">
        <v>352</v>
      </c>
      <c r="I238" s="31" t="s">
        <v>520</v>
      </c>
      <c r="J238" s="31">
        <v>99</v>
      </c>
      <c r="K238" s="33" t="s">
        <v>698</v>
      </c>
      <c r="L238" s="33">
        <v>40</v>
      </c>
      <c r="M238" s="34" t="s">
        <v>959</v>
      </c>
      <c r="N238" s="34" t="s">
        <v>1833</v>
      </c>
      <c r="O238" s="35">
        <v>1</v>
      </c>
      <c r="P238" s="35"/>
      <c r="Q238" s="32"/>
      <c r="S238" s="1">
        <f t="shared" si="103"/>
        <v>0</v>
      </c>
      <c r="T238" s="1">
        <f t="shared" si="104"/>
        <v>0</v>
      </c>
      <c r="U238" s="1">
        <f t="shared" si="105"/>
        <v>0</v>
      </c>
      <c r="V238" s="1">
        <f t="shared" si="106"/>
        <v>0</v>
      </c>
      <c r="W238" s="1">
        <f t="shared" si="107"/>
        <v>0</v>
      </c>
      <c r="X238" s="1">
        <f t="shared" si="108"/>
        <v>0</v>
      </c>
      <c r="Y238" s="1">
        <f t="shared" si="109"/>
        <v>0</v>
      </c>
      <c r="Z238" s="1">
        <f t="shared" si="110"/>
        <v>0</v>
      </c>
      <c r="AA238" s="1">
        <f t="shared" si="111"/>
        <v>0</v>
      </c>
      <c r="AB238" s="1">
        <f t="shared" si="112"/>
        <v>0</v>
      </c>
      <c r="AD238" s="1">
        <f t="shared" si="113"/>
        <v>0</v>
      </c>
      <c r="AE238" s="1">
        <f t="shared" si="114"/>
        <v>1</v>
      </c>
      <c r="AF238" s="1">
        <f t="shared" si="99"/>
        <v>0</v>
      </c>
      <c r="AG238" s="1">
        <f t="shared" si="100"/>
        <v>1</v>
      </c>
      <c r="AH238" s="1">
        <f t="shared" si="101"/>
        <v>0</v>
      </c>
      <c r="AI238" s="1">
        <f t="shared" si="102"/>
        <v>1</v>
      </c>
    </row>
    <row r="239" spans="1:4094 4097:8191 8194:12288 12291:16384" s="1" customFormat="1" ht="14.25" customHeight="1" x14ac:dyDescent="0.25">
      <c r="A239" s="38">
        <v>0</v>
      </c>
      <c r="B239" s="38">
        <v>1</v>
      </c>
      <c r="C239" s="38">
        <v>6</v>
      </c>
      <c r="D239" s="39" t="s">
        <v>1821</v>
      </c>
      <c r="E239" s="39" t="s">
        <v>1822</v>
      </c>
      <c r="F239" s="39" t="s">
        <v>1823</v>
      </c>
      <c r="G239" s="39"/>
      <c r="H239" s="39" t="s">
        <v>352</v>
      </c>
      <c r="I239" s="38" t="s">
        <v>1824</v>
      </c>
      <c r="J239" s="38"/>
      <c r="K239" s="40" t="s">
        <v>699</v>
      </c>
      <c r="L239" s="40"/>
      <c r="M239" s="41"/>
      <c r="N239" s="42"/>
      <c r="O239" s="43"/>
      <c r="P239" s="43">
        <v>1</v>
      </c>
      <c r="Q239" s="39"/>
      <c r="S239" s="1">
        <f t="shared" si="103"/>
        <v>0</v>
      </c>
      <c r="T239" s="1">
        <f t="shared" si="104"/>
        <v>0</v>
      </c>
      <c r="U239" s="1">
        <f t="shared" si="105"/>
        <v>0</v>
      </c>
      <c r="V239" s="1">
        <f t="shared" si="106"/>
        <v>0</v>
      </c>
      <c r="W239" s="1">
        <f t="shared" si="107"/>
        <v>0</v>
      </c>
      <c r="X239" s="1">
        <f t="shared" si="108"/>
        <v>0</v>
      </c>
      <c r="Y239" s="1">
        <f t="shared" si="109"/>
        <v>0</v>
      </c>
      <c r="Z239" s="1">
        <f t="shared" si="110"/>
        <v>0</v>
      </c>
      <c r="AA239" s="1">
        <f t="shared" si="111"/>
        <v>0</v>
      </c>
      <c r="AB239" s="1">
        <f t="shared" si="112"/>
        <v>0</v>
      </c>
      <c r="AD239" s="1">
        <f t="shared" si="113"/>
        <v>0</v>
      </c>
      <c r="AE239" s="1">
        <f t="shared" si="114"/>
        <v>0</v>
      </c>
      <c r="AF239" s="1">
        <f t="shared" si="99"/>
        <v>0</v>
      </c>
      <c r="AG239" s="1">
        <f t="shared" si="100"/>
        <v>0</v>
      </c>
      <c r="AH239" s="1">
        <f t="shared" si="101"/>
        <v>1</v>
      </c>
      <c r="AI239" s="1">
        <f t="shared" si="102"/>
        <v>0</v>
      </c>
    </row>
    <row r="240" spans="1:4094 4097:8191 8194:12288 12291:16384" s="1" customFormat="1" ht="13.9" customHeight="1" x14ac:dyDescent="0.25">
      <c r="A240" s="31">
        <v>0</v>
      </c>
      <c r="B240" s="31">
        <v>1</v>
      </c>
      <c r="C240" s="31">
        <v>6</v>
      </c>
      <c r="D240" s="32" t="s">
        <v>2074</v>
      </c>
      <c r="E240" s="32" t="s">
        <v>166</v>
      </c>
      <c r="F240" s="32" t="s">
        <v>2075</v>
      </c>
      <c r="G240" s="32"/>
      <c r="H240" s="32" t="s">
        <v>352</v>
      </c>
      <c r="I240" s="31" t="s">
        <v>2076</v>
      </c>
      <c r="J240" s="31"/>
      <c r="K240" s="33" t="s">
        <v>699</v>
      </c>
      <c r="L240" s="33"/>
      <c r="M240" s="34"/>
      <c r="N240" s="34" t="s">
        <v>1732</v>
      </c>
      <c r="O240" s="35">
        <v>1</v>
      </c>
      <c r="P240" s="35"/>
      <c r="Q240" s="32" t="s">
        <v>2077</v>
      </c>
      <c r="S240" s="1">
        <f t="shared" si="103"/>
        <v>0</v>
      </c>
      <c r="T240" s="1">
        <f t="shared" si="104"/>
        <v>0</v>
      </c>
      <c r="U240" s="1">
        <f t="shared" si="105"/>
        <v>0</v>
      </c>
      <c r="V240" s="1">
        <f t="shared" si="106"/>
        <v>0</v>
      </c>
      <c r="W240" s="1">
        <f t="shared" si="107"/>
        <v>0</v>
      </c>
      <c r="X240" s="1">
        <f t="shared" si="108"/>
        <v>0</v>
      </c>
      <c r="Y240" s="1">
        <f t="shared" si="109"/>
        <v>0</v>
      </c>
      <c r="Z240" s="1">
        <f t="shared" si="110"/>
        <v>0</v>
      </c>
      <c r="AA240" s="1">
        <f t="shared" si="111"/>
        <v>0</v>
      </c>
      <c r="AB240" s="1">
        <f t="shared" si="112"/>
        <v>0</v>
      </c>
      <c r="AD240" s="1">
        <f t="shared" si="113"/>
        <v>0</v>
      </c>
      <c r="AE240" s="1">
        <f t="shared" si="114"/>
        <v>1</v>
      </c>
      <c r="AF240" s="1">
        <f t="shared" si="99"/>
        <v>0</v>
      </c>
      <c r="AG240" s="1">
        <f t="shared" si="100"/>
        <v>1</v>
      </c>
      <c r="AH240" s="1">
        <f t="shared" si="101"/>
        <v>0</v>
      </c>
      <c r="AI240" s="1">
        <f t="shared" si="102"/>
        <v>1</v>
      </c>
    </row>
    <row r="241" spans="1:35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1464</v>
      </c>
      <c r="E241" s="32" t="s">
        <v>166</v>
      </c>
      <c r="F241" s="32" t="s">
        <v>1466</v>
      </c>
      <c r="G241" s="32" t="s">
        <v>1467</v>
      </c>
      <c r="H241" s="32" t="s">
        <v>352</v>
      </c>
      <c r="I241" s="31" t="s">
        <v>1465</v>
      </c>
      <c r="J241" s="31">
        <v>99</v>
      </c>
      <c r="K241" s="33" t="s">
        <v>699</v>
      </c>
      <c r="L241" s="33">
        <v>62</v>
      </c>
      <c r="M241" s="34"/>
      <c r="N241" s="34" t="s">
        <v>1733</v>
      </c>
      <c r="O241" s="35">
        <v>1</v>
      </c>
      <c r="P241" s="35"/>
      <c r="Q241" s="32"/>
      <c r="S241" s="1">
        <f t="shared" si="103"/>
        <v>0</v>
      </c>
      <c r="T241" s="1">
        <f t="shared" si="104"/>
        <v>0</v>
      </c>
      <c r="U241" s="1">
        <f t="shared" si="105"/>
        <v>0</v>
      </c>
      <c r="V241" s="1">
        <f t="shared" si="106"/>
        <v>0</v>
      </c>
      <c r="W241" s="1">
        <f t="shared" si="107"/>
        <v>0</v>
      </c>
      <c r="X241" s="1">
        <f t="shared" si="108"/>
        <v>0</v>
      </c>
      <c r="Y241" s="1">
        <f t="shared" si="109"/>
        <v>0</v>
      </c>
      <c r="Z241" s="1">
        <f t="shared" si="110"/>
        <v>0</v>
      </c>
      <c r="AA241" s="1">
        <f t="shared" si="111"/>
        <v>0</v>
      </c>
      <c r="AB241" s="1">
        <f t="shared" si="112"/>
        <v>0</v>
      </c>
      <c r="AD241" s="1">
        <f t="shared" si="113"/>
        <v>0</v>
      </c>
      <c r="AE241" s="1">
        <f t="shared" si="114"/>
        <v>1</v>
      </c>
      <c r="AF241" s="1">
        <f t="shared" si="99"/>
        <v>0</v>
      </c>
      <c r="AG241" s="1">
        <f t="shared" si="100"/>
        <v>1</v>
      </c>
      <c r="AH241" s="1">
        <f t="shared" si="101"/>
        <v>0</v>
      </c>
      <c r="AI241" s="1">
        <f t="shared" si="102"/>
        <v>1</v>
      </c>
    </row>
    <row r="242" spans="1:35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1180</v>
      </c>
      <c r="E242" s="32" t="s">
        <v>164</v>
      </c>
      <c r="F242" s="32" t="s">
        <v>1654</v>
      </c>
      <c r="G242" s="32" t="s">
        <v>212</v>
      </c>
      <c r="H242" s="32" t="s">
        <v>352</v>
      </c>
      <c r="I242" s="31" t="s">
        <v>1181</v>
      </c>
      <c r="J242" s="31">
        <v>1</v>
      </c>
      <c r="K242" s="33" t="s">
        <v>949</v>
      </c>
      <c r="L242" s="33" t="s">
        <v>683</v>
      </c>
      <c r="M242" s="34" t="s">
        <v>1556</v>
      </c>
      <c r="N242" s="34" t="s">
        <v>1739</v>
      </c>
      <c r="O242" s="35">
        <v>1</v>
      </c>
      <c r="P242" s="35"/>
      <c r="Q242" s="32"/>
      <c r="S242" s="1">
        <f t="shared" si="103"/>
        <v>1</v>
      </c>
      <c r="T242" s="1">
        <f t="shared" si="104"/>
        <v>0</v>
      </c>
      <c r="U242" s="1">
        <f t="shared" si="105"/>
        <v>0</v>
      </c>
      <c r="V242" s="1">
        <f t="shared" si="106"/>
        <v>0</v>
      </c>
      <c r="W242" s="1">
        <f t="shared" si="107"/>
        <v>0</v>
      </c>
      <c r="X242" s="1">
        <f t="shared" si="108"/>
        <v>0</v>
      </c>
      <c r="Y242" s="1">
        <f t="shared" si="109"/>
        <v>0</v>
      </c>
      <c r="Z242" s="1">
        <f t="shared" si="110"/>
        <v>0</v>
      </c>
      <c r="AA242" s="1">
        <f t="shared" si="111"/>
        <v>0</v>
      </c>
      <c r="AB242" s="1">
        <f t="shared" si="112"/>
        <v>0</v>
      </c>
      <c r="AD242" s="1">
        <f t="shared" si="113"/>
        <v>0</v>
      </c>
      <c r="AE242" s="1">
        <f t="shared" si="114"/>
        <v>1</v>
      </c>
      <c r="AF242" s="1">
        <f t="shared" si="99"/>
        <v>0</v>
      </c>
      <c r="AG242" s="1">
        <f t="shared" si="100"/>
        <v>1</v>
      </c>
      <c r="AH242" s="1">
        <f t="shared" si="101"/>
        <v>0</v>
      </c>
      <c r="AI242" s="1">
        <f t="shared" si="102"/>
        <v>1</v>
      </c>
    </row>
    <row r="243" spans="1:35" s="1" customFormat="1" ht="14.25" customHeight="1" x14ac:dyDescent="0.25">
      <c r="A243" s="44">
        <v>0</v>
      </c>
      <c r="B243" s="44">
        <v>1</v>
      </c>
      <c r="C243" s="44">
        <v>6</v>
      </c>
      <c r="D243" s="45" t="s">
        <v>2053</v>
      </c>
      <c r="E243" s="45" t="s">
        <v>2054</v>
      </c>
      <c r="F243" s="45" t="s">
        <v>2055</v>
      </c>
      <c r="G243" s="45" t="s">
        <v>207</v>
      </c>
      <c r="H243" s="45" t="s">
        <v>352</v>
      </c>
      <c r="I243" s="44" t="s">
        <v>2056</v>
      </c>
      <c r="J243" s="44">
        <v>3</v>
      </c>
      <c r="K243" s="46" t="s">
        <v>699</v>
      </c>
      <c r="L243" s="46">
        <v>30</v>
      </c>
      <c r="M243" s="47" t="s">
        <v>2057</v>
      </c>
      <c r="N243" s="47" t="s">
        <v>1793</v>
      </c>
      <c r="O243" s="48"/>
      <c r="P243" s="48"/>
      <c r="Q243" s="45"/>
      <c r="S243" s="1">
        <f t="shared" si="103"/>
        <v>0</v>
      </c>
      <c r="T243" s="1">
        <f t="shared" si="104"/>
        <v>0</v>
      </c>
      <c r="U243" s="1">
        <f t="shared" si="105"/>
        <v>1</v>
      </c>
      <c r="V243" s="1">
        <f t="shared" si="106"/>
        <v>0</v>
      </c>
      <c r="W243" s="1">
        <f t="shared" si="107"/>
        <v>0</v>
      </c>
      <c r="X243" s="1">
        <f t="shared" si="108"/>
        <v>0</v>
      </c>
      <c r="Y243" s="1">
        <f t="shared" si="109"/>
        <v>0</v>
      </c>
      <c r="Z243" s="1">
        <f t="shared" si="110"/>
        <v>0</v>
      </c>
      <c r="AA243" s="1">
        <f t="shared" si="111"/>
        <v>0</v>
      </c>
      <c r="AB243" s="1">
        <f t="shared" si="112"/>
        <v>0</v>
      </c>
      <c r="AD243" s="1">
        <f t="shared" si="113"/>
        <v>0</v>
      </c>
      <c r="AE243" s="1">
        <f t="shared" si="114"/>
        <v>0</v>
      </c>
      <c r="AF243" s="1">
        <f t="shared" si="99"/>
        <v>0</v>
      </c>
      <c r="AG243" s="1">
        <f t="shared" si="100"/>
        <v>0</v>
      </c>
      <c r="AH243" s="1">
        <f t="shared" si="101"/>
        <v>0</v>
      </c>
      <c r="AI243" s="1">
        <f t="shared" si="102"/>
        <v>1</v>
      </c>
    </row>
    <row r="244" spans="1:35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97</v>
      </c>
      <c r="E244" s="32" t="s">
        <v>166</v>
      </c>
      <c r="F244" s="32" t="s">
        <v>294</v>
      </c>
      <c r="G244" s="32" t="s">
        <v>283</v>
      </c>
      <c r="H244" s="32" t="s">
        <v>352</v>
      </c>
      <c r="I244" s="31" t="s">
        <v>1105</v>
      </c>
      <c r="J244" s="31">
        <v>10</v>
      </c>
      <c r="K244" s="33" t="s">
        <v>943</v>
      </c>
      <c r="L244" s="33" t="s">
        <v>690</v>
      </c>
      <c r="M244" s="34" t="s">
        <v>701</v>
      </c>
      <c r="N244" s="34" t="s">
        <v>1733</v>
      </c>
      <c r="O244" s="35">
        <v>1</v>
      </c>
      <c r="P244" s="35"/>
      <c r="Q244" s="32"/>
      <c r="S244" s="1">
        <f t="shared" si="103"/>
        <v>0</v>
      </c>
      <c r="T244" s="1">
        <f t="shared" si="104"/>
        <v>0</v>
      </c>
      <c r="U244" s="1">
        <f t="shared" si="105"/>
        <v>0</v>
      </c>
      <c r="V244" s="1">
        <f t="shared" si="106"/>
        <v>0</v>
      </c>
      <c r="W244" s="1">
        <f t="shared" si="107"/>
        <v>0</v>
      </c>
      <c r="X244" s="1">
        <f t="shared" si="108"/>
        <v>0</v>
      </c>
      <c r="Y244" s="1">
        <f t="shared" si="109"/>
        <v>0</v>
      </c>
      <c r="Z244" s="1">
        <f t="shared" si="110"/>
        <v>0</v>
      </c>
      <c r="AA244" s="1">
        <f t="shared" si="111"/>
        <v>0</v>
      </c>
      <c r="AB244" s="1">
        <f t="shared" si="112"/>
        <v>1</v>
      </c>
      <c r="AD244" s="1">
        <f t="shared" si="113"/>
        <v>0</v>
      </c>
      <c r="AE244" s="1">
        <f t="shared" si="114"/>
        <v>1</v>
      </c>
      <c r="AF244" s="1">
        <f t="shared" si="99"/>
        <v>0</v>
      </c>
      <c r="AG244" s="1">
        <f t="shared" si="100"/>
        <v>1</v>
      </c>
      <c r="AH244" s="1">
        <f t="shared" si="101"/>
        <v>0</v>
      </c>
      <c r="AI244" s="1">
        <f t="shared" si="102"/>
        <v>1</v>
      </c>
    </row>
    <row r="245" spans="1:35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599</v>
      </c>
      <c r="E245" s="32" t="s">
        <v>164</v>
      </c>
      <c r="F245" s="32" t="s">
        <v>601</v>
      </c>
      <c r="G245" s="32" t="s">
        <v>39</v>
      </c>
      <c r="H245" s="32" t="s">
        <v>352</v>
      </c>
      <c r="I245" s="31" t="s">
        <v>600</v>
      </c>
      <c r="J245" s="31">
        <v>99</v>
      </c>
      <c r="K245" s="33" t="s">
        <v>943</v>
      </c>
      <c r="L245" s="33" t="s">
        <v>689</v>
      </c>
      <c r="M245" s="34" t="s">
        <v>957</v>
      </c>
      <c r="N245" s="34" t="s">
        <v>1733</v>
      </c>
      <c r="O245" s="35">
        <v>1</v>
      </c>
      <c r="P245" s="35"/>
      <c r="Q245" s="32"/>
      <c r="S245" s="1">
        <f t="shared" si="103"/>
        <v>0</v>
      </c>
      <c r="T245" s="1">
        <f t="shared" si="104"/>
        <v>0</v>
      </c>
      <c r="U245" s="1">
        <f t="shared" si="105"/>
        <v>0</v>
      </c>
      <c r="V245" s="1">
        <f t="shared" si="106"/>
        <v>0</v>
      </c>
      <c r="W245" s="1">
        <f t="shared" si="107"/>
        <v>0</v>
      </c>
      <c r="X245" s="1">
        <f t="shared" si="108"/>
        <v>0</v>
      </c>
      <c r="Y245" s="1">
        <f t="shared" si="109"/>
        <v>0</v>
      </c>
      <c r="Z245" s="1">
        <f t="shared" si="110"/>
        <v>0</v>
      </c>
      <c r="AA245" s="1">
        <f t="shared" si="111"/>
        <v>0</v>
      </c>
      <c r="AB245" s="1">
        <f t="shared" si="112"/>
        <v>0</v>
      </c>
      <c r="AD245" s="1">
        <f t="shared" si="113"/>
        <v>0</v>
      </c>
      <c r="AE245" s="1">
        <f t="shared" si="114"/>
        <v>1</v>
      </c>
      <c r="AF245" s="1">
        <f t="shared" si="99"/>
        <v>0</v>
      </c>
      <c r="AG245" s="1">
        <f t="shared" si="100"/>
        <v>1</v>
      </c>
      <c r="AH245" s="1">
        <f t="shared" si="101"/>
        <v>0</v>
      </c>
      <c r="AI245" s="1">
        <f t="shared" si="102"/>
        <v>1</v>
      </c>
    </row>
    <row r="246" spans="1:35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1146</v>
      </c>
      <c r="E246" s="32" t="s">
        <v>164</v>
      </c>
      <c r="F246" s="32" t="s">
        <v>1148</v>
      </c>
      <c r="G246" s="32" t="s">
        <v>219</v>
      </c>
      <c r="H246" s="32" t="s">
        <v>352</v>
      </c>
      <c r="I246" s="31" t="s">
        <v>1147</v>
      </c>
      <c r="J246" s="31">
        <v>8</v>
      </c>
      <c r="K246" s="33" t="s">
        <v>698</v>
      </c>
      <c r="L246" s="33" t="s">
        <v>1697</v>
      </c>
      <c r="M246" s="34" t="s">
        <v>1387</v>
      </c>
      <c r="N246" s="34" t="s">
        <v>1732</v>
      </c>
      <c r="O246" s="35">
        <v>1</v>
      </c>
      <c r="P246" s="35"/>
      <c r="Q246" s="32"/>
      <c r="S246" s="1">
        <f t="shared" si="103"/>
        <v>0</v>
      </c>
      <c r="T246" s="1">
        <f t="shared" si="104"/>
        <v>0</v>
      </c>
      <c r="U246" s="1">
        <f t="shared" si="105"/>
        <v>0</v>
      </c>
      <c r="V246" s="1">
        <f t="shared" si="106"/>
        <v>0</v>
      </c>
      <c r="W246" s="1">
        <f t="shared" si="107"/>
        <v>0</v>
      </c>
      <c r="X246" s="1">
        <f t="shared" si="108"/>
        <v>0</v>
      </c>
      <c r="Y246" s="1">
        <f t="shared" si="109"/>
        <v>0</v>
      </c>
      <c r="Z246" s="1">
        <f t="shared" si="110"/>
        <v>1</v>
      </c>
      <c r="AA246" s="1">
        <f t="shared" si="111"/>
        <v>0</v>
      </c>
      <c r="AB246" s="1">
        <f t="shared" si="112"/>
        <v>0</v>
      </c>
      <c r="AD246" s="1">
        <f t="shared" si="113"/>
        <v>0</v>
      </c>
      <c r="AE246" s="1">
        <f t="shared" si="114"/>
        <v>1</v>
      </c>
      <c r="AF246" s="1">
        <f t="shared" si="99"/>
        <v>0</v>
      </c>
      <c r="AG246" s="1">
        <f t="shared" si="100"/>
        <v>1</v>
      </c>
      <c r="AH246" s="1">
        <f t="shared" si="101"/>
        <v>0</v>
      </c>
      <c r="AI246" s="1">
        <f t="shared" si="102"/>
        <v>1</v>
      </c>
    </row>
    <row r="247" spans="1:35" s="1" customFormat="1" ht="14.25" customHeight="1" x14ac:dyDescent="0.25">
      <c r="A247" s="31">
        <v>0</v>
      </c>
      <c r="B247" s="31">
        <v>1</v>
      </c>
      <c r="C247" s="31">
        <v>6</v>
      </c>
      <c r="D247" s="32" t="s">
        <v>560</v>
      </c>
      <c r="E247" s="32" t="s">
        <v>166</v>
      </c>
      <c r="F247" s="32" t="s">
        <v>657</v>
      </c>
      <c r="G247" s="32" t="s">
        <v>201</v>
      </c>
      <c r="H247" s="32" t="s">
        <v>352</v>
      </c>
      <c r="I247" s="31" t="s">
        <v>579</v>
      </c>
      <c r="J247" s="31">
        <v>10</v>
      </c>
      <c r="K247" s="33" t="s">
        <v>949</v>
      </c>
      <c r="L247" s="33" t="s">
        <v>689</v>
      </c>
      <c r="M247" s="34" t="s">
        <v>701</v>
      </c>
      <c r="N247" s="34" t="s">
        <v>1732</v>
      </c>
      <c r="O247" s="35">
        <v>1</v>
      </c>
      <c r="P247" s="35"/>
      <c r="Q247" s="36"/>
      <c r="S247" s="1">
        <f t="shared" si="103"/>
        <v>0</v>
      </c>
      <c r="T247" s="1">
        <f t="shared" si="104"/>
        <v>0</v>
      </c>
      <c r="U247" s="1">
        <f t="shared" si="105"/>
        <v>0</v>
      </c>
      <c r="V247" s="1">
        <f t="shared" si="106"/>
        <v>0</v>
      </c>
      <c r="W247" s="1">
        <f t="shared" si="107"/>
        <v>0</v>
      </c>
      <c r="X247" s="1">
        <f t="shared" si="108"/>
        <v>0</v>
      </c>
      <c r="Y247" s="1">
        <f t="shared" si="109"/>
        <v>0</v>
      </c>
      <c r="Z247" s="1">
        <f t="shared" si="110"/>
        <v>0</v>
      </c>
      <c r="AA247" s="1">
        <f t="shared" si="111"/>
        <v>0</v>
      </c>
      <c r="AB247" s="1">
        <f t="shared" si="112"/>
        <v>1</v>
      </c>
      <c r="AD247" s="1">
        <f t="shared" si="113"/>
        <v>0</v>
      </c>
      <c r="AE247" s="1">
        <f t="shared" si="114"/>
        <v>1</v>
      </c>
      <c r="AF247" s="1">
        <f t="shared" si="99"/>
        <v>0</v>
      </c>
      <c r="AG247" s="1">
        <f t="shared" si="100"/>
        <v>1</v>
      </c>
      <c r="AH247" s="1">
        <f t="shared" si="101"/>
        <v>0</v>
      </c>
      <c r="AI247" s="1">
        <f t="shared" si="102"/>
        <v>1</v>
      </c>
    </row>
    <row r="248" spans="1:35" s="1" customFormat="1" ht="14.25" customHeight="1" x14ac:dyDescent="0.25">
      <c r="A248" s="44">
        <v>0</v>
      </c>
      <c r="B248" s="44">
        <v>1</v>
      </c>
      <c r="C248" s="44">
        <v>6</v>
      </c>
      <c r="D248" s="45" t="s">
        <v>886</v>
      </c>
      <c r="E248" s="45" t="s">
        <v>166</v>
      </c>
      <c r="F248" s="45" t="s">
        <v>926</v>
      </c>
      <c r="G248" s="45" t="s">
        <v>927</v>
      </c>
      <c r="H248" s="45" t="s">
        <v>352</v>
      </c>
      <c r="I248" s="44" t="s">
        <v>940</v>
      </c>
      <c r="J248" s="44">
        <v>99</v>
      </c>
      <c r="K248" s="46" t="s">
        <v>698</v>
      </c>
      <c r="L248" s="46" t="s">
        <v>685</v>
      </c>
      <c r="M248" s="47" t="s">
        <v>1388</v>
      </c>
      <c r="N248" s="47" t="s">
        <v>1722</v>
      </c>
      <c r="O248" s="48"/>
      <c r="P248" s="48"/>
      <c r="Q248" s="45"/>
      <c r="S248" s="1">
        <f t="shared" si="103"/>
        <v>0</v>
      </c>
      <c r="T248" s="1">
        <f t="shared" si="104"/>
        <v>0</v>
      </c>
      <c r="U248" s="1">
        <f t="shared" si="105"/>
        <v>0</v>
      </c>
      <c r="V248" s="1">
        <f t="shared" si="106"/>
        <v>0</v>
      </c>
      <c r="W248" s="1">
        <f t="shared" si="107"/>
        <v>0</v>
      </c>
      <c r="X248" s="1">
        <f t="shared" si="108"/>
        <v>0</v>
      </c>
      <c r="Y248" s="1">
        <f t="shared" si="109"/>
        <v>0</v>
      </c>
      <c r="Z248" s="1">
        <f t="shared" si="110"/>
        <v>0</v>
      </c>
      <c r="AA248" s="1">
        <f t="shared" si="111"/>
        <v>0</v>
      </c>
      <c r="AB248" s="1">
        <f t="shared" si="112"/>
        <v>0</v>
      </c>
      <c r="AD248" s="1">
        <f t="shared" si="113"/>
        <v>0</v>
      </c>
      <c r="AE248" s="1">
        <f t="shared" si="114"/>
        <v>0</v>
      </c>
      <c r="AF248" s="1">
        <f t="shared" si="99"/>
        <v>0</v>
      </c>
      <c r="AG248" s="1">
        <f t="shared" si="100"/>
        <v>0</v>
      </c>
      <c r="AH248" s="1">
        <f t="shared" si="101"/>
        <v>0</v>
      </c>
      <c r="AI248" s="1">
        <f t="shared" si="102"/>
        <v>1</v>
      </c>
    </row>
    <row r="249" spans="1:35" s="1" customFormat="1" ht="14.25" customHeight="1" x14ac:dyDescent="0.25">
      <c r="A249" s="31">
        <v>0</v>
      </c>
      <c r="B249" s="31">
        <v>1</v>
      </c>
      <c r="C249" s="31">
        <v>6</v>
      </c>
      <c r="D249" s="32" t="s">
        <v>99</v>
      </c>
      <c r="E249" s="32" t="s">
        <v>166</v>
      </c>
      <c r="F249" s="32" t="s">
        <v>658</v>
      </c>
      <c r="G249" s="32" t="s">
        <v>660</v>
      </c>
      <c r="H249" s="32" t="s">
        <v>352</v>
      </c>
      <c r="I249" s="31" t="s">
        <v>444</v>
      </c>
      <c r="J249" s="31">
        <v>99</v>
      </c>
      <c r="K249" s="33" t="s">
        <v>718</v>
      </c>
      <c r="L249" s="33" t="s">
        <v>692</v>
      </c>
      <c r="M249" s="34" t="s">
        <v>703</v>
      </c>
      <c r="N249" s="34" t="s">
        <v>1733</v>
      </c>
      <c r="O249" s="35">
        <v>1</v>
      </c>
      <c r="P249" s="35"/>
      <c r="Q249" s="32"/>
      <c r="S249" s="1">
        <f t="shared" si="103"/>
        <v>0</v>
      </c>
      <c r="T249" s="1">
        <f t="shared" si="104"/>
        <v>0</v>
      </c>
      <c r="U249" s="1">
        <f t="shared" si="105"/>
        <v>0</v>
      </c>
      <c r="V249" s="1">
        <f t="shared" si="106"/>
        <v>0</v>
      </c>
      <c r="W249" s="1">
        <f t="shared" si="107"/>
        <v>0</v>
      </c>
      <c r="X249" s="1">
        <f t="shared" si="108"/>
        <v>0</v>
      </c>
      <c r="Y249" s="1">
        <f t="shared" si="109"/>
        <v>0</v>
      </c>
      <c r="Z249" s="1">
        <f t="shared" si="110"/>
        <v>0</v>
      </c>
      <c r="AA249" s="1">
        <f t="shared" si="111"/>
        <v>0</v>
      </c>
      <c r="AB249" s="1">
        <f t="shared" si="112"/>
        <v>0</v>
      </c>
      <c r="AD249" s="1">
        <f t="shared" si="113"/>
        <v>0</v>
      </c>
      <c r="AE249" s="1">
        <f t="shared" si="114"/>
        <v>1</v>
      </c>
      <c r="AF249" s="1">
        <f t="shared" si="99"/>
        <v>0</v>
      </c>
      <c r="AG249" s="1">
        <f t="shared" si="100"/>
        <v>1</v>
      </c>
      <c r="AH249" s="1">
        <f t="shared" si="101"/>
        <v>0</v>
      </c>
      <c r="AI249" s="1">
        <f t="shared" si="102"/>
        <v>1</v>
      </c>
    </row>
    <row r="250" spans="1:35" s="1" customFormat="1" ht="14.25" customHeight="1" x14ac:dyDescent="0.25">
      <c r="A250" s="31">
        <v>0</v>
      </c>
      <c r="B250" s="31">
        <v>1</v>
      </c>
      <c r="C250" s="31">
        <v>7</v>
      </c>
      <c r="D250" s="32" t="s">
        <v>86</v>
      </c>
      <c r="E250" s="32" t="s">
        <v>29</v>
      </c>
      <c r="F250" s="32" t="s">
        <v>659</v>
      </c>
      <c r="G250" s="32" t="s">
        <v>660</v>
      </c>
      <c r="H250" s="32" t="s">
        <v>352</v>
      </c>
      <c r="I250" s="31" t="s">
        <v>627</v>
      </c>
      <c r="J250" s="31">
        <v>99</v>
      </c>
      <c r="K250" s="33" t="s">
        <v>941</v>
      </c>
      <c r="L250" s="33" t="s">
        <v>689</v>
      </c>
      <c r="M250" s="34" t="s">
        <v>1389</v>
      </c>
      <c r="N250" s="34" t="s">
        <v>1711</v>
      </c>
      <c r="O250" s="35">
        <v>1</v>
      </c>
      <c r="P250" s="35">
        <v>1</v>
      </c>
      <c r="Q250" s="32"/>
      <c r="S250" s="1">
        <f t="shared" si="103"/>
        <v>0</v>
      </c>
      <c r="T250" s="1">
        <f t="shared" si="104"/>
        <v>0</v>
      </c>
      <c r="U250" s="1">
        <f t="shared" si="105"/>
        <v>0</v>
      </c>
      <c r="V250" s="1">
        <f t="shared" si="106"/>
        <v>0</v>
      </c>
      <c r="W250" s="1">
        <f t="shared" si="107"/>
        <v>0</v>
      </c>
      <c r="X250" s="1">
        <f t="shared" si="108"/>
        <v>0</v>
      </c>
      <c r="Y250" s="1">
        <f t="shared" si="109"/>
        <v>0</v>
      </c>
      <c r="Z250" s="1">
        <f t="shared" si="110"/>
        <v>0</v>
      </c>
      <c r="AA250" s="1">
        <f t="shared" si="111"/>
        <v>0</v>
      </c>
      <c r="AB250" s="1">
        <f t="shared" si="112"/>
        <v>0</v>
      </c>
      <c r="AD250" s="1">
        <f t="shared" si="113"/>
        <v>1</v>
      </c>
      <c r="AE250" s="1">
        <f t="shared" si="114"/>
        <v>0</v>
      </c>
      <c r="AF250" s="1">
        <f t="shared" si="99"/>
        <v>1</v>
      </c>
      <c r="AG250" s="1">
        <f t="shared" si="100"/>
        <v>0</v>
      </c>
      <c r="AH250" s="1">
        <f t="shared" si="101"/>
        <v>1</v>
      </c>
      <c r="AI250" s="1">
        <f t="shared" si="102"/>
        <v>0</v>
      </c>
    </row>
    <row r="251" spans="1:35" s="1" customFormat="1" ht="14.25" customHeight="1" x14ac:dyDescent="0.25">
      <c r="A251" s="31">
        <v>0</v>
      </c>
      <c r="B251" s="31">
        <v>1</v>
      </c>
      <c r="C251" s="31">
        <v>7</v>
      </c>
      <c r="D251" s="32" t="s">
        <v>646</v>
      </c>
      <c r="E251" s="32" t="s">
        <v>29</v>
      </c>
      <c r="F251" s="32" t="s">
        <v>622</v>
      </c>
      <c r="G251" s="32" t="s">
        <v>231</v>
      </c>
      <c r="H251" s="32" t="s">
        <v>352</v>
      </c>
      <c r="I251" s="31" t="s">
        <v>623</v>
      </c>
      <c r="J251" s="31">
        <v>99</v>
      </c>
      <c r="K251" s="33" t="s">
        <v>709</v>
      </c>
      <c r="L251" s="33" t="s">
        <v>692</v>
      </c>
      <c r="M251" s="34" t="s">
        <v>960</v>
      </c>
      <c r="N251" s="34" t="s">
        <v>1833</v>
      </c>
      <c r="O251" s="35">
        <v>1</v>
      </c>
      <c r="P251" s="35"/>
      <c r="Q251" s="32"/>
      <c r="S251" s="1">
        <f t="shared" si="103"/>
        <v>0</v>
      </c>
      <c r="T251" s="1">
        <f t="shared" si="104"/>
        <v>0</v>
      </c>
      <c r="U251" s="1">
        <f t="shared" si="105"/>
        <v>0</v>
      </c>
      <c r="V251" s="1">
        <f t="shared" si="106"/>
        <v>0</v>
      </c>
      <c r="W251" s="1">
        <f t="shared" si="107"/>
        <v>0</v>
      </c>
      <c r="X251" s="1">
        <f t="shared" si="108"/>
        <v>0</v>
      </c>
      <c r="Y251" s="1">
        <f t="shared" si="109"/>
        <v>0</v>
      </c>
      <c r="Z251" s="1">
        <f t="shared" si="110"/>
        <v>0</v>
      </c>
      <c r="AA251" s="1">
        <f t="shared" si="111"/>
        <v>0</v>
      </c>
      <c r="AB251" s="1">
        <f t="shared" si="112"/>
        <v>0</v>
      </c>
      <c r="AD251" s="1">
        <f t="shared" si="113"/>
        <v>0</v>
      </c>
      <c r="AE251" s="1">
        <f t="shared" si="114"/>
        <v>1</v>
      </c>
      <c r="AF251" s="1">
        <f t="shared" si="99"/>
        <v>0</v>
      </c>
      <c r="AG251" s="1">
        <f t="shared" si="100"/>
        <v>1</v>
      </c>
      <c r="AH251" s="1">
        <f t="shared" si="101"/>
        <v>0</v>
      </c>
      <c r="AI251" s="1">
        <f t="shared" si="102"/>
        <v>1</v>
      </c>
    </row>
    <row r="252" spans="1:35" s="1" customFormat="1" ht="14.25" customHeight="1" x14ac:dyDescent="0.25">
      <c r="A252" s="15">
        <v>0</v>
      </c>
      <c r="B252" s="15">
        <v>1</v>
      </c>
      <c r="C252" s="15">
        <v>7</v>
      </c>
      <c r="D252" s="16" t="s">
        <v>970</v>
      </c>
      <c r="E252" s="16" t="s">
        <v>29</v>
      </c>
      <c r="F252" s="16" t="s">
        <v>971</v>
      </c>
      <c r="G252" s="16" t="s">
        <v>972</v>
      </c>
      <c r="H252" s="16" t="s">
        <v>352</v>
      </c>
      <c r="I252" s="15" t="s">
        <v>969</v>
      </c>
      <c r="J252" s="15">
        <v>99</v>
      </c>
      <c r="K252" s="10" t="s">
        <v>699</v>
      </c>
      <c r="L252" s="10">
        <v>20</v>
      </c>
      <c r="M252" s="19" t="s">
        <v>960</v>
      </c>
      <c r="N252" s="19"/>
      <c r="Q252" s="16"/>
      <c r="S252" s="1">
        <f t="shared" si="103"/>
        <v>0</v>
      </c>
      <c r="T252" s="1">
        <f t="shared" si="104"/>
        <v>0</v>
      </c>
      <c r="U252" s="1">
        <f t="shared" si="105"/>
        <v>0</v>
      </c>
      <c r="V252" s="1">
        <f t="shared" si="106"/>
        <v>0</v>
      </c>
      <c r="W252" s="1">
        <f t="shared" si="107"/>
        <v>0</v>
      </c>
      <c r="X252" s="1">
        <f t="shared" si="108"/>
        <v>0</v>
      </c>
      <c r="Y252" s="1">
        <f t="shared" si="109"/>
        <v>0</v>
      </c>
      <c r="Z252" s="1">
        <f t="shared" si="110"/>
        <v>0</v>
      </c>
      <c r="AA252" s="1">
        <f t="shared" si="111"/>
        <v>0</v>
      </c>
      <c r="AB252" s="1">
        <f t="shared" si="112"/>
        <v>0</v>
      </c>
      <c r="AD252" s="1">
        <f t="shared" si="113"/>
        <v>0</v>
      </c>
      <c r="AE252" s="1">
        <f t="shared" si="114"/>
        <v>0</v>
      </c>
      <c r="AF252" s="1">
        <f t="shared" si="99"/>
        <v>0</v>
      </c>
      <c r="AG252" s="1">
        <f t="shared" si="100"/>
        <v>0</v>
      </c>
      <c r="AH252" s="1">
        <f t="shared" si="101"/>
        <v>0</v>
      </c>
      <c r="AI252" s="1">
        <f t="shared" si="102"/>
        <v>1</v>
      </c>
    </row>
    <row r="253" spans="1:35" s="1" customFormat="1" ht="14.25" customHeight="1" x14ac:dyDescent="0.25">
      <c r="A253" s="38">
        <v>0</v>
      </c>
      <c r="B253" s="38">
        <v>1</v>
      </c>
      <c r="C253" s="38">
        <v>7</v>
      </c>
      <c r="D253" s="39" t="s">
        <v>587</v>
      </c>
      <c r="E253" s="39" t="s">
        <v>29</v>
      </c>
      <c r="F253" s="39" t="s">
        <v>588</v>
      </c>
      <c r="G253" s="39" t="s">
        <v>1060</v>
      </c>
      <c r="H253" s="39" t="s">
        <v>352</v>
      </c>
      <c r="I253" s="38" t="s">
        <v>589</v>
      </c>
      <c r="J253" s="38">
        <v>99</v>
      </c>
      <c r="K253" s="40" t="s">
        <v>699</v>
      </c>
      <c r="L253" s="40">
        <v>35</v>
      </c>
      <c r="M253" s="41" t="s">
        <v>1389</v>
      </c>
      <c r="N253" s="41"/>
      <c r="O253" s="43"/>
      <c r="P253" s="43">
        <v>1</v>
      </c>
      <c r="Q253" s="39"/>
      <c r="S253" s="1">
        <f t="shared" si="103"/>
        <v>0</v>
      </c>
      <c r="T253" s="1">
        <f t="shared" si="104"/>
        <v>0</v>
      </c>
      <c r="U253" s="1">
        <f t="shared" si="105"/>
        <v>0</v>
      </c>
      <c r="V253" s="1">
        <f t="shared" si="106"/>
        <v>0</v>
      </c>
      <c r="W253" s="1">
        <f t="shared" si="107"/>
        <v>0</v>
      </c>
      <c r="X253" s="1">
        <f t="shared" si="108"/>
        <v>0</v>
      </c>
      <c r="Y253" s="1">
        <f t="shared" si="109"/>
        <v>0</v>
      </c>
      <c r="Z253" s="1">
        <f t="shared" si="110"/>
        <v>0</v>
      </c>
      <c r="AA253" s="1">
        <f t="shared" si="111"/>
        <v>0</v>
      </c>
      <c r="AB253" s="1">
        <f t="shared" si="112"/>
        <v>0</v>
      </c>
      <c r="AD253" s="1">
        <f t="shared" si="113"/>
        <v>0</v>
      </c>
      <c r="AE253" s="1">
        <f t="shared" si="114"/>
        <v>0</v>
      </c>
      <c r="AF253" s="1">
        <f t="shared" si="99"/>
        <v>0</v>
      </c>
      <c r="AG253" s="1">
        <f t="shared" si="100"/>
        <v>0</v>
      </c>
      <c r="AH253" s="1">
        <f t="shared" si="101"/>
        <v>1</v>
      </c>
      <c r="AI253" s="1">
        <f t="shared" si="102"/>
        <v>0</v>
      </c>
    </row>
    <row r="254" spans="1:35" s="1" customFormat="1" ht="14.25" customHeight="1" x14ac:dyDescent="0.25">
      <c r="A254" s="31">
        <v>0</v>
      </c>
      <c r="B254" s="31">
        <v>1</v>
      </c>
      <c r="C254" s="31">
        <v>7</v>
      </c>
      <c r="D254" s="32" t="s">
        <v>1611</v>
      </c>
      <c r="E254" s="32" t="s">
        <v>29</v>
      </c>
      <c r="F254" s="32" t="s">
        <v>1666</v>
      </c>
      <c r="G254" s="32" t="s">
        <v>310</v>
      </c>
      <c r="H254" s="32" t="s">
        <v>352</v>
      </c>
      <c r="I254" s="31" t="s">
        <v>1612</v>
      </c>
      <c r="J254" s="31"/>
      <c r="K254" s="33" t="s">
        <v>709</v>
      </c>
      <c r="L254" s="33">
        <v>45</v>
      </c>
      <c r="M254" s="34" t="s">
        <v>1784</v>
      </c>
      <c r="N254" s="34" t="s">
        <v>1717</v>
      </c>
      <c r="O254" s="35">
        <v>1</v>
      </c>
      <c r="P254" s="35">
        <v>1</v>
      </c>
      <c r="Q254" s="32"/>
      <c r="S254" s="1">
        <f t="shared" si="103"/>
        <v>0</v>
      </c>
      <c r="T254" s="1">
        <f t="shared" si="104"/>
        <v>0</v>
      </c>
      <c r="U254" s="1">
        <f t="shared" si="105"/>
        <v>0</v>
      </c>
      <c r="V254" s="1">
        <f t="shared" si="106"/>
        <v>0</v>
      </c>
      <c r="W254" s="1">
        <f t="shared" si="107"/>
        <v>0</v>
      </c>
      <c r="X254" s="1">
        <f t="shared" si="108"/>
        <v>0</v>
      </c>
      <c r="Y254" s="1">
        <f t="shared" si="109"/>
        <v>0</v>
      </c>
      <c r="Z254" s="1">
        <f t="shared" si="110"/>
        <v>0</v>
      </c>
      <c r="AA254" s="1">
        <f t="shared" si="111"/>
        <v>0</v>
      </c>
      <c r="AB254" s="1">
        <f t="shared" si="112"/>
        <v>0</v>
      </c>
      <c r="AD254" s="1">
        <f t="shared" si="113"/>
        <v>1</v>
      </c>
      <c r="AE254" s="1">
        <f t="shared" si="114"/>
        <v>0</v>
      </c>
      <c r="AF254" s="1">
        <f t="shared" si="99"/>
        <v>1</v>
      </c>
      <c r="AG254" s="1">
        <f t="shared" si="100"/>
        <v>0</v>
      </c>
      <c r="AH254" s="1">
        <f t="shared" si="101"/>
        <v>1</v>
      </c>
      <c r="AI254" s="1">
        <f t="shared" si="102"/>
        <v>0</v>
      </c>
    </row>
    <row r="255" spans="1:35" s="1" customFormat="1" ht="14.25" customHeight="1" x14ac:dyDescent="0.25">
      <c r="A255" s="31">
        <v>0</v>
      </c>
      <c r="B255" s="31">
        <v>1</v>
      </c>
      <c r="C255" s="31">
        <v>7</v>
      </c>
      <c r="D255" s="32" t="s">
        <v>850</v>
      </c>
      <c r="E255" s="32" t="s">
        <v>29</v>
      </c>
      <c r="F255" s="32" t="s">
        <v>851</v>
      </c>
      <c r="G255" s="32" t="s">
        <v>201</v>
      </c>
      <c r="H255" s="32" t="s">
        <v>352</v>
      </c>
      <c r="I255" s="31" t="s">
        <v>852</v>
      </c>
      <c r="J255" s="31">
        <v>10</v>
      </c>
      <c r="K255" s="33" t="s">
        <v>709</v>
      </c>
      <c r="L255" s="33" t="s">
        <v>689</v>
      </c>
      <c r="M255" s="34" t="s">
        <v>1389</v>
      </c>
      <c r="N255" s="34" t="s">
        <v>1739</v>
      </c>
      <c r="O255" s="35">
        <v>1</v>
      </c>
      <c r="P255" s="35"/>
      <c r="Q255" s="32"/>
      <c r="S255" s="1">
        <f t="shared" si="103"/>
        <v>0</v>
      </c>
      <c r="T255" s="1">
        <f t="shared" si="104"/>
        <v>0</v>
      </c>
      <c r="U255" s="1">
        <f t="shared" si="105"/>
        <v>0</v>
      </c>
      <c r="V255" s="1">
        <f t="shared" si="106"/>
        <v>0</v>
      </c>
      <c r="W255" s="1">
        <f t="shared" si="107"/>
        <v>0</v>
      </c>
      <c r="X255" s="1">
        <f t="shared" si="108"/>
        <v>0</v>
      </c>
      <c r="Y255" s="1">
        <f t="shared" si="109"/>
        <v>0</v>
      </c>
      <c r="Z255" s="1">
        <f t="shared" si="110"/>
        <v>0</v>
      </c>
      <c r="AA255" s="1">
        <f t="shared" si="111"/>
        <v>0</v>
      </c>
      <c r="AB255" s="1">
        <f t="shared" si="112"/>
        <v>1</v>
      </c>
      <c r="AD255" s="1">
        <f t="shared" si="113"/>
        <v>0</v>
      </c>
      <c r="AE255" s="1">
        <f t="shared" si="114"/>
        <v>1</v>
      </c>
      <c r="AF255" s="1">
        <f t="shared" si="99"/>
        <v>0</v>
      </c>
      <c r="AG255" s="1">
        <f t="shared" si="100"/>
        <v>1</v>
      </c>
      <c r="AH255" s="1">
        <f t="shared" si="101"/>
        <v>0</v>
      </c>
      <c r="AI255" s="1">
        <f t="shared" si="102"/>
        <v>1</v>
      </c>
    </row>
    <row r="256" spans="1:35" s="1" customFormat="1" ht="14.25" customHeight="1" x14ac:dyDescent="0.25">
      <c r="A256" s="31">
        <v>0</v>
      </c>
      <c r="B256" s="31">
        <v>1</v>
      </c>
      <c r="C256" s="31">
        <v>7</v>
      </c>
      <c r="D256" s="32" t="s">
        <v>40</v>
      </c>
      <c r="E256" s="32" t="s">
        <v>29</v>
      </c>
      <c r="F256" s="32" t="s">
        <v>279</v>
      </c>
      <c r="G256" s="32" t="s">
        <v>229</v>
      </c>
      <c r="H256" s="32" t="s">
        <v>352</v>
      </c>
      <c r="I256" s="31" t="s">
        <v>433</v>
      </c>
      <c r="J256" s="31">
        <v>7</v>
      </c>
      <c r="K256" s="33" t="s">
        <v>709</v>
      </c>
      <c r="L256" s="33" t="s">
        <v>692</v>
      </c>
      <c r="M256" s="34" t="s">
        <v>960</v>
      </c>
      <c r="N256" s="34" t="s">
        <v>1711</v>
      </c>
      <c r="O256" s="35">
        <v>1</v>
      </c>
      <c r="P256" s="35">
        <v>1</v>
      </c>
      <c r="Q256" s="32"/>
      <c r="S256" s="1">
        <f t="shared" si="103"/>
        <v>0</v>
      </c>
      <c r="T256" s="1">
        <f t="shared" si="104"/>
        <v>0</v>
      </c>
      <c r="U256" s="1">
        <f t="shared" si="105"/>
        <v>0</v>
      </c>
      <c r="V256" s="1">
        <f t="shared" si="106"/>
        <v>0</v>
      </c>
      <c r="W256" s="1">
        <f t="shared" si="107"/>
        <v>0</v>
      </c>
      <c r="X256" s="1">
        <f t="shared" si="108"/>
        <v>0</v>
      </c>
      <c r="Y256" s="1">
        <f t="shared" si="109"/>
        <v>1</v>
      </c>
      <c r="Z256" s="1">
        <f t="shared" si="110"/>
        <v>0</v>
      </c>
      <c r="AA256" s="1">
        <f t="shared" si="111"/>
        <v>0</v>
      </c>
      <c r="AB256" s="1">
        <f t="shared" si="112"/>
        <v>0</v>
      </c>
      <c r="AD256" s="1">
        <f t="shared" si="113"/>
        <v>1</v>
      </c>
      <c r="AE256" s="1">
        <f t="shared" si="114"/>
        <v>0</v>
      </c>
      <c r="AF256" s="1">
        <f t="shared" si="99"/>
        <v>1</v>
      </c>
      <c r="AG256" s="1">
        <f t="shared" si="100"/>
        <v>0</v>
      </c>
      <c r="AH256" s="1">
        <f t="shared" si="101"/>
        <v>1</v>
      </c>
      <c r="AI256" s="1">
        <f t="shared" si="102"/>
        <v>0</v>
      </c>
    </row>
    <row r="257" spans="1:35" s="1" customFormat="1" ht="14.25" customHeight="1" x14ac:dyDescent="0.25">
      <c r="A257" s="31">
        <v>1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1585</v>
      </c>
      <c r="G257" s="32" t="s">
        <v>39</v>
      </c>
      <c r="H257" s="32" t="s">
        <v>352</v>
      </c>
      <c r="I257" s="31" t="s">
        <v>1586</v>
      </c>
      <c r="J257" s="31">
        <v>99</v>
      </c>
      <c r="K257" s="33" t="s">
        <v>709</v>
      </c>
      <c r="L257" s="33" t="s">
        <v>692</v>
      </c>
      <c r="M257" s="34" t="s">
        <v>960</v>
      </c>
      <c r="N257" s="34" t="s">
        <v>1711</v>
      </c>
      <c r="O257" s="35">
        <v>1</v>
      </c>
      <c r="P257" s="35">
        <v>1</v>
      </c>
      <c r="Q257" s="32"/>
      <c r="S257" s="1">
        <f t="shared" si="103"/>
        <v>0</v>
      </c>
      <c r="T257" s="1">
        <f t="shared" si="104"/>
        <v>0</v>
      </c>
      <c r="U257" s="1">
        <f t="shared" si="105"/>
        <v>0</v>
      </c>
      <c r="V257" s="1">
        <f t="shared" si="106"/>
        <v>0</v>
      </c>
      <c r="W257" s="1">
        <f t="shared" si="107"/>
        <v>0</v>
      </c>
      <c r="X257" s="1">
        <f t="shared" si="108"/>
        <v>0</v>
      </c>
      <c r="Y257" s="1">
        <f t="shared" si="109"/>
        <v>0</v>
      </c>
      <c r="Z257" s="1">
        <f t="shared" si="110"/>
        <v>0</v>
      </c>
      <c r="AA257" s="1">
        <f t="shared" si="111"/>
        <v>0</v>
      </c>
      <c r="AB257" s="1">
        <f t="shared" si="112"/>
        <v>0</v>
      </c>
      <c r="AD257" s="1">
        <f t="shared" si="113"/>
        <v>1</v>
      </c>
      <c r="AE257" s="1">
        <f t="shared" si="114"/>
        <v>0</v>
      </c>
      <c r="AF257" s="1">
        <f t="shared" si="99"/>
        <v>0</v>
      </c>
      <c r="AG257" s="1">
        <f t="shared" si="100"/>
        <v>0</v>
      </c>
      <c r="AH257" s="1">
        <f t="shared" si="101"/>
        <v>0</v>
      </c>
      <c r="AI257" s="1">
        <f t="shared" si="102"/>
        <v>0</v>
      </c>
    </row>
    <row r="258" spans="1:35" s="1" customFormat="1" ht="14.25" customHeight="1" x14ac:dyDescent="0.25">
      <c r="A258" s="49">
        <v>0</v>
      </c>
      <c r="B258" s="49">
        <v>1</v>
      </c>
      <c r="C258" s="49">
        <v>7</v>
      </c>
      <c r="D258" s="55" t="s">
        <v>1468</v>
      </c>
      <c r="E258" s="50" t="s">
        <v>29</v>
      </c>
      <c r="F258" s="55" t="s">
        <v>991</v>
      </c>
      <c r="G258" s="55" t="s">
        <v>1089</v>
      </c>
      <c r="H258" s="55" t="s">
        <v>352</v>
      </c>
      <c r="I258" s="63" t="s">
        <v>1097</v>
      </c>
      <c r="J258" s="49">
        <v>10</v>
      </c>
      <c r="K258" s="51" t="s">
        <v>709</v>
      </c>
      <c r="L258" s="51" t="s">
        <v>690</v>
      </c>
      <c r="M258" s="52" t="s">
        <v>960</v>
      </c>
      <c r="N258" s="52" t="s">
        <v>1727</v>
      </c>
      <c r="O258" s="53">
        <v>1</v>
      </c>
      <c r="P258" s="53"/>
      <c r="Q258" s="55"/>
      <c r="S258" s="1">
        <f t="shared" si="103"/>
        <v>0</v>
      </c>
      <c r="T258" s="1">
        <f t="shared" si="104"/>
        <v>0</v>
      </c>
      <c r="U258" s="1">
        <f t="shared" si="105"/>
        <v>0</v>
      </c>
      <c r="V258" s="1">
        <f t="shared" si="106"/>
        <v>0</v>
      </c>
      <c r="W258" s="1">
        <f t="shared" si="107"/>
        <v>0</v>
      </c>
      <c r="X258" s="1">
        <f t="shared" si="108"/>
        <v>0</v>
      </c>
      <c r="Y258" s="1">
        <f t="shared" si="109"/>
        <v>0</v>
      </c>
      <c r="Z258" s="1">
        <f t="shared" si="110"/>
        <v>0</v>
      </c>
      <c r="AA258" s="1">
        <f t="shared" si="111"/>
        <v>0</v>
      </c>
      <c r="AB258" s="1">
        <f t="shared" si="112"/>
        <v>1</v>
      </c>
      <c r="AD258" s="1">
        <f t="shared" si="113"/>
        <v>0</v>
      </c>
      <c r="AE258" s="1">
        <f t="shared" si="114"/>
        <v>1</v>
      </c>
      <c r="AF258" s="1">
        <f t="shared" si="99"/>
        <v>0</v>
      </c>
      <c r="AG258" s="1">
        <f t="shared" si="100"/>
        <v>1</v>
      </c>
      <c r="AH258" s="1">
        <f t="shared" si="101"/>
        <v>0</v>
      </c>
      <c r="AI258" s="1">
        <f t="shared" si="102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6" t="s">
        <v>1469</v>
      </c>
      <c r="E259" s="32" t="s">
        <v>29</v>
      </c>
      <c r="F259" s="36" t="s">
        <v>989</v>
      </c>
      <c r="G259" s="36" t="s">
        <v>239</v>
      </c>
      <c r="H259" s="36" t="s">
        <v>352</v>
      </c>
      <c r="I259" s="37" t="s">
        <v>990</v>
      </c>
      <c r="J259" s="31">
        <v>1</v>
      </c>
      <c r="K259" s="33" t="s">
        <v>948</v>
      </c>
      <c r="L259" s="33" t="s">
        <v>690</v>
      </c>
      <c r="M259" s="34" t="s">
        <v>960</v>
      </c>
      <c r="N259" s="34" t="s">
        <v>1785</v>
      </c>
      <c r="O259" s="35">
        <v>1</v>
      </c>
      <c r="P259" s="35"/>
      <c r="Q259" s="36"/>
      <c r="S259" s="1">
        <f t="shared" si="103"/>
        <v>1</v>
      </c>
      <c r="T259" s="1">
        <f t="shared" si="104"/>
        <v>0</v>
      </c>
      <c r="U259" s="1">
        <f t="shared" si="105"/>
        <v>0</v>
      </c>
      <c r="V259" s="1">
        <f t="shared" si="106"/>
        <v>0</v>
      </c>
      <c r="W259" s="1">
        <f t="shared" si="107"/>
        <v>0</v>
      </c>
      <c r="X259" s="1">
        <f t="shared" si="108"/>
        <v>0</v>
      </c>
      <c r="Y259" s="1">
        <f t="shared" si="109"/>
        <v>0</v>
      </c>
      <c r="Z259" s="1">
        <f t="shared" si="110"/>
        <v>0</v>
      </c>
      <c r="AA259" s="1">
        <f t="shared" si="111"/>
        <v>0</v>
      </c>
      <c r="AB259" s="1">
        <f t="shared" si="112"/>
        <v>0</v>
      </c>
      <c r="AD259" s="1">
        <f t="shared" si="113"/>
        <v>0</v>
      </c>
      <c r="AE259" s="1">
        <f t="shared" si="114"/>
        <v>1</v>
      </c>
      <c r="AF259" s="1">
        <f t="shared" si="99"/>
        <v>0</v>
      </c>
      <c r="AG259" s="1">
        <f t="shared" si="100"/>
        <v>1</v>
      </c>
      <c r="AH259" s="1">
        <f t="shared" si="101"/>
        <v>0</v>
      </c>
      <c r="AI259" s="1">
        <f t="shared" si="102"/>
        <v>1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6" t="s">
        <v>887</v>
      </c>
      <c r="E260" s="32" t="s">
        <v>29</v>
      </c>
      <c r="F260" s="36" t="s">
        <v>888</v>
      </c>
      <c r="G260" s="36" t="s">
        <v>39</v>
      </c>
      <c r="H260" s="36" t="s">
        <v>353</v>
      </c>
      <c r="I260" s="37" t="s">
        <v>889</v>
      </c>
      <c r="J260" s="31">
        <v>11</v>
      </c>
      <c r="K260" s="33" t="s">
        <v>699</v>
      </c>
      <c r="L260" s="33">
        <v>35</v>
      </c>
      <c r="M260" s="34" t="s">
        <v>1389</v>
      </c>
      <c r="N260" s="34" t="s">
        <v>1930</v>
      </c>
      <c r="O260" s="35">
        <v>1</v>
      </c>
      <c r="P260" s="35"/>
      <c r="Q260" s="36" t="s">
        <v>1887</v>
      </c>
      <c r="S260" s="1">
        <f t="shared" si="103"/>
        <v>0</v>
      </c>
      <c r="T260" s="1">
        <f t="shared" si="104"/>
        <v>0</v>
      </c>
      <c r="U260" s="1">
        <f t="shared" si="105"/>
        <v>0</v>
      </c>
      <c r="V260" s="1">
        <f t="shared" si="106"/>
        <v>0</v>
      </c>
      <c r="W260" s="1">
        <f t="shared" si="107"/>
        <v>0</v>
      </c>
      <c r="X260" s="1">
        <f t="shared" si="108"/>
        <v>0</v>
      </c>
      <c r="Y260" s="1">
        <f t="shared" si="109"/>
        <v>0</v>
      </c>
      <c r="Z260" s="1">
        <f t="shared" si="110"/>
        <v>0</v>
      </c>
      <c r="AA260" s="1">
        <f t="shared" si="111"/>
        <v>0</v>
      </c>
      <c r="AB260" s="1">
        <f t="shared" si="112"/>
        <v>0</v>
      </c>
      <c r="AD260" s="1">
        <f t="shared" si="113"/>
        <v>0</v>
      </c>
      <c r="AE260" s="1">
        <f t="shared" si="114"/>
        <v>1</v>
      </c>
      <c r="AF260" s="1">
        <f t="shared" si="99"/>
        <v>0</v>
      </c>
      <c r="AG260" s="1">
        <f t="shared" si="100"/>
        <v>1</v>
      </c>
      <c r="AH260" s="1">
        <f t="shared" si="101"/>
        <v>0</v>
      </c>
      <c r="AI260" s="1">
        <f t="shared" si="102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6" t="s">
        <v>1071</v>
      </c>
      <c r="E261" s="32" t="s">
        <v>29</v>
      </c>
      <c r="F261" s="36" t="s">
        <v>973</v>
      </c>
      <c r="G261" s="36" t="s">
        <v>202</v>
      </c>
      <c r="H261" s="36" t="s">
        <v>352</v>
      </c>
      <c r="I261" s="37" t="s">
        <v>974</v>
      </c>
      <c r="J261" s="31">
        <v>99</v>
      </c>
      <c r="K261" s="33" t="s">
        <v>709</v>
      </c>
      <c r="L261" s="33" t="s">
        <v>690</v>
      </c>
      <c r="M261" s="34" t="s">
        <v>1426</v>
      </c>
      <c r="N261" s="34" t="s">
        <v>1711</v>
      </c>
      <c r="O261" s="35">
        <v>1</v>
      </c>
      <c r="P261" s="35">
        <v>1</v>
      </c>
      <c r="Q261" s="36"/>
      <c r="S261" s="1">
        <f t="shared" si="103"/>
        <v>0</v>
      </c>
      <c r="T261" s="1">
        <f t="shared" si="104"/>
        <v>0</v>
      </c>
      <c r="U261" s="1">
        <f t="shared" si="105"/>
        <v>0</v>
      </c>
      <c r="V261" s="1">
        <f t="shared" si="106"/>
        <v>0</v>
      </c>
      <c r="W261" s="1">
        <f t="shared" si="107"/>
        <v>0</v>
      </c>
      <c r="X261" s="1">
        <f t="shared" si="108"/>
        <v>0</v>
      </c>
      <c r="Y261" s="1">
        <f t="shared" si="109"/>
        <v>0</v>
      </c>
      <c r="Z261" s="1">
        <f t="shared" si="110"/>
        <v>0</v>
      </c>
      <c r="AA261" s="1">
        <f t="shared" si="111"/>
        <v>0</v>
      </c>
      <c r="AB261" s="1">
        <f t="shared" si="112"/>
        <v>0</v>
      </c>
      <c r="AD261" s="1">
        <f t="shared" si="113"/>
        <v>1</v>
      </c>
      <c r="AE261" s="1">
        <f t="shared" si="114"/>
        <v>0</v>
      </c>
      <c r="AF261" s="1">
        <f t="shared" si="99"/>
        <v>1</v>
      </c>
      <c r="AG261" s="1">
        <f t="shared" si="100"/>
        <v>0</v>
      </c>
      <c r="AH261" s="1">
        <f t="shared" si="101"/>
        <v>1</v>
      </c>
      <c r="AI261" s="1">
        <f t="shared" si="102"/>
        <v>0</v>
      </c>
    </row>
    <row r="262" spans="1:35" s="1" customFormat="1" ht="14.25" customHeight="1" x14ac:dyDescent="0.25">
      <c r="A262" s="15">
        <v>0</v>
      </c>
      <c r="B262" s="15">
        <v>1</v>
      </c>
      <c r="C262" s="15">
        <v>7</v>
      </c>
      <c r="D262" s="16" t="s">
        <v>747</v>
      </c>
      <c r="E262" s="16" t="s">
        <v>29</v>
      </c>
      <c r="F262" s="16" t="s">
        <v>748</v>
      </c>
      <c r="G262" s="16" t="s">
        <v>749</v>
      </c>
      <c r="H262" s="16" t="s">
        <v>352</v>
      </c>
      <c r="I262" s="15" t="s">
        <v>750</v>
      </c>
      <c r="J262" s="15">
        <v>99</v>
      </c>
      <c r="K262" s="10" t="s">
        <v>699</v>
      </c>
      <c r="L262" s="10">
        <v>20</v>
      </c>
      <c r="M262" s="19" t="s">
        <v>1107</v>
      </c>
      <c r="N262" s="17"/>
      <c r="Q262" s="16"/>
      <c r="S262" s="1">
        <f t="shared" si="103"/>
        <v>0</v>
      </c>
      <c r="T262" s="1">
        <f t="shared" si="104"/>
        <v>0</v>
      </c>
      <c r="U262" s="1">
        <f t="shared" si="105"/>
        <v>0</v>
      </c>
      <c r="V262" s="1">
        <f t="shared" si="106"/>
        <v>0</v>
      </c>
      <c r="W262" s="1">
        <f t="shared" si="107"/>
        <v>0</v>
      </c>
      <c r="X262" s="1">
        <f t="shared" si="108"/>
        <v>0</v>
      </c>
      <c r="Y262" s="1">
        <f t="shared" si="109"/>
        <v>0</v>
      </c>
      <c r="Z262" s="1">
        <f t="shared" si="110"/>
        <v>0</v>
      </c>
      <c r="AA262" s="1">
        <f t="shared" si="111"/>
        <v>0</v>
      </c>
      <c r="AB262" s="1">
        <f t="shared" si="112"/>
        <v>0</v>
      </c>
      <c r="AD262" s="1">
        <f t="shared" si="113"/>
        <v>0</v>
      </c>
      <c r="AE262" s="1">
        <f t="shared" si="114"/>
        <v>0</v>
      </c>
      <c r="AF262" s="1">
        <f t="shared" si="99"/>
        <v>0</v>
      </c>
      <c r="AG262" s="1">
        <f t="shared" si="100"/>
        <v>0</v>
      </c>
      <c r="AH262" s="1">
        <f t="shared" si="101"/>
        <v>0</v>
      </c>
      <c r="AI262" s="1">
        <f t="shared" si="102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6" t="s">
        <v>819</v>
      </c>
      <c r="E263" s="32" t="s">
        <v>29</v>
      </c>
      <c r="F263" s="36" t="s">
        <v>820</v>
      </c>
      <c r="G263" s="36" t="s">
        <v>917</v>
      </c>
      <c r="H263" s="36" t="s">
        <v>352</v>
      </c>
      <c r="I263" s="37" t="s">
        <v>821</v>
      </c>
      <c r="J263" s="31">
        <v>99</v>
      </c>
      <c r="K263" s="33" t="s">
        <v>942</v>
      </c>
      <c r="L263" s="33" t="s">
        <v>690</v>
      </c>
      <c r="M263" s="34" t="s">
        <v>960</v>
      </c>
      <c r="N263" s="34" t="s">
        <v>1809</v>
      </c>
      <c r="O263" s="35">
        <v>1</v>
      </c>
      <c r="P263" s="35"/>
      <c r="Q263" s="36"/>
      <c r="S263" s="1">
        <f t="shared" si="103"/>
        <v>0</v>
      </c>
      <c r="T263" s="1">
        <f t="shared" si="104"/>
        <v>0</v>
      </c>
      <c r="U263" s="1">
        <f t="shared" si="105"/>
        <v>0</v>
      </c>
      <c r="V263" s="1">
        <f t="shared" si="106"/>
        <v>0</v>
      </c>
      <c r="W263" s="1">
        <f t="shared" si="107"/>
        <v>0</v>
      </c>
      <c r="X263" s="1">
        <f t="shared" si="108"/>
        <v>0</v>
      </c>
      <c r="Y263" s="1">
        <f t="shared" si="109"/>
        <v>0</v>
      </c>
      <c r="Z263" s="1">
        <f t="shared" si="110"/>
        <v>0</v>
      </c>
      <c r="AA263" s="1">
        <f t="shared" si="111"/>
        <v>0</v>
      </c>
      <c r="AB263" s="1">
        <f t="shared" si="112"/>
        <v>0</v>
      </c>
      <c r="AD263" s="1">
        <f t="shared" si="113"/>
        <v>0</v>
      </c>
      <c r="AE263" s="1">
        <f t="shared" si="114"/>
        <v>1</v>
      </c>
      <c r="AF263" s="1">
        <f t="shared" si="99"/>
        <v>0</v>
      </c>
      <c r="AG263" s="1">
        <f t="shared" si="100"/>
        <v>1</v>
      </c>
      <c r="AH263" s="1">
        <f t="shared" si="101"/>
        <v>0</v>
      </c>
      <c r="AI263" s="1">
        <f t="shared" si="102"/>
        <v>1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6" t="s">
        <v>1704</v>
      </c>
      <c r="E264" s="32" t="s">
        <v>29</v>
      </c>
      <c r="F264" s="36" t="s">
        <v>1705</v>
      </c>
      <c r="G264" s="36" t="s">
        <v>248</v>
      </c>
      <c r="H264" s="36" t="s">
        <v>352</v>
      </c>
      <c r="I264" s="37" t="s">
        <v>1706</v>
      </c>
      <c r="J264" s="31"/>
      <c r="K264" s="33" t="s">
        <v>699</v>
      </c>
      <c r="L264" s="33"/>
      <c r="M264" s="34"/>
      <c r="N264" s="34" t="s">
        <v>1711</v>
      </c>
      <c r="O264" s="35">
        <v>1</v>
      </c>
      <c r="P264" s="35">
        <v>1</v>
      </c>
      <c r="Q264" s="36"/>
      <c r="S264" s="1">
        <f t="shared" si="103"/>
        <v>0</v>
      </c>
      <c r="T264" s="1">
        <f t="shared" si="104"/>
        <v>0</v>
      </c>
      <c r="U264" s="1">
        <f t="shared" si="105"/>
        <v>0</v>
      </c>
      <c r="V264" s="1">
        <f t="shared" si="106"/>
        <v>0</v>
      </c>
      <c r="W264" s="1">
        <f t="shared" si="107"/>
        <v>0</v>
      </c>
      <c r="X264" s="1">
        <f t="shared" si="108"/>
        <v>0</v>
      </c>
      <c r="Y264" s="1">
        <f t="shared" si="109"/>
        <v>0</v>
      </c>
      <c r="Z264" s="1">
        <f t="shared" si="110"/>
        <v>0</v>
      </c>
      <c r="AA264" s="1">
        <f t="shared" si="111"/>
        <v>0</v>
      </c>
      <c r="AB264" s="1">
        <f t="shared" si="112"/>
        <v>0</v>
      </c>
      <c r="AD264" s="1">
        <f t="shared" si="113"/>
        <v>1</v>
      </c>
      <c r="AE264" s="1">
        <f t="shared" si="114"/>
        <v>0</v>
      </c>
      <c r="AF264" s="1">
        <f t="shared" si="99"/>
        <v>1</v>
      </c>
      <c r="AG264" s="1">
        <f t="shared" si="100"/>
        <v>0</v>
      </c>
      <c r="AH264" s="1">
        <f t="shared" si="101"/>
        <v>1</v>
      </c>
      <c r="AI264" s="1">
        <f t="shared" si="102"/>
        <v>0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2" t="s">
        <v>890</v>
      </c>
      <c r="E265" s="32" t="s">
        <v>29</v>
      </c>
      <c r="F265" s="32" t="s">
        <v>891</v>
      </c>
      <c r="G265" s="32" t="s">
        <v>227</v>
      </c>
      <c r="H265" s="32" t="s">
        <v>352</v>
      </c>
      <c r="I265" s="31" t="s">
        <v>892</v>
      </c>
      <c r="J265" s="31">
        <v>99</v>
      </c>
      <c r="K265" s="33" t="s">
        <v>709</v>
      </c>
      <c r="L265" s="33" t="s">
        <v>690</v>
      </c>
      <c r="M265" s="34" t="s">
        <v>1390</v>
      </c>
      <c r="N265" s="34" t="s">
        <v>1732</v>
      </c>
      <c r="O265" s="35">
        <v>1</v>
      </c>
      <c r="P265" s="35"/>
      <c r="Q265" s="32"/>
      <c r="S265" s="1">
        <f t="shared" si="103"/>
        <v>0</v>
      </c>
      <c r="T265" s="1">
        <f t="shared" si="104"/>
        <v>0</v>
      </c>
      <c r="U265" s="1">
        <f t="shared" si="105"/>
        <v>0</v>
      </c>
      <c r="V265" s="1">
        <f t="shared" si="106"/>
        <v>0</v>
      </c>
      <c r="W265" s="1">
        <f t="shared" si="107"/>
        <v>0</v>
      </c>
      <c r="X265" s="1">
        <f t="shared" si="108"/>
        <v>0</v>
      </c>
      <c r="Y265" s="1">
        <f t="shared" si="109"/>
        <v>0</v>
      </c>
      <c r="Z265" s="1">
        <f t="shared" si="110"/>
        <v>0</v>
      </c>
      <c r="AA265" s="1">
        <f t="shared" si="111"/>
        <v>0</v>
      </c>
      <c r="AB265" s="1">
        <f t="shared" si="112"/>
        <v>0</v>
      </c>
      <c r="AD265" s="1">
        <f t="shared" si="113"/>
        <v>0</v>
      </c>
      <c r="AE265" s="1">
        <f t="shared" si="114"/>
        <v>1</v>
      </c>
      <c r="AF265" s="1">
        <f t="shared" si="99"/>
        <v>0</v>
      </c>
      <c r="AG265" s="1">
        <f t="shared" si="100"/>
        <v>1</v>
      </c>
      <c r="AH265" s="1">
        <f t="shared" si="101"/>
        <v>0</v>
      </c>
      <c r="AI265" s="1">
        <f t="shared" si="102"/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2" t="s">
        <v>88</v>
      </c>
      <c r="E266" s="32" t="s">
        <v>29</v>
      </c>
      <c r="F266" s="32" t="s">
        <v>280</v>
      </c>
      <c r="G266" s="32" t="s">
        <v>281</v>
      </c>
      <c r="H266" s="32" t="s">
        <v>352</v>
      </c>
      <c r="I266" s="31" t="s">
        <v>931</v>
      </c>
      <c r="J266" s="31">
        <v>99</v>
      </c>
      <c r="K266" s="33" t="s">
        <v>942</v>
      </c>
      <c r="L266" s="33" t="s">
        <v>690</v>
      </c>
      <c r="M266" s="34" t="s">
        <v>960</v>
      </c>
      <c r="N266" s="34" t="s">
        <v>1833</v>
      </c>
      <c r="O266" s="35">
        <v>1</v>
      </c>
      <c r="P266" s="35"/>
      <c r="Q266" s="32"/>
      <c r="S266" s="1">
        <f t="shared" si="103"/>
        <v>0</v>
      </c>
      <c r="T266" s="1">
        <f t="shared" si="104"/>
        <v>0</v>
      </c>
      <c r="U266" s="1">
        <f t="shared" si="105"/>
        <v>0</v>
      </c>
      <c r="V266" s="1">
        <f t="shared" si="106"/>
        <v>0</v>
      </c>
      <c r="W266" s="1">
        <f t="shared" si="107"/>
        <v>0</v>
      </c>
      <c r="X266" s="1">
        <f t="shared" si="108"/>
        <v>0</v>
      </c>
      <c r="Y266" s="1">
        <f t="shared" si="109"/>
        <v>0</v>
      </c>
      <c r="Z266" s="1">
        <f t="shared" si="110"/>
        <v>0</v>
      </c>
      <c r="AA266" s="1">
        <f t="shared" si="111"/>
        <v>0</v>
      </c>
      <c r="AB266" s="1">
        <f t="shared" si="112"/>
        <v>0</v>
      </c>
      <c r="AD266" s="1">
        <f t="shared" si="113"/>
        <v>0</v>
      </c>
      <c r="AE266" s="1">
        <f t="shared" si="114"/>
        <v>1</v>
      </c>
      <c r="AF266" s="1">
        <f t="shared" si="99"/>
        <v>0</v>
      </c>
      <c r="AG266" s="1">
        <f t="shared" si="100"/>
        <v>1</v>
      </c>
      <c r="AH266" s="1">
        <f t="shared" si="101"/>
        <v>0</v>
      </c>
      <c r="AI266" s="1">
        <f t="shared" si="102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1620</v>
      </c>
      <c r="E267" s="32" t="s">
        <v>29</v>
      </c>
      <c r="F267" s="36" t="s">
        <v>1519</v>
      </c>
      <c r="G267" s="36" t="s">
        <v>39</v>
      </c>
      <c r="H267" s="36" t="s">
        <v>875</v>
      </c>
      <c r="I267" s="37" t="s">
        <v>1520</v>
      </c>
      <c r="J267" s="31">
        <v>17</v>
      </c>
      <c r="K267" s="33" t="s">
        <v>709</v>
      </c>
      <c r="L267" s="33" t="s">
        <v>693</v>
      </c>
      <c r="M267" s="34" t="s">
        <v>1441</v>
      </c>
      <c r="N267" s="34" t="s">
        <v>1711</v>
      </c>
      <c r="O267" s="35">
        <v>1</v>
      </c>
      <c r="P267" s="35">
        <v>1</v>
      </c>
      <c r="Q267" s="36"/>
      <c r="S267" s="1">
        <f t="shared" si="103"/>
        <v>0</v>
      </c>
      <c r="T267" s="1">
        <f t="shared" si="104"/>
        <v>0</v>
      </c>
      <c r="U267" s="1">
        <f t="shared" si="105"/>
        <v>0</v>
      </c>
      <c r="V267" s="1">
        <f t="shared" si="106"/>
        <v>0</v>
      </c>
      <c r="W267" s="1">
        <f t="shared" si="107"/>
        <v>0</v>
      </c>
      <c r="X267" s="1">
        <f t="shared" si="108"/>
        <v>0</v>
      </c>
      <c r="Y267" s="1">
        <f t="shared" si="109"/>
        <v>0</v>
      </c>
      <c r="Z267" s="1">
        <f t="shared" si="110"/>
        <v>0</v>
      </c>
      <c r="AA267" s="1">
        <f t="shared" si="111"/>
        <v>0</v>
      </c>
      <c r="AB267" s="1">
        <f t="shared" si="112"/>
        <v>0</v>
      </c>
      <c r="AD267" s="1">
        <f t="shared" si="113"/>
        <v>1</v>
      </c>
      <c r="AE267" s="1">
        <f t="shared" si="114"/>
        <v>0</v>
      </c>
      <c r="AF267" s="1">
        <f t="shared" si="99"/>
        <v>1</v>
      </c>
      <c r="AG267" s="1">
        <f t="shared" si="100"/>
        <v>0</v>
      </c>
      <c r="AH267" s="1">
        <f t="shared" si="101"/>
        <v>1</v>
      </c>
      <c r="AI267" s="1">
        <f t="shared" si="102"/>
        <v>0</v>
      </c>
    </row>
    <row r="268" spans="1:35" s="1" customFormat="1" ht="14.25" customHeight="1" x14ac:dyDescent="0.25">
      <c r="A268" s="44">
        <v>0</v>
      </c>
      <c r="B268" s="44">
        <v>1</v>
      </c>
      <c r="C268" s="44">
        <v>7</v>
      </c>
      <c r="D268" s="45" t="s">
        <v>1438</v>
      </c>
      <c r="E268" s="45" t="s">
        <v>29</v>
      </c>
      <c r="F268" s="45" t="s">
        <v>1439</v>
      </c>
      <c r="G268" s="45" t="s">
        <v>319</v>
      </c>
      <c r="H268" s="45" t="s">
        <v>352</v>
      </c>
      <c r="I268" s="44" t="s">
        <v>1440</v>
      </c>
      <c r="J268" s="44">
        <v>99</v>
      </c>
      <c r="K268" s="46" t="s">
        <v>699</v>
      </c>
      <c r="L268" s="46">
        <v>30</v>
      </c>
      <c r="M268" s="47" t="s">
        <v>1441</v>
      </c>
      <c r="N268" s="47" t="s">
        <v>1786</v>
      </c>
      <c r="O268" s="48"/>
      <c r="P268" s="48"/>
      <c r="Q268" s="45"/>
      <c r="S268" s="1">
        <f t="shared" si="103"/>
        <v>0</v>
      </c>
      <c r="T268" s="1">
        <f t="shared" si="104"/>
        <v>0</v>
      </c>
      <c r="U268" s="1">
        <f t="shared" si="105"/>
        <v>0</v>
      </c>
      <c r="V268" s="1">
        <f t="shared" si="106"/>
        <v>0</v>
      </c>
      <c r="W268" s="1">
        <f t="shared" si="107"/>
        <v>0</v>
      </c>
      <c r="X268" s="1">
        <f t="shared" si="108"/>
        <v>0</v>
      </c>
      <c r="Y268" s="1">
        <f t="shared" si="109"/>
        <v>0</v>
      </c>
      <c r="Z268" s="1">
        <f t="shared" si="110"/>
        <v>0</v>
      </c>
      <c r="AA268" s="1">
        <f t="shared" si="111"/>
        <v>0</v>
      </c>
      <c r="AB268" s="1">
        <f t="shared" si="112"/>
        <v>0</v>
      </c>
      <c r="AD268" s="1">
        <f t="shared" si="113"/>
        <v>0</v>
      </c>
      <c r="AE268" s="1">
        <f t="shared" si="114"/>
        <v>0</v>
      </c>
      <c r="AF268" s="1">
        <f t="shared" si="99"/>
        <v>0</v>
      </c>
      <c r="AG268" s="1">
        <f t="shared" si="100"/>
        <v>0</v>
      </c>
      <c r="AH268" s="1">
        <f t="shared" si="101"/>
        <v>0</v>
      </c>
      <c r="AI268" s="1">
        <f t="shared" si="102"/>
        <v>1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6" t="s">
        <v>837</v>
      </c>
      <c r="E269" s="32" t="s">
        <v>29</v>
      </c>
      <c r="F269" s="36" t="s">
        <v>838</v>
      </c>
      <c r="G269" s="36" t="s">
        <v>221</v>
      </c>
      <c r="H269" s="36" t="s">
        <v>352</v>
      </c>
      <c r="I269" s="37" t="s">
        <v>839</v>
      </c>
      <c r="J269" s="31">
        <v>99</v>
      </c>
      <c r="K269" s="33" t="s">
        <v>942</v>
      </c>
      <c r="L269" s="33" t="s">
        <v>690</v>
      </c>
      <c r="M269" s="34" t="s">
        <v>960</v>
      </c>
      <c r="N269" s="34" t="s">
        <v>1833</v>
      </c>
      <c r="O269" s="35">
        <v>1</v>
      </c>
      <c r="P269" s="35"/>
      <c r="Q269" s="36"/>
      <c r="S269" s="1">
        <f t="shared" si="103"/>
        <v>0</v>
      </c>
      <c r="T269" s="1">
        <f t="shared" si="104"/>
        <v>0</v>
      </c>
      <c r="U269" s="1">
        <f t="shared" si="105"/>
        <v>0</v>
      </c>
      <c r="V269" s="1">
        <f t="shared" si="106"/>
        <v>0</v>
      </c>
      <c r="W269" s="1">
        <f t="shared" si="107"/>
        <v>0</v>
      </c>
      <c r="X269" s="1">
        <f t="shared" si="108"/>
        <v>0</v>
      </c>
      <c r="Y269" s="1">
        <f t="shared" si="109"/>
        <v>0</v>
      </c>
      <c r="Z269" s="1">
        <f t="shared" si="110"/>
        <v>0</v>
      </c>
      <c r="AA269" s="1">
        <f t="shared" si="111"/>
        <v>0</v>
      </c>
      <c r="AB269" s="1">
        <f t="shared" si="112"/>
        <v>0</v>
      </c>
      <c r="AD269" s="1">
        <f t="shared" si="113"/>
        <v>0</v>
      </c>
      <c r="AE269" s="1">
        <f t="shared" si="114"/>
        <v>1</v>
      </c>
      <c r="AF269" s="1">
        <f t="shared" si="99"/>
        <v>0</v>
      </c>
      <c r="AG269" s="1">
        <f t="shared" si="100"/>
        <v>1</v>
      </c>
      <c r="AH269" s="1">
        <f t="shared" si="101"/>
        <v>0</v>
      </c>
      <c r="AI269" s="1">
        <f t="shared" si="102"/>
        <v>1</v>
      </c>
    </row>
    <row r="270" spans="1:35" s="1" customFormat="1" ht="14.25" customHeight="1" x14ac:dyDescent="0.25">
      <c r="A270" s="31">
        <v>1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919</v>
      </c>
      <c r="G270" s="36" t="s">
        <v>278</v>
      </c>
      <c r="H270" s="36" t="s">
        <v>352</v>
      </c>
      <c r="I270" s="37" t="s">
        <v>840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1833</v>
      </c>
      <c r="O270" s="35">
        <v>1</v>
      </c>
      <c r="P270" s="35"/>
      <c r="Q270" s="36"/>
      <c r="S270" s="1">
        <f t="shared" si="103"/>
        <v>0</v>
      </c>
      <c r="T270" s="1">
        <f t="shared" si="104"/>
        <v>0</v>
      </c>
      <c r="U270" s="1">
        <f t="shared" si="105"/>
        <v>0</v>
      </c>
      <c r="V270" s="1">
        <f t="shared" si="106"/>
        <v>0</v>
      </c>
      <c r="W270" s="1">
        <f t="shared" si="107"/>
        <v>0</v>
      </c>
      <c r="X270" s="1">
        <f t="shared" si="108"/>
        <v>0</v>
      </c>
      <c r="Y270" s="1">
        <f t="shared" si="109"/>
        <v>0</v>
      </c>
      <c r="Z270" s="1">
        <f t="shared" si="110"/>
        <v>0</v>
      </c>
      <c r="AA270" s="1">
        <f t="shared" si="111"/>
        <v>0</v>
      </c>
      <c r="AB270" s="1">
        <f t="shared" si="112"/>
        <v>0</v>
      </c>
      <c r="AD270" s="1">
        <f t="shared" si="113"/>
        <v>0</v>
      </c>
      <c r="AE270" s="1">
        <f t="shared" si="114"/>
        <v>1</v>
      </c>
      <c r="AF270" s="1">
        <f t="shared" si="99"/>
        <v>0</v>
      </c>
      <c r="AG270" s="1">
        <f t="shared" si="100"/>
        <v>0</v>
      </c>
      <c r="AH270" s="1">
        <f t="shared" si="101"/>
        <v>0</v>
      </c>
      <c r="AI270" s="1">
        <f t="shared" si="102"/>
        <v>0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2" t="s">
        <v>1200</v>
      </c>
      <c r="E271" s="32" t="s">
        <v>29</v>
      </c>
      <c r="F271" s="32" t="s">
        <v>1201</v>
      </c>
      <c r="G271" s="32" t="s">
        <v>237</v>
      </c>
      <c r="H271" s="32" t="s">
        <v>352</v>
      </c>
      <c r="I271" s="31" t="s">
        <v>1345</v>
      </c>
      <c r="J271" s="31">
        <v>99</v>
      </c>
      <c r="K271" s="33" t="s">
        <v>709</v>
      </c>
      <c r="L271" s="33" t="s">
        <v>690</v>
      </c>
      <c r="M271" s="34" t="s">
        <v>1391</v>
      </c>
      <c r="N271" s="34" t="s">
        <v>1739</v>
      </c>
      <c r="O271" s="35">
        <v>1</v>
      </c>
      <c r="P271" s="35"/>
      <c r="Q271" s="32"/>
      <c r="S271" s="1">
        <f t="shared" si="103"/>
        <v>0</v>
      </c>
      <c r="T271" s="1">
        <f t="shared" si="104"/>
        <v>0</v>
      </c>
      <c r="U271" s="1">
        <f t="shared" si="105"/>
        <v>0</v>
      </c>
      <c r="V271" s="1">
        <f t="shared" si="106"/>
        <v>0</v>
      </c>
      <c r="W271" s="1">
        <f t="shared" si="107"/>
        <v>0</v>
      </c>
      <c r="X271" s="1">
        <f t="shared" si="108"/>
        <v>0</v>
      </c>
      <c r="Y271" s="1">
        <f t="shared" si="109"/>
        <v>0</v>
      </c>
      <c r="Z271" s="1">
        <f t="shared" si="110"/>
        <v>0</v>
      </c>
      <c r="AA271" s="1">
        <f t="shared" si="111"/>
        <v>0</v>
      </c>
      <c r="AB271" s="1">
        <f t="shared" si="112"/>
        <v>0</v>
      </c>
      <c r="AD271" s="1">
        <f t="shared" si="113"/>
        <v>0</v>
      </c>
      <c r="AE271" s="1">
        <f t="shared" si="114"/>
        <v>1</v>
      </c>
      <c r="AF271" s="1">
        <f t="shared" ref="AF271:AF334" si="115">+O271*P271*(1-A271)</f>
        <v>0</v>
      </c>
      <c r="AG271" s="1">
        <f t="shared" ref="AG271:AG334" si="116">O271*(1-P271)*(1-A271)</f>
        <v>1</v>
      </c>
      <c r="AH271" s="1">
        <f t="shared" ref="AH271:AH334" si="117">+P271*(1-A271)</f>
        <v>0</v>
      </c>
      <c r="AI271" s="1">
        <f t="shared" ref="AI271:AI334" si="118">+(1-A271)*(1-P271)</f>
        <v>1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1217</v>
      </c>
      <c r="E272" s="32" t="s">
        <v>29</v>
      </c>
      <c r="F272" s="36" t="s">
        <v>1218</v>
      </c>
      <c r="G272" s="36" t="s">
        <v>237</v>
      </c>
      <c r="H272" s="36" t="s">
        <v>352</v>
      </c>
      <c r="I272" s="37" t="s">
        <v>1219</v>
      </c>
      <c r="J272" s="31">
        <v>99</v>
      </c>
      <c r="K272" s="33" t="s">
        <v>709</v>
      </c>
      <c r="L272" s="33" t="s">
        <v>689</v>
      </c>
      <c r="M272" s="34" t="s">
        <v>1391</v>
      </c>
      <c r="N272" s="34" t="s">
        <v>1809</v>
      </c>
      <c r="O272" s="35">
        <v>1</v>
      </c>
      <c r="P272" s="35"/>
      <c r="Q272" s="36"/>
      <c r="S272" s="1">
        <f t="shared" si="103"/>
        <v>0</v>
      </c>
      <c r="T272" s="1">
        <f t="shared" si="104"/>
        <v>0</v>
      </c>
      <c r="U272" s="1">
        <f t="shared" si="105"/>
        <v>0</v>
      </c>
      <c r="V272" s="1">
        <f t="shared" si="106"/>
        <v>0</v>
      </c>
      <c r="W272" s="1">
        <f t="shared" si="107"/>
        <v>0</v>
      </c>
      <c r="X272" s="1">
        <f t="shared" si="108"/>
        <v>0</v>
      </c>
      <c r="Y272" s="1">
        <f t="shared" si="109"/>
        <v>0</v>
      </c>
      <c r="Z272" s="1">
        <f t="shared" si="110"/>
        <v>0</v>
      </c>
      <c r="AA272" s="1">
        <f t="shared" si="111"/>
        <v>0</v>
      </c>
      <c r="AB272" s="1">
        <f t="shared" si="112"/>
        <v>0</v>
      </c>
      <c r="AD272" s="1">
        <f t="shared" si="113"/>
        <v>0</v>
      </c>
      <c r="AE272" s="1">
        <f t="shared" si="114"/>
        <v>1</v>
      </c>
      <c r="AF272" s="1">
        <f t="shared" si="115"/>
        <v>0</v>
      </c>
      <c r="AG272" s="1">
        <f t="shared" si="116"/>
        <v>1</v>
      </c>
      <c r="AH272" s="1">
        <f t="shared" si="117"/>
        <v>0</v>
      </c>
      <c r="AI272" s="1">
        <f t="shared" si="118"/>
        <v>1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6" t="s">
        <v>92</v>
      </c>
      <c r="E273" s="32" t="s">
        <v>29</v>
      </c>
      <c r="F273" s="36" t="s">
        <v>286</v>
      </c>
      <c r="G273" s="36" t="s">
        <v>189</v>
      </c>
      <c r="H273" s="36" t="s">
        <v>352</v>
      </c>
      <c r="I273" s="37" t="s">
        <v>438</v>
      </c>
      <c r="J273" s="31">
        <v>99</v>
      </c>
      <c r="K273" s="33" t="s">
        <v>709</v>
      </c>
      <c r="L273" s="33" t="s">
        <v>690</v>
      </c>
      <c r="M273" s="34" t="s">
        <v>1392</v>
      </c>
      <c r="N273" s="34" t="s">
        <v>1734</v>
      </c>
      <c r="O273" s="35">
        <v>1</v>
      </c>
      <c r="P273" s="35"/>
      <c r="Q273" s="36"/>
      <c r="S273" s="1">
        <f t="shared" si="103"/>
        <v>0</v>
      </c>
      <c r="T273" s="1">
        <f t="shared" si="104"/>
        <v>0</v>
      </c>
      <c r="U273" s="1">
        <f t="shared" si="105"/>
        <v>0</v>
      </c>
      <c r="V273" s="1">
        <f t="shared" si="106"/>
        <v>0</v>
      </c>
      <c r="W273" s="1">
        <f t="shared" si="107"/>
        <v>0</v>
      </c>
      <c r="X273" s="1">
        <f t="shared" si="108"/>
        <v>0</v>
      </c>
      <c r="Y273" s="1">
        <f t="shared" si="109"/>
        <v>0</v>
      </c>
      <c r="Z273" s="1">
        <f t="shared" si="110"/>
        <v>0</v>
      </c>
      <c r="AA273" s="1">
        <f t="shared" si="111"/>
        <v>0</v>
      </c>
      <c r="AB273" s="1">
        <f t="shared" si="112"/>
        <v>0</v>
      </c>
      <c r="AD273" s="1">
        <f t="shared" si="113"/>
        <v>0</v>
      </c>
      <c r="AE273" s="1">
        <f t="shared" si="114"/>
        <v>1</v>
      </c>
      <c r="AF273" s="1">
        <f t="shared" si="115"/>
        <v>0</v>
      </c>
      <c r="AG273" s="1">
        <f t="shared" si="116"/>
        <v>1</v>
      </c>
      <c r="AH273" s="1">
        <f t="shared" si="117"/>
        <v>0</v>
      </c>
      <c r="AI273" s="1">
        <f t="shared" si="118"/>
        <v>1</v>
      </c>
    </row>
    <row r="274" spans="1:35" s="1" customFormat="1" ht="14.25" customHeight="1" x14ac:dyDescent="0.25">
      <c r="A274" s="44">
        <v>0</v>
      </c>
      <c r="B274" s="44">
        <v>1</v>
      </c>
      <c r="C274" s="44">
        <v>7</v>
      </c>
      <c r="D274" s="45" t="s">
        <v>861</v>
      </c>
      <c r="E274" s="45" t="s">
        <v>29</v>
      </c>
      <c r="F274" s="45" t="s">
        <v>862</v>
      </c>
      <c r="G274" s="45" t="s">
        <v>193</v>
      </c>
      <c r="H274" s="45" t="s">
        <v>352</v>
      </c>
      <c r="I274" s="44" t="s">
        <v>863</v>
      </c>
      <c r="J274" s="44">
        <v>9</v>
      </c>
      <c r="K274" s="46" t="s">
        <v>709</v>
      </c>
      <c r="L274" s="46" t="s">
        <v>692</v>
      </c>
      <c r="M274" s="47" t="s">
        <v>704</v>
      </c>
      <c r="N274" s="47" t="s">
        <v>1719</v>
      </c>
      <c r="O274" s="48"/>
      <c r="P274" s="48"/>
      <c r="Q274" s="45"/>
      <c r="S274" s="1">
        <f t="shared" si="103"/>
        <v>0</v>
      </c>
      <c r="T274" s="1">
        <f t="shared" si="104"/>
        <v>0</v>
      </c>
      <c r="U274" s="1">
        <f t="shared" si="105"/>
        <v>0</v>
      </c>
      <c r="V274" s="1">
        <f t="shared" si="106"/>
        <v>0</v>
      </c>
      <c r="W274" s="1">
        <f t="shared" si="107"/>
        <v>0</v>
      </c>
      <c r="X274" s="1">
        <f t="shared" si="108"/>
        <v>0</v>
      </c>
      <c r="Y274" s="1">
        <f t="shared" si="109"/>
        <v>0</v>
      </c>
      <c r="Z274" s="1">
        <f t="shared" si="110"/>
        <v>0</v>
      </c>
      <c r="AA274" s="1">
        <f t="shared" si="111"/>
        <v>1</v>
      </c>
      <c r="AB274" s="1">
        <f t="shared" si="112"/>
        <v>0</v>
      </c>
      <c r="AD274" s="1">
        <f t="shared" si="113"/>
        <v>0</v>
      </c>
      <c r="AE274" s="1">
        <f t="shared" si="114"/>
        <v>0</v>
      </c>
      <c r="AF274" s="1">
        <f t="shared" si="115"/>
        <v>0</v>
      </c>
      <c r="AG274" s="1">
        <f t="shared" si="116"/>
        <v>0</v>
      </c>
      <c r="AH274" s="1">
        <f t="shared" si="117"/>
        <v>0</v>
      </c>
      <c r="AI274" s="1">
        <f t="shared" si="118"/>
        <v>1</v>
      </c>
    </row>
    <row r="275" spans="1:35" s="1" customFormat="1" ht="14.25" customHeight="1" x14ac:dyDescent="0.25">
      <c r="A275" s="44">
        <v>1</v>
      </c>
      <c r="B275" s="44">
        <v>1</v>
      </c>
      <c r="C275" s="44">
        <v>7</v>
      </c>
      <c r="D275" s="45" t="s">
        <v>861</v>
      </c>
      <c r="E275" s="45" t="s">
        <v>29</v>
      </c>
      <c r="F275" s="45" t="s">
        <v>1055</v>
      </c>
      <c r="G275" s="45" t="s">
        <v>319</v>
      </c>
      <c r="H275" s="45" t="s">
        <v>352</v>
      </c>
      <c r="I275" s="44" t="s">
        <v>1056</v>
      </c>
      <c r="J275" s="44">
        <v>99</v>
      </c>
      <c r="K275" s="46" t="s">
        <v>709</v>
      </c>
      <c r="L275" s="46" t="s">
        <v>692</v>
      </c>
      <c r="M275" s="47" t="s">
        <v>704</v>
      </c>
      <c r="N275" s="47" t="s">
        <v>1719</v>
      </c>
      <c r="O275" s="48"/>
      <c r="P275" s="48"/>
      <c r="Q275" s="45"/>
      <c r="S275" s="1">
        <f t="shared" ref="S275:S338" si="119">IF(J275=$S$7,1,0)</f>
        <v>0</v>
      </c>
      <c r="T275" s="1">
        <f t="shared" ref="T275:T338" si="120">IF(J275=$T$7,1,0)</f>
        <v>0</v>
      </c>
      <c r="U275" s="1">
        <f t="shared" ref="U275:U338" si="121">IF(J275=$U$7,1,0)</f>
        <v>0</v>
      </c>
      <c r="V275" s="1">
        <f t="shared" ref="V275:V338" si="122">IF(J275=$V$7,1,0)</f>
        <v>0</v>
      </c>
      <c r="W275" s="1">
        <f t="shared" ref="W275:W338" si="123">IF(J275=$W$7,1,0)</f>
        <v>0</v>
      </c>
      <c r="X275" s="1">
        <f t="shared" ref="X275:X338" si="124">IF(J275=$X$7,1,0)</f>
        <v>0</v>
      </c>
      <c r="Y275" s="1">
        <f t="shared" ref="Y275:Y338" si="125">IF(J275=$Y$7,1,0)</f>
        <v>0</v>
      </c>
      <c r="Z275" s="1">
        <f t="shared" ref="Z275:Z338" si="126">IF(J275=$Z$7,1,0)</f>
        <v>0</v>
      </c>
      <c r="AA275" s="1">
        <f t="shared" ref="AA275:AA338" si="127">IF(J275=$AA$7,1,0)</f>
        <v>0</v>
      </c>
      <c r="AB275" s="1">
        <f t="shared" ref="AB275:AB338" si="128">IF(J275=$AB$7,1,0)</f>
        <v>0</v>
      </c>
      <c r="AD275" s="1">
        <f t="shared" ref="AD275:AD338" si="129">+O275*P275</f>
        <v>0</v>
      </c>
      <c r="AE275" s="1">
        <f t="shared" ref="AE275:AE338" si="130">O275*(1-P275)</f>
        <v>0</v>
      </c>
      <c r="AF275" s="1">
        <f t="shared" si="115"/>
        <v>0</v>
      </c>
      <c r="AG275" s="1">
        <f t="shared" si="116"/>
        <v>0</v>
      </c>
      <c r="AH275" s="1">
        <f t="shared" si="117"/>
        <v>0</v>
      </c>
      <c r="AI275" s="1">
        <f t="shared" si="118"/>
        <v>0</v>
      </c>
    </row>
    <row r="276" spans="1:35" s="1" customFormat="1" ht="14.25" customHeight="1" x14ac:dyDescent="0.25">
      <c r="A276" s="44">
        <v>1</v>
      </c>
      <c r="B276" s="44">
        <v>1</v>
      </c>
      <c r="C276" s="44">
        <v>7</v>
      </c>
      <c r="D276" s="45" t="s">
        <v>861</v>
      </c>
      <c r="E276" s="45" t="s">
        <v>29</v>
      </c>
      <c r="F276" s="65" t="s">
        <v>2005</v>
      </c>
      <c r="G276" s="65" t="s">
        <v>193</v>
      </c>
      <c r="H276" s="45" t="s">
        <v>352</v>
      </c>
      <c r="I276" s="64" t="s">
        <v>863</v>
      </c>
      <c r="J276" s="44">
        <v>9</v>
      </c>
      <c r="K276" s="46" t="s">
        <v>709</v>
      </c>
      <c r="L276" s="46" t="s">
        <v>692</v>
      </c>
      <c r="M276" s="47" t="s">
        <v>704</v>
      </c>
      <c r="N276" s="47" t="s">
        <v>1719</v>
      </c>
      <c r="O276" s="48"/>
      <c r="P276" s="48"/>
      <c r="Q276" s="45"/>
      <c r="S276" s="1">
        <f t="shared" si="119"/>
        <v>0</v>
      </c>
      <c r="T276" s="1">
        <f t="shared" si="120"/>
        <v>0</v>
      </c>
      <c r="U276" s="1">
        <f t="shared" si="121"/>
        <v>0</v>
      </c>
      <c r="V276" s="1">
        <f t="shared" si="122"/>
        <v>0</v>
      </c>
      <c r="W276" s="1">
        <f t="shared" si="123"/>
        <v>0</v>
      </c>
      <c r="X276" s="1">
        <f t="shared" si="124"/>
        <v>0</v>
      </c>
      <c r="Y276" s="1">
        <f t="shared" si="125"/>
        <v>0</v>
      </c>
      <c r="Z276" s="1">
        <f t="shared" si="126"/>
        <v>0</v>
      </c>
      <c r="AA276" s="1">
        <f t="shared" si="127"/>
        <v>1</v>
      </c>
      <c r="AB276" s="1">
        <f t="shared" si="128"/>
        <v>0</v>
      </c>
      <c r="AD276" s="1">
        <f t="shared" si="129"/>
        <v>0</v>
      </c>
      <c r="AE276" s="1">
        <f t="shared" si="130"/>
        <v>0</v>
      </c>
      <c r="AF276" s="1">
        <f t="shared" si="115"/>
        <v>0</v>
      </c>
      <c r="AG276" s="1">
        <f t="shared" si="116"/>
        <v>0</v>
      </c>
      <c r="AH276" s="1">
        <f t="shared" si="117"/>
        <v>0</v>
      </c>
      <c r="AI276" s="1">
        <f t="shared" si="118"/>
        <v>0</v>
      </c>
    </row>
    <row r="277" spans="1:35" s="1" customFormat="1" ht="14.25" customHeight="1" x14ac:dyDescent="0.25">
      <c r="A277" s="44">
        <v>1</v>
      </c>
      <c r="B277" s="44">
        <v>1</v>
      </c>
      <c r="C277" s="44">
        <v>7</v>
      </c>
      <c r="D277" s="45" t="s">
        <v>861</v>
      </c>
      <c r="E277" s="45" t="s">
        <v>29</v>
      </c>
      <c r="F277" s="65" t="s">
        <v>2007</v>
      </c>
      <c r="G277" s="65" t="s">
        <v>208</v>
      </c>
      <c r="H277" s="45" t="s">
        <v>352</v>
      </c>
      <c r="I277" s="64" t="s">
        <v>2006</v>
      </c>
      <c r="J277" s="44">
        <v>99</v>
      </c>
      <c r="K277" s="46" t="s">
        <v>709</v>
      </c>
      <c r="L277" s="46" t="s">
        <v>692</v>
      </c>
      <c r="M277" s="47" t="s">
        <v>704</v>
      </c>
      <c r="N277" s="47" t="s">
        <v>1719</v>
      </c>
      <c r="O277" s="48"/>
      <c r="P277" s="48"/>
      <c r="Q277" s="45"/>
      <c r="S277" s="1">
        <f t="shared" si="119"/>
        <v>0</v>
      </c>
      <c r="T277" s="1">
        <f t="shared" si="120"/>
        <v>0</v>
      </c>
      <c r="U277" s="1">
        <f t="shared" si="121"/>
        <v>0</v>
      </c>
      <c r="V277" s="1">
        <f t="shared" si="122"/>
        <v>0</v>
      </c>
      <c r="W277" s="1">
        <f t="shared" si="123"/>
        <v>0</v>
      </c>
      <c r="X277" s="1">
        <f t="shared" si="124"/>
        <v>0</v>
      </c>
      <c r="Y277" s="1">
        <f t="shared" si="125"/>
        <v>0</v>
      </c>
      <c r="Z277" s="1">
        <f t="shared" si="126"/>
        <v>0</v>
      </c>
      <c r="AA277" s="1">
        <f t="shared" si="127"/>
        <v>0</v>
      </c>
      <c r="AB277" s="1">
        <f t="shared" si="128"/>
        <v>0</v>
      </c>
      <c r="AD277" s="1">
        <f t="shared" si="129"/>
        <v>0</v>
      </c>
      <c r="AE277" s="1">
        <f t="shared" si="130"/>
        <v>0</v>
      </c>
      <c r="AF277" s="1">
        <f t="shared" si="115"/>
        <v>0</v>
      </c>
      <c r="AG277" s="1">
        <f t="shared" si="116"/>
        <v>0</v>
      </c>
      <c r="AH277" s="1">
        <f t="shared" si="117"/>
        <v>0</v>
      </c>
      <c r="AI277" s="1">
        <f t="shared" si="118"/>
        <v>0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6" t="s">
        <v>95</v>
      </c>
      <c r="E278" s="32" t="s">
        <v>29</v>
      </c>
      <c r="F278" s="36" t="s">
        <v>290</v>
      </c>
      <c r="G278" s="36" t="s">
        <v>291</v>
      </c>
      <c r="H278" s="36" t="s">
        <v>352</v>
      </c>
      <c r="I278" s="37" t="s">
        <v>1104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1732</v>
      </c>
      <c r="O278" s="35">
        <v>1</v>
      </c>
      <c r="P278" s="35"/>
      <c r="Q278" s="36"/>
      <c r="S278" s="1">
        <f t="shared" si="119"/>
        <v>0</v>
      </c>
      <c r="T278" s="1">
        <f t="shared" si="120"/>
        <v>0</v>
      </c>
      <c r="U278" s="1">
        <f t="shared" si="121"/>
        <v>0</v>
      </c>
      <c r="V278" s="1">
        <f t="shared" si="122"/>
        <v>0</v>
      </c>
      <c r="W278" s="1">
        <f t="shared" si="123"/>
        <v>0</v>
      </c>
      <c r="X278" s="1">
        <f t="shared" si="124"/>
        <v>0</v>
      </c>
      <c r="Y278" s="1">
        <f t="shared" si="125"/>
        <v>0</v>
      </c>
      <c r="Z278" s="1">
        <f t="shared" si="126"/>
        <v>0</v>
      </c>
      <c r="AA278" s="1">
        <f t="shared" si="127"/>
        <v>0</v>
      </c>
      <c r="AB278" s="1">
        <f t="shared" si="128"/>
        <v>0</v>
      </c>
      <c r="AD278" s="1">
        <f t="shared" si="129"/>
        <v>0</v>
      </c>
      <c r="AE278" s="1">
        <f t="shared" si="130"/>
        <v>1</v>
      </c>
      <c r="AF278" s="1">
        <f t="shared" si="115"/>
        <v>0</v>
      </c>
      <c r="AG278" s="1">
        <f t="shared" si="116"/>
        <v>1</v>
      </c>
      <c r="AH278" s="1">
        <f t="shared" si="117"/>
        <v>0</v>
      </c>
      <c r="AI278" s="1">
        <f t="shared" si="118"/>
        <v>1</v>
      </c>
    </row>
    <row r="279" spans="1:35" s="1" customFormat="1" ht="14.25" customHeight="1" x14ac:dyDescent="0.25">
      <c r="A279" s="44">
        <v>0</v>
      </c>
      <c r="B279" s="44">
        <v>1</v>
      </c>
      <c r="C279" s="44">
        <v>7</v>
      </c>
      <c r="D279" s="45" t="s">
        <v>528</v>
      </c>
      <c r="E279" s="45" t="s">
        <v>29</v>
      </c>
      <c r="F279" s="45" t="s">
        <v>661</v>
      </c>
      <c r="G279" s="45" t="s">
        <v>39</v>
      </c>
      <c r="H279" s="45" t="s">
        <v>529</v>
      </c>
      <c r="I279" s="44" t="s">
        <v>1674</v>
      </c>
      <c r="J279" s="44">
        <v>14</v>
      </c>
      <c r="K279" s="46" t="s">
        <v>941</v>
      </c>
      <c r="L279" s="46">
        <v>40</v>
      </c>
      <c r="M279" s="47" t="s">
        <v>704</v>
      </c>
      <c r="N279" s="47" t="s">
        <v>1719</v>
      </c>
      <c r="O279" s="48"/>
      <c r="P279" s="48"/>
      <c r="Q279" s="45"/>
      <c r="S279" s="1">
        <f t="shared" si="119"/>
        <v>0</v>
      </c>
      <c r="T279" s="1">
        <f t="shared" si="120"/>
        <v>0</v>
      </c>
      <c r="U279" s="1">
        <f t="shared" si="121"/>
        <v>0</v>
      </c>
      <c r="V279" s="1">
        <f t="shared" si="122"/>
        <v>0</v>
      </c>
      <c r="W279" s="1">
        <f t="shared" si="123"/>
        <v>0</v>
      </c>
      <c r="X279" s="1">
        <f t="shared" si="124"/>
        <v>0</v>
      </c>
      <c r="Y279" s="1">
        <f t="shared" si="125"/>
        <v>0</v>
      </c>
      <c r="Z279" s="1">
        <f t="shared" si="126"/>
        <v>0</v>
      </c>
      <c r="AA279" s="1">
        <f t="shared" si="127"/>
        <v>0</v>
      </c>
      <c r="AB279" s="1">
        <f t="shared" si="128"/>
        <v>0</v>
      </c>
      <c r="AD279" s="1">
        <f t="shared" si="129"/>
        <v>0</v>
      </c>
      <c r="AE279" s="1">
        <f t="shared" si="130"/>
        <v>0</v>
      </c>
      <c r="AF279" s="1">
        <f t="shared" si="115"/>
        <v>0</v>
      </c>
      <c r="AG279" s="1">
        <f t="shared" si="116"/>
        <v>0</v>
      </c>
      <c r="AH279" s="1">
        <f t="shared" si="117"/>
        <v>0</v>
      </c>
      <c r="AI279" s="1">
        <f t="shared" si="118"/>
        <v>1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6" t="s">
        <v>1305</v>
      </c>
      <c r="E280" s="32" t="s">
        <v>29</v>
      </c>
      <c r="F280" s="36" t="s">
        <v>1329</v>
      </c>
      <c r="G280" s="36" t="s">
        <v>39</v>
      </c>
      <c r="H280" s="36" t="s">
        <v>352</v>
      </c>
      <c r="I280" s="37" t="s">
        <v>1134</v>
      </c>
      <c r="J280" s="31">
        <v>99</v>
      </c>
      <c r="K280" s="33" t="s">
        <v>709</v>
      </c>
      <c r="L280" s="33" t="s">
        <v>689</v>
      </c>
      <c r="M280" s="34" t="s">
        <v>1393</v>
      </c>
      <c r="N280" s="34" t="s">
        <v>1717</v>
      </c>
      <c r="O280" s="35">
        <v>1</v>
      </c>
      <c r="P280" s="35">
        <v>1</v>
      </c>
      <c r="Q280" s="36"/>
      <c r="S280" s="1">
        <f t="shared" si="119"/>
        <v>0</v>
      </c>
      <c r="T280" s="1">
        <f t="shared" si="120"/>
        <v>0</v>
      </c>
      <c r="U280" s="1">
        <f t="shared" si="121"/>
        <v>0</v>
      </c>
      <c r="V280" s="1">
        <f t="shared" si="122"/>
        <v>0</v>
      </c>
      <c r="W280" s="1">
        <f t="shared" si="123"/>
        <v>0</v>
      </c>
      <c r="X280" s="1">
        <f t="shared" si="124"/>
        <v>0</v>
      </c>
      <c r="Y280" s="1">
        <f t="shared" si="125"/>
        <v>0</v>
      </c>
      <c r="Z280" s="1">
        <f t="shared" si="126"/>
        <v>0</v>
      </c>
      <c r="AA280" s="1">
        <f t="shared" si="127"/>
        <v>0</v>
      </c>
      <c r="AB280" s="1">
        <f t="shared" si="128"/>
        <v>0</v>
      </c>
      <c r="AD280" s="1">
        <f t="shared" si="129"/>
        <v>1</v>
      </c>
      <c r="AE280" s="1">
        <f t="shared" si="130"/>
        <v>0</v>
      </c>
      <c r="AF280" s="1">
        <f t="shared" si="115"/>
        <v>1</v>
      </c>
      <c r="AG280" s="1">
        <f t="shared" si="116"/>
        <v>0</v>
      </c>
      <c r="AH280" s="1">
        <f t="shared" si="117"/>
        <v>1</v>
      </c>
      <c r="AI280" s="1">
        <f t="shared" si="118"/>
        <v>0</v>
      </c>
    </row>
    <row r="281" spans="1:35" s="1" customFormat="1" ht="14.25" customHeight="1" x14ac:dyDescent="0.25">
      <c r="A281" s="44">
        <v>0</v>
      </c>
      <c r="B281" s="44">
        <v>1</v>
      </c>
      <c r="C281" s="44">
        <v>7</v>
      </c>
      <c r="D281" s="45" t="s">
        <v>96</v>
      </c>
      <c r="E281" s="45" t="s">
        <v>29</v>
      </c>
      <c r="F281" s="45" t="s">
        <v>293</v>
      </c>
      <c r="G281" s="45" t="s">
        <v>262</v>
      </c>
      <c r="H281" s="45" t="s">
        <v>352</v>
      </c>
      <c r="I281" s="44" t="s">
        <v>442</v>
      </c>
      <c r="J281" s="44">
        <v>1</v>
      </c>
      <c r="K281" s="46" t="s">
        <v>709</v>
      </c>
      <c r="L281" s="46" t="s">
        <v>690</v>
      </c>
      <c r="M281" s="47" t="s">
        <v>704</v>
      </c>
      <c r="N281" s="47" t="s">
        <v>1719</v>
      </c>
      <c r="O281" s="48"/>
      <c r="P281" s="48"/>
      <c r="Q281" s="45"/>
      <c r="S281" s="1">
        <f t="shared" si="119"/>
        <v>1</v>
      </c>
      <c r="T281" s="1">
        <f t="shared" si="120"/>
        <v>0</v>
      </c>
      <c r="U281" s="1">
        <f t="shared" si="121"/>
        <v>0</v>
      </c>
      <c r="V281" s="1">
        <f t="shared" si="122"/>
        <v>0</v>
      </c>
      <c r="W281" s="1">
        <f t="shared" si="123"/>
        <v>0</v>
      </c>
      <c r="X281" s="1">
        <f t="shared" si="124"/>
        <v>0</v>
      </c>
      <c r="Y281" s="1">
        <f t="shared" si="125"/>
        <v>0</v>
      </c>
      <c r="Z281" s="1">
        <f t="shared" si="126"/>
        <v>0</v>
      </c>
      <c r="AA281" s="1">
        <f t="shared" si="127"/>
        <v>0</v>
      </c>
      <c r="AB281" s="1">
        <f t="shared" si="128"/>
        <v>0</v>
      </c>
      <c r="AD281" s="1">
        <f t="shared" si="129"/>
        <v>0</v>
      </c>
      <c r="AE281" s="1">
        <f t="shared" si="130"/>
        <v>0</v>
      </c>
      <c r="AF281" s="1">
        <f t="shared" si="115"/>
        <v>0</v>
      </c>
      <c r="AG281" s="1">
        <f t="shared" si="116"/>
        <v>0</v>
      </c>
      <c r="AH281" s="1">
        <f t="shared" si="117"/>
        <v>0</v>
      </c>
      <c r="AI281" s="1">
        <f t="shared" si="118"/>
        <v>1</v>
      </c>
    </row>
    <row r="282" spans="1:35" s="1" customFormat="1" ht="14.25" customHeight="1" x14ac:dyDescent="0.25">
      <c r="A282" s="15">
        <v>0</v>
      </c>
      <c r="B282" s="15">
        <v>1</v>
      </c>
      <c r="C282" s="15">
        <v>7</v>
      </c>
      <c r="D282" s="16" t="s">
        <v>751</v>
      </c>
      <c r="E282" s="16" t="s">
        <v>29</v>
      </c>
      <c r="F282" s="20" t="s">
        <v>2083</v>
      </c>
      <c r="G282" s="16" t="s">
        <v>39</v>
      </c>
      <c r="H282" s="20" t="s">
        <v>365</v>
      </c>
      <c r="I282" s="21" t="s">
        <v>2084</v>
      </c>
      <c r="J282" s="15">
        <v>18</v>
      </c>
      <c r="K282" s="10" t="s">
        <v>699</v>
      </c>
      <c r="L282" s="10" t="s">
        <v>693</v>
      </c>
      <c r="M282" s="19" t="s">
        <v>704</v>
      </c>
      <c r="N282" s="17"/>
      <c r="Q282" s="16"/>
      <c r="S282" s="1">
        <f t="shared" si="119"/>
        <v>0</v>
      </c>
      <c r="T282" s="1">
        <f t="shared" si="120"/>
        <v>0</v>
      </c>
      <c r="U282" s="1">
        <f t="shared" si="121"/>
        <v>0</v>
      </c>
      <c r="V282" s="1">
        <f t="shared" si="122"/>
        <v>0</v>
      </c>
      <c r="W282" s="1">
        <f t="shared" si="123"/>
        <v>0</v>
      </c>
      <c r="X282" s="1">
        <f t="shared" si="124"/>
        <v>0</v>
      </c>
      <c r="Y282" s="1">
        <f t="shared" si="125"/>
        <v>0</v>
      </c>
      <c r="Z282" s="1">
        <f t="shared" si="126"/>
        <v>0</v>
      </c>
      <c r="AA282" s="1">
        <f t="shared" si="127"/>
        <v>0</v>
      </c>
      <c r="AB282" s="1">
        <f t="shared" si="128"/>
        <v>0</v>
      </c>
      <c r="AD282" s="1">
        <f t="shared" si="129"/>
        <v>0</v>
      </c>
      <c r="AE282" s="1">
        <f t="shared" si="130"/>
        <v>0</v>
      </c>
      <c r="AF282" s="1">
        <f t="shared" si="115"/>
        <v>0</v>
      </c>
      <c r="AG282" s="1">
        <f t="shared" si="116"/>
        <v>0</v>
      </c>
      <c r="AH282" s="1">
        <f t="shared" si="117"/>
        <v>0</v>
      </c>
      <c r="AI282" s="1">
        <f t="shared" si="118"/>
        <v>1</v>
      </c>
    </row>
    <row r="283" spans="1:35" s="1" customFormat="1" ht="14.25" customHeight="1" x14ac:dyDescent="0.25">
      <c r="A283" s="31">
        <v>0</v>
      </c>
      <c r="B283" s="31">
        <v>1</v>
      </c>
      <c r="C283" s="31">
        <v>7</v>
      </c>
      <c r="D283" s="36" t="s">
        <v>1502</v>
      </c>
      <c r="E283" s="32" t="s">
        <v>29</v>
      </c>
      <c r="F283" s="36" t="s">
        <v>1655</v>
      </c>
      <c r="G283" s="36" t="s">
        <v>1656</v>
      </c>
      <c r="H283" s="36" t="s">
        <v>352</v>
      </c>
      <c r="I283" s="37" t="s">
        <v>1503</v>
      </c>
      <c r="J283" s="31">
        <v>99</v>
      </c>
      <c r="K283" s="33" t="s">
        <v>709</v>
      </c>
      <c r="L283" s="33" t="s">
        <v>39</v>
      </c>
      <c r="M283" s="34" t="s">
        <v>39</v>
      </c>
      <c r="N283" s="34" t="s">
        <v>1711</v>
      </c>
      <c r="O283" s="35">
        <v>1</v>
      </c>
      <c r="P283" s="35">
        <v>1</v>
      </c>
      <c r="Q283" s="36"/>
      <c r="S283" s="1">
        <f t="shared" si="119"/>
        <v>0</v>
      </c>
      <c r="T283" s="1">
        <f t="shared" si="120"/>
        <v>0</v>
      </c>
      <c r="U283" s="1">
        <f t="shared" si="121"/>
        <v>0</v>
      </c>
      <c r="V283" s="1">
        <f t="shared" si="122"/>
        <v>0</v>
      </c>
      <c r="W283" s="1">
        <f t="shared" si="123"/>
        <v>0</v>
      </c>
      <c r="X283" s="1">
        <f t="shared" si="124"/>
        <v>0</v>
      </c>
      <c r="Y283" s="1">
        <f t="shared" si="125"/>
        <v>0</v>
      </c>
      <c r="Z283" s="1">
        <f t="shared" si="126"/>
        <v>0</v>
      </c>
      <c r="AA283" s="1">
        <f t="shared" si="127"/>
        <v>0</v>
      </c>
      <c r="AB283" s="1">
        <f t="shared" si="128"/>
        <v>0</v>
      </c>
      <c r="AD283" s="1">
        <f t="shared" si="129"/>
        <v>1</v>
      </c>
      <c r="AE283" s="1">
        <f t="shared" si="130"/>
        <v>0</v>
      </c>
      <c r="AF283" s="1">
        <f t="shared" si="115"/>
        <v>1</v>
      </c>
      <c r="AG283" s="1">
        <f t="shared" si="116"/>
        <v>0</v>
      </c>
      <c r="AH283" s="1">
        <f t="shared" si="117"/>
        <v>1</v>
      </c>
      <c r="AI283" s="1">
        <f t="shared" si="118"/>
        <v>0</v>
      </c>
    </row>
    <row r="284" spans="1:35" s="1" customFormat="1" ht="14.25" customHeight="1" x14ac:dyDescent="0.25">
      <c r="A284" s="44">
        <v>0</v>
      </c>
      <c r="B284" s="44">
        <v>1</v>
      </c>
      <c r="C284" s="44">
        <v>7</v>
      </c>
      <c r="D284" s="45" t="s">
        <v>1128</v>
      </c>
      <c r="E284" s="45" t="s">
        <v>29</v>
      </c>
      <c r="F284" s="45" t="s">
        <v>1129</v>
      </c>
      <c r="G284" s="45" t="s">
        <v>1131</v>
      </c>
      <c r="H284" s="45" t="s">
        <v>352</v>
      </c>
      <c r="I284" s="44" t="s">
        <v>1130</v>
      </c>
      <c r="J284" s="44">
        <v>99</v>
      </c>
      <c r="K284" s="46" t="s">
        <v>699</v>
      </c>
      <c r="L284" s="46">
        <v>30</v>
      </c>
      <c r="M284" s="47" t="s">
        <v>1394</v>
      </c>
      <c r="N284" s="47" t="s">
        <v>1793</v>
      </c>
      <c r="O284" s="48"/>
      <c r="P284" s="48"/>
      <c r="Q284" s="45"/>
      <c r="S284" s="1">
        <f t="shared" si="119"/>
        <v>0</v>
      </c>
      <c r="T284" s="1">
        <f t="shared" si="120"/>
        <v>0</v>
      </c>
      <c r="U284" s="1">
        <f t="shared" si="121"/>
        <v>0</v>
      </c>
      <c r="V284" s="1">
        <f t="shared" si="122"/>
        <v>0</v>
      </c>
      <c r="W284" s="1">
        <f t="shared" si="123"/>
        <v>0</v>
      </c>
      <c r="X284" s="1">
        <f t="shared" si="124"/>
        <v>0</v>
      </c>
      <c r="Y284" s="1">
        <f t="shared" si="125"/>
        <v>0</v>
      </c>
      <c r="Z284" s="1">
        <f t="shared" si="126"/>
        <v>0</v>
      </c>
      <c r="AA284" s="1">
        <f t="shared" si="127"/>
        <v>0</v>
      </c>
      <c r="AB284" s="1">
        <f t="shared" si="128"/>
        <v>0</v>
      </c>
      <c r="AD284" s="1">
        <f t="shared" si="129"/>
        <v>0</v>
      </c>
      <c r="AE284" s="1">
        <f t="shared" si="130"/>
        <v>0</v>
      </c>
      <c r="AF284" s="1">
        <f t="shared" si="115"/>
        <v>0</v>
      </c>
      <c r="AG284" s="1">
        <f t="shared" si="116"/>
        <v>0</v>
      </c>
      <c r="AH284" s="1">
        <f t="shared" si="117"/>
        <v>0</v>
      </c>
      <c r="AI284" s="1">
        <f t="shared" si="118"/>
        <v>1</v>
      </c>
    </row>
    <row r="285" spans="1:35" s="1" customFormat="1" ht="14.25" customHeight="1" x14ac:dyDescent="0.25">
      <c r="A285" s="31">
        <v>0</v>
      </c>
      <c r="B285" s="31">
        <v>1</v>
      </c>
      <c r="C285" s="31">
        <v>7</v>
      </c>
      <c r="D285" s="32" t="s">
        <v>98</v>
      </c>
      <c r="E285" s="32" t="s">
        <v>29</v>
      </c>
      <c r="F285" s="32" t="s">
        <v>295</v>
      </c>
      <c r="G285" s="32" t="s">
        <v>196</v>
      </c>
      <c r="H285" s="32" t="s">
        <v>352</v>
      </c>
      <c r="I285" s="31" t="s">
        <v>443</v>
      </c>
      <c r="J285" s="31">
        <v>9</v>
      </c>
      <c r="K285" s="33" t="s">
        <v>699</v>
      </c>
      <c r="L285" s="33">
        <v>30</v>
      </c>
      <c r="M285" s="34" t="s">
        <v>704</v>
      </c>
      <c r="N285" s="34" t="s">
        <v>1727</v>
      </c>
      <c r="O285" s="35">
        <v>1</v>
      </c>
      <c r="P285" s="35"/>
      <c r="Q285" s="32"/>
      <c r="S285" s="1">
        <f t="shared" si="119"/>
        <v>0</v>
      </c>
      <c r="T285" s="1">
        <f t="shared" si="120"/>
        <v>0</v>
      </c>
      <c r="U285" s="1">
        <f t="shared" si="121"/>
        <v>0</v>
      </c>
      <c r="V285" s="1">
        <f t="shared" si="122"/>
        <v>0</v>
      </c>
      <c r="W285" s="1">
        <f t="shared" si="123"/>
        <v>0</v>
      </c>
      <c r="X285" s="1">
        <f t="shared" si="124"/>
        <v>0</v>
      </c>
      <c r="Y285" s="1">
        <f t="shared" si="125"/>
        <v>0</v>
      </c>
      <c r="Z285" s="1">
        <f t="shared" si="126"/>
        <v>0</v>
      </c>
      <c r="AA285" s="1">
        <f t="shared" si="127"/>
        <v>1</v>
      </c>
      <c r="AB285" s="1">
        <f t="shared" si="128"/>
        <v>0</v>
      </c>
      <c r="AD285" s="1">
        <f t="shared" si="129"/>
        <v>0</v>
      </c>
      <c r="AE285" s="1">
        <f t="shared" si="130"/>
        <v>1</v>
      </c>
      <c r="AF285" s="1">
        <f t="shared" si="115"/>
        <v>0</v>
      </c>
      <c r="AG285" s="1">
        <f t="shared" si="116"/>
        <v>1</v>
      </c>
      <c r="AH285" s="1">
        <f t="shared" si="117"/>
        <v>0</v>
      </c>
      <c r="AI285" s="1">
        <f t="shared" si="118"/>
        <v>1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2" t="s">
        <v>794</v>
      </c>
      <c r="E286" s="32" t="s">
        <v>29</v>
      </c>
      <c r="F286" s="32" t="s">
        <v>773</v>
      </c>
      <c r="G286" s="32" t="s">
        <v>795</v>
      </c>
      <c r="H286" s="32" t="s">
        <v>352</v>
      </c>
      <c r="I286" s="31" t="s">
        <v>939</v>
      </c>
      <c r="J286" s="31">
        <v>99</v>
      </c>
      <c r="K286" s="33" t="s">
        <v>709</v>
      </c>
      <c r="L286" s="33" t="s">
        <v>690</v>
      </c>
      <c r="M286" s="34" t="s">
        <v>704</v>
      </c>
      <c r="N286" s="34" t="s">
        <v>1809</v>
      </c>
      <c r="O286" s="35">
        <v>1</v>
      </c>
      <c r="P286" s="35"/>
      <c r="Q286" s="32"/>
      <c r="S286" s="1">
        <f t="shared" si="119"/>
        <v>0</v>
      </c>
      <c r="T286" s="1">
        <f t="shared" si="120"/>
        <v>0</v>
      </c>
      <c r="U286" s="1">
        <f t="shared" si="121"/>
        <v>0</v>
      </c>
      <c r="V286" s="1">
        <f t="shared" si="122"/>
        <v>0</v>
      </c>
      <c r="W286" s="1">
        <f t="shared" si="123"/>
        <v>0</v>
      </c>
      <c r="X286" s="1">
        <f t="shared" si="124"/>
        <v>0</v>
      </c>
      <c r="Y286" s="1">
        <f t="shared" si="125"/>
        <v>0</v>
      </c>
      <c r="Z286" s="1">
        <f t="shared" si="126"/>
        <v>0</v>
      </c>
      <c r="AA286" s="1">
        <f t="shared" si="127"/>
        <v>0</v>
      </c>
      <c r="AB286" s="1">
        <f t="shared" si="128"/>
        <v>0</v>
      </c>
      <c r="AD286" s="1">
        <f t="shared" si="129"/>
        <v>0</v>
      </c>
      <c r="AE286" s="1">
        <f t="shared" si="130"/>
        <v>1</v>
      </c>
      <c r="AF286" s="1">
        <f t="shared" si="115"/>
        <v>0</v>
      </c>
      <c r="AG286" s="1">
        <f t="shared" si="116"/>
        <v>1</v>
      </c>
      <c r="AH286" s="1">
        <f t="shared" si="117"/>
        <v>0</v>
      </c>
      <c r="AI286" s="1">
        <f t="shared" si="118"/>
        <v>1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2" t="s">
        <v>1308</v>
      </c>
      <c r="E287" s="32" t="s">
        <v>29</v>
      </c>
      <c r="F287" s="32" t="s">
        <v>1331</v>
      </c>
      <c r="G287" s="32" t="s">
        <v>1165</v>
      </c>
      <c r="H287" s="32" t="s">
        <v>352</v>
      </c>
      <c r="I287" s="31" t="s">
        <v>1676</v>
      </c>
      <c r="J287" s="31">
        <v>99</v>
      </c>
      <c r="K287" s="33" t="s">
        <v>709</v>
      </c>
      <c r="L287" s="33" t="s">
        <v>690</v>
      </c>
      <c r="M287" s="34" t="s">
        <v>1395</v>
      </c>
      <c r="N287" s="34" t="s">
        <v>1745</v>
      </c>
      <c r="O287" s="35">
        <v>1</v>
      </c>
      <c r="P287" s="35"/>
      <c r="Q287" s="32"/>
      <c r="S287" s="1">
        <f t="shared" si="119"/>
        <v>0</v>
      </c>
      <c r="T287" s="1">
        <f t="shared" si="120"/>
        <v>0</v>
      </c>
      <c r="U287" s="1">
        <f t="shared" si="121"/>
        <v>0</v>
      </c>
      <c r="V287" s="1">
        <f t="shared" si="122"/>
        <v>0</v>
      </c>
      <c r="W287" s="1">
        <f t="shared" si="123"/>
        <v>0</v>
      </c>
      <c r="X287" s="1">
        <f t="shared" si="124"/>
        <v>0</v>
      </c>
      <c r="Y287" s="1">
        <f t="shared" si="125"/>
        <v>0</v>
      </c>
      <c r="Z287" s="1">
        <f t="shared" si="126"/>
        <v>0</v>
      </c>
      <c r="AA287" s="1">
        <f t="shared" si="127"/>
        <v>0</v>
      </c>
      <c r="AB287" s="1">
        <f t="shared" si="128"/>
        <v>0</v>
      </c>
      <c r="AD287" s="1">
        <f t="shared" si="129"/>
        <v>0</v>
      </c>
      <c r="AE287" s="1">
        <f t="shared" si="130"/>
        <v>1</v>
      </c>
      <c r="AF287" s="1">
        <f t="shared" si="115"/>
        <v>0</v>
      </c>
      <c r="AG287" s="1">
        <f t="shared" si="116"/>
        <v>1</v>
      </c>
      <c r="AH287" s="1">
        <f t="shared" si="117"/>
        <v>0</v>
      </c>
      <c r="AI287" s="1">
        <f t="shared" si="118"/>
        <v>1</v>
      </c>
    </row>
    <row r="288" spans="1:35" s="1" customFormat="1" ht="14.25" customHeight="1" x14ac:dyDescent="0.25">
      <c r="A288" s="15">
        <v>0</v>
      </c>
      <c r="B288" s="15">
        <v>1</v>
      </c>
      <c r="C288" s="15">
        <v>7</v>
      </c>
      <c r="D288" s="16" t="s">
        <v>1263</v>
      </c>
      <c r="E288" s="16" t="s">
        <v>29</v>
      </c>
      <c r="F288" s="16" t="s">
        <v>1264</v>
      </c>
      <c r="G288" s="16" t="s">
        <v>1265</v>
      </c>
      <c r="H288" s="16" t="s">
        <v>352</v>
      </c>
      <c r="I288" s="15" t="s">
        <v>1266</v>
      </c>
      <c r="J288" s="15">
        <v>99</v>
      </c>
      <c r="K288" s="10" t="s">
        <v>709</v>
      </c>
      <c r="L288" s="10" t="s">
        <v>690</v>
      </c>
      <c r="M288" s="19" t="s">
        <v>704</v>
      </c>
      <c r="N288" s="17"/>
      <c r="Q288" s="16"/>
      <c r="S288" s="1">
        <f t="shared" si="119"/>
        <v>0</v>
      </c>
      <c r="T288" s="1">
        <f t="shared" si="120"/>
        <v>0</v>
      </c>
      <c r="U288" s="1">
        <f t="shared" si="121"/>
        <v>0</v>
      </c>
      <c r="V288" s="1">
        <f t="shared" si="122"/>
        <v>0</v>
      </c>
      <c r="W288" s="1">
        <f t="shared" si="123"/>
        <v>0</v>
      </c>
      <c r="X288" s="1">
        <f t="shared" si="124"/>
        <v>0</v>
      </c>
      <c r="Y288" s="1">
        <f t="shared" si="125"/>
        <v>0</v>
      </c>
      <c r="Z288" s="1">
        <f t="shared" si="126"/>
        <v>0</v>
      </c>
      <c r="AA288" s="1">
        <f t="shared" si="127"/>
        <v>0</v>
      </c>
      <c r="AB288" s="1">
        <f t="shared" si="128"/>
        <v>0</v>
      </c>
      <c r="AD288" s="1">
        <f t="shared" si="129"/>
        <v>0</v>
      </c>
      <c r="AE288" s="1">
        <f t="shared" si="130"/>
        <v>0</v>
      </c>
      <c r="AF288" s="1">
        <f t="shared" si="115"/>
        <v>0</v>
      </c>
      <c r="AG288" s="1">
        <f t="shared" si="116"/>
        <v>0</v>
      </c>
      <c r="AH288" s="1">
        <f t="shared" si="117"/>
        <v>0</v>
      </c>
      <c r="AI288" s="1">
        <f t="shared" si="118"/>
        <v>1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2" t="s">
        <v>705</v>
      </c>
      <c r="E289" s="32" t="s">
        <v>29</v>
      </c>
      <c r="F289" s="32" t="s">
        <v>706</v>
      </c>
      <c r="G289" s="32" t="s">
        <v>183</v>
      </c>
      <c r="H289" s="32" t="s">
        <v>352</v>
      </c>
      <c r="I289" s="31" t="s">
        <v>707</v>
      </c>
      <c r="J289" s="31">
        <v>99</v>
      </c>
      <c r="K289" s="33" t="s">
        <v>942</v>
      </c>
      <c r="L289" s="33" t="s">
        <v>39</v>
      </c>
      <c r="M289" s="34" t="s">
        <v>39</v>
      </c>
      <c r="N289" s="34" t="s">
        <v>1717</v>
      </c>
      <c r="O289" s="35">
        <v>1</v>
      </c>
      <c r="P289" s="35">
        <v>1</v>
      </c>
      <c r="Q289" s="32"/>
      <c r="S289" s="1">
        <f t="shared" si="119"/>
        <v>0</v>
      </c>
      <c r="T289" s="1">
        <f t="shared" si="120"/>
        <v>0</v>
      </c>
      <c r="U289" s="1">
        <f t="shared" si="121"/>
        <v>0</v>
      </c>
      <c r="V289" s="1">
        <f t="shared" si="122"/>
        <v>0</v>
      </c>
      <c r="W289" s="1">
        <f t="shared" si="123"/>
        <v>0</v>
      </c>
      <c r="X289" s="1">
        <f t="shared" si="124"/>
        <v>0</v>
      </c>
      <c r="Y289" s="1">
        <f t="shared" si="125"/>
        <v>0</v>
      </c>
      <c r="Z289" s="1">
        <f t="shared" si="126"/>
        <v>0</v>
      </c>
      <c r="AA289" s="1">
        <f t="shared" si="127"/>
        <v>0</v>
      </c>
      <c r="AB289" s="1">
        <f t="shared" si="128"/>
        <v>0</v>
      </c>
      <c r="AD289" s="1">
        <f t="shared" si="129"/>
        <v>1</v>
      </c>
      <c r="AE289" s="1">
        <f t="shared" si="130"/>
        <v>0</v>
      </c>
      <c r="AF289" s="1">
        <f t="shared" si="115"/>
        <v>1</v>
      </c>
      <c r="AG289" s="1">
        <f t="shared" si="116"/>
        <v>0</v>
      </c>
      <c r="AH289" s="1">
        <f t="shared" si="117"/>
        <v>1</v>
      </c>
      <c r="AI289" s="1">
        <f t="shared" si="118"/>
        <v>0</v>
      </c>
    </row>
    <row r="290" spans="1:35" s="1" customFormat="1" ht="14.25" customHeight="1" x14ac:dyDescent="0.25">
      <c r="A290" s="31">
        <v>0</v>
      </c>
      <c r="B290" s="31">
        <v>2</v>
      </c>
      <c r="C290" s="31">
        <v>1</v>
      </c>
      <c r="D290" s="32" t="s">
        <v>532</v>
      </c>
      <c r="E290" s="32" t="s">
        <v>34</v>
      </c>
      <c r="F290" s="32" t="s">
        <v>533</v>
      </c>
      <c r="G290" s="32" t="s">
        <v>219</v>
      </c>
      <c r="H290" s="32" t="s">
        <v>352</v>
      </c>
      <c r="I290" s="31" t="s">
        <v>534</v>
      </c>
      <c r="J290" s="31">
        <v>8</v>
      </c>
      <c r="K290" s="33" t="s">
        <v>709</v>
      </c>
      <c r="L290" s="33" t="s">
        <v>709</v>
      </c>
      <c r="M290" s="34" t="s">
        <v>710</v>
      </c>
      <c r="N290" s="34" t="s">
        <v>1732</v>
      </c>
      <c r="O290" s="35">
        <v>1</v>
      </c>
      <c r="P290" s="35"/>
      <c r="Q290" s="32"/>
      <c r="S290" s="1">
        <f t="shared" si="119"/>
        <v>0</v>
      </c>
      <c r="T290" s="1">
        <f t="shared" si="120"/>
        <v>0</v>
      </c>
      <c r="U290" s="1">
        <f t="shared" si="121"/>
        <v>0</v>
      </c>
      <c r="V290" s="1">
        <f t="shared" si="122"/>
        <v>0</v>
      </c>
      <c r="W290" s="1">
        <f t="shared" si="123"/>
        <v>0</v>
      </c>
      <c r="X290" s="1">
        <f t="shared" si="124"/>
        <v>0</v>
      </c>
      <c r="Y290" s="1">
        <f t="shared" si="125"/>
        <v>0</v>
      </c>
      <c r="Z290" s="1">
        <f t="shared" si="126"/>
        <v>1</v>
      </c>
      <c r="AA290" s="1">
        <f t="shared" si="127"/>
        <v>0</v>
      </c>
      <c r="AB290" s="1">
        <f t="shared" si="128"/>
        <v>0</v>
      </c>
      <c r="AD290" s="1">
        <f t="shared" si="129"/>
        <v>0</v>
      </c>
      <c r="AE290" s="1">
        <f t="shared" si="130"/>
        <v>1</v>
      </c>
      <c r="AF290" s="1">
        <f t="shared" si="115"/>
        <v>0</v>
      </c>
      <c r="AG290" s="1">
        <f t="shared" si="116"/>
        <v>1</v>
      </c>
      <c r="AH290" s="1">
        <f t="shared" si="117"/>
        <v>0</v>
      </c>
      <c r="AI290" s="1">
        <f t="shared" si="118"/>
        <v>1</v>
      </c>
    </row>
    <row r="291" spans="1:35" s="1" customFormat="1" ht="14.25" customHeight="1" x14ac:dyDescent="0.25">
      <c r="A291" s="31">
        <v>0</v>
      </c>
      <c r="B291" s="31">
        <v>2</v>
      </c>
      <c r="C291" s="31">
        <v>1</v>
      </c>
      <c r="D291" s="32" t="s">
        <v>1274</v>
      </c>
      <c r="E291" s="32" t="s">
        <v>557</v>
      </c>
      <c r="F291" s="32" t="s">
        <v>1275</v>
      </c>
      <c r="G291" s="32" t="s">
        <v>229</v>
      </c>
      <c r="H291" s="32" t="s">
        <v>352</v>
      </c>
      <c r="I291" s="31" t="s">
        <v>1276</v>
      </c>
      <c r="J291" s="31">
        <v>7</v>
      </c>
      <c r="K291" s="33" t="s">
        <v>709</v>
      </c>
      <c r="L291" s="33" t="s">
        <v>709</v>
      </c>
      <c r="M291" s="34" t="s">
        <v>710</v>
      </c>
      <c r="N291" s="34" t="s">
        <v>1740</v>
      </c>
      <c r="O291" s="35">
        <v>1</v>
      </c>
      <c r="P291" s="35"/>
      <c r="Q291" s="32"/>
      <c r="S291" s="1">
        <f t="shared" si="119"/>
        <v>0</v>
      </c>
      <c r="T291" s="1">
        <f t="shared" si="120"/>
        <v>0</v>
      </c>
      <c r="U291" s="1">
        <f t="shared" si="121"/>
        <v>0</v>
      </c>
      <c r="V291" s="1">
        <f t="shared" si="122"/>
        <v>0</v>
      </c>
      <c r="W291" s="1">
        <f t="shared" si="123"/>
        <v>0</v>
      </c>
      <c r="X291" s="1">
        <f t="shared" si="124"/>
        <v>0</v>
      </c>
      <c r="Y291" s="1">
        <f t="shared" si="125"/>
        <v>1</v>
      </c>
      <c r="Z291" s="1">
        <f t="shared" si="126"/>
        <v>0</v>
      </c>
      <c r="AA291" s="1">
        <f t="shared" si="127"/>
        <v>0</v>
      </c>
      <c r="AB291" s="1">
        <f t="shared" si="128"/>
        <v>0</v>
      </c>
      <c r="AD291" s="1">
        <f t="shared" si="129"/>
        <v>0</v>
      </c>
      <c r="AE291" s="1">
        <f t="shared" si="130"/>
        <v>1</v>
      </c>
      <c r="AF291" s="1">
        <f t="shared" si="115"/>
        <v>0</v>
      </c>
      <c r="AG291" s="1">
        <f t="shared" si="116"/>
        <v>1</v>
      </c>
      <c r="AH291" s="1">
        <f t="shared" si="117"/>
        <v>0</v>
      </c>
      <c r="AI291" s="1">
        <f t="shared" si="118"/>
        <v>1</v>
      </c>
    </row>
    <row r="292" spans="1:35" s="1" customFormat="1" ht="14.25" customHeight="1" x14ac:dyDescent="0.25">
      <c r="A292" s="31">
        <v>0</v>
      </c>
      <c r="B292" s="31">
        <v>2</v>
      </c>
      <c r="C292" s="31">
        <v>1</v>
      </c>
      <c r="D292" s="32" t="s">
        <v>1310</v>
      </c>
      <c r="E292" s="32" t="s">
        <v>557</v>
      </c>
      <c r="F292" s="32" t="s">
        <v>1968</v>
      </c>
      <c r="G292" s="32" t="s">
        <v>212</v>
      </c>
      <c r="H292" s="32" t="s">
        <v>352</v>
      </c>
      <c r="I292" s="31" t="s">
        <v>1140</v>
      </c>
      <c r="J292" s="31">
        <v>1</v>
      </c>
      <c r="K292" s="33" t="s">
        <v>941</v>
      </c>
      <c r="L292" s="33" t="s">
        <v>709</v>
      </c>
      <c r="M292" s="34" t="s">
        <v>710</v>
      </c>
      <c r="N292" s="34" t="s">
        <v>1745</v>
      </c>
      <c r="O292" s="35">
        <v>1</v>
      </c>
      <c r="P292" s="35"/>
      <c r="Q292" s="32"/>
      <c r="S292" s="1">
        <f t="shared" si="119"/>
        <v>1</v>
      </c>
      <c r="T292" s="1">
        <f t="shared" si="120"/>
        <v>0</v>
      </c>
      <c r="U292" s="1">
        <f t="shared" si="121"/>
        <v>0</v>
      </c>
      <c r="V292" s="1">
        <f t="shared" si="122"/>
        <v>0</v>
      </c>
      <c r="W292" s="1">
        <f t="shared" si="123"/>
        <v>0</v>
      </c>
      <c r="X292" s="1">
        <f t="shared" si="124"/>
        <v>0</v>
      </c>
      <c r="Y292" s="1">
        <f t="shared" si="125"/>
        <v>0</v>
      </c>
      <c r="Z292" s="1">
        <f t="shared" si="126"/>
        <v>0</v>
      </c>
      <c r="AA292" s="1">
        <f t="shared" si="127"/>
        <v>0</v>
      </c>
      <c r="AB292" s="1">
        <f t="shared" si="128"/>
        <v>0</v>
      </c>
      <c r="AD292" s="1">
        <f t="shared" si="129"/>
        <v>0</v>
      </c>
      <c r="AE292" s="1">
        <f t="shared" si="130"/>
        <v>1</v>
      </c>
      <c r="AF292" s="1">
        <f t="shared" si="115"/>
        <v>0</v>
      </c>
      <c r="AG292" s="1">
        <f t="shared" si="116"/>
        <v>1</v>
      </c>
      <c r="AH292" s="1">
        <f t="shared" si="117"/>
        <v>0</v>
      </c>
      <c r="AI292" s="1">
        <f t="shared" si="118"/>
        <v>1</v>
      </c>
    </row>
    <row r="293" spans="1:35" s="1" customFormat="1" ht="14.25" customHeight="1" x14ac:dyDescent="0.25">
      <c r="A293" s="31">
        <v>0</v>
      </c>
      <c r="B293" s="31">
        <v>2</v>
      </c>
      <c r="C293" s="31">
        <v>1</v>
      </c>
      <c r="D293" s="32" t="s">
        <v>1311</v>
      </c>
      <c r="E293" s="32" t="s">
        <v>557</v>
      </c>
      <c r="F293" s="32" t="s">
        <v>1135</v>
      </c>
      <c r="G293" s="32" t="s">
        <v>283</v>
      </c>
      <c r="H293" s="32" t="s">
        <v>352</v>
      </c>
      <c r="I293" s="31" t="s">
        <v>1136</v>
      </c>
      <c r="J293" s="31">
        <v>10</v>
      </c>
      <c r="K293" s="33" t="s">
        <v>941</v>
      </c>
      <c r="L293" s="33" t="s">
        <v>709</v>
      </c>
      <c r="M293" s="34" t="s">
        <v>710</v>
      </c>
      <c r="N293" s="34" t="s">
        <v>1745</v>
      </c>
      <c r="O293" s="35">
        <v>1</v>
      </c>
      <c r="P293" s="35"/>
      <c r="Q293" s="32"/>
      <c r="S293" s="1">
        <f t="shared" si="119"/>
        <v>0</v>
      </c>
      <c r="T293" s="1">
        <f t="shared" si="120"/>
        <v>0</v>
      </c>
      <c r="U293" s="1">
        <f t="shared" si="121"/>
        <v>0</v>
      </c>
      <c r="V293" s="1">
        <f t="shared" si="122"/>
        <v>0</v>
      </c>
      <c r="W293" s="1">
        <f t="shared" si="123"/>
        <v>0</v>
      </c>
      <c r="X293" s="1">
        <f t="shared" si="124"/>
        <v>0</v>
      </c>
      <c r="Y293" s="1">
        <f t="shared" si="125"/>
        <v>0</v>
      </c>
      <c r="Z293" s="1">
        <f t="shared" si="126"/>
        <v>0</v>
      </c>
      <c r="AA293" s="1">
        <f t="shared" si="127"/>
        <v>0</v>
      </c>
      <c r="AB293" s="1">
        <f t="shared" si="128"/>
        <v>1</v>
      </c>
      <c r="AD293" s="1">
        <f t="shared" si="129"/>
        <v>0</v>
      </c>
      <c r="AE293" s="1">
        <f t="shared" si="130"/>
        <v>1</v>
      </c>
      <c r="AF293" s="1">
        <f t="shared" si="115"/>
        <v>0</v>
      </c>
      <c r="AG293" s="1">
        <f t="shared" si="116"/>
        <v>1</v>
      </c>
      <c r="AH293" s="1">
        <f t="shared" si="117"/>
        <v>0</v>
      </c>
      <c r="AI293" s="1">
        <f t="shared" si="118"/>
        <v>1</v>
      </c>
    </row>
    <row r="294" spans="1:35" s="1" customFormat="1" ht="14.25" customHeight="1" x14ac:dyDescent="0.25">
      <c r="A294" s="15">
        <v>0</v>
      </c>
      <c r="B294" s="15">
        <v>2</v>
      </c>
      <c r="C294" s="15">
        <v>1</v>
      </c>
      <c r="D294" s="20" t="s">
        <v>2048</v>
      </c>
      <c r="E294" s="20" t="s">
        <v>36</v>
      </c>
      <c r="F294" s="20" t="s">
        <v>2049</v>
      </c>
      <c r="G294" s="20" t="s">
        <v>1467</v>
      </c>
      <c r="H294" s="20" t="s">
        <v>352</v>
      </c>
      <c r="I294" s="21" t="s">
        <v>2051</v>
      </c>
      <c r="J294" s="15">
        <v>99</v>
      </c>
      <c r="K294" s="10" t="s">
        <v>699</v>
      </c>
      <c r="L294" s="10">
        <v>7</v>
      </c>
      <c r="M294" s="19" t="s">
        <v>2050</v>
      </c>
      <c r="N294" s="19"/>
      <c r="Q294" s="20" t="s">
        <v>2052</v>
      </c>
      <c r="S294" s="1">
        <f t="shared" si="119"/>
        <v>0</v>
      </c>
      <c r="T294" s="1">
        <f t="shared" si="120"/>
        <v>0</v>
      </c>
      <c r="U294" s="1">
        <f t="shared" si="121"/>
        <v>0</v>
      </c>
      <c r="V294" s="1">
        <f t="shared" si="122"/>
        <v>0</v>
      </c>
      <c r="W294" s="1">
        <f t="shared" si="123"/>
        <v>0</v>
      </c>
      <c r="X294" s="1">
        <f t="shared" si="124"/>
        <v>0</v>
      </c>
      <c r="Y294" s="1">
        <f t="shared" si="125"/>
        <v>0</v>
      </c>
      <c r="Z294" s="1">
        <f t="shared" si="126"/>
        <v>0</v>
      </c>
      <c r="AA294" s="1">
        <f t="shared" si="127"/>
        <v>0</v>
      </c>
      <c r="AB294" s="1">
        <f t="shared" si="128"/>
        <v>0</v>
      </c>
      <c r="AD294" s="1">
        <f t="shared" si="129"/>
        <v>0</v>
      </c>
      <c r="AE294" s="1">
        <f t="shared" si="130"/>
        <v>0</v>
      </c>
      <c r="AF294" s="1">
        <f t="shared" si="115"/>
        <v>0</v>
      </c>
      <c r="AG294" s="1">
        <f t="shared" si="116"/>
        <v>0</v>
      </c>
      <c r="AH294" s="1">
        <f t="shared" si="117"/>
        <v>0</v>
      </c>
      <c r="AI294" s="1">
        <f t="shared" si="118"/>
        <v>1</v>
      </c>
    </row>
    <row r="295" spans="1:35" s="1" customFormat="1" ht="14.25" customHeight="1" x14ac:dyDescent="0.25">
      <c r="A295" s="15">
        <v>0</v>
      </c>
      <c r="B295" s="15">
        <v>2</v>
      </c>
      <c r="C295" s="15">
        <v>1</v>
      </c>
      <c r="D295" s="16" t="s">
        <v>508</v>
      </c>
      <c r="E295" s="16" t="s">
        <v>34</v>
      </c>
      <c r="F295" s="16" t="s">
        <v>507</v>
      </c>
      <c r="G295" s="16" t="s">
        <v>542</v>
      </c>
      <c r="H295" s="16" t="s">
        <v>352</v>
      </c>
      <c r="I295" s="15" t="s">
        <v>1348</v>
      </c>
      <c r="J295" s="15">
        <v>99</v>
      </c>
      <c r="K295" s="10" t="s">
        <v>942</v>
      </c>
      <c r="L295" s="10" t="s">
        <v>709</v>
      </c>
      <c r="M295" s="19" t="s">
        <v>710</v>
      </c>
      <c r="N295" s="19"/>
      <c r="Q295" s="20" t="s">
        <v>1992</v>
      </c>
      <c r="S295" s="1">
        <f t="shared" si="119"/>
        <v>0</v>
      </c>
      <c r="T295" s="1">
        <f t="shared" si="120"/>
        <v>0</v>
      </c>
      <c r="U295" s="1">
        <f t="shared" si="121"/>
        <v>0</v>
      </c>
      <c r="V295" s="1">
        <f t="shared" si="122"/>
        <v>0</v>
      </c>
      <c r="W295" s="1">
        <f t="shared" si="123"/>
        <v>0</v>
      </c>
      <c r="X295" s="1">
        <f t="shared" si="124"/>
        <v>0</v>
      </c>
      <c r="Y295" s="1">
        <f t="shared" si="125"/>
        <v>0</v>
      </c>
      <c r="Z295" s="1">
        <f t="shared" si="126"/>
        <v>0</v>
      </c>
      <c r="AA295" s="1">
        <f t="shared" si="127"/>
        <v>0</v>
      </c>
      <c r="AB295" s="1">
        <f t="shared" si="128"/>
        <v>0</v>
      </c>
      <c r="AD295" s="1">
        <f t="shared" si="129"/>
        <v>0</v>
      </c>
      <c r="AE295" s="1">
        <f t="shared" si="130"/>
        <v>0</v>
      </c>
      <c r="AF295" s="1">
        <f t="shared" si="115"/>
        <v>0</v>
      </c>
      <c r="AG295" s="1">
        <f t="shared" si="116"/>
        <v>0</v>
      </c>
      <c r="AH295" s="1">
        <f t="shared" si="117"/>
        <v>0</v>
      </c>
      <c r="AI295" s="1">
        <f t="shared" si="118"/>
        <v>1</v>
      </c>
    </row>
    <row r="296" spans="1:35" s="1" customFormat="1" ht="14.25" customHeight="1" x14ac:dyDescent="0.25">
      <c r="A296" s="31">
        <v>0</v>
      </c>
      <c r="B296" s="31">
        <v>2</v>
      </c>
      <c r="C296" s="31">
        <v>1</v>
      </c>
      <c r="D296" s="32" t="s">
        <v>1029</v>
      </c>
      <c r="E296" s="32" t="s">
        <v>36</v>
      </c>
      <c r="F296" s="32" t="s">
        <v>1643</v>
      </c>
      <c r="G296" s="32" t="s">
        <v>624</v>
      </c>
      <c r="H296" s="32" t="s">
        <v>352</v>
      </c>
      <c r="I296" s="31" t="s">
        <v>1030</v>
      </c>
      <c r="J296" s="31">
        <v>99</v>
      </c>
      <c r="K296" s="33" t="s">
        <v>946</v>
      </c>
      <c r="L296" s="33" t="s">
        <v>709</v>
      </c>
      <c r="M296" s="34" t="s">
        <v>710</v>
      </c>
      <c r="N296" s="34" t="s">
        <v>1717</v>
      </c>
      <c r="O296" s="35">
        <v>1</v>
      </c>
      <c r="P296" s="35">
        <v>1</v>
      </c>
      <c r="Q296" s="32" t="s">
        <v>1883</v>
      </c>
      <c r="S296" s="1">
        <f t="shared" si="119"/>
        <v>0</v>
      </c>
      <c r="T296" s="1">
        <f t="shared" si="120"/>
        <v>0</v>
      </c>
      <c r="U296" s="1">
        <f t="shared" si="121"/>
        <v>0</v>
      </c>
      <c r="V296" s="1">
        <f t="shared" si="122"/>
        <v>0</v>
      </c>
      <c r="W296" s="1">
        <f t="shared" si="123"/>
        <v>0</v>
      </c>
      <c r="X296" s="1">
        <f t="shared" si="124"/>
        <v>0</v>
      </c>
      <c r="Y296" s="1">
        <f t="shared" si="125"/>
        <v>0</v>
      </c>
      <c r="Z296" s="1">
        <f t="shared" si="126"/>
        <v>0</v>
      </c>
      <c r="AA296" s="1">
        <f t="shared" si="127"/>
        <v>0</v>
      </c>
      <c r="AB296" s="1">
        <f t="shared" si="128"/>
        <v>0</v>
      </c>
      <c r="AD296" s="1">
        <f t="shared" si="129"/>
        <v>1</v>
      </c>
      <c r="AE296" s="1">
        <f t="shared" si="130"/>
        <v>0</v>
      </c>
      <c r="AF296" s="1">
        <f t="shared" si="115"/>
        <v>1</v>
      </c>
      <c r="AG296" s="1">
        <f t="shared" si="116"/>
        <v>0</v>
      </c>
      <c r="AH296" s="1">
        <f t="shared" si="117"/>
        <v>1</v>
      </c>
      <c r="AI296" s="1">
        <f t="shared" si="118"/>
        <v>0</v>
      </c>
    </row>
    <row r="297" spans="1:35" s="1" customFormat="1" ht="14.25" customHeight="1" x14ac:dyDescent="0.25">
      <c r="A297" s="31">
        <v>1</v>
      </c>
      <c r="B297" s="31">
        <v>2</v>
      </c>
      <c r="C297" s="31">
        <v>1</v>
      </c>
      <c r="D297" s="32" t="s">
        <v>49</v>
      </c>
      <c r="E297" s="32" t="s">
        <v>1298</v>
      </c>
      <c r="F297" s="32" t="s">
        <v>190</v>
      </c>
      <c r="G297" s="32" t="s">
        <v>191</v>
      </c>
      <c r="H297" s="32" t="s">
        <v>352</v>
      </c>
      <c r="I297" s="31" t="s">
        <v>384</v>
      </c>
      <c r="J297" s="31">
        <v>99</v>
      </c>
      <c r="K297" s="33" t="s">
        <v>708</v>
      </c>
      <c r="L297" s="33" t="s">
        <v>709</v>
      </c>
      <c r="M297" s="34" t="s">
        <v>710</v>
      </c>
      <c r="N297" s="34" t="s">
        <v>1740</v>
      </c>
      <c r="O297" s="35">
        <v>1</v>
      </c>
      <c r="P297" s="35"/>
      <c r="Q297" s="32"/>
      <c r="S297" s="1">
        <f t="shared" si="119"/>
        <v>0</v>
      </c>
      <c r="T297" s="1">
        <f t="shared" si="120"/>
        <v>0</v>
      </c>
      <c r="U297" s="1">
        <f t="shared" si="121"/>
        <v>0</v>
      </c>
      <c r="V297" s="1">
        <f t="shared" si="122"/>
        <v>0</v>
      </c>
      <c r="W297" s="1">
        <f t="shared" si="123"/>
        <v>0</v>
      </c>
      <c r="X297" s="1">
        <f t="shared" si="124"/>
        <v>0</v>
      </c>
      <c r="Y297" s="1">
        <f t="shared" si="125"/>
        <v>0</v>
      </c>
      <c r="Z297" s="1">
        <f t="shared" si="126"/>
        <v>0</v>
      </c>
      <c r="AA297" s="1">
        <f t="shared" si="127"/>
        <v>0</v>
      </c>
      <c r="AB297" s="1">
        <f t="shared" si="128"/>
        <v>0</v>
      </c>
      <c r="AD297" s="1">
        <f t="shared" si="129"/>
        <v>0</v>
      </c>
      <c r="AE297" s="1">
        <f t="shared" si="130"/>
        <v>1</v>
      </c>
      <c r="AF297" s="1">
        <f t="shared" si="115"/>
        <v>0</v>
      </c>
      <c r="AG297" s="1">
        <f t="shared" si="116"/>
        <v>0</v>
      </c>
      <c r="AH297" s="1">
        <f t="shared" si="117"/>
        <v>0</v>
      </c>
      <c r="AI297" s="1">
        <f t="shared" si="118"/>
        <v>0</v>
      </c>
    </row>
    <row r="298" spans="1:35" s="1" customFormat="1" ht="14.25" customHeight="1" x14ac:dyDescent="0.25">
      <c r="A298" s="31">
        <v>0</v>
      </c>
      <c r="B298" s="31">
        <v>2</v>
      </c>
      <c r="C298" s="31">
        <v>1</v>
      </c>
      <c r="D298" s="32" t="s">
        <v>1061</v>
      </c>
      <c r="E298" s="32" t="s">
        <v>1298</v>
      </c>
      <c r="F298" s="32" t="s">
        <v>1076</v>
      </c>
      <c r="G298" s="32" t="s">
        <v>201</v>
      </c>
      <c r="H298" s="32" t="s">
        <v>352</v>
      </c>
      <c r="I298" s="31" t="s">
        <v>384</v>
      </c>
      <c r="J298" s="31">
        <v>10</v>
      </c>
      <c r="K298" s="33" t="s">
        <v>708</v>
      </c>
      <c r="L298" s="33" t="s">
        <v>709</v>
      </c>
      <c r="M298" s="34" t="s">
        <v>710</v>
      </c>
      <c r="N298" s="34" t="s">
        <v>1740</v>
      </c>
      <c r="O298" s="35">
        <v>1</v>
      </c>
      <c r="P298" s="35"/>
      <c r="Q298" s="32"/>
      <c r="S298" s="1">
        <f t="shared" si="119"/>
        <v>0</v>
      </c>
      <c r="T298" s="1">
        <f t="shared" si="120"/>
        <v>0</v>
      </c>
      <c r="U298" s="1">
        <f t="shared" si="121"/>
        <v>0</v>
      </c>
      <c r="V298" s="1">
        <f t="shared" si="122"/>
        <v>0</v>
      </c>
      <c r="W298" s="1">
        <f t="shared" si="123"/>
        <v>0</v>
      </c>
      <c r="X298" s="1">
        <f t="shared" si="124"/>
        <v>0</v>
      </c>
      <c r="Y298" s="1">
        <f t="shared" si="125"/>
        <v>0</v>
      </c>
      <c r="Z298" s="1">
        <f t="shared" si="126"/>
        <v>0</v>
      </c>
      <c r="AA298" s="1">
        <f t="shared" si="127"/>
        <v>0</v>
      </c>
      <c r="AB298" s="1">
        <f t="shared" si="128"/>
        <v>1</v>
      </c>
      <c r="AD298" s="1">
        <f t="shared" si="129"/>
        <v>0</v>
      </c>
      <c r="AE298" s="1">
        <f t="shared" si="130"/>
        <v>1</v>
      </c>
      <c r="AF298" s="1">
        <f t="shared" si="115"/>
        <v>0</v>
      </c>
      <c r="AG298" s="1">
        <f t="shared" si="116"/>
        <v>1</v>
      </c>
      <c r="AH298" s="1">
        <f t="shared" si="117"/>
        <v>0</v>
      </c>
      <c r="AI298" s="1">
        <f t="shared" si="118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1257</v>
      </c>
      <c r="E299" s="32" t="s">
        <v>557</v>
      </c>
      <c r="F299" s="32" t="s">
        <v>1258</v>
      </c>
      <c r="G299" s="32" t="s">
        <v>257</v>
      </c>
      <c r="H299" s="32" t="s">
        <v>352</v>
      </c>
      <c r="I299" s="31" t="s">
        <v>1259</v>
      </c>
      <c r="J299" s="31">
        <v>8</v>
      </c>
      <c r="K299" s="33" t="s">
        <v>941</v>
      </c>
      <c r="L299" s="33" t="s">
        <v>709</v>
      </c>
      <c r="M299" s="34" t="s">
        <v>710</v>
      </c>
      <c r="N299" s="34" t="s">
        <v>1732</v>
      </c>
      <c r="O299" s="35">
        <v>1</v>
      </c>
      <c r="P299" s="35"/>
      <c r="Q299" s="32"/>
      <c r="S299" s="1">
        <f t="shared" si="119"/>
        <v>0</v>
      </c>
      <c r="T299" s="1">
        <f t="shared" si="120"/>
        <v>0</v>
      </c>
      <c r="U299" s="1">
        <f t="shared" si="121"/>
        <v>0</v>
      </c>
      <c r="V299" s="1">
        <f t="shared" si="122"/>
        <v>0</v>
      </c>
      <c r="W299" s="1">
        <f t="shared" si="123"/>
        <v>0</v>
      </c>
      <c r="X299" s="1">
        <f t="shared" si="124"/>
        <v>0</v>
      </c>
      <c r="Y299" s="1">
        <f t="shared" si="125"/>
        <v>0</v>
      </c>
      <c r="Z299" s="1">
        <f t="shared" si="126"/>
        <v>1</v>
      </c>
      <c r="AA299" s="1">
        <f t="shared" si="127"/>
        <v>0</v>
      </c>
      <c r="AB299" s="1">
        <f t="shared" si="128"/>
        <v>0</v>
      </c>
      <c r="AD299" s="1">
        <f t="shared" si="129"/>
        <v>0</v>
      </c>
      <c r="AE299" s="1">
        <f t="shared" si="130"/>
        <v>1</v>
      </c>
      <c r="AF299" s="1">
        <f t="shared" si="115"/>
        <v>0</v>
      </c>
      <c r="AG299" s="1">
        <f t="shared" si="116"/>
        <v>1</v>
      </c>
      <c r="AH299" s="1">
        <f t="shared" si="117"/>
        <v>0</v>
      </c>
      <c r="AI299" s="1">
        <f t="shared" si="118"/>
        <v>1</v>
      </c>
    </row>
    <row r="300" spans="1:35" s="1" customFormat="1" ht="14.25" customHeight="1" x14ac:dyDescent="0.25">
      <c r="A300" s="44">
        <v>0</v>
      </c>
      <c r="B300" s="44">
        <v>2</v>
      </c>
      <c r="C300" s="44">
        <v>1</v>
      </c>
      <c r="D300" s="45" t="s">
        <v>48</v>
      </c>
      <c r="E300" s="45" t="s">
        <v>574</v>
      </c>
      <c r="F300" s="45" t="s">
        <v>188</v>
      </c>
      <c r="G300" s="45" t="s">
        <v>298</v>
      </c>
      <c r="H300" s="45" t="s">
        <v>352</v>
      </c>
      <c r="I300" s="44" t="s">
        <v>383</v>
      </c>
      <c r="J300" s="44">
        <v>99</v>
      </c>
      <c r="K300" s="46" t="s">
        <v>709</v>
      </c>
      <c r="L300" s="46" t="s">
        <v>709</v>
      </c>
      <c r="M300" s="47" t="s">
        <v>710</v>
      </c>
      <c r="N300" s="47" t="s">
        <v>1731</v>
      </c>
      <c r="O300" s="48"/>
      <c r="P300" s="48"/>
      <c r="Q300" s="45"/>
      <c r="S300" s="1">
        <f t="shared" si="119"/>
        <v>0</v>
      </c>
      <c r="T300" s="1">
        <f t="shared" si="120"/>
        <v>0</v>
      </c>
      <c r="U300" s="1">
        <f t="shared" si="121"/>
        <v>0</v>
      </c>
      <c r="V300" s="1">
        <f t="shared" si="122"/>
        <v>0</v>
      </c>
      <c r="W300" s="1">
        <f t="shared" si="123"/>
        <v>0</v>
      </c>
      <c r="X300" s="1">
        <f t="shared" si="124"/>
        <v>0</v>
      </c>
      <c r="Y300" s="1">
        <f t="shared" si="125"/>
        <v>0</v>
      </c>
      <c r="Z300" s="1">
        <f t="shared" si="126"/>
        <v>0</v>
      </c>
      <c r="AA300" s="1">
        <f t="shared" si="127"/>
        <v>0</v>
      </c>
      <c r="AB300" s="1">
        <f t="shared" si="128"/>
        <v>0</v>
      </c>
      <c r="AD300" s="1">
        <f t="shared" si="129"/>
        <v>0</v>
      </c>
      <c r="AE300" s="1">
        <f t="shared" si="130"/>
        <v>0</v>
      </c>
      <c r="AF300" s="1">
        <f t="shared" si="115"/>
        <v>0</v>
      </c>
      <c r="AG300" s="1">
        <f t="shared" si="116"/>
        <v>0</v>
      </c>
      <c r="AH300" s="1">
        <f t="shared" si="117"/>
        <v>0</v>
      </c>
      <c r="AI300" s="1">
        <f t="shared" si="118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57</v>
      </c>
      <c r="E301" s="32" t="s">
        <v>161</v>
      </c>
      <c r="F301" s="32" t="s">
        <v>662</v>
      </c>
      <c r="G301" s="32" t="s">
        <v>220</v>
      </c>
      <c r="H301" s="32" t="s">
        <v>352</v>
      </c>
      <c r="I301" s="31" t="s">
        <v>394</v>
      </c>
      <c r="J301" s="31">
        <v>99</v>
      </c>
      <c r="K301" s="33" t="s">
        <v>948</v>
      </c>
      <c r="L301" s="33" t="s">
        <v>709</v>
      </c>
      <c r="M301" s="34" t="s">
        <v>710</v>
      </c>
      <c r="N301" s="34" t="s">
        <v>1727</v>
      </c>
      <c r="O301" s="35">
        <v>1</v>
      </c>
      <c r="P301" s="35"/>
      <c r="Q301" s="32"/>
      <c r="S301" s="1">
        <f t="shared" si="119"/>
        <v>0</v>
      </c>
      <c r="T301" s="1">
        <f t="shared" si="120"/>
        <v>0</v>
      </c>
      <c r="U301" s="1">
        <f t="shared" si="121"/>
        <v>0</v>
      </c>
      <c r="V301" s="1">
        <f t="shared" si="122"/>
        <v>0</v>
      </c>
      <c r="W301" s="1">
        <f t="shared" si="123"/>
        <v>0</v>
      </c>
      <c r="X301" s="1">
        <f t="shared" si="124"/>
        <v>0</v>
      </c>
      <c r="Y301" s="1">
        <f t="shared" si="125"/>
        <v>0</v>
      </c>
      <c r="Z301" s="1">
        <f t="shared" si="126"/>
        <v>0</v>
      </c>
      <c r="AA301" s="1">
        <f t="shared" si="127"/>
        <v>0</v>
      </c>
      <c r="AB301" s="1">
        <f t="shared" si="128"/>
        <v>0</v>
      </c>
      <c r="AD301" s="1">
        <f t="shared" si="129"/>
        <v>0</v>
      </c>
      <c r="AE301" s="1">
        <f t="shared" si="130"/>
        <v>1</v>
      </c>
      <c r="AF301" s="1">
        <f t="shared" si="115"/>
        <v>0</v>
      </c>
      <c r="AG301" s="1">
        <f t="shared" si="116"/>
        <v>1</v>
      </c>
      <c r="AH301" s="1">
        <f t="shared" si="117"/>
        <v>0</v>
      </c>
      <c r="AI301" s="1">
        <f t="shared" si="118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511</v>
      </c>
      <c r="E302" s="32" t="s">
        <v>557</v>
      </c>
      <c r="F302" s="32" t="s">
        <v>228</v>
      </c>
      <c r="G302" s="32" t="s">
        <v>229</v>
      </c>
      <c r="H302" s="32" t="s">
        <v>352</v>
      </c>
      <c r="I302" s="31" t="s">
        <v>398</v>
      </c>
      <c r="J302" s="31">
        <v>7</v>
      </c>
      <c r="K302" s="33" t="s">
        <v>941</v>
      </c>
      <c r="L302" s="33" t="s">
        <v>709</v>
      </c>
      <c r="M302" s="34" t="s">
        <v>710</v>
      </c>
      <c r="N302" s="34" t="s">
        <v>1733</v>
      </c>
      <c r="O302" s="35">
        <v>1</v>
      </c>
      <c r="P302" s="35"/>
      <c r="Q302" s="32"/>
      <c r="S302" s="1">
        <f t="shared" si="119"/>
        <v>0</v>
      </c>
      <c r="T302" s="1">
        <f t="shared" si="120"/>
        <v>0</v>
      </c>
      <c r="U302" s="1">
        <f t="shared" si="121"/>
        <v>0</v>
      </c>
      <c r="V302" s="1">
        <f t="shared" si="122"/>
        <v>0</v>
      </c>
      <c r="W302" s="1">
        <f t="shared" si="123"/>
        <v>0</v>
      </c>
      <c r="X302" s="1">
        <f t="shared" si="124"/>
        <v>0</v>
      </c>
      <c r="Y302" s="1">
        <f t="shared" si="125"/>
        <v>1</v>
      </c>
      <c r="Z302" s="1">
        <f t="shared" si="126"/>
        <v>0</v>
      </c>
      <c r="AA302" s="1">
        <f t="shared" si="127"/>
        <v>0</v>
      </c>
      <c r="AB302" s="1">
        <f t="shared" si="128"/>
        <v>0</v>
      </c>
      <c r="AD302" s="1">
        <f t="shared" si="129"/>
        <v>0</v>
      </c>
      <c r="AE302" s="1">
        <f t="shared" si="130"/>
        <v>1</v>
      </c>
      <c r="AF302" s="1">
        <f t="shared" si="115"/>
        <v>0</v>
      </c>
      <c r="AG302" s="1">
        <f t="shared" si="116"/>
        <v>1</v>
      </c>
      <c r="AH302" s="1">
        <f t="shared" si="117"/>
        <v>0</v>
      </c>
      <c r="AI302" s="1">
        <f t="shared" si="118"/>
        <v>1</v>
      </c>
    </row>
    <row r="303" spans="1:35" s="1" customFormat="1" ht="14.25" customHeight="1" x14ac:dyDescent="0.25">
      <c r="A303" s="44">
        <v>0</v>
      </c>
      <c r="B303" s="44">
        <v>2</v>
      </c>
      <c r="C303" s="44">
        <v>1</v>
      </c>
      <c r="D303" s="45" t="s">
        <v>556</v>
      </c>
      <c r="E303" s="45" t="s">
        <v>557</v>
      </c>
      <c r="F303" s="45" t="s">
        <v>558</v>
      </c>
      <c r="G303" s="45" t="s">
        <v>207</v>
      </c>
      <c r="H303" s="45" t="s">
        <v>352</v>
      </c>
      <c r="I303" s="44" t="s">
        <v>559</v>
      </c>
      <c r="J303" s="44">
        <v>3</v>
      </c>
      <c r="K303" s="46" t="s">
        <v>708</v>
      </c>
      <c r="L303" s="46" t="s">
        <v>709</v>
      </c>
      <c r="M303" s="47" t="s">
        <v>710</v>
      </c>
      <c r="N303" s="47" t="s">
        <v>1731</v>
      </c>
      <c r="O303" s="48"/>
      <c r="P303" s="48"/>
      <c r="Q303" s="45"/>
      <c r="S303" s="1">
        <f t="shared" si="119"/>
        <v>0</v>
      </c>
      <c r="T303" s="1">
        <f t="shared" si="120"/>
        <v>0</v>
      </c>
      <c r="U303" s="1">
        <f t="shared" si="121"/>
        <v>1</v>
      </c>
      <c r="V303" s="1">
        <f t="shared" si="122"/>
        <v>0</v>
      </c>
      <c r="W303" s="1">
        <f t="shared" si="123"/>
        <v>0</v>
      </c>
      <c r="X303" s="1">
        <f t="shared" si="124"/>
        <v>0</v>
      </c>
      <c r="Y303" s="1">
        <f t="shared" si="125"/>
        <v>0</v>
      </c>
      <c r="Z303" s="1">
        <f t="shared" si="126"/>
        <v>0</v>
      </c>
      <c r="AA303" s="1">
        <f t="shared" si="127"/>
        <v>0</v>
      </c>
      <c r="AB303" s="1">
        <f t="shared" si="128"/>
        <v>0</v>
      </c>
      <c r="AD303" s="1">
        <f t="shared" si="129"/>
        <v>0</v>
      </c>
      <c r="AE303" s="1">
        <f t="shared" si="130"/>
        <v>0</v>
      </c>
      <c r="AF303" s="1">
        <f t="shared" si="115"/>
        <v>0</v>
      </c>
      <c r="AG303" s="1">
        <f t="shared" si="116"/>
        <v>0</v>
      </c>
      <c r="AH303" s="1">
        <f t="shared" si="117"/>
        <v>0</v>
      </c>
      <c r="AI303" s="1">
        <f t="shared" si="118"/>
        <v>1</v>
      </c>
    </row>
    <row r="304" spans="1:35" s="1" customFormat="1" ht="14.25" customHeight="1" x14ac:dyDescent="0.25">
      <c r="A304" s="37">
        <v>0</v>
      </c>
      <c r="B304" s="37">
        <v>2</v>
      </c>
      <c r="C304" s="37">
        <v>1</v>
      </c>
      <c r="D304" s="36" t="s">
        <v>1040</v>
      </c>
      <c r="E304" s="36" t="s">
        <v>32</v>
      </c>
      <c r="F304" s="36" t="s">
        <v>1261</v>
      </c>
      <c r="G304" s="36" t="s">
        <v>531</v>
      </c>
      <c r="H304" s="36" t="s">
        <v>352</v>
      </c>
      <c r="I304" s="37" t="s">
        <v>1262</v>
      </c>
      <c r="J304" s="37">
        <v>6</v>
      </c>
      <c r="K304" s="56" t="s">
        <v>709</v>
      </c>
      <c r="L304" s="33" t="s">
        <v>709</v>
      </c>
      <c r="M304" s="34" t="s">
        <v>710</v>
      </c>
      <c r="N304" s="34" t="s">
        <v>1732</v>
      </c>
      <c r="O304" s="35">
        <v>1</v>
      </c>
      <c r="P304" s="35"/>
      <c r="Q304" s="36"/>
      <c r="S304" s="1">
        <f t="shared" si="119"/>
        <v>0</v>
      </c>
      <c r="T304" s="1">
        <f t="shared" si="120"/>
        <v>0</v>
      </c>
      <c r="U304" s="1">
        <f t="shared" si="121"/>
        <v>0</v>
      </c>
      <c r="V304" s="1">
        <f t="shared" si="122"/>
        <v>0</v>
      </c>
      <c r="W304" s="1">
        <f t="shared" si="123"/>
        <v>0</v>
      </c>
      <c r="X304" s="1">
        <f t="shared" si="124"/>
        <v>1</v>
      </c>
      <c r="Y304" s="1">
        <f t="shared" si="125"/>
        <v>0</v>
      </c>
      <c r="Z304" s="1">
        <f t="shared" si="126"/>
        <v>0</v>
      </c>
      <c r="AA304" s="1">
        <f t="shared" si="127"/>
        <v>0</v>
      </c>
      <c r="AB304" s="1">
        <f t="shared" si="128"/>
        <v>0</v>
      </c>
      <c r="AD304" s="1">
        <f t="shared" si="129"/>
        <v>0</v>
      </c>
      <c r="AE304" s="1">
        <f t="shared" si="130"/>
        <v>1</v>
      </c>
      <c r="AF304" s="1">
        <f t="shared" si="115"/>
        <v>0</v>
      </c>
      <c r="AG304" s="1">
        <f t="shared" si="116"/>
        <v>1</v>
      </c>
      <c r="AH304" s="1">
        <f t="shared" si="117"/>
        <v>0</v>
      </c>
      <c r="AI304" s="1">
        <f t="shared" si="118"/>
        <v>1</v>
      </c>
    </row>
    <row r="305" spans="1:35" s="1" customFormat="1" ht="14.25" customHeight="1" x14ac:dyDescent="0.25">
      <c r="A305" s="44">
        <v>0</v>
      </c>
      <c r="B305" s="44">
        <v>2</v>
      </c>
      <c r="C305" s="44">
        <v>1</v>
      </c>
      <c r="D305" s="45" t="s">
        <v>906</v>
      </c>
      <c r="E305" s="45" t="s">
        <v>1317</v>
      </c>
      <c r="F305" s="45" t="s">
        <v>780</v>
      </c>
      <c r="G305" s="45" t="s">
        <v>256</v>
      </c>
      <c r="H305" s="45" t="s">
        <v>352</v>
      </c>
      <c r="I305" s="44" t="s">
        <v>932</v>
      </c>
      <c r="J305" s="44">
        <v>99</v>
      </c>
      <c r="K305" s="46" t="s">
        <v>708</v>
      </c>
      <c r="L305" s="46" t="s">
        <v>709</v>
      </c>
      <c r="M305" s="47" t="s">
        <v>710</v>
      </c>
      <c r="N305" s="47" t="s">
        <v>1718</v>
      </c>
      <c r="O305" s="48"/>
      <c r="P305" s="48"/>
      <c r="Q305" s="45"/>
      <c r="S305" s="1">
        <f t="shared" si="119"/>
        <v>0</v>
      </c>
      <c r="T305" s="1">
        <f t="shared" si="120"/>
        <v>0</v>
      </c>
      <c r="U305" s="1">
        <f t="shared" si="121"/>
        <v>0</v>
      </c>
      <c r="V305" s="1">
        <f t="shared" si="122"/>
        <v>0</v>
      </c>
      <c r="W305" s="1">
        <f t="shared" si="123"/>
        <v>0</v>
      </c>
      <c r="X305" s="1">
        <f t="shared" si="124"/>
        <v>0</v>
      </c>
      <c r="Y305" s="1">
        <f t="shared" si="125"/>
        <v>0</v>
      </c>
      <c r="Z305" s="1">
        <f t="shared" si="126"/>
        <v>0</v>
      </c>
      <c r="AA305" s="1">
        <f t="shared" si="127"/>
        <v>0</v>
      </c>
      <c r="AB305" s="1">
        <f t="shared" si="128"/>
        <v>0</v>
      </c>
      <c r="AD305" s="1">
        <f t="shared" si="129"/>
        <v>0</v>
      </c>
      <c r="AE305" s="1">
        <f t="shared" si="130"/>
        <v>0</v>
      </c>
      <c r="AF305" s="1">
        <f t="shared" si="115"/>
        <v>0</v>
      </c>
      <c r="AG305" s="1">
        <f t="shared" si="116"/>
        <v>0</v>
      </c>
      <c r="AH305" s="1">
        <f t="shared" si="117"/>
        <v>0</v>
      </c>
      <c r="AI305" s="1">
        <f t="shared" si="118"/>
        <v>1</v>
      </c>
    </row>
    <row r="306" spans="1:35" s="1" customFormat="1" ht="14.25" customHeight="1" x14ac:dyDescent="0.25">
      <c r="A306" s="37">
        <v>0</v>
      </c>
      <c r="B306" s="37">
        <v>2</v>
      </c>
      <c r="C306" s="37">
        <v>1</v>
      </c>
      <c r="D306" s="36" t="s">
        <v>1755</v>
      </c>
      <c r="E306" s="36" t="s">
        <v>1756</v>
      </c>
      <c r="F306" s="36" t="s">
        <v>1757</v>
      </c>
      <c r="G306" s="36" t="s">
        <v>179</v>
      </c>
      <c r="H306" s="36" t="s">
        <v>352</v>
      </c>
      <c r="I306" s="37" t="s">
        <v>1758</v>
      </c>
      <c r="J306" s="37"/>
      <c r="K306" s="56" t="s">
        <v>699</v>
      </c>
      <c r="L306" s="33">
        <v>4</v>
      </c>
      <c r="M306" s="34" t="s">
        <v>710</v>
      </c>
      <c r="N306" s="34" t="s">
        <v>1727</v>
      </c>
      <c r="O306" s="35">
        <v>1</v>
      </c>
      <c r="P306" s="35"/>
      <c r="Q306" s="36"/>
      <c r="S306" s="1">
        <f t="shared" si="119"/>
        <v>0</v>
      </c>
      <c r="T306" s="1">
        <f t="shared" si="120"/>
        <v>0</v>
      </c>
      <c r="U306" s="1">
        <f t="shared" si="121"/>
        <v>0</v>
      </c>
      <c r="V306" s="1">
        <f t="shared" si="122"/>
        <v>0</v>
      </c>
      <c r="W306" s="1">
        <f t="shared" si="123"/>
        <v>0</v>
      </c>
      <c r="X306" s="1">
        <f t="shared" si="124"/>
        <v>0</v>
      </c>
      <c r="Y306" s="1">
        <f t="shared" si="125"/>
        <v>0</v>
      </c>
      <c r="Z306" s="1">
        <f t="shared" si="126"/>
        <v>0</v>
      </c>
      <c r="AA306" s="1">
        <f t="shared" si="127"/>
        <v>0</v>
      </c>
      <c r="AB306" s="1">
        <f t="shared" si="128"/>
        <v>0</v>
      </c>
      <c r="AD306" s="1">
        <f t="shared" si="129"/>
        <v>0</v>
      </c>
      <c r="AE306" s="1">
        <f t="shared" si="130"/>
        <v>1</v>
      </c>
      <c r="AF306" s="1">
        <f t="shared" si="115"/>
        <v>0</v>
      </c>
      <c r="AG306" s="1">
        <f t="shared" si="116"/>
        <v>1</v>
      </c>
      <c r="AH306" s="1">
        <f t="shared" si="117"/>
        <v>0</v>
      </c>
      <c r="AI306" s="1">
        <f t="shared" si="118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615</v>
      </c>
      <c r="E307" s="32" t="s">
        <v>616</v>
      </c>
      <c r="F307" s="32" t="s">
        <v>617</v>
      </c>
      <c r="G307" s="32" t="s">
        <v>618</v>
      </c>
      <c r="H307" s="32" t="s">
        <v>352</v>
      </c>
      <c r="I307" s="31" t="s">
        <v>619</v>
      </c>
      <c r="J307" s="31">
        <v>99</v>
      </c>
      <c r="K307" s="33" t="s">
        <v>708</v>
      </c>
      <c r="L307" s="33" t="s">
        <v>709</v>
      </c>
      <c r="M307" s="34" t="s">
        <v>710</v>
      </c>
      <c r="N307" s="34" t="s">
        <v>1740</v>
      </c>
      <c r="O307" s="35">
        <v>1</v>
      </c>
      <c r="P307" s="35"/>
      <c r="Q307" s="32"/>
      <c r="S307" s="1">
        <f t="shared" si="119"/>
        <v>0</v>
      </c>
      <c r="T307" s="1">
        <f t="shared" si="120"/>
        <v>0</v>
      </c>
      <c r="U307" s="1">
        <f t="shared" si="121"/>
        <v>0</v>
      </c>
      <c r="V307" s="1">
        <f t="shared" si="122"/>
        <v>0</v>
      </c>
      <c r="W307" s="1">
        <f t="shared" si="123"/>
        <v>0</v>
      </c>
      <c r="X307" s="1">
        <f t="shared" si="124"/>
        <v>0</v>
      </c>
      <c r="Y307" s="1">
        <f t="shared" si="125"/>
        <v>0</v>
      </c>
      <c r="Z307" s="1">
        <f t="shared" si="126"/>
        <v>0</v>
      </c>
      <c r="AA307" s="1">
        <f t="shared" si="127"/>
        <v>0</v>
      </c>
      <c r="AB307" s="1">
        <f t="shared" si="128"/>
        <v>0</v>
      </c>
      <c r="AD307" s="1">
        <f t="shared" si="129"/>
        <v>0</v>
      </c>
      <c r="AE307" s="1">
        <f t="shared" si="130"/>
        <v>1</v>
      </c>
      <c r="AF307" s="1">
        <f t="shared" si="115"/>
        <v>0</v>
      </c>
      <c r="AG307" s="1">
        <f t="shared" si="116"/>
        <v>1</v>
      </c>
      <c r="AH307" s="1">
        <f t="shared" si="117"/>
        <v>0</v>
      </c>
      <c r="AI307" s="1">
        <f t="shared" si="118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1067</v>
      </c>
      <c r="E308" s="32" t="s">
        <v>1318</v>
      </c>
      <c r="F308" s="32" t="s">
        <v>1647</v>
      </c>
      <c r="G308" s="32" t="s">
        <v>189</v>
      </c>
      <c r="H308" s="32" t="s">
        <v>352</v>
      </c>
      <c r="I308" s="31" t="s">
        <v>1845</v>
      </c>
      <c r="J308" s="31">
        <v>99</v>
      </c>
      <c r="K308" s="33" t="s">
        <v>708</v>
      </c>
      <c r="L308" s="33" t="s">
        <v>709</v>
      </c>
      <c r="M308" s="34" t="s">
        <v>710</v>
      </c>
      <c r="N308" s="34" t="s">
        <v>1727</v>
      </c>
      <c r="O308" s="35">
        <v>1</v>
      </c>
      <c r="P308" s="35"/>
      <c r="Q308" s="32"/>
      <c r="S308" s="1">
        <f t="shared" si="119"/>
        <v>0</v>
      </c>
      <c r="T308" s="1">
        <f t="shared" si="120"/>
        <v>0</v>
      </c>
      <c r="U308" s="1">
        <f t="shared" si="121"/>
        <v>0</v>
      </c>
      <c r="V308" s="1">
        <f t="shared" si="122"/>
        <v>0</v>
      </c>
      <c r="W308" s="1">
        <f t="shared" si="123"/>
        <v>0</v>
      </c>
      <c r="X308" s="1">
        <f t="shared" si="124"/>
        <v>0</v>
      </c>
      <c r="Y308" s="1">
        <f t="shared" si="125"/>
        <v>0</v>
      </c>
      <c r="Z308" s="1">
        <f t="shared" si="126"/>
        <v>0</v>
      </c>
      <c r="AA308" s="1">
        <f t="shared" si="127"/>
        <v>0</v>
      </c>
      <c r="AB308" s="1">
        <f t="shared" si="128"/>
        <v>0</v>
      </c>
      <c r="AD308" s="1">
        <f t="shared" si="129"/>
        <v>0</v>
      </c>
      <c r="AE308" s="1">
        <f t="shared" si="130"/>
        <v>1</v>
      </c>
      <c r="AF308" s="1">
        <f t="shared" si="115"/>
        <v>0</v>
      </c>
      <c r="AG308" s="1">
        <f t="shared" si="116"/>
        <v>1</v>
      </c>
      <c r="AH308" s="1">
        <f t="shared" si="117"/>
        <v>0</v>
      </c>
      <c r="AI308" s="1">
        <f t="shared" si="118"/>
        <v>1</v>
      </c>
    </row>
    <row r="309" spans="1:35" s="1" customFormat="1" ht="14.25" customHeight="1" x14ac:dyDescent="0.25">
      <c r="A309" s="15">
        <v>0</v>
      </c>
      <c r="B309" s="15">
        <v>2</v>
      </c>
      <c r="C309" s="15">
        <v>1</v>
      </c>
      <c r="D309" s="16" t="s">
        <v>647</v>
      </c>
      <c r="E309" s="16" t="s">
        <v>36</v>
      </c>
      <c r="F309" s="16" t="s">
        <v>663</v>
      </c>
      <c r="G309" s="16" t="s">
        <v>200</v>
      </c>
      <c r="H309" s="16" t="s">
        <v>352</v>
      </c>
      <c r="I309" s="15" t="s">
        <v>992</v>
      </c>
      <c r="J309" s="15">
        <v>99</v>
      </c>
      <c r="K309" s="10" t="s">
        <v>699</v>
      </c>
      <c r="L309" s="10">
        <v>4</v>
      </c>
      <c r="M309" s="19" t="s">
        <v>710</v>
      </c>
      <c r="N309" s="17"/>
      <c r="Q309" s="16"/>
      <c r="S309" s="1">
        <f t="shared" si="119"/>
        <v>0</v>
      </c>
      <c r="T309" s="1">
        <f t="shared" si="120"/>
        <v>0</v>
      </c>
      <c r="U309" s="1">
        <f t="shared" si="121"/>
        <v>0</v>
      </c>
      <c r="V309" s="1">
        <f t="shared" si="122"/>
        <v>0</v>
      </c>
      <c r="W309" s="1">
        <f t="shared" si="123"/>
        <v>0</v>
      </c>
      <c r="X309" s="1">
        <f t="shared" si="124"/>
        <v>0</v>
      </c>
      <c r="Y309" s="1">
        <f t="shared" si="125"/>
        <v>0</v>
      </c>
      <c r="Z309" s="1">
        <f t="shared" si="126"/>
        <v>0</v>
      </c>
      <c r="AA309" s="1">
        <f t="shared" si="127"/>
        <v>0</v>
      </c>
      <c r="AB309" s="1">
        <f t="shared" si="128"/>
        <v>0</v>
      </c>
      <c r="AD309" s="1">
        <f t="shared" si="129"/>
        <v>0</v>
      </c>
      <c r="AE309" s="1">
        <f t="shared" si="130"/>
        <v>0</v>
      </c>
      <c r="AF309" s="1">
        <f t="shared" si="115"/>
        <v>0</v>
      </c>
      <c r="AG309" s="1">
        <f t="shared" si="116"/>
        <v>0</v>
      </c>
      <c r="AH309" s="1">
        <f t="shared" si="117"/>
        <v>0</v>
      </c>
      <c r="AI309" s="1">
        <f t="shared" si="118"/>
        <v>1</v>
      </c>
    </row>
    <row r="310" spans="1:35" s="1" customFormat="1" ht="14.25" customHeight="1" x14ac:dyDescent="0.25">
      <c r="A310" s="44">
        <v>0</v>
      </c>
      <c r="B310" s="44">
        <v>2</v>
      </c>
      <c r="C310" s="44">
        <v>1</v>
      </c>
      <c r="D310" s="45" t="s">
        <v>1248</v>
      </c>
      <c r="E310" s="45" t="s">
        <v>1249</v>
      </c>
      <c r="F310" s="45" t="s">
        <v>1250</v>
      </c>
      <c r="G310" s="45" t="s">
        <v>1149</v>
      </c>
      <c r="H310" s="45" t="s">
        <v>352</v>
      </c>
      <c r="I310" s="44" t="s">
        <v>1251</v>
      </c>
      <c r="J310" s="44">
        <v>11</v>
      </c>
      <c r="K310" s="46" t="s">
        <v>699</v>
      </c>
      <c r="L310" s="46">
        <v>6</v>
      </c>
      <c r="M310" s="47" t="s">
        <v>1712</v>
      </c>
      <c r="N310" s="47" t="s">
        <v>1793</v>
      </c>
      <c r="O310" s="48"/>
      <c r="P310" s="48"/>
      <c r="Q310" s="45"/>
      <c r="S310" s="1">
        <f t="shared" si="119"/>
        <v>0</v>
      </c>
      <c r="T310" s="1">
        <f t="shared" si="120"/>
        <v>0</v>
      </c>
      <c r="U310" s="1">
        <f t="shared" si="121"/>
        <v>0</v>
      </c>
      <c r="V310" s="1">
        <f t="shared" si="122"/>
        <v>0</v>
      </c>
      <c r="W310" s="1">
        <f t="shared" si="123"/>
        <v>0</v>
      </c>
      <c r="X310" s="1">
        <f t="shared" si="124"/>
        <v>0</v>
      </c>
      <c r="Y310" s="1">
        <f t="shared" si="125"/>
        <v>0</v>
      </c>
      <c r="Z310" s="1">
        <f t="shared" si="126"/>
        <v>0</v>
      </c>
      <c r="AA310" s="1">
        <f t="shared" si="127"/>
        <v>0</v>
      </c>
      <c r="AB310" s="1">
        <f t="shared" si="128"/>
        <v>0</v>
      </c>
      <c r="AD310" s="1">
        <f t="shared" si="129"/>
        <v>0</v>
      </c>
      <c r="AE310" s="1">
        <f t="shared" si="130"/>
        <v>0</v>
      </c>
      <c r="AF310" s="1">
        <f t="shared" si="115"/>
        <v>0</v>
      </c>
      <c r="AG310" s="1">
        <f t="shared" si="116"/>
        <v>0</v>
      </c>
      <c r="AH310" s="1">
        <f t="shared" si="117"/>
        <v>0</v>
      </c>
      <c r="AI310" s="1">
        <f t="shared" si="118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1110</v>
      </c>
      <c r="E311" s="32" t="s">
        <v>1298</v>
      </c>
      <c r="F311" s="32" t="s">
        <v>1108</v>
      </c>
      <c r="G311" s="32" t="s">
        <v>229</v>
      </c>
      <c r="H311" s="32" t="s">
        <v>352</v>
      </c>
      <c r="I311" s="31" t="s">
        <v>1109</v>
      </c>
      <c r="J311" s="31">
        <v>7</v>
      </c>
      <c r="K311" s="33" t="s">
        <v>709</v>
      </c>
      <c r="L311" s="33" t="s">
        <v>1693</v>
      </c>
      <c r="M311" s="34" t="s">
        <v>710</v>
      </c>
      <c r="N311" s="34" t="s">
        <v>1740</v>
      </c>
      <c r="O311" s="35">
        <v>1</v>
      </c>
      <c r="P311" s="35"/>
      <c r="Q311" s="32"/>
      <c r="S311" s="1">
        <f t="shared" si="119"/>
        <v>0</v>
      </c>
      <c r="T311" s="1">
        <f t="shared" si="120"/>
        <v>0</v>
      </c>
      <c r="U311" s="1">
        <f t="shared" si="121"/>
        <v>0</v>
      </c>
      <c r="V311" s="1">
        <f t="shared" si="122"/>
        <v>0</v>
      </c>
      <c r="W311" s="1">
        <f t="shared" si="123"/>
        <v>0</v>
      </c>
      <c r="X311" s="1">
        <f t="shared" si="124"/>
        <v>0</v>
      </c>
      <c r="Y311" s="1">
        <f t="shared" si="125"/>
        <v>1</v>
      </c>
      <c r="Z311" s="1">
        <f t="shared" si="126"/>
        <v>0</v>
      </c>
      <c r="AA311" s="1">
        <f t="shared" si="127"/>
        <v>0</v>
      </c>
      <c r="AB311" s="1">
        <f t="shared" si="128"/>
        <v>0</v>
      </c>
      <c r="AD311" s="1">
        <f t="shared" si="129"/>
        <v>0</v>
      </c>
      <c r="AE311" s="1">
        <f t="shared" si="130"/>
        <v>1</v>
      </c>
      <c r="AF311" s="1">
        <f t="shared" si="115"/>
        <v>0</v>
      </c>
      <c r="AG311" s="1">
        <f t="shared" si="116"/>
        <v>1</v>
      </c>
      <c r="AH311" s="1">
        <f t="shared" si="117"/>
        <v>0</v>
      </c>
      <c r="AI311" s="1">
        <f t="shared" si="118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995</v>
      </c>
      <c r="E312" s="32" t="s">
        <v>1320</v>
      </c>
      <c r="F312" s="32" t="s">
        <v>996</v>
      </c>
      <c r="G312" s="32" t="s">
        <v>1087</v>
      </c>
      <c r="H312" s="32" t="s">
        <v>352</v>
      </c>
      <c r="I312" s="31" t="s">
        <v>406</v>
      </c>
      <c r="J312" s="31">
        <v>99</v>
      </c>
      <c r="K312" s="33" t="s">
        <v>709</v>
      </c>
      <c r="L312" s="33" t="s">
        <v>709</v>
      </c>
      <c r="M312" s="34" t="s">
        <v>710</v>
      </c>
      <c r="N312" s="34" t="s">
        <v>1727</v>
      </c>
      <c r="O312" s="35">
        <v>1</v>
      </c>
      <c r="P312" s="35"/>
      <c r="Q312" s="32"/>
      <c r="S312" s="1">
        <f t="shared" si="119"/>
        <v>0</v>
      </c>
      <c r="T312" s="1">
        <f t="shared" si="120"/>
        <v>0</v>
      </c>
      <c r="U312" s="1">
        <f t="shared" si="121"/>
        <v>0</v>
      </c>
      <c r="V312" s="1">
        <f t="shared" si="122"/>
        <v>0</v>
      </c>
      <c r="W312" s="1">
        <f t="shared" si="123"/>
        <v>0</v>
      </c>
      <c r="X312" s="1">
        <f t="shared" si="124"/>
        <v>0</v>
      </c>
      <c r="Y312" s="1">
        <f t="shared" si="125"/>
        <v>0</v>
      </c>
      <c r="Z312" s="1">
        <f t="shared" si="126"/>
        <v>0</v>
      </c>
      <c r="AA312" s="1">
        <f t="shared" si="127"/>
        <v>0</v>
      </c>
      <c r="AB312" s="1">
        <f t="shared" si="128"/>
        <v>0</v>
      </c>
      <c r="AD312" s="1">
        <f t="shared" si="129"/>
        <v>0</v>
      </c>
      <c r="AE312" s="1">
        <f t="shared" si="130"/>
        <v>1</v>
      </c>
      <c r="AF312" s="1">
        <f t="shared" si="115"/>
        <v>0</v>
      </c>
      <c r="AG312" s="1">
        <f t="shared" si="116"/>
        <v>1</v>
      </c>
      <c r="AH312" s="1">
        <f t="shared" si="117"/>
        <v>0</v>
      </c>
      <c r="AI312" s="1">
        <f t="shared" si="118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1117</v>
      </c>
      <c r="E313" s="32" t="s">
        <v>557</v>
      </c>
      <c r="F313" s="32" t="s">
        <v>1338</v>
      </c>
      <c r="G313" s="32" t="s">
        <v>264</v>
      </c>
      <c r="H313" s="32" t="s">
        <v>352</v>
      </c>
      <c r="I313" s="31" t="s">
        <v>1118</v>
      </c>
      <c r="J313" s="31">
        <v>8</v>
      </c>
      <c r="K313" s="33" t="s">
        <v>708</v>
      </c>
      <c r="L313" s="33" t="s">
        <v>1693</v>
      </c>
      <c r="M313" s="34" t="s">
        <v>710</v>
      </c>
      <c r="N313" s="34" t="s">
        <v>1732</v>
      </c>
      <c r="O313" s="35">
        <v>1</v>
      </c>
      <c r="P313" s="35"/>
      <c r="Q313" s="32"/>
      <c r="S313" s="1">
        <f t="shared" si="119"/>
        <v>0</v>
      </c>
      <c r="T313" s="1">
        <f t="shared" si="120"/>
        <v>0</v>
      </c>
      <c r="U313" s="1">
        <f t="shared" si="121"/>
        <v>0</v>
      </c>
      <c r="V313" s="1">
        <f t="shared" si="122"/>
        <v>0</v>
      </c>
      <c r="W313" s="1">
        <f t="shared" si="123"/>
        <v>0</v>
      </c>
      <c r="X313" s="1">
        <f t="shared" si="124"/>
        <v>0</v>
      </c>
      <c r="Y313" s="1">
        <f t="shared" si="125"/>
        <v>0</v>
      </c>
      <c r="Z313" s="1">
        <f t="shared" si="126"/>
        <v>1</v>
      </c>
      <c r="AA313" s="1">
        <f t="shared" si="127"/>
        <v>0</v>
      </c>
      <c r="AB313" s="1">
        <f t="shared" si="128"/>
        <v>0</v>
      </c>
      <c r="AD313" s="1">
        <f t="shared" si="129"/>
        <v>0</v>
      </c>
      <c r="AE313" s="1">
        <f t="shared" si="130"/>
        <v>1</v>
      </c>
      <c r="AF313" s="1">
        <f t="shared" si="115"/>
        <v>0</v>
      </c>
      <c r="AG313" s="1">
        <f t="shared" si="116"/>
        <v>1</v>
      </c>
      <c r="AH313" s="1">
        <f t="shared" si="117"/>
        <v>0</v>
      </c>
      <c r="AI313" s="1">
        <f t="shared" si="118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1270</v>
      </c>
      <c r="E314" s="32" t="s">
        <v>1318</v>
      </c>
      <c r="F314" s="32" t="s">
        <v>1267</v>
      </c>
      <c r="G314" s="32" t="s">
        <v>1268</v>
      </c>
      <c r="H314" s="32" t="s">
        <v>352</v>
      </c>
      <c r="I314" s="31" t="s">
        <v>1269</v>
      </c>
      <c r="J314" s="31">
        <v>1</v>
      </c>
      <c r="K314" s="33" t="s">
        <v>708</v>
      </c>
      <c r="L314" s="33" t="s">
        <v>709</v>
      </c>
      <c r="M314" s="34" t="s">
        <v>710</v>
      </c>
      <c r="N314" s="34" t="s">
        <v>1745</v>
      </c>
      <c r="O314" s="35">
        <v>1</v>
      </c>
      <c r="P314" s="35"/>
      <c r="Q314" s="32" t="s">
        <v>1886</v>
      </c>
      <c r="S314" s="1">
        <f t="shared" si="119"/>
        <v>1</v>
      </c>
      <c r="T314" s="1">
        <f t="shared" si="120"/>
        <v>0</v>
      </c>
      <c r="U314" s="1">
        <f t="shared" si="121"/>
        <v>0</v>
      </c>
      <c r="V314" s="1">
        <f t="shared" si="122"/>
        <v>0</v>
      </c>
      <c r="W314" s="1">
        <f t="shared" si="123"/>
        <v>0</v>
      </c>
      <c r="X314" s="1">
        <f t="shared" si="124"/>
        <v>0</v>
      </c>
      <c r="Y314" s="1">
        <f t="shared" si="125"/>
        <v>0</v>
      </c>
      <c r="Z314" s="1">
        <f t="shared" si="126"/>
        <v>0</v>
      </c>
      <c r="AA314" s="1">
        <f t="shared" si="127"/>
        <v>0</v>
      </c>
      <c r="AB314" s="1">
        <f t="shared" si="128"/>
        <v>0</v>
      </c>
      <c r="AD314" s="1">
        <f t="shared" si="129"/>
        <v>0</v>
      </c>
      <c r="AE314" s="1">
        <f t="shared" si="130"/>
        <v>1</v>
      </c>
      <c r="AF314" s="1">
        <f t="shared" si="115"/>
        <v>0</v>
      </c>
      <c r="AG314" s="1">
        <f t="shared" si="116"/>
        <v>1</v>
      </c>
      <c r="AH314" s="1">
        <f t="shared" si="117"/>
        <v>0</v>
      </c>
      <c r="AI314" s="1">
        <f t="shared" si="118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52</v>
      </c>
      <c r="E315" s="32" t="s">
        <v>32</v>
      </c>
      <c r="F315" s="32" t="s">
        <v>205</v>
      </c>
      <c r="G315" s="32" t="s">
        <v>206</v>
      </c>
      <c r="H315" s="32" t="s">
        <v>352</v>
      </c>
      <c r="I315" s="31" t="s">
        <v>389</v>
      </c>
      <c r="J315" s="31">
        <v>99</v>
      </c>
      <c r="K315" s="33" t="s">
        <v>708</v>
      </c>
      <c r="L315" s="33" t="s">
        <v>709</v>
      </c>
      <c r="M315" s="34" t="s">
        <v>710</v>
      </c>
      <c r="N315" s="34" t="s">
        <v>1930</v>
      </c>
      <c r="O315" s="35">
        <v>1</v>
      </c>
      <c r="P315" s="35"/>
      <c r="Q315" s="32"/>
      <c r="S315" s="1">
        <f t="shared" si="119"/>
        <v>0</v>
      </c>
      <c r="T315" s="1">
        <f t="shared" si="120"/>
        <v>0</v>
      </c>
      <c r="U315" s="1">
        <f t="shared" si="121"/>
        <v>0</v>
      </c>
      <c r="V315" s="1">
        <f t="shared" si="122"/>
        <v>0</v>
      </c>
      <c r="W315" s="1">
        <f t="shared" si="123"/>
        <v>0</v>
      </c>
      <c r="X315" s="1">
        <f t="shared" si="124"/>
        <v>0</v>
      </c>
      <c r="Y315" s="1">
        <f t="shared" si="125"/>
        <v>0</v>
      </c>
      <c r="Z315" s="1">
        <f t="shared" si="126"/>
        <v>0</v>
      </c>
      <c r="AA315" s="1">
        <f t="shared" si="127"/>
        <v>0</v>
      </c>
      <c r="AB315" s="1">
        <f t="shared" si="128"/>
        <v>0</v>
      </c>
      <c r="AD315" s="1">
        <f t="shared" si="129"/>
        <v>0</v>
      </c>
      <c r="AE315" s="1">
        <f t="shared" si="130"/>
        <v>1</v>
      </c>
      <c r="AF315" s="1">
        <f t="shared" si="115"/>
        <v>0</v>
      </c>
      <c r="AG315" s="1">
        <f t="shared" si="116"/>
        <v>1</v>
      </c>
      <c r="AH315" s="1">
        <f t="shared" si="117"/>
        <v>0</v>
      </c>
      <c r="AI315" s="1">
        <f t="shared" si="118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73</v>
      </c>
      <c r="E316" s="32" t="s">
        <v>557</v>
      </c>
      <c r="F316" s="32" t="s">
        <v>1037</v>
      </c>
      <c r="G316" s="32" t="s">
        <v>189</v>
      </c>
      <c r="H316" s="32" t="s">
        <v>352</v>
      </c>
      <c r="I316" s="31" t="s">
        <v>419</v>
      </c>
      <c r="J316" s="31">
        <v>99</v>
      </c>
      <c r="K316" s="33" t="s">
        <v>941</v>
      </c>
      <c r="L316" s="33" t="s">
        <v>709</v>
      </c>
      <c r="M316" s="34" t="s">
        <v>710</v>
      </c>
      <c r="N316" s="34" t="s">
        <v>1727</v>
      </c>
      <c r="O316" s="35">
        <v>1</v>
      </c>
      <c r="P316" s="35"/>
      <c r="Q316" s="32"/>
      <c r="S316" s="1">
        <f t="shared" si="119"/>
        <v>0</v>
      </c>
      <c r="T316" s="1">
        <f t="shared" si="120"/>
        <v>0</v>
      </c>
      <c r="U316" s="1">
        <f t="shared" si="121"/>
        <v>0</v>
      </c>
      <c r="V316" s="1">
        <f t="shared" si="122"/>
        <v>0</v>
      </c>
      <c r="W316" s="1">
        <f t="shared" si="123"/>
        <v>0</v>
      </c>
      <c r="X316" s="1">
        <f t="shared" si="124"/>
        <v>0</v>
      </c>
      <c r="Y316" s="1">
        <f t="shared" si="125"/>
        <v>0</v>
      </c>
      <c r="Z316" s="1">
        <f t="shared" si="126"/>
        <v>0</v>
      </c>
      <c r="AA316" s="1">
        <f t="shared" si="127"/>
        <v>0</v>
      </c>
      <c r="AB316" s="1">
        <f t="shared" si="128"/>
        <v>0</v>
      </c>
      <c r="AD316" s="1">
        <f t="shared" si="129"/>
        <v>0</v>
      </c>
      <c r="AE316" s="1">
        <f t="shared" si="130"/>
        <v>1</v>
      </c>
      <c r="AF316" s="1">
        <f t="shared" si="115"/>
        <v>0</v>
      </c>
      <c r="AG316" s="1">
        <f t="shared" si="116"/>
        <v>1</v>
      </c>
      <c r="AH316" s="1">
        <f t="shared" si="117"/>
        <v>0</v>
      </c>
      <c r="AI316" s="1">
        <f t="shared" si="118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47</v>
      </c>
      <c r="E317" s="32" t="s">
        <v>32</v>
      </c>
      <c r="F317" s="32" t="s">
        <v>186</v>
      </c>
      <c r="G317" s="32" t="s">
        <v>179</v>
      </c>
      <c r="H317" s="32" t="s">
        <v>352</v>
      </c>
      <c r="I317" s="31" t="s">
        <v>381</v>
      </c>
      <c r="J317" s="31">
        <v>10</v>
      </c>
      <c r="K317" s="33" t="s">
        <v>942</v>
      </c>
      <c r="L317" s="33" t="s">
        <v>709</v>
      </c>
      <c r="M317" s="34" t="s">
        <v>710</v>
      </c>
      <c r="N317" s="34" t="s">
        <v>1727</v>
      </c>
      <c r="O317" s="35">
        <v>1</v>
      </c>
      <c r="P317" s="35"/>
      <c r="Q317" s="32"/>
      <c r="S317" s="1">
        <f t="shared" si="119"/>
        <v>0</v>
      </c>
      <c r="T317" s="1">
        <f t="shared" si="120"/>
        <v>0</v>
      </c>
      <c r="U317" s="1">
        <f t="shared" si="121"/>
        <v>0</v>
      </c>
      <c r="V317" s="1">
        <f t="shared" si="122"/>
        <v>0</v>
      </c>
      <c r="W317" s="1">
        <f t="shared" si="123"/>
        <v>0</v>
      </c>
      <c r="X317" s="1">
        <f t="shared" si="124"/>
        <v>0</v>
      </c>
      <c r="Y317" s="1">
        <f t="shared" si="125"/>
        <v>0</v>
      </c>
      <c r="Z317" s="1">
        <f t="shared" si="126"/>
        <v>0</v>
      </c>
      <c r="AA317" s="1">
        <f t="shared" si="127"/>
        <v>0</v>
      </c>
      <c r="AB317" s="1">
        <f t="shared" si="128"/>
        <v>1</v>
      </c>
      <c r="AD317" s="1">
        <f t="shared" si="129"/>
        <v>0</v>
      </c>
      <c r="AE317" s="1">
        <f t="shared" si="130"/>
        <v>1</v>
      </c>
      <c r="AF317" s="1">
        <f t="shared" si="115"/>
        <v>0</v>
      </c>
      <c r="AG317" s="1">
        <f t="shared" si="116"/>
        <v>1</v>
      </c>
      <c r="AH317" s="1">
        <f t="shared" si="117"/>
        <v>0</v>
      </c>
      <c r="AI317" s="1">
        <f t="shared" si="118"/>
        <v>1</v>
      </c>
    </row>
    <row r="318" spans="1:35" s="1" customFormat="1" ht="14.25" customHeight="1" x14ac:dyDescent="0.25">
      <c r="A318" s="44">
        <v>0</v>
      </c>
      <c r="B318" s="44">
        <v>2</v>
      </c>
      <c r="C318" s="44">
        <v>1</v>
      </c>
      <c r="D318" s="45" t="s">
        <v>648</v>
      </c>
      <c r="E318" s="45" t="s">
        <v>159</v>
      </c>
      <c r="F318" s="45" t="s">
        <v>187</v>
      </c>
      <c r="G318" s="45" t="s">
        <v>664</v>
      </c>
      <c r="H318" s="45" t="s">
        <v>352</v>
      </c>
      <c r="I318" s="44" t="s">
        <v>382</v>
      </c>
      <c r="J318" s="44">
        <v>99</v>
      </c>
      <c r="K318" s="46" t="s">
        <v>708</v>
      </c>
      <c r="L318" s="46" t="s">
        <v>709</v>
      </c>
      <c r="M318" s="47" t="s">
        <v>710</v>
      </c>
      <c r="N318" s="47" t="s">
        <v>1721</v>
      </c>
      <c r="O318" s="48"/>
      <c r="P318" s="48"/>
      <c r="Q318" s="45"/>
      <c r="S318" s="1">
        <f t="shared" si="119"/>
        <v>0</v>
      </c>
      <c r="T318" s="1">
        <f t="shared" si="120"/>
        <v>0</v>
      </c>
      <c r="U318" s="1">
        <f t="shared" si="121"/>
        <v>0</v>
      </c>
      <c r="V318" s="1">
        <f t="shared" si="122"/>
        <v>0</v>
      </c>
      <c r="W318" s="1">
        <f t="shared" si="123"/>
        <v>0</v>
      </c>
      <c r="X318" s="1">
        <f t="shared" si="124"/>
        <v>0</v>
      </c>
      <c r="Y318" s="1">
        <f t="shared" si="125"/>
        <v>0</v>
      </c>
      <c r="Z318" s="1">
        <f t="shared" si="126"/>
        <v>0</v>
      </c>
      <c r="AA318" s="1">
        <f t="shared" si="127"/>
        <v>0</v>
      </c>
      <c r="AB318" s="1">
        <f t="shared" si="128"/>
        <v>0</v>
      </c>
      <c r="AD318" s="1">
        <f t="shared" si="129"/>
        <v>0</v>
      </c>
      <c r="AE318" s="1">
        <f t="shared" si="130"/>
        <v>0</v>
      </c>
      <c r="AF318" s="1">
        <f t="shared" si="115"/>
        <v>0</v>
      </c>
      <c r="AG318" s="1">
        <f t="shared" si="116"/>
        <v>0</v>
      </c>
      <c r="AH318" s="1">
        <f t="shared" si="117"/>
        <v>0</v>
      </c>
      <c r="AI318" s="1">
        <f t="shared" si="118"/>
        <v>1</v>
      </c>
    </row>
    <row r="319" spans="1:35" s="1" customFormat="1" ht="14.25" customHeight="1" x14ac:dyDescent="0.25">
      <c r="A319" s="38">
        <v>0</v>
      </c>
      <c r="B319" s="38">
        <v>2</v>
      </c>
      <c r="C319" s="38">
        <v>1</v>
      </c>
      <c r="D319" s="39" t="s">
        <v>1288</v>
      </c>
      <c r="E319" s="39" t="s">
        <v>36</v>
      </c>
      <c r="F319" s="39" t="s">
        <v>1289</v>
      </c>
      <c r="G319" s="39" t="s">
        <v>257</v>
      </c>
      <c r="H319" s="39" t="s">
        <v>352</v>
      </c>
      <c r="I319" s="38" t="s">
        <v>1290</v>
      </c>
      <c r="J319" s="38">
        <v>8</v>
      </c>
      <c r="K319" s="40" t="s">
        <v>946</v>
      </c>
      <c r="L319" s="40" t="s">
        <v>709</v>
      </c>
      <c r="M319" s="41" t="s">
        <v>710</v>
      </c>
      <c r="N319" s="42"/>
      <c r="O319" s="43"/>
      <c r="P319" s="43">
        <v>1</v>
      </c>
      <c r="Q319" s="39"/>
      <c r="S319" s="1">
        <f t="shared" si="119"/>
        <v>0</v>
      </c>
      <c r="T319" s="1">
        <f t="shared" si="120"/>
        <v>0</v>
      </c>
      <c r="U319" s="1">
        <f t="shared" si="121"/>
        <v>0</v>
      </c>
      <c r="V319" s="1">
        <f t="shared" si="122"/>
        <v>0</v>
      </c>
      <c r="W319" s="1">
        <f t="shared" si="123"/>
        <v>0</v>
      </c>
      <c r="X319" s="1">
        <f t="shared" si="124"/>
        <v>0</v>
      </c>
      <c r="Y319" s="1">
        <f t="shared" si="125"/>
        <v>0</v>
      </c>
      <c r="Z319" s="1">
        <f t="shared" si="126"/>
        <v>1</v>
      </c>
      <c r="AA319" s="1">
        <f t="shared" si="127"/>
        <v>0</v>
      </c>
      <c r="AB319" s="1">
        <f t="shared" si="128"/>
        <v>0</v>
      </c>
      <c r="AD319" s="1">
        <f t="shared" si="129"/>
        <v>0</v>
      </c>
      <c r="AE319" s="1">
        <f t="shared" si="130"/>
        <v>0</v>
      </c>
      <c r="AF319" s="1">
        <f t="shared" si="115"/>
        <v>0</v>
      </c>
      <c r="AG319" s="1">
        <f t="shared" si="116"/>
        <v>0</v>
      </c>
      <c r="AH319" s="1">
        <f t="shared" si="117"/>
        <v>1</v>
      </c>
      <c r="AI319" s="1">
        <f t="shared" si="118"/>
        <v>0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54</v>
      </c>
      <c r="E320" s="32" t="s">
        <v>557</v>
      </c>
      <c r="F320" s="32" t="s">
        <v>211</v>
      </c>
      <c r="G320" s="32" t="s">
        <v>212</v>
      </c>
      <c r="H320" s="32" t="s">
        <v>352</v>
      </c>
      <c r="I320" s="31" t="s">
        <v>391</v>
      </c>
      <c r="J320" s="31">
        <v>1</v>
      </c>
      <c r="K320" s="33" t="s">
        <v>942</v>
      </c>
      <c r="L320" s="33" t="s">
        <v>709</v>
      </c>
      <c r="M320" s="34" t="s">
        <v>39</v>
      </c>
      <c r="N320" s="34" t="s">
        <v>1727</v>
      </c>
      <c r="O320" s="35">
        <v>1</v>
      </c>
      <c r="P320" s="35"/>
      <c r="Q320" s="32"/>
      <c r="S320" s="1">
        <f t="shared" si="119"/>
        <v>1</v>
      </c>
      <c r="T320" s="1">
        <f t="shared" si="120"/>
        <v>0</v>
      </c>
      <c r="U320" s="1">
        <f t="shared" si="121"/>
        <v>0</v>
      </c>
      <c r="V320" s="1">
        <f t="shared" si="122"/>
        <v>0</v>
      </c>
      <c r="W320" s="1">
        <f t="shared" si="123"/>
        <v>0</v>
      </c>
      <c r="X320" s="1">
        <f t="shared" si="124"/>
        <v>0</v>
      </c>
      <c r="Y320" s="1">
        <f t="shared" si="125"/>
        <v>0</v>
      </c>
      <c r="Z320" s="1">
        <f t="shared" si="126"/>
        <v>0</v>
      </c>
      <c r="AA320" s="1">
        <f t="shared" si="127"/>
        <v>0</v>
      </c>
      <c r="AB320" s="1">
        <f t="shared" si="128"/>
        <v>0</v>
      </c>
      <c r="AD320" s="1">
        <f t="shared" si="129"/>
        <v>0</v>
      </c>
      <c r="AE320" s="1">
        <f t="shared" si="130"/>
        <v>1</v>
      </c>
      <c r="AF320" s="1">
        <f t="shared" si="115"/>
        <v>0</v>
      </c>
      <c r="AG320" s="1">
        <f t="shared" si="116"/>
        <v>1</v>
      </c>
      <c r="AH320" s="1">
        <f t="shared" si="117"/>
        <v>0</v>
      </c>
      <c r="AI320" s="1">
        <f t="shared" si="118"/>
        <v>1</v>
      </c>
    </row>
    <row r="321" spans="1:35" s="1" customFormat="1" ht="14.25" customHeight="1" x14ac:dyDescent="0.25">
      <c r="A321" s="44">
        <v>0</v>
      </c>
      <c r="B321" s="44">
        <v>2</v>
      </c>
      <c r="C321" s="44">
        <v>1</v>
      </c>
      <c r="D321" s="45" t="s">
        <v>61</v>
      </c>
      <c r="E321" s="45" t="s">
        <v>539</v>
      </c>
      <c r="F321" s="45" t="s">
        <v>232</v>
      </c>
      <c r="G321" s="45" t="s">
        <v>203</v>
      </c>
      <c r="H321" s="45" t="s">
        <v>352</v>
      </c>
      <c r="I321" s="44" t="s">
        <v>399</v>
      </c>
      <c r="J321" s="44">
        <v>7</v>
      </c>
      <c r="K321" s="46" t="s">
        <v>708</v>
      </c>
      <c r="L321" s="46" t="s">
        <v>709</v>
      </c>
      <c r="M321" s="47" t="s">
        <v>710</v>
      </c>
      <c r="N321" s="47" t="s">
        <v>1722</v>
      </c>
      <c r="O321" s="48"/>
      <c r="P321" s="48"/>
      <c r="Q321" s="45"/>
      <c r="S321" s="1">
        <f t="shared" si="119"/>
        <v>0</v>
      </c>
      <c r="T321" s="1">
        <f t="shared" si="120"/>
        <v>0</v>
      </c>
      <c r="U321" s="1">
        <f t="shared" si="121"/>
        <v>0</v>
      </c>
      <c r="V321" s="1">
        <f t="shared" si="122"/>
        <v>0</v>
      </c>
      <c r="W321" s="1">
        <f t="shared" si="123"/>
        <v>0</v>
      </c>
      <c r="X321" s="1">
        <f t="shared" si="124"/>
        <v>0</v>
      </c>
      <c r="Y321" s="1">
        <f t="shared" si="125"/>
        <v>1</v>
      </c>
      <c r="Z321" s="1">
        <f t="shared" si="126"/>
        <v>0</v>
      </c>
      <c r="AA321" s="1">
        <f t="shared" si="127"/>
        <v>0</v>
      </c>
      <c r="AB321" s="1">
        <f t="shared" si="128"/>
        <v>0</v>
      </c>
      <c r="AD321" s="1">
        <f t="shared" si="129"/>
        <v>0</v>
      </c>
      <c r="AE321" s="1">
        <f t="shared" si="130"/>
        <v>0</v>
      </c>
      <c r="AF321" s="1">
        <f t="shared" si="115"/>
        <v>0</v>
      </c>
      <c r="AG321" s="1">
        <f t="shared" si="116"/>
        <v>0</v>
      </c>
      <c r="AH321" s="1">
        <f t="shared" si="117"/>
        <v>0</v>
      </c>
      <c r="AI321" s="1">
        <f t="shared" si="118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1631</v>
      </c>
      <c r="E322" s="32" t="s">
        <v>557</v>
      </c>
      <c r="F322" s="32" t="s">
        <v>1342</v>
      </c>
      <c r="G322" s="32" t="s">
        <v>1268</v>
      </c>
      <c r="H322" s="32" t="s">
        <v>352</v>
      </c>
      <c r="I322" s="31" t="s">
        <v>1151</v>
      </c>
      <c r="J322" s="31">
        <v>99</v>
      </c>
      <c r="K322" s="33" t="s">
        <v>708</v>
      </c>
      <c r="L322" s="33" t="s">
        <v>709</v>
      </c>
      <c r="M322" s="34" t="s">
        <v>710</v>
      </c>
      <c r="N322" s="34" t="s">
        <v>1732</v>
      </c>
      <c r="O322" s="35">
        <v>1</v>
      </c>
      <c r="P322" s="35"/>
      <c r="Q322" s="32" t="s">
        <v>1885</v>
      </c>
      <c r="S322" s="1">
        <f t="shared" si="119"/>
        <v>0</v>
      </c>
      <c r="T322" s="1">
        <f t="shared" si="120"/>
        <v>0</v>
      </c>
      <c r="U322" s="1">
        <f t="shared" si="121"/>
        <v>0</v>
      </c>
      <c r="V322" s="1">
        <f t="shared" si="122"/>
        <v>0</v>
      </c>
      <c r="W322" s="1">
        <f t="shared" si="123"/>
        <v>0</v>
      </c>
      <c r="X322" s="1">
        <f t="shared" si="124"/>
        <v>0</v>
      </c>
      <c r="Y322" s="1">
        <f t="shared" si="125"/>
        <v>0</v>
      </c>
      <c r="Z322" s="1">
        <f t="shared" si="126"/>
        <v>0</v>
      </c>
      <c r="AA322" s="1">
        <f t="shared" si="127"/>
        <v>0</v>
      </c>
      <c r="AB322" s="1">
        <f t="shared" si="128"/>
        <v>0</v>
      </c>
      <c r="AD322" s="1">
        <f t="shared" si="129"/>
        <v>0</v>
      </c>
      <c r="AE322" s="1">
        <f t="shared" si="130"/>
        <v>1</v>
      </c>
      <c r="AF322" s="1">
        <f t="shared" si="115"/>
        <v>0</v>
      </c>
      <c r="AG322" s="1">
        <f t="shared" si="116"/>
        <v>1</v>
      </c>
      <c r="AH322" s="1">
        <f t="shared" si="117"/>
        <v>0</v>
      </c>
      <c r="AI322" s="1">
        <f t="shared" si="118"/>
        <v>1</v>
      </c>
    </row>
    <row r="323" spans="1:35" s="1" customFormat="1" ht="14.25" customHeight="1" x14ac:dyDescent="0.25">
      <c r="A323" s="49">
        <v>0</v>
      </c>
      <c r="B323" s="49">
        <v>2</v>
      </c>
      <c r="C323" s="49">
        <v>1</v>
      </c>
      <c r="D323" s="50" t="s">
        <v>1766</v>
      </c>
      <c r="E323" s="50" t="s">
        <v>1767</v>
      </c>
      <c r="F323" s="50" t="s">
        <v>1768</v>
      </c>
      <c r="G323" s="50" t="s">
        <v>1769</v>
      </c>
      <c r="H323" s="50" t="s">
        <v>352</v>
      </c>
      <c r="I323" s="49"/>
      <c r="J323" s="49">
        <v>1</v>
      </c>
      <c r="K323" s="51" t="s">
        <v>699</v>
      </c>
      <c r="L323" s="51"/>
      <c r="M323" s="52"/>
      <c r="N323" s="52" t="s">
        <v>1727</v>
      </c>
      <c r="O323" s="53">
        <v>1</v>
      </c>
      <c r="P323" s="53"/>
      <c r="Q323" s="55" t="s">
        <v>1893</v>
      </c>
      <c r="S323" s="1">
        <f t="shared" si="119"/>
        <v>1</v>
      </c>
      <c r="T323" s="1">
        <f t="shared" si="120"/>
        <v>0</v>
      </c>
      <c r="U323" s="1">
        <f t="shared" si="121"/>
        <v>0</v>
      </c>
      <c r="V323" s="1">
        <f t="shared" si="122"/>
        <v>0</v>
      </c>
      <c r="W323" s="1">
        <f t="shared" si="123"/>
        <v>0</v>
      </c>
      <c r="X323" s="1">
        <f t="shared" si="124"/>
        <v>0</v>
      </c>
      <c r="Y323" s="1">
        <f t="shared" si="125"/>
        <v>0</v>
      </c>
      <c r="Z323" s="1">
        <f t="shared" si="126"/>
        <v>0</v>
      </c>
      <c r="AA323" s="1">
        <f t="shared" si="127"/>
        <v>0</v>
      </c>
      <c r="AB323" s="1">
        <f t="shared" si="128"/>
        <v>0</v>
      </c>
      <c r="AD323" s="1">
        <f t="shared" si="129"/>
        <v>0</v>
      </c>
      <c r="AE323" s="1">
        <f t="shared" si="130"/>
        <v>1</v>
      </c>
      <c r="AF323" s="1">
        <f t="shared" si="115"/>
        <v>0</v>
      </c>
      <c r="AG323" s="1">
        <f t="shared" si="116"/>
        <v>1</v>
      </c>
      <c r="AH323" s="1">
        <f t="shared" si="117"/>
        <v>0</v>
      </c>
      <c r="AI323" s="1">
        <f t="shared" si="118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1302</v>
      </c>
      <c r="E324" s="32" t="s">
        <v>1322</v>
      </c>
      <c r="F324" s="32" t="s">
        <v>1285</v>
      </c>
      <c r="G324" s="32" t="s">
        <v>1286</v>
      </c>
      <c r="H324" s="32" t="s">
        <v>352</v>
      </c>
      <c r="I324" s="31" t="s">
        <v>1287</v>
      </c>
      <c r="J324" s="31">
        <v>99</v>
      </c>
      <c r="K324" s="33" t="s">
        <v>942</v>
      </c>
      <c r="L324" s="33" t="s">
        <v>709</v>
      </c>
      <c r="M324" s="34" t="s">
        <v>710</v>
      </c>
      <c r="N324" s="34" t="s">
        <v>1903</v>
      </c>
      <c r="O324" s="35">
        <v>1</v>
      </c>
      <c r="P324" s="35"/>
      <c r="Q324" s="32"/>
      <c r="S324" s="1">
        <f t="shared" si="119"/>
        <v>0</v>
      </c>
      <c r="T324" s="1">
        <f t="shared" si="120"/>
        <v>0</v>
      </c>
      <c r="U324" s="1">
        <f t="shared" si="121"/>
        <v>0</v>
      </c>
      <c r="V324" s="1">
        <f t="shared" si="122"/>
        <v>0</v>
      </c>
      <c r="W324" s="1">
        <f t="shared" si="123"/>
        <v>0</v>
      </c>
      <c r="X324" s="1">
        <f t="shared" si="124"/>
        <v>0</v>
      </c>
      <c r="Y324" s="1">
        <f t="shared" si="125"/>
        <v>0</v>
      </c>
      <c r="Z324" s="1">
        <f t="shared" si="126"/>
        <v>0</v>
      </c>
      <c r="AA324" s="1">
        <f t="shared" si="127"/>
        <v>0</v>
      </c>
      <c r="AB324" s="1">
        <f t="shared" si="128"/>
        <v>0</v>
      </c>
      <c r="AD324" s="1">
        <f t="shared" si="129"/>
        <v>0</v>
      </c>
      <c r="AE324" s="1">
        <f t="shared" si="130"/>
        <v>1</v>
      </c>
      <c r="AF324" s="1">
        <f t="shared" si="115"/>
        <v>0</v>
      </c>
      <c r="AG324" s="1">
        <f t="shared" si="116"/>
        <v>1</v>
      </c>
      <c r="AH324" s="1">
        <f t="shared" si="117"/>
        <v>0</v>
      </c>
      <c r="AI324" s="1">
        <f t="shared" si="118"/>
        <v>1</v>
      </c>
    </row>
    <row r="325" spans="1:35" s="1" customFormat="1" ht="14.25" customHeight="1" x14ac:dyDescent="0.25">
      <c r="A325" s="44">
        <v>0</v>
      </c>
      <c r="B325" s="44">
        <v>2</v>
      </c>
      <c r="C325" s="44">
        <v>1</v>
      </c>
      <c r="D325" s="45" t="s">
        <v>1297</v>
      </c>
      <c r="E325" s="45" t="s">
        <v>159</v>
      </c>
      <c r="F325" s="45" t="s">
        <v>1299</v>
      </c>
      <c r="G325" s="45" t="s">
        <v>1300</v>
      </c>
      <c r="H325" s="45" t="s">
        <v>352</v>
      </c>
      <c r="I325" s="44" t="s">
        <v>1301</v>
      </c>
      <c r="J325" s="44">
        <v>8</v>
      </c>
      <c r="K325" s="46" t="s">
        <v>709</v>
      </c>
      <c r="L325" s="46" t="s">
        <v>709</v>
      </c>
      <c r="M325" s="47" t="s">
        <v>710</v>
      </c>
      <c r="N325" s="47" t="s">
        <v>1731</v>
      </c>
      <c r="O325" s="48"/>
      <c r="P325" s="48"/>
      <c r="Q325" s="45"/>
      <c r="S325" s="1">
        <f t="shared" si="119"/>
        <v>0</v>
      </c>
      <c r="T325" s="1">
        <f t="shared" si="120"/>
        <v>0</v>
      </c>
      <c r="U325" s="1">
        <f t="shared" si="121"/>
        <v>0</v>
      </c>
      <c r="V325" s="1">
        <f t="shared" si="122"/>
        <v>0</v>
      </c>
      <c r="W325" s="1">
        <f t="shared" si="123"/>
        <v>0</v>
      </c>
      <c r="X325" s="1">
        <f t="shared" si="124"/>
        <v>0</v>
      </c>
      <c r="Y325" s="1">
        <f t="shared" si="125"/>
        <v>0</v>
      </c>
      <c r="Z325" s="1">
        <f t="shared" si="126"/>
        <v>1</v>
      </c>
      <c r="AA325" s="1">
        <f t="shared" si="127"/>
        <v>0</v>
      </c>
      <c r="AB325" s="1">
        <f t="shared" si="128"/>
        <v>0</v>
      </c>
      <c r="AD325" s="1">
        <f t="shared" si="129"/>
        <v>0</v>
      </c>
      <c r="AE325" s="1">
        <f t="shared" si="130"/>
        <v>0</v>
      </c>
      <c r="AF325" s="1">
        <f t="shared" si="115"/>
        <v>0</v>
      </c>
      <c r="AG325" s="1">
        <f t="shared" si="116"/>
        <v>0</v>
      </c>
      <c r="AH325" s="1">
        <f t="shared" si="117"/>
        <v>0</v>
      </c>
      <c r="AI325" s="1">
        <f t="shared" si="118"/>
        <v>1</v>
      </c>
    </row>
    <row r="326" spans="1:35" s="1" customFormat="1" ht="14.25" customHeight="1" x14ac:dyDescent="0.25">
      <c r="A326" s="44">
        <v>0</v>
      </c>
      <c r="B326" s="44">
        <v>2</v>
      </c>
      <c r="C326" s="44">
        <v>2</v>
      </c>
      <c r="D326" s="45" t="s">
        <v>1630</v>
      </c>
      <c r="E326" s="45" t="s">
        <v>1152</v>
      </c>
      <c r="F326" s="45" t="s">
        <v>1664</v>
      </c>
      <c r="G326" s="45" t="s">
        <v>189</v>
      </c>
      <c r="H326" s="45" t="s">
        <v>352</v>
      </c>
      <c r="I326" s="44" t="s">
        <v>1591</v>
      </c>
      <c r="J326" s="44">
        <v>99</v>
      </c>
      <c r="K326" s="46" t="s">
        <v>709</v>
      </c>
      <c r="L326" s="46" t="s">
        <v>692</v>
      </c>
      <c r="M326" s="47" t="s">
        <v>1592</v>
      </c>
      <c r="N326" s="47" t="s">
        <v>1722</v>
      </c>
      <c r="O326" s="48"/>
      <c r="P326" s="48"/>
      <c r="Q326" s="45"/>
      <c r="S326" s="1">
        <f t="shared" si="119"/>
        <v>0</v>
      </c>
      <c r="T326" s="1">
        <f t="shared" si="120"/>
        <v>0</v>
      </c>
      <c r="U326" s="1">
        <f t="shared" si="121"/>
        <v>0</v>
      </c>
      <c r="V326" s="1">
        <f t="shared" si="122"/>
        <v>0</v>
      </c>
      <c r="W326" s="1">
        <f t="shared" si="123"/>
        <v>0</v>
      </c>
      <c r="X326" s="1">
        <f t="shared" si="124"/>
        <v>0</v>
      </c>
      <c r="Y326" s="1">
        <f t="shared" si="125"/>
        <v>0</v>
      </c>
      <c r="Z326" s="1">
        <f t="shared" si="126"/>
        <v>0</v>
      </c>
      <c r="AA326" s="1">
        <f t="shared" si="127"/>
        <v>0</v>
      </c>
      <c r="AB326" s="1">
        <f t="shared" si="128"/>
        <v>0</v>
      </c>
      <c r="AD326" s="1">
        <f t="shared" si="129"/>
        <v>0</v>
      </c>
      <c r="AE326" s="1">
        <f t="shared" si="130"/>
        <v>0</v>
      </c>
      <c r="AF326" s="1">
        <f t="shared" si="115"/>
        <v>0</v>
      </c>
      <c r="AG326" s="1">
        <f t="shared" si="116"/>
        <v>0</v>
      </c>
      <c r="AH326" s="1">
        <f t="shared" si="117"/>
        <v>0</v>
      </c>
      <c r="AI326" s="1">
        <f t="shared" si="118"/>
        <v>1</v>
      </c>
    </row>
    <row r="327" spans="1:35" s="1" customFormat="1" ht="14.25" customHeight="1" x14ac:dyDescent="0.25">
      <c r="A327" s="49">
        <v>0</v>
      </c>
      <c r="B327" s="49">
        <v>2</v>
      </c>
      <c r="C327" s="49">
        <v>2</v>
      </c>
      <c r="D327" s="50" t="s">
        <v>65</v>
      </c>
      <c r="E327" s="50" t="s">
        <v>163</v>
      </c>
      <c r="F327" s="50" t="s">
        <v>242</v>
      </c>
      <c r="G327" s="50" t="s">
        <v>199</v>
      </c>
      <c r="H327" s="50" t="s">
        <v>352</v>
      </c>
      <c r="I327" s="49" t="s">
        <v>405</v>
      </c>
      <c r="J327" s="49">
        <v>2</v>
      </c>
      <c r="K327" s="51" t="s">
        <v>942</v>
      </c>
      <c r="L327" s="51" t="s">
        <v>692</v>
      </c>
      <c r="M327" s="52" t="s">
        <v>711</v>
      </c>
      <c r="N327" s="52" t="s">
        <v>1727</v>
      </c>
      <c r="O327" s="53">
        <v>1</v>
      </c>
      <c r="P327" s="53"/>
      <c r="Q327" s="50"/>
      <c r="S327" s="1">
        <f t="shared" si="119"/>
        <v>0</v>
      </c>
      <c r="T327" s="1">
        <f t="shared" si="120"/>
        <v>1</v>
      </c>
      <c r="U327" s="1">
        <f t="shared" si="121"/>
        <v>0</v>
      </c>
      <c r="V327" s="1">
        <f t="shared" si="122"/>
        <v>0</v>
      </c>
      <c r="W327" s="1">
        <f t="shared" si="123"/>
        <v>0</v>
      </c>
      <c r="X327" s="1">
        <f t="shared" si="124"/>
        <v>0</v>
      </c>
      <c r="Y327" s="1">
        <f t="shared" si="125"/>
        <v>0</v>
      </c>
      <c r="Z327" s="1">
        <f t="shared" si="126"/>
        <v>0</v>
      </c>
      <c r="AA327" s="1">
        <f t="shared" si="127"/>
        <v>0</v>
      </c>
      <c r="AB327" s="1">
        <f t="shared" si="128"/>
        <v>0</v>
      </c>
      <c r="AD327" s="1">
        <f t="shared" si="129"/>
        <v>0</v>
      </c>
      <c r="AE327" s="1">
        <f t="shared" si="130"/>
        <v>1</v>
      </c>
      <c r="AF327" s="1">
        <f t="shared" si="115"/>
        <v>0</v>
      </c>
      <c r="AG327" s="1">
        <f t="shared" si="116"/>
        <v>1</v>
      </c>
      <c r="AH327" s="1">
        <f t="shared" si="117"/>
        <v>0</v>
      </c>
      <c r="AI327" s="1">
        <f t="shared" si="118"/>
        <v>1</v>
      </c>
    </row>
    <row r="328" spans="1:35" s="1" customFormat="1" ht="14.25" customHeight="1" x14ac:dyDescent="0.25">
      <c r="A328" s="44">
        <v>0</v>
      </c>
      <c r="B328" s="44">
        <v>2</v>
      </c>
      <c r="C328" s="44">
        <v>2</v>
      </c>
      <c r="D328" s="45" t="s">
        <v>1166</v>
      </c>
      <c r="E328" s="45" t="s">
        <v>1167</v>
      </c>
      <c r="F328" s="45" t="s">
        <v>1332</v>
      </c>
      <c r="G328" s="45" t="s">
        <v>1043</v>
      </c>
      <c r="H328" s="45" t="s">
        <v>352</v>
      </c>
      <c r="I328" s="44" t="s">
        <v>1168</v>
      </c>
      <c r="J328" s="44">
        <v>1</v>
      </c>
      <c r="K328" s="46" t="s">
        <v>708</v>
      </c>
      <c r="L328" s="46" t="s">
        <v>700</v>
      </c>
      <c r="M328" s="47" t="s">
        <v>1396</v>
      </c>
      <c r="N328" s="47" t="s">
        <v>1719</v>
      </c>
      <c r="O328" s="48"/>
      <c r="P328" s="48"/>
      <c r="Q328" s="45"/>
      <c r="S328" s="1">
        <f t="shared" si="119"/>
        <v>1</v>
      </c>
      <c r="T328" s="1">
        <f t="shared" si="120"/>
        <v>0</v>
      </c>
      <c r="U328" s="1">
        <f t="shared" si="121"/>
        <v>0</v>
      </c>
      <c r="V328" s="1">
        <f t="shared" si="122"/>
        <v>0</v>
      </c>
      <c r="W328" s="1">
        <f t="shared" si="123"/>
        <v>0</v>
      </c>
      <c r="X328" s="1">
        <f t="shared" si="124"/>
        <v>0</v>
      </c>
      <c r="Y328" s="1">
        <f t="shared" si="125"/>
        <v>0</v>
      </c>
      <c r="Z328" s="1">
        <f t="shared" si="126"/>
        <v>0</v>
      </c>
      <c r="AA328" s="1">
        <f t="shared" si="127"/>
        <v>0</v>
      </c>
      <c r="AB328" s="1">
        <f t="shared" si="128"/>
        <v>0</v>
      </c>
      <c r="AD328" s="1">
        <f t="shared" si="129"/>
        <v>0</v>
      </c>
      <c r="AE328" s="1">
        <f t="shared" si="130"/>
        <v>0</v>
      </c>
      <c r="AF328" s="1">
        <f t="shared" si="115"/>
        <v>0</v>
      </c>
      <c r="AG328" s="1">
        <f t="shared" si="116"/>
        <v>0</v>
      </c>
      <c r="AH328" s="1">
        <f t="shared" si="117"/>
        <v>0</v>
      </c>
      <c r="AI328" s="1">
        <f t="shared" si="118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2</v>
      </c>
      <c r="D329" s="32" t="s">
        <v>1812</v>
      </c>
      <c r="E329" s="32" t="s">
        <v>1813</v>
      </c>
      <c r="F329" s="32" t="s">
        <v>1814</v>
      </c>
      <c r="G329" s="32" t="s">
        <v>195</v>
      </c>
      <c r="H329" s="32" t="s">
        <v>352</v>
      </c>
      <c r="I329" s="31" t="s">
        <v>1815</v>
      </c>
      <c r="J329" s="31"/>
      <c r="K329" s="33" t="s">
        <v>699</v>
      </c>
      <c r="L329" s="33">
        <v>20</v>
      </c>
      <c r="M329" s="34" t="s">
        <v>1816</v>
      </c>
      <c r="N329" s="34" t="s">
        <v>1732</v>
      </c>
      <c r="O329" s="35">
        <v>1</v>
      </c>
      <c r="P329" s="35"/>
      <c r="Q329" s="32"/>
      <c r="S329" s="1">
        <f t="shared" si="119"/>
        <v>0</v>
      </c>
      <c r="T329" s="1">
        <f t="shared" si="120"/>
        <v>0</v>
      </c>
      <c r="U329" s="1">
        <f t="shared" si="121"/>
        <v>0</v>
      </c>
      <c r="V329" s="1">
        <f t="shared" si="122"/>
        <v>0</v>
      </c>
      <c r="W329" s="1">
        <f t="shared" si="123"/>
        <v>0</v>
      </c>
      <c r="X329" s="1">
        <f t="shared" si="124"/>
        <v>0</v>
      </c>
      <c r="Y329" s="1">
        <f t="shared" si="125"/>
        <v>0</v>
      </c>
      <c r="Z329" s="1">
        <f t="shared" si="126"/>
        <v>0</v>
      </c>
      <c r="AA329" s="1">
        <f t="shared" si="127"/>
        <v>0</v>
      </c>
      <c r="AB329" s="1">
        <f t="shared" si="128"/>
        <v>0</v>
      </c>
      <c r="AD329" s="1">
        <f t="shared" si="129"/>
        <v>0</v>
      </c>
      <c r="AE329" s="1">
        <f t="shared" si="130"/>
        <v>1</v>
      </c>
      <c r="AF329" s="1">
        <f t="shared" si="115"/>
        <v>0</v>
      </c>
      <c r="AG329" s="1">
        <f t="shared" si="116"/>
        <v>1</v>
      </c>
      <c r="AH329" s="1">
        <f t="shared" si="117"/>
        <v>0</v>
      </c>
      <c r="AI329" s="1">
        <f t="shared" si="118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2</v>
      </c>
      <c r="D330" s="32" t="s">
        <v>1560</v>
      </c>
      <c r="E330" s="32" t="s">
        <v>1561</v>
      </c>
      <c r="F330" s="32" t="s">
        <v>1563</v>
      </c>
      <c r="G330" s="32" t="s">
        <v>1564</v>
      </c>
      <c r="H330" s="32" t="s">
        <v>352</v>
      </c>
      <c r="I330" s="31" t="s">
        <v>1562</v>
      </c>
      <c r="J330" s="31">
        <v>99</v>
      </c>
      <c r="K330" s="33" t="s">
        <v>699</v>
      </c>
      <c r="L330" s="33">
        <v>18</v>
      </c>
      <c r="M330" s="34" t="s">
        <v>1565</v>
      </c>
      <c r="N330" s="34" t="s">
        <v>1732</v>
      </c>
      <c r="O330" s="35">
        <v>1</v>
      </c>
      <c r="P330" s="35"/>
      <c r="Q330" s="32"/>
      <c r="S330" s="1">
        <f t="shared" si="119"/>
        <v>0</v>
      </c>
      <c r="T330" s="1">
        <f t="shared" si="120"/>
        <v>0</v>
      </c>
      <c r="U330" s="1">
        <f t="shared" si="121"/>
        <v>0</v>
      </c>
      <c r="V330" s="1">
        <f t="shared" si="122"/>
        <v>0</v>
      </c>
      <c r="W330" s="1">
        <f t="shared" si="123"/>
        <v>0</v>
      </c>
      <c r="X330" s="1">
        <f t="shared" si="124"/>
        <v>0</v>
      </c>
      <c r="Y330" s="1">
        <f t="shared" si="125"/>
        <v>0</v>
      </c>
      <c r="Z330" s="1">
        <f t="shared" si="126"/>
        <v>0</v>
      </c>
      <c r="AA330" s="1">
        <f t="shared" si="127"/>
        <v>0</v>
      </c>
      <c r="AB330" s="1">
        <f t="shared" si="128"/>
        <v>0</v>
      </c>
      <c r="AD330" s="1">
        <f t="shared" si="129"/>
        <v>0</v>
      </c>
      <c r="AE330" s="1">
        <f t="shared" si="130"/>
        <v>1</v>
      </c>
      <c r="AF330" s="1">
        <f t="shared" si="115"/>
        <v>0</v>
      </c>
      <c r="AG330" s="1">
        <f t="shared" si="116"/>
        <v>1</v>
      </c>
      <c r="AH330" s="1">
        <f t="shared" si="117"/>
        <v>0</v>
      </c>
      <c r="AI330" s="1">
        <f t="shared" si="118"/>
        <v>1</v>
      </c>
    </row>
    <row r="331" spans="1:35" s="1" customFormat="1" ht="14.25" customHeight="1" x14ac:dyDescent="0.25">
      <c r="A331" s="49">
        <v>0</v>
      </c>
      <c r="B331" s="49">
        <v>2</v>
      </c>
      <c r="C331" s="49">
        <v>2</v>
      </c>
      <c r="D331" s="50" t="s">
        <v>64</v>
      </c>
      <c r="E331" s="50" t="s">
        <v>33</v>
      </c>
      <c r="F331" s="50" t="s">
        <v>240</v>
      </c>
      <c r="G331" s="50" t="s">
        <v>241</v>
      </c>
      <c r="H331" s="50" t="s">
        <v>352</v>
      </c>
      <c r="I331" s="49" t="s">
        <v>404</v>
      </c>
      <c r="J331" s="49">
        <v>1</v>
      </c>
      <c r="K331" s="51" t="s">
        <v>948</v>
      </c>
      <c r="L331" s="51" t="s">
        <v>712</v>
      </c>
      <c r="M331" s="52" t="s">
        <v>713</v>
      </c>
      <c r="N331" s="52" t="s">
        <v>1727</v>
      </c>
      <c r="O331" s="53">
        <v>1</v>
      </c>
      <c r="P331" s="53"/>
      <c r="Q331" s="50"/>
      <c r="S331" s="1">
        <f t="shared" si="119"/>
        <v>1</v>
      </c>
      <c r="T331" s="1">
        <f t="shared" si="120"/>
        <v>0</v>
      </c>
      <c r="U331" s="1">
        <f t="shared" si="121"/>
        <v>0</v>
      </c>
      <c r="V331" s="1">
        <f t="shared" si="122"/>
        <v>0</v>
      </c>
      <c r="W331" s="1">
        <f t="shared" si="123"/>
        <v>0</v>
      </c>
      <c r="X331" s="1">
        <f t="shared" si="124"/>
        <v>0</v>
      </c>
      <c r="Y331" s="1">
        <f t="shared" si="125"/>
        <v>0</v>
      </c>
      <c r="Z331" s="1">
        <f t="shared" si="126"/>
        <v>0</v>
      </c>
      <c r="AA331" s="1">
        <f t="shared" si="127"/>
        <v>0</v>
      </c>
      <c r="AB331" s="1">
        <f t="shared" si="128"/>
        <v>0</v>
      </c>
      <c r="AD331" s="1">
        <f t="shared" si="129"/>
        <v>0</v>
      </c>
      <c r="AE331" s="1">
        <f t="shared" si="130"/>
        <v>1</v>
      </c>
      <c r="AF331" s="1">
        <f t="shared" si="115"/>
        <v>0</v>
      </c>
      <c r="AG331" s="1">
        <f t="shared" si="116"/>
        <v>1</v>
      </c>
      <c r="AH331" s="1">
        <f t="shared" si="117"/>
        <v>0</v>
      </c>
      <c r="AI331" s="1">
        <f t="shared" si="118"/>
        <v>1</v>
      </c>
    </row>
    <row r="332" spans="1:35" s="1" customFormat="1" ht="14.25" customHeight="1" x14ac:dyDescent="0.25">
      <c r="A332" s="49">
        <v>0</v>
      </c>
      <c r="B332" s="49">
        <v>2</v>
      </c>
      <c r="C332" s="49">
        <v>2</v>
      </c>
      <c r="D332" s="50" t="s">
        <v>62</v>
      </c>
      <c r="E332" s="50" t="s">
        <v>1073</v>
      </c>
      <c r="F332" s="50" t="s">
        <v>233</v>
      </c>
      <c r="G332" s="50" t="s">
        <v>234</v>
      </c>
      <c r="H332" s="50" t="s">
        <v>352</v>
      </c>
      <c r="I332" s="49" t="s">
        <v>1349</v>
      </c>
      <c r="J332" s="49">
        <v>99</v>
      </c>
      <c r="K332" s="51" t="s">
        <v>942</v>
      </c>
      <c r="L332" s="51" t="s">
        <v>712</v>
      </c>
      <c r="M332" s="52" t="s">
        <v>714</v>
      </c>
      <c r="N332" s="52" t="s">
        <v>1727</v>
      </c>
      <c r="O332" s="53">
        <v>1</v>
      </c>
      <c r="P332" s="53"/>
      <c r="Q332" s="50"/>
      <c r="S332" s="1">
        <f t="shared" si="119"/>
        <v>0</v>
      </c>
      <c r="T332" s="1">
        <f t="shared" si="120"/>
        <v>0</v>
      </c>
      <c r="U332" s="1">
        <f t="shared" si="121"/>
        <v>0</v>
      </c>
      <c r="V332" s="1">
        <f t="shared" si="122"/>
        <v>0</v>
      </c>
      <c r="W332" s="1">
        <f t="shared" si="123"/>
        <v>0</v>
      </c>
      <c r="X332" s="1">
        <f t="shared" si="124"/>
        <v>0</v>
      </c>
      <c r="Y332" s="1">
        <f t="shared" si="125"/>
        <v>0</v>
      </c>
      <c r="Z332" s="1">
        <f t="shared" si="126"/>
        <v>0</v>
      </c>
      <c r="AA332" s="1">
        <f t="shared" si="127"/>
        <v>0</v>
      </c>
      <c r="AB332" s="1">
        <f t="shared" si="128"/>
        <v>0</v>
      </c>
      <c r="AD332" s="1">
        <f t="shared" si="129"/>
        <v>0</v>
      </c>
      <c r="AE332" s="1">
        <f t="shared" si="130"/>
        <v>1</v>
      </c>
      <c r="AF332" s="1">
        <f t="shared" si="115"/>
        <v>0</v>
      </c>
      <c r="AG332" s="1">
        <f t="shared" si="116"/>
        <v>1</v>
      </c>
      <c r="AH332" s="1">
        <f t="shared" si="117"/>
        <v>0</v>
      </c>
      <c r="AI332" s="1">
        <f t="shared" si="118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2</v>
      </c>
      <c r="D333" s="32" t="s">
        <v>1700</v>
      </c>
      <c r="E333" s="32" t="s">
        <v>1702</v>
      </c>
      <c r="F333" s="32" t="s">
        <v>1701</v>
      </c>
      <c r="G333" s="32"/>
      <c r="H333" s="32" t="s">
        <v>352</v>
      </c>
      <c r="I333" s="31" t="s">
        <v>1703</v>
      </c>
      <c r="J333" s="31"/>
      <c r="K333" s="33" t="s">
        <v>699</v>
      </c>
      <c r="L333" s="33"/>
      <c r="M333" s="34"/>
      <c r="N333" s="34" t="s">
        <v>1711</v>
      </c>
      <c r="O333" s="35">
        <v>1</v>
      </c>
      <c r="P333" s="35">
        <v>1</v>
      </c>
      <c r="Q333" s="32"/>
      <c r="S333" s="1">
        <f t="shared" si="119"/>
        <v>0</v>
      </c>
      <c r="T333" s="1">
        <f t="shared" si="120"/>
        <v>0</v>
      </c>
      <c r="U333" s="1">
        <f t="shared" si="121"/>
        <v>0</v>
      </c>
      <c r="V333" s="1">
        <f t="shared" si="122"/>
        <v>0</v>
      </c>
      <c r="W333" s="1">
        <f t="shared" si="123"/>
        <v>0</v>
      </c>
      <c r="X333" s="1">
        <f t="shared" si="124"/>
        <v>0</v>
      </c>
      <c r="Y333" s="1">
        <f t="shared" si="125"/>
        <v>0</v>
      </c>
      <c r="Z333" s="1">
        <f t="shared" si="126"/>
        <v>0</v>
      </c>
      <c r="AA333" s="1">
        <f t="shared" si="127"/>
        <v>0</v>
      </c>
      <c r="AB333" s="1">
        <f t="shared" si="128"/>
        <v>0</v>
      </c>
      <c r="AD333" s="1">
        <f t="shared" si="129"/>
        <v>1</v>
      </c>
      <c r="AE333" s="1">
        <f t="shared" si="130"/>
        <v>0</v>
      </c>
      <c r="AF333" s="1">
        <f t="shared" si="115"/>
        <v>1</v>
      </c>
      <c r="AG333" s="1">
        <f t="shared" si="116"/>
        <v>0</v>
      </c>
      <c r="AH333" s="1">
        <f t="shared" si="117"/>
        <v>1</v>
      </c>
      <c r="AI333" s="1">
        <f t="shared" si="118"/>
        <v>0</v>
      </c>
    </row>
    <row r="334" spans="1:35" s="1" customFormat="1" ht="14.25" customHeight="1" x14ac:dyDescent="0.25">
      <c r="A334" s="44">
        <v>0</v>
      </c>
      <c r="B334" s="44">
        <v>2</v>
      </c>
      <c r="C334" s="44">
        <v>2</v>
      </c>
      <c r="D334" s="45" t="s">
        <v>778</v>
      </c>
      <c r="E334" s="45" t="s">
        <v>898</v>
      </c>
      <c r="F334" s="45" t="s">
        <v>1555</v>
      </c>
      <c r="G334" s="45" t="s">
        <v>229</v>
      </c>
      <c r="H334" s="45" t="s">
        <v>352</v>
      </c>
      <c r="I334" s="44" t="s">
        <v>1678</v>
      </c>
      <c r="J334" s="44">
        <v>7</v>
      </c>
      <c r="K334" s="46" t="s">
        <v>709</v>
      </c>
      <c r="L334" s="46">
        <v>20</v>
      </c>
      <c r="M334" s="47" t="s">
        <v>39</v>
      </c>
      <c r="N334" s="47" t="s">
        <v>1718</v>
      </c>
      <c r="O334" s="48"/>
      <c r="P334" s="48"/>
      <c r="Q334" s="45"/>
      <c r="S334" s="1">
        <f t="shared" si="119"/>
        <v>0</v>
      </c>
      <c r="T334" s="1">
        <f t="shared" si="120"/>
        <v>0</v>
      </c>
      <c r="U334" s="1">
        <f t="shared" si="121"/>
        <v>0</v>
      </c>
      <c r="V334" s="1">
        <f t="shared" si="122"/>
        <v>0</v>
      </c>
      <c r="W334" s="1">
        <f t="shared" si="123"/>
        <v>0</v>
      </c>
      <c r="X334" s="1">
        <f t="shared" si="124"/>
        <v>0</v>
      </c>
      <c r="Y334" s="1">
        <f t="shared" si="125"/>
        <v>1</v>
      </c>
      <c r="Z334" s="1">
        <f t="shared" si="126"/>
        <v>0</v>
      </c>
      <c r="AA334" s="1">
        <f t="shared" si="127"/>
        <v>0</v>
      </c>
      <c r="AB334" s="1">
        <f t="shared" si="128"/>
        <v>0</v>
      </c>
      <c r="AD334" s="1">
        <f t="shared" si="129"/>
        <v>0</v>
      </c>
      <c r="AE334" s="1">
        <f t="shared" si="130"/>
        <v>0</v>
      </c>
      <c r="AF334" s="1">
        <f t="shared" si="115"/>
        <v>0</v>
      </c>
      <c r="AG334" s="1">
        <f t="shared" si="116"/>
        <v>0</v>
      </c>
      <c r="AH334" s="1">
        <f t="shared" si="117"/>
        <v>0</v>
      </c>
      <c r="AI334" s="1">
        <f t="shared" si="118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843</v>
      </c>
      <c r="E335" s="32" t="s">
        <v>537</v>
      </c>
      <c r="F335" s="32" t="s">
        <v>845</v>
      </c>
      <c r="G335" s="32" t="s">
        <v>219</v>
      </c>
      <c r="H335" s="32" t="s">
        <v>352</v>
      </c>
      <c r="I335" s="31" t="s">
        <v>846</v>
      </c>
      <c r="J335" s="31">
        <v>8</v>
      </c>
      <c r="K335" s="33" t="s">
        <v>709</v>
      </c>
      <c r="L335" s="33" t="s">
        <v>712</v>
      </c>
      <c r="M335" s="34" t="s">
        <v>1397</v>
      </c>
      <c r="N335" s="34" t="s">
        <v>1727</v>
      </c>
      <c r="O335" s="35">
        <v>1</v>
      </c>
      <c r="P335" s="35"/>
      <c r="Q335" s="32"/>
      <c r="S335" s="1">
        <f t="shared" si="119"/>
        <v>0</v>
      </c>
      <c r="T335" s="1">
        <f t="shared" si="120"/>
        <v>0</v>
      </c>
      <c r="U335" s="1">
        <f t="shared" si="121"/>
        <v>0</v>
      </c>
      <c r="V335" s="1">
        <f t="shared" si="122"/>
        <v>0</v>
      </c>
      <c r="W335" s="1">
        <f t="shared" si="123"/>
        <v>0</v>
      </c>
      <c r="X335" s="1">
        <f t="shared" si="124"/>
        <v>0</v>
      </c>
      <c r="Y335" s="1">
        <f t="shared" si="125"/>
        <v>0</v>
      </c>
      <c r="Z335" s="1">
        <f t="shared" si="126"/>
        <v>1</v>
      </c>
      <c r="AA335" s="1">
        <f t="shared" si="127"/>
        <v>0</v>
      </c>
      <c r="AB335" s="1">
        <f t="shared" si="128"/>
        <v>0</v>
      </c>
      <c r="AD335" s="1">
        <f t="shared" si="129"/>
        <v>0</v>
      </c>
      <c r="AE335" s="1">
        <f t="shared" si="130"/>
        <v>1</v>
      </c>
      <c r="AF335" s="1">
        <f t="shared" ref="AF335:AF398" si="131">+O335*P335*(1-A335)</f>
        <v>0</v>
      </c>
      <c r="AG335" s="1">
        <f t="shared" ref="AG335:AG398" si="132">O335*(1-P335)*(1-A335)</f>
        <v>1</v>
      </c>
      <c r="AH335" s="1">
        <f t="shared" ref="AH335:AH398" si="133">+P335*(1-A335)</f>
        <v>0</v>
      </c>
      <c r="AI335" s="1">
        <f t="shared" ref="AI335:AI398" si="134">+(1-A335)*(1-P335)</f>
        <v>1</v>
      </c>
    </row>
    <row r="336" spans="1:35" s="1" customFormat="1" ht="14.25" customHeight="1" x14ac:dyDescent="0.25">
      <c r="A336" s="31">
        <v>1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1337</v>
      </c>
      <c r="G336" s="32" t="s">
        <v>193</v>
      </c>
      <c r="H336" s="32" t="s">
        <v>352</v>
      </c>
      <c r="I336" s="31" t="s">
        <v>844</v>
      </c>
      <c r="J336" s="31">
        <v>9</v>
      </c>
      <c r="K336" s="33" t="s">
        <v>709</v>
      </c>
      <c r="L336" s="33" t="s">
        <v>712</v>
      </c>
      <c r="M336" s="34" t="s">
        <v>1397</v>
      </c>
      <c r="N336" s="34" t="s">
        <v>1727</v>
      </c>
      <c r="O336" s="35">
        <v>1</v>
      </c>
      <c r="P336" s="35"/>
      <c r="Q336" s="32"/>
      <c r="S336" s="1">
        <f t="shared" si="119"/>
        <v>0</v>
      </c>
      <c r="T336" s="1">
        <f t="shared" si="120"/>
        <v>0</v>
      </c>
      <c r="U336" s="1">
        <f t="shared" si="121"/>
        <v>0</v>
      </c>
      <c r="V336" s="1">
        <f t="shared" si="122"/>
        <v>0</v>
      </c>
      <c r="W336" s="1">
        <f t="shared" si="123"/>
        <v>0</v>
      </c>
      <c r="X336" s="1">
        <f t="shared" si="124"/>
        <v>0</v>
      </c>
      <c r="Y336" s="1">
        <f t="shared" si="125"/>
        <v>0</v>
      </c>
      <c r="Z336" s="1">
        <f t="shared" si="126"/>
        <v>0</v>
      </c>
      <c r="AA336" s="1">
        <f t="shared" si="127"/>
        <v>1</v>
      </c>
      <c r="AB336" s="1">
        <f t="shared" si="128"/>
        <v>0</v>
      </c>
      <c r="AD336" s="1">
        <f t="shared" si="129"/>
        <v>0</v>
      </c>
      <c r="AE336" s="1">
        <f t="shared" si="130"/>
        <v>1</v>
      </c>
      <c r="AF336" s="1">
        <f t="shared" si="131"/>
        <v>0</v>
      </c>
      <c r="AG336" s="1">
        <f t="shared" si="132"/>
        <v>0</v>
      </c>
      <c r="AH336" s="1">
        <f t="shared" si="133"/>
        <v>0</v>
      </c>
      <c r="AI336" s="1">
        <f t="shared" si="134"/>
        <v>0</v>
      </c>
    </row>
    <row r="337" spans="1:35" s="1" customFormat="1" ht="14.25" customHeight="1" x14ac:dyDescent="0.25">
      <c r="A337" s="44">
        <v>0</v>
      </c>
      <c r="B337" s="44">
        <v>2</v>
      </c>
      <c r="C337" s="44">
        <v>2</v>
      </c>
      <c r="D337" s="45" t="s">
        <v>907</v>
      </c>
      <c r="E337" s="45" t="s">
        <v>776</v>
      </c>
      <c r="F337" s="45" t="s">
        <v>777</v>
      </c>
      <c r="G337" s="45" t="s">
        <v>229</v>
      </c>
      <c r="H337" s="45" t="s">
        <v>352</v>
      </c>
      <c r="I337" s="44" t="s">
        <v>779</v>
      </c>
      <c r="J337" s="44">
        <v>7</v>
      </c>
      <c r="K337" s="46" t="s">
        <v>708</v>
      </c>
      <c r="L337" s="46">
        <v>15</v>
      </c>
      <c r="M337" s="47" t="s">
        <v>39</v>
      </c>
      <c r="N337" s="47" t="s">
        <v>1719</v>
      </c>
      <c r="O337" s="48"/>
      <c r="P337" s="48"/>
      <c r="Q337" s="45"/>
      <c r="S337" s="1">
        <f t="shared" si="119"/>
        <v>0</v>
      </c>
      <c r="T337" s="1">
        <f t="shared" si="120"/>
        <v>0</v>
      </c>
      <c r="U337" s="1">
        <f t="shared" si="121"/>
        <v>0</v>
      </c>
      <c r="V337" s="1">
        <f t="shared" si="122"/>
        <v>0</v>
      </c>
      <c r="W337" s="1">
        <f t="shared" si="123"/>
        <v>0</v>
      </c>
      <c r="X337" s="1">
        <f t="shared" si="124"/>
        <v>0</v>
      </c>
      <c r="Y337" s="1">
        <f t="shared" si="125"/>
        <v>1</v>
      </c>
      <c r="Z337" s="1">
        <f t="shared" si="126"/>
        <v>0</v>
      </c>
      <c r="AA337" s="1">
        <f t="shared" si="127"/>
        <v>0</v>
      </c>
      <c r="AB337" s="1">
        <f t="shared" si="128"/>
        <v>0</v>
      </c>
      <c r="AD337" s="1">
        <f t="shared" si="129"/>
        <v>0</v>
      </c>
      <c r="AE337" s="1">
        <f t="shared" si="130"/>
        <v>0</v>
      </c>
      <c r="AF337" s="1">
        <f t="shared" si="131"/>
        <v>0</v>
      </c>
      <c r="AG337" s="1">
        <f t="shared" si="132"/>
        <v>0</v>
      </c>
      <c r="AH337" s="1">
        <f t="shared" si="133"/>
        <v>0</v>
      </c>
      <c r="AI337" s="1">
        <f t="shared" si="134"/>
        <v>1</v>
      </c>
    </row>
    <row r="338" spans="1:35" s="1" customFormat="1" ht="14.25" customHeight="1" x14ac:dyDescent="0.25">
      <c r="A338" s="44">
        <v>0</v>
      </c>
      <c r="B338" s="44">
        <v>2</v>
      </c>
      <c r="C338" s="44">
        <v>2</v>
      </c>
      <c r="D338" s="45" t="s">
        <v>83</v>
      </c>
      <c r="E338" s="45" t="s">
        <v>156</v>
      </c>
      <c r="F338" s="65" t="s">
        <v>1856</v>
      </c>
      <c r="G338" s="45" t="s">
        <v>208</v>
      </c>
      <c r="H338" s="45" t="s">
        <v>352</v>
      </c>
      <c r="I338" s="44" t="s">
        <v>430</v>
      </c>
      <c r="J338" s="44">
        <v>99</v>
      </c>
      <c r="K338" s="46" t="s">
        <v>941</v>
      </c>
      <c r="L338" s="46" t="s">
        <v>700</v>
      </c>
      <c r="M338" s="47" t="s">
        <v>715</v>
      </c>
      <c r="N338" s="47" t="s">
        <v>1719</v>
      </c>
      <c r="O338" s="48"/>
      <c r="P338" s="48"/>
      <c r="Q338" s="45"/>
      <c r="S338" s="1">
        <f t="shared" si="119"/>
        <v>0</v>
      </c>
      <c r="T338" s="1">
        <f t="shared" si="120"/>
        <v>0</v>
      </c>
      <c r="U338" s="1">
        <f t="shared" si="121"/>
        <v>0</v>
      </c>
      <c r="V338" s="1">
        <f t="shared" si="122"/>
        <v>0</v>
      </c>
      <c r="W338" s="1">
        <f t="shared" si="123"/>
        <v>0</v>
      </c>
      <c r="X338" s="1">
        <f t="shared" si="124"/>
        <v>0</v>
      </c>
      <c r="Y338" s="1">
        <f t="shared" si="125"/>
        <v>0</v>
      </c>
      <c r="Z338" s="1">
        <f t="shared" si="126"/>
        <v>0</v>
      </c>
      <c r="AA338" s="1">
        <f t="shared" si="127"/>
        <v>0</v>
      </c>
      <c r="AB338" s="1">
        <f t="shared" si="128"/>
        <v>0</v>
      </c>
      <c r="AD338" s="1">
        <f t="shared" si="129"/>
        <v>0</v>
      </c>
      <c r="AE338" s="1">
        <f t="shared" si="130"/>
        <v>0</v>
      </c>
      <c r="AF338" s="1">
        <f t="shared" si="131"/>
        <v>0</v>
      </c>
      <c r="AG338" s="1">
        <f t="shared" si="132"/>
        <v>0</v>
      </c>
      <c r="AH338" s="1">
        <f t="shared" si="133"/>
        <v>0</v>
      </c>
      <c r="AI338" s="1">
        <f t="shared" si="134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1548</v>
      </c>
      <c r="E339" s="32" t="s">
        <v>1318</v>
      </c>
      <c r="F339" s="32" t="s">
        <v>1549</v>
      </c>
      <c r="G339" s="32" t="s">
        <v>1150</v>
      </c>
      <c r="H339" s="32" t="s">
        <v>352</v>
      </c>
      <c r="I339" s="31" t="s">
        <v>1550</v>
      </c>
      <c r="J339" s="31">
        <v>1</v>
      </c>
      <c r="K339" s="33" t="s">
        <v>709</v>
      </c>
      <c r="L339" s="33" t="s">
        <v>39</v>
      </c>
      <c r="M339" s="34" t="s">
        <v>39</v>
      </c>
      <c r="N339" s="34" t="s">
        <v>1711</v>
      </c>
      <c r="O339" s="35">
        <v>1</v>
      </c>
      <c r="P339" s="35">
        <v>1</v>
      </c>
      <c r="Q339" s="32"/>
      <c r="S339" s="1">
        <f t="shared" ref="S339:S402" si="135">IF(J339=$S$7,1,0)</f>
        <v>1</v>
      </c>
      <c r="T339" s="1">
        <f t="shared" ref="T339:T402" si="136">IF(J339=$T$7,1,0)</f>
        <v>0</v>
      </c>
      <c r="U339" s="1">
        <f t="shared" ref="U339:U402" si="137">IF(J339=$U$7,1,0)</f>
        <v>0</v>
      </c>
      <c r="V339" s="1">
        <f t="shared" ref="V339:V402" si="138">IF(J339=$V$7,1,0)</f>
        <v>0</v>
      </c>
      <c r="W339" s="1">
        <f t="shared" ref="W339:W402" si="139">IF(J339=$W$7,1,0)</f>
        <v>0</v>
      </c>
      <c r="X339" s="1">
        <f t="shared" ref="X339:X402" si="140">IF(J339=$X$7,1,0)</f>
        <v>0</v>
      </c>
      <c r="Y339" s="1">
        <f t="shared" ref="Y339:Y402" si="141">IF(J339=$Y$7,1,0)</f>
        <v>0</v>
      </c>
      <c r="Z339" s="1">
        <f t="shared" ref="Z339:Z402" si="142">IF(J339=$Z$7,1,0)</f>
        <v>0</v>
      </c>
      <c r="AA339" s="1">
        <f t="shared" ref="AA339:AA402" si="143">IF(J339=$AA$7,1,0)</f>
        <v>0</v>
      </c>
      <c r="AB339" s="1">
        <f t="shared" ref="AB339:AB402" si="144">IF(J339=$AB$7,1,0)</f>
        <v>0</v>
      </c>
      <c r="AD339" s="1">
        <f t="shared" ref="AD339:AD402" si="145">+O339*P339</f>
        <v>1</v>
      </c>
      <c r="AE339" s="1">
        <f t="shared" ref="AE339:AE402" si="146">O339*(1-P339)</f>
        <v>0</v>
      </c>
      <c r="AF339" s="1">
        <f t="shared" si="131"/>
        <v>1</v>
      </c>
      <c r="AG339" s="1">
        <f t="shared" si="132"/>
        <v>0</v>
      </c>
      <c r="AH339" s="1">
        <f t="shared" si="133"/>
        <v>1</v>
      </c>
      <c r="AI339" s="1">
        <f t="shared" si="134"/>
        <v>0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1728</v>
      </c>
      <c r="E340" s="32" t="s">
        <v>27</v>
      </c>
      <c r="F340" s="32" t="s">
        <v>1031</v>
      </c>
      <c r="G340" s="32" t="s">
        <v>219</v>
      </c>
      <c r="H340" s="32" t="s">
        <v>352</v>
      </c>
      <c r="I340" s="31" t="s">
        <v>1032</v>
      </c>
      <c r="J340" s="31">
        <v>8</v>
      </c>
      <c r="K340" s="33" t="s">
        <v>709</v>
      </c>
      <c r="L340" s="33">
        <v>25</v>
      </c>
      <c r="M340" s="34" t="s">
        <v>1729</v>
      </c>
      <c r="N340" s="34" t="s">
        <v>1711</v>
      </c>
      <c r="O340" s="35">
        <v>1</v>
      </c>
      <c r="P340" s="35">
        <v>1</v>
      </c>
      <c r="Q340" s="32"/>
      <c r="S340" s="1">
        <f t="shared" si="135"/>
        <v>0</v>
      </c>
      <c r="T340" s="1">
        <f t="shared" si="136"/>
        <v>0</v>
      </c>
      <c r="U340" s="1">
        <f t="shared" si="137"/>
        <v>0</v>
      </c>
      <c r="V340" s="1">
        <f t="shared" si="138"/>
        <v>0</v>
      </c>
      <c r="W340" s="1">
        <f t="shared" si="139"/>
        <v>0</v>
      </c>
      <c r="X340" s="1">
        <f t="shared" si="140"/>
        <v>0</v>
      </c>
      <c r="Y340" s="1">
        <f t="shared" si="141"/>
        <v>0</v>
      </c>
      <c r="Z340" s="1">
        <f t="shared" si="142"/>
        <v>1</v>
      </c>
      <c r="AA340" s="1">
        <f t="shared" si="143"/>
        <v>0</v>
      </c>
      <c r="AB340" s="1">
        <f t="shared" si="144"/>
        <v>0</v>
      </c>
      <c r="AD340" s="1">
        <f t="shared" si="145"/>
        <v>1</v>
      </c>
      <c r="AE340" s="1">
        <f t="shared" si="146"/>
        <v>0</v>
      </c>
      <c r="AF340" s="1">
        <f t="shared" si="131"/>
        <v>1</v>
      </c>
      <c r="AG340" s="1">
        <f t="shared" si="132"/>
        <v>0</v>
      </c>
      <c r="AH340" s="1">
        <f t="shared" si="133"/>
        <v>1</v>
      </c>
      <c r="AI340" s="1">
        <f t="shared" si="134"/>
        <v>0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45</v>
      </c>
      <c r="E341" s="32" t="s">
        <v>44</v>
      </c>
      <c r="F341" s="32" t="s">
        <v>665</v>
      </c>
      <c r="G341" s="32" t="s">
        <v>179</v>
      </c>
      <c r="H341" s="32" t="s">
        <v>352</v>
      </c>
      <c r="I341" s="31" t="s">
        <v>937</v>
      </c>
      <c r="J341" s="31">
        <v>10</v>
      </c>
      <c r="K341" s="33" t="s">
        <v>709</v>
      </c>
      <c r="L341" s="33" t="s">
        <v>716</v>
      </c>
      <c r="M341" s="34" t="s">
        <v>717</v>
      </c>
      <c r="N341" s="34" t="s">
        <v>1711</v>
      </c>
      <c r="O341" s="35">
        <v>1</v>
      </c>
      <c r="P341" s="35">
        <v>1</v>
      </c>
      <c r="Q341" s="32"/>
      <c r="S341" s="1">
        <f t="shared" si="135"/>
        <v>0</v>
      </c>
      <c r="T341" s="1">
        <f t="shared" si="136"/>
        <v>0</v>
      </c>
      <c r="U341" s="1">
        <f t="shared" si="137"/>
        <v>0</v>
      </c>
      <c r="V341" s="1">
        <f t="shared" si="138"/>
        <v>0</v>
      </c>
      <c r="W341" s="1">
        <f t="shared" si="139"/>
        <v>0</v>
      </c>
      <c r="X341" s="1">
        <f t="shared" si="140"/>
        <v>0</v>
      </c>
      <c r="Y341" s="1">
        <f t="shared" si="141"/>
        <v>0</v>
      </c>
      <c r="Z341" s="1">
        <f t="shared" si="142"/>
        <v>0</v>
      </c>
      <c r="AA341" s="1">
        <f t="shared" si="143"/>
        <v>0</v>
      </c>
      <c r="AB341" s="1">
        <f t="shared" si="144"/>
        <v>1</v>
      </c>
      <c r="AD341" s="1">
        <f t="shared" si="145"/>
        <v>1</v>
      </c>
      <c r="AE341" s="1">
        <f t="shared" si="146"/>
        <v>0</v>
      </c>
      <c r="AF341" s="1">
        <f t="shared" si="131"/>
        <v>1</v>
      </c>
      <c r="AG341" s="1">
        <f t="shared" si="132"/>
        <v>0</v>
      </c>
      <c r="AH341" s="1">
        <f t="shared" si="133"/>
        <v>1</v>
      </c>
      <c r="AI341" s="1">
        <f t="shared" si="134"/>
        <v>0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1432</v>
      </c>
      <c r="E342" s="32" t="s">
        <v>1637</v>
      </c>
      <c r="F342" s="32" t="s">
        <v>1652</v>
      </c>
      <c r="G342" s="32" t="s">
        <v>229</v>
      </c>
      <c r="H342" s="32" t="s">
        <v>352</v>
      </c>
      <c r="I342" s="31" t="s">
        <v>1433</v>
      </c>
      <c r="J342" s="31">
        <v>99</v>
      </c>
      <c r="K342" s="33" t="s">
        <v>942</v>
      </c>
      <c r="L342" s="33">
        <v>20</v>
      </c>
      <c r="M342" s="34" t="s">
        <v>39</v>
      </c>
      <c r="N342" s="34" t="s">
        <v>1711</v>
      </c>
      <c r="O342" s="35">
        <v>1</v>
      </c>
      <c r="P342" s="35">
        <v>1</v>
      </c>
      <c r="Q342" s="32"/>
      <c r="S342" s="1">
        <f t="shared" si="135"/>
        <v>0</v>
      </c>
      <c r="T342" s="1">
        <f t="shared" si="136"/>
        <v>0</v>
      </c>
      <c r="U342" s="1">
        <f t="shared" si="137"/>
        <v>0</v>
      </c>
      <c r="V342" s="1">
        <f t="shared" si="138"/>
        <v>0</v>
      </c>
      <c r="W342" s="1">
        <f t="shared" si="139"/>
        <v>0</v>
      </c>
      <c r="X342" s="1">
        <f t="shared" si="140"/>
        <v>0</v>
      </c>
      <c r="Y342" s="1">
        <f t="shared" si="141"/>
        <v>0</v>
      </c>
      <c r="Z342" s="1">
        <f t="shared" si="142"/>
        <v>0</v>
      </c>
      <c r="AA342" s="1">
        <f t="shared" si="143"/>
        <v>0</v>
      </c>
      <c r="AB342" s="1">
        <f t="shared" si="144"/>
        <v>0</v>
      </c>
      <c r="AD342" s="1">
        <f t="shared" si="145"/>
        <v>1</v>
      </c>
      <c r="AE342" s="1">
        <f t="shared" si="146"/>
        <v>0</v>
      </c>
      <c r="AF342" s="1">
        <f t="shared" si="131"/>
        <v>1</v>
      </c>
      <c r="AG342" s="1">
        <f t="shared" si="132"/>
        <v>0</v>
      </c>
      <c r="AH342" s="1">
        <f t="shared" si="133"/>
        <v>1</v>
      </c>
      <c r="AI342" s="1">
        <f t="shared" si="134"/>
        <v>0</v>
      </c>
    </row>
    <row r="343" spans="1:35" s="1" customFormat="1" ht="14.25" customHeight="1" x14ac:dyDescent="0.25">
      <c r="A343" s="67">
        <v>0</v>
      </c>
      <c r="B343" s="67">
        <v>2</v>
      </c>
      <c r="C343" s="67">
        <v>2</v>
      </c>
      <c r="D343" s="54" t="s">
        <v>1973</v>
      </c>
      <c r="E343" s="54" t="s">
        <v>2058</v>
      </c>
      <c r="F343" s="54" t="s">
        <v>1974</v>
      </c>
      <c r="G343" s="54" t="s">
        <v>178</v>
      </c>
      <c r="H343" s="54" t="s">
        <v>352</v>
      </c>
      <c r="I343" s="67" t="s">
        <v>1975</v>
      </c>
      <c r="J343" s="67"/>
      <c r="K343" s="67" t="s">
        <v>699</v>
      </c>
      <c r="L343" s="67"/>
      <c r="M343" s="54"/>
      <c r="N343" s="54"/>
      <c r="O343" s="68"/>
      <c r="P343" s="68">
        <v>1</v>
      </c>
      <c r="Q343" s="54"/>
      <c r="S343" s="1">
        <f t="shared" si="135"/>
        <v>0</v>
      </c>
      <c r="T343" s="1">
        <f t="shared" si="136"/>
        <v>0</v>
      </c>
      <c r="U343" s="1">
        <f t="shared" si="137"/>
        <v>0</v>
      </c>
      <c r="V343" s="1">
        <f t="shared" si="138"/>
        <v>0</v>
      </c>
      <c r="W343" s="1">
        <f t="shared" si="139"/>
        <v>0</v>
      </c>
      <c r="X343" s="1">
        <f t="shared" si="140"/>
        <v>0</v>
      </c>
      <c r="Y343" s="1">
        <f t="shared" si="141"/>
        <v>0</v>
      </c>
      <c r="Z343" s="1">
        <f t="shared" si="142"/>
        <v>0</v>
      </c>
      <c r="AA343" s="1">
        <f t="shared" si="143"/>
        <v>0</v>
      </c>
      <c r="AB343" s="1">
        <f t="shared" si="144"/>
        <v>0</v>
      </c>
      <c r="AD343" s="1">
        <f t="shared" si="145"/>
        <v>0</v>
      </c>
      <c r="AE343" s="1">
        <f t="shared" si="146"/>
        <v>0</v>
      </c>
      <c r="AF343" s="1">
        <f t="shared" si="131"/>
        <v>0</v>
      </c>
      <c r="AG343" s="1">
        <f t="shared" si="132"/>
        <v>0</v>
      </c>
      <c r="AH343" s="1">
        <f t="shared" si="133"/>
        <v>1</v>
      </c>
      <c r="AI343" s="1">
        <f t="shared" si="134"/>
        <v>0</v>
      </c>
    </row>
    <row r="344" spans="1:35" s="1" customFormat="1" ht="14.25" customHeight="1" x14ac:dyDescent="0.25">
      <c r="A344" s="49">
        <v>0</v>
      </c>
      <c r="B344" s="49">
        <v>2</v>
      </c>
      <c r="C344" s="49">
        <v>2</v>
      </c>
      <c r="D344" s="50" t="s">
        <v>602</v>
      </c>
      <c r="E344" s="50" t="s">
        <v>603</v>
      </c>
      <c r="F344" s="50" t="s">
        <v>604</v>
      </c>
      <c r="G344" s="50" t="s">
        <v>256</v>
      </c>
      <c r="H344" s="50" t="s">
        <v>352</v>
      </c>
      <c r="I344" s="49" t="s">
        <v>605</v>
      </c>
      <c r="J344" s="49">
        <v>99</v>
      </c>
      <c r="K344" s="51" t="s">
        <v>942</v>
      </c>
      <c r="L344" s="51" t="s">
        <v>700</v>
      </c>
      <c r="M344" s="52" t="s">
        <v>1398</v>
      </c>
      <c r="N344" s="52" t="s">
        <v>1727</v>
      </c>
      <c r="O344" s="53">
        <v>1</v>
      </c>
      <c r="P344" s="53"/>
      <c r="Q344" s="50"/>
      <c r="S344" s="1">
        <f t="shared" si="135"/>
        <v>0</v>
      </c>
      <c r="T344" s="1">
        <f t="shared" si="136"/>
        <v>0</v>
      </c>
      <c r="U344" s="1">
        <f t="shared" si="137"/>
        <v>0</v>
      </c>
      <c r="V344" s="1">
        <f t="shared" si="138"/>
        <v>0</v>
      </c>
      <c r="W344" s="1">
        <f t="shared" si="139"/>
        <v>0</v>
      </c>
      <c r="X344" s="1">
        <f t="shared" si="140"/>
        <v>0</v>
      </c>
      <c r="Y344" s="1">
        <f t="shared" si="141"/>
        <v>0</v>
      </c>
      <c r="Z344" s="1">
        <f t="shared" si="142"/>
        <v>0</v>
      </c>
      <c r="AA344" s="1">
        <f t="shared" si="143"/>
        <v>0</v>
      </c>
      <c r="AB344" s="1">
        <f t="shared" si="144"/>
        <v>0</v>
      </c>
      <c r="AD344" s="1">
        <f t="shared" si="145"/>
        <v>0</v>
      </c>
      <c r="AE344" s="1">
        <f t="shared" si="146"/>
        <v>1</v>
      </c>
      <c r="AF344" s="1">
        <f t="shared" si="131"/>
        <v>0</v>
      </c>
      <c r="AG344" s="1">
        <f t="shared" si="132"/>
        <v>1</v>
      </c>
      <c r="AH344" s="1">
        <f t="shared" si="133"/>
        <v>0</v>
      </c>
      <c r="AI344" s="1">
        <f t="shared" si="134"/>
        <v>1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1909</v>
      </c>
      <c r="E345" s="32" t="s">
        <v>1910</v>
      </c>
      <c r="F345" s="32" t="s">
        <v>1911</v>
      </c>
      <c r="G345" s="32" t="s">
        <v>183</v>
      </c>
      <c r="H345" s="32" t="s">
        <v>352</v>
      </c>
      <c r="I345" s="31" t="s">
        <v>1913</v>
      </c>
      <c r="J345" s="31">
        <v>99</v>
      </c>
      <c r="K345" s="33" t="s">
        <v>699</v>
      </c>
      <c r="L345" s="33"/>
      <c r="M345" s="34"/>
      <c r="N345" s="34" t="s">
        <v>1711</v>
      </c>
      <c r="O345" s="35">
        <v>1</v>
      </c>
      <c r="P345" s="35">
        <v>1</v>
      </c>
      <c r="Q345" s="32" t="s">
        <v>1912</v>
      </c>
      <c r="S345" s="1">
        <f t="shared" si="135"/>
        <v>0</v>
      </c>
      <c r="T345" s="1">
        <f t="shared" si="136"/>
        <v>0</v>
      </c>
      <c r="U345" s="1">
        <f t="shared" si="137"/>
        <v>0</v>
      </c>
      <c r="V345" s="1">
        <f t="shared" si="138"/>
        <v>0</v>
      </c>
      <c r="W345" s="1">
        <f t="shared" si="139"/>
        <v>0</v>
      </c>
      <c r="X345" s="1">
        <f t="shared" si="140"/>
        <v>0</v>
      </c>
      <c r="Y345" s="1">
        <f t="shared" si="141"/>
        <v>0</v>
      </c>
      <c r="Z345" s="1">
        <f t="shared" si="142"/>
        <v>0</v>
      </c>
      <c r="AA345" s="1">
        <f t="shared" si="143"/>
        <v>0</v>
      </c>
      <c r="AB345" s="1">
        <f t="shared" si="144"/>
        <v>0</v>
      </c>
      <c r="AD345" s="1">
        <f t="shared" si="145"/>
        <v>1</v>
      </c>
      <c r="AE345" s="1">
        <f t="shared" si="146"/>
        <v>0</v>
      </c>
      <c r="AF345" s="1">
        <f t="shared" si="131"/>
        <v>1</v>
      </c>
      <c r="AG345" s="1">
        <f t="shared" si="132"/>
        <v>0</v>
      </c>
      <c r="AH345" s="1">
        <f t="shared" si="133"/>
        <v>1</v>
      </c>
      <c r="AI345" s="1">
        <f t="shared" si="134"/>
        <v>0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1627</v>
      </c>
      <c r="E346" s="32" t="s">
        <v>1152</v>
      </c>
      <c r="F346" s="32" t="s">
        <v>1658</v>
      </c>
      <c r="G346" s="32" t="s">
        <v>179</v>
      </c>
      <c r="H346" s="32" t="s">
        <v>352</v>
      </c>
      <c r="I346" s="31" t="s">
        <v>1478</v>
      </c>
      <c r="J346" s="31">
        <v>10</v>
      </c>
      <c r="K346" s="33" t="s">
        <v>708</v>
      </c>
      <c r="L346" s="33">
        <v>15</v>
      </c>
      <c r="M346" s="34" t="s">
        <v>39</v>
      </c>
      <c r="N346" s="34" t="s">
        <v>1773</v>
      </c>
      <c r="O346" s="35">
        <v>1</v>
      </c>
      <c r="P346" s="35"/>
      <c r="Q346" s="32"/>
      <c r="S346" s="1">
        <f t="shared" si="135"/>
        <v>0</v>
      </c>
      <c r="T346" s="1">
        <f t="shared" si="136"/>
        <v>0</v>
      </c>
      <c r="U346" s="1">
        <f t="shared" si="137"/>
        <v>0</v>
      </c>
      <c r="V346" s="1">
        <f t="shared" si="138"/>
        <v>0</v>
      </c>
      <c r="W346" s="1">
        <f t="shared" si="139"/>
        <v>0</v>
      </c>
      <c r="X346" s="1">
        <f t="shared" si="140"/>
        <v>0</v>
      </c>
      <c r="Y346" s="1">
        <f t="shared" si="141"/>
        <v>0</v>
      </c>
      <c r="Z346" s="1">
        <f t="shared" si="142"/>
        <v>0</v>
      </c>
      <c r="AA346" s="1">
        <f t="shared" si="143"/>
        <v>0</v>
      </c>
      <c r="AB346" s="1">
        <f t="shared" si="144"/>
        <v>1</v>
      </c>
      <c r="AD346" s="1">
        <f t="shared" si="145"/>
        <v>0</v>
      </c>
      <c r="AE346" s="1">
        <f t="shared" si="146"/>
        <v>1</v>
      </c>
      <c r="AF346" s="1">
        <f t="shared" si="131"/>
        <v>0</v>
      </c>
      <c r="AG346" s="1">
        <f t="shared" si="132"/>
        <v>1</v>
      </c>
      <c r="AH346" s="1">
        <f t="shared" si="133"/>
        <v>0</v>
      </c>
      <c r="AI346" s="1">
        <f t="shared" si="134"/>
        <v>1</v>
      </c>
    </row>
    <row r="347" spans="1:35" s="1" customFormat="1" ht="14.25" customHeight="1" x14ac:dyDescent="0.25">
      <c r="A347" s="44">
        <v>0</v>
      </c>
      <c r="B347" s="44">
        <v>2</v>
      </c>
      <c r="C347" s="44">
        <v>2</v>
      </c>
      <c r="D347" s="45" t="s">
        <v>853</v>
      </c>
      <c r="E347" s="45" t="s">
        <v>540</v>
      </c>
      <c r="F347" s="45" t="s">
        <v>854</v>
      </c>
      <c r="G347" s="45" t="s">
        <v>312</v>
      </c>
      <c r="H347" s="45" t="s">
        <v>352</v>
      </c>
      <c r="I347" s="44" t="s">
        <v>855</v>
      </c>
      <c r="J347" s="44">
        <v>1</v>
      </c>
      <c r="K347" s="46" t="s">
        <v>708</v>
      </c>
      <c r="L347" s="46">
        <v>25</v>
      </c>
      <c r="M347" s="47" t="s">
        <v>39</v>
      </c>
      <c r="N347" s="47" t="s">
        <v>1719</v>
      </c>
      <c r="O347" s="48"/>
      <c r="P347" s="48"/>
      <c r="Q347" s="45"/>
      <c r="S347" s="1">
        <f t="shared" si="135"/>
        <v>1</v>
      </c>
      <c r="T347" s="1">
        <f t="shared" si="136"/>
        <v>0</v>
      </c>
      <c r="U347" s="1">
        <f t="shared" si="137"/>
        <v>0</v>
      </c>
      <c r="V347" s="1">
        <f t="shared" si="138"/>
        <v>0</v>
      </c>
      <c r="W347" s="1">
        <f t="shared" si="139"/>
        <v>0</v>
      </c>
      <c r="X347" s="1">
        <f t="shared" si="140"/>
        <v>0</v>
      </c>
      <c r="Y347" s="1">
        <f t="shared" si="141"/>
        <v>0</v>
      </c>
      <c r="Z347" s="1">
        <f t="shared" si="142"/>
        <v>0</v>
      </c>
      <c r="AA347" s="1">
        <f t="shared" si="143"/>
        <v>0</v>
      </c>
      <c r="AB347" s="1">
        <f t="shared" si="144"/>
        <v>0</v>
      </c>
      <c r="AD347" s="1">
        <f t="shared" si="145"/>
        <v>0</v>
      </c>
      <c r="AE347" s="1">
        <f t="shared" si="146"/>
        <v>0</v>
      </c>
      <c r="AF347" s="1">
        <f t="shared" si="131"/>
        <v>0</v>
      </c>
      <c r="AG347" s="1">
        <f t="shared" si="132"/>
        <v>0</v>
      </c>
      <c r="AH347" s="1">
        <f t="shared" si="133"/>
        <v>0</v>
      </c>
      <c r="AI347" s="1">
        <f t="shared" si="134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3</v>
      </c>
      <c r="D348" s="32" t="s">
        <v>564</v>
      </c>
      <c r="E348" s="32" t="s">
        <v>38</v>
      </c>
      <c r="F348" s="32" t="s">
        <v>236</v>
      </c>
      <c r="G348" s="32" t="s">
        <v>535</v>
      </c>
      <c r="H348" s="32" t="s">
        <v>352</v>
      </c>
      <c r="I348" s="31" t="s">
        <v>401</v>
      </c>
      <c r="J348" s="31">
        <v>1</v>
      </c>
      <c r="K348" s="33" t="s">
        <v>708</v>
      </c>
      <c r="L348" s="33" t="s">
        <v>720</v>
      </c>
      <c r="M348" s="34" t="s">
        <v>721</v>
      </c>
      <c r="N348" s="34" t="s">
        <v>1711</v>
      </c>
      <c r="O348" s="35">
        <v>1</v>
      </c>
      <c r="P348" s="35">
        <v>1</v>
      </c>
      <c r="Q348" s="32"/>
      <c r="S348" s="1">
        <f t="shared" si="135"/>
        <v>1</v>
      </c>
      <c r="T348" s="1">
        <f t="shared" si="136"/>
        <v>0</v>
      </c>
      <c r="U348" s="1">
        <f t="shared" si="137"/>
        <v>0</v>
      </c>
      <c r="V348" s="1">
        <f t="shared" si="138"/>
        <v>0</v>
      </c>
      <c r="W348" s="1">
        <f t="shared" si="139"/>
        <v>0</v>
      </c>
      <c r="X348" s="1">
        <f t="shared" si="140"/>
        <v>0</v>
      </c>
      <c r="Y348" s="1">
        <f t="shared" si="141"/>
        <v>0</v>
      </c>
      <c r="Z348" s="1">
        <f t="shared" si="142"/>
        <v>0</v>
      </c>
      <c r="AA348" s="1">
        <f t="shared" si="143"/>
        <v>0</v>
      </c>
      <c r="AB348" s="1">
        <f t="shared" si="144"/>
        <v>0</v>
      </c>
      <c r="AD348" s="1">
        <f t="shared" si="145"/>
        <v>1</v>
      </c>
      <c r="AE348" s="1">
        <f t="shared" si="146"/>
        <v>0</v>
      </c>
      <c r="AF348" s="1">
        <f t="shared" si="131"/>
        <v>1</v>
      </c>
      <c r="AG348" s="1">
        <f t="shared" si="132"/>
        <v>0</v>
      </c>
      <c r="AH348" s="1">
        <f t="shared" si="133"/>
        <v>1</v>
      </c>
      <c r="AI348" s="1">
        <f t="shared" si="134"/>
        <v>0</v>
      </c>
    </row>
    <row r="349" spans="1:35" s="1" customFormat="1" ht="14.25" customHeight="1" x14ac:dyDescent="0.25">
      <c r="A349" s="44">
        <v>0</v>
      </c>
      <c r="B349" s="44">
        <v>2</v>
      </c>
      <c r="C349" s="44">
        <v>3</v>
      </c>
      <c r="D349" s="45" t="s">
        <v>841</v>
      </c>
      <c r="E349" s="45" t="s">
        <v>34</v>
      </c>
      <c r="F349" s="45" t="s">
        <v>915</v>
      </c>
      <c r="G349" s="45" t="s">
        <v>634</v>
      </c>
      <c r="H349" s="45" t="s">
        <v>352</v>
      </c>
      <c r="I349" s="44" t="s">
        <v>842</v>
      </c>
      <c r="J349" s="44">
        <v>1</v>
      </c>
      <c r="K349" s="46" t="s">
        <v>941</v>
      </c>
      <c r="L349" s="46" t="s">
        <v>725</v>
      </c>
      <c r="M349" s="47" t="s">
        <v>719</v>
      </c>
      <c r="N349" s="47" t="s">
        <v>1719</v>
      </c>
      <c r="O349" s="48"/>
      <c r="P349" s="48"/>
      <c r="Q349" s="45"/>
      <c r="S349" s="1">
        <f t="shared" si="135"/>
        <v>1</v>
      </c>
      <c r="T349" s="1">
        <f t="shared" si="136"/>
        <v>0</v>
      </c>
      <c r="U349" s="1">
        <f t="shared" si="137"/>
        <v>0</v>
      </c>
      <c r="V349" s="1">
        <f t="shared" si="138"/>
        <v>0</v>
      </c>
      <c r="W349" s="1">
        <f t="shared" si="139"/>
        <v>0</v>
      </c>
      <c r="X349" s="1">
        <f t="shared" si="140"/>
        <v>0</v>
      </c>
      <c r="Y349" s="1">
        <f t="shared" si="141"/>
        <v>0</v>
      </c>
      <c r="Z349" s="1">
        <f t="shared" si="142"/>
        <v>0</v>
      </c>
      <c r="AA349" s="1">
        <f t="shared" si="143"/>
        <v>0</v>
      </c>
      <c r="AB349" s="1">
        <f t="shared" si="144"/>
        <v>0</v>
      </c>
      <c r="AD349" s="1">
        <f t="shared" si="145"/>
        <v>0</v>
      </c>
      <c r="AE349" s="1">
        <f t="shared" si="146"/>
        <v>0</v>
      </c>
      <c r="AF349" s="1">
        <f t="shared" si="131"/>
        <v>0</v>
      </c>
      <c r="AG349" s="1">
        <f t="shared" si="132"/>
        <v>0</v>
      </c>
      <c r="AH349" s="1">
        <f t="shared" si="133"/>
        <v>0</v>
      </c>
      <c r="AI349" s="1">
        <f t="shared" si="134"/>
        <v>1</v>
      </c>
    </row>
    <row r="350" spans="1:35" s="1" customFormat="1" ht="14.25" customHeight="1" x14ac:dyDescent="0.25">
      <c r="A350" s="44">
        <v>0</v>
      </c>
      <c r="B350" s="44">
        <v>2</v>
      </c>
      <c r="C350" s="44">
        <v>3</v>
      </c>
      <c r="D350" s="45" t="s">
        <v>784</v>
      </c>
      <c r="E350" s="45" t="s">
        <v>32</v>
      </c>
      <c r="F350" s="45" t="s">
        <v>785</v>
      </c>
      <c r="G350" s="45" t="s">
        <v>250</v>
      </c>
      <c r="H350" s="45" t="s">
        <v>352</v>
      </c>
      <c r="I350" s="44" t="s">
        <v>786</v>
      </c>
      <c r="J350" s="44">
        <v>99</v>
      </c>
      <c r="K350" s="46" t="s">
        <v>709</v>
      </c>
      <c r="L350" s="46" t="s">
        <v>718</v>
      </c>
      <c r="M350" s="47" t="s">
        <v>719</v>
      </c>
      <c r="N350" s="47" t="s">
        <v>1793</v>
      </c>
      <c r="O350" s="48"/>
      <c r="P350" s="48"/>
      <c r="Q350" s="45"/>
      <c r="S350" s="1">
        <f t="shared" si="135"/>
        <v>0</v>
      </c>
      <c r="T350" s="1">
        <f t="shared" si="136"/>
        <v>0</v>
      </c>
      <c r="U350" s="1">
        <f t="shared" si="137"/>
        <v>0</v>
      </c>
      <c r="V350" s="1">
        <f t="shared" si="138"/>
        <v>0</v>
      </c>
      <c r="W350" s="1">
        <f t="shared" si="139"/>
        <v>0</v>
      </c>
      <c r="X350" s="1">
        <f t="shared" si="140"/>
        <v>0</v>
      </c>
      <c r="Y350" s="1">
        <f t="shared" si="141"/>
        <v>0</v>
      </c>
      <c r="Z350" s="1">
        <f t="shared" si="142"/>
        <v>0</v>
      </c>
      <c r="AA350" s="1">
        <f t="shared" si="143"/>
        <v>0</v>
      </c>
      <c r="AB350" s="1">
        <f t="shared" si="144"/>
        <v>0</v>
      </c>
      <c r="AD350" s="1">
        <f t="shared" si="145"/>
        <v>0</v>
      </c>
      <c r="AE350" s="1">
        <f t="shared" si="146"/>
        <v>0</v>
      </c>
      <c r="AF350" s="1">
        <f t="shared" si="131"/>
        <v>0</v>
      </c>
      <c r="AG350" s="1">
        <f t="shared" si="132"/>
        <v>0</v>
      </c>
      <c r="AH350" s="1">
        <f t="shared" si="133"/>
        <v>0</v>
      </c>
      <c r="AI350" s="1">
        <f t="shared" si="134"/>
        <v>1</v>
      </c>
    </row>
    <row r="351" spans="1:35" s="1" customFormat="1" ht="14.25" customHeight="1" x14ac:dyDescent="0.25">
      <c r="A351" s="44">
        <v>0</v>
      </c>
      <c r="B351" s="44">
        <v>2</v>
      </c>
      <c r="C351" s="44">
        <v>3</v>
      </c>
      <c r="D351" s="45" t="s">
        <v>56</v>
      </c>
      <c r="E351" s="45" t="s">
        <v>160</v>
      </c>
      <c r="F351" s="45" t="s">
        <v>218</v>
      </c>
      <c r="G351" s="45" t="s">
        <v>195</v>
      </c>
      <c r="H351" s="45" t="s">
        <v>352</v>
      </c>
      <c r="I351" s="44" t="s">
        <v>547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1786</v>
      </c>
      <c r="O351" s="48"/>
      <c r="P351" s="48"/>
      <c r="Q351" s="45"/>
      <c r="S351" s="1">
        <f t="shared" si="135"/>
        <v>0</v>
      </c>
      <c r="T351" s="1">
        <f t="shared" si="136"/>
        <v>0</v>
      </c>
      <c r="U351" s="1">
        <f t="shared" si="137"/>
        <v>0</v>
      </c>
      <c r="V351" s="1">
        <f t="shared" si="138"/>
        <v>0</v>
      </c>
      <c r="W351" s="1">
        <f t="shared" si="139"/>
        <v>0</v>
      </c>
      <c r="X351" s="1">
        <f t="shared" si="140"/>
        <v>0</v>
      </c>
      <c r="Y351" s="1">
        <f t="shared" si="141"/>
        <v>0</v>
      </c>
      <c r="Z351" s="1">
        <f t="shared" si="142"/>
        <v>0</v>
      </c>
      <c r="AA351" s="1">
        <f t="shared" si="143"/>
        <v>0</v>
      </c>
      <c r="AB351" s="1">
        <f t="shared" si="144"/>
        <v>0</v>
      </c>
      <c r="AD351" s="1">
        <f t="shared" si="145"/>
        <v>0</v>
      </c>
      <c r="AE351" s="1">
        <f t="shared" si="146"/>
        <v>0</v>
      </c>
      <c r="AF351" s="1">
        <f t="shared" si="131"/>
        <v>0</v>
      </c>
      <c r="AG351" s="1">
        <f t="shared" si="132"/>
        <v>0</v>
      </c>
      <c r="AH351" s="1">
        <f t="shared" si="133"/>
        <v>0</v>
      </c>
      <c r="AI351" s="1">
        <f t="shared" si="134"/>
        <v>1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1159</v>
      </c>
      <c r="E352" s="32" t="s">
        <v>1319</v>
      </c>
      <c r="F352" s="32" t="s">
        <v>1160</v>
      </c>
      <c r="G352" s="32" t="s">
        <v>300</v>
      </c>
      <c r="H352" s="32" t="s">
        <v>352</v>
      </c>
      <c r="I352" s="31" t="s">
        <v>1161</v>
      </c>
      <c r="J352" s="31">
        <v>1</v>
      </c>
      <c r="K352" s="33" t="s">
        <v>942</v>
      </c>
      <c r="L352" s="33" t="s">
        <v>689</v>
      </c>
      <c r="M352" s="34" t="s">
        <v>1399</v>
      </c>
      <c r="N352" s="34" t="s">
        <v>1727</v>
      </c>
      <c r="O352" s="35">
        <v>1</v>
      </c>
      <c r="P352" s="35"/>
      <c r="Q352" s="32"/>
      <c r="S352" s="1">
        <f t="shared" si="135"/>
        <v>1</v>
      </c>
      <c r="T352" s="1">
        <f t="shared" si="136"/>
        <v>0</v>
      </c>
      <c r="U352" s="1">
        <f t="shared" si="137"/>
        <v>0</v>
      </c>
      <c r="V352" s="1">
        <f t="shared" si="138"/>
        <v>0</v>
      </c>
      <c r="W352" s="1">
        <f t="shared" si="139"/>
        <v>0</v>
      </c>
      <c r="X352" s="1">
        <f t="shared" si="140"/>
        <v>0</v>
      </c>
      <c r="Y352" s="1">
        <f t="shared" si="141"/>
        <v>0</v>
      </c>
      <c r="Z352" s="1">
        <f t="shared" si="142"/>
        <v>0</v>
      </c>
      <c r="AA352" s="1">
        <f t="shared" si="143"/>
        <v>0</v>
      </c>
      <c r="AB352" s="1">
        <f t="shared" si="144"/>
        <v>0</v>
      </c>
      <c r="AD352" s="1">
        <f t="shared" si="145"/>
        <v>0</v>
      </c>
      <c r="AE352" s="1">
        <f t="shared" si="146"/>
        <v>1</v>
      </c>
      <c r="AF352" s="1">
        <f t="shared" si="131"/>
        <v>0</v>
      </c>
      <c r="AG352" s="1">
        <f t="shared" si="132"/>
        <v>1</v>
      </c>
      <c r="AH352" s="1">
        <f t="shared" si="133"/>
        <v>0</v>
      </c>
      <c r="AI352" s="1">
        <f t="shared" si="134"/>
        <v>1</v>
      </c>
    </row>
    <row r="353" spans="1:35" s="1" customFormat="1" ht="14.25" customHeight="1" x14ac:dyDescent="0.25">
      <c r="A353" s="31">
        <v>0</v>
      </c>
      <c r="B353" s="31">
        <v>2</v>
      </c>
      <c r="C353" s="31">
        <v>3</v>
      </c>
      <c r="D353" s="32" t="s">
        <v>1156</v>
      </c>
      <c r="E353" s="32" t="s">
        <v>1319</v>
      </c>
      <c r="F353" s="32" t="s">
        <v>1157</v>
      </c>
      <c r="G353" s="32" t="s">
        <v>1043</v>
      </c>
      <c r="H353" s="32" t="s">
        <v>352</v>
      </c>
      <c r="I353" s="31" t="s">
        <v>1158</v>
      </c>
      <c r="J353" s="31">
        <v>1</v>
      </c>
      <c r="K353" s="33" t="s">
        <v>709</v>
      </c>
      <c r="L353" s="33" t="s">
        <v>689</v>
      </c>
      <c r="M353" s="34" t="s">
        <v>1399</v>
      </c>
      <c r="N353" s="34" t="s">
        <v>1727</v>
      </c>
      <c r="O353" s="35">
        <v>1</v>
      </c>
      <c r="P353" s="35"/>
      <c r="Q353" s="32"/>
      <c r="S353" s="1">
        <f t="shared" si="135"/>
        <v>1</v>
      </c>
      <c r="T353" s="1">
        <f t="shared" si="136"/>
        <v>0</v>
      </c>
      <c r="U353" s="1">
        <f t="shared" si="137"/>
        <v>0</v>
      </c>
      <c r="V353" s="1">
        <f t="shared" si="138"/>
        <v>0</v>
      </c>
      <c r="W353" s="1">
        <f t="shared" si="139"/>
        <v>0</v>
      </c>
      <c r="X353" s="1">
        <f t="shared" si="140"/>
        <v>0</v>
      </c>
      <c r="Y353" s="1">
        <f t="shared" si="141"/>
        <v>0</v>
      </c>
      <c r="Z353" s="1">
        <f t="shared" si="142"/>
        <v>0</v>
      </c>
      <c r="AA353" s="1">
        <f t="shared" si="143"/>
        <v>0</v>
      </c>
      <c r="AB353" s="1">
        <f t="shared" si="144"/>
        <v>0</v>
      </c>
      <c r="AD353" s="1">
        <f t="shared" si="145"/>
        <v>0</v>
      </c>
      <c r="AE353" s="1">
        <f t="shared" si="146"/>
        <v>1</v>
      </c>
      <c r="AF353" s="1">
        <f t="shared" si="131"/>
        <v>0</v>
      </c>
      <c r="AG353" s="1">
        <f t="shared" si="132"/>
        <v>1</v>
      </c>
      <c r="AH353" s="1">
        <f t="shared" si="133"/>
        <v>0</v>
      </c>
      <c r="AI353" s="1">
        <f t="shared" si="134"/>
        <v>1</v>
      </c>
    </row>
    <row r="354" spans="1:35" s="1" customFormat="1" ht="14.25" customHeight="1" x14ac:dyDescent="0.25">
      <c r="A354" s="31">
        <v>0</v>
      </c>
      <c r="B354" s="31">
        <v>2</v>
      </c>
      <c r="C354" s="31">
        <v>3</v>
      </c>
      <c r="D354" s="32" t="s">
        <v>1278</v>
      </c>
      <c r="E354" s="32" t="s">
        <v>32</v>
      </c>
      <c r="F354" s="32" t="s">
        <v>1279</v>
      </c>
      <c r="G354" s="32" t="s">
        <v>221</v>
      </c>
      <c r="H354" s="32" t="s">
        <v>352</v>
      </c>
      <c r="I354" s="31" t="s">
        <v>1673</v>
      </c>
      <c r="J354" s="31">
        <v>99</v>
      </c>
      <c r="K354" s="33" t="s">
        <v>709</v>
      </c>
      <c r="L354" s="33" t="s">
        <v>712</v>
      </c>
      <c r="M354" s="34" t="s">
        <v>1280</v>
      </c>
      <c r="N354" s="34" t="s">
        <v>1711</v>
      </c>
      <c r="O354" s="35">
        <v>1</v>
      </c>
      <c r="P354" s="35">
        <v>1</v>
      </c>
      <c r="Q354" s="32"/>
      <c r="S354" s="1">
        <f t="shared" si="135"/>
        <v>0</v>
      </c>
      <c r="T354" s="1">
        <f t="shared" si="136"/>
        <v>0</v>
      </c>
      <c r="U354" s="1">
        <f t="shared" si="137"/>
        <v>0</v>
      </c>
      <c r="V354" s="1">
        <f t="shared" si="138"/>
        <v>0</v>
      </c>
      <c r="W354" s="1">
        <f t="shared" si="139"/>
        <v>0</v>
      </c>
      <c r="X354" s="1">
        <f t="shared" si="140"/>
        <v>0</v>
      </c>
      <c r="Y354" s="1">
        <f t="shared" si="141"/>
        <v>0</v>
      </c>
      <c r="Z354" s="1">
        <f t="shared" si="142"/>
        <v>0</v>
      </c>
      <c r="AA354" s="1">
        <f t="shared" si="143"/>
        <v>0</v>
      </c>
      <c r="AB354" s="1">
        <f t="shared" si="144"/>
        <v>0</v>
      </c>
      <c r="AD354" s="1">
        <f t="shared" si="145"/>
        <v>1</v>
      </c>
      <c r="AE354" s="1">
        <f t="shared" si="146"/>
        <v>0</v>
      </c>
      <c r="AF354" s="1">
        <f t="shared" si="131"/>
        <v>1</v>
      </c>
      <c r="AG354" s="1">
        <f t="shared" si="132"/>
        <v>0</v>
      </c>
      <c r="AH354" s="1">
        <f t="shared" si="133"/>
        <v>1</v>
      </c>
      <c r="AI354" s="1">
        <f t="shared" si="134"/>
        <v>0</v>
      </c>
    </row>
    <row r="355" spans="1:35" s="1" customFormat="1" ht="14.25" customHeight="1" x14ac:dyDescent="0.25">
      <c r="A355" s="31">
        <v>0</v>
      </c>
      <c r="B355" s="31">
        <v>2</v>
      </c>
      <c r="C355" s="31">
        <v>3</v>
      </c>
      <c r="D355" s="32" t="s">
        <v>752</v>
      </c>
      <c r="E355" s="32" t="s">
        <v>902</v>
      </c>
      <c r="F355" s="32" t="s">
        <v>753</v>
      </c>
      <c r="G355" s="32" t="s">
        <v>219</v>
      </c>
      <c r="H355" s="32" t="s">
        <v>352</v>
      </c>
      <c r="I355" s="31" t="s">
        <v>754</v>
      </c>
      <c r="J355" s="31">
        <v>8</v>
      </c>
      <c r="K355" s="33" t="s">
        <v>942</v>
      </c>
      <c r="L355" s="33" t="s">
        <v>725</v>
      </c>
      <c r="M355" s="34" t="s">
        <v>719</v>
      </c>
      <c r="N355" s="34" t="s">
        <v>1732</v>
      </c>
      <c r="O355" s="35">
        <v>1</v>
      </c>
      <c r="P355" s="35"/>
      <c r="Q355" s="32"/>
      <c r="S355" s="1">
        <f t="shared" si="135"/>
        <v>0</v>
      </c>
      <c r="T355" s="1">
        <f t="shared" si="136"/>
        <v>0</v>
      </c>
      <c r="U355" s="1">
        <f t="shared" si="137"/>
        <v>0</v>
      </c>
      <c r="V355" s="1">
        <f t="shared" si="138"/>
        <v>0</v>
      </c>
      <c r="W355" s="1">
        <f t="shared" si="139"/>
        <v>0</v>
      </c>
      <c r="X355" s="1">
        <f t="shared" si="140"/>
        <v>0</v>
      </c>
      <c r="Y355" s="1">
        <f t="shared" si="141"/>
        <v>0</v>
      </c>
      <c r="Z355" s="1">
        <f t="shared" si="142"/>
        <v>1</v>
      </c>
      <c r="AA355" s="1">
        <f t="shared" si="143"/>
        <v>0</v>
      </c>
      <c r="AB355" s="1">
        <f t="shared" si="144"/>
        <v>0</v>
      </c>
      <c r="AD355" s="1">
        <f t="shared" si="145"/>
        <v>0</v>
      </c>
      <c r="AE355" s="1">
        <f t="shared" si="146"/>
        <v>1</v>
      </c>
      <c r="AF355" s="1">
        <f t="shared" si="131"/>
        <v>0</v>
      </c>
      <c r="AG355" s="1">
        <f t="shared" si="132"/>
        <v>1</v>
      </c>
      <c r="AH355" s="1">
        <f t="shared" si="133"/>
        <v>0</v>
      </c>
      <c r="AI355" s="1">
        <f t="shared" si="134"/>
        <v>1</v>
      </c>
    </row>
    <row r="356" spans="1:35" s="1" customFormat="1" ht="14.25" customHeight="1" x14ac:dyDescent="0.25">
      <c r="A356" s="44">
        <v>0</v>
      </c>
      <c r="B356" s="44">
        <v>2</v>
      </c>
      <c r="C356" s="44">
        <v>3</v>
      </c>
      <c r="D356" s="45" t="s">
        <v>1479</v>
      </c>
      <c r="E356" s="45" t="s">
        <v>1480</v>
      </c>
      <c r="F356" s="45" t="s">
        <v>1481</v>
      </c>
      <c r="G356" s="45" t="s">
        <v>237</v>
      </c>
      <c r="H356" s="45" t="s">
        <v>352</v>
      </c>
      <c r="I356" s="44" t="s">
        <v>1482</v>
      </c>
      <c r="J356" s="44">
        <v>4</v>
      </c>
      <c r="K356" s="46" t="s">
        <v>708</v>
      </c>
      <c r="L356" s="46">
        <v>15</v>
      </c>
      <c r="M356" s="47" t="s">
        <v>39</v>
      </c>
      <c r="N356" s="47" t="s">
        <v>1786</v>
      </c>
      <c r="O356" s="48"/>
      <c r="P356" s="48"/>
      <c r="Q356" s="45"/>
      <c r="S356" s="1">
        <f t="shared" si="135"/>
        <v>0</v>
      </c>
      <c r="T356" s="1">
        <f t="shared" si="136"/>
        <v>0</v>
      </c>
      <c r="U356" s="1">
        <f t="shared" si="137"/>
        <v>0</v>
      </c>
      <c r="V356" s="1">
        <f t="shared" si="138"/>
        <v>1</v>
      </c>
      <c r="W356" s="1">
        <f t="shared" si="139"/>
        <v>0</v>
      </c>
      <c r="X356" s="1">
        <f t="shared" si="140"/>
        <v>0</v>
      </c>
      <c r="Y356" s="1">
        <f t="shared" si="141"/>
        <v>0</v>
      </c>
      <c r="Z356" s="1">
        <f t="shared" si="142"/>
        <v>0</v>
      </c>
      <c r="AA356" s="1">
        <f t="shared" si="143"/>
        <v>0</v>
      </c>
      <c r="AB356" s="1">
        <f t="shared" si="144"/>
        <v>0</v>
      </c>
      <c r="AD356" s="1">
        <f t="shared" si="145"/>
        <v>0</v>
      </c>
      <c r="AE356" s="1">
        <f t="shared" si="146"/>
        <v>0</v>
      </c>
      <c r="AF356" s="1">
        <f t="shared" si="131"/>
        <v>0</v>
      </c>
      <c r="AG356" s="1">
        <f t="shared" si="132"/>
        <v>0</v>
      </c>
      <c r="AH356" s="1">
        <f t="shared" si="133"/>
        <v>0</v>
      </c>
      <c r="AI356" s="1">
        <f t="shared" si="134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3</v>
      </c>
      <c r="D357" s="32" t="s">
        <v>1537</v>
      </c>
      <c r="E357" s="32" t="s">
        <v>1538</v>
      </c>
      <c r="F357" s="32" t="s">
        <v>1539</v>
      </c>
      <c r="G357" s="32" t="s">
        <v>1540</v>
      </c>
      <c r="H357" s="32" t="s">
        <v>352</v>
      </c>
      <c r="I357" s="31" t="s">
        <v>1541</v>
      </c>
      <c r="J357" s="31">
        <v>7</v>
      </c>
      <c r="K357" s="33" t="s">
        <v>942</v>
      </c>
      <c r="L357" s="33">
        <v>10</v>
      </c>
      <c r="M357" s="34" t="s">
        <v>39</v>
      </c>
      <c r="N357" s="34" t="s">
        <v>1727</v>
      </c>
      <c r="O357" s="35">
        <v>1</v>
      </c>
      <c r="P357" s="35"/>
      <c r="Q357" s="32"/>
      <c r="S357" s="1">
        <f t="shared" si="135"/>
        <v>0</v>
      </c>
      <c r="T357" s="1">
        <f t="shared" si="136"/>
        <v>0</v>
      </c>
      <c r="U357" s="1">
        <f t="shared" si="137"/>
        <v>0</v>
      </c>
      <c r="V357" s="1">
        <f t="shared" si="138"/>
        <v>0</v>
      </c>
      <c r="W357" s="1">
        <f t="shared" si="139"/>
        <v>0</v>
      </c>
      <c r="X357" s="1">
        <f t="shared" si="140"/>
        <v>0</v>
      </c>
      <c r="Y357" s="1">
        <f t="shared" si="141"/>
        <v>1</v>
      </c>
      <c r="Z357" s="1">
        <f t="shared" si="142"/>
        <v>0</v>
      </c>
      <c r="AA357" s="1">
        <f t="shared" si="143"/>
        <v>0</v>
      </c>
      <c r="AB357" s="1">
        <f t="shared" si="144"/>
        <v>0</v>
      </c>
      <c r="AD357" s="1">
        <f t="shared" si="145"/>
        <v>0</v>
      </c>
      <c r="AE357" s="1">
        <f t="shared" si="146"/>
        <v>1</v>
      </c>
      <c r="AF357" s="1">
        <f t="shared" si="131"/>
        <v>0</v>
      </c>
      <c r="AG357" s="1">
        <f t="shared" si="132"/>
        <v>1</v>
      </c>
      <c r="AH357" s="1">
        <f t="shared" si="133"/>
        <v>0</v>
      </c>
      <c r="AI357" s="1">
        <f t="shared" si="134"/>
        <v>1</v>
      </c>
    </row>
    <row r="358" spans="1:35" s="1" customFormat="1" ht="14.25" customHeight="1" x14ac:dyDescent="0.25">
      <c r="A358" s="44">
        <v>0</v>
      </c>
      <c r="B358" s="44">
        <v>2</v>
      </c>
      <c r="C358" s="44">
        <v>3</v>
      </c>
      <c r="D358" s="45" t="s">
        <v>832</v>
      </c>
      <c r="E358" s="45" t="s">
        <v>32</v>
      </c>
      <c r="F358" s="45" t="s">
        <v>834</v>
      </c>
      <c r="G358" s="45" t="s">
        <v>39</v>
      </c>
      <c r="H358" s="45" t="s">
        <v>352</v>
      </c>
      <c r="I358" s="44" t="s">
        <v>833</v>
      </c>
      <c r="J358" s="44">
        <v>1</v>
      </c>
      <c r="K358" s="46" t="s">
        <v>709</v>
      </c>
      <c r="L358" s="46" t="s">
        <v>690</v>
      </c>
      <c r="M358" s="47" t="s">
        <v>1399</v>
      </c>
      <c r="N358" s="47" t="s">
        <v>1719</v>
      </c>
      <c r="O358" s="48"/>
      <c r="P358" s="48"/>
      <c r="Q358" s="45"/>
      <c r="S358" s="1">
        <f t="shared" si="135"/>
        <v>1</v>
      </c>
      <c r="T358" s="1">
        <f t="shared" si="136"/>
        <v>0</v>
      </c>
      <c r="U358" s="1">
        <f t="shared" si="137"/>
        <v>0</v>
      </c>
      <c r="V358" s="1">
        <f t="shared" si="138"/>
        <v>0</v>
      </c>
      <c r="W358" s="1">
        <f t="shared" si="139"/>
        <v>0</v>
      </c>
      <c r="X358" s="1">
        <f t="shared" si="140"/>
        <v>0</v>
      </c>
      <c r="Y358" s="1">
        <f t="shared" si="141"/>
        <v>0</v>
      </c>
      <c r="Z358" s="1">
        <f t="shared" si="142"/>
        <v>0</v>
      </c>
      <c r="AA358" s="1">
        <f t="shared" si="143"/>
        <v>0</v>
      </c>
      <c r="AB358" s="1">
        <f t="shared" si="144"/>
        <v>0</v>
      </c>
      <c r="AD358" s="1">
        <f t="shared" si="145"/>
        <v>0</v>
      </c>
      <c r="AE358" s="1">
        <f t="shared" si="146"/>
        <v>0</v>
      </c>
      <c r="AF358" s="1">
        <f t="shared" si="131"/>
        <v>0</v>
      </c>
      <c r="AG358" s="1">
        <f t="shared" si="132"/>
        <v>0</v>
      </c>
      <c r="AH358" s="1">
        <f t="shared" si="133"/>
        <v>0</v>
      </c>
      <c r="AI358" s="1">
        <f t="shared" si="134"/>
        <v>1</v>
      </c>
    </row>
    <row r="359" spans="1:35" s="1" customFormat="1" ht="14.25" customHeight="1" x14ac:dyDescent="0.25">
      <c r="A359" s="15">
        <v>0</v>
      </c>
      <c r="B359" s="15">
        <v>2</v>
      </c>
      <c r="C359" s="15">
        <v>4</v>
      </c>
      <c r="D359" s="16" t="s">
        <v>755</v>
      </c>
      <c r="E359" s="16" t="s">
        <v>756</v>
      </c>
      <c r="F359" s="16" t="s">
        <v>757</v>
      </c>
      <c r="G359" s="16" t="s">
        <v>758</v>
      </c>
      <c r="H359" s="16" t="s">
        <v>352</v>
      </c>
      <c r="I359" s="15" t="s">
        <v>759</v>
      </c>
      <c r="J359" s="15">
        <v>99</v>
      </c>
      <c r="K359" s="10" t="s">
        <v>699</v>
      </c>
      <c r="L359" s="10">
        <v>15</v>
      </c>
      <c r="M359" s="19" t="s">
        <v>760</v>
      </c>
      <c r="N359" s="19"/>
      <c r="Q359" s="16"/>
      <c r="S359" s="1">
        <f t="shared" si="135"/>
        <v>0</v>
      </c>
      <c r="T359" s="1">
        <f t="shared" si="136"/>
        <v>0</v>
      </c>
      <c r="U359" s="1">
        <f t="shared" si="137"/>
        <v>0</v>
      </c>
      <c r="V359" s="1">
        <f t="shared" si="138"/>
        <v>0</v>
      </c>
      <c r="W359" s="1">
        <f t="shared" si="139"/>
        <v>0</v>
      </c>
      <c r="X359" s="1">
        <f t="shared" si="140"/>
        <v>0</v>
      </c>
      <c r="Y359" s="1">
        <f t="shared" si="141"/>
        <v>0</v>
      </c>
      <c r="Z359" s="1">
        <f t="shared" si="142"/>
        <v>0</v>
      </c>
      <c r="AA359" s="1">
        <f t="shared" si="143"/>
        <v>0</v>
      </c>
      <c r="AB359" s="1">
        <f t="shared" si="144"/>
        <v>0</v>
      </c>
      <c r="AD359" s="1">
        <f t="shared" si="145"/>
        <v>0</v>
      </c>
      <c r="AE359" s="1">
        <f t="shared" si="146"/>
        <v>0</v>
      </c>
      <c r="AF359" s="1">
        <f t="shared" si="131"/>
        <v>0</v>
      </c>
      <c r="AG359" s="1">
        <f t="shared" si="132"/>
        <v>0</v>
      </c>
      <c r="AH359" s="1">
        <f t="shared" si="133"/>
        <v>0</v>
      </c>
      <c r="AI359" s="1">
        <f t="shared" si="134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4</v>
      </c>
      <c r="D360" s="32" t="s">
        <v>789</v>
      </c>
      <c r="E360" s="32" t="s">
        <v>897</v>
      </c>
      <c r="F360" s="32" t="s">
        <v>914</v>
      </c>
      <c r="G360" s="32" t="s">
        <v>207</v>
      </c>
      <c r="H360" s="32" t="s">
        <v>352</v>
      </c>
      <c r="I360" s="31" t="s">
        <v>1347</v>
      </c>
      <c r="J360" s="31">
        <v>3</v>
      </c>
      <c r="K360" s="33" t="s">
        <v>699</v>
      </c>
      <c r="L360" s="33">
        <v>20</v>
      </c>
      <c r="M360" s="34" t="s">
        <v>1401</v>
      </c>
      <c r="N360" s="34" t="s">
        <v>1809</v>
      </c>
      <c r="O360" s="35">
        <v>1</v>
      </c>
      <c r="P360" s="35"/>
      <c r="Q360" s="32"/>
      <c r="S360" s="1">
        <f t="shared" si="135"/>
        <v>0</v>
      </c>
      <c r="T360" s="1">
        <f t="shared" si="136"/>
        <v>0</v>
      </c>
      <c r="U360" s="1">
        <f t="shared" si="137"/>
        <v>1</v>
      </c>
      <c r="V360" s="1">
        <f t="shared" si="138"/>
        <v>0</v>
      </c>
      <c r="W360" s="1">
        <f t="shared" si="139"/>
        <v>0</v>
      </c>
      <c r="X360" s="1">
        <f t="shared" si="140"/>
        <v>0</v>
      </c>
      <c r="Y360" s="1">
        <f t="shared" si="141"/>
        <v>0</v>
      </c>
      <c r="Z360" s="1">
        <f t="shared" si="142"/>
        <v>0</v>
      </c>
      <c r="AA360" s="1">
        <f t="shared" si="143"/>
        <v>0</v>
      </c>
      <c r="AB360" s="1">
        <f t="shared" si="144"/>
        <v>0</v>
      </c>
      <c r="AD360" s="1">
        <f t="shared" si="145"/>
        <v>0</v>
      </c>
      <c r="AE360" s="1">
        <f t="shared" si="146"/>
        <v>1</v>
      </c>
      <c r="AF360" s="1">
        <f t="shared" si="131"/>
        <v>0</v>
      </c>
      <c r="AG360" s="1">
        <f t="shared" si="132"/>
        <v>1</v>
      </c>
      <c r="AH360" s="1">
        <f t="shared" si="133"/>
        <v>0</v>
      </c>
      <c r="AI360" s="1">
        <f t="shared" si="134"/>
        <v>1</v>
      </c>
    </row>
    <row r="361" spans="1:35" s="1" customFormat="1" ht="14.25" customHeight="1" x14ac:dyDescent="0.25">
      <c r="A361" s="57">
        <v>0</v>
      </c>
      <c r="B361" s="57">
        <v>2</v>
      </c>
      <c r="C361" s="57">
        <v>4</v>
      </c>
      <c r="D361" s="58" t="s">
        <v>563</v>
      </c>
      <c r="E361" s="58" t="s">
        <v>37</v>
      </c>
      <c r="F361" s="58" t="s">
        <v>204</v>
      </c>
      <c r="G361" s="58" t="s">
        <v>39</v>
      </c>
      <c r="H361" s="58" t="s">
        <v>352</v>
      </c>
      <c r="I361" s="57" t="s">
        <v>387</v>
      </c>
      <c r="J361" s="57">
        <v>6</v>
      </c>
      <c r="K361" s="59" t="s">
        <v>699</v>
      </c>
      <c r="L361" s="59" t="s">
        <v>39</v>
      </c>
      <c r="M361" s="60" t="s">
        <v>39</v>
      </c>
      <c r="N361" s="61"/>
      <c r="O361" s="62"/>
      <c r="P361" s="62"/>
      <c r="Q361" s="58"/>
      <c r="S361" s="1">
        <f t="shared" si="135"/>
        <v>0</v>
      </c>
      <c r="T361" s="1">
        <f t="shared" si="136"/>
        <v>0</v>
      </c>
      <c r="U361" s="1">
        <f t="shared" si="137"/>
        <v>0</v>
      </c>
      <c r="V361" s="1">
        <f t="shared" si="138"/>
        <v>0</v>
      </c>
      <c r="W361" s="1">
        <f t="shared" si="139"/>
        <v>0</v>
      </c>
      <c r="X361" s="1">
        <f t="shared" si="140"/>
        <v>1</v>
      </c>
      <c r="Y361" s="1">
        <f t="shared" si="141"/>
        <v>0</v>
      </c>
      <c r="Z361" s="1">
        <f t="shared" si="142"/>
        <v>0</v>
      </c>
      <c r="AA361" s="1">
        <f t="shared" si="143"/>
        <v>0</v>
      </c>
      <c r="AB361" s="1">
        <f t="shared" si="144"/>
        <v>0</v>
      </c>
      <c r="AD361" s="1">
        <f t="shared" si="145"/>
        <v>0</v>
      </c>
      <c r="AE361" s="1">
        <f t="shared" si="146"/>
        <v>0</v>
      </c>
      <c r="AF361" s="1">
        <f t="shared" si="131"/>
        <v>0</v>
      </c>
      <c r="AG361" s="1">
        <f t="shared" si="132"/>
        <v>0</v>
      </c>
      <c r="AH361" s="1">
        <f t="shared" si="133"/>
        <v>0</v>
      </c>
      <c r="AI361" s="1">
        <f t="shared" si="134"/>
        <v>1</v>
      </c>
    </row>
    <row r="362" spans="1:35" s="1" customFormat="1" ht="14.25" customHeight="1" x14ac:dyDescent="0.25">
      <c r="A362" s="44">
        <v>0</v>
      </c>
      <c r="B362" s="44">
        <v>2</v>
      </c>
      <c r="C362" s="44">
        <v>4</v>
      </c>
      <c r="D362" s="45" t="s">
        <v>649</v>
      </c>
      <c r="E362" s="45" t="s">
        <v>899</v>
      </c>
      <c r="F362" s="45" t="s">
        <v>620</v>
      </c>
      <c r="G362" s="45" t="s">
        <v>339</v>
      </c>
      <c r="H362" s="45" t="s">
        <v>352</v>
      </c>
      <c r="I362" s="44" t="s">
        <v>621</v>
      </c>
      <c r="J362" s="44">
        <v>10</v>
      </c>
      <c r="K362" s="46" t="s">
        <v>941</v>
      </c>
      <c r="L362" s="46" t="s">
        <v>700</v>
      </c>
      <c r="M362" s="47" t="s">
        <v>1402</v>
      </c>
      <c r="N362" s="47" t="s">
        <v>1718</v>
      </c>
      <c r="O362" s="48"/>
      <c r="P362" s="48"/>
      <c r="Q362" s="45"/>
      <c r="S362" s="1">
        <f t="shared" si="135"/>
        <v>0</v>
      </c>
      <c r="T362" s="1">
        <f t="shared" si="136"/>
        <v>0</v>
      </c>
      <c r="U362" s="1">
        <f t="shared" si="137"/>
        <v>0</v>
      </c>
      <c r="V362" s="1">
        <f t="shared" si="138"/>
        <v>0</v>
      </c>
      <c r="W362" s="1">
        <f t="shared" si="139"/>
        <v>0</v>
      </c>
      <c r="X362" s="1">
        <f t="shared" si="140"/>
        <v>0</v>
      </c>
      <c r="Y362" s="1">
        <f t="shared" si="141"/>
        <v>0</v>
      </c>
      <c r="Z362" s="1">
        <f t="shared" si="142"/>
        <v>0</v>
      </c>
      <c r="AA362" s="1">
        <f t="shared" si="143"/>
        <v>0</v>
      </c>
      <c r="AB362" s="1">
        <f t="shared" si="144"/>
        <v>1</v>
      </c>
      <c r="AD362" s="1">
        <f t="shared" si="145"/>
        <v>0</v>
      </c>
      <c r="AE362" s="1">
        <f t="shared" si="146"/>
        <v>0</v>
      </c>
      <c r="AF362" s="1">
        <f t="shared" si="131"/>
        <v>0</v>
      </c>
      <c r="AG362" s="1">
        <f t="shared" si="132"/>
        <v>0</v>
      </c>
      <c r="AH362" s="1">
        <f t="shared" si="133"/>
        <v>0</v>
      </c>
      <c r="AI362" s="1">
        <f t="shared" si="134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4</v>
      </c>
      <c r="D363" s="32" t="s">
        <v>75</v>
      </c>
      <c r="E363" s="32" t="s">
        <v>35</v>
      </c>
      <c r="F363" s="32" t="s">
        <v>265</v>
      </c>
      <c r="G363" s="32" t="s">
        <v>212</v>
      </c>
      <c r="H363" s="32" t="s">
        <v>352</v>
      </c>
      <c r="I363" s="31" t="s">
        <v>933</v>
      </c>
      <c r="J363" s="31">
        <v>1</v>
      </c>
      <c r="K363" s="33" t="s">
        <v>709</v>
      </c>
      <c r="L363" s="33" t="s">
        <v>700</v>
      </c>
      <c r="M363" s="34" t="s">
        <v>1403</v>
      </c>
      <c r="N363" s="34" t="s">
        <v>1727</v>
      </c>
      <c r="O363" s="35">
        <v>1</v>
      </c>
      <c r="P363" s="35"/>
      <c r="Q363" s="32"/>
      <c r="S363" s="1">
        <f t="shared" si="135"/>
        <v>1</v>
      </c>
      <c r="T363" s="1">
        <f t="shared" si="136"/>
        <v>0</v>
      </c>
      <c r="U363" s="1">
        <f t="shared" si="137"/>
        <v>0</v>
      </c>
      <c r="V363" s="1">
        <f t="shared" si="138"/>
        <v>0</v>
      </c>
      <c r="W363" s="1">
        <f t="shared" si="139"/>
        <v>0</v>
      </c>
      <c r="X363" s="1">
        <f t="shared" si="140"/>
        <v>0</v>
      </c>
      <c r="Y363" s="1">
        <f t="shared" si="141"/>
        <v>0</v>
      </c>
      <c r="Z363" s="1">
        <f t="shared" si="142"/>
        <v>0</v>
      </c>
      <c r="AA363" s="1">
        <f t="shared" si="143"/>
        <v>0</v>
      </c>
      <c r="AB363" s="1">
        <f t="shared" si="144"/>
        <v>0</v>
      </c>
      <c r="AD363" s="1">
        <f t="shared" si="145"/>
        <v>0</v>
      </c>
      <c r="AE363" s="1">
        <f t="shared" si="146"/>
        <v>1</v>
      </c>
      <c r="AF363" s="1">
        <f t="shared" si="131"/>
        <v>0</v>
      </c>
      <c r="AG363" s="1">
        <f t="shared" si="132"/>
        <v>1</v>
      </c>
      <c r="AH363" s="1">
        <f t="shared" si="133"/>
        <v>0</v>
      </c>
      <c r="AI363" s="1">
        <f t="shared" si="134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4</v>
      </c>
      <c r="D364" s="32" t="s">
        <v>908</v>
      </c>
      <c r="E364" s="32" t="s">
        <v>901</v>
      </c>
      <c r="F364" s="32" t="s">
        <v>773</v>
      </c>
      <c r="G364" s="32" t="s">
        <v>283</v>
      </c>
      <c r="H364" s="32" t="s">
        <v>352</v>
      </c>
      <c r="I364" s="31" t="s">
        <v>934</v>
      </c>
      <c r="J364" s="31">
        <v>4</v>
      </c>
      <c r="K364" s="33" t="s">
        <v>709</v>
      </c>
      <c r="L364" s="33" t="s">
        <v>692</v>
      </c>
      <c r="M364" s="34" t="s">
        <v>1404</v>
      </c>
      <c r="N364" s="34" t="s">
        <v>1733</v>
      </c>
      <c r="O364" s="35">
        <v>1</v>
      </c>
      <c r="P364" s="35"/>
      <c r="Q364" s="32"/>
      <c r="S364" s="1">
        <f t="shared" si="135"/>
        <v>0</v>
      </c>
      <c r="T364" s="1">
        <f t="shared" si="136"/>
        <v>0</v>
      </c>
      <c r="U364" s="1">
        <f t="shared" si="137"/>
        <v>0</v>
      </c>
      <c r="V364" s="1">
        <f t="shared" si="138"/>
        <v>1</v>
      </c>
      <c r="W364" s="1">
        <f t="shared" si="139"/>
        <v>0</v>
      </c>
      <c r="X364" s="1">
        <f t="shared" si="140"/>
        <v>0</v>
      </c>
      <c r="Y364" s="1">
        <f t="shared" si="141"/>
        <v>0</v>
      </c>
      <c r="Z364" s="1">
        <f t="shared" si="142"/>
        <v>0</v>
      </c>
      <c r="AA364" s="1">
        <f t="shared" si="143"/>
        <v>0</v>
      </c>
      <c r="AB364" s="1">
        <f t="shared" si="144"/>
        <v>0</v>
      </c>
      <c r="AD364" s="1">
        <f t="shared" si="145"/>
        <v>0</v>
      </c>
      <c r="AE364" s="1">
        <f t="shared" si="146"/>
        <v>1</v>
      </c>
      <c r="AF364" s="1">
        <f t="shared" si="131"/>
        <v>0</v>
      </c>
      <c r="AG364" s="1">
        <f t="shared" si="132"/>
        <v>1</v>
      </c>
      <c r="AH364" s="1">
        <f t="shared" si="133"/>
        <v>0</v>
      </c>
      <c r="AI364" s="1">
        <f t="shared" si="134"/>
        <v>1</v>
      </c>
    </row>
    <row r="365" spans="1:35" s="1" customFormat="1" ht="14.25" customHeight="1" x14ac:dyDescent="0.25">
      <c r="A365" s="15">
        <v>0</v>
      </c>
      <c r="B365" s="15">
        <v>2</v>
      </c>
      <c r="C365" s="15">
        <v>4</v>
      </c>
      <c r="D365" s="16" t="s">
        <v>625</v>
      </c>
      <c r="E365" s="16" t="s">
        <v>681</v>
      </c>
      <c r="F365" s="16" t="s">
        <v>666</v>
      </c>
      <c r="G365" s="16" t="s">
        <v>624</v>
      </c>
      <c r="H365" s="16" t="s">
        <v>352</v>
      </c>
      <c r="I365" s="15" t="s">
        <v>626</v>
      </c>
      <c r="J365" s="15">
        <v>99</v>
      </c>
      <c r="K365" s="10" t="s">
        <v>942</v>
      </c>
      <c r="L365" s="10" t="s">
        <v>39</v>
      </c>
      <c r="M365" s="19" t="s">
        <v>39</v>
      </c>
      <c r="N365" s="17"/>
      <c r="Q365" s="20" t="s">
        <v>1881</v>
      </c>
      <c r="S365" s="1">
        <f t="shared" si="135"/>
        <v>0</v>
      </c>
      <c r="T365" s="1">
        <f t="shared" si="136"/>
        <v>0</v>
      </c>
      <c r="U365" s="1">
        <f t="shared" si="137"/>
        <v>0</v>
      </c>
      <c r="V365" s="1">
        <f t="shared" si="138"/>
        <v>0</v>
      </c>
      <c r="W365" s="1">
        <f t="shared" si="139"/>
        <v>0</v>
      </c>
      <c r="X365" s="1">
        <f t="shared" si="140"/>
        <v>0</v>
      </c>
      <c r="Y365" s="1">
        <f t="shared" si="141"/>
        <v>0</v>
      </c>
      <c r="Z365" s="1">
        <f t="shared" si="142"/>
        <v>0</v>
      </c>
      <c r="AA365" s="1">
        <f t="shared" si="143"/>
        <v>0</v>
      </c>
      <c r="AB365" s="1">
        <f t="shared" si="144"/>
        <v>0</v>
      </c>
      <c r="AD365" s="1">
        <f t="shared" si="145"/>
        <v>0</v>
      </c>
      <c r="AE365" s="1">
        <f t="shared" si="146"/>
        <v>0</v>
      </c>
      <c r="AF365" s="1">
        <f t="shared" si="131"/>
        <v>0</v>
      </c>
      <c r="AG365" s="1">
        <f t="shared" si="132"/>
        <v>0</v>
      </c>
      <c r="AH365" s="1">
        <f t="shared" si="133"/>
        <v>0</v>
      </c>
      <c r="AI365" s="1">
        <f t="shared" si="134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4</v>
      </c>
      <c r="D366" s="32" t="s">
        <v>84</v>
      </c>
      <c r="E366" s="32" t="s">
        <v>35</v>
      </c>
      <c r="F366" s="32" t="s">
        <v>276</v>
      </c>
      <c r="G366" s="32" t="s">
        <v>223</v>
      </c>
      <c r="H366" s="32" t="s">
        <v>352</v>
      </c>
      <c r="I366" s="31" t="s">
        <v>431</v>
      </c>
      <c r="J366" s="31">
        <v>99</v>
      </c>
      <c r="K366" s="33" t="s">
        <v>941</v>
      </c>
      <c r="L366" s="33" t="s">
        <v>700</v>
      </c>
      <c r="M366" s="34" t="s">
        <v>722</v>
      </c>
      <c r="N366" s="34" t="s">
        <v>1745</v>
      </c>
      <c r="O366" s="35">
        <v>1</v>
      </c>
      <c r="P366" s="35"/>
      <c r="Q366" s="32"/>
      <c r="S366" s="1">
        <f t="shared" si="135"/>
        <v>0</v>
      </c>
      <c r="T366" s="1">
        <f t="shared" si="136"/>
        <v>0</v>
      </c>
      <c r="U366" s="1">
        <f t="shared" si="137"/>
        <v>0</v>
      </c>
      <c r="V366" s="1">
        <f t="shared" si="138"/>
        <v>0</v>
      </c>
      <c r="W366" s="1">
        <f t="shared" si="139"/>
        <v>0</v>
      </c>
      <c r="X366" s="1">
        <f t="shared" si="140"/>
        <v>0</v>
      </c>
      <c r="Y366" s="1">
        <f t="shared" si="141"/>
        <v>0</v>
      </c>
      <c r="Z366" s="1">
        <f t="shared" si="142"/>
        <v>0</v>
      </c>
      <c r="AA366" s="1">
        <f t="shared" si="143"/>
        <v>0</v>
      </c>
      <c r="AB366" s="1">
        <f t="shared" si="144"/>
        <v>0</v>
      </c>
      <c r="AD366" s="1">
        <f t="shared" si="145"/>
        <v>0</v>
      </c>
      <c r="AE366" s="1">
        <f t="shared" si="146"/>
        <v>1</v>
      </c>
      <c r="AF366" s="1">
        <f t="shared" si="131"/>
        <v>0</v>
      </c>
      <c r="AG366" s="1">
        <f t="shared" si="132"/>
        <v>1</v>
      </c>
      <c r="AH366" s="1">
        <f t="shared" si="133"/>
        <v>0</v>
      </c>
      <c r="AI366" s="1">
        <f t="shared" si="134"/>
        <v>1</v>
      </c>
    </row>
    <row r="367" spans="1:35" s="1" customFormat="1" ht="14.25" customHeight="1" x14ac:dyDescent="0.25">
      <c r="A367" s="15">
        <v>0</v>
      </c>
      <c r="B367" s="15">
        <v>2</v>
      </c>
      <c r="C367" s="15">
        <v>4</v>
      </c>
      <c r="D367" s="16" t="s">
        <v>870</v>
      </c>
      <c r="E367" s="16" t="s">
        <v>763</v>
      </c>
      <c r="F367" s="16" t="s">
        <v>868</v>
      </c>
      <c r="G367" s="16" t="s">
        <v>278</v>
      </c>
      <c r="H367" s="16" t="s">
        <v>352</v>
      </c>
      <c r="I367" s="15" t="s">
        <v>869</v>
      </c>
      <c r="J367" s="15">
        <v>99</v>
      </c>
      <c r="K367" s="10" t="s">
        <v>699</v>
      </c>
      <c r="L367" s="10">
        <v>25</v>
      </c>
      <c r="M367" s="19" t="s">
        <v>1405</v>
      </c>
      <c r="N367" s="19"/>
      <c r="Q367" s="16"/>
      <c r="S367" s="1">
        <f t="shared" si="135"/>
        <v>0</v>
      </c>
      <c r="T367" s="1">
        <f t="shared" si="136"/>
        <v>0</v>
      </c>
      <c r="U367" s="1">
        <f t="shared" si="137"/>
        <v>0</v>
      </c>
      <c r="V367" s="1">
        <f t="shared" si="138"/>
        <v>0</v>
      </c>
      <c r="W367" s="1">
        <f t="shared" si="139"/>
        <v>0</v>
      </c>
      <c r="X367" s="1">
        <f t="shared" si="140"/>
        <v>0</v>
      </c>
      <c r="Y367" s="1">
        <f t="shared" si="141"/>
        <v>0</v>
      </c>
      <c r="Z367" s="1">
        <f t="shared" si="142"/>
        <v>0</v>
      </c>
      <c r="AA367" s="1">
        <f t="shared" si="143"/>
        <v>0</v>
      </c>
      <c r="AB367" s="1">
        <f t="shared" si="144"/>
        <v>0</v>
      </c>
      <c r="AD367" s="1">
        <f t="shared" si="145"/>
        <v>0</v>
      </c>
      <c r="AE367" s="1">
        <f t="shared" si="146"/>
        <v>0</v>
      </c>
      <c r="AF367" s="1">
        <f t="shared" si="131"/>
        <v>0</v>
      </c>
      <c r="AG367" s="1">
        <f t="shared" si="132"/>
        <v>0</v>
      </c>
      <c r="AH367" s="1">
        <f t="shared" si="133"/>
        <v>0</v>
      </c>
      <c r="AI367" s="1">
        <f t="shared" si="134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4</v>
      </c>
      <c r="D368" s="32" t="s">
        <v>911</v>
      </c>
      <c r="E368" s="32" t="s">
        <v>763</v>
      </c>
      <c r="F368" s="32" t="s">
        <v>835</v>
      </c>
      <c r="G368" s="32" t="s">
        <v>208</v>
      </c>
      <c r="H368" s="32" t="s">
        <v>352</v>
      </c>
      <c r="I368" s="31" t="s">
        <v>836</v>
      </c>
      <c r="J368" s="31">
        <v>99</v>
      </c>
      <c r="K368" s="33" t="s">
        <v>708</v>
      </c>
      <c r="L368" s="33" t="s">
        <v>700</v>
      </c>
      <c r="M368" s="34" t="s">
        <v>722</v>
      </c>
      <c r="N368" s="34" t="s">
        <v>1740</v>
      </c>
      <c r="O368" s="35">
        <v>1</v>
      </c>
      <c r="P368" s="35"/>
      <c r="Q368" s="32"/>
      <c r="S368" s="1">
        <f t="shared" si="135"/>
        <v>0</v>
      </c>
      <c r="T368" s="1">
        <f t="shared" si="136"/>
        <v>0</v>
      </c>
      <c r="U368" s="1">
        <f t="shared" si="137"/>
        <v>0</v>
      </c>
      <c r="V368" s="1">
        <f t="shared" si="138"/>
        <v>0</v>
      </c>
      <c r="W368" s="1">
        <f t="shared" si="139"/>
        <v>0</v>
      </c>
      <c r="X368" s="1">
        <f t="shared" si="140"/>
        <v>0</v>
      </c>
      <c r="Y368" s="1">
        <f t="shared" si="141"/>
        <v>0</v>
      </c>
      <c r="Z368" s="1">
        <f t="shared" si="142"/>
        <v>0</v>
      </c>
      <c r="AA368" s="1">
        <f t="shared" si="143"/>
        <v>0</v>
      </c>
      <c r="AB368" s="1">
        <f t="shared" si="144"/>
        <v>0</v>
      </c>
      <c r="AD368" s="1">
        <f t="shared" si="145"/>
        <v>0</v>
      </c>
      <c r="AE368" s="1">
        <f t="shared" si="146"/>
        <v>1</v>
      </c>
      <c r="AF368" s="1">
        <f t="shared" si="131"/>
        <v>0</v>
      </c>
      <c r="AG368" s="1">
        <f t="shared" si="132"/>
        <v>1</v>
      </c>
      <c r="AH368" s="1">
        <f t="shared" si="133"/>
        <v>0</v>
      </c>
      <c r="AI368" s="1">
        <f t="shared" si="134"/>
        <v>1</v>
      </c>
    </row>
    <row r="369" spans="1:4094 4097:8191 8194:12288 12291:16384" s="1" customFormat="1" ht="14.25" customHeight="1" x14ac:dyDescent="0.25">
      <c r="A369" s="31">
        <v>0</v>
      </c>
      <c r="B369" s="31">
        <v>2</v>
      </c>
      <c r="C369" s="31">
        <v>4</v>
      </c>
      <c r="D369" s="32" t="s">
        <v>2008</v>
      </c>
      <c r="E369" s="32" t="s">
        <v>35</v>
      </c>
      <c r="F369" s="32" t="s">
        <v>2009</v>
      </c>
      <c r="G369" s="32" t="s">
        <v>208</v>
      </c>
      <c r="H369" s="32" t="s">
        <v>352</v>
      </c>
      <c r="I369" s="31" t="s">
        <v>2010</v>
      </c>
      <c r="J369" s="31">
        <v>99</v>
      </c>
      <c r="K369" s="33" t="s">
        <v>699</v>
      </c>
      <c r="L369" s="33">
        <v>25</v>
      </c>
      <c r="M369" s="34" t="s">
        <v>2012</v>
      </c>
      <c r="N369" s="34" t="s">
        <v>1833</v>
      </c>
      <c r="O369" s="35">
        <v>1</v>
      </c>
      <c r="P369" s="35"/>
      <c r="Q369" s="32" t="s">
        <v>2011</v>
      </c>
      <c r="S369" s="1">
        <f t="shared" si="135"/>
        <v>0</v>
      </c>
      <c r="T369" s="1">
        <f t="shared" si="136"/>
        <v>0</v>
      </c>
      <c r="U369" s="1">
        <f t="shared" si="137"/>
        <v>0</v>
      </c>
      <c r="V369" s="1">
        <f t="shared" si="138"/>
        <v>0</v>
      </c>
      <c r="W369" s="1">
        <f t="shared" si="139"/>
        <v>0</v>
      </c>
      <c r="X369" s="1">
        <f t="shared" si="140"/>
        <v>0</v>
      </c>
      <c r="Y369" s="1">
        <f t="shared" si="141"/>
        <v>0</v>
      </c>
      <c r="Z369" s="1">
        <f t="shared" si="142"/>
        <v>0</v>
      </c>
      <c r="AA369" s="1">
        <f t="shared" si="143"/>
        <v>0</v>
      </c>
      <c r="AB369" s="1">
        <f t="shared" si="144"/>
        <v>0</v>
      </c>
      <c r="AD369" s="1">
        <f t="shared" si="145"/>
        <v>0</v>
      </c>
      <c r="AE369" s="1">
        <f t="shared" si="146"/>
        <v>1</v>
      </c>
      <c r="AF369" s="1">
        <f t="shared" si="131"/>
        <v>0</v>
      </c>
      <c r="AG369" s="1">
        <f t="shared" si="132"/>
        <v>1</v>
      </c>
      <c r="AH369" s="1">
        <f t="shared" si="133"/>
        <v>0</v>
      </c>
      <c r="AI369" s="1">
        <f t="shared" si="134"/>
        <v>1</v>
      </c>
    </row>
    <row r="370" spans="1:4094 4097:8191 8194:12288 12291:16384" s="1" customFormat="1" ht="14.25" customHeight="1" x14ac:dyDescent="0.25">
      <c r="A370" s="44">
        <v>0</v>
      </c>
      <c r="B370" s="44">
        <v>2</v>
      </c>
      <c r="C370" s="44">
        <v>4</v>
      </c>
      <c r="D370" s="45" t="s">
        <v>1207</v>
      </c>
      <c r="E370" s="45" t="s">
        <v>1206</v>
      </c>
      <c r="F370" s="45" t="s">
        <v>1208</v>
      </c>
      <c r="G370" s="45" t="s">
        <v>531</v>
      </c>
      <c r="H370" s="45" t="s">
        <v>352</v>
      </c>
      <c r="I370" s="44" t="s">
        <v>1209</v>
      </c>
      <c r="J370" s="44">
        <v>99</v>
      </c>
      <c r="K370" s="46" t="s">
        <v>709</v>
      </c>
      <c r="L370" s="46" t="s">
        <v>690</v>
      </c>
      <c r="M370" s="47" t="s">
        <v>1406</v>
      </c>
      <c r="N370" s="47" t="s">
        <v>1731</v>
      </c>
      <c r="O370" s="48"/>
      <c r="P370" s="48"/>
      <c r="Q370" s="45"/>
      <c r="S370" s="1">
        <f t="shared" si="135"/>
        <v>0</v>
      </c>
      <c r="T370" s="1">
        <f t="shared" si="136"/>
        <v>0</v>
      </c>
      <c r="U370" s="1">
        <f t="shared" si="137"/>
        <v>0</v>
      </c>
      <c r="V370" s="1">
        <f t="shared" si="138"/>
        <v>0</v>
      </c>
      <c r="W370" s="1">
        <f t="shared" si="139"/>
        <v>0</v>
      </c>
      <c r="X370" s="1">
        <f t="shared" si="140"/>
        <v>0</v>
      </c>
      <c r="Y370" s="1">
        <f t="shared" si="141"/>
        <v>0</v>
      </c>
      <c r="Z370" s="1">
        <f t="shared" si="142"/>
        <v>0</v>
      </c>
      <c r="AA370" s="1">
        <f t="shared" si="143"/>
        <v>0</v>
      </c>
      <c r="AB370" s="1">
        <f t="shared" si="144"/>
        <v>0</v>
      </c>
      <c r="AD370" s="1">
        <f t="shared" si="145"/>
        <v>0</v>
      </c>
      <c r="AE370" s="1">
        <f t="shared" si="146"/>
        <v>0</v>
      </c>
      <c r="AF370" s="1">
        <f t="shared" si="131"/>
        <v>0</v>
      </c>
      <c r="AG370" s="1">
        <f t="shared" si="132"/>
        <v>0</v>
      </c>
      <c r="AH370" s="1">
        <f t="shared" si="133"/>
        <v>0</v>
      </c>
      <c r="AI370" s="1">
        <f t="shared" si="134"/>
        <v>1</v>
      </c>
    </row>
    <row r="371" spans="1:4094 4097:8191 8194:12288 12291:16384" s="1" customFormat="1" ht="14.25" customHeight="1" x14ac:dyDescent="0.25">
      <c r="A371" s="31">
        <v>0</v>
      </c>
      <c r="B371" s="31">
        <v>2</v>
      </c>
      <c r="C371" s="31">
        <v>4</v>
      </c>
      <c r="D371" s="32" t="s">
        <v>814</v>
      </c>
      <c r="E371" s="32" t="s">
        <v>586</v>
      </c>
      <c r="F371" s="32" t="s">
        <v>815</v>
      </c>
      <c r="G371" s="32" t="s">
        <v>925</v>
      </c>
      <c r="H371" s="32" t="s">
        <v>352</v>
      </c>
      <c r="I371" s="31" t="s">
        <v>938</v>
      </c>
      <c r="J371" s="31">
        <v>7</v>
      </c>
      <c r="K371" s="33" t="s">
        <v>708</v>
      </c>
      <c r="L371" s="33" t="s">
        <v>39</v>
      </c>
      <c r="M371" s="34" t="s">
        <v>39</v>
      </c>
      <c r="N371" s="34" t="s">
        <v>1711</v>
      </c>
      <c r="O371" s="35">
        <v>1</v>
      </c>
      <c r="P371" s="35">
        <v>1</v>
      </c>
      <c r="Q371" s="32"/>
      <c r="S371" s="1">
        <f t="shared" si="135"/>
        <v>0</v>
      </c>
      <c r="T371" s="1">
        <f t="shared" si="136"/>
        <v>0</v>
      </c>
      <c r="U371" s="1">
        <f t="shared" si="137"/>
        <v>0</v>
      </c>
      <c r="V371" s="1">
        <f t="shared" si="138"/>
        <v>0</v>
      </c>
      <c r="W371" s="1">
        <f t="shared" si="139"/>
        <v>0</v>
      </c>
      <c r="X371" s="1">
        <f t="shared" si="140"/>
        <v>0</v>
      </c>
      <c r="Y371" s="1">
        <f t="shared" si="141"/>
        <v>1</v>
      </c>
      <c r="Z371" s="1">
        <f t="shared" si="142"/>
        <v>0</v>
      </c>
      <c r="AA371" s="1">
        <f t="shared" si="143"/>
        <v>0</v>
      </c>
      <c r="AB371" s="1">
        <f t="shared" si="144"/>
        <v>0</v>
      </c>
      <c r="AD371" s="1">
        <f t="shared" si="145"/>
        <v>1</v>
      </c>
      <c r="AE371" s="1">
        <f t="shared" si="146"/>
        <v>0</v>
      </c>
      <c r="AF371" s="1">
        <f t="shared" si="131"/>
        <v>1</v>
      </c>
      <c r="AG371" s="1">
        <f t="shared" si="132"/>
        <v>0</v>
      </c>
      <c r="AH371" s="1">
        <f t="shared" si="133"/>
        <v>1</v>
      </c>
      <c r="AI371" s="1">
        <f t="shared" si="134"/>
        <v>0</v>
      </c>
    </row>
    <row r="372" spans="1:4094 4097:8191 8194:12288 12291:16384" s="1" customFormat="1" ht="14.25" customHeight="1" x14ac:dyDescent="0.25">
      <c r="A372" s="44">
        <v>0</v>
      </c>
      <c r="B372" s="44">
        <v>2</v>
      </c>
      <c r="C372" s="44">
        <v>4</v>
      </c>
      <c r="D372" s="45" t="s">
        <v>1589</v>
      </c>
      <c r="E372" s="45" t="s">
        <v>1639</v>
      </c>
      <c r="F372" s="45" t="s">
        <v>1590</v>
      </c>
      <c r="G372" s="45" t="s">
        <v>331</v>
      </c>
      <c r="H372" s="45" t="s">
        <v>352</v>
      </c>
      <c r="I372" s="44" t="s">
        <v>30</v>
      </c>
      <c r="J372" s="44">
        <v>99</v>
      </c>
      <c r="K372" s="46" t="s">
        <v>709</v>
      </c>
      <c r="L372" s="46">
        <v>20</v>
      </c>
      <c r="M372" s="47" t="s">
        <v>39</v>
      </c>
      <c r="N372" s="47" t="s">
        <v>1725</v>
      </c>
      <c r="O372" s="48"/>
      <c r="P372" s="48"/>
      <c r="Q372" s="45"/>
      <c r="S372" s="1">
        <f t="shared" si="135"/>
        <v>0</v>
      </c>
      <c r="T372" s="1">
        <f t="shared" si="136"/>
        <v>0</v>
      </c>
      <c r="U372" s="1">
        <f t="shared" si="137"/>
        <v>0</v>
      </c>
      <c r="V372" s="1">
        <f t="shared" si="138"/>
        <v>0</v>
      </c>
      <c r="W372" s="1">
        <f t="shared" si="139"/>
        <v>0</v>
      </c>
      <c r="X372" s="1">
        <f t="shared" si="140"/>
        <v>0</v>
      </c>
      <c r="Y372" s="1">
        <f t="shared" si="141"/>
        <v>0</v>
      </c>
      <c r="Z372" s="1">
        <f t="shared" si="142"/>
        <v>0</v>
      </c>
      <c r="AA372" s="1">
        <f t="shared" si="143"/>
        <v>0</v>
      </c>
      <c r="AB372" s="1">
        <f t="shared" si="144"/>
        <v>0</v>
      </c>
      <c r="AD372" s="1">
        <f t="shared" si="145"/>
        <v>0</v>
      </c>
      <c r="AE372" s="1">
        <f t="shared" si="146"/>
        <v>0</v>
      </c>
      <c r="AF372" s="1">
        <f t="shared" si="131"/>
        <v>0</v>
      </c>
      <c r="AG372" s="1">
        <f t="shared" si="132"/>
        <v>0</v>
      </c>
      <c r="AH372" s="1">
        <f t="shared" si="133"/>
        <v>0</v>
      </c>
      <c r="AI372" s="1">
        <f t="shared" si="134"/>
        <v>1</v>
      </c>
    </row>
    <row r="373" spans="1:4094 4097:8191 8194:12288 12291:16384" s="1" customFormat="1" ht="14.25" customHeight="1" x14ac:dyDescent="0.25">
      <c r="A373" s="31">
        <v>0</v>
      </c>
      <c r="B373" s="31">
        <v>2</v>
      </c>
      <c r="C373" s="31">
        <v>5</v>
      </c>
      <c r="D373" s="32" t="s">
        <v>58</v>
      </c>
      <c r="E373" s="32" t="s">
        <v>44</v>
      </c>
      <c r="F373" s="32" t="s">
        <v>667</v>
      </c>
      <c r="G373" s="32" t="s">
        <v>222</v>
      </c>
      <c r="H373" s="32" t="s">
        <v>352</v>
      </c>
      <c r="I373" s="31" t="s">
        <v>395</v>
      </c>
      <c r="J373" s="31">
        <v>8</v>
      </c>
      <c r="K373" s="33" t="s">
        <v>709</v>
      </c>
      <c r="L373" s="33" t="s">
        <v>712</v>
      </c>
      <c r="M373" s="34" t="s">
        <v>1407</v>
      </c>
      <c r="N373" s="34" t="s">
        <v>1732</v>
      </c>
      <c r="O373" s="35">
        <v>1</v>
      </c>
      <c r="P373" s="35"/>
      <c r="Q373" s="32"/>
      <c r="S373" s="1">
        <f t="shared" si="135"/>
        <v>0</v>
      </c>
      <c r="T373" s="1">
        <f t="shared" si="136"/>
        <v>0</v>
      </c>
      <c r="U373" s="1">
        <f t="shared" si="137"/>
        <v>0</v>
      </c>
      <c r="V373" s="1">
        <f t="shared" si="138"/>
        <v>0</v>
      </c>
      <c r="W373" s="1">
        <f t="shared" si="139"/>
        <v>0</v>
      </c>
      <c r="X373" s="1">
        <f t="shared" si="140"/>
        <v>0</v>
      </c>
      <c r="Y373" s="1">
        <f t="shared" si="141"/>
        <v>0</v>
      </c>
      <c r="Z373" s="1">
        <f t="shared" si="142"/>
        <v>1</v>
      </c>
      <c r="AA373" s="1">
        <f t="shared" si="143"/>
        <v>0</v>
      </c>
      <c r="AB373" s="1">
        <f t="shared" si="144"/>
        <v>0</v>
      </c>
      <c r="AD373" s="1">
        <f t="shared" si="145"/>
        <v>0</v>
      </c>
      <c r="AE373" s="1">
        <f t="shared" si="146"/>
        <v>1</v>
      </c>
      <c r="AF373" s="1">
        <f t="shared" si="131"/>
        <v>0</v>
      </c>
      <c r="AG373" s="1">
        <f t="shared" si="132"/>
        <v>1</v>
      </c>
      <c r="AH373" s="1">
        <f t="shared" si="133"/>
        <v>0</v>
      </c>
      <c r="AI373" s="1">
        <f t="shared" si="134"/>
        <v>1</v>
      </c>
    </row>
    <row r="374" spans="1:4094 4097:8191 8194:12288 12291:16384" s="1" customFormat="1" ht="14.25" customHeight="1" x14ac:dyDescent="0.25">
      <c r="A374" s="44">
        <v>0</v>
      </c>
      <c r="B374" s="44">
        <v>2</v>
      </c>
      <c r="C374" s="44">
        <v>5</v>
      </c>
      <c r="D374" s="45" t="s">
        <v>823</v>
      </c>
      <c r="E374" s="45" t="s">
        <v>822</v>
      </c>
      <c r="F374" s="45" t="s">
        <v>913</v>
      </c>
      <c r="G374" s="45" t="s">
        <v>212</v>
      </c>
      <c r="H374" s="45" t="s">
        <v>352</v>
      </c>
      <c r="I374" s="44" t="s">
        <v>824</v>
      </c>
      <c r="J374" s="44">
        <v>1</v>
      </c>
      <c r="K374" s="46" t="s">
        <v>708</v>
      </c>
      <c r="L374" s="46" t="s">
        <v>689</v>
      </c>
      <c r="M374" s="47" t="s">
        <v>1408</v>
      </c>
      <c r="N374" s="47" t="s">
        <v>1719</v>
      </c>
      <c r="O374" s="48"/>
      <c r="P374" s="48"/>
      <c r="Q374" s="45"/>
      <c r="S374" s="1">
        <f t="shared" si="135"/>
        <v>1</v>
      </c>
      <c r="T374" s="1">
        <f t="shared" si="136"/>
        <v>0</v>
      </c>
      <c r="U374" s="1">
        <f t="shared" si="137"/>
        <v>0</v>
      </c>
      <c r="V374" s="1">
        <f t="shared" si="138"/>
        <v>0</v>
      </c>
      <c r="W374" s="1">
        <f t="shared" si="139"/>
        <v>0</v>
      </c>
      <c r="X374" s="1">
        <f t="shared" si="140"/>
        <v>0</v>
      </c>
      <c r="Y374" s="1">
        <f t="shared" si="141"/>
        <v>0</v>
      </c>
      <c r="Z374" s="1">
        <f t="shared" si="142"/>
        <v>0</v>
      </c>
      <c r="AA374" s="1">
        <f t="shared" si="143"/>
        <v>0</v>
      </c>
      <c r="AB374" s="1">
        <f t="shared" si="144"/>
        <v>0</v>
      </c>
      <c r="AD374" s="1">
        <f t="shared" si="145"/>
        <v>0</v>
      </c>
      <c r="AE374" s="1">
        <f t="shared" si="146"/>
        <v>0</v>
      </c>
      <c r="AF374" s="1">
        <f t="shared" si="131"/>
        <v>0</v>
      </c>
      <c r="AG374" s="1">
        <f t="shared" si="132"/>
        <v>0</v>
      </c>
      <c r="AH374" s="1">
        <f t="shared" si="133"/>
        <v>0</v>
      </c>
      <c r="AI374" s="1">
        <f t="shared" si="134"/>
        <v>1</v>
      </c>
    </row>
    <row r="375" spans="1:4094 4097:8191 8194:12288 12291:16384" s="1" customFormat="1" ht="14.25" customHeight="1" x14ac:dyDescent="0.25">
      <c r="A375" s="31">
        <v>0</v>
      </c>
      <c r="B375" s="31">
        <v>2</v>
      </c>
      <c r="C375" s="31">
        <v>5</v>
      </c>
      <c r="D375" s="36" t="s">
        <v>2041</v>
      </c>
      <c r="E375" s="36" t="s">
        <v>169</v>
      </c>
      <c r="F375" s="36" t="s">
        <v>2042</v>
      </c>
      <c r="G375" s="36" t="s">
        <v>1518</v>
      </c>
      <c r="H375" s="36" t="s">
        <v>352</v>
      </c>
      <c r="I375" s="37" t="s">
        <v>2043</v>
      </c>
      <c r="J375" s="31">
        <v>5</v>
      </c>
      <c r="K375" s="33" t="s">
        <v>699</v>
      </c>
      <c r="L375" s="33"/>
      <c r="M375" s="34"/>
      <c r="N375" s="34" t="s">
        <v>1711</v>
      </c>
      <c r="O375" s="35">
        <v>1</v>
      </c>
      <c r="P375" s="35">
        <v>1</v>
      </c>
      <c r="Q375" s="36" t="s">
        <v>2044</v>
      </c>
      <c r="S375" s="1">
        <f t="shared" si="135"/>
        <v>0</v>
      </c>
      <c r="T375" s="1">
        <f t="shared" si="136"/>
        <v>0</v>
      </c>
      <c r="U375" s="1">
        <f t="shared" si="137"/>
        <v>0</v>
      </c>
      <c r="V375" s="1">
        <f t="shared" si="138"/>
        <v>0</v>
      </c>
      <c r="W375" s="1">
        <f t="shared" si="139"/>
        <v>1</v>
      </c>
      <c r="X375" s="1">
        <f t="shared" si="140"/>
        <v>0</v>
      </c>
      <c r="Y375" s="1">
        <f t="shared" si="141"/>
        <v>0</v>
      </c>
      <c r="Z375" s="1">
        <f t="shared" si="142"/>
        <v>0</v>
      </c>
      <c r="AA375" s="1">
        <f t="shared" si="143"/>
        <v>0</v>
      </c>
      <c r="AB375" s="1">
        <f t="shared" si="144"/>
        <v>0</v>
      </c>
      <c r="AD375" s="1">
        <f t="shared" si="145"/>
        <v>1</v>
      </c>
      <c r="AE375" s="1">
        <f t="shared" si="146"/>
        <v>0</v>
      </c>
      <c r="AF375" s="1">
        <f t="shared" si="131"/>
        <v>1</v>
      </c>
      <c r="AG375" s="1">
        <f t="shared" si="132"/>
        <v>0</v>
      </c>
      <c r="AH375" s="1">
        <f t="shared" si="133"/>
        <v>1</v>
      </c>
      <c r="AI375" s="1">
        <f t="shared" si="134"/>
        <v>0</v>
      </c>
    </row>
    <row r="376" spans="1:4094 4097:8191 8194:12288 12291:16384" s="1" customFormat="1" ht="14.25" customHeight="1" x14ac:dyDescent="0.25">
      <c r="A376" s="31">
        <v>0</v>
      </c>
      <c r="B376" s="31">
        <v>2</v>
      </c>
      <c r="C376" s="31">
        <v>5</v>
      </c>
      <c r="D376" s="32" t="s">
        <v>65</v>
      </c>
      <c r="E376" s="32" t="s">
        <v>163</v>
      </c>
      <c r="F376" s="32" t="s">
        <v>543</v>
      </c>
      <c r="G376" s="32" t="s">
        <v>193</v>
      </c>
      <c r="H376" s="32" t="s">
        <v>352</v>
      </c>
      <c r="I376" s="31" t="s">
        <v>548</v>
      </c>
      <c r="J376" s="31">
        <v>9</v>
      </c>
      <c r="K376" s="33" t="s">
        <v>709</v>
      </c>
      <c r="L376" s="33" t="s">
        <v>683</v>
      </c>
      <c r="M376" s="34" t="s">
        <v>1427</v>
      </c>
      <c r="N376" s="34" t="s">
        <v>1745</v>
      </c>
      <c r="O376" s="35">
        <v>1</v>
      </c>
      <c r="P376" s="35"/>
      <c r="Q376" s="32"/>
      <c r="S376" s="1">
        <f t="shared" si="135"/>
        <v>0</v>
      </c>
      <c r="T376" s="1">
        <f t="shared" si="136"/>
        <v>0</v>
      </c>
      <c r="U376" s="1">
        <f t="shared" si="137"/>
        <v>0</v>
      </c>
      <c r="V376" s="1">
        <f t="shared" si="138"/>
        <v>0</v>
      </c>
      <c r="W376" s="1">
        <f t="shared" si="139"/>
        <v>0</v>
      </c>
      <c r="X376" s="1">
        <f t="shared" si="140"/>
        <v>0</v>
      </c>
      <c r="Y376" s="1">
        <f t="shared" si="141"/>
        <v>0</v>
      </c>
      <c r="Z376" s="1">
        <f t="shared" si="142"/>
        <v>0</v>
      </c>
      <c r="AA376" s="1">
        <f t="shared" si="143"/>
        <v>1</v>
      </c>
      <c r="AB376" s="1">
        <f t="shared" si="144"/>
        <v>0</v>
      </c>
      <c r="AD376" s="1">
        <f t="shared" si="145"/>
        <v>0</v>
      </c>
      <c r="AE376" s="1">
        <f t="shared" si="146"/>
        <v>1</v>
      </c>
      <c r="AF376" s="1">
        <f t="shared" si="131"/>
        <v>0</v>
      </c>
      <c r="AG376" s="1">
        <f t="shared" si="132"/>
        <v>1</v>
      </c>
      <c r="AH376" s="1">
        <f t="shared" si="133"/>
        <v>0</v>
      </c>
      <c r="AI376" s="1">
        <f t="shared" si="134"/>
        <v>1</v>
      </c>
    </row>
    <row r="377" spans="1:4094 4097:8191 8194:12288 12291:16384" s="1" customFormat="1" ht="14.25" customHeight="1" x14ac:dyDescent="0.25">
      <c r="A377" s="44">
        <v>0</v>
      </c>
      <c r="B377" s="44">
        <v>2</v>
      </c>
      <c r="C377" s="44">
        <v>5</v>
      </c>
      <c r="D377" s="45" t="s">
        <v>1470</v>
      </c>
      <c r="E377" s="45" t="s">
        <v>35</v>
      </c>
      <c r="F377" s="65" t="s">
        <v>1857</v>
      </c>
      <c r="G377" s="45" t="s">
        <v>221</v>
      </c>
      <c r="H377" s="45" t="s">
        <v>352</v>
      </c>
      <c r="I377" s="44" t="s">
        <v>1670</v>
      </c>
      <c r="J377" s="44">
        <v>99</v>
      </c>
      <c r="K377" s="46" t="s">
        <v>709</v>
      </c>
      <c r="L377" s="46">
        <v>25</v>
      </c>
      <c r="M377" s="47" t="s">
        <v>39</v>
      </c>
      <c r="N377" s="47" t="s">
        <v>1721</v>
      </c>
      <c r="O377" s="48"/>
      <c r="P377" s="48"/>
      <c r="Q377" s="45"/>
      <c r="S377" s="1">
        <f t="shared" si="135"/>
        <v>0</v>
      </c>
      <c r="T377" s="1">
        <f t="shared" si="136"/>
        <v>0</v>
      </c>
      <c r="U377" s="1">
        <f t="shared" si="137"/>
        <v>0</v>
      </c>
      <c r="V377" s="1">
        <f t="shared" si="138"/>
        <v>0</v>
      </c>
      <c r="W377" s="1">
        <f t="shared" si="139"/>
        <v>0</v>
      </c>
      <c r="X377" s="1">
        <f t="shared" si="140"/>
        <v>0</v>
      </c>
      <c r="Y377" s="1">
        <f t="shared" si="141"/>
        <v>0</v>
      </c>
      <c r="Z377" s="1">
        <f t="shared" si="142"/>
        <v>0</v>
      </c>
      <c r="AA377" s="1">
        <f t="shared" si="143"/>
        <v>0</v>
      </c>
      <c r="AB377" s="1">
        <f t="shared" si="144"/>
        <v>0</v>
      </c>
      <c r="AD377" s="1">
        <f t="shared" si="145"/>
        <v>0</v>
      </c>
      <c r="AE377" s="1">
        <f t="shared" si="146"/>
        <v>0</v>
      </c>
      <c r="AF377" s="1">
        <f t="shared" si="131"/>
        <v>0</v>
      </c>
      <c r="AG377" s="1">
        <f t="shared" si="132"/>
        <v>0</v>
      </c>
      <c r="AH377" s="1">
        <f t="shared" si="133"/>
        <v>0</v>
      </c>
      <c r="AI377" s="1">
        <f t="shared" si="134"/>
        <v>1</v>
      </c>
    </row>
    <row r="378" spans="1:4094 4097:8191 8194:12288 12291:16384" s="1" customFormat="1" ht="14.25" customHeight="1" x14ac:dyDescent="0.25">
      <c r="A378" s="31">
        <v>0</v>
      </c>
      <c r="B378" s="31">
        <v>2</v>
      </c>
      <c r="C378" s="31">
        <v>5</v>
      </c>
      <c r="D378" s="32" t="s">
        <v>1803</v>
      </c>
      <c r="E378" s="32" t="s">
        <v>763</v>
      </c>
      <c r="F378" s="32" t="s">
        <v>1804</v>
      </c>
      <c r="G378" s="32" t="s">
        <v>223</v>
      </c>
      <c r="H378" s="32" t="s">
        <v>352</v>
      </c>
      <c r="I378" s="31" t="s">
        <v>1805</v>
      </c>
      <c r="J378" s="31">
        <v>99</v>
      </c>
      <c r="K378" s="33" t="s">
        <v>1806</v>
      </c>
      <c r="L378" s="33">
        <v>40</v>
      </c>
      <c r="M378" s="34" t="s">
        <v>1807</v>
      </c>
      <c r="N378" s="34" t="s">
        <v>1833</v>
      </c>
      <c r="O378" s="35">
        <v>1</v>
      </c>
      <c r="P378" s="35"/>
      <c r="Q378" s="32"/>
      <c r="S378" s="1">
        <f t="shared" si="135"/>
        <v>0</v>
      </c>
      <c r="T378" s="1">
        <f t="shared" si="136"/>
        <v>0</v>
      </c>
      <c r="U378" s="1">
        <f t="shared" si="137"/>
        <v>0</v>
      </c>
      <c r="V378" s="1">
        <f t="shared" si="138"/>
        <v>0</v>
      </c>
      <c r="W378" s="1">
        <f t="shared" si="139"/>
        <v>0</v>
      </c>
      <c r="X378" s="1">
        <f t="shared" si="140"/>
        <v>0</v>
      </c>
      <c r="Y378" s="1">
        <f t="shared" si="141"/>
        <v>0</v>
      </c>
      <c r="Z378" s="1">
        <f t="shared" si="142"/>
        <v>0</v>
      </c>
      <c r="AA378" s="1">
        <f t="shared" si="143"/>
        <v>0</v>
      </c>
      <c r="AB378" s="1">
        <f t="shared" si="144"/>
        <v>0</v>
      </c>
      <c r="AD378" s="1">
        <f t="shared" si="145"/>
        <v>0</v>
      </c>
      <c r="AE378" s="1">
        <f t="shared" si="146"/>
        <v>1</v>
      </c>
      <c r="AF378" s="1">
        <f t="shared" si="131"/>
        <v>0</v>
      </c>
      <c r="AG378" s="1">
        <f t="shared" si="132"/>
        <v>1</v>
      </c>
      <c r="AH378" s="1">
        <f t="shared" si="133"/>
        <v>0</v>
      </c>
      <c r="AI378" s="1">
        <f t="shared" si="134"/>
        <v>1</v>
      </c>
    </row>
    <row r="379" spans="1:4094 4097:8191 8194:12288 12291:16384" s="1" customFormat="1" ht="14.25" customHeight="1" x14ac:dyDescent="0.25">
      <c r="A379" s="31">
        <v>0</v>
      </c>
      <c r="B379" s="31">
        <v>2</v>
      </c>
      <c r="C379" s="31">
        <v>5</v>
      </c>
      <c r="D379" s="32" t="s">
        <v>612</v>
      </c>
      <c r="E379" s="32" t="s">
        <v>682</v>
      </c>
      <c r="F379" s="32" t="s">
        <v>613</v>
      </c>
      <c r="G379" s="32" t="s">
        <v>285</v>
      </c>
      <c r="H379" s="32" t="s">
        <v>352</v>
      </c>
      <c r="I379" s="31" t="s">
        <v>614</v>
      </c>
      <c r="J379" s="31">
        <v>99</v>
      </c>
      <c r="K379" s="33" t="s">
        <v>708</v>
      </c>
      <c r="L379" s="33" t="s">
        <v>700</v>
      </c>
      <c r="M379" s="34" t="s">
        <v>1409</v>
      </c>
      <c r="N379" s="34" t="s">
        <v>1727</v>
      </c>
      <c r="O379" s="35">
        <v>1</v>
      </c>
      <c r="P379" s="35"/>
      <c r="Q379" s="32"/>
      <c r="S379" s="1">
        <f t="shared" si="135"/>
        <v>0</v>
      </c>
      <c r="T379" s="1">
        <f t="shared" si="136"/>
        <v>0</v>
      </c>
      <c r="U379" s="1">
        <f t="shared" si="137"/>
        <v>0</v>
      </c>
      <c r="V379" s="1">
        <f t="shared" si="138"/>
        <v>0</v>
      </c>
      <c r="W379" s="1">
        <f t="shared" si="139"/>
        <v>0</v>
      </c>
      <c r="X379" s="1">
        <f t="shared" si="140"/>
        <v>0</v>
      </c>
      <c r="Y379" s="1">
        <f t="shared" si="141"/>
        <v>0</v>
      </c>
      <c r="Z379" s="1">
        <f t="shared" si="142"/>
        <v>0</v>
      </c>
      <c r="AA379" s="1">
        <f t="shared" si="143"/>
        <v>0</v>
      </c>
      <c r="AB379" s="1">
        <f t="shared" si="144"/>
        <v>0</v>
      </c>
      <c r="AD379" s="1">
        <f t="shared" si="145"/>
        <v>0</v>
      </c>
      <c r="AE379" s="1">
        <f t="shared" si="146"/>
        <v>1</v>
      </c>
      <c r="AF379" s="1">
        <f t="shared" si="131"/>
        <v>0</v>
      </c>
      <c r="AG379" s="1">
        <f t="shared" si="132"/>
        <v>1</v>
      </c>
      <c r="AH379" s="1">
        <f t="shared" si="133"/>
        <v>0</v>
      </c>
      <c r="AI379" s="1">
        <f t="shared" si="134"/>
        <v>1</v>
      </c>
    </row>
    <row r="380" spans="1:4094 4097:8191 8194:12288 12291:16384" s="1" customFormat="1" ht="14.25" customHeight="1" x14ac:dyDescent="0.25">
      <c r="A380" s="44">
        <v>0</v>
      </c>
      <c r="B380" s="44">
        <v>2</v>
      </c>
      <c r="C380" s="44">
        <v>5</v>
      </c>
      <c r="D380" s="45" t="s">
        <v>1472</v>
      </c>
      <c r="E380" s="45" t="s">
        <v>763</v>
      </c>
      <c r="F380" s="45" t="s">
        <v>1473</v>
      </c>
      <c r="G380" s="45" t="s">
        <v>195</v>
      </c>
      <c r="H380" s="45" t="s">
        <v>352</v>
      </c>
      <c r="I380" s="44" t="s">
        <v>1474</v>
      </c>
      <c r="J380" s="44">
        <v>99</v>
      </c>
      <c r="K380" s="46" t="s">
        <v>941</v>
      </c>
      <c r="L380" s="46" t="s">
        <v>689</v>
      </c>
      <c r="M380" s="47" t="s">
        <v>1400</v>
      </c>
      <c r="N380" s="47" t="s">
        <v>1719</v>
      </c>
      <c r="O380" s="48"/>
      <c r="P380" s="48"/>
      <c r="Q380" s="45"/>
      <c r="R380" s="15"/>
      <c r="S380" s="1">
        <f t="shared" si="135"/>
        <v>0</v>
      </c>
      <c r="T380" s="1">
        <f t="shared" si="136"/>
        <v>0</v>
      </c>
      <c r="U380" s="1">
        <f t="shared" si="137"/>
        <v>0</v>
      </c>
      <c r="V380" s="1">
        <f t="shared" si="138"/>
        <v>0</v>
      </c>
      <c r="W380" s="1">
        <f t="shared" si="139"/>
        <v>0</v>
      </c>
      <c r="X380" s="1">
        <f t="shared" si="140"/>
        <v>0</v>
      </c>
      <c r="Y380" s="1">
        <f t="shared" si="141"/>
        <v>0</v>
      </c>
      <c r="Z380" s="1">
        <f t="shared" si="142"/>
        <v>0</v>
      </c>
      <c r="AA380" s="1">
        <f t="shared" si="143"/>
        <v>0</v>
      </c>
      <c r="AB380" s="1">
        <f t="shared" si="144"/>
        <v>0</v>
      </c>
      <c r="AD380" s="1">
        <f t="shared" si="145"/>
        <v>0</v>
      </c>
      <c r="AE380" s="1">
        <f t="shared" si="146"/>
        <v>0</v>
      </c>
      <c r="AF380" s="1">
        <f t="shared" si="131"/>
        <v>0</v>
      </c>
      <c r="AG380" s="1">
        <f t="shared" si="132"/>
        <v>0</v>
      </c>
      <c r="AH380" s="1">
        <f t="shared" si="133"/>
        <v>0</v>
      </c>
      <c r="AI380" s="1">
        <f t="shared" si="134"/>
        <v>1</v>
      </c>
      <c r="AJ380" s="15"/>
      <c r="AK380" s="15"/>
      <c r="AL380" s="15"/>
      <c r="AM380" s="15"/>
      <c r="AN380" s="15"/>
      <c r="AO380" s="15"/>
      <c r="AP380" s="15"/>
      <c r="AQ380" s="15"/>
      <c r="AR380" s="15"/>
      <c r="AS380" s="10"/>
      <c r="AT380" s="10"/>
      <c r="AU380" s="21"/>
      <c r="AV380" s="21"/>
      <c r="AY380" s="21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0"/>
      <c r="BK380" s="10"/>
      <c r="BL380" s="21"/>
      <c r="BM380" s="21"/>
      <c r="BP380" s="21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0"/>
      <c r="CB380" s="10"/>
      <c r="CC380" s="21"/>
      <c r="CD380" s="21"/>
      <c r="CG380" s="21"/>
      <c r="CH380" s="15"/>
      <c r="CI380" s="15"/>
      <c r="CJ380" s="15"/>
      <c r="CK380" s="15"/>
      <c r="CL380" s="15"/>
      <c r="CM380" s="15"/>
      <c r="CN380" s="15"/>
      <c r="CO380" s="15"/>
      <c r="CP380" s="15"/>
      <c r="CQ380" s="15"/>
      <c r="CR380" s="10"/>
      <c r="CS380" s="10"/>
      <c r="CT380" s="21"/>
      <c r="CU380" s="21"/>
      <c r="CX380" s="21"/>
      <c r="CY380" s="15"/>
      <c r="CZ380" s="15"/>
      <c r="DA380" s="15"/>
      <c r="DB380" s="15"/>
      <c r="DC380" s="15"/>
      <c r="DD380" s="15"/>
      <c r="DE380" s="15"/>
      <c r="DF380" s="15"/>
      <c r="DG380" s="15"/>
      <c r="DH380" s="15"/>
      <c r="DI380" s="10"/>
      <c r="DJ380" s="10"/>
      <c r="DK380" s="21"/>
      <c r="DL380" s="21"/>
      <c r="DO380" s="21"/>
      <c r="DP380" s="15"/>
      <c r="DQ380" s="15"/>
      <c r="DR380" s="15"/>
      <c r="DS380" s="15"/>
      <c r="DT380" s="15"/>
      <c r="DU380" s="15"/>
      <c r="DV380" s="15"/>
      <c r="DW380" s="15"/>
      <c r="DX380" s="15"/>
      <c r="DY380" s="15"/>
      <c r="DZ380" s="10"/>
      <c r="EA380" s="10"/>
      <c r="EB380" s="21"/>
      <c r="EC380" s="21"/>
      <c r="EF380" s="21"/>
      <c r="EG380" s="15"/>
      <c r="EH380" s="15"/>
      <c r="EI380" s="15"/>
      <c r="EJ380" s="15"/>
      <c r="EK380" s="15"/>
      <c r="EL380" s="15"/>
      <c r="EM380" s="15"/>
      <c r="EN380" s="15"/>
      <c r="EO380" s="15"/>
      <c r="EP380" s="15"/>
      <c r="EQ380" s="10"/>
      <c r="ER380" s="10"/>
      <c r="ES380" s="21"/>
      <c r="ET380" s="21"/>
      <c r="EW380" s="21"/>
      <c r="EX380" s="15"/>
      <c r="EY380" s="15"/>
      <c r="EZ380" s="15"/>
      <c r="FA380" s="15"/>
      <c r="FB380" s="15"/>
      <c r="FC380" s="15"/>
      <c r="FD380" s="15"/>
      <c r="FE380" s="15"/>
      <c r="FF380" s="15"/>
      <c r="FG380" s="15"/>
      <c r="FH380" s="10"/>
      <c r="FI380" s="10"/>
      <c r="FJ380" s="21"/>
      <c r="FK380" s="21"/>
      <c r="FN380" s="21"/>
      <c r="FO380" s="15"/>
      <c r="FP380" s="15"/>
      <c r="FQ380" s="15"/>
      <c r="FR380" s="15"/>
      <c r="FS380" s="15"/>
      <c r="FT380" s="15"/>
      <c r="FU380" s="15"/>
      <c r="FV380" s="15"/>
      <c r="FW380" s="15"/>
      <c r="FX380" s="15"/>
      <c r="FY380" s="10"/>
      <c r="FZ380" s="10"/>
      <c r="GA380" s="21"/>
      <c r="GB380" s="21"/>
      <c r="GE380" s="21"/>
      <c r="GF380" s="15"/>
      <c r="GG380" s="15"/>
      <c r="GH380" s="15"/>
      <c r="GI380" s="15"/>
      <c r="GJ380" s="15"/>
      <c r="GK380" s="15"/>
      <c r="GL380" s="15"/>
      <c r="GM380" s="15"/>
      <c r="GN380" s="15"/>
      <c r="GO380" s="15"/>
      <c r="GP380" s="10"/>
      <c r="GQ380" s="10"/>
      <c r="GR380" s="21"/>
      <c r="GS380" s="21"/>
      <c r="GV380" s="21"/>
      <c r="GW380" s="15"/>
      <c r="GX380" s="15"/>
      <c r="GY380" s="15"/>
      <c r="GZ380" s="15"/>
      <c r="HA380" s="15"/>
      <c r="HB380" s="15"/>
      <c r="HC380" s="15"/>
      <c r="HD380" s="15"/>
      <c r="HE380" s="15"/>
      <c r="HF380" s="15"/>
      <c r="HG380" s="10"/>
      <c r="HH380" s="10"/>
      <c r="HI380" s="21"/>
      <c r="HJ380" s="21"/>
      <c r="HM380" s="21"/>
      <c r="HN380" s="15"/>
      <c r="HO380" s="15"/>
      <c r="HP380" s="15"/>
      <c r="HQ380" s="15"/>
      <c r="HR380" s="15"/>
      <c r="HS380" s="15"/>
      <c r="HT380" s="15"/>
      <c r="HU380" s="15"/>
      <c r="HV380" s="15"/>
      <c r="HW380" s="15"/>
      <c r="HX380" s="10"/>
      <c r="HY380" s="10"/>
      <c r="HZ380" s="21"/>
      <c r="IA380" s="21"/>
      <c r="ID380" s="21"/>
      <c r="IE380" s="15"/>
      <c r="IF380" s="15"/>
      <c r="IG380" s="15"/>
      <c r="IH380" s="15"/>
      <c r="II380" s="15"/>
      <c r="IJ380" s="15"/>
      <c r="IK380" s="15"/>
      <c r="IL380" s="15"/>
      <c r="IM380" s="15"/>
      <c r="IN380" s="15"/>
      <c r="IO380" s="10"/>
      <c r="IP380" s="10"/>
      <c r="IQ380" s="21"/>
      <c r="IR380" s="21"/>
      <c r="IU380" s="21"/>
      <c r="IV380" s="15"/>
      <c r="IW380" s="15"/>
      <c r="IX380" s="15"/>
      <c r="IY380" s="15"/>
      <c r="IZ380" s="15"/>
      <c r="JA380" s="15"/>
      <c r="JB380" s="15"/>
      <c r="JC380" s="15"/>
      <c r="JD380" s="15"/>
      <c r="JE380" s="15"/>
      <c r="JF380" s="10"/>
      <c r="JG380" s="10"/>
      <c r="JH380" s="21"/>
      <c r="JI380" s="21"/>
      <c r="JL380" s="21"/>
      <c r="JM380" s="15"/>
      <c r="JN380" s="15"/>
      <c r="JO380" s="15"/>
      <c r="JP380" s="15"/>
      <c r="JQ380" s="15"/>
      <c r="JR380" s="15"/>
      <c r="JS380" s="15"/>
      <c r="JT380" s="15"/>
      <c r="JU380" s="15"/>
      <c r="JV380" s="15"/>
      <c r="JW380" s="10"/>
      <c r="JX380" s="10"/>
      <c r="JY380" s="21"/>
      <c r="JZ380" s="21"/>
      <c r="KC380" s="21"/>
      <c r="KD380" s="15"/>
      <c r="KE380" s="15"/>
      <c r="KF380" s="15"/>
      <c r="KG380" s="15"/>
      <c r="KH380" s="15"/>
      <c r="KI380" s="15"/>
      <c r="KJ380" s="15"/>
      <c r="KK380" s="15"/>
      <c r="KL380" s="15"/>
      <c r="KM380" s="15"/>
      <c r="KN380" s="10"/>
      <c r="KO380" s="10"/>
      <c r="KP380" s="21"/>
      <c r="KQ380" s="21"/>
      <c r="KT380" s="21"/>
      <c r="KU380" s="15"/>
      <c r="KV380" s="15"/>
      <c r="KW380" s="15"/>
      <c r="KX380" s="15"/>
      <c r="KY380" s="15"/>
      <c r="KZ380" s="15"/>
      <c r="LA380" s="15"/>
      <c r="LB380" s="15"/>
      <c r="LC380" s="15"/>
      <c r="LD380" s="15"/>
      <c r="LE380" s="10"/>
      <c r="LF380" s="10"/>
      <c r="LG380" s="21"/>
      <c r="LH380" s="21"/>
      <c r="LK380" s="21"/>
      <c r="LL380" s="15"/>
      <c r="LM380" s="15"/>
      <c r="LN380" s="15"/>
      <c r="LO380" s="15"/>
      <c r="LP380" s="15"/>
      <c r="LQ380" s="15"/>
      <c r="LR380" s="15"/>
      <c r="LS380" s="15"/>
      <c r="LT380" s="15"/>
      <c r="LU380" s="15"/>
      <c r="LV380" s="10"/>
      <c r="LW380" s="10"/>
      <c r="LX380" s="21"/>
      <c r="LY380" s="21"/>
      <c r="MB380" s="21"/>
      <c r="MC380" s="15"/>
      <c r="MD380" s="15"/>
      <c r="ME380" s="15"/>
      <c r="MF380" s="15"/>
      <c r="MG380" s="15"/>
      <c r="MH380" s="15"/>
      <c r="MI380" s="15"/>
      <c r="MJ380" s="15"/>
      <c r="MK380" s="15"/>
      <c r="ML380" s="15"/>
      <c r="MM380" s="10"/>
      <c r="MN380" s="10"/>
      <c r="MO380" s="21"/>
      <c r="MP380" s="21"/>
      <c r="MS380" s="21"/>
      <c r="MT380" s="15"/>
      <c r="MU380" s="15"/>
      <c r="MV380" s="15"/>
      <c r="MW380" s="15"/>
      <c r="MX380" s="15"/>
      <c r="MY380" s="15"/>
      <c r="MZ380" s="15"/>
      <c r="NA380" s="15"/>
      <c r="NB380" s="15"/>
      <c r="NC380" s="15"/>
      <c r="ND380" s="10"/>
      <c r="NE380" s="10"/>
      <c r="NF380" s="21"/>
      <c r="NG380" s="21"/>
      <c r="NJ380" s="21"/>
      <c r="NK380" s="15"/>
      <c r="NL380" s="15"/>
      <c r="NM380" s="15"/>
      <c r="NN380" s="15"/>
      <c r="NO380" s="15"/>
      <c r="NP380" s="15"/>
      <c r="NQ380" s="15"/>
      <c r="NR380" s="15"/>
      <c r="NS380" s="15"/>
      <c r="NT380" s="15"/>
      <c r="NU380" s="10"/>
      <c r="NV380" s="10"/>
      <c r="NW380" s="21"/>
      <c r="NX380" s="21"/>
      <c r="OA380" s="21"/>
      <c r="OB380" s="15"/>
      <c r="OC380" s="15"/>
      <c r="OD380" s="15"/>
      <c r="OE380" s="15"/>
      <c r="OF380" s="15"/>
      <c r="OG380" s="15"/>
      <c r="OH380" s="15"/>
      <c r="OI380" s="15"/>
      <c r="OJ380" s="15"/>
      <c r="OK380" s="15"/>
      <c r="OL380" s="10"/>
      <c r="OM380" s="10"/>
      <c r="ON380" s="21"/>
      <c r="OO380" s="21"/>
      <c r="OR380" s="21"/>
      <c r="OS380" s="15"/>
      <c r="OT380" s="15"/>
      <c r="OU380" s="15"/>
      <c r="OV380" s="15"/>
      <c r="OW380" s="15"/>
      <c r="OX380" s="15"/>
      <c r="OY380" s="15"/>
      <c r="OZ380" s="15"/>
      <c r="PA380" s="15"/>
      <c r="PB380" s="15"/>
      <c r="PC380" s="10"/>
      <c r="PD380" s="10"/>
      <c r="PE380" s="21"/>
      <c r="PF380" s="21"/>
      <c r="PI380" s="21"/>
      <c r="PJ380" s="15"/>
      <c r="PK380" s="15"/>
      <c r="PL380" s="15"/>
      <c r="PM380" s="15"/>
      <c r="PN380" s="15"/>
      <c r="PO380" s="15"/>
      <c r="PP380" s="15"/>
      <c r="PQ380" s="15"/>
      <c r="PR380" s="15"/>
      <c r="PS380" s="15"/>
      <c r="PT380" s="10"/>
      <c r="PU380" s="10"/>
      <c r="PV380" s="21"/>
      <c r="PW380" s="21"/>
      <c r="PZ380" s="21"/>
      <c r="QA380" s="15"/>
      <c r="QB380" s="15"/>
      <c r="QC380" s="15"/>
      <c r="QD380" s="15"/>
      <c r="QE380" s="15"/>
      <c r="QF380" s="15"/>
      <c r="QG380" s="15"/>
      <c r="QH380" s="15"/>
      <c r="QI380" s="15"/>
      <c r="QJ380" s="15"/>
      <c r="QK380" s="10"/>
      <c r="QL380" s="10"/>
      <c r="QM380" s="21"/>
      <c r="QN380" s="21"/>
      <c r="QQ380" s="21"/>
      <c r="QR380" s="15"/>
      <c r="QS380" s="15"/>
      <c r="QT380" s="15"/>
      <c r="QU380" s="15"/>
      <c r="QV380" s="15"/>
      <c r="QW380" s="15"/>
      <c r="QX380" s="15"/>
      <c r="QY380" s="15"/>
      <c r="QZ380" s="15"/>
      <c r="RA380" s="15"/>
      <c r="RB380" s="10"/>
      <c r="RC380" s="10"/>
      <c r="RD380" s="21"/>
      <c r="RE380" s="21"/>
      <c r="RH380" s="21"/>
      <c r="RI380" s="15"/>
      <c r="RJ380" s="15"/>
      <c r="RK380" s="15"/>
      <c r="RL380" s="15"/>
      <c r="RM380" s="15"/>
      <c r="RN380" s="15"/>
      <c r="RO380" s="15"/>
      <c r="RP380" s="15"/>
      <c r="RQ380" s="15"/>
      <c r="RR380" s="15"/>
      <c r="RS380" s="10"/>
      <c r="RT380" s="10"/>
      <c r="RU380" s="21"/>
      <c r="RV380" s="21"/>
      <c r="RY380" s="21"/>
      <c r="RZ380" s="15"/>
      <c r="SA380" s="15"/>
      <c r="SB380" s="15"/>
      <c r="SC380" s="15"/>
      <c r="SD380" s="15"/>
      <c r="SE380" s="15"/>
      <c r="SF380" s="15"/>
      <c r="SG380" s="15"/>
      <c r="SH380" s="15"/>
      <c r="SI380" s="15"/>
      <c r="SJ380" s="10"/>
      <c r="SK380" s="10"/>
      <c r="SL380" s="21"/>
      <c r="SM380" s="21"/>
      <c r="SP380" s="21"/>
      <c r="SQ380" s="15"/>
      <c r="SR380" s="15"/>
      <c r="SS380" s="15"/>
      <c r="ST380" s="15"/>
      <c r="SU380" s="15"/>
      <c r="SV380" s="15"/>
      <c r="SW380" s="15"/>
      <c r="SX380" s="15"/>
      <c r="SY380" s="15"/>
      <c r="SZ380" s="15"/>
      <c r="TA380" s="10"/>
      <c r="TB380" s="10"/>
      <c r="TC380" s="21"/>
      <c r="TD380" s="21"/>
      <c r="TG380" s="21"/>
      <c r="TH380" s="15"/>
      <c r="TI380" s="15"/>
      <c r="TJ380" s="15"/>
      <c r="TK380" s="15"/>
      <c r="TL380" s="15"/>
      <c r="TM380" s="15"/>
      <c r="TN380" s="15"/>
      <c r="TO380" s="15"/>
      <c r="TP380" s="15"/>
      <c r="TQ380" s="15"/>
      <c r="TR380" s="10"/>
      <c r="TS380" s="10"/>
      <c r="TT380" s="21"/>
      <c r="TU380" s="21"/>
      <c r="TX380" s="21"/>
      <c r="TY380" s="15"/>
      <c r="TZ380" s="15"/>
      <c r="UA380" s="15"/>
      <c r="UB380" s="15"/>
      <c r="UC380" s="15"/>
      <c r="UD380" s="15"/>
      <c r="UE380" s="15"/>
      <c r="UF380" s="15"/>
      <c r="UG380" s="15"/>
      <c r="UH380" s="15"/>
      <c r="UI380" s="10"/>
      <c r="UJ380" s="10"/>
      <c r="UK380" s="21"/>
      <c r="UL380" s="21"/>
      <c r="UO380" s="21"/>
      <c r="UP380" s="15"/>
      <c r="UQ380" s="15"/>
      <c r="UR380" s="15"/>
      <c r="US380" s="15"/>
      <c r="UT380" s="15"/>
      <c r="UU380" s="15"/>
      <c r="UV380" s="15"/>
      <c r="UW380" s="15"/>
      <c r="UX380" s="15"/>
      <c r="UY380" s="15"/>
      <c r="UZ380" s="10"/>
      <c r="VA380" s="10"/>
      <c r="VB380" s="21"/>
      <c r="VC380" s="21"/>
      <c r="VF380" s="21"/>
      <c r="VG380" s="15"/>
      <c r="VH380" s="15"/>
      <c r="VI380" s="15"/>
      <c r="VJ380" s="15"/>
      <c r="VK380" s="15"/>
      <c r="VL380" s="15"/>
      <c r="VM380" s="15"/>
      <c r="VN380" s="15"/>
      <c r="VO380" s="15"/>
      <c r="VP380" s="15"/>
      <c r="VQ380" s="10"/>
      <c r="VR380" s="10"/>
      <c r="VS380" s="21"/>
      <c r="VT380" s="21"/>
      <c r="VW380" s="21"/>
      <c r="VX380" s="15"/>
      <c r="VY380" s="15"/>
      <c r="VZ380" s="15"/>
      <c r="WA380" s="15"/>
      <c r="WB380" s="15"/>
      <c r="WC380" s="15"/>
      <c r="WD380" s="15"/>
      <c r="WE380" s="15"/>
      <c r="WF380" s="15"/>
      <c r="WG380" s="15"/>
      <c r="WH380" s="10"/>
      <c r="WI380" s="10"/>
      <c r="WJ380" s="21"/>
      <c r="WK380" s="21"/>
      <c r="WN380" s="21"/>
      <c r="WO380" s="15"/>
      <c r="WP380" s="15"/>
      <c r="WQ380" s="15"/>
      <c r="WR380" s="15"/>
      <c r="WS380" s="15"/>
      <c r="WT380" s="15"/>
      <c r="WU380" s="15"/>
      <c r="WV380" s="15"/>
      <c r="WW380" s="15"/>
      <c r="WX380" s="15"/>
      <c r="WY380" s="10"/>
      <c r="WZ380" s="10"/>
      <c r="XA380" s="21"/>
      <c r="XB380" s="21"/>
      <c r="XE380" s="21"/>
      <c r="XF380" s="15"/>
      <c r="XG380" s="15"/>
      <c r="XH380" s="15"/>
      <c r="XI380" s="15"/>
      <c r="XJ380" s="15"/>
      <c r="XK380" s="15"/>
      <c r="XL380" s="15"/>
      <c r="XM380" s="15"/>
      <c r="XN380" s="15"/>
      <c r="XO380" s="15"/>
      <c r="XP380" s="10"/>
      <c r="XQ380" s="10"/>
      <c r="XR380" s="21"/>
      <c r="XS380" s="21"/>
      <c r="XV380" s="21"/>
      <c r="XW380" s="15"/>
      <c r="XX380" s="15"/>
      <c r="XY380" s="15"/>
      <c r="XZ380" s="15"/>
      <c r="YA380" s="15"/>
      <c r="YB380" s="15"/>
      <c r="YC380" s="15"/>
      <c r="YD380" s="15"/>
      <c r="YE380" s="15"/>
      <c r="YF380" s="15"/>
      <c r="YG380" s="10"/>
      <c r="YH380" s="10"/>
      <c r="YI380" s="21"/>
      <c r="YJ380" s="21"/>
      <c r="YM380" s="21"/>
      <c r="YN380" s="15"/>
      <c r="YO380" s="15"/>
      <c r="YP380" s="15"/>
      <c r="YQ380" s="15"/>
      <c r="YR380" s="15"/>
      <c r="YS380" s="15"/>
      <c r="YT380" s="15"/>
      <c r="YU380" s="15"/>
      <c r="YV380" s="15"/>
      <c r="YW380" s="15"/>
      <c r="YX380" s="10"/>
      <c r="YY380" s="10"/>
      <c r="YZ380" s="21"/>
      <c r="ZA380" s="21"/>
      <c r="ZD380" s="21"/>
      <c r="ZE380" s="15"/>
      <c r="ZF380" s="15"/>
      <c r="ZG380" s="15"/>
      <c r="ZH380" s="15"/>
      <c r="ZI380" s="15"/>
      <c r="ZJ380" s="15"/>
      <c r="ZK380" s="15"/>
      <c r="ZL380" s="15"/>
      <c r="ZM380" s="15"/>
      <c r="ZN380" s="15"/>
      <c r="ZO380" s="10"/>
      <c r="ZP380" s="10"/>
      <c r="ZQ380" s="21"/>
      <c r="ZR380" s="21"/>
      <c r="ZU380" s="21"/>
      <c r="ZV380" s="15"/>
      <c r="ZW380" s="15"/>
      <c r="ZX380" s="15"/>
      <c r="ZY380" s="15"/>
      <c r="ZZ380" s="15"/>
      <c r="AAA380" s="15"/>
      <c r="AAB380" s="15"/>
      <c r="AAC380" s="15"/>
      <c r="AAD380" s="15"/>
      <c r="AAE380" s="15"/>
      <c r="AAF380" s="10"/>
      <c r="AAG380" s="10"/>
      <c r="AAH380" s="21"/>
      <c r="AAI380" s="21"/>
      <c r="AAL380" s="21"/>
      <c r="AAM380" s="15"/>
      <c r="AAN380" s="15"/>
      <c r="AAO380" s="15"/>
      <c r="AAP380" s="15"/>
      <c r="AAQ380" s="15"/>
      <c r="AAR380" s="15"/>
      <c r="AAS380" s="15"/>
      <c r="AAT380" s="15"/>
      <c r="AAU380" s="15"/>
      <c r="AAV380" s="15"/>
      <c r="AAW380" s="10"/>
      <c r="AAX380" s="10"/>
      <c r="AAY380" s="21"/>
      <c r="AAZ380" s="21"/>
      <c r="ABC380" s="21"/>
      <c r="ABD380" s="15"/>
      <c r="ABE380" s="15"/>
      <c r="ABF380" s="15"/>
      <c r="ABG380" s="15"/>
      <c r="ABH380" s="15"/>
      <c r="ABI380" s="15"/>
      <c r="ABJ380" s="15"/>
      <c r="ABK380" s="15"/>
      <c r="ABL380" s="15"/>
      <c r="ABM380" s="15"/>
      <c r="ABN380" s="10"/>
      <c r="ABO380" s="10"/>
      <c r="ABP380" s="21"/>
      <c r="ABQ380" s="21"/>
      <c r="ABT380" s="21"/>
      <c r="ABU380" s="15"/>
      <c r="ABV380" s="15"/>
      <c r="ABW380" s="15"/>
      <c r="ABX380" s="15"/>
      <c r="ABY380" s="15"/>
      <c r="ABZ380" s="15"/>
      <c r="ACA380" s="15"/>
      <c r="ACB380" s="15"/>
      <c r="ACC380" s="15"/>
      <c r="ACD380" s="15"/>
      <c r="ACE380" s="10"/>
      <c r="ACF380" s="10"/>
      <c r="ACG380" s="21"/>
      <c r="ACH380" s="21"/>
      <c r="ACK380" s="21"/>
      <c r="ACL380" s="15"/>
      <c r="ACM380" s="15"/>
      <c r="ACN380" s="15"/>
      <c r="ACO380" s="15"/>
      <c r="ACP380" s="15"/>
      <c r="ACQ380" s="15"/>
      <c r="ACR380" s="15"/>
      <c r="ACS380" s="15"/>
      <c r="ACT380" s="15"/>
      <c r="ACU380" s="15"/>
      <c r="ACV380" s="10"/>
      <c r="ACW380" s="10"/>
      <c r="ACX380" s="21"/>
      <c r="ACY380" s="21"/>
      <c r="ADB380" s="21"/>
      <c r="ADC380" s="15"/>
      <c r="ADD380" s="15"/>
      <c r="ADE380" s="15"/>
      <c r="ADF380" s="15"/>
      <c r="ADG380" s="15"/>
      <c r="ADH380" s="15"/>
      <c r="ADI380" s="15"/>
      <c r="ADJ380" s="15"/>
      <c r="ADK380" s="15"/>
      <c r="ADL380" s="15"/>
      <c r="ADM380" s="10"/>
      <c r="ADN380" s="10"/>
      <c r="ADO380" s="21"/>
      <c r="ADP380" s="21"/>
      <c r="ADS380" s="21"/>
      <c r="ADT380" s="15"/>
      <c r="ADU380" s="15"/>
      <c r="ADV380" s="15"/>
      <c r="ADW380" s="15"/>
      <c r="ADX380" s="15"/>
      <c r="ADY380" s="15"/>
      <c r="ADZ380" s="15"/>
      <c r="AEA380" s="15"/>
      <c r="AEB380" s="15"/>
      <c r="AEC380" s="15"/>
      <c r="AED380" s="10"/>
      <c r="AEE380" s="10"/>
      <c r="AEF380" s="21"/>
      <c r="AEG380" s="21"/>
      <c r="AEJ380" s="21"/>
      <c r="AEK380" s="15"/>
      <c r="AEL380" s="15"/>
      <c r="AEM380" s="15"/>
      <c r="AEN380" s="15"/>
      <c r="AEO380" s="15"/>
      <c r="AEP380" s="15"/>
      <c r="AEQ380" s="15"/>
      <c r="AER380" s="15"/>
      <c r="AES380" s="15"/>
      <c r="AET380" s="15"/>
      <c r="AEU380" s="10"/>
      <c r="AEV380" s="10"/>
      <c r="AEW380" s="21"/>
      <c r="AEX380" s="21"/>
      <c r="AFA380" s="21"/>
      <c r="AFB380" s="15"/>
      <c r="AFC380" s="15"/>
      <c r="AFD380" s="15"/>
      <c r="AFE380" s="15"/>
      <c r="AFF380" s="15"/>
      <c r="AFG380" s="15"/>
      <c r="AFH380" s="15"/>
      <c r="AFI380" s="15"/>
      <c r="AFJ380" s="15"/>
      <c r="AFK380" s="15"/>
      <c r="AFL380" s="10"/>
      <c r="AFM380" s="10"/>
      <c r="AFN380" s="21"/>
      <c r="AFO380" s="21"/>
      <c r="AFR380" s="21"/>
      <c r="AFS380" s="15"/>
      <c r="AFT380" s="15"/>
      <c r="AFU380" s="15"/>
      <c r="AFV380" s="15"/>
      <c r="AFW380" s="15"/>
      <c r="AFX380" s="15"/>
      <c r="AFY380" s="15"/>
      <c r="AFZ380" s="15"/>
      <c r="AGA380" s="15"/>
      <c r="AGB380" s="15"/>
      <c r="AGC380" s="10"/>
      <c r="AGD380" s="10"/>
      <c r="AGE380" s="21"/>
      <c r="AGF380" s="21"/>
      <c r="AGI380" s="21"/>
      <c r="AGJ380" s="15"/>
      <c r="AGK380" s="15"/>
      <c r="AGL380" s="15"/>
      <c r="AGM380" s="15"/>
      <c r="AGN380" s="15"/>
      <c r="AGO380" s="15"/>
      <c r="AGP380" s="15"/>
      <c r="AGQ380" s="15"/>
      <c r="AGR380" s="15"/>
      <c r="AGS380" s="15"/>
      <c r="AGT380" s="10"/>
      <c r="AGU380" s="10"/>
      <c r="AGV380" s="21"/>
      <c r="AGW380" s="21"/>
      <c r="AGZ380" s="21"/>
      <c r="AHA380" s="15"/>
      <c r="AHB380" s="15"/>
      <c r="AHC380" s="15"/>
      <c r="AHD380" s="15"/>
      <c r="AHE380" s="15"/>
      <c r="AHF380" s="15"/>
      <c r="AHG380" s="15"/>
      <c r="AHH380" s="15"/>
      <c r="AHI380" s="15"/>
      <c r="AHJ380" s="15"/>
      <c r="AHK380" s="10"/>
      <c r="AHL380" s="10"/>
      <c r="AHM380" s="21"/>
      <c r="AHN380" s="21"/>
      <c r="AHQ380" s="21"/>
      <c r="AHR380" s="15"/>
      <c r="AHS380" s="15"/>
      <c r="AHT380" s="15"/>
      <c r="AHU380" s="15"/>
      <c r="AHV380" s="15"/>
      <c r="AHW380" s="15"/>
      <c r="AHX380" s="15"/>
      <c r="AHY380" s="15"/>
      <c r="AHZ380" s="15"/>
      <c r="AIA380" s="15"/>
      <c r="AIB380" s="10"/>
      <c r="AIC380" s="10"/>
      <c r="AID380" s="21"/>
      <c r="AIE380" s="21"/>
      <c r="AIH380" s="21"/>
      <c r="AII380" s="15"/>
      <c r="AIJ380" s="15"/>
      <c r="AIK380" s="15"/>
      <c r="AIL380" s="15"/>
      <c r="AIM380" s="15"/>
      <c r="AIN380" s="15"/>
      <c r="AIO380" s="15"/>
      <c r="AIP380" s="15"/>
      <c r="AIQ380" s="15"/>
      <c r="AIR380" s="15"/>
      <c r="AIS380" s="10"/>
      <c r="AIT380" s="10"/>
      <c r="AIU380" s="21"/>
      <c r="AIV380" s="21"/>
      <c r="AIY380" s="21"/>
      <c r="AIZ380" s="15"/>
      <c r="AJA380" s="15"/>
      <c r="AJB380" s="15"/>
      <c r="AJC380" s="15"/>
      <c r="AJD380" s="15"/>
      <c r="AJE380" s="15"/>
      <c r="AJF380" s="15"/>
      <c r="AJG380" s="15"/>
      <c r="AJH380" s="15"/>
      <c r="AJI380" s="15"/>
      <c r="AJJ380" s="10"/>
      <c r="AJK380" s="10"/>
      <c r="AJL380" s="21"/>
      <c r="AJM380" s="21"/>
      <c r="AJP380" s="21"/>
      <c r="AJQ380" s="15"/>
      <c r="AJR380" s="15"/>
      <c r="AJS380" s="15"/>
      <c r="AJT380" s="15"/>
      <c r="AJU380" s="15"/>
      <c r="AJV380" s="15"/>
      <c r="AJW380" s="15"/>
      <c r="AJX380" s="15"/>
      <c r="AJY380" s="15"/>
      <c r="AJZ380" s="15"/>
      <c r="AKA380" s="10"/>
      <c r="AKB380" s="10"/>
      <c r="AKC380" s="21"/>
      <c r="AKD380" s="21"/>
      <c r="AKG380" s="21"/>
      <c r="AKH380" s="15"/>
      <c r="AKI380" s="15"/>
      <c r="AKJ380" s="15"/>
      <c r="AKK380" s="15"/>
      <c r="AKL380" s="15"/>
      <c r="AKM380" s="15"/>
      <c r="AKN380" s="15"/>
      <c r="AKO380" s="15"/>
      <c r="AKP380" s="15"/>
      <c r="AKQ380" s="15"/>
      <c r="AKR380" s="10"/>
      <c r="AKS380" s="10"/>
      <c r="AKT380" s="21"/>
      <c r="AKU380" s="21"/>
      <c r="AKX380" s="21"/>
      <c r="AKY380" s="15"/>
      <c r="AKZ380" s="15"/>
      <c r="ALA380" s="15"/>
      <c r="ALB380" s="15"/>
      <c r="ALC380" s="15"/>
      <c r="ALD380" s="15"/>
      <c r="ALE380" s="15"/>
      <c r="ALF380" s="15"/>
      <c r="ALG380" s="15"/>
      <c r="ALH380" s="15"/>
      <c r="ALI380" s="10"/>
      <c r="ALJ380" s="10"/>
      <c r="ALK380" s="21"/>
      <c r="ALL380" s="21"/>
      <c r="ALO380" s="21"/>
      <c r="ALP380" s="15"/>
      <c r="ALQ380" s="15"/>
      <c r="ALR380" s="15"/>
      <c r="ALS380" s="15"/>
      <c r="ALT380" s="15"/>
      <c r="ALU380" s="15"/>
      <c r="ALV380" s="15"/>
      <c r="ALW380" s="15"/>
      <c r="ALX380" s="15"/>
      <c r="ALY380" s="15"/>
      <c r="ALZ380" s="10"/>
      <c r="AMA380" s="10"/>
      <c r="AMB380" s="21"/>
      <c r="AMC380" s="21"/>
      <c r="AMF380" s="21"/>
      <c r="AMG380" s="15"/>
      <c r="AMH380" s="15"/>
      <c r="AMI380" s="15"/>
      <c r="AMJ380" s="15"/>
      <c r="AMK380" s="15"/>
      <c r="AML380" s="15"/>
      <c r="AMM380" s="15"/>
      <c r="AMN380" s="15"/>
      <c r="AMO380" s="15"/>
      <c r="AMP380" s="15"/>
      <c r="AMQ380" s="10"/>
      <c r="AMR380" s="10"/>
      <c r="AMS380" s="21"/>
      <c r="AMT380" s="21"/>
      <c r="AMW380" s="21"/>
      <c r="AMX380" s="15"/>
      <c r="AMY380" s="15"/>
      <c r="AMZ380" s="15"/>
      <c r="ANA380" s="15"/>
      <c r="ANB380" s="15"/>
      <c r="ANC380" s="15"/>
      <c r="AND380" s="15"/>
      <c r="ANE380" s="15"/>
      <c r="ANF380" s="15"/>
      <c r="ANG380" s="15"/>
      <c r="ANH380" s="10"/>
      <c r="ANI380" s="10"/>
      <c r="ANJ380" s="21"/>
      <c r="ANK380" s="21"/>
      <c r="ANN380" s="21"/>
      <c r="ANO380" s="15"/>
      <c r="ANP380" s="15"/>
      <c r="ANQ380" s="15"/>
      <c r="ANR380" s="15"/>
      <c r="ANS380" s="15"/>
      <c r="ANT380" s="15"/>
      <c r="ANU380" s="15"/>
      <c r="ANV380" s="15"/>
      <c r="ANW380" s="15"/>
      <c r="ANX380" s="15"/>
      <c r="ANY380" s="10"/>
      <c r="ANZ380" s="10"/>
      <c r="AOA380" s="21"/>
      <c r="AOB380" s="21"/>
      <c r="AOE380" s="21"/>
      <c r="AOF380" s="15"/>
      <c r="AOG380" s="15"/>
      <c r="AOH380" s="15"/>
      <c r="AOI380" s="15"/>
      <c r="AOJ380" s="15"/>
      <c r="AOK380" s="15"/>
      <c r="AOL380" s="15"/>
      <c r="AOM380" s="15"/>
      <c r="AON380" s="15"/>
      <c r="AOO380" s="15"/>
      <c r="AOP380" s="10"/>
      <c r="AOQ380" s="10"/>
      <c r="AOR380" s="21"/>
      <c r="AOS380" s="21"/>
      <c r="AOV380" s="21"/>
      <c r="AOW380" s="15"/>
      <c r="AOX380" s="15"/>
      <c r="AOY380" s="15"/>
      <c r="AOZ380" s="15"/>
      <c r="APA380" s="15"/>
      <c r="APB380" s="15"/>
      <c r="APC380" s="15"/>
      <c r="APD380" s="15"/>
      <c r="APE380" s="15"/>
      <c r="APF380" s="15"/>
      <c r="APG380" s="10"/>
      <c r="APH380" s="10"/>
      <c r="API380" s="21"/>
      <c r="APJ380" s="21"/>
      <c r="APM380" s="21"/>
      <c r="APN380" s="15"/>
      <c r="APO380" s="15"/>
      <c r="APP380" s="15"/>
      <c r="APQ380" s="15"/>
      <c r="APR380" s="15"/>
      <c r="APS380" s="15"/>
      <c r="APT380" s="15"/>
      <c r="APU380" s="15"/>
      <c r="APV380" s="15"/>
      <c r="APW380" s="15"/>
      <c r="APX380" s="10"/>
      <c r="APY380" s="10"/>
      <c r="APZ380" s="21"/>
      <c r="AQA380" s="21"/>
      <c r="AQD380" s="21"/>
      <c r="AQE380" s="15"/>
      <c r="AQF380" s="15"/>
      <c r="AQG380" s="15"/>
      <c r="AQH380" s="15"/>
      <c r="AQI380" s="15"/>
      <c r="AQJ380" s="15"/>
      <c r="AQK380" s="15"/>
      <c r="AQL380" s="15"/>
      <c r="AQM380" s="15"/>
      <c r="AQN380" s="15"/>
      <c r="AQO380" s="10"/>
      <c r="AQP380" s="10"/>
      <c r="AQQ380" s="21"/>
      <c r="AQR380" s="21"/>
      <c r="AQU380" s="21"/>
      <c r="AQV380" s="15"/>
      <c r="AQW380" s="15"/>
      <c r="AQX380" s="15"/>
      <c r="AQY380" s="15"/>
      <c r="AQZ380" s="15"/>
      <c r="ARA380" s="15"/>
      <c r="ARB380" s="15"/>
      <c r="ARC380" s="15"/>
      <c r="ARD380" s="15"/>
      <c r="ARE380" s="15"/>
      <c r="ARF380" s="10"/>
      <c r="ARG380" s="10"/>
      <c r="ARH380" s="21"/>
      <c r="ARI380" s="21"/>
      <c r="ARL380" s="21"/>
      <c r="ARM380" s="15"/>
      <c r="ARN380" s="15"/>
      <c r="ARO380" s="15"/>
      <c r="ARP380" s="15"/>
      <c r="ARQ380" s="15"/>
      <c r="ARR380" s="15"/>
      <c r="ARS380" s="15"/>
      <c r="ART380" s="15"/>
      <c r="ARU380" s="15"/>
      <c r="ARV380" s="15"/>
      <c r="ARW380" s="10"/>
      <c r="ARX380" s="10"/>
      <c r="ARY380" s="21"/>
      <c r="ARZ380" s="21"/>
      <c r="ASC380" s="21"/>
      <c r="ASD380" s="15"/>
      <c r="ASE380" s="15"/>
      <c r="ASF380" s="15"/>
      <c r="ASG380" s="15"/>
      <c r="ASH380" s="15"/>
      <c r="ASI380" s="15"/>
      <c r="ASJ380" s="15"/>
      <c r="ASK380" s="15"/>
      <c r="ASL380" s="15"/>
      <c r="ASM380" s="15"/>
      <c r="ASN380" s="10"/>
      <c r="ASO380" s="10"/>
      <c r="ASP380" s="21"/>
      <c r="ASQ380" s="21"/>
      <c r="AST380" s="21"/>
      <c r="ASU380" s="15"/>
      <c r="ASV380" s="15"/>
      <c r="ASW380" s="15"/>
      <c r="ASX380" s="15"/>
      <c r="ASY380" s="15"/>
      <c r="ASZ380" s="15"/>
      <c r="ATA380" s="15"/>
      <c r="ATB380" s="15"/>
      <c r="ATC380" s="15"/>
      <c r="ATD380" s="15"/>
      <c r="ATE380" s="10"/>
      <c r="ATF380" s="10"/>
      <c r="ATG380" s="21"/>
      <c r="ATH380" s="21"/>
      <c r="ATK380" s="21"/>
      <c r="ATL380" s="15"/>
      <c r="ATM380" s="15"/>
      <c r="ATN380" s="15"/>
      <c r="ATO380" s="15"/>
      <c r="ATP380" s="15"/>
      <c r="ATQ380" s="15"/>
      <c r="ATR380" s="15"/>
      <c r="ATS380" s="15"/>
      <c r="ATT380" s="15"/>
      <c r="ATU380" s="15"/>
      <c r="ATV380" s="10"/>
      <c r="ATW380" s="10"/>
      <c r="ATX380" s="21"/>
      <c r="ATY380" s="21"/>
      <c r="AUB380" s="21"/>
      <c r="AUC380" s="15"/>
      <c r="AUD380" s="15"/>
      <c r="AUE380" s="15"/>
      <c r="AUF380" s="15"/>
      <c r="AUG380" s="15"/>
      <c r="AUH380" s="15"/>
      <c r="AUI380" s="15"/>
      <c r="AUJ380" s="15"/>
      <c r="AUK380" s="15"/>
      <c r="AUL380" s="15"/>
      <c r="AUM380" s="10"/>
      <c r="AUN380" s="10"/>
      <c r="AUO380" s="21"/>
      <c r="AUP380" s="21"/>
      <c r="AUS380" s="21"/>
      <c r="AUT380" s="15"/>
      <c r="AUU380" s="15"/>
      <c r="AUV380" s="15"/>
      <c r="AUW380" s="15"/>
      <c r="AUX380" s="15"/>
      <c r="AUY380" s="15"/>
      <c r="AUZ380" s="15"/>
      <c r="AVA380" s="15"/>
      <c r="AVB380" s="15"/>
      <c r="AVC380" s="15"/>
      <c r="AVD380" s="10"/>
      <c r="AVE380" s="10"/>
      <c r="AVF380" s="21"/>
      <c r="AVG380" s="21"/>
      <c r="AVJ380" s="21"/>
      <c r="AVK380" s="15"/>
      <c r="AVL380" s="15"/>
      <c r="AVM380" s="15"/>
      <c r="AVN380" s="15"/>
      <c r="AVO380" s="15"/>
      <c r="AVP380" s="15"/>
      <c r="AVQ380" s="15"/>
      <c r="AVR380" s="15"/>
      <c r="AVS380" s="15"/>
      <c r="AVT380" s="15"/>
      <c r="AVU380" s="10"/>
      <c r="AVV380" s="10"/>
      <c r="AVW380" s="21"/>
      <c r="AVX380" s="21"/>
      <c r="AWA380" s="21"/>
      <c r="AWB380" s="15"/>
      <c r="AWC380" s="15"/>
      <c r="AWD380" s="15"/>
      <c r="AWE380" s="15"/>
      <c r="AWF380" s="15"/>
      <c r="AWG380" s="15"/>
      <c r="AWH380" s="15"/>
      <c r="AWI380" s="15"/>
      <c r="AWJ380" s="15"/>
      <c r="AWK380" s="15"/>
      <c r="AWL380" s="10"/>
      <c r="AWM380" s="10"/>
      <c r="AWN380" s="21"/>
      <c r="AWO380" s="21"/>
      <c r="AWR380" s="21"/>
      <c r="AWS380" s="15"/>
      <c r="AWT380" s="15"/>
      <c r="AWU380" s="15"/>
      <c r="AWV380" s="15"/>
      <c r="AWW380" s="15"/>
      <c r="AWX380" s="15"/>
      <c r="AWY380" s="15"/>
      <c r="AWZ380" s="15"/>
      <c r="AXA380" s="15"/>
      <c r="AXB380" s="15"/>
      <c r="AXC380" s="10"/>
      <c r="AXD380" s="10"/>
      <c r="AXE380" s="21"/>
      <c r="AXF380" s="21"/>
      <c r="AXI380" s="21"/>
      <c r="AXJ380" s="15"/>
      <c r="AXK380" s="15"/>
      <c r="AXL380" s="15"/>
      <c r="AXM380" s="15"/>
      <c r="AXN380" s="15"/>
      <c r="AXO380" s="15"/>
      <c r="AXP380" s="15"/>
      <c r="AXQ380" s="15"/>
      <c r="AXR380" s="15"/>
      <c r="AXS380" s="15"/>
      <c r="AXT380" s="10"/>
      <c r="AXU380" s="10"/>
      <c r="AXV380" s="21"/>
      <c r="AXW380" s="21"/>
      <c r="AXZ380" s="21"/>
      <c r="AYA380" s="15"/>
      <c r="AYB380" s="15"/>
      <c r="AYC380" s="15"/>
      <c r="AYD380" s="15"/>
      <c r="AYE380" s="15"/>
      <c r="AYF380" s="15"/>
      <c r="AYG380" s="15"/>
      <c r="AYH380" s="15"/>
      <c r="AYI380" s="15"/>
      <c r="AYJ380" s="15"/>
      <c r="AYK380" s="10"/>
      <c r="AYL380" s="10"/>
      <c r="AYM380" s="21"/>
      <c r="AYN380" s="21"/>
      <c r="AYQ380" s="21"/>
      <c r="AYR380" s="15"/>
      <c r="AYS380" s="15"/>
      <c r="AYT380" s="15"/>
      <c r="AYU380" s="15"/>
      <c r="AYV380" s="15"/>
      <c r="AYW380" s="15"/>
      <c r="AYX380" s="15"/>
      <c r="AYY380" s="15"/>
      <c r="AYZ380" s="15"/>
      <c r="AZA380" s="15"/>
      <c r="AZB380" s="10"/>
      <c r="AZC380" s="10"/>
      <c r="AZD380" s="21"/>
      <c r="AZE380" s="21"/>
      <c r="AZH380" s="21"/>
      <c r="AZI380" s="15"/>
      <c r="AZJ380" s="15"/>
      <c r="AZK380" s="15"/>
      <c r="AZL380" s="15"/>
      <c r="AZM380" s="15"/>
      <c r="AZN380" s="15"/>
      <c r="AZO380" s="15"/>
      <c r="AZP380" s="15"/>
      <c r="AZQ380" s="15"/>
      <c r="AZR380" s="15"/>
      <c r="AZS380" s="10"/>
      <c r="AZT380" s="10"/>
      <c r="AZU380" s="21"/>
      <c r="AZV380" s="21"/>
      <c r="AZY380" s="21"/>
      <c r="AZZ380" s="15"/>
      <c r="BAA380" s="15"/>
      <c r="BAB380" s="15"/>
      <c r="BAC380" s="15"/>
      <c r="BAD380" s="15"/>
      <c r="BAE380" s="15"/>
      <c r="BAF380" s="15"/>
      <c r="BAG380" s="15"/>
      <c r="BAH380" s="15"/>
      <c r="BAI380" s="15"/>
      <c r="BAJ380" s="10"/>
      <c r="BAK380" s="10"/>
      <c r="BAL380" s="21"/>
      <c r="BAM380" s="21"/>
      <c r="BAP380" s="21"/>
      <c r="BAQ380" s="15"/>
      <c r="BAR380" s="15"/>
      <c r="BAS380" s="15"/>
      <c r="BAT380" s="15"/>
      <c r="BAU380" s="15"/>
      <c r="BAV380" s="15"/>
      <c r="BAW380" s="15"/>
      <c r="BAX380" s="15"/>
      <c r="BAY380" s="15"/>
      <c r="BAZ380" s="15"/>
      <c r="BBA380" s="10"/>
      <c r="BBB380" s="10"/>
      <c r="BBC380" s="21"/>
      <c r="BBD380" s="21"/>
      <c r="BBG380" s="21"/>
      <c r="BBH380" s="15"/>
      <c r="BBI380" s="15"/>
      <c r="BBJ380" s="15"/>
      <c r="BBK380" s="15"/>
      <c r="BBL380" s="15"/>
      <c r="BBM380" s="15"/>
      <c r="BBN380" s="15"/>
      <c r="BBO380" s="15"/>
      <c r="BBP380" s="15"/>
      <c r="BBQ380" s="15"/>
      <c r="BBR380" s="10"/>
      <c r="BBS380" s="10"/>
      <c r="BBT380" s="21"/>
      <c r="BBU380" s="21"/>
      <c r="BBX380" s="21"/>
      <c r="BBY380" s="15"/>
      <c r="BBZ380" s="15"/>
      <c r="BCA380" s="15"/>
      <c r="BCB380" s="15"/>
      <c r="BCC380" s="15"/>
      <c r="BCD380" s="15"/>
      <c r="BCE380" s="15"/>
      <c r="BCF380" s="15"/>
      <c r="BCG380" s="15"/>
      <c r="BCH380" s="15"/>
      <c r="BCI380" s="10"/>
      <c r="BCJ380" s="10"/>
      <c r="BCK380" s="21"/>
      <c r="BCL380" s="21"/>
      <c r="BCO380" s="21"/>
      <c r="BCP380" s="15"/>
      <c r="BCQ380" s="15"/>
      <c r="BCR380" s="15"/>
      <c r="BCS380" s="15"/>
      <c r="BCT380" s="15"/>
      <c r="BCU380" s="15"/>
      <c r="BCV380" s="15"/>
      <c r="BCW380" s="15"/>
      <c r="BCX380" s="15"/>
      <c r="BCY380" s="15"/>
      <c r="BCZ380" s="10"/>
      <c r="BDA380" s="10"/>
      <c r="BDB380" s="21"/>
      <c r="BDC380" s="21"/>
      <c r="BDF380" s="21"/>
      <c r="BDG380" s="15"/>
      <c r="BDH380" s="15"/>
      <c r="BDI380" s="15"/>
      <c r="BDJ380" s="15"/>
      <c r="BDK380" s="15"/>
      <c r="BDL380" s="15"/>
      <c r="BDM380" s="15"/>
      <c r="BDN380" s="15"/>
      <c r="BDO380" s="15"/>
      <c r="BDP380" s="15"/>
      <c r="BDQ380" s="10"/>
      <c r="BDR380" s="10"/>
      <c r="BDS380" s="21"/>
      <c r="BDT380" s="21"/>
      <c r="BDW380" s="21"/>
      <c r="BDX380" s="15"/>
      <c r="BDY380" s="15"/>
      <c r="BDZ380" s="15"/>
      <c r="BEA380" s="15"/>
      <c r="BEB380" s="15"/>
      <c r="BEC380" s="15"/>
      <c r="BED380" s="15"/>
      <c r="BEE380" s="15"/>
      <c r="BEF380" s="15"/>
      <c r="BEG380" s="15"/>
      <c r="BEH380" s="10"/>
      <c r="BEI380" s="10"/>
      <c r="BEJ380" s="21"/>
      <c r="BEK380" s="21"/>
      <c r="BEN380" s="21"/>
      <c r="BEO380" s="15"/>
      <c r="BEP380" s="15"/>
      <c r="BEQ380" s="15"/>
      <c r="BER380" s="15"/>
      <c r="BES380" s="15"/>
      <c r="BET380" s="15"/>
      <c r="BEU380" s="15"/>
      <c r="BEV380" s="15"/>
      <c r="BEW380" s="15"/>
      <c r="BEX380" s="15"/>
      <c r="BEY380" s="10"/>
      <c r="BEZ380" s="10"/>
      <c r="BFA380" s="21"/>
      <c r="BFB380" s="21"/>
      <c r="BFE380" s="21"/>
      <c r="BFF380" s="15"/>
      <c r="BFG380" s="15"/>
      <c r="BFH380" s="15"/>
      <c r="BFI380" s="15"/>
      <c r="BFJ380" s="15"/>
      <c r="BFK380" s="15"/>
      <c r="BFL380" s="15"/>
      <c r="BFM380" s="15"/>
      <c r="BFN380" s="15"/>
      <c r="BFO380" s="15"/>
      <c r="BFP380" s="10"/>
      <c r="BFQ380" s="10"/>
      <c r="BFR380" s="21"/>
      <c r="BFS380" s="21"/>
      <c r="BFV380" s="21"/>
      <c r="BFW380" s="15"/>
      <c r="BFX380" s="15"/>
      <c r="BFY380" s="15"/>
      <c r="BFZ380" s="15"/>
      <c r="BGA380" s="15"/>
      <c r="BGB380" s="15"/>
      <c r="BGC380" s="15"/>
      <c r="BGD380" s="15"/>
      <c r="BGE380" s="15"/>
      <c r="BGF380" s="15"/>
      <c r="BGG380" s="10"/>
      <c r="BGH380" s="10"/>
      <c r="BGI380" s="21"/>
      <c r="BGJ380" s="21"/>
      <c r="BGM380" s="21"/>
      <c r="BGN380" s="15"/>
      <c r="BGO380" s="15"/>
      <c r="BGP380" s="15"/>
      <c r="BGQ380" s="15"/>
      <c r="BGR380" s="15"/>
      <c r="BGS380" s="15"/>
      <c r="BGT380" s="15"/>
      <c r="BGU380" s="15"/>
      <c r="BGV380" s="15"/>
      <c r="BGW380" s="15"/>
      <c r="BGX380" s="10"/>
      <c r="BGY380" s="10"/>
      <c r="BGZ380" s="21"/>
      <c r="BHA380" s="21"/>
      <c r="BHD380" s="21"/>
      <c r="BHE380" s="15"/>
      <c r="BHF380" s="15"/>
      <c r="BHG380" s="15"/>
      <c r="BHH380" s="15"/>
      <c r="BHI380" s="15"/>
      <c r="BHJ380" s="15"/>
      <c r="BHK380" s="15"/>
      <c r="BHL380" s="15"/>
      <c r="BHM380" s="15"/>
      <c r="BHN380" s="15"/>
      <c r="BHO380" s="10"/>
      <c r="BHP380" s="10"/>
      <c r="BHQ380" s="21"/>
      <c r="BHR380" s="21"/>
      <c r="BHU380" s="21"/>
      <c r="BHV380" s="15"/>
      <c r="BHW380" s="15"/>
      <c r="BHX380" s="15"/>
      <c r="BHY380" s="15"/>
      <c r="BHZ380" s="15"/>
      <c r="BIA380" s="15"/>
      <c r="BIB380" s="15"/>
      <c r="BIC380" s="15"/>
      <c r="BID380" s="15"/>
      <c r="BIE380" s="15"/>
      <c r="BIF380" s="10"/>
      <c r="BIG380" s="10"/>
      <c r="BIH380" s="21"/>
      <c r="BII380" s="21"/>
      <c r="BIL380" s="21"/>
      <c r="BIM380" s="15"/>
      <c r="BIN380" s="15"/>
      <c r="BIO380" s="15"/>
      <c r="BIP380" s="15"/>
      <c r="BIQ380" s="15"/>
      <c r="BIR380" s="15"/>
      <c r="BIS380" s="15"/>
      <c r="BIT380" s="15"/>
      <c r="BIU380" s="15"/>
      <c r="BIV380" s="15"/>
      <c r="BIW380" s="10"/>
      <c r="BIX380" s="10"/>
      <c r="BIY380" s="21"/>
      <c r="BIZ380" s="21"/>
      <c r="BJC380" s="21"/>
      <c r="BJD380" s="15"/>
      <c r="BJE380" s="15"/>
      <c r="BJF380" s="15"/>
      <c r="BJG380" s="15"/>
      <c r="BJH380" s="15"/>
      <c r="BJI380" s="15"/>
      <c r="BJJ380" s="15"/>
      <c r="BJK380" s="15"/>
      <c r="BJL380" s="15"/>
      <c r="BJM380" s="15"/>
      <c r="BJN380" s="10"/>
      <c r="BJO380" s="10"/>
      <c r="BJP380" s="21"/>
      <c r="BJQ380" s="21"/>
      <c r="BJT380" s="21"/>
      <c r="BJU380" s="15"/>
      <c r="BJV380" s="15"/>
      <c r="BJW380" s="15"/>
      <c r="BJX380" s="15"/>
      <c r="BJY380" s="15"/>
      <c r="BJZ380" s="15"/>
      <c r="BKA380" s="15"/>
      <c r="BKB380" s="15"/>
      <c r="BKC380" s="15"/>
      <c r="BKD380" s="15"/>
      <c r="BKE380" s="10"/>
      <c r="BKF380" s="10"/>
      <c r="BKG380" s="21"/>
      <c r="BKH380" s="21"/>
      <c r="BKK380" s="21"/>
      <c r="BKL380" s="15"/>
      <c r="BKM380" s="15"/>
      <c r="BKN380" s="15"/>
      <c r="BKO380" s="15"/>
      <c r="BKP380" s="15"/>
      <c r="BKQ380" s="15"/>
      <c r="BKR380" s="15"/>
      <c r="BKS380" s="15"/>
      <c r="BKT380" s="15"/>
      <c r="BKU380" s="15"/>
      <c r="BKV380" s="10"/>
      <c r="BKW380" s="10"/>
      <c r="BKX380" s="21"/>
      <c r="BKY380" s="21"/>
      <c r="BLB380" s="21"/>
      <c r="BLC380" s="15"/>
      <c r="BLD380" s="15"/>
      <c r="BLE380" s="15"/>
      <c r="BLF380" s="15"/>
      <c r="BLG380" s="15"/>
      <c r="BLH380" s="15"/>
      <c r="BLI380" s="15"/>
      <c r="BLJ380" s="15"/>
      <c r="BLK380" s="15"/>
      <c r="BLL380" s="15"/>
      <c r="BLM380" s="10"/>
      <c r="BLN380" s="10"/>
      <c r="BLO380" s="21"/>
      <c r="BLP380" s="21"/>
      <c r="BLS380" s="21"/>
      <c r="BLT380" s="15"/>
      <c r="BLU380" s="15"/>
      <c r="BLV380" s="15"/>
      <c r="BLW380" s="15"/>
      <c r="BLX380" s="15"/>
      <c r="BLY380" s="15"/>
      <c r="BLZ380" s="15"/>
      <c r="BMA380" s="15"/>
      <c r="BMB380" s="15"/>
      <c r="BMC380" s="15"/>
      <c r="BMD380" s="10"/>
      <c r="BME380" s="10"/>
      <c r="BMF380" s="21"/>
      <c r="BMG380" s="21"/>
      <c r="BMJ380" s="21"/>
      <c r="BMK380" s="15"/>
      <c r="BML380" s="15"/>
      <c r="BMM380" s="15"/>
      <c r="BMN380" s="15"/>
      <c r="BMO380" s="15"/>
      <c r="BMP380" s="15"/>
      <c r="BMQ380" s="15"/>
      <c r="BMR380" s="15"/>
      <c r="BMS380" s="15"/>
      <c r="BMT380" s="15"/>
      <c r="BMU380" s="10"/>
      <c r="BMV380" s="10"/>
      <c r="BMW380" s="21"/>
      <c r="BMX380" s="21"/>
      <c r="BNA380" s="21"/>
      <c r="BNB380" s="15"/>
      <c r="BNC380" s="15"/>
      <c r="BND380" s="15"/>
      <c r="BNE380" s="15"/>
      <c r="BNF380" s="15"/>
      <c r="BNG380" s="15"/>
      <c r="BNH380" s="15"/>
      <c r="BNI380" s="15"/>
      <c r="BNJ380" s="15"/>
      <c r="BNK380" s="15"/>
      <c r="BNL380" s="10"/>
      <c r="BNM380" s="10"/>
      <c r="BNN380" s="21"/>
      <c r="BNO380" s="21"/>
      <c r="BNR380" s="21"/>
      <c r="BNS380" s="15"/>
      <c r="BNT380" s="15"/>
      <c r="BNU380" s="15"/>
      <c r="BNV380" s="15"/>
      <c r="BNW380" s="15"/>
      <c r="BNX380" s="15"/>
      <c r="BNY380" s="15"/>
      <c r="BNZ380" s="15"/>
      <c r="BOA380" s="15"/>
      <c r="BOB380" s="15"/>
      <c r="BOC380" s="10"/>
      <c r="BOD380" s="10"/>
      <c r="BOE380" s="21"/>
      <c r="BOF380" s="21"/>
      <c r="BOI380" s="21"/>
      <c r="BOJ380" s="15"/>
      <c r="BOK380" s="15"/>
      <c r="BOL380" s="15"/>
      <c r="BOM380" s="15"/>
      <c r="BON380" s="15"/>
      <c r="BOO380" s="15"/>
      <c r="BOP380" s="15"/>
      <c r="BOQ380" s="15"/>
      <c r="BOR380" s="15"/>
      <c r="BOS380" s="15"/>
      <c r="BOT380" s="10"/>
      <c r="BOU380" s="10"/>
      <c r="BOV380" s="21"/>
      <c r="BOW380" s="21"/>
      <c r="BOZ380" s="21"/>
      <c r="BPA380" s="15"/>
      <c r="BPB380" s="15"/>
      <c r="BPC380" s="15"/>
      <c r="BPD380" s="15"/>
      <c r="BPE380" s="15"/>
      <c r="BPF380" s="15"/>
      <c r="BPG380" s="15"/>
      <c r="BPH380" s="15"/>
      <c r="BPI380" s="15"/>
      <c r="BPJ380" s="15"/>
      <c r="BPK380" s="10"/>
      <c r="BPL380" s="10"/>
      <c r="BPM380" s="21"/>
      <c r="BPN380" s="21"/>
      <c r="BPQ380" s="21"/>
      <c r="BPR380" s="15"/>
      <c r="BPS380" s="15"/>
      <c r="BPT380" s="15"/>
      <c r="BPU380" s="15"/>
      <c r="BPV380" s="15"/>
      <c r="BPW380" s="15"/>
      <c r="BPX380" s="15"/>
      <c r="BPY380" s="15"/>
      <c r="BPZ380" s="15"/>
      <c r="BQA380" s="15"/>
      <c r="BQB380" s="10"/>
      <c r="BQC380" s="10"/>
      <c r="BQD380" s="21"/>
      <c r="BQE380" s="21"/>
      <c r="BQH380" s="21"/>
      <c r="BQI380" s="15"/>
      <c r="BQJ380" s="15"/>
      <c r="BQK380" s="15"/>
      <c r="BQL380" s="15"/>
      <c r="BQM380" s="15"/>
      <c r="BQN380" s="15"/>
      <c r="BQO380" s="15"/>
      <c r="BQP380" s="15"/>
      <c r="BQQ380" s="15"/>
      <c r="BQR380" s="15"/>
      <c r="BQS380" s="10"/>
      <c r="BQT380" s="10"/>
      <c r="BQU380" s="21"/>
      <c r="BQV380" s="21"/>
      <c r="BQY380" s="21"/>
      <c r="BQZ380" s="15"/>
      <c r="BRA380" s="15"/>
      <c r="BRB380" s="15"/>
      <c r="BRC380" s="15"/>
      <c r="BRD380" s="15"/>
      <c r="BRE380" s="15"/>
      <c r="BRF380" s="15"/>
      <c r="BRG380" s="15"/>
      <c r="BRH380" s="15"/>
      <c r="BRI380" s="15"/>
      <c r="BRJ380" s="10"/>
      <c r="BRK380" s="10"/>
      <c r="BRL380" s="21"/>
      <c r="BRM380" s="21"/>
      <c r="BRP380" s="21"/>
      <c r="BRQ380" s="15"/>
      <c r="BRR380" s="15"/>
      <c r="BRS380" s="15"/>
      <c r="BRT380" s="15"/>
      <c r="BRU380" s="15"/>
      <c r="BRV380" s="15"/>
      <c r="BRW380" s="15"/>
      <c r="BRX380" s="15"/>
      <c r="BRY380" s="15"/>
      <c r="BRZ380" s="15"/>
      <c r="BSA380" s="10"/>
      <c r="BSB380" s="10"/>
      <c r="BSC380" s="21"/>
      <c r="BSD380" s="21"/>
      <c r="BSG380" s="21"/>
      <c r="BSH380" s="15"/>
      <c r="BSI380" s="15"/>
      <c r="BSJ380" s="15"/>
      <c r="BSK380" s="15"/>
      <c r="BSL380" s="15"/>
      <c r="BSM380" s="15"/>
      <c r="BSN380" s="15"/>
      <c r="BSO380" s="15"/>
      <c r="BSP380" s="15"/>
      <c r="BSQ380" s="15"/>
      <c r="BSR380" s="10"/>
      <c r="BSS380" s="10"/>
      <c r="BST380" s="21"/>
      <c r="BSU380" s="21"/>
      <c r="BSX380" s="21"/>
      <c r="BSY380" s="15"/>
      <c r="BSZ380" s="15"/>
      <c r="BTA380" s="15"/>
      <c r="BTB380" s="15"/>
      <c r="BTC380" s="15"/>
      <c r="BTD380" s="15"/>
      <c r="BTE380" s="15"/>
      <c r="BTF380" s="15"/>
      <c r="BTG380" s="15"/>
      <c r="BTH380" s="15"/>
      <c r="BTI380" s="10"/>
      <c r="BTJ380" s="10"/>
      <c r="BTK380" s="21"/>
      <c r="BTL380" s="21"/>
      <c r="BTO380" s="21"/>
      <c r="BTP380" s="15"/>
      <c r="BTQ380" s="15"/>
      <c r="BTR380" s="15"/>
      <c r="BTS380" s="15"/>
      <c r="BTT380" s="15"/>
      <c r="BTU380" s="15"/>
      <c r="BTV380" s="15"/>
      <c r="BTW380" s="15"/>
      <c r="BTX380" s="15"/>
      <c r="BTY380" s="15"/>
      <c r="BTZ380" s="10"/>
      <c r="BUA380" s="10"/>
      <c r="BUB380" s="21"/>
      <c r="BUC380" s="21"/>
      <c r="BUF380" s="21"/>
      <c r="BUG380" s="15"/>
      <c r="BUH380" s="15"/>
      <c r="BUI380" s="15"/>
      <c r="BUJ380" s="15"/>
      <c r="BUK380" s="15"/>
      <c r="BUL380" s="15"/>
      <c r="BUM380" s="15"/>
      <c r="BUN380" s="15"/>
      <c r="BUO380" s="15"/>
      <c r="BUP380" s="15"/>
      <c r="BUQ380" s="10"/>
      <c r="BUR380" s="10"/>
      <c r="BUS380" s="21"/>
      <c r="BUT380" s="21"/>
      <c r="BUW380" s="21"/>
      <c r="BUX380" s="15"/>
      <c r="BUY380" s="15"/>
      <c r="BUZ380" s="15"/>
      <c r="BVA380" s="15"/>
      <c r="BVB380" s="15"/>
      <c r="BVC380" s="15"/>
      <c r="BVD380" s="15"/>
      <c r="BVE380" s="15"/>
      <c r="BVF380" s="15"/>
      <c r="BVG380" s="15"/>
      <c r="BVH380" s="10"/>
      <c r="BVI380" s="10"/>
      <c r="BVJ380" s="21"/>
      <c r="BVK380" s="21"/>
      <c r="BVN380" s="21"/>
      <c r="BVO380" s="15"/>
      <c r="BVP380" s="15"/>
      <c r="BVQ380" s="15"/>
      <c r="BVR380" s="15"/>
      <c r="BVS380" s="15"/>
      <c r="BVT380" s="15"/>
      <c r="BVU380" s="15"/>
      <c r="BVV380" s="15"/>
      <c r="BVW380" s="15"/>
      <c r="BVX380" s="15"/>
      <c r="BVY380" s="10"/>
      <c r="BVZ380" s="10"/>
      <c r="BWA380" s="21"/>
      <c r="BWB380" s="21"/>
      <c r="BWE380" s="21"/>
      <c r="BWF380" s="15"/>
      <c r="BWG380" s="15"/>
      <c r="BWH380" s="15"/>
      <c r="BWI380" s="15"/>
      <c r="BWJ380" s="15"/>
      <c r="BWK380" s="15"/>
      <c r="BWL380" s="15"/>
      <c r="BWM380" s="15"/>
      <c r="BWN380" s="15"/>
      <c r="BWO380" s="15"/>
      <c r="BWP380" s="10"/>
      <c r="BWQ380" s="10"/>
      <c r="BWR380" s="21"/>
      <c r="BWS380" s="21"/>
      <c r="BWV380" s="21"/>
      <c r="BWW380" s="15"/>
      <c r="BWX380" s="15"/>
      <c r="BWY380" s="15"/>
      <c r="BWZ380" s="15"/>
      <c r="BXA380" s="15"/>
      <c r="BXB380" s="15"/>
      <c r="BXC380" s="15"/>
      <c r="BXD380" s="15"/>
      <c r="BXE380" s="15"/>
      <c r="BXF380" s="15"/>
      <c r="BXG380" s="10"/>
      <c r="BXH380" s="10"/>
      <c r="BXI380" s="21"/>
      <c r="BXJ380" s="21"/>
      <c r="BXM380" s="21"/>
      <c r="BXN380" s="15"/>
      <c r="BXO380" s="15"/>
      <c r="BXP380" s="15"/>
      <c r="BXQ380" s="15"/>
      <c r="BXR380" s="15"/>
      <c r="BXS380" s="15"/>
      <c r="BXT380" s="15"/>
      <c r="BXU380" s="15"/>
      <c r="BXV380" s="15"/>
      <c r="BXW380" s="15"/>
      <c r="BXX380" s="10"/>
      <c r="BXY380" s="10"/>
      <c r="BXZ380" s="21"/>
      <c r="BYA380" s="21"/>
      <c r="BYD380" s="21"/>
      <c r="BYE380" s="15"/>
      <c r="BYF380" s="15"/>
      <c r="BYG380" s="15"/>
      <c r="BYH380" s="15"/>
      <c r="BYI380" s="15"/>
      <c r="BYJ380" s="15"/>
      <c r="BYK380" s="15"/>
      <c r="BYL380" s="15"/>
      <c r="BYM380" s="15"/>
      <c r="BYN380" s="15"/>
      <c r="BYO380" s="10"/>
      <c r="BYP380" s="10"/>
      <c r="BYQ380" s="21"/>
      <c r="BYR380" s="21"/>
      <c r="BYU380" s="21"/>
      <c r="BYV380" s="15"/>
      <c r="BYW380" s="15"/>
      <c r="BYX380" s="15"/>
      <c r="BYY380" s="15"/>
      <c r="BYZ380" s="15"/>
      <c r="BZA380" s="15"/>
      <c r="BZB380" s="15"/>
      <c r="BZC380" s="15"/>
      <c r="BZD380" s="15"/>
      <c r="BZE380" s="15"/>
      <c r="BZF380" s="10"/>
      <c r="BZG380" s="10"/>
      <c r="BZH380" s="21"/>
      <c r="BZI380" s="21"/>
      <c r="BZL380" s="21"/>
      <c r="BZM380" s="15"/>
      <c r="BZN380" s="15"/>
      <c r="BZO380" s="15"/>
      <c r="BZP380" s="15"/>
      <c r="BZQ380" s="15"/>
      <c r="BZR380" s="15"/>
      <c r="BZS380" s="15"/>
      <c r="BZT380" s="15"/>
      <c r="BZU380" s="15"/>
      <c r="BZV380" s="15"/>
      <c r="BZW380" s="10"/>
      <c r="BZX380" s="10"/>
      <c r="BZY380" s="21"/>
      <c r="BZZ380" s="21"/>
      <c r="CAC380" s="21"/>
      <c r="CAD380" s="15"/>
      <c r="CAE380" s="15"/>
      <c r="CAF380" s="15"/>
      <c r="CAG380" s="15"/>
      <c r="CAH380" s="15"/>
      <c r="CAI380" s="15"/>
      <c r="CAJ380" s="15"/>
      <c r="CAK380" s="15"/>
      <c r="CAL380" s="15"/>
      <c r="CAM380" s="15"/>
      <c r="CAN380" s="10"/>
      <c r="CAO380" s="10"/>
      <c r="CAP380" s="21"/>
      <c r="CAQ380" s="21"/>
      <c r="CAT380" s="21"/>
      <c r="CAU380" s="15"/>
      <c r="CAV380" s="15"/>
      <c r="CAW380" s="15"/>
      <c r="CAX380" s="15"/>
      <c r="CAY380" s="15"/>
      <c r="CAZ380" s="15"/>
      <c r="CBA380" s="15"/>
      <c r="CBB380" s="15"/>
      <c r="CBC380" s="15"/>
      <c r="CBD380" s="15"/>
      <c r="CBE380" s="10"/>
      <c r="CBF380" s="10"/>
      <c r="CBG380" s="21"/>
      <c r="CBH380" s="21"/>
      <c r="CBK380" s="21"/>
      <c r="CBL380" s="15"/>
      <c r="CBM380" s="15"/>
      <c r="CBN380" s="15"/>
      <c r="CBO380" s="15"/>
      <c r="CBP380" s="15"/>
      <c r="CBQ380" s="15"/>
      <c r="CBR380" s="15"/>
      <c r="CBS380" s="15"/>
      <c r="CBT380" s="15"/>
      <c r="CBU380" s="15"/>
      <c r="CBV380" s="10"/>
      <c r="CBW380" s="10"/>
      <c r="CBX380" s="21"/>
      <c r="CBY380" s="21"/>
      <c r="CCB380" s="21"/>
      <c r="CCC380" s="15"/>
      <c r="CCD380" s="15"/>
      <c r="CCE380" s="15"/>
      <c r="CCF380" s="15"/>
      <c r="CCG380" s="15"/>
      <c r="CCH380" s="15"/>
      <c r="CCI380" s="15"/>
      <c r="CCJ380" s="15"/>
      <c r="CCK380" s="15"/>
      <c r="CCL380" s="15"/>
      <c r="CCM380" s="10"/>
      <c r="CCN380" s="10"/>
      <c r="CCO380" s="21"/>
      <c r="CCP380" s="21"/>
      <c r="CCS380" s="21"/>
      <c r="CCT380" s="15"/>
      <c r="CCU380" s="15"/>
      <c r="CCV380" s="15"/>
      <c r="CCW380" s="15"/>
      <c r="CCX380" s="15"/>
      <c r="CCY380" s="15"/>
      <c r="CCZ380" s="15"/>
      <c r="CDA380" s="15"/>
      <c r="CDB380" s="15"/>
      <c r="CDC380" s="15"/>
      <c r="CDD380" s="10"/>
      <c r="CDE380" s="10"/>
      <c r="CDF380" s="21"/>
      <c r="CDG380" s="21"/>
      <c r="CDJ380" s="21"/>
      <c r="CDK380" s="15"/>
      <c r="CDL380" s="15"/>
      <c r="CDM380" s="15"/>
      <c r="CDN380" s="15"/>
      <c r="CDO380" s="15"/>
      <c r="CDP380" s="15"/>
      <c r="CDQ380" s="15"/>
      <c r="CDR380" s="15"/>
      <c r="CDS380" s="15"/>
      <c r="CDT380" s="15"/>
      <c r="CDU380" s="10"/>
      <c r="CDV380" s="10"/>
      <c r="CDW380" s="21"/>
      <c r="CDX380" s="21"/>
      <c r="CEA380" s="21"/>
      <c r="CEB380" s="15"/>
      <c r="CEC380" s="15"/>
      <c r="CED380" s="15"/>
      <c r="CEE380" s="15"/>
      <c r="CEF380" s="15"/>
      <c r="CEG380" s="15"/>
      <c r="CEH380" s="15"/>
      <c r="CEI380" s="15"/>
      <c r="CEJ380" s="15"/>
      <c r="CEK380" s="15"/>
      <c r="CEL380" s="10"/>
      <c r="CEM380" s="10"/>
      <c r="CEN380" s="21"/>
      <c r="CEO380" s="21"/>
      <c r="CER380" s="21"/>
      <c r="CES380" s="15"/>
      <c r="CET380" s="15"/>
      <c r="CEU380" s="15"/>
      <c r="CEV380" s="15"/>
      <c r="CEW380" s="15"/>
      <c r="CEX380" s="15"/>
      <c r="CEY380" s="15"/>
      <c r="CEZ380" s="15"/>
      <c r="CFA380" s="15"/>
      <c r="CFB380" s="15"/>
      <c r="CFC380" s="10"/>
      <c r="CFD380" s="10"/>
      <c r="CFE380" s="21"/>
      <c r="CFF380" s="21"/>
      <c r="CFI380" s="21"/>
      <c r="CFJ380" s="15"/>
      <c r="CFK380" s="15"/>
      <c r="CFL380" s="15"/>
      <c r="CFM380" s="15"/>
      <c r="CFN380" s="15"/>
      <c r="CFO380" s="15"/>
      <c r="CFP380" s="15"/>
      <c r="CFQ380" s="15"/>
      <c r="CFR380" s="15"/>
      <c r="CFS380" s="15"/>
      <c r="CFT380" s="10"/>
      <c r="CFU380" s="10"/>
      <c r="CFV380" s="21"/>
      <c r="CFW380" s="21"/>
      <c r="CFZ380" s="21"/>
      <c r="CGA380" s="15"/>
      <c r="CGB380" s="15"/>
      <c r="CGC380" s="15"/>
      <c r="CGD380" s="15"/>
      <c r="CGE380" s="15"/>
      <c r="CGF380" s="15"/>
      <c r="CGG380" s="15"/>
      <c r="CGH380" s="15"/>
      <c r="CGI380" s="15"/>
      <c r="CGJ380" s="15"/>
      <c r="CGK380" s="10"/>
      <c r="CGL380" s="10"/>
      <c r="CGM380" s="21"/>
      <c r="CGN380" s="21"/>
      <c r="CGQ380" s="21"/>
      <c r="CGR380" s="15"/>
      <c r="CGS380" s="15"/>
      <c r="CGT380" s="15"/>
      <c r="CGU380" s="15"/>
      <c r="CGV380" s="15"/>
      <c r="CGW380" s="15"/>
      <c r="CGX380" s="15"/>
      <c r="CGY380" s="15"/>
      <c r="CGZ380" s="15"/>
      <c r="CHA380" s="15"/>
      <c r="CHB380" s="10"/>
      <c r="CHC380" s="10"/>
      <c r="CHD380" s="21"/>
      <c r="CHE380" s="21"/>
      <c r="CHH380" s="21"/>
      <c r="CHI380" s="15"/>
      <c r="CHJ380" s="15"/>
      <c r="CHK380" s="15"/>
      <c r="CHL380" s="15"/>
      <c r="CHM380" s="15"/>
      <c r="CHN380" s="15"/>
      <c r="CHO380" s="15"/>
      <c r="CHP380" s="15"/>
      <c r="CHQ380" s="15"/>
      <c r="CHR380" s="15"/>
      <c r="CHS380" s="10"/>
      <c r="CHT380" s="10"/>
      <c r="CHU380" s="21"/>
      <c r="CHV380" s="21"/>
      <c r="CHY380" s="21"/>
      <c r="CHZ380" s="15"/>
      <c r="CIA380" s="15"/>
      <c r="CIB380" s="15"/>
      <c r="CIC380" s="15"/>
      <c r="CID380" s="15"/>
      <c r="CIE380" s="15"/>
      <c r="CIF380" s="15"/>
      <c r="CIG380" s="15"/>
      <c r="CIH380" s="15"/>
      <c r="CII380" s="15"/>
      <c r="CIJ380" s="10"/>
      <c r="CIK380" s="10"/>
      <c r="CIL380" s="21"/>
      <c r="CIM380" s="21"/>
      <c r="CIP380" s="21"/>
      <c r="CIQ380" s="15"/>
      <c r="CIR380" s="15"/>
      <c r="CIS380" s="15"/>
      <c r="CIT380" s="15"/>
      <c r="CIU380" s="15"/>
      <c r="CIV380" s="15"/>
      <c r="CIW380" s="15"/>
      <c r="CIX380" s="15"/>
      <c r="CIY380" s="15"/>
      <c r="CIZ380" s="15"/>
      <c r="CJA380" s="10"/>
      <c r="CJB380" s="10"/>
      <c r="CJC380" s="21"/>
      <c r="CJD380" s="21"/>
      <c r="CJG380" s="21"/>
      <c r="CJH380" s="15"/>
      <c r="CJI380" s="15"/>
      <c r="CJJ380" s="15"/>
      <c r="CJK380" s="15"/>
      <c r="CJL380" s="15"/>
      <c r="CJM380" s="15"/>
      <c r="CJN380" s="15"/>
      <c r="CJO380" s="15"/>
      <c r="CJP380" s="15"/>
      <c r="CJQ380" s="15"/>
      <c r="CJR380" s="10"/>
      <c r="CJS380" s="10"/>
      <c r="CJT380" s="21"/>
      <c r="CJU380" s="21"/>
      <c r="CJX380" s="21"/>
      <c r="CJY380" s="15"/>
      <c r="CJZ380" s="15"/>
      <c r="CKA380" s="15"/>
      <c r="CKB380" s="15"/>
      <c r="CKC380" s="15"/>
      <c r="CKD380" s="15"/>
      <c r="CKE380" s="15"/>
      <c r="CKF380" s="15"/>
      <c r="CKG380" s="15"/>
      <c r="CKH380" s="15"/>
      <c r="CKI380" s="10"/>
      <c r="CKJ380" s="10"/>
      <c r="CKK380" s="21"/>
      <c r="CKL380" s="21"/>
      <c r="CKO380" s="21"/>
      <c r="CKP380" s="15"/>
      <c r="CKQ380" s="15"/>
      <c r="CKR380" s="15"/>
      <c r="CKS380" s="15"/>
      <c r="CKT380" s="15"/>
      <c r="CKU380" s="15"/>
      <c r="CKV380" s="15"/>
      <c r="CKW380" s="15"/>
      <c r="CKX380" s="15"/>
      <c r="CKY380" s="15"/>
      <c r="CKZ380" s="10"/>
      <c r="CLA380" s="10"/>
      <c r="CLB380" s="21"/>
      <c r="CLC380" s="21"/>
      <c r="CLF380" s="21"/>
      <c r="CLG380" s="15"/>
      <c r="CLH380" s="15"/>
      <c r="CLI380" s="15"/>
      <c r="CLJ380" s="15"/>
      <c r="CLK380" s="15"/>
      <c r="CLL380" s="15"/>
      <c r="CLM380" s="15"/>
      <c r="CLN380" s="15"/>
      <c r="CLO380" s="15"/>
      <c r="CLP380" s="15"/>
      <c r="CLQ380" s="10"/>
      <c r="CLR380" s="10"/>
      <c r="CLS380" s="21"/>
      <c r="CLT380" s="21"/>
      <c r="CLW380" s="21"/>
      <c r="CLX380" s="15"/>
      <c r="CLY380" s="15"/>
      <c r="CLZ380" s="15"/>
      <c r="CMA380" s="15"/>
      <c r="CMB380" s="15"/>
      <c r="CMC380" s="15"/>
      <c r="CMD380" s="15"/>
      <c r="CME380" s="15"/>
      <c r="CMF380" s="15"/>
      <c r="CMG380" s="15"/>
      <c r="CMH380" s="10"/>
      <c r="CMI380" s="10"/>
      <c r="CMJ380" s="21"/>
      <c r="CMK380" s="21"/>
      <c r="CMN380" s="21"/>
      <c r="CMO380" s="15"/>
      <c r="CMP380" s="15"/>
      <c r="CMQ380" s="15"/>
      <c r="CMR380" s="15"/>
      <c r="CMS380" s="15"/>
      <c r="CMT380" s="15"/>
      <c r="CMU380" s="15"/>
      <c r="CMV380" s="15"/>
      <c r="CMW380" s="15"/>
      <c r="CMX380" s="15"/>
      <c r="CMY380" s="10"/>
      <c r="CMZ380" s="10"/>
      <c r="CNA380" s="21"/>
      <c r="CNB380" s="21"/>
      <c r="CNE380" s="21"/>
      <c r="CNF380" s="15"/>
      <c r="CNG380" s="15"/>
      <c r="CNH380" s="15"/>
      <c r="CNI380" s="15"/>
      <c r="CNJ380" s="15"/>
      <c r="CNK380" s="15"/>
      <c r="CNL380" s="15"/>
      <c r="CNM380" s="15"/>
      <c r="CNN380" s="15"/>
      <c r="CNO380" s="15"/>
      <c r="CNP380" s="10"/>
      <c r="CNQ380" s="10"/>
      <c r="CNR380" s="21"/>
      <c r="CNS380" s="21"/>
      <c r="CNV380" s="21"/>
      <c r="CNW380" s="15"/>
      <c r="CNX380" s="15"/>
      <c r="CNY380" s="15"/>
      <c r="CNZ380" s="15"/>
      <c r="COA380" s="15"/>
      <c r="COB380" s="15"/>
      <c r="COC380" s="15"/>
      <c r="COD380" s="15"/>
      <c r="COE380" s="15"/>
      <c r="COF380" s="15"/>
      <c r="COG380" s="10"/>
      <c r="COH380" s="10"/>
      <c r="COI380" s="21"/>
      <c r="COJ380" s="21"/>
      <c r="COM380" s="21"/>
      <c r="CON380" s="15"/>
      <c r="COO380" s="15"/>
      <c r="COP380" s="15"/>
      <c r="COQ380" s="15"/>
      <c r="COR380" s="15"/>
      <c r="COS380" s="15"/>
      <c r="COT380" s="15"/>
      <c r="COU380" s="15"/>
      <c r="COV380" s="15"/>
      <c r="COW380" s="15"/>
      <c r="COX380" s="10"/>
      <c r="COY380" s="10"/>
      <c r="COZ380" s="21"/>
      <c r="CPA380" s="21"/>
      <c r="CPD380" s="21"/>
      <c r="CPE380" s="15"/>
      <c r="CPF380" s="15"/>
      <c r="CPG380" s="15"/>
      <c r="CPH380" s="15"/>
      <c r="CPI380" s="15"/>
      <c r="CPJ380" s="15"/>
      <c r="CPK380" s="15"/>
      <c r="CPL380" s="15"/>
      <c r="CPM380" s="15"/>
      <c r="CPN380" s="15"/>
      <c r="CPO380" s="10"/>
      <c r="CPP380" s="10"/>
      <c r="CPQ380" s="21"/>
      <c r="CPR380" s="21"/>
      <c r="CPU380" s="21"/>
      <c r="CPV380" s="15"/>
      <c r="CPW380" s="15"/>
      <c r="CPX380" s="15"/>
      <c r="CPY380" s="15"/>
      <c r="CPZ380" s="15"/>
      <c r="CQA380" s="15"/>
      <c r="CQB380" s="15"/>
      <c r="CQC380" s="15"/>
      <c r="CQD380" s="15"/>
      <c r="CQE380" s="15"/>
      <c r="CQF380" s="10"/>
      <c r="CQG380" s="10"/>
      <c r="CQH380" s="21"/>
      <c r="CQI380" s="21"/>
      <c r="CQL380" s="21"/>
      <c r="CQM380" s="15"/>
      <c r="CQN380" s="15"/>
      <c r="CQO380" s="15"/>
      <c r="CQP380" s="15"/>
      <c r="CQQ380" s="15"/>
      <c r="CQR380" s="15"/>
      <c r="CQS380" s="15"/>
      <c r="CQT380" s="15"/>
      <c r="CQU380" s="15"/>
      <c r="CQV380" s="15"/>
      <c r="CQW380" s="10"/>
      <c r="CQX380" s="10"/>
      <c r="CQY380" s="21"/>
      <c r="CQZ380" s="21"/>
      <c r="CRC380" s="21"/>
      <c r="CRD380" s="15"/>
      <c r="CRE380" s="15"/>
      <c r="CRF380" s="15"/>
      <c r="CRG380" s="15"/>
      <c r="CRH380" s="15"/>
      <c r="CRI380" s="15"/>
      <c r="CRJ380" s="15"/>
      <c r="CRK380" s="15"/>
      <c r="CRL380" s="15"/>
      <c r="CRM380" s="15"/>
      <c r="CRN380" s="10"/>
      <c r="CRO380" s="10"/>
      <c r="CRP380" s="21"/>
      <c r="CRQ380" s="21"/>
      <c r="CRT380" s="21"/>
      <c r="CRU380" s="15"/>
      <c r="CRV380" s="15"/>
      <c r="CRW380" s="15"/>
      <c r="CRX380" s="15"/>
      <c r="CRY380" s="15"/>
      <c r="CRZ380" s="15"/>
      <c r="CSA380" s="15"/>
      <c r="CSB380" s="15"/>
      <c r="CSC380" s="15"/>
      <c r="CSD380" s="15"/>
      <c r="CSE380" s="10"/>
      <c r="CSF380" s="10"/>
      <c r="CSG380" s="21"/>
      <c r="CSH380" s="21"/>
      <c r="CSK380" s="21"/>
      <c r="CSL380" s="15"/>
      <c r="CSM380" s="15"/>
      <c r="CSN380" s="15"/>
      <c r="CSO380" s="15"/>
      <c r="CSP380" s="15"/>
      <c r="CSQ380" s="15"/>
      <c r="CSR380" s="15"/>
      <c r="CSS380" s="15"/>
      <c r="CST380" s="15"/>
      <c r="CSU380" s="15"/>
      <c r="CSV380" s="10"/>
      <c r="CSW380" s="10"/>
      <c r="CSX380" s="21"/>
      <c r="CSY380" s="21"/>
      <c r="CTB380" s="21"/>
      <c r="CTC380" s="15"/>
      <c r="CTD380" s="15"/>
      <c r="CTE380" s="15"/>
      <c r="CTF380" s="15"/>
      <c r="CTG380" s="15"/>
      <c r="CTH380" s="15"/>
      <c r="CTI380" s="15"/>
      <c r="CTJ380" s="15"/>
      <c r="CTK380" s="15"/>
      <c r="CTL380" s="15"/>
      <c r="CTM380" s="10"/>
      <c r="CTN380" s="10"/>
      <c r="CTO380" s="21"/>
      <c r="CTP380" s="21"/>
      <c r="CTS380" s="21"/>
      <c r="CTT380" s="15"/>
      <c r="CTU380" s="15"/>
      <c r="CTV380" s="15"/>
      <c r="CTW380" s="15"/>
      <c r="CTX380" s="15"/>
      <c r="CTY380" s="15"/>
      <c r="CTZ380" s="15"/>
      <c r="CUA380" s="15"/>
      <c r="CUB380" s="15"/>
      <c r="CUC380" s="15"/>
      <c r="CUD380" s="10"/>
      <c r="CUE380" s="10"/>
      <c r="CUF380" s="21"/>
      <c r="CUG380" s="21"/>
      <c r="CUJ380" s="21"/>
      <c r="CUK380" s="15"/>
      <c r="CUL380" s="15"/>
      <c r="CUM380" s="15"/>
      <c r="CUN380" s="15"/>
      <c r="CUO380" s="15"/>
      <c r="CUP380" s="15"/>
      <c r="CUQ380" s="15"/>
      <c r="CUR380" s="15"/>
      <c r="CUS380" s="15"/>
      <c r="CUT380" s="15"/>
      <c r="CUU380" s="10"/>
      <c r="CUV380" s="10"/>
      <c r="CUW380" s="21"/>
      <c r="CUX380" s="21"/>
      <c r="CVA380" s="21"/>
      <c r="CVB380" s="15"/>
      <c r="CVC380" s="15"/>
      <c r="CVD380" s="15"/>
      <c r="CVE380" s="15"/>
      <c r="CVF380" s="15"/>
      <c r="CVG380" s="15"/>
      <c r="CVH380" s="15"/>
      <c r="CVI380" s="15"/>
      <c r="CVJ380" s="15"/>
      <c r="CVK380" s="15"/>
      <c r="CVL380" s="10"/>
      <c r="CVM380" s="10"/>
      <c r="CVN380" s="21"/>
      <c r="CVO380" s="21"/>
      <c r="CVR380" s="21"/>
      <c r="CVS380" s="15"/>
      <c r="CVT380" s="15"/>
      <c r="CVU380" s="15"/>
      <c r="CVV380" s="15"/>
      <c r="CVW380" s="15"/>
      <c r="CVX380" s="15"/>
      <c r="CVY380" s="15"/>
      <c r="CVZ380" s="15"/>
      <c r="CWA380" s="15"/>
      <c r="CWB380" s="15"/>
      <c r="CWC380" s="10"/>
      <c r="CWD380" s="10"/>
      <c r="CWE380" s="21"/>
      <c r="CWF380" s="21"/>
      <c r="CWI380" s="21"/>
      <c r="CWJ380" s="15"/>
      <c r="CWK380" s="15"/>
      <c r="CWL380" s="15"/>
      <c r="CWM380" s="15"/>
      <c r="CWN380" s="15"/>
      <c r="CWO380" s="15"/>
      <c r="CWP380" s="15"/>
      <c r="CWQ380" s="15"/>
      <c r="CWR380" s="15"/>
      <c r="CWS380" s="15"/>
      <c r="CWT380" s="10"/>
      <c r="CWU380" s="10"/>
      <c r="CWV380" s="21"/>
      <c r="CWW380" s="21"/>
      <c r="CWZ380" s="21"/>
      <c r="CXA380" s="15"/>
      <c r="CXB380" s="15"/>
      <c r="CXC380" s="15"/>
      <c r="CXD380" s="15"/>
      <c r="CXE380" s="15"/>
      <c r="CXF380" s="15"/>
      <c r="CXG380" s="15"/>
      <c r="CXH380" s="15"/>
      <c r="CXI380" s="15"/>
      <c r="CXJ380" s="15"/>
      <c r="CXK380" s="10"/>
      <c r="CXL380" s="10"/>
      <c r="CXM380" s="21"/>
      <c r="CXN380" s="21"/>
      <c r="CXQ380" s="21"/>
      <c r="CXR380" s="15"/>
      <c r="CXS380" s="15"/>
      <c r="CXT380" s="15"/>
      <c r="CXU380" s="15"/>
      <c r="CXV380" s="15"/>
      <c r="CXW380" s="15"/>
      <c r="CXX380" s="15"/>
      <c r="CXY380" s="15"/>
      <c r="CXZ380" s="15"/>
      <c r="CYA380" s="15"/>
      <c r="CYB380" s="10"/>
      <c r="CYC380" s="10"/>
      <c r="CYD380" s="21"/>
      <c r="CYE380" s="21"/>
      <c r="CYH380" s="21"/>
      <c r="CYI380" s="15"/>
      <c r="CYJ380" s="15"/>
      <c r="CYK380" s="15"/>
      <c r="CYL380" s="15"/>
      <c r="CYM380" s="15"/>
      <c r="CYN380" s="15"/>
      <c r="CYO380" s="15"/>
      <c r="CYP380" s="15"/>
      <c r="CYQ380" s="15"/>
      <c r="CYR380" s="15"/>
      <c r="CYS380" s="10"/>
      <c r="CYT380" s="10"/>
      <c r="CYU380" s="21"/>
      <c r="CYV380" s="21"/>
      <c r="CYY380" s="21"/>
      <c r="CYZ380" s="15"/>
      <c r="CZA380" s="15"/>
      <c r="CZB380" s="15"/>
      <c r="CZC380" s="15"/>
      <c r="CZD380" s="15"/>
      <c r="CZE380" s="15"/>
      <c r="CZF380" s="15"/>
      <c r="CZG380" s="15"/>
      <c r="CZH380" s="15"/>
      <c r="CZI380" s="15"/>
      <c r="CZJ380" s="10"/>
      <c r="CZK380" s="10"/>
      <c r="CZL380" s="21"/>
      <c r="CZM380" s="21"/>
      <c r="CZP380" s="21"/>
      <c r="CZQ380" s="15"/>
      <c r="CZR380" s="15"/>
      <c r="CZS380" s="15"/>
      <c r="CZT380" s="15"/>
      <c r="CZU380" s="15"/>
      <c r="CZV380" s="15"/>
      <c r="CZW380" s="15"/>
      <c r="CZX380" s="15"/>
      <c r="CZY380" s="15"/>
      <c r="CZZ380" s="15"/>
      <c r="DAA380" s="10"/>
      <c r="DAB380" s="10"/>
      <c r="DAC380" s="21"/>
      <c r="DAD380" s="21"/>
      <c r="DAG380" s="21"/>
      <c r="DAH380" s="15"/>
      <c r="DAI380" s="15"/>
      <c r="DAJ380" s="15"/>
      <c r="DAK380" s="15"/>
      <c r="DAL380" s="15"/>
      <c r="DAM380" s="15"/>
      <c r="DAN380" s="15"/>
      <c r="DAO380" s="15"/>
      <c r="DAP380" s="15"/>
      <c r="DAQ380" s="15"/>
      <c r="DAR380" s="10"/>
      <c r="DAS380" s="10"/>
      <c r="DAT380" s="21"/>
      <c r="DAU380" s="21"/>
      <c r="DAX380" s="21"/>
      <c r="DAY380" s="15"/>
      <c r="DAZ380" s="15"/>
      <c r="DBA380" s="15"/>
      <c r="DBB380" s="15"/>
      <c r="DBC380" s="15"/>
      <c r="DBD380" s="15"/>
      <c r="DBE380" s="15"/>
      <c r="DBF380" s="15"/>
      <c r="DBG380" s="15"/>
      <c r="DBH380" s="15"/>
      <c r="DBI380" s="10"/>
      <c r="DBJ380" s="10"/>
      <c r="DBK380" s="21"/>
      <c r="DBL380" s="21"/>
      <c r="DBO380" s="21"/>
      <c r="DBP380" s="15"/>
      <c r="DBQ380" s="15"/>
      <c r="DBR380" s="15"/>
      <c r="DBS380" s="15"/>
      <c r="DBT380" s="15"/>
      <c r="DBU380" s="15"/>
      <c r="DBV380" s="15"/>
      <c r="DBW380" s="15"/>
      <c r="DBX380" s="15"/>
      <c r="DBY380" s="15"/>
      <c r="DBZ380" s="10"/>
      <c r="DCA380" s="10"/>
      <c r="DCB380" s="21"/>
      <c r="DCC380" s="21"/>
      <c r="DCF380" s="21"/>
      <c r="DCG380" s="15"/>
      <c r="DCH380" s="15"/>
      <c r="DCI380" s="15"/>
      <c r="DCJ380" s="15"/>
      <c r="DCK380" s="15"/>
      <c r="DCL380" s="15"/>
      <c r="DCM380" s="15"/>
      <c r="DCN380" s="15"/>
      <c r="DCO380" s="15"/>
      <c r="DCP380" s="15"/>
      <c r="DCQ380" s="10"/>
      <c r="DCR380" s="10"/>
      <c r="DCS380" s="21"/>
      <c r="DCT380" s="21"/>
      <c r="DCW380" s="21"/>
      <c r="DCX380" s="15"/>
      <c r="DCY380" s="15"/>
      <c r="DCZ380" s="15"/>
      <c r="DDA380" s="15"/>
      <c r="DDB380" s="15"/>
      <c r="DDC380" s="15"/>
      <c r="DDD380" s="15"/>
      <c r="DDE380" s="15"/>
      <c r="DDF380" s="15"/>
      <c r="DDG380" s="15"/>
      <c r="DDH380" s="10"/>
      <c r="DDI380" s="10"/>
      <c r="DDJ380" s="21"/>
      <c r="DDK380" s="21"/>
      <c r="DDN380" s="21"/>
      <c r="DDO380" s="15"/>
      <c r="DDP380" s="15"/>
      <c r="DDQ380" s="15"/>
      <c r="DDR380" s="15"/>
      <c r="DDS380" s="15"/>
      <c r="DDT380" s="15"/>
      <c r="DDU380" s="15"/>
      <c r="DDV380" s="15"/>
      <c r="DDW380" s="15"/>
      <c r="DDX380" s="15"/>
      <c r="DDY380" s="10"/>
      <c r="DDZ380" s="10"/>
      <c r="DEA380" s="21"/>
      <c r="DEB380" s="21"/>
      <c r="DEE380" s="21"/>
      <c r="DEF380" s="15"/>
      <c r="DEG380" s="15"/>
      <c r="DEH380" s="15"/>
      <c r="DEI380" s="15"/>
      <c r="DEJ380" s="15"/>
      <c r="DEK380" s="15"/>
      <c r="DEL380" s="15"/>
      <c r="DEM380" s="15"/>
      <c r="DEN380" s="15"/>
      <c r="DEO380" s="15"/>
      <c r="DEP380" s="10"/>
      <c r="DEQ380" s="10"/>
      <c r="DER380" s="21"/>
      <c r="DES380" s="21"/>
      <c r="DEV380" s="21"/>
      <c r="DEW380" s="15"/>
      <c r="DEX380" s="15"/>
      <c r="DEY380" s="15"/>
      <c r="DEZ380" s="15"/>
      <c r="DFA380" s="15"/>
      <c r="DFB380" s="15"/>
      <c r="DFC380" s="15"/>
      <c r="DFD380" s="15"/>
      <c r="DFE380" s="15"/>
      <c r="DFF380" s="15"/>
      <c r="DFG380" s="10"/>
      <c r="DFH380" s="10"/>
      <c r="DFI380" s="21"/>
      <c r="DFJ380" s="21"/>
      <c r="DFM380" s="21"/>
      <c r="DFN380" s="15"/>
      <c r="DFO380" s="15"/>
      <c r="DFP380" s="15"/>
      <c r="DFQ380" s="15"/>
      <c r="DFR380" s="15"/>
      <c r="DFS380" s="15"/>
      <c r="DFT380" s="15"/>
      <c r="DFU380" s="15"/>
      <c r="DFV380" s="15"/>
      <c r="DFW380" s="15"/>
      <c r="DFX380" s="10"/>
      <c r="DFY380" s="10"/>
      <c r="DFZ380" s="21"/>
      <c r="DGA380" s="21"/>
      <c r="DGD380" s="21"/>
      <c r="DGE380" s="15"/>
      <c r="DGF380" s="15"/>
      <c r="DGG380" s="15"/>
      <c r="DGH380" s="15"/>
      <c r="DGI380" s="15"/>
      <c r="DGJ380" s="15"/>
      <c r="DGK380" s="15"/>
      <c r="DGL380" s="15"/>
      <c r="DGM380" s="15"/>
      <c r="DGN380" s="15"/>
      <c r="DGO380" s="10"/>
      <c r="DGP380" s="10"/>
      <c r="DGQ380" s="21"/>
      <c r="DGR380" s="21"/>
      <c r="DGU380" s="21"/>
      <c r="DGV380" s="15"/>
      <c r="DGW380" s="15"/>
      <c r="DGX380" s="15"/>
      <c r="DGY380" s="15"/>
      <c r="DGZ380" s="15"/>
      <c r="DHA380" s="15"/>
      <c r="DHB380" s="15"/>
      <c r="DHC380" s="15"/>
      <c r="DHD380" s="15"/>
      <c r="DHE380" s="15"/>
      <c r="DHF380" s="10"/>
      <c r="DHG380" s="10"/>
      <c r="DHH380" s="21"/>
      <c r="DHI380" s="21"/>
      <c r="DHL380" s="21"/>
      <c r="DHM380" s="15"/>
      <c r="DHN380" s="15"/>
      <c r="DHO380" s="15"/>
      <c r="DHP380" s="15"/>
      <c r="DHQ380" s="15"/>
      <c r="DHR380" s="15"/>
      <c r="DHS380" s="15"/>
      <c r="DHT380" s="15"/>
      <c r="DHU380" s="15"/>
      <c r="DHV380" s="15"/>
      <c r="DHW380" s="10"/>
      <c r="DHX380" s="10"/>
      <c r="DHY380" s="21"/>
      <c r="DHZ380" s="21"/>
      <c r="DIC380" s="21"/>
      <c r="DID380" s="15"/>
      <c r="DIE380" s="15"/>
      <c r="DIF380" s="15"/>
      <c r="DIG380" s="15"/>
      <c r="DIH380" s="15"/>
      <c r="DII380" s="15"/>
      <c r="DIJ380" s="15"/>
      <c r="DIK380" s="15"/>
      <c r="DIL380" s="15"/>
      <c r="DIM380" s="15"/>
      <c r="DIN380" s="10"/>
      <c r="DIO380" s="10"/>
      <c r="DIP380" s="21"/>
      <c r="DIQ380" s="21"/>
      <c r="DIT380" s="21"/>
      <c r="DIU380" s="15"/>
      <c r="DIV380" s="15"/>
      <c r="DIW380" s="15"/>
      <c r="DIX380" s="15"/>
      <c r="DIY380" s="15"/>
      <c r="DIZ380" s="15"/>
      <c r="DJA380" s="15"/>
      <c r="DJB380" s="15"/>
      <c r="DJC380" s="15"/>
      <c r="DJD380" s="15"/>
      <c r="DJE380" s="10"/>
      <c r="DJF380" s="10"/>
      <c r="DJG380" s="21"/>
      <c r="DJH380" s="21"/>
      <c r="DJK380" s="21"/>
      <c r="DJL380" s="15"/>
      <c r="DJM380" s="15"/>
      <c r="DJN380" s="15"/>
      <c r="DJO380" s="15"/>
      <c r="DJP380" s="15"/>
      <c r="DJQ380" s="15"/>
      <c r="DJR380" s="15"/>
      <c r="DJS380" s="15"/>
      <c r="DJT380" s="15"/>
      <c r="DJU380" s="15"/>
      <c r="DJV380" s="10"/>
      <c r="DJW380" s="10"/>
      <c r="DJX380" s="21"/>
      <c r="DJY380" s="21"/>
      <c r="DKB380" s="21"/>
      <c r="DKC380" s="15"/>
      <c r="DKD380" s="15"/>
      <c r="DKE380" s="15"/>
      <c r="DKF380" s="15"/>
      <c r="DKG380" s="15"/>
      <c r="DKH380" s="15"/>
      <c r="DKI380" s="15"/>
      <c r="DKJ380" s="15"/>
      <c r="DKK380" s="15"/>
      <c r="DKL380" s="15"/>
      <c r="DKM380" s="10"/>
      <c r="DKN380" s="10"/>
      <c r="DKO380" s="21"/>
      <c r="DKP380" s="21"/>
      <c r="DKS380" s="21"/>
      <c r="DKT380" s="15"/>
      <c r="DKU380" s="15"/>
      <c r="DKV380" s="15"/>
      <c r="DKW380" s="15"/>
      <c r="DKX380" s="15"/>
      <c r="DKY380" s="15"/>
      <c r="DKZ380" s="15"/>
      <c r="DLA380" s="15"/>
      <c r="DLB380" s="15"/>
      <c r="DLC380" s="15"/>
      <c r="DLD380" s="10"/>
      <c r="DLE380" s="10"/>
      <c r="DLF380" s="21"/>
      <c r="DLG380" s="21"/>
      <c r="DLJ380" s="21"/>
      <c r="DLK380" s="15"/>
      <c r="DLL380" s="15"/>
      <c r="DLM380" s="15"/>
      <c r="DLN380" s="15"/>
      <c r="DLO380" s="15"/>
      <c r="DLP380" s="15"/>
      <c r="DLQ380" s="15"/>
      <c r="DLR380" s="15"/>
      <c r="DLS380" s="15"/>
      <c r="DLT380" s="15"/>
      <c r="DLU380" s="10"/>
      <c r="DLV380" s="10"/>
      <c r="DLW380" s="21"/>
      <c r="DLX380" s="21"/>
      <c r="DMA380" s="21"/>
      <c r="DMB380" s="15"/>
      <c r="DMC380" s="15"/>
      <c r="DMD380" s="15"/>
      <c r="DME380" s="15"/>
      <c r="DMF380" s="15"/>
      <c r="DMG380" s="15"/>
      <c r="DMH380" s="15"/>
      <c r="DMI380" s="15"/>
      <c r="DMJ380" s="15"/>
      <c r="DMK380" s="15"/>
      <c r="DML380" s="10"/>
      <c r="DMM380" s="10"/>
      <c r="DMN380" s="21"/>
      <c r="DMO380" s="21"/>
      <c r="DMR380" s="21"/>
      <c r="DMS380" s="15"/>
      <c r="DMT380" s="15"/>
      <c r="DMU380" s="15"/>
      <c r="DMV380" s="15"/>
      <c r="DMW380" s="15"/>
      <c r="DMX380" s="15"/>
      <c r="DMY380" s="15"/>
      <c r="DMZ380" s="15"/>
      <c r="DNA380" s="15"/>
      <c r="DNB380" s="15"/>
      <c r="DNC380" s="10"/>
      <c r="DND380" s="10"/>
      <c r="DNE380" s="21"/>
      <c r="DNF380" s="21"/>
      <c r="DNI380" s="21"/>
      <c r="DNJ380" s="15"/>
      <c r="DNK380" s="15"/>
      <c r="DNL380" s="15"/>
      <c r="DNM380" s="15"/>
      <c r="DNN380" s="15"/>
      <c r="DNO380" s="15"/>
      <c r="DNP380" s="15"/>
      <c r="DNQ380" s="15"/>
      <c r="DNR380" s="15"/>
      <c r="DNS380" s="15"/>
      <c r="DNT380" s="10"/>
      <c r="DNU380" s="10"/>
      <c r="DNV380" s="21"/>
      <c r="DNW380" s="21"/>
      <c r="DNZ380" s="21"/>
      <c r="DOA380" s="15"/>
      <c r="DOB380" s="15"/>
      <c r="DOC380" s="15"/>
      <c r="DOD380" s="15"/>
      <c r="DOE380" s="15"/>
      <c r="DOF380" s="15"/>
      <c r="DOG380" s="15"/>
      <c r="DOH380" s="15"/>
      <c r="DOI380" s="15"/>
      <c r="DOJ380" s="15"/>
      <c r="DOK380" s="10"/>
      <c r="DOL380" s="10"/>
      <c r="DOM380" s="21"/>
      <c r="DON380" s="21"/>
      <c r="DOQ380" s="21"/>
      <c r="DOR380" s="15"/>
      <c r="DOS380" s="15"/>
      <c r="DOT380" s="15"/>
      <c r="DOU380" s="15"/>
      <c r="DOV380" s="15"/>
      <c r="DOW380" s="15"/>
      <c r="DOX380" s="15"/>
      <c r="DOY380" s="15"/>
      <c r="DOZ380" s="15"/>
      <c r="DPA380" s="15"/>
      <c r="DPB380" s="10"/>
      <c r="DPC380" s="10"/>
      <c r="DPD380" s="21"/>
      <c r="DPE380" s="21"/>
      <c r="DPH380" s="21"/>
      <c r="DPI380" s="15"/>
      <c r="DPJ380" s="15"/>
      <c r="DPK380" s="15"/>
      <c r="DPL380" s="15"/>
      <c r="DPM380" s="15"/>
      <c r="DPN380" s="15"/>
      <c r="DPO380" s="15"/>
      <c r="DPP380" s="15"/>
      <c r="DPQ380" s="15"/>
      <c r="DPR380" s="15"/>
      <c r="DPS380" s="10"/>
      <c r="DPT380" s="10"/>
      <c r="DPU380" s="21"/>
      <c r="DPV380" s="21"/>
      <c r="DPY380" s="21"/>
      <c r="DPZ380" s="15"/>
      <c r="DQA380" s="15"/>
      <c r="DQB380" s="15"/>
      <c r="DQC380" s="15"/>
      <c r="DQD380" s="15"/>
      <c r="DQE380" s="15"/>
      <c r="DQF380" s="15"/>
      <c r="DQG380" s="15"/>
      <c r="DQH380" s="15"/>
      <c r="DQI380" s="15"/>
      <c r="DQJ380" s="10"/>
      <c r="DQK380" s="10"/>
      <c r="DQL380" s="21"/>
      <c r="DQM380" s="21"/>
      <c r="DQP380" s="21"/>
      <c r="DQQ380" s="15"/>
      <c r="DQR380" s="15"/>
      <c r="DQS380" s="15"/>
      <c r="DQT380" s="15"/>
      <c r="DQU380" s="15"/>
      <c r="DQV380" s="15"/>
      <c r="DQW380" s="15"/>
      <c r="DQX380" s="15"/>
      <c r="DQY380" s="15"/>
      <c r="DQZ380" s="15"/>
      <c r="DRA380" s="10"/>
      <c r="DRB380" s="10"/>
      <c r="DRC380" s="21"/>
      <c r="DRD380" s="21"/>
      <c r="DRG380" s="21"/>
      <c r="DRH380" s="15"/>
      <c r="DRI380" s="15"/>
      <c r="DRJ380" s="15"/>
      <c r="DRK380" s="15"/>
      <c r="DRL380" s="15"/>
      <c r="DRM380" s="15"/>
      <c r="DRN380" s="15"/>
      <c r="DRO380" s="15"/>
      <c r="DRP380" s="15"/>
      <c r="DRQ380" s="15"/>
      <c r="DRR380" s="10"/>
      <c r="DRS380" s="10"/>
      <c r="DRT380" s="21"/>
      <c r="DRU380" s="21"/>
      <c r="DRX380" s="21"/>
      <c r="DRY380" s="15"/>
      <c r="DRZ380" s="15"/>
      <c r="DSA380" s="15"/>
      <c r="DSB380" s="15"/>
      <c r="DSC380" s="15"/>
      <c r="DSD380" s="15"/>
      <c r="DSE380" s="15"/>
      <c r="DSF380" s="15"/>
      <c r="DSG380" s="15"/>
      <c r="DSH380" s="15"/>
      <c r="DSI380" s="10"/>
      <c r="DSJ380" s="10"/>
      <c r="DSK380" s="21"/>
      <c r="DSL380" s="21"/>
      <c r="DSO380" s="21"/>
      <c r="DSP380" s="15"/>
      <c r="DSQ380" s="15"/>
      <c r="DSR380" s="15"/>
      <c r="DSS380" s="15"/>
      <c r="DST380" s="15"/>
      <c r="DSU380" s="15"/>
      <c r="DSV380" s="15"/>
      <c r="DSW380" s="15"/>
      <c r="DSX380" s="15"/>
      <c r="DSY380" s="15"/>
      <c r="DSZ380" s="10"/>
      <c r="DTA380" s="10"/>
      <c r="DTB380" s="21"/>
      <c r="DTC380" s="21"/>
      <c r="DTF380" s="21"/>
      <c r="DTG380" s="15"/>
      <c r="DTH380" s="15"/>
      <c r="DTI380" s="15"/>
      <c r="DTJ380" s="15"/>
      <c r="DTK380" s="15"/>
      <c r="DTL380" s="15"/>
      <c r="DTM380" s="15"/>
      <c r="DTN380" s="15"/>
      <c r="DTO380" s="15"/>
      <c r="DTP380" s="15"/>
      <c r="DTQ380" s="10"/>
      <c r="DTR380" s="10"/>
      <c r="DTS380" s="21"/>
      <c r="DTT380" s="21"/>
      <c r="DTW380" s="21"/>
      <c r="DTX380" s="15"/>
      <c r="DTY380" s="15"/>
      <c r="DTZ380" s="15"/>
      <c r="DUA380" s="15"/>
      <c r="DUB380" s="15"/>
      <c r="DUC380" s="15"/>
      <c r="DUD380" s="15"/>
      <c r="DUE380" s="15"/>
      <c r="DUF380" s="15"/>
      <c r="DUG380" s="15"/>
      <c r="DUH380" s="10"/>
      <c r="DUI380" s="10"/>
      <c r="DUJ380" s="21"/>
      <c r="DUK380" s="21"/>
      <c r="DUN380" s="21"/>
      <c r="DUO380" s="15"/>
      <c r="DUP380" s="15"/>
      <c r="DUQ380" s="15"/>
      <c r="DUR380" s="15"/>
      <c r="DUS380" s="15"/>
      <c r="DUT380" s="15"/>
      <c r="DUU380" s="15"/>
      <c r="DUV380" s="15"/>
      <c r="DUW380" s="15"/>
      <c r="DUX380" s="15"/>
      <c r="DUY380" s="10"/>
      <c r="DUZ380" s="10"/>
      <c r="DVA380" s="21"/>
      <c r="DVB380" s="21"/>
      <c r="DVE380" s="21"/>
      <c r="DVF380" s="15"/>
      <c r="DVG380" s="15"/>
      <c r="DVH380" s="15"/>
      <c r="DVI380" s="15"/>
      <c r="DVJ380" s="15"/>
      <c r="DVK380" s="15"/>
      <c r="DVL380" s="15"/>
      <c r="DVM380" s="15"/>
      <c r="DVN380" s="15"/>
      <c r="DVO380" s="15"/>
      <c r="DVP380" s="10"/>
      <c r="DVQ380" s="10"/>
      <c r="DVR380" s="21"/>
      <c r="DVS380" s="21"/>
      <c r="DVV380" s="21"/>
      <c r="DVW380" s="15"/>
      <c r="DVX380" s="15"/>
      <c r="DVY380" s="15"/>
      <c r="DVZ380" s="15"/>
      <c r="DWA380" s="15"/>
      <c r="DWB380" s="15"/>
      <c r="DWC380" s="15"/>
      <c r="DWD380" s="15"/>
      <c r="DWE380" s="15"/>
      <c r="DWF380" s="15"/>
      <c r="DWG380" s="10"/>
      <c r="DWH380" s="10"/>
      <c r="DWI380" s="21"/>
      <c r="DWJ380" s="21"/>
      <c r="DWM380" s="21"/>
      <c r="DWN380" s="15"/>
      <c r="DWO380" s="15"/>
      <c r="DWP380" s="15"/>
      <c r="DWQ380" s="15"/>
      <c r="DWR380" s="15"/>
      <c r="DWS380" s="15"/>
      <c r="DWT380" s="15"/>
      <c r="DWU380" s="15"/>
      <c r="DWV380" s="15"/>
      <c r="DWW380" s="15"/>
      <c r="DWX380" s="10"/>
      <c r="DWY380" s="10"/>
      <c r="DWZ380" s="21"/>
      <c r="DXA380" s="21"/>
      <c r="DXD380" s="21"/>
      <c r="DXE380" s="15"/>
      <c r="DXF380" s="15"/>
      <c r="DXG380" s="15"/>
      <c r="DXH380" s="15"/>
      <c r="DXI380" s="15"/>
      <c r="DXJ380" s="15"/>
      <c r="DXK380" s="15"/>
      <c r="DXL380" s="15"/>
      <c r="DXM380" s="15"/>
      <c r="DXN380" s="15"/>
      <c r="DXO380" s="10"/>
      <c r="DXP380" s="10"/>
      <c r="DXQ380" s="21"/>
      <c r="DXR380" s="21"/>
      <c r="DXU380" s="21"/>
      <c r="DXV380" s="15"/>
      <c r="DXW380" s="15"/>
      <c r="DXX380" s="15"/>
      <c r="DXY380" s="15"/>
      <c r="DXZ380" s="15"/>
      <c r="DYA380" s="15"/>
      <c r="DYB380" s="15"/>
      <c r="DYC380" s="15"/>
      <c r="DYD380" s="15"/>
      <c r="DYE380" s="15"/>
      <c r="DYF380" s="10"/>
      <c r="DYG380" s="10"/>
      <c r="DYH380" s="21"/>
      <c r="DYI380" s="21"/>
      <c r="DYL380" s="21"/>
      <c r="DYM380" s="15"/>
      <c r="DYN380" s="15"/>
      <c r="DYO380" s="15"/>
      <c r="DYP380" s="15"/>
      <c r="DYQ380" s="15"/>
      <c r="DYR380" s="15"/>
      <c r="DYS380" s="15"/>
      <c r="DYT380" s="15"/>
      <c r="DYU380" s="15"/>
      <c r="DYV380" s="15"/>
      <c r="DYW380" s="10"/>
      <c r="DYX380" s="10"/>
      <c r="DYY380" s="21"/>
      <c r="DYZ380" s="21"/>
      <c r="DZC380" s="21"/>
      <c r="DZD380" s="15"/>
      <c r="DZE380" s="15"/>
      <c r="DZF380" s="15"/>
      <c r="DZG380" s="15"/>
      <c r="DZH380" s="15"/>
      <c r="DZI380" s="15"/>
      <c r="DZJ380" s="15"/>
      <c r="DZK380" s="15"/>
      <c r="DZL380" s="15"/>
      <c r="DZM380" s="15"/>
      <c r="DZN380" s="10"/>
      <c r="DZO380" s="10"/>
      <c r="DZP380" s="21"/>
      <c r="DZQ380" s="21"/>
      <c r="DZT380" s="21"/>
      <c r="DZU380" s="15"/>
      <c r="DZV380" s="15"/>
      <c r="DZW380" s="15"/>
      <c r="DZX380" s="15"/>
      <c r="DZY380" s="15"/>
      <c r="DZZ380" s="15"/>
      <c r="EAA380" s="15"/>
      <c r="EAB380" s="15"/>
      <c r="EAC380" s="15"/>
      <c r="EAD380" s="15"/>
      <c r="EAE380" s="10"/>
      <c r="EAF380" s="10"/>
      <c r="EAG380" s="21"/>
      <c r="EAH380" s="21"/>
      <c r="EAK380" s="21"/>
      <c r="EAL380" s="15"/>
      <c r="EAM380" s="15"/>
      <c r="EAN380" s="15"/>
      <c r="EAO380" s="15"/>
      <c r="EAP380" s="15"/>
      <c r="EAQ380" s="15"/>
      <c r="EAR380" s="15"/>
      <c r="EAS380" s="15"/>
      <c r="EAT380" s="15"/>
      <c r="EAU380" s="15"/>
      <c r="EAV380" s="10"/>
      <c r="EAW380" s="10"/>
      <c r="EAX380" s="21"/>
      <c r="EAY380" s="21"/>
      <c r="EBB380" s="21"/>
      <c r="EBC380" s="15"/>
      <c r="EBD380" s="15"/>
      <c r="EBE380" s="15"/>
      <c r="EBF380" s="15"/>
      <c r="EBG380" s="15"/>
      <c r="EBH380" s="15"/>
      <c r="EBI380" s="15"/>
      <c r="EBJ380" s="15"/>
      <c r="EBK380" s="15"/>
      <c r="EBL380" s="15"/>
      <c r="EBM380" s="10"/>
      <c r="EBN380" s="10"/>
      <c r="EBO380" s="21"/>
      <c r="EBP380" s="21"/>
      <c r="EBS380" s="21"/>
      <c r="EBT380" s="15"/>
      <c r="EBU380" s="15"/>
      <c r="EBV380" s="15"/>
      <c r="EBW380" s="15"/>
      <c r="EBX380" s="15"/>
      <c r="EBY380" s="15"/>
      <c r="EBZ380" s="15"/>
      <c r="ECA380" s="15"/>
      <c r="ECB380" s="15"/>
      <c r="ECC380" s="15"/>
      <c r="ECD380" s="10"/>
      <c r="ECE380" s="10"/>
      <c r="ECF380" s="21"/>
      <c r="ECG380" s="21"/>
      <c r="ECJ380" s="21"/>
      <c r="ECK380" s="15"/>
      <c r="ECL380" s="15"/>
      <c r="ECM380" s="15"/>
      <c r="ECN380" s="15"/>
      <c r="ECO380" s="15"/>
      <c r="ECP380" s="15"/>
      <c r="ECQ380" s="15"/>
      <c r="ECR380" s="15"/>
      <c r="ECS380" s="15"/>
      <c r="ECT380" s="15"/>
      <c r="ECU380" s="10"/>
      <c r="ECV380" s="10"/>
      <c r="ECW380" s="21"/>
      <c r="ECX380" s="21"/>
      <c r="EDA380" s="21"/>
      <c r="EDB380" s="15"/>
      <c r="EDC380" s="15"/>
      <c r="EDD380" s="15"/>
      <c r="EDE380" s="15"/>
      <c r="EDF380" s="15"/>
      <c r="EDG380" s="15"/>
      <c r="EDH380" s="15"/>
      <c r="EDI380" s="15"/>
      <c r="EDJ380" s="15"/>
      <c r="EDK380" s="15"/>
      <c r="EDL380" s="10"/>
      <c r="EDM380" s="10"/>
      <c r="EDN380" s="21"/>
      <c r="EDO380" s="21"/>
      <c r="EDR380" s="21"/>
      <c r="EDS380" s="15"/>
      <c r="EDT380" s="15"/>
      <c r="EDU380" s="15"/>
      <c r="EDV380" s="15"/>
      <c r="EDW380" s="15"/>
      <c r="EDX380" s="15"/>
      <c r="EDY380" s="15"/>
      <c r="EDZ380" s="15"/>
      <c r="EEA380" s="15"/>
      <c r="EEB380" s="15"/>
      <c r="EEC380" s="10"/>
      <c r="EED380" s="10"/>
      <c r="EEE380" s="21"/>
      <c r="EEF380" s="21"/>
      <c r="EEI380" s="21"/>
      <c r="EEJ380" s="15"/>
      <c r="EEK380" s="15"/>
      <c r="EEL380" s="15"/>
      <c r="EEM380" s="15"/>
      <c r="EEN380" s="15"/>
      <c r="EEO380" s="15"/>
      <c r="EEP380" s="15"/>
      <c r="EEQ380" s="15"/>
      <c r="EER380" s="15"/>
      <c r="EES380" s="15"/>
      <c r="EET380" s="10"/>
      <c r="EEU380" s="10"/>
      <c r="EEV380" s="21"/>
      <c r="EEW380" s="21"/>
      <c r="EEZ380" s="21"/>
      <c r="EFA380" s="15"/>
      <c r="EFB380" s="15"/>
      <c r="EFC380" s="15"/>
      <c r="EFD380" s="15"/>
      <c r="EFE380" s="15"/>
      <c r="EFF380" s="15"/>
      <c r="EFG380" s="15"/>
      <c r="EFH380" s="15"/>
      <c r="EFI380" s="15"/>
      <c r="EFJ380" s="15"/>
      <c r="EFK380" s="10"/>
      <c r="EFL380" s="10"/>
      <c r="EFM380" s="21"/>
      <c r="EFN380" s="21"/>
      <c r="EFQ380" s="21"/>
      <c r="EFR380" s="15"/>
      <c r="EFS380" s="15"/>
      <c r="EFT380" s="15"/>
      <c r="EFU380" s="15"/>
      <c r="EFV380" s="15"/>
      <c r="EFW380" s="15"/>
      <c r="EFX380" s="15"/>
      <c r="EFY380" s="15"/>
      <c r="EFZ380" s="15"/>
      <c r="EGA380" s="15"/>
      <c r="EGB380" s="10"/>
      <c r="EGC380" s="10"/>
      <c r="EGD380" s="21"/>
      <c r="EGE380" s="21"/>
      <c r="EGH380" s="21"/>
      <c r="EGI380" s="15"/>
      <c r="EGJ380" s="15"/>
      <c r="EGK380" s="15"/>
      <c r="EGL380" s="15"/>
      <c r="EGM380" s="15"/>
      <c r="EGN380" s="15"/>
      <c r="EGO380" s="15"/>
      <c r="EGP380" s="15"/>
      <c r="EGQ380" s="15"/>
      <c r="EGR380" s="15"/>
      <c r="EGS380" s="10"/>
      <c r="EGT380" s="10"/>
      <c r="EGU380" s="21"/>
      <c r="EGV380" s="21"/>
      <c r="EGY380" s="21"/>
      <c r="EGZ380" s="15"/>
      <c r="EHA380" s="15"/>
      <c r="EHB380" s="15"/>
      <c r="EHC380" s="15"/>
      <c r="EHD380" s="15"/>
      <c r="EHE380" s="15"/>
      <c r="EHF380" s="15"/>
      <c r="EHG380" s="15"/>
      <c r="EHH380" s="15"/>
      <c r="EHI380" s="15"/>
      <c r="EHJ380" s="10"/>
      <c r="EHK380" s="10"/>
      <c r="EHL380" s="21"/>
      <c r="EHM380" s="21"/>
      <c r="EHP380" s="21"/>
      <c r="EHQ380" s="15"/>
      <c r="EHR380" s="15"/>
      <c r="EHS380" s="15"/>
      <c r="EHT380" s="15"/>
      <c r="EHU380" s="15"/>
      <c r="EHV380" s="15"/>
      <c r="EHW380" s="15"/>
      <c r="EHX380" s="15"/>
      <c r="EHY380" s="15"/>
      <c r="EHZ380" s="15"/>
      <c r="EIA380" s="10"/>
      <c r="EIB380" s="10"/>
      <c r="EIC380" s="21"/>
      <c r="EID380" s="21"/>
      <c r="EIG380" s="21"/>
      <c r="EIH380" s="15"/>
      <c r="EII380" s="15"/>
      <c r="EIJ380" s="15"/>
      <c r="EIK380" s="15"/>
      <c r="EIL380" s="15"/>
      <c r="EIM380" s="15"/>
      <c r="EIN380" s="15"/>
      <c r="EIO380" s="15"/>
      <c r="EIP380" s="15"/>
      <c r="EIQ380" s="15"/>
      <c r="EIR380" s="10"/>
      <c r="EIS380" s="10"/>
      <c r="EIT380" s="21"/>
      <c r="EIU380" s="21"/>
      <c r="EIX380" s="21"/>
      <c r="EIY380" s="15"/>
      <c r="EIZ380" s="15"/>
      <c r="EJA380" s="15"/>
      <c r="EJB380" s="15"/>
      <c r="EJC380" s="15"/>
      <c r="EJD380" s="15"/>
      <c r="EJE380" s="15"/>
      <c r="EJF380" s="15"/>
      <c r="EJG380" s="15"/>
      <c r="EJH380" s="15"/>
      <c r="EJI380" s="10"/>
      <c r="EJJ380" s="10"/>
      <c r="EJK380" s="21"/>
      <c r="EJL380" s="21"/>
      <c r="EJO380" s="21"/>
      <c r="EJP380" s="15"/>
      <c r="EJQ380" s="15"/>
      <c r="EJR380" s="15"/>
      <c r="EJS380" s="15"/>
      <c r="EJT380" s="15"/>
      <c r="EJU380" s="15"/>
      <c r="EJV380" s="15"/>
      <c r="EJW380" s="15"/>
      <c r="EJX380" s="15"/>
      <c r="EJY380" s="15"/>
      <c r="EJZ380" s="10"/>
      <c r="EKA380" s="10"/>
      <c r="EKB380" s="21"/>
      <c r="EKC380" s="21"/>
      <c r="EKF380" s="21"/>
      <c r="EKG380" s="15"/>
      <c r="EKH380" s="15"/>
      <c r="EKI380" s="15"/>
      <c r="EKJ380" s="15"/>
      <c r="EKK380" s="15"/>
      <c r="EKL380" s="15"/>
      <c r="EKM380" s="15"/>
      <c r="EKN380" s="15"/>
      <c r="EKO380" s="15"/>
      <c r="EKP380" s="15"/>
      <c r="EKQ380" s="10"/>
      <c r="EKR380" s="10"/>
      <c r="EKS380" s="21"/>
      <c r="EKT380" s="21"/>
      <c r="EKW380" s="21"/>
      <c r="EKX380" s="15"/>
      <c r="EKY380" s="15"/>
      <c r="EKZ380" s="15"/>
      <c r="ELA380" s="15"/>
      <c r="ELB380" s="15"/>
      <c r="ELC380" s="15"/>
      <c r="ELD380" s="15"/>
      <c r="ELE380" s="15"/>
      <c r="ELF380" s="15"/>
      <c r="ELG380" s="15"/>
      <c r="ELH380" s="10"/>
      <c r="ELI380" s="10"/>
      <c r="ELJ380" s="21"/>
      <c r="ELK380" s="21"/>
      <c r="ELN380" s="21"/>
      <c r="ELO380" s="15"/>
      <c r="ELP380" s="15"/>
      <c r="ELQ380" s="15"/>
      <c r="ELR380" s="15"/>
      <c r="ELS380" s="15"/>
      <c r="ELT380" s="15"/>
      <c r="ELU380" s="15"/>
      <c r="ELV380" s="15"/>
      <c r="ELW380" s="15"/>
      <c r="ELX380" s="15"/>
      <c r="ELY380" s="10"/>
      <c r="ELZ380" s="10"/>
      <c r="EMA380" s="21"/>
      <c r="EMB380" s="21"/>
      <c r="EME380" s="21"/>
      <c r="EMF380" s="15"/>
      <c r="EMG380" s="15"/>
      <c r="EMH380" s="15"/>
      <c r="EMI380" s="15"/>
      <c r="EMJ380" s="15"/>
      <c r="EMK380" s="15"/>
      <c r="EML380" s="15"/>
      <c r="EMM380" s="15"/>
      <c r="EMN380" s="15"/>
      <c r="EMO380" s="15"/>
      <c r="EMP380" s="10"/>
      <c r="EMQ380" s="10"/>
      <c r="EMR380" s="21"/>
      <c r="EMS380" s="21"/>
      <c r="EMV380" s="21"/>
      <c r="EMW380" s="15"/>
      <c r="EMX380" s="15"/>
      <c r="EMY380" s="15"/>
      <c r="EMZ380" s="15"/>
      <c r="ENA380" s="15"/>
      <c r="ENB380" s="15"/>
      <c r="ENC380" s="15"/>
      <c r="END380" s="15"/>
      <c r="ENE380" s="15"/>
      <c r="ENF380" s="15"/>
      <c r="ENG380" s="10"/>
      <c r="ENH380" s="10"/>
      <c r="ENI380" s="21"/>
      <c r="ENJ380" s="21"/>
      <c r="ENM380" s="21"/>
      <c r="ENN380" s="15"/>
      <c r="ENO380" s="15"/>
      <c r="ENP380" s="15"/>
      <c r="ENQ380" s="15"/>
      <c r="ENR380" s="15"/>
      <c r="ENS380" s="15"/>
      <c r="ENT380" s="15"/>
      <c r="ENU380" s="15"/>
      <c r="ENV380" s="15"/>
      <c r="ENW380" s="15"/>
      <c r="ENX380" s="10"/>
      <c r="ENY380" s="10"/>
      <c r="ENZ380" s="21"/>
      <c r="EOA380" s="21"/>
      <c r="EOD380" s="21"/>
      <c r="EOE380" s="15"/>
      <c r="EOF380" s="15"/>
      <c r="EOG380" s="15"/>
      <c r="EOH380" s="15"/>
      <c r="EOI380" s="15"/>
      <c r="EOJ380" s="15"/>
      <c r="EOK380" s="15"/>
      <c r="EOL380" s="15"/>
      <c r="EOM380" s="15"/>
      <c r="EON380" s="15"/>
      <c r="EOO380" s="10"/>
      <c r="EOP380" s="10"/>
      <c r="EOQ380" s="21"/>
      <c r="EOR380" s="21"/>
      <c r="EOU380" s="21"/>
      <c r="EOV380" s="15"/>
      <c r="EOW380" s="15"/>
      <c r="EOX380" s="15"/>
      <c r="EOY380" s="15"/>
      <c r="EOZ380" s="15"/>
      <c r="EPA380" s="15"/>
      <c r="EPB380" s="15"/>
      <c r="EPC380" s="15"/>
      <c r="EPD380" s="15"/>
      <c r="EPE380" s="15"/>
      <c r="EPF380" s="10"/>
      <c r="EPG380" s="10"/>
      <c r="EPH380" s="21"/>
      <c r="EPI380" s="21"/>
      <c r="EPL380" s="21"/>
      <c r="EPM380" s="15"/>
      <c r="EPN380" s="15"/>
      <c r="EPO380" s="15"/>
      <c r="EPP380" s="15"/>
      <c r="EPQ380" s="15"/>
      <c r="EPR380" s="15"/>
      <c r="EPS380" s="15"/>
      <c r="EPT380" s="15"/>
      <c r="EPU380" s="15"/>
      <c r="EPV380" s="15"/>
      <c r="EPW380" s="10"/>
      <c r="EPX380" s="10"/>
      <c r="EPY380" s="21"/>
      <c r="EPZ380" s="21"/>
      <c r="EQC380" s="21"/>
      <c r="EQD380" s="15"/>
      <c r="EQE380" s="15"/>
      <c r="EQF380" s="15"/>
      <c r="EQG380" s="15"/>
      <c r="EQH380" s="15"/>
      <c r="EQI380" s="15"/>
      <c r="EQJ380" s="15"/>
      <c r="EQK380" s="15"/>
      <c r="EQL380" s="15"/>
      <c r="EQM380" s="15"/>
      <c r="EQN380" s="10"/>
      <c r="EQO380" s="10"/>
      <c r="EQP380" s="21"/>
      <c r="EQQ380" s="21"/>
      <c r="EQT380" s="21"/>
      <c r="EQU380" s="15"/>
      <c r="EQV380" s="15"/>
      <c r="EQW380" s="15"/>
      <c r="EQX380" s="15"/>
      <c r="EQY380" s="15"/>
      <c r="EQZ380" s="15"/>
      <c r="ERA380" s="15"/>
      <c r="ERB380" s="15"/>
      <c r="ERC380" s="15"/>
      <c r="ERD380" s="15"/>
      <c r="ERE380" s="10"/>
      <c r="ERF380" s="10"/>
      <c r="ERG380" s="21"/>
      <c r="ERH380" s="21"/>
      <c r="ERK380" s="21"/>
      <c r="ERL380" s="15"/>
      <c r="ERM380" s="15"/>
      <c r="ERN380" s="15"/>
      <c r="ERO380" s="15"/>
      <c r="ERP380" s="15"/>
      <c r="ERQ380" s="15"/>
      <c r="ERR380" s="15"/>
      <c r="ERS380" s="15"/>
      <c r="ERT380" s="15"/>
      <c r="ERU380" s="15"/>
      <c r="ERV380" s="10"/>
      <c r="ERW380" s="10"/>
      <c r="ERX380" s="21"/>
      <c r="ERY380" s="21"/>
      <c r="ESB380" s="21"/>
      <c r="ESC380" s="15"/>
      <c r="ESD380" s="15"/>
      <c r="ESE380" s="15"/>
      <c r="ESF380" s="15"/>
      <c r="ESG380" s="15"/>
      <c r="ESH380" s="15"/>
      <c r="ESI380" s="15"/>
      <c r="ESJ380" s="15"/>
      <c r="ESK380" s="15"/>
      <c r="ESL380" s="15"/>
      <c r="ESM380" s="10"/>
      <c r="ESN380" s="10"/>
      <c r="ESO380" s="21"/>
      <c r="ESP380" s="21"/>
      <c r="ESS380" s="21"/>
      <c r="EST380" s="15"/>
      <c r="ESU380" s="15"/>
      <c r="ESV380" s="15"/>
      <c r="ESW380" s="15"/>
      <c r="ESX380" s="15"/>
      <c r="ESY380" s="15"/>
      <c r="ESZ380" s="15"/>
      <c r="ETA380" s="15"/>
      <c r="ETB380" s="15"/>
      <c r="ETC380" s="15"/>
      <c r="ETD380" s="10"/>
      <c r="ETE380" s="10"/>
      <c r="ETF380" s="21"/>
      <c r="ETG380" s="21"/>
      <c r="ETJ380" s="21"/>
      <c r="ETK380" s="15"/>
      <c r="ETL380" s="15"/>
      <c r="ETM380" s="15"/>
      <c r="ETN380" s="15"/>
      <c r="ETO380" s="15"/>
      <c r="ETP380" s="15"/>
      <c r="ETQ380" s="15"/>
      <c r="ETR380" s="15"/>
      <c r="ETS380" s="15"/>
      <c r="ETT380" s="15"/>
      <c r="ETU380" s="10"/>
      <c r="ETV380" s="10"/>
      <c r="ETW380" s="21"/>
      <c r="ETX380" s="21"/>
      <c r="EUA380" s="21"/>
      <c r="EUB380" s="15"/>
      <c r="EUC380" s="15"/>
      <c r="EUD380" s="15"/>
      <c r="EUE380" s="15"/>
      <c r="EUF380" s="15"/>
      <c r="EUG380" s="15"/>
      <c r="EUH380" s="15"/>
      <c r="EUI380" s="15"/>
      <c r="EUJ380" s="15"/>
      <c r="EUK380" s="15"/>
      <c r="EUL380" s="10"/>
      <c r="EUM380" s="10"/>
      <c r="EUN380" s="21"/>
      <c r="EUO380" s="21"/>
      <c r="EUR380" s="21"/>
      <c r="EUS380" s="15"/>
      <c r="EUT380" s="15"/>
      <c r="EUU380" s="15"/>
      <c r="EUV380" s="15"/>
      <c r="EUW380" s="15"/>
      <c r="EUX380" s="15"/>
      <c r="EUY380" s="15"/>
      <c r="EUZ380" s="15"/>
      <c r="EVA380" s="15"/>
      <c r="EVB380" s="15"/>
      <c r="EVC380" s="10"/>
      <c r="EVD380" s="10"/>
      <c r="EVE380" s="21"/>
      <c r="EVF380" s="21"/>
      <c r="EVI380" s="21"/>
      <c r="EVJ380" s="15"/>
      <c r="EVK380" s="15"/>
      <c r="EVL380" s="15"/>
      <c r="EVM380" s="15"/>
      <c r="EVN380" s="15"/>
      <c r="EVO380" s="15"/>
      <c r="EVP380" s="15"/>
      <c r="EVQ380" s="15"/>
      <c r="EVR380" s="15"/>
      <c r="EVS380" s="15"/>
      <c r="EVT380" s="10"/>
      <c r="EVU380" s="10"/>
      <c r="EVV380" s="21"/>
      <c r="EVW380" s="21"/>
      <c r="EVZ380" s="21"/>
      <c r="EWA380" s="15"/>
      <c r="EWB380" s="15"/>
      <c r="EWC380" s="15"/>
      <c r="EWD380" s="15"/>
      <c r="EWE380" s="15"/>
      <c r="EWF380" s="15"/>
      <c r="EWG380" s="15"/>
      <c r="EWH380" s="15"/>
      <c r="EWI380" s="15"/>
      <c r="EWJ380" s="15"/>
      <c r="EWK380" s="10"/>
      <c r="EWL380" s="10"/>
      <c r="EWM380" s="21"/>
      <c r="EWN380" s="21"/>
      <c r="EWQ380" s="21"/>
      <c r="EWR380" s="15"/>
      <c r="EWS380" s="15"/>
      <c r="EWT380" s="15"/>
      <c r="EWU380" s="15"/>
      <c r="EWV380" s="15"/>
      <c r="EWW380" s="15"/>
      <c r="EWX380" s="15"/>
      <c r="EWY380" s="15"/>
      <c r="EWZ380" s="15"/>
      <c r="EXA380" s="15"/>
      <c r="EXB380" s="10"/>
      <c r="EXC380" s="10"/>
      <c r="EXD380" s="21"/>
      <c r="EXE380" s="21"/>
      <c r="EXH380" s="21"/>
      <c r="EXI380" s="15"/>
      <c r="EXJ380" s="15"/>
      <c r="EXK380" s="15"/>
      <c r="EXL380" s="15"/>
      <c r="EXM380" s="15"/>
      <c r="EXN380" s="15"/>
      <c r="EXO380" s="15"/>
      <c r="EXP380" s="15"/>
      <c r="EXQ380" s="15"/>
      <c r="EXR380" s="15"/>
      <c r="EXS380" s="10"/>
      <c r="EXT380" s="10"/>
      <c r="EXU380" s="21"/>
      <c r="EXV380" s="21"/>
      <c r="EXY380" s="21"/>
      <c r="EXZ380" s="15"/>
      <c r="EYA380" s="15"/>
      <c r="EYB380" s="15"/>
      <c r="EYC380" s="15"/>
      <c r="EYD380" s="15"/>
      <c r="EYE380" s="15"/>
      <c r="EYF380" s="15"/>
      <c r="EYG380" s="15"/>
      <c r="EYH380" s="15"/>
      <c r="EYI380" s="15"/>
      <c r="EYJ380" s="10"/>
      <c r="EYK380" s="10"/>
      <c r="EYL380" s="21"/>
      <c r="EYM380" s="21"/>
      <c r="EYP380" s="21"/>
      <c r="EYQ380" s="15"/>
      <c r="EYR380" s="15"/>
      <c r="EYS380" s="15"/>
      <c r="EYT380" s="15"/>
      <c r="EYU380" s="15"/>
      <c r="EYV380" s="15"/>
      <c r="EYW380" s="15"/>
      <c r="EYX380" s="15"/>
      <c r="EYY380" s="15"/>
      <c r="EYZ380" s="15"/>
      <c r="EZA380" s="10"/>
      <c r="EZB380" s="10"/>
      <c r="EZC380" s="21"/>
      <c r="EZD380" s="21"/>
      <c r="EZG380" s="21"/>
      <c r="EZH380" s="15"/>
      <c r="EZI380" s="15"/>
      <c r="EZJ380" s="15"/>
      <c r="EZK380" s="15"/>
      <c r="EZL380" s="15"/>
      <c r="EZM380" s="15"/>
      <c r="EZN380" s="15"/>
      <c r="EZO380" s="15"/>
      <c r="EZP380" s="15"/>
      <c r="EZQ380" s="15"/>
      <c r="EZR380" s="10"/>
      <c r="EZS380" s="10"/>
      <c r="EZT380" s="21"/>
      <c r="EZU380" s="21"/>
      <c r="EZX380" s="21"/>
      <c r="EZY380" s="15"/>
      <c r="EZZ380" s="15"/>
      <c r="FAA380" s="15"/>
      <c r="FAB380" s="15"/>
      <c r="FAC380" s="15"/>
      <c r="FAD380" s="15"/>
      <c r="FAE380" s="15"/>
      <c r="FAF380" s="15"/>
      <c r="FAG380" s="15"/>
      <c r="FAH380" s="15"/>
      <c r="FAI380" s="10"/>
      <c r="FAJ380" s="10"/>
      <c r="FAK380" s="21"/>
      <c r="FAL380" s="21"/>
      <c r="FAO380" s="21"/>
      <c r="FAP380" s="15"/>
      <c r="FAQ380" s="15"/>
      <c r="FAR380" s="15"/>
      <c r="FAS380" s="15"/>
      <c r="FAT380" s="15"/>
      <c r="FAU380" s="15"/>
      <c r="FAV380" s="15"/>
      <c r="FAW380" s="15"/>
      <c r="FAX380" s="15"/>
      <c r="FAY380" s="15"/>
      <c r="FAZ380" s="10"/>
      <c r="FBA380" s="10"/>
      <c r="FBB380" s="21"/>
      <c r="FBC380" s="21"/>
      <c r="FBF380" s="21"/>
      <c r="FBG380" s="15"/>
      <c r="FBH380" s="15"/>
      <c r="FBI380" s="15"/>
      <c r="FBJ380" s="15"/>
      <c r="FBK380" s="15"/>
      <c r="FBL380" s="15"/>
      <c r="FBM380" s="15"/>
      <c r="FBN380" s="15"/>
      <c r="FBO380" s="15"/>
      <c r="FBP380" s="15"/>
      <c r="FBQ380" s="10"/>
      <c r="FBR380" s="10"/>
      <c r="FBS380" s="21"/>
      <c r="FBT380" s="21"/>
      <c r="FBW380" s="21"/>
      <c r="FBX380" s="15"/>
      <c r="FBY380" s="15"/>
      <c r="FBZ380" s="15"/>
      <c r="FCA380" s="15"/>
      <c r="FCB380" s="15"/>
      <c r="FCC380" s="15"/>
      <c r="FCD380" s="15"/>
      <c r="FCE380" s="15"/>
      <c r="FCF380" s="15"/>
      <c r="FCG380" s="15"/>
      <c r="FCH380" s="10"/>
      <c r="FCI380" s="10"/>
      <c r="FCJ380" s="21"/>
      <c r="FCK380" s="21"/>
      <c r="FCN380" s="21"/>
      <c r="FCO380" s="15"/>
      <c r="FCP380" s="15"/>
      <c r="FCQ380" s="15"/>
      <c r="FCR380" s="15"/>
      <c r="FCS380" s="15"/>
      <c r="FCT380" s="15"/>
      <c r="FCU380" s="15"/>
      <c r="FCV380" s="15"/>
      <c r="FCW380" s="15"/>
      <c r="FCX380" s="15"/>
      <c r="FCY380" s="10"/>
      <c r="FCZ380" s="10"/>
      <c r="FDA380" s="21"/>
      <c r="FDB380" s="21"/>
      <c r="FDE380" s="21"/>
      <c r="FDF380" s="15"/>
      <c r="FDG380" s="15"/>
      <c r="FDH380" s="15"/>
      <c r="FDI380" s="15"/>
      <c r="FDJ380" s="15"/>
      <c r="FDK380" s="15"/>
      <c r="FDL380" s="15"/>
      <c r="FDM380" s="15"/>
      <c r="FDN380" s="15"/>
      <c r="FDO380" s="15"/>
      <c r="FDP380" s="10"/>
      <c r="FDQ380" s="10"/>
      <c r="FDR380" s="21"/>
      <c r="FDS380" s="21"/>
      <c r="FDV380" s="21"/>
      <c r="FDW380" s="15"/>
      <c r="FDX380" s="15"/>
      <c r="FDY380" s="15"/>
      <c r="FDZ380" s="15"/>
      <c r="FEA380" s="15"/>
      <c r="FEB380" s="15"/>
      <c r="FEC380" s="15"/>
      <c r="FED380" s="15"/>
      <c r="FEE380" s="15"/>
      <c r="FEF380" s="15"/>
      <c r="FEG380" s="10"/>
      <c r="FEH380" s="10"/>
      <c r="FEI380" s="21"/>
      <c r="FEJ380" s="21"/>
      <c r="FEM380" s="21"/>
      <c r="FEN380" s="15"/>
      <c r="FEO380" s="15"/>
      <c r="FEP380" s="15"/>
      <c r="FEQ380" s="15"/>
      <c r="FER380" s="15"/>
      <c r="FES380" s="15"/>
      <c r="FET380" s="15"/>
      <c r="FEU380" s="15"/>
      <c r="FEV380" s="15"/>
      <c r="FEW380" s="15"/>
      <c r="FEX380" s="10"/>
      <c r="FEY380" s="10"/>
      <c r="FEZ380" s="21"/>
      <c r="FFA380" s="21"/>
      <c r="FFD380" s="21"/>
      <c r="FFE380" s="15"/>
      <c r="FFF380" s="15"/>
      <c r="FFG380" s="15"/>
      <c r="FFH380" s="15"/>
      <c r="FFI380" s="15"/>
      <c r="FFJ380" s="15"/>
      <c r="FFK380" s="15"/>
      <c r="FFL380" s="15"/>
      <c r="FFM380" s="15"/>
      <c r="FFN380" s="15"/>
      <c r="FFO380" s="10"/>
      <c r="FFP380" s="10"/>
      <c r="FFQ380" s="21"/>
      <c r="FFR380" s="21"/>
      <c r="FFU380" s="21"/>
      <c r="FFV380" s="15"/>
      <c r="FFW380" s="15"/>
      <c r="FFX380" s="15"/>
      <c r="FFY380" s="15"/>
      <c r="FFZ380" s="15"/>
      <c r="FGA380" s="15"/>
      <c r="FGB380" s="15"/>
      <c r="FGC380" s="15"/>
      <c r="FGD380" s="15"/>
      <c r="FGE380" s="15"/>
      <c r="FGF380" s="10"/>
      <c r="FGG380" s="10"/>
      <c r="FGH380" s="21"/>
      <c r="FGI380" s="21"/>
      <c r="FGL380" s="21"/>
      <c r="FGM380" s="15"/>
      <c r="FGN380" s="15"/>
      <c r="FGO380" s="15"/>
      <c r="FGP380" s="15"/>
      <c r="FGQ380" s="15"/>
      <c r="FGR380" s="15"/>
      <c r="FGS380" s="15"/>
      <c r="FGT380" s="15"/>
      <c r="FGU380" s="15"/>
      <c r="FGV380" s="15"/>
      <c r="FGW380" s="10"/>
      <c r="FGX380" s="10"/>
      <c r="FGY380" s="21"/>
      <c r="FGZ380" s="21"/>
      <c r="FHC380" s="21"/>
      <c r="FHD380" s="15"/>
      <c r="FHE380" s="15"/>
      <c r="FHF380" s="15"/>
      <c r="FHG380" s="15"/>
      <c r="FHH380" s="15"/>
      <c r="FHI380" s="15"/>
      <c r="FHJ380" s="15"/>
      <c r="FHK380" s="15"/>
      <c r="FHL380" s="15"/>
      <c r="FHM380" s="15"/>
      <c r="FHN380" s="10"/>
      <c r="FHO380" s="10"/>
      <c r="FHP380" s="21"/>
      <c r="FHQ380" s="21"/>
      <c r="FHT380" s="21"/>
      <c r="FHU380" s="15"/>
      <c r="FHV380" s="15"/>
      <c r="FHW380" s="15"/>
      <c r="FHX380" s="15"/>
      <c r="FHY380" s="15"/>
      <c r="FHZ380" s="15"/>
      <c r="FIA380" s="15"/>
      <c r="FIB380" s="15"/>
      <c r="FIC380" s="15"/>
      <c r="FID380" s="15"/>
      <c r="FIE380" s="10"/>
      <c r="FIF380" s="10"/>
      <c r="FIG380" s="21"/>
      <c r="FIH380" s="21"/>
      <c r="FIK380" s="21"/>
      <c r="FIL380" s="15"/>
      <c r="FIM380" s="15"/>
      <c r="FIN380" s="15"/>
      <c r="FIO380" s="15"/>
      <c r="FIP380" s="15"/>
      <c r="FIQ380" s="15"/>
      <c r="FIR380" s="15"/>
      <c r="FIS380" s="15"/>
      <c r="FIT380" s="15"/>
      <c r="FIU380" s="15"/>
      <c r="FIV380" s="10"/>
      <c r="FIW380" s="10"/>
      <c r="FIX380" s="21"/>
      <c r="FIY380" s="21"/>
      <c r="FJB380" s="21"/>
      <c r="FJC380" s="15"/>
      <c r="FJD380" s="15"/>
      <c r="FJE380" s="15"/>
      <c r="FJF380" s="15"/>
      <c r="FJG380" s="15"/>
      <c r="FJH380" s="15"/>
      <c r="FJI380" s="15"/>
      <c r="FJJ380" s="15"/>
      <c r="FJK380" s="15"/>
      <c r="FJL380" s="15"/>
      <c r="FJM380" s="10"/>
      <c r="FJN380" s="10"/>
      <c r="FJO380" s="21"/>
      <c r="FJP380" s="21"/>
      <c r="FJS380" s="21"/>
      <c r="FJT380" s="15"/>
      <c r="FJU380" s="15"/>
      <c r="FJV380" s="15"/>
      <c r="FJW380" s="15"/>
      <c r="FJX380" s="15"/>
      <c r="FJY380" s="15"/>
      <c r="FJZ380" s="15"/>
      <c r="FKA380" s="15"/>
      <c r="FKB380" s="15"/>
      <c r="FKC380" s="15"/>
      <c r="FKD380" s="10"/>
      <c r="FKE380" s="10"/>
      <c r="FKF380" s="21"/>
      <c r="FKG380" s="21"/>
      <c r="FKJ380" s="21"/>
      <c r="FKK380" s="15"/>
      <c r="FKL380" s="15"/>
      <c r="FKM380" s="15"/>
      <c r="FKN380" s="15"/>
      <c r="FKO380" s="15"/>
      <c r="FKP380" s="15"/>
      <c r="FKQ380" s="15"/>
      <c r="FKR380" s="15"/>
      <c r="FKS380" s="15"/>
      <c r="FKT380" s="15"/>
      <c r="FKU380" s="10"/>
      <c r="FKV380" s="10"/>
      <c r="FKW380" s="21"/>
      <c r="FKX380" s="21"/>
      <c r="FLA380" s="21"/>
      <c r="FLB380" s="15"/>
      <c r="FLC380" s="15"/>
      <c r="FLD380" s="15"/>
      <c r="FLE380" s="15"/>
      <c r="FLF380" s="15"/>
      <c r="FLG380" s="15"/>
      <c r="FLH380" s="15"/>
      <c r="FLI380" s="15"/>
      <c r="FLJ380" s="15"/>
      <c r="FLK380" s="15"/>
      <c r="FLL380" s="10"/>
      <c r="FLM380" s="10"/>
      <c r="FLN380" s="21"/>
      <c r="FLO380" s="21"/>
      <c r="FLR380" s="21"/>
      <c r="FLS380" s="15"/>
      <c r="FLT380" s="15"/>
      <c r="FLU380" s="15"/>
      <c r="FLV380" s="15"/>
      <c r="FLW380" s="15"/>
      <c r="FLX380" s="15"/>
      <c r="FLY380" s="15"/>
      <c r="FLZ380" s="15"/>
      <c r="FMA380" s="15"/>
      <c r="FMB380" s="15"/>
      <c r="FMC380" s="10"/>
      <c r="FMD380" s="10"/>
      <c r="FME380" s="21"/>
      <c r="FMF380" s="21"/>
      <c r="FMI380" s="21"/>
      <c r="FMJ380" s="15"/>
      <c r="FMK380" s="15"/>
      <c r="FML380" s="15"/>
      <c r="FMM380" s="15"/>
      <c r="FMN380" s="15"/>
      <c r="FMO380" s="15"/>
      <c r="FMP380" s="15"/>
      <c r="FMQ380" s="15"/>
      <c r="FMR380" s="15"/>
      <c r="FMS380" s="15"/>
      <c r="FMT380" s="10"/>
      <c r="FMU380" s="10"/>
      <c r="FMV380" s="21"/>
      <c r="FMW380" s="21"/>
      <c r="FMZ380" s="21"/>
      <c r="FNA380" s="15"/>
      <c r="FNB380" s="15"/>
      <c r="FNC380" s="15"/>
      <c r="FND380" s="15"/>
      <c r="FNE380" s="15"/>
      <c r="FNF380" s="15"/>
      <c r="FNG380" s="15"/>
      <c r="FNH380" s="15"/>
      <c r="FNI380" s="15"/>
      <c r="FNJ380" s="15"/>
      <c r="FNK380" s="10"/>
      <c r="FNL380" s="10"/>
      <c r="FNM380" s="21"/>
      <c r="FNN380" s="21"/>
      <c r="FNQ380" s="21"/>
      <c r="FNR380" s="15"/>
      <c r="FNS380" s="15"/>
      <c r="FNT380" s="15"/>
      <c r="FNU380" s="15"/>
      <c r="FNV380" s="15"/>
      <c r="FNW380" s="15"/>
      <c r="FNX380" s="15"/>
      <c r="FNY380" s="15"/>
      <c r="FNZ380" s="15"/>
      <c r="FOA380" s="15"/>
      <c r="FOB380" s="10"/>
      <c r="FOC380" s="10"/>
      <c r="FOD380" s="21"/>
      <c r="FOE380" s="21"/>
      <c r="FOH380" s="21"/>
      <c r="FOI380" s="15"/>
      <c r="FOJ380" s="15"/>
      <c r="FOK380" s="15"/>
      <c r="FOL380" s="15"/>
      <c r="FOM380" s="15"/>
      <c r="FON380" s="15"/>
      <c r="FOO380" s="15"/>
      <c r="FOP380" s="15"/>
      <c r="FOQ380" s="15"/>
      <c r="FOR380" s="15"/>
      <c r="FOS380" s="10"/>
      <c r="FOT380" s="10"/>
      <c r="FOU380" s="21"/>
      <c r="FOV380" s="21"/>
      <c r="FOY380" s="21"/>
      <c r="FOZ380" s="15"/>
      <c r="FPA380" s="15"/>
      <c r="FPB380" s="15"/>
      <c r="FPC380" s="15"/>
      <c r="FPD380" s="15"/>
      <c r="FPE380" s="15"/>
      <c r="FPF380" s="15"/>
      <c r="FPG380" s="15"/>
      <c r="FPH380" s="15"/>
      <c r="FPI380" s="15"/>
      <c r="FPJ380" s="10"/>
      <c r="FPK380" s="10"/>
      <c r="FPL380" s="21"/>
      <c r="FPM380" s="21"/>
      <c r="FPP380" s="21"/>
      <c r="FPQ380" s="15"/>
      <c r="FPR380" s="15"/>
      <c r="FPS380" s="15"/>
      <c r="FPT380" s="15"/>
      <c r="FPU380" s="15"/>
      <c r="FPV380" s="15"/>
      <c r="FPW380" s="15"/>
      <c r="FPX380" s="15"/>
      <c r="FPY380" s="15"/>
      <c r="FPZ380" s="15"/>
      <c r="FQA380" s="10"/>
      <c r="FQB380" s="10"/>
      <c r="FQC380" s="21"/>
      <c r="FQD380" s="21"/>
      <c r="FQG380" s="21"/>
      <c r="FQH380" s="15"/>
      <c r="FQI380" s="15"/>
      <c r="FQJ380" s="15"/>
      <c r="FQK380" s="15"/>
      <c r="FQL380" s="15"/>
      <c r="FQM380" s="15"/>
      <c r="FQN380" s="15"/>
      <c r="FQO380" s="15"/>
      <c r="FQP380" s="15"/>
      <c r="FQQ380" s="15"/>
      <c r="FQR380" s="10"/>
      <c r="FQS380" s="10"/>
      <c r="FQT380" s="21"/>
      <c r="FQU380" s="21"/>
      <c r="FQX380" s="21"/>
      <c r="FQY380" s="15"/>
      <c r="FQZ380" s="15"/>
      <c r="FRA380" s="15"/>
      <c r="FRB380" s="15"/>
      <c r="FRC380" s="15"/>
      <c r="FRD380" s="15"/>
      <c r="FRE380" s="15"/>
      <c r="FRF380" s="15"/>
      <c r="FRG380" s="15"/>
      <c r="FRH380" s="15"/>
      <c r="FRI380" s="10"/>
      <c r="FRJ380" s="10"/>
      <c r="FRK380" s="21"/>
      <c r="FRL380" s="21"/>
      <c r="FRO380" s="21"/>
      <c r="FRP380" s="15"/>
      <c r="FRQ380" s="15"/>
      <c r="FRR380" s="15"/>
      <c r="FRS380" s="15"/>
      <c r="FRT380" s="15"/>
      <c r="FRU380" s="15"/>
      <c r="FRV380" s="15"/>
      <c r="FRW380" s="15"/>
      <c r="FRX380" s="15"/>
      <c r="FRY380" s="15"/>
      <c r="FRZ380" s="10"/>
      <c r="FSA380" s="10"/>
      <c r="FSB380" s="21"/>
      <c r="FSC380" s="21"/>
      <c r="FSF380" s="21"/>
      <c r="FSG380" s="15"/>
      <c r="FSH380" s="15"/>
      <c r="FSI380" s="15"/>
      <c r="FSJ380" s="15"/>
      <c r="FSK380" s="15"/>
      <c r="FSL380" s="15"/>
      <c r="FSM380" s="15"/>
      <c r="FSN380" s="15"/>
      <c r="FSO380" s="15"/>
      <c r="FSP380" s="15"/>
      <c r="FSQ380" s="10"/>
      <c r="FSR380" s="10"/>
      <c r="FSS380" s="21"/>
      <c r="FST380" s="21"/>
      <c r="FSW380" s="21"/>
      <c r="FSX380" s="15"/>
      <c r="FSY380" s="15"/>
      <c r="FSZ380" s="15"/>
      <c r="FTA380" s="15"/>
      <c r="FTB380" s="15"/>
      <c r="FTC380" s="15"/>
      <c r="FTD380" s="15"/>
      <c r="FTE380" s="15"/>
      <c r="FTF380" s="15"/>
      <c r="FTG380" s="15"/>
      <c r="FTH380" s="10"/>
      <c r="FTI380" s="10"/>
      <c r="FTJ380" s="21"/>
      <c r="FTK380" s="21"/>
      <c r="FTN380" s="21"/>
      <c r="FTO380" s="15"/>
      <c r="FTP380" s="15"/>
      <c r="FTQ380" s="15"/>
      <c r="FTR380" s="15"/>
      <c r="FTS380" s="15"/>
      <c r="FTT380" s="15"/>
      <c r="FTU380" s="15"/>
      <c r="FTV380" s="15"/>
      <c r="FTW380" s="15"/>
      <c r="FTX380" s="15"/>
      <c r="FTY380" s="10"/>
      <c r="FTZ380" s="10"/>
      <c r="FUA380" s="21"/>
      <c r="FUB380" s="21"/>
      <c r="FUE380" s="21"/>
      <c r="FUF380" s="15"/>
      <c r="FUG380" s="15"/>
      <c r="FUH380" s="15"/>
      <c r="FUI380" s="15"/>
      <c r="FUJ380" s="15"/>
      <c r="FUK380" s="15"/>
      <c r="FUL380" s="15"/>
      <c r="FUM380" s="15"/>
      <c r="FUN380" s="15"/>
      <c r="FUO380" s="15"/>
      <c r="FUP380" s="10"/>
      <c r="FUQ380" s="10"/>
      <c r="FUR380" s="21"/>
      <c r="FUS380" s="21"/>
      <c r="FUV380" s="21"/>
      <c r="FUW380" s="15"/>
      <c r="FUX380" s="15"/>
      <c r="FUY380" s="15"/>
      <c r="FUZ380" s="15"/>
      <c r="FVA380" s="15"/>
      <c r="FVB380" s="15"/>
      <c r="FVC380" s="15"/>
      <c r="FVD380" s="15"/>
      <c r="FVE380" s="15"/>
      <c r="FVF380" s="15"/>
      <c r="FVG380" s="10"/>
      <c r="FVH380" s="10"/>
      <c r="FVI380" s="21"/>
      <c r="FVJ380" s="21"/>
      <c r="FVM380" s="21"/>
      <c r="FVN380" s="15"/>
      <c r="FVO380" s="15"/>
      <c r="FVP380" s="15"/>
      <c r="FVQ380" s="15"/>
      <c r="FVR380" s="15"/>
      <c r="FVS380" s="15"/>
      <c r="FVT380" s="15"/>
      <c r="FVU380" s="15"/>
      <c r="FVV380" s="15"/>
      <c r="FVW380" s="15"/>
      <c r="FVX380" s="10"/>
      <c r="FVY380" s="10"/>
      <c r="FVZ380" s="21"/>
      <c r="FWA380" s="21"/>
      <c r="FWD380" s="21"/>
      <c r="FWE380" s="15"/>
      <c r="FWF380" s="15"/>
      <c r="FWG380" s="15"/>
      <c r="FWH380" s="15"/>
      <c r="FWI380" s="15"/>
      <c r="FWJ380" s="15"/>
      <c r="FWK380" s="15"/>
      <c r="FWL380" s="15"/>
      <c r="FWM380" s="15"/>
      <c r="FWN380" s="15"/>
      <c r="FWO380" s="10"/>
      <c r="FWP380" s="10"/>
      <c r="FWQ380" s="21"/>
      <c r="FWR380" s="21"/>
      <c r="FWU380" s="21"/>
      <c r="FWV380" s="15"/>
      <c r="FWW380" s="15"/>
      <c r="FWX380" s="15"/>
      <c r="FWY380" s="15"/>
      <c r="FWZ380" s="15"/>
      <c r="FXA380" s="15"/>
      <c r="FXB380" s="15"/>
      <c r="FXC380" s="15"/>
      <c r="FXD380" s="15"/>
      <c r="FXE380" s="15"/>
      <c r="FXF380" s="10"/>
      <c r="FXG380" s="10"/>
      <c r="FXH380" s="21"/>
      <c r="FXI380" s="21"/>
      <c r="FXL380" s="21"/>
      <c r="FXM380" s="15"/>
      <c r="FXN380" s="15"/>
      <c r="FXO380" s="15"/>
      <c r="FXP380" s="15"/>
      <c r="FXQ380" s="15"/>
      <c r="FXR380" s="15"/>
      <c r="FXS380" s="15"/>
      <c r="FXT380" s="15"/>
      <c r="FXU380" s="15"/>
      <c r="FXV380" s="15"/>
      <c r="FXW380" s="10"/>
      <c r="FXX380" s="10"/>
      <c r="FXY380" s="21"/>
      <c r="FXZ380" s="21"/>
      <c r="FYC380" s="21"/>
      <c r="FYD380" s="15"/>
      <c r="FYE380" s="15"/>
      <c r="FYF380" s="15"/>
      <c r="FYG380" s="15"/>
      <c r="FYH380" s="15"/>
      <c r="FYI380" s="15"/>
      <c r="FYJ380" s="15"/>
      <c r="FYK380" s="15"/>
      <c r="FYL380" s="15"/>
      <c r="FYM380" s="15"/>
      <c r="FYN380" s="10"/>
      <c r="FYO380" s="10"/>
      <c r="FYP380" s="21"/>
      <c r="FYQ380" s="21"/>
      <c r="FYT380" s="21"/>
      <c r="FYU380" s="15"/>
      <c r="FYV380" s="15"/>
      <c r="FYW380" s="15"/>
      <c r="FYX380" s="15"/>
      <c r="FYY380" s="15"/>
      <c r="FYZ380" s="15"/>
      <c r="FZA380" s="15"/>
      <c r="FZB380" s="15"/>
      <c r="FZC380" s="15"/>
      <c r="FZD380" s="15"/>
      <c r="FZE380" s="10"/>
      <c r="FZF380" s="10"/>
      <c r="FZG380" s="21"/>
      <c r="FZH380" s="21"/>
      <c r="FZK380" s="21"/>
      <c r="FZL380" s="15"/>
      <c r="FZM380" s="15"/>
      <c r="FZN380" s="15"/>
      <c r="FZO380" s="15"/>
      <c r="FZP380" s="15"/>
      <c r="FZQ380" s="15"/>
      <c r="FZR380" s="15"/>
      <c r="FZS380" s="15"/>
      <c r="FZT380" s="15"/>
      <c r="FZU380" s="15"/>
      <c r="FZV380" s="10"/>
      <c r="FZW380" s="10"/>
      <c r="FZX380" s="21"/>
      <c r="FZY380" s="21"/>
      <c r="GAB380" s="21"/>
      <c r="GAC380" s="15"/>
      <c r="GAD380" s="15"/>
      <c r="GAE380" s="15"/>
      <c r="GAF380" s="15"/>
      <c r="GAG380" s="15"/>
      <c r="GAH380" s="15"/>
      <c r="GAI380" s="15"/>
      <c r="GAJ380" s="15"/>
      <c r="GAK380" s="15"/>
      <c r="GAL380" s="15"/>
      <c r="GAM380" s="10"/>
      <c r="GAN380" s="10"/>
      <c r="GAO380" s="21"/>
      <c r="GAP380" s="21"/>
      <c r="GAS380" s="21"/>
      <c r="GAT380" s="15"/>
      <c r="GAU380" s="15"/>
      <c r="GAV380" s="15"/>
      <c r="GAW380" s="15"/>
      <c r="GAX380" s="15"/>
      <c r="GAY380" s="15"/>
      <c r="GAZ380" s="15"/>
      <c r="GBA380" s="15"/>
      <c r="GBB380" s="15"/>
      <c r="GBC380" s="15"/>
      <c r="GBD380" s="10"/>
      <c r="GBE380" s="10"/>
      <c r="GBF380" s="21"/>
      <c r="GBG380" s="21"/>
      <c r="GBJ380" s="21"/>
      <c r="GBK380" s="15"/>
      <c r="GBL380" s="15"/>
      <c r="GBM380" s="15"/>
      <c r="GBN380" s="15"/>
      <c r="GBO380" s="15"/>
      <c r="GBP380" s="15"/>
      <c r="GBQ380" s="15"/>
      <c r="GBR380" s="15"/>
      <c r="GBS380" s="15"/>
      <c r="GBT380" s="15"/>
      <c r="GBU380" s="10"/>
      <c r="GBV380" s="10"/>
      <c r="GBW380" s="21"/>
      <c r="GBX380" s="21"/>
      <c r="GCA380" s="21"/>
      <c r="GCB380" s="15"/>
      <c r="GCC380" s="15"/>
      <c r="GCD380" s="15"/>
      <c r="GCE380" s="15"/>
      <c r="GCF380" s="15"/>
      <c r="GCG380" s="15"/>
      <c r="GCH380" s="15"/>
      <c r="GCI380" s="15"/>
      <c r="GCJ380" s="15"/>
      <c r="GCK380" s="15"/>
      <c r="GCL380" s="10"/>
      <c r="GCM380" s="10"/>
      <c r="GCN380" s="21"/>
      <c r="GCO380" s="21"/>
      <c r="GCR380" s="21"/>
      <c r="GCS380" s="15"/>
      <c r="GCT380" s="15"/>
      <c r="GCU380" s="15"/>
      <c r="GCV380" s="15"/>
      <c r="GCW380" s="15"/>
      <c r="GCX380" s="15"/>
      <c r="GCY380" s="15"/>
      <c r="GCZ380" s="15"/>
      <c r="GDA380" s="15"/>
      <c r="GDB380" s="15"/>
      <c r="GDC380" s="10"/>
      <c r="GDD380" s="10"/>
      <c r="GDE380" s="21"/>
      <c r="GDF380" s="21"/>
      <c r="GDI380" s="21"/>
      <c r="GDJ380" s="15"/>
      <c r="GDK380" s="15"/>
      <c r="GDL380" s="15"/>
      <c r="GDM380" s="15"/>
      <c r="GDN380" s="15"/>
      <c r="GDO380" s="15"/>
      <c r="GDP380" s="15"/>
      <c r="GDQ380" s="15"/>
      <c r="GDR380" s="15"/>
      <c r="GDS380" s="15"/>
      <c r="GDT380" s="10"/>
      <c r="GDU380" s="10"/>
      <c r="GDV380" s="21"/>
      <c r="GDW380" s="21"/>
      <c r="GDZ380" s="21"/>
      <c r="GEA380" s="15"/>
      <c r="GEB380" s="15"/>
      <c r="GEC380" s="15"/>
      <c r="GED380" s="15"/>
      <c r="GEE380" s="15"/>
      <c r="GEF380" s="15"/>
      <c r="GEG380" s="15"/>
      <c r="GEH380" s="15"/>
      <c r="GEI380" s="15"/>
      <c r="GEJ380" s="15"/>
      <c r="GEK380" s="10"/>
      <c r="GEL380" s="10"/>
      <c r="GEM380" s="21"/>
      <c r="GEN380" s="21"/>
      <c r="GEQ380" s="21"/>
      <c r="GER380" s="15"/>
      <c r="GES380" s="15"/>
      <c r="GET380" s="15"/>
      <c r="GEU380" s="15"/>
      <c r="GEV380" s="15"/>
      <c r="GEW380" s="15"/>
      <c r="GEX380" s="15"/>
      <c r="GEY380" s="15"/>
      <c r="GEZ380" s="15"/>
      <c r="GFA380" s="15"/>
      <c r="GFB380" s="10"/>
      <c r="GFC380" s="10"/>
      <c r="GFD380" s="21"/>
      <c r="GFE380" s="21"/>
      <c r="GFH380" s="21"/>
      <c r="GFI380" s="15"/>
      <c r="GFJ380" s="15"/>
      <c r="GFK380" s="15"/>
      <c r="GFL380" s="15"/>
      <c r="GFM380" s="15"/>
      <c r="GFN380" s="15"/>
      <c r="GFO380" s="15"/>
      <c r="GFP380" s="15"/>
      <c r="GFQ380" s="15"/>
      <c r="GFR380" s="15"/>
      <c r="GFS380" s="10"/>
      <c r="GFT380" s="10"/>
      <c r="GFU380" s="21"/>
      <c r="GFV380" s="21"/>
      <c r="GFY380" s="21"/>
      <c r="GFZ380" s="15"/>
      <c r="GGA380" s="15"/>
      <c r="GGB380" s="15"/>
      <c r="GGC380" s="15"/>
      <c r="GGD380" s="15"/>
      <c r="GGE380" s="15"/>
      <c r="GGF380" s="15"/>
      <c r="GGG380" s="15"/>
      <c r="GGH380" s="15"/>
      <c r="GGI380" s="15"/>
      <c r="GGJ380" s="10"/>
      <c r="GGK380" s="10"/>
      <c r="GGL380" s="21"/>
      <c r="GGM380" s="21"/>
      <c r="GGP380" s="21"/>
      <c r="GGQ380" s="15"/>
      <c r="GGR380" s="15"/>
      <c r="GGS380" s="15"/>
      <c r="GGT380" s="15"/>
      <c r="GGU380" s="15"/>
      <c r="GGV380" s="15"/>
      <c r="GGW380" s="15"/>
      <c r="GGX380" s="15"/>
      <c r="GGY380" s="15"/>
      <c r="GGZ380" s="15"/>
      <c r="GHA380" s="10"/>
      <c r="GHB380" s="10"/>
      <c r="GHC380" s="21"/>
      <c r="GHD380" s="21"/>
      <c r="GHG380" s="21"/>
      <c r="GHH380" s="15"/>
      <c r="GHI380" s="15"/>
      <c r="GHJ380" s="15"/>
      <c r="GHK380" s="15"/>
      <c r="GHL380" s="15"/>
      <c r="GHM380" s="15"/>
      <c r="GHN380" s="15"/>
      <c r="GHO380" s="15"/>
      <c r="GHP380" s="15"/>
      <c r="GHQ380" s="15"/>
      <c r="GHR380" s="10"/>
      <c r="GHS380" s="10"/>
      <c r="GHT380" s="21"/>
      <c r="GHU380" s="21"/>
      <c r="GHX380" s="21"/>
      <c r="GHY380" s="15"/>
      <c r="GHZ380" s="15"/>
      <c r="GIA380" s="15"/>
      <c r="GIB380" s="15"/>
      <c r="GIC380" s="15"/>
      <c r="GID380" s="15"/>
      <c r="GIE380" s="15"/>
      <c r="GIF380" s="15"/>
      <c r="GIG380" s="15"/>
      <c r="GIH380" s="15"/>
      <c r="GII380" s="10"/>
      <c r="GIJ380" s="10"/>
      <c r="GIK380" s="21"/>
      <c r="GIL380" s="21"/>
      <c r="GIO380" s="21"/>
      <c r="GIP380" s="15"/>
      <c r="GIQ380" s="15"/>
      <c r="GIR380" s="15"/>
      <c r="GIS380" s="15"/>
      <c r="GIT380" s="15"/>
      <c r="GIU380" s="15"/>
      <c r="GIV380" s="15"/>
      <c r="GIW380" s="15"/>
      <c r="GIX380" s="15"/>
      <c r="GIY380" s="15"/>
      <c r="GIZ380" s="10"/>
      <c r="GJA380" s="10"/>
      <c r="GJB380" s="21"/>
      <c r="GJC380" s="21"/>
      <c r="GJF380" s="21"/>
      <c r="GJG380" s="15"/>
      <c r="GJH380" s="15"/>
      <c r="GJI380" s="15"/>
      <c r="GJJ380" s="15"/>
      <c r="GJK380" s="15"/>
      <c r="GJL380" s="15"/>
      <c r="GJM380" s="15"/>
      <c r="GJN380" s="15"/>
      <c r="GJO380" s="15"/>
      <c r="GJP380" s="15"/>
      <c r="GJQ380" s="10"/>
      <c r="GJR380" s="10"/>
      <c r="GJS380" s="21"/>
      <c r="GJT380" s="21"/>
      <c r="GJW380" s="21"/>
      <c r="GJX380" s="15"/>
      <c r="GJY380" s="15"/>
      <c r="GJZ380" s="15"/>
      <c r="GKA380" s="15"/>
      <c r="GKB380" s="15"/>
      <c r="GKC380" s="15"/>
      <c r="GKD380" s="15"/>
      <c r="GKE380" s="15"/>
      <c r="GKF380" s="15"/>
      <c r="GKG380" s="15"/>
      <c r="GKH380" s="10"/>
      <c r="GKI380" s="10"/>
      <c r="GKJ380" s="21"/>
      <c r="GKK380" s="21"/>
      <c r="GKN380" s="21"/>
      <c r="GKO380" s="15"/>
      <c r="GKP380" s="15"/>
      <c r="GKQ380" s="15"/>
      <c r="GKR380" s="15"/>
      <c r="GKS380" s="15"/>
      <c r="GKT380" s="15"/>
      <c r="GKU380" s="15"/>
      <c r="GKV380" s="15"/>
      <c r="GKW380" s="15"/>
      <c r="GKX380" s="15"/>
      <c r="GKY380" s="10"/>
      <c r="GKZ380" s="10"/>
      <c r="GLA380" s="21"/>
      <c r="GLB380" s="21"/>
      <c r="GLE380" s="21"/>
      <c r="GLF380" s="15"/>
      <c r="GLG380" s="15"/>
      <c r="GLH380" s="15"/>
      <c r="GLI380" s="15"/>
      <c r="GLJ380" s="15"/>
      <c r="GLK380" s="15"/>
      <c r="GLL380" s="15"/>
      <c r="GLM380" s="15"/>
      <c r="GLN380" s="15"/>
      <c r="GLO380" s="15"/>
      <c r="GLP380" s="10"/>
      <c r="GLQ380" s="10"/>
      <c r="GLR380" s="21"/>
      <c r="GLS380" s="21"/>
      <c r="GLV380" s="21"/>
      <c r="GLW380" s="15"/>
      <c r="GLX380" s="15"/>
      <c r="GLY380" s="15"/>
      <c r="GLZ380" s="15"/>
      <c r="GMA380" s="15"/>
      <c r="GMB380" s="15"/>
      <c r="GMC380" s="15"/>
      <c r="GMD380" s="15"/>
      <c r="GME380" s="15"/>
      <c r="GMF380" s="15"/>
      <c r="GMG380" s="10"/>
      <c r="GMH380" s="10"/>
      <c r="GMI380" s="21"/>
      <c r="GMJ380" s="21"/>
      <c r="GMM380" s="21"/>
      <c r="GMN380" s="15"/>
      <c r="GMO380" s="15"/>
      <c r="GMP380" s="15"/>
      <c r="GMQ380" s="15"/>
      <c r="GMR380" s="15"/>
      <c r="GMS380" s="15"/>
      <c r="GMT380" s="15"/>
      <c r="GMU380" s="15"/>
      <c r="GMV380" s="15"/>
      <c r="GMW380" s="15"/>
      <c r="GMX380" s="10"/>
      <c r="GMY380" s="10"/>
      <c r="GMZ380" s="21"/>
      <c r="GNA380" s="21"/>
      <c r="GND380" s="21"/>
      <c r="GNE380" s="15"/>
      <c r="GNF380" s="15"/>
      <c r="GNG380" s="15"/>
      <c r="GNH380" s="15"/>
      <c r="GNI380" s="15"/>
      <c r="GNJ380" s="15"/>
      <c r="GNK380" s="15"/>
      <c r="GNL380" s="15"/>
      <c r="GNM380" s="15"/>
      <c r="GNN380" s="15"/>
      <c r="GNO380" s="10"/>
      <c r="GNP380" s="10"/>
      <c r="GNQ380" s="21"/>
      <c r="GNR380" s="21"/>
      <c r="GNU380" s="21"/>
      <c r="GNV380" s="15"/>
      <c r="GNW380" s="15"/>
      <c r="GNX380" s="15"/>
      <c r="GNY380" s="15"/>
      <c r="GNZ380" s="15"/>
      <c r="GOA380" s="15"/>
      <c r="GOB380" s="15"/>
      <c r="GOC380" s="15"/>
      <c r="GOD380" s="15"/>
      <c r="GOE380" s="15"/>
      <c r="GOF380" s="10"/>
      <c r="GOG380" s="10"/>
      <c r="GOH380" s="21"/>
      <c r="GOI380" s="21"/>
      <c r="GOL380" s="21"/>
      <c r="GOM380" s="15"/>
      <c r="GON380" s="15"/>
      <c r="GOO380" s="15"/>
      <c r="GOP380" s="15"/>
      <c r="GOQ380" s="15"/>
      <c r="GOR380" s="15"/>
      <c r="GOS380" s="15"/>
      <c r="GOT380" s="15"/>
      <c r="GOU380" s="15"/>
      <c r="GOV380" s="15"/>
      <c r="GOW380" s="10"/>
      <c r="GOX380" s="10"/>
      <c r="GOY380" s="21"/>
      <c r="GOZ380" s="21"/>
      <c r="GPC380" s="21"/>
      <c r="GPD380" s="15"/>
      <c r="GPE380" s="15"/>
      <c r="GPF380" s="15"/>
      <c r="GPG380" s="15"/>
      <c r="GPH380" s="15"/>
      <c r="GPI380" s="15"/>
      <c r="GPJ380" s="15"/>
      <c r="GPK380" s="15"/>
      <c r="GPL380" s="15"/>
      <c r="GPM380" s="15"/>
      <c r="GPN380" s="10"/>
      <c r="GPO380" s="10"/>
      <c r="GPP380" s="21"/>
      <c r="GPQ380" s="21"/>
      <c r="GPT380" s="21"/>
      <c r="GPU380" s="15"/>
      <c r="GPV380" s="15"/>
      <c r="GPW380" s="15"/>
      <c r="GPX380" s="15"/>
      <c r="GPY380" s="15"/>
      <c r="GPZ380" s="15"/>
      <c r="GQA380" s="15"/>
      <c r="GQB380" s="15"/>
      <c r="GQC380" s="15"/>
      <c r="GQD380" s="15"/>
      <c r="GQE380" s="10"/>
      <c r="GQF380" s="10"/>
      <c r="GQG380" s="21"/>
      <c r="GQH380" s="21"/>
      <c r="GQK380" s="21"/>
      <c r="GQL380" s="15"/>
      <c r="GQM380" s="15"/>
      <c r="GQN380" s="15"/>
      <c r="GQO380" s="15"/>
      <c r="GQP380" s="15"/>
      <c r="GQQ380" s="15"/>
      <c r="GQR380" s="15"/>
      <c r="GQS380" s="15"/>
      <c r="GQT380" s="15"/>
      <c r="GQU380" s="15"/>
      <c r="GQV380" s="10"/>
      <c r="GQW380" s="10"/>
      <c r="GQX380" s="21"/>
      <c r="GQY380" s="21"/>
      <c r="GRB380" s="21"/>
      <c r="GRC380" s="15"/>
      <c r="GRD380" s="15"/>
      <c r="GRE380" s="15"/>
      <c r="GRF380" s="15"/>
      <c r="GRG380" s="15"/>
      <c r="GRH380" s="15"/>
      <c r="GRI380" s="15"/>
      <c r="GRJ380" s="15"/>
      <c r="GRK380" s="15"/>
      <c r="GRL380" s="15"/>
      <c r="GRM380" s="10"/>
      <c r="GRN380" s="10"/>
      <c r="GRO380" s="21"/>
      <c r="GRP380" s="21"/>
      <c r="GRS380" s="21"/>
      <c r="GRT380" s="15"/>
      <c r="GRU380" s="15"/>
      <c r="GRV380" s="15"/>
      <c r="GRW380" s="15"/>
      <c r="GRX380" s="15"/>
      <c r="GRY380" s="15"/>
      <c r="GRZ380" s="15"/>
      <c r="GSA380" s="15"/>
      <c r="GSB380" s="15"/>
      <c r="GSC380" s="15"/>
      <c r="GSD380" s="10"/>
      <c r="GSE380" s="10"/>
      <c r="GSF380" s="21"/>
      <c r="GSG380" s="21"/>
      <c r="GSJ380" s="21"/>
      <c r="GSK380" s="15"/>
      <c r="GSL380" s="15"/>
      <c r="GSM380" s="15"/>
      <c r="GSN380" s="15"/>
      <c r="GSO380" s="15"/>
      <c r="GSP380" s="15"/>
      <c r="GSQ380" s="15"/>
      <c r="GSR380" s="15"/>
      <c r="GSS380" s="15"/>
      <c r="GST380" s="15"/>
      <c r="GSU380" s="10"/>
      <c r="GSV380" s="10"/>
      <c r="GSW380" s="21"/>
      <c r="GSX380" s="21"/>
      <c r="GTA380" s="21"/>
      <c r="GTB380" s="15"/>
      <c r="GTC380" s="15"/>
      <c r="GTD380" s="15"/>
      <c r="GTE380" s="15"/>
      <c r="GTF380" s="15"/>
      <c r="GTG380" s="15"/>
      <c r="GTH380" s="15"/>
      <c r="GTI380" s="15"/>
      <c r="GTJ380" s="15"/>
      <c r="GTK380" s="15"/>
      <c r="GTL380" s="10"/>
      <c r="GTM380" s="10"/>
      <c r="GTN380" s="21"/>
      <c r="GTO380" s="21"/>
      <c r="GTR380" s="21"/>
      <c r="GTS380" s="15"/>
      <c r="GTT380" s="15"/>
      <c r="GTU380" s="15"/>
      <c r="GTV380" s="15"/>
      <c r="GTW380" s="15"/>
      <c r="GTX380" s="15"/>
      <c r="GTY380" s="15"/>
      <c r="GTZ380" s="15"/>
      <c r="GUA380" s="15"/>
      <c r="GUB380" s="15"/>
      <c r="GUC380" s="10"/>
      <c r="GUD380" s="10"/>
      <c r="GUE380" s="21"/>
      <c r="GUF380" s="21"/>
      <c r="GUI380" s="21"/>
      <c r="GUJ380" s="15"/>
      <c r="GUK380" s="15"/>
      <c r="GUL380" s="15"/>
      <c r="GUM380" s="15"/>
      <c r="GUN380" s="15"/>
      <c r="GUO380" s="15"/>
      <c r="GUP380" s="15"/>
      <c r="GUQ380" s="15"/>
      <c r="GUR380" s="15"/>
      <c r="GUS380" s="15"/>
      <c r="GUT380" s="10"/>
      <c r="GUU380" s="10"/>
      <c r="GUV380" s="21"/>
      <c r="GUW380" s="21"/>
      <c r="GUZ380" s="21"/>
      <c r="GVA380" s="15"/>
      <c r="GVB380" s="15"/>
      <c r="GVC380" s="15"/>
      <c r="GVD380" s="15"/>
      <c r="GVE380" s="15"/>
      <c r="GVF380" s="15"/>
      <c r="GVG380" s="15"/>
      <c r="GVH380" s="15"/>
      <c r="GVI380" s="15"/>
      <c r="GVJ380" s="15"/>
      <c r="GVK380" s="10"/>
      <c r="GVL380" s="10"/>
      <c r="GVM380" s="21"/>
      <c r="GVN380" s="21"/>
      <c r="GVQ380" s="21"/>
      <c r="GVR380" s="15"/>
      <c r="GVS380" s="15"/>
      <c r="GVT380" s="15"/>
      <c r="GVU380" s="15"/>
      <c r="GVV380" s="15"/>
      <c r="GVW380" s="15"/>
      <c r="GVX380" s="15"/>
      <c r="GVY380" s="15"/>
      <c r="GVZ380" s="15"/>
      <c r="GWA380" s="15"/>
      <c r="GWB380" s="10"/>
      <c r="GWC380" s="10"/>
      <c r="GWD380" s="21"/>
      <c r="GWE380" s="21"/>
      <c r="GWH380" s="21"/>
      <c r="GWI380" s="15"/>
      <c r="GWJ380" s="15"/>
      <c r="GWK380" s="15"/>
      <c r="GWL380" s="15"/>
      <c r="GWM380" s="15"/>
      <c r="GWN380" s="15"/>
      <c r="GWO380" s="15"/>
      <c r="GWP380" s="15"/>
      <c r="GWQ380" s="15"/>
      <c r="GWR380" s="15"/>
      <c r="GWS380" s="10"/>
      <c r="GWT380" s="10"/>
      <c r="GWU380" s="21"/>
      <c r="GWV380" s="21"/>
      <c r="GWY380" s="21"/>
      <c r="GWZ380" s="15"/>
      <c r="GXA380" s="15"/>
      <c r="GXB380" s="15"/>
      <c r="GXC380" s="15"/>
      <c r="GXD380" s="15"/>
      <c r="GXE380" s="15"/>
      <c r="GXF380" s="15"/>
      <c r="GXG380" s="15"/>
      <c r="GXH380" s="15"/>
      <c r="GXI380" s="15"/>
      <c r="GXJ380" s="10"/>
      <c r="GXK380" s="10"/>
      <c r="GXL380" s="21"/>
      <c r="GXM380" s="21"/>
      <c r="GXP380" s="21"/>
      <c r="GXQ380" s="15"/>
      <c r="GXR380" s="15"/>
      <c r="GXS380" s="15"/>
      <c r="GXT380" s="15"/>
      <c r="GXU380" s="15"/>
      <c r="GXV380" s="15"/>
      <c r="GXW380" s="15"/>
      <c r="GXX380" s="15"/>
      <c r="GXY380" s="15"/>
      <c r="GXZ380" s="15"/>
      <c r="GYA380" s="10"/>
      <c r="GYB380" s="10"/>
      <c r="GYC380" s="21"/>
      <c r="GYD380" s="21"/>
      <c r="GYG380" s="21"/>
      <c r="GYH380" s="15"/>
      <c r="GYI380" s="15"/>
      <c r="GYJ380" s="15"/>
      <c r="GYK380" s="15"/>
      <c r="GYL380" s="15"/>
      <c r="GYM380" s="15"/>
      <c r="GYN380" s="15"/>
      <c r="GYO380" s="15"/>
      <c r="GYP380" s="15"/>
      <c r="GYQ380" s="15"/>
      <c r="GYR380" s="10"/>
      <c r="GYS380" s="10"/>
      <c r="GYT380" s="21"/>
      <c r="GYU380" s="21"/>
      <c r="GYX380" s="21"/>
      <c r="GYY380" s="15"/>
      <c r="GYZ380" s="15"/>
      <c r="GZA380" s="15"/>
      <c r="GZB380" s="15"/>
      <c r="GZC380" s="15"/>
      <c r="GZD380" s="15"/>
      <c r="GZE380" s="15"/>
      <c r="GZF380" s="15"/>
      <c r="GZG380" s="15"/>
      <c r="GZH380" s="15"/>
      <c r="GZI380" s="10"/>
      <c r="GZJ380" s="10"/>
      <c r="GZK380" s="21"/>
      <c r="GZL380" s="21"/>
      <c r="GZO380" s="21"/>
      <c r="GZP380" s="15"/>
      <c r="GZQ380" s="15"/>
      <c r="GZR380" s="15"/>
      <c r="GZS380" s="15"/>
      <c r="GZT380" s="15"/>
      <c r="GZU380" s="15"/>
      <c r="GZV380" s="15"/>
      <c r="GZW380" s="15"/>
      <c r="GZX380" s="15"/>
      <c r="GZY380" s="15"/>
      <c r="GZZ380" s="10"/>
      <c r="HAA380" s="10"/>
      <c r="HAB380" s="21"/>
      <c r="HAC380" s="21"/>
      <c r="HAF380" s="21"/>
      <c r="HAG380" s="15"/>
      <c r="HAH380" s="15"/>
      <c r="HAI380" s="15"/>
      <c r="HAJ380" s="15"/>
      <c r="HAK380" s="15"/>
      <c r="HAL380" s="15"/>
      <c r="HAM380" s="15"/>
      <c r="HAN380" s="15"/>
      <c r="HAO380" s="15"/>
      <c r="HAP380" s="15"/>
      <c r="HAQ380" s="10"/>
      <c r="HAR380" s="10"/>
      <c r="HAS380" s="21"/>
      <c r="HAT380" s="21"/>
      <c r="HAW380" s="21"/>
      <c r="HAX380" s="15"/>
      <c r="HAY380" s="15"/>
      <c r="HAZ380" s="15"/>
      <c r="HBA380" s="15"/>
      <c r="HBB380" s="15"/>
      <c r="HBC380" s="15"/>
      <c r="HBD380" s="15"/>
      <c r="HBE380" s="15"/>
      <c r="HBF380" s="15"/>
      <c r="HBG380" s="15"/>
      <c r="HBH380" s="10"/>
      <c r="HBI380" s="10"/>
      <c r="HBJ380" s="21"/>
      <c r="HBK380" s="21"/>
      <c r="HBN380" s="21"/>
      <c r="HBO380" s="15"/>
      <c r="HBP380" s="15"/>
      <c r="HBQ380" s="15"/>
      <c r="HBR380" s="15"/>
      <c r="HBS380" s="15"/>
      <c r="HBT380" s="15"/>
      <c r="HBU380" s="15"/>
      <c r="HBV380" s="15"/>
      <c r="HBW380" s="15"/>
      <c r="HBX380" s="15"/>
      <c r="HBY380" s="10"/>
      <c r="HBZ380" s="10"/>
      <c r="HCA380" s="21"/>
      <c r="HCB380" s="21"/>
      <c r="HCE380" s="21"/>
      <c r="HCF380" s="15"/>
      <c r="HCG380" s="15"/>
      <c r="HCH380" s="15"/>
      <c r="HCI380" s="15"/>
      <c r="HCJ380" s="15"/>
      <c r="HCK380" s="15"/>
      <c r="HCL380" s="15"/>
      <c r="HCM380" s="15"/>
      <c r="HCN380" s="15"/>
      <c r="HCO380" s="15"/>
      <c r="HCP380" s="10"/>
      <c r="HCQ380" s="10"/>
      <c r="HCR380" s="21"/>
      <c r="HCS380" s="21"/>
      <c r="HCV380" s="21"/>
      <c r="HCW380" s="15"/>
      <c r="HCX380" s="15"/>
      <c r="HCY380" s="15"/>
      <c r="HCZ380" s="15"/>
      <c r="HDA380" s="15"/>
      <c r="HDB380" s="15"/>
      <c r="HDC380" s="15"/>
      <c r="HDD380" s="15"/>
      <c r="HDE380" s="15"/>
      <c r="HDF380" s="15"/>
      <c r="HDG380" s="10"/>
      <c r="HDH380" s="10"/>
      <c r="HDI380" s="21"/>
      <c r="HDJ380" s="21"/>
      <c r="HDM380" s="21"/>
      <c r="HDN380" s="15"/>
      <c r="HDO380" s="15"/>
      <c r="HDP380" s="15"/>
      <c r="HDQ380" s="15"/>
      <c r="HDR380" s="15"/>
      <c r="HDS380" s="15"/>
      <c r="HDT380" s="15"/>
      <c r="HDU380" s="15"/>
      <c r="HDV380" s="15"/>
      <c r="HDW380" s="15"/>
      <c r="HDX380" s="10"/>
      <c r="HDY380" s="10"/>
      <c r="HDZ380" s="21"/>
      <c r="HEA380" s="21"/>
      <c r="HED380" s="21"/>
      <c r="HEE380" s="15"/>
      <c r="HEF380" s="15"/>
      <c r="HEG380" s="15"/>
      <c r="HEH380" s="15"/>
      <c r="HEI380" s="15"/>
      <c r="HEJ380" s="15"/>
      <c r="HEK380" s="15"/>
      <c r="HEL380" s="15"/>
      <c r="HEM380" s="15"/>
      <c r="HEN380" s="15"/>
      <c r="HEO380" s="10"/>
      <c r="HEP380" s="10"/>
      <c r="HEQ380" s="21"/>
      <c r="HER380" s="21"/>
      <c r="HEU380" s="21"/>
      <c r="HEV380" s="15"/>
      <c r="HEW380" s="15"/>
      <c r="HEX380" s="15"/>
      <c r="HEY380" s="15"/>
      <c r="HEZ380" s="15"/>
      <c r="HFA380" s="15"/>
      <c r="HFB380" s="15"/>
      <c r="HFC380" s="15"/>
      <c r="HFD380" s="15"/>
      <c r="HFE380" s="15"/>
      <c r="HFF380" s="10"/>
      <c r="HFG380" s="10"/>
      <c r="HFH380" s="21"/>
      <c r="HFI380" s="21"/>
      <c r="HFL380" s="21"/>
      <c r="HFM380" s="15"/>
      <c r="HFN380" s="15"/>
      <c r="HFO380" s="15"/>
      <c r="HFP380" s="15"/>
      <c r="HFQ380" s="15"/>
      <c r="HFR380" s="15"/>
      <c r="HFS380" s="15"/>
      <c r="HFT380" s="15"/>
      <c r="HFU380" s="15"/>
      <c r="HFV380" s="15"/>
      <c r="HFW380" s="10"/>
      <c r="HFX380" s="10"/>
      <c r="HFY380" s="21"/>
      <c r="HFZ380" s="21"/>
      <c r="HGC380" s="21"/>
      <c r="HGD380" s="15"/>
      <c r="HGE380" s="15"/>
      <c r="HGF380" s="15"/>
      <c r="HGG380" s="15"/>
      <c r="HGH380" s="15"/>
      <c r="HGI380" s="15"/>
      <c r="HGJ380" s="15"/>
      <c r="HGK380" s="15"/>
      <c r="HGL380" s="15"/>
      <c r="HGM380" s="15"/>
      <c r="HGN380" s="10"/>
      <c r="HGO380" s="10"/>
      <c r="HGP380" s="21"/>
      <c r="HGQ380" s="21"/>
      <c r="HGT380" s="21"/>
      <c r="HGU380" s="15"/>
      <c r="HGV380" s="15"/>
      <c r="HGW380" s="15"/>
      <c r="HGX380" s="15"/>
      <c r="HGY380" s="15"/>
      <c r="HGZ380" s="15"/>
      <c r="HHA380" s="15"/>
      <c r="HHB380" s="15"/>
      <c r="HHC380" s="15"/>
      <c r="HHD380" s="15"/>
      <c r="HHE380" s="10"/>
      <c r="HHF380" s="10"/>
      <c r="HHG380" s="21"/>
      <c r="HHH380" s="21"/>
      <c r="HHK380" s="21"/>
      <c r="HHL380" s="15"/>
      <c r="HHM380" s="15"/>
      <c r="HHN380" s="15"/>
      <c r="HHO380" s="15"/>
      <c r="HHP380" s="15"/>
      <c r="HHQ380" s="15"/>
      <c r="HHR380" s="15"/>
      <c r="HHS380" s="15"/>
      <c r="HHT380" s="15"/>
      <c r="HHU380" s="15"/>
      <c r="HHV380" s="10"/>
      <c r="HHW380" s="10"/>
      <c r="HHX380" s="21"/>
      <c r="HHY380" s="21"/>
      <c r="HIB380" s="21"/>
      <c r="HIC380" s="15"/>
      <c r="HID380" s="15"/>
      <c r="HIE380" s="15"/>
      <c r="HIF380" s="15"/>
      <c r="HIG380" s="15"/>
      <c r="HIH380" s="15"/>
      <c r="HII380" s="15"/>
      <c r="HIJ380" s="15"/>
      <c r="HIK380" s="15"/>
      <c r="HIL380" s="15"/>
      <c r="HIM380" s="10"/>
      <c r="HIN380" s="10"/>
      <c r="HIO380" s="21"/>
      <c r="HIP380" s="21"/>
      <c r="HIS380" s="21"/>
      <c r="HIT380" s="15"/>
      <c r="HIU380" s="15"/>
      <c r="HIV380" s="15"/>
      <c r="HIW380" s="15"/>
      <c r="HIX380" s="15"/>
      <c r="HIY380" s="15"/>
      <c r="HIZ380" s="15"/>
      <c r="HJA380" s="15"/>
      <c r="HJB380" s="15"/>
      <c r="HJC380" s="15"/>
      <c r="HJD380" s="10"/>
      <c r="HJE380" s="10"/>
      <c r="HJF380" s="21"/>
      <c r="HJG380" s="21"/>
      <c r="HJJ380" s="21"/>
      <c r="HJK380" s="15"/>
      <c r="HJL380" s="15"/>
      <c r="HJM380" s="15"/>
      <c r="HJN380" s="15"/>
      <c r="HJO380" s="15"/>
      <c r="HJP380" s="15"/>
      <c r="HJQ380" s="15"/>
      <c r="HJR380" s="15"/>
      <c r="HJS380" s="15"/>
      <c r="HJT380" s="15"/>
      <c r="HJU380" s="10"/>
      <c r="HJV380" s="10"/>
      <c r="HJW380" s="21"/>
      <c r="HJX380" s="21"/>
      <c r="HKA380" s="21"/>
      <c r="HKB380" s="15"/>
      <c r="HKC380" s="15"/>
      <c r="HKD380" s="15"/>
      <c r="HKE380" s="15"/>
      <c r="HKF380" s="15"/>
      <c r="HKG380" s="15"/>
      <c r="HKH380" s="15"/>
      <c r="HKI380" s="15"/>
      <c r="HKJ380" s="15"/>
      <c r="HKK380" s="15"/>
      <c r="HKL380" s="10"/>
      <c r="HKM380" s="10"/>
      <c r="HKN380" s="21"/>
      <c r="HKO380" s="21"/>
      <c r="HKR380" s="21"/>
      <c r="HKS380" s="15"/>
      <c r="HKT380" s="15"/>
      <c r="HKU380" s="15"/>
      <c r="HKV380" s="15"/>
      <c r="HKW380" s="15"/>
      <c r="HKX380" s="15"/>
      <c r="HKY380" s="15"/>
      <c r="HKZ380" s="15"/>
      <c r="HLA380" s="15"/>
      <c r="HLB380" s="15"/>
      <c r="HLC380" s="10"/>
      <c r="HLD380" s="10"/>
      <c r="HLE380" s="21"/>
      <c r="HLF380" s="21"/>
      <c r="HLI380" s="21"/>
      <c r="HLJ380" s="15"/>
      <c r="HLK380" s="15"/>
      <c r="HLL380" s="15"/>
      <c r="HLM380" s="15"/>
      <c r="HLN380" s="15"/>
      <c r="HLO380" s="15"/>
      <c r="HLP380" s="15"/>
      <c r="HLQ380" s="15"/>
      <c r="HLR380" s="15"/>
      <c r="HLS380" s="15"/>
      <c r="HLT380" s="10"/>
      <c r="HLU380" s="10"/>
      <c r="HLV380" s="21"/>
      <c r="HLW380" s="21"/>
      <c r="HLZ380" s="21"/>
      <c r="HMA380" s="15"/>
      <c r="HMB380" s="15"/>
      <c r="HMC380" s="15"/>
      <c r="HMD380" s="15"/>
      <c r="HME380" s="15"/>
      <c r="HMF380" s="15"/>
      <c r="HMG380" s="15"/>
      <c r="HMH380" s="15"/>
      <c r="HMI380" s="15"/>
      <c r="HMJ380" s="15"/>
      <c r="HMK380" s="10"/>
      <c r="HML380" s="10"/>
      <c r="HMM380" s="21"/>
      <c r="HMN380" s="21"/>
      <c r="HMQ380" s="21"/>
      <c r="HMR380" s="15"/>
      <c r="HMS380" s="15"/>
      <c r="HMT380" s="15"/>
      <c r="HMU380" s="15"/>
      <c r="HMV380" s="15"/>
      <c r="HMW380" s="15"/>
      <c r="HMX380" s="15"/>
      <c r="HMY380" s="15"/>
      <c r="HMZ380" s="15"/>
      <c r="HNA380" s="15"/>
      <c r="HNB380" s="10"/>
      <c r="HNC380" s="10"/>
      <c r="HND380" s="21"/>
      <c r="HNE380" s="21"/>
      <c r="HNH380" s="21"/>
      <c r="HNI380" s="15"/>
      <c r="HNJ380" s="15"/>
      <c r="HNK380" s="15"/>
      <c r="HNL380" s="15"/>
      <c r="HNM380" s="15"/>
      <c r="HNN380" s="15"/>
      <c r="HNO380" s="15"/>
      <c r="HNP380" s="15"/>
      <c r="HNQ380" s="15"/>
      <c r="HNR380" s="15"/>
      <c r="HNS380" s="10"/>
      <c r="HNT380" s="10"/>
      <c r="HNU380" s="21"/>
      <c r="HNV380" s="21"/>
      <c r="HNY380" s="21"/>
      <c r="HNZ380" s="15"/>
      <c r="HOA380" s="15"/>
      <c r="HOB380" s="15"/>
      <c r="HOC380" s="15"/>
      <c r="HOD380" s="15"/>
      <c r="HOE380" s="15"/>
      <c r="HOF380" s="15"/>
      <c r="HOG380" s="15"/>
      <c r="HOH380" s="15"/>
      <c r="HOI380" s="15"/>
      <c r="HOJ380" s="10"/>
      <c r="HOK380" s="10"/>
      <c r="HOL380" s="21"/>
      <c r="HOM380" s="21"/>
      <c r="HOP380" s="21"/>
      <c r="HOQ380" s="15"/>
      <c r="HOR380" s="15"/>
      <c r="HOS380" s="15"/>
      <c r="HOT380" s="15"/>
      <c r="HOU380" s="15"/>
      <c r="HOV380" s="15"/>
      <c r="HOW380" s="15"/>
      <c r="HOX380" s="15"/>
      <c r="HOY380" s="15"/>
      <c r="HOZ380" s="15"/>
      <c r="HPA380" s="10"/>
      <c r="HPB380" s="10"/>
      <c r="HPC380" s="21"/>
      <c r="HPD380" s="21"/>
      <c r="HPG380" s="21"/>
      <c r="HPH380" s="15"/>
      <c r="HPI380" s="15"/>
      <c r="HPJ380" s="15"/>
      <c r="HPK380" s="15"/>
      <c r="HPL380" s="15"/>
      <c r="HPM380" s="15"/>
      <c r="HPN380" s="15"/>
      <c r="HPO380" s="15"/>
      <c r="HPP380" s="15"/>
      <c r="HPQ380" s="15"/>
      <c r="HPR380" s="10"/>
      <c r="HPS380" s="10"/>
      <c r="HPT380" s="21"/>
      <c r="HPU380" s="21"/>
      <c r="HPX380" s="21"/>
      <c r="HPY380" s="15"/>
      <c r="HPZ380" s="15"/>
      <c r="HQA380" s="15"/>
      <c r="HQB380" s="15"/>
      <c r="HQC380" s="15"/>
      <c r="HQD380" s="15"/>
      <c r="HQE380" s="15"/>
      <c r="HQF380" s="15"/>
      <c r="HQG380" s="15"/>
      <c r="HQH380" s="15"/>
      <c r="HQI380" s="10"/>
      <c r="HQJ380" s="10"/>
      <c r="HQK380" s="21"/>
      <c r="HQL380" s="21"/>
      <c r="HQO380" s="21"/>
      <c r="HQP380" s="15"/>
      <c r="HQQ380" s="15"/>
      <c r="HQR380" s="15"/>
      <c r="HQS380" s="15"/>
      <c r="HQT380" s="15"/>
      <c r="HQU380" s="15"/>
      <c r="HQV380" s="15"/>
      <c r="HQW380" s="15"/>
      <c r="HQX380" s="15"/>
      <c r="HQY380" s="15"/>
      <c r="HQZ380" s="10"/>
      <c r="HRA380" s="10"/>
      <c r="HRB380" s="21"/>
      <c r="HRC380" s="21"/>
      <c r="HRF380" s="21"/>
      <c r="HRG380" s="15"/>
      <c r="HRH380" s="15"/>
      <c r="HRI380" s="15"/>
      <c r="HRJ380" s="15"/>
      <c r="HRK380" s="15"/>
      <c r="HRL380" s="15"/>
      <c r="HRM380" s="15"/>
      <c r="HRN380" s="15"/>
      <c r="HRO380" s="15"/>
      <c r="HRP380" s="15"/>
      <c r="HRQ380" s="10"/>
      <c r="HRR380" s="10"/>
      <c r="HRS380" s="21"/>
      <c r="HRT380" s="21"/>
      <c r="HRW380" s="21"/>
      <c r="HRX380" s="15"/>
      <c r="HRY380" s="15"/>
      <c r="HRZ380" s="15"/>
      <c r="HSA380" s="15"/>
      <c r="HSB380" s="15"/>
      <c r="HSC380" s="15"/>
      <c r="HSD380" s="15"/>
      <c r="HSE380" s="15"/>
      <c r="HSF380" s="15"/>
      <c r="HSG380" s="15"/>
      <c r="HSH380" s="10"/>
      <c r="HSI380" s="10"/>
      <c r="HSJ380" s="21"/>
      <c r="HSK380" s="21"/>
      <c r="HSN380" s="21"/>
      <c r="HSO380" s="15"/>
      <c r="HSP380" s="15"/>
      <c r="HSQ380" s="15"/>
      <c r="HSR380" s="15"/>
      <c r="HSS380" s="15"/>
      <c r="HST380" s="15"/>
      <c r="HSU380" s="15"/>
      <c r="HSV380" s="15"/>
      <c r="HSW380" s="15"/>
      <c r="HSX380" s="15"/>
      <c r="HSY380" s="10"/>
      <c r="HSZ380" s="10"/>
      <c r="HTA380" s="21"/>
      <c r="HTB380" s="21"/>
      <c r="HTE380" s="21"/>
      <c r="HTF380" s="15"/>
      <c r="HTG380" s="15"/>
      <c r="HTH380" s="15"/>
      <c r="HTI380" s="15"/>
      <c r="HTJ380" s="15"/>
      <c r="HTK380" s="15"/>
      <c r="HTL380" s="15"/>
      <c r="HTM380" s="15"/>
      <c r="HTN380" s="15"/>
      <c r="HTO380" s="15"/>
      <c r="HTP380" s="10"/>
      <c r="HTQ380" s="10"/>
      <c r="HTR380" s="21"/>
      <c r="HTS380" s="21"/>
      <c r="HTV380" s="21"/>
      <c r="HTW380" s="15"/>
      <c r="HTX380" s="15"/>
      <c r="HTY380" s="15"/>
      <c r="HTZ380" s="15"/>
      <c r="HUA380" s="15"/>
      <c r="HUB380" s="15"/>
      <c r="HUC380" s="15"/>
      <c r="HUD380" s="15"/>
      <c r="HUE380" s="15"/>
      <c r="HUF380" s="15"/>
      <c r="HUG380" s="10"/>
      <c r="HUH380" s="10"/>
      <c r="HUI380" s="21"/>
      <c r="HUJ380" s="21"/>
      <c r="HUM380" s="21"/>
      <c r="HUN380" s="15"/>
      <c r="HUO380" s="15"/>
      <c r="HUP380" s="15"/>
      <c r="HUQ380" s="15"/>
      <c r="HUR380" s="15"/>
      <c r="HUS380" s="15"/>
      <c r="HUT380" s="15"/>
      <c r="HUU380" s="15"/>
      <c r="HUV380" s="15"/>
      <c r="HUW380" s="15"/>
      <c r="HUX380" s="10"/>
      <c r="HUY380" s="10"/>
      <c r="HUZ380" s="21"/>
      <c r="HVA380" s="21"/>
      <c r="HVD380" s="21"/>
      <c r="HVE380" s="15"/>
      <c r="HVF380" s="15"/>
      <c r="HVG380" s="15"/>
      <c r="HVH380" s="15"/>
      <c r="HVI380" s="15"/>
      <c r="HVJ380" s="15"/>
      <c r="HVK380" s="15"/>
      <c r="HVL380" s="15"/>
      <c r="HVM380" s="15"/>
      <c r="HVN380" s="15"/>
      <c r="HVO380" s="10"/>
      <c r="HVP380" s="10"/>
      <c r="HVQ380" s="21"/>
      <c r="HVR380" s="21"/>
      <c r="HVU380" s="21"/>
      <c r="HVV380" s="15"/>
      <c r="HVW380" s="15"/>
      <c r="HVX380" s="15"/>
      <c r="HVY380" s="15"/>
      <c r="HVZ380" s="15"/>
      <c r="HWA380" s="15"/>
      <c r="HWB380" s="15"/>
      <c r="HWC380" s="15"/>
      <c r="HWD380" s="15"/>
      <c r="HWE380" s="15"/>
      <c r="HWF380" s="10"/>
      <c r="HWG380" s="10"/>
      <c r="HWH380" s="21"/>
      <c r="HWI380" s="21"/>
      <c r="HWL380" s="21"/>
      <c r="HWM380" s="15"/>
      <c r="HWN380" s="15"/>
      <c r="HWO380" s="15"/>
      <c r="HWP380" s="15"/>
      <c r="HWQ380" s="15"/>
      <c r="HWR380" s="15"/>
      <c r="HWS380" s="15"/>
      <c r="HWT380" s="15"/>
      <c r="HWU380" s="15"/>
      <c r="HWV380" s="15"/>
      <c r="HWW380" s="10"/>
      <c r="HWX380" s="10"/>
      <c r="HWY380" s="21"/>
      <c r="HWZ380" s="21"/>
      <c r="HXC380" s="21"/>
      <c r="HXD380" s="15"/>
      <c r="HXE380" s="15"/>
      <c r="HXF380" s="15"/>
      <c r="HXG380" s="15"/>
      <c r="HXH380" s="15"/>
      <c r="HXI380" s="15"/>
      <c r="HXJ380" s="15"/>
      <c r="HXK380" s="15"/>
      <c r="HXL380" s="15"/>
      <c r="HXM380" s="15"/>
      <c r="HXN380" s="10"/>
      <c r="HXO380" s="10"/>
      <c r="HXP380" s="21"/>
      <c r="HXQ380" s="21"/>
      <c r="HXT380" s="21"/>
      <c r="HXU380" s="15"/>
      <c r="HXV380" s="15"/>
      <c r="HXW380" s="15"/>
      <c r="HXX380" s="15"/>
      <c r="HXY380" s="15"/>
      <c r="HXZ380" s="15"/>
      <c r="HYA380" s="15"/>
      <c r="HYB380" s="15"/>
      <c r="HYC380" s="15"/>
      <c r="HYD380" s="15"/>
      <c r="HYE380" s="10"/>
      <c r="HYF380" s="10"/>
      <c r="HYG380" s="21"/>
      <c r="HYH380" s="21"/>
      <c r="HYK380" s="21"/>
      <c r="HYL380" s="15"/>
      <c r="HYM380" s="15"/>
      <c r="HYN380" s="15"/>
      <c r="HYO380" s="15"/>
      <c r="HYP380" s="15"/>
      <c r="HYQ380" s="15"/>
      <c r="HYR380" s="15"/>
      <c r="HYS380" s="15"/>
      <c r="HYT380" s="15"/>
      <c r="HYU380" s="15"/>
      <c r="HYV380" s="10"/>
      <c r="HYW380" s="10"/>
      <c r="HYX380" s="21"/>
      <c r="HYY380" s="21"/>
      <c r="HZB380" s="21"/>
      <c r="HZC380" s="15"/>
      <c r="HZD380" s="15"/>
      <c r="HZE380" s="15"/>
      <c r="HZF380" s="15"/>
      <c r="HZG380" s="15"/>
      <c r="HZH380" s="15"/>
      <c r="HZI380" s="15"/>
      <c r="HZJ380" s="15"/>
      <c r="HZK380" s="15"/>
      <c r="HZL380" s="15"/>
      <c r="HZM380" s="10"/>
      <c r="HZN380" s="10"/>
      <c r="HZO380" s="21"/>
      <c r="HZP380" s="21"/>
      <c r="HZS380" s="21"/>
      <c r="HZT380" s="15"/>
      <c r="HZU380" s="15"/>
      <c r="HZV380" s="15"/>
      <c r="HZW380" s="15"/>
      <c r="HZX380" s="15"/>
      <c r="HZY380" s="15"/>
      <c r="HZZ380" s="15"/>
      <c r="IAA380" s="15"/>
      <c r="IAB380" s="15"/>
      <c r="IAC380" s="15"/>
      <c r="IAD380" s="10"/>
      <c r="IAE380" s="10"/>
      <c r="IAF380" s="21"/>
      <c r="IAG380" s="21"/>
      <c r="IAJ380" s="21"/>
      <c r="IAK380" s="15"/>
      <c r="IAL380" s="15"/>
      <c r="IAM380" s="15"/>
      <c r="IAN380" s="15"/>
      <c r="IAO380" s="15"/>
      <c r="IAP380" s="15"/>
      <c r="IAQ380" s="15"/>
      <c r="IAR380" s="15"/>
      <c r="IAS380" s="15"/>
      <c r="IAT380" s="15"/>
      <c r="IAU380" s="10"/>
      <c r="IAV380" s="10"/>
      <c r="IAW380" s="21"/>
      <c r="IAX380" s="21"/>
      <c r="IBA380" s="21"/>
      <c r="IBB380" s="15"/>
      <c r="IBC380" s="15"/>
      <c r="IBD380" s="15"/>
      <c r="IBE380" s="15"/>
      <c r="IBF380" s="15"/>
      <c r="IBG380" s="15"/>
      <c r="IBH380" s="15"/>
      <c r="IBI380" s="15"/>
      <c r="IBJ380" s="15"/>
      <c r="IBK380" s="15"/>
      <c r="IBL380" s="10"/>
      <c r="IBM380" s="10"/>
      <c r="IBN380" s="21"/>
      <c r="IBO380" s="21"/>
      <c r="IBR380" s="21"/>
      <c r="IBS380" s="15"/>
      <c r="IBT380" s="15"/>
      <c r="IBU380" s="15"/>
      <c r="IBV380" s="15"/>
      <c r="IBW380" s="15"/>
      <c r="IBX380" s="15"/>
      <c r="IBY380" s="15"/>
      <c r="IBZ380" s="15"/>
      <c r="ICA380" s="15"/>
      <c r="ICB380" s="15"/>
      <c r="ICC380" s="10"/>
      <c r="ICD380" s="10"/>
      <c r="ICE380" s="21"/>
      <c r="ICF380" s="21"/>
      <c r="ICI380" s="21"/>
      <c r="ICJ380" s="15"/>
      <c r="ICK380" s="15"/>
      <c r="ICL380" s="15"/>
      <c r="ICM380" s="15"/>
      <c r="ICN380" s="15"/>
      <c r="ICO380" s="15"/>
      <c r="ICP380" s="15"/>
      <c r="ICQ380" s="15"/>
      <c r="ICR380" s="15"/>
      <c r="ICS380" s="15"/>
      <c r="ICT380" s="10"/>
      <c r="ICU380" s="10"/>
      <c r="ICV380" s="21"/>
      <c r="ICW380" s="21"/>
      <c r="ICZ380" s="21"/>
      <c r="IDA380" s="15"/>
      <c r="IDB380" s="15"/>
      <c r="IDC380" s="15"/>
      <c r="IDD380" s="15"/>
      <c r="IDE380" s="15"/>
      <c r="IDF380" s="15"/>
      <c r="IDG380" s="15"/>
      <c r="IDH380" s="15"/>
      <c r="IDI380" s="15"/>
      <c r="IDJ380" s="15"/>
      <c r="IDK380" s="10"/>
      <c r="IDL380" s="10"/>
      <c r="IDM380" s="21"/>
      <c r="IDN380" s="21"/>
      <c r="IDQ380" s="21"/>
      <c r="IDR380" s="15"/>
      <c r="IDS380" s="15"/>
      <c r="IDT380" s="15"/>
      <c r="IDU380" s="15"/>
      <c r="IDV380" s="15"/>
      <c r="IDW380" s="15"/>
      <c r="IDX380" s="15"/>
      <c r="IDY380" s="15"/>
      <c r="IDZ380" s="15"/>
      <c r="IEA380" s="15"/>
      <c r="IEB380" s="10"/>
      <c r="IEC380" s="10"/>
      <c r="IED380" s="21"/>
      <c r="IEE380" s="21"/>
      <c r="IEH380" s="21"/>
      <c r="IEI380" s="15"/>
      <c r="IEJ380" s="15"/>
      <c r="IEK380" s="15"/>
      <c r="IEL380" s="15"/>
      <c r="IEM380" s="15"/>
      <c r="IEN380" s="15"/>
      <c r="IEO380" s="15"/>
      <c r="IEP380" s="15"/>
      <c r="IEQ380" s="15"/>
      <c r="IER380" s="15"/>
      <c r="IES380" s="10"/>
      <c r="IET380" s="10"/>
      <c r="IEU380" s="21"/>
      <c r="IEV380" s="21"/>
      <c r="IEY380" s="21"/>
      <c r="IEZ380" s="15"/>
      <c r="IFA380" s="15"/>
      <c r="IFB380" s="15"/>
      <c r="IFC380" s="15"/>
      <c r="IFD380" s="15"/>
      <c r="IFE380" s="15"/>
      <c r="IFF380" s="15"/>
      <c r="IFG380" s="15"/>
      <c r="IFH380" s="15"/>
      <c r="IFI380" s="15"/>
      <c r="IFJ380" s="10"/>
      <c r="IFK380" s="10"/>
      <c r="IFL380" s="21"/>
      <c r="IFM380" s="21"/>
      <c r="IFP380" s="21"/>
      <c r="IFQ380" s="15"/>
      <c r="IFR380" s="15"/>
      <c r="IFS380" s="15"/>
      <c r="IFT380" s="15"/>
      <c r="IFU380" s="15"/>
      <c r="IFV380" s="15"/>
      <c r="IFW380" s="15"/>
      <c r="IFX380" s="15"/>
      <c r="IFY380" s="15"/>
      <c r="IFZ380" s="15"/>
      <c r="IGA380" s="10"/>
      <c r="IGB380" s="10"/>
      <c r="IGC380" s="21"/>
      <c r="IGD380" s="21"/>
      <c r="IGG380" s="21"/>
      <c r="IGH380" s="15"/>
      <c r="IGI380" s="15"/>
      <c r="IGJ380" s="15"/>
      <c r="IGK380" s="15"/>
      <c r="IGL380" s="15"/>
      <c r="IGM380" s="15"/>
      <c r="IGN380" s="15"/>
      <c r="IGO380" s="15"/>
      <c r="IGP380" s="15"/>
      <c r="IGQ380" s="15"/>
      <c r="IGR380" s="10"/>
      <c r="IGS380" s="10"/>
      <c r="IGT380" s="21"/>
      <c r="IGU380" s="21"/>
      <c r="IGX380" s="21"/>
      <c r="IGY380" s="15"/>
      <c r="IGZ380" s="15"/>
      <c r="IHA380" s="15"/>
      <c r="IHB380" s="15"/>
      <c r="IHC380" s="15"/>
      <c r="IHD380" s="15"/>
      <c r="IHE380" s="15"/>
      <c r="IHF380" s="15"/>
      <c r="IHG380" s="15"/>
      <c r="IHH380" s="15"/>
      <c r="IHI380" s="10"/>
      <c r="IHJ380" s="10"/>
      <c r="IHK380" s="21"/>
      <c r="IHL380" s="21"/>
      <c r="IHO380" s="21"/>
      <c r="IHP380" s="15"/>
      <c r="IHQ380" s="15"/>
      <c r="IHR380" s="15"/>
      <c r="IHS380" s="15"/>
      <c r="IHT380" s="15"/>
      <c r="IHU380" s="15"/>
      <c r="IHV380" s="15"/>
      <c r="IHW380" s="15"/>
      <c r="IHX380" s="15"/>
      <c r="IHY380" s="15"/>
      <c r="IHZ380" s="10"/>
      <c r="IIA380" s="10"/>
      <c r="IIB380" s="21"/>
      <c r="IIC380" s="21"/>
      <c r="IIF380" s="21"/>
      <c r="IIG380" s="15"/>
      <c r="IIH380" s="15"/>
      <c r="III380" s="15"/>
      <c r="IIJ380" s="15"/>
      <c r="IIK380" s="15"/>
      <c r="IIL380" s="15"/>
      <c r="IIM380" s="15"/>
      <c r="IIN380" s="15"/>
      <c r="IIO380" s="15"/>
      <c r="IIP380" s="15"/>
      <c r="IIQ380" s="10"/>
      <c r="IIR380" s="10"/>
      <c r="IIS380" s="21"/>
      <c r="IIT380" s="21"/>
      <c r="IIW380" s="21"/>
      <c r="IIX380" s="15"/>
      <c r="IIY380" s="15"/>
      <c r="IIZ380" s="15"/>
      <c r="IJA380" s="15"/>
      <c r="IJB380" s="15"/>
      <c r="IJC380" s="15"/>
      <c r="IJD380" s="15"/>
      <c r="IJE380" s="15"/>
      <c r="IJF380" s="15"/>
      <c r="IJG380" s="15"/>
      <c r="IJH380" s="10"/>
      <c r="IJI380" s="10"/>
      <c r="IJJ380" s="21"/>
      <c r="IJK380" s="21"/>
      <c r="IJN380" s="21"/>
      <c r="IJO380" s="15"/>
      <c r="IJP380" s="15"/>
      <c r="IJQ380" s="15"/>
      <c r="IJR380" s="15"/>
      <c r="IJS380" s="15"/>
      <c r="IJT380" s="15"/>
      <c r="IJU380" s="15"/>
      <c r="IJV380" s="15"/>
      <c r="IJW380" s="15"/>
      <c r="IJX380" s="15"/>
      <c r="IJY380" s="10"/>
      <c r="IJZ380" s="10"/>
      <c r="IKA380" s="21"/>
      <c r="IKB380" s="21"/>
      <c r="IKE380" s="21"/>
      <c r="IKF380" s="15"/>
      <c r="IKG380" s="15"/>
      <c r="IKH380" s="15"/>
      <c r="IKI380" s="15"/>
      <c r="IKJ380" s="15"/>
      <c r="IKK380" s="15"/>
      <c r="IKL380" s="15"/>
      <c r="IKM380" s="15"/>
      <c r="IKN380" s="15"/>
      <c r="IKO380" s="15"/>
      <c r="IKP380" s="10"/>
      <c r="IKQ380" s="10"/>
      <c r="IKR380" s="21"/>
      <c r="IKS380" s="21"/>
      <c r="IKV380" s="21"/>
      <c r="IKW380" s="15"/>
      <c r="IKX380" s="15"/>
      <c r="IKY380" s="15"/>
      <c r="IKZ380" s="15"/>
      <c r="ILA380" s="15"/>
      <c r="ILB380" s="15"/>
      <c r="ILC380" s="15"/>
      <c r="ILD380" s="15"/>
      <c r="ILE380" s="15"/>
      <c r="ILF380" s="15"/>
      <c r="ILG380" s="10"/>
      <c r="ILH380" s="10"/>
      <c r="ILI380" s="21"/>
      <c r="ILJ380" s="21"/>
      <c r="ILM380" s="21"/>
      <c r="ILN380" s="15"/>
      <c r="ILO380" s="15"/>
      <c r="ILP380" s="15"/>
      <c r="ILQ380" s="15"/>
      <c r="ILR380" s="15"/>
      <c r="ILS380" s="15"/>
      <c r="ILT380" s="15"/>
      <c r="ILU380" s="15"/>
      <c r="ILV380" s="15"/>
      <c r="ILW380" s="15"/>
      <c r="ILX380" s="10"/>
      <c r="ILY380" s="10"/>
      <c r="ILZ380" s="21"/>
      <c r="IMA380" s="21"/>
      <c r="IMD380" s="21"/>
      <c r="IME380" s="15"/>
      <c r="IMF380" s="15"/>
      <c r="IMG380" s="15"/>
      <c r="IMH380" s="15"/>
      <c r="IMI380" s="15"/>
      <c r="IMJ380" s="15"/>
      <c r="IMK380" s="15"/>
      <c r="IML380" s="15"/>
      <c r="IMM380" s="15"/>
      <c r="IMN380" s="15"/>
      <c r="IMO380" s="10"/>
      <c r="IMP380" s="10"/>
      <c r="IMQ380" s="21"/>
      <c r="IMR380" s="21"/>
      <c r="IMU380" s="21"/>
      <c r="IMV380" s="15"/>
      <c r="IMW380" s="15"/>
      <c r="IMX380" s="15"/>
      <c r="IMY380" s="15"/>
      <c r="IMZ380" s="15"/>
      <c r="INA380" s="15"/>
      <c r="INB380" s="15"/>
      <c r="INC380" s="15"/>
      <c r="IND380" s="15"/>
      <c r="INE380" s="15"/>
      <c r="INF380" s="10"/>
      <c r="ING380" s="10"/>
      <c r="INH380" s="21"/>
      <c r="INI380" s="21"/>
      <c r="INL380" s="21"/>
      <c r="INM380" s="15"/>
      <c r="INN380" s="15"/>
      <c r="INO380" s="15"/>
      <c r="INP380" s="15"/>
      <c r="INQ380" s="15"/>
      <c r="INR380" s="15"/>
      <c r="INS380" s="15"/>
      <c r="INT380" s="15"/>
      <c r="INU380" s="15"/>
      <c r="INV380" s="15"/>
      <c r="INW380" s="10"/>
      <c r="INX380" s="10"/>
      <c r="INY380" s="21"/>
      <c r="INZ380" s="21"/>
      <c r="IOC380" s="21"/>
      <c r="IOD380" s="15"/>
      <c r="IOE380" s="15"/>
      <c r="IOF380" s="15"/>
      <c r="IOG380" s="15"/>
      <c r="IOH380" s="15"/>
      <c r="IOI380" s="15"/>
      <c r="IOJ380" s="15"/>
      <c r="IOK380" s="15"/>
      <c r="IOL380" s="15"/>
      <c r="IOM380" s="15"/>
      <c r="ION380" s="10"/>
      <c r="IOO380" s="10"/>
      <c r="IOP380" s="21"/>
      <c r="IOQ380" s="21"/>
      <c r="IOT380" s="21"/>
      <c r="IOU380" s="15"/>
      <c r="IOV380" s="15"/>
      <c r="IOW380" s="15"/>
      <c r="IOX380" s="15"/>
      <c r="IOY380" s="15"/>
      <c r="IOZ380" s="15"/>
      <c r="IPA380" s="15"/>
      <c r="IPB380" s="15"/>
      <c r="IPC380" s="15"/>
      <c r="IPD380" s="15"/>
      <c r="IPE380" s="10"/>
      <c r="IPF380" s="10"/>
      <c r="IPG380" s="21"/>
      <c r="IPH380" s="21"/>
      <c r="IPK380" s="21"/>
      <c r="IPL380" s="15"/>
      <c r="IPM380" s="15"/>
      <c r="IPN380" s="15"/>
      <c r="IPO380" s="15"/>
      <c r="IPP380" s="15"/>
      <c r="IPQ380" s="15"/>
      <c r="IPR380" s="15"/>
      <c r="IPS380" s="15"/>
      <c r="IPT380" s="15"/>
      <c r="IPU380" s="15"/>
      <c r="IPV380" s="10"/>
      <c r="IPW380" s="10"/>
      <c r="IPX380" s="21"/>
      <c r="IPY380" s="21"/>
      <c r="IQB380" s="21"/>
      <c r="IQC380" s="15"/>
      <c r="IQD380" s="15"/>
      <c r="IQE380" s="15"/>
      <c r="IQF380" s="15"/>
      <c r="IQG380" s="15"/>
      <c r="IQH380" s="15"/>
      <c r="IQI380" s="15"/>
      <c r="IQJ380" s="15"/>
      <c r="IQK380" s="15"/>
      <c r="IQL380" s="15"/>
      <c r="IQM380" s="10"/>
      <c r="IQN380" s="10"/>
      <c r="IQO380" s="21"/>
      <c r="IQP380" s="21"/>
      <c r="IQS380" s="21"/>
      <c r="IQT380" s="15"/>
      <c r="IQU380" s="15"/>
      <c r="IQV380" s="15"/>
      <c r="IQW380" s="15"/>
      <c r="IQX380" s="15"/>
      <c r="IQY380" s="15"/>
      <c r="IQZ380" s="15"/>
      <c r="IRA380" s="15"/>
      <c r="IRB380" s="15"/>
      <c r="IRC380" s="15"/>
      <c r="IRD380" s="10"/>
      <c r="IRE380" s="10"/>
      <c r="IRF380" s="21"/>
      <c r="IRG380" s="21"/>
      <c r="IRJ380" s="21"/>
      <c r="IRK380" s="15"/>
      <c r="IRL380" s="15"/>
      <c r="IRM380" s="15"/>
      <c r="IRN380" s="15"/>
      <c r="IRO380" s="15"/>
      <c r="IRP380" s="15"/>
      <c r="IRQ380" s="15"/>
      <c r="IRR380" s="15"/>
      <c r="IRS380" s="15"/>
      <c r="IRT380" s="15"/>
      <c r="IRU380" s="10"/>
      <c r="IRV380" s="10"/>
      <c r="IRW380" s="21"/>
      <c r="IRX380" s="21"/>
      <c r="ISA380" s="21"/>
      <c r="ISB380" s="15"/>
      <c r="ISC380" s="15"/>
      <c r="ISD380" s="15"/>
      <c r="ISE380" s="15"/>
      <c r="ISF380" s="15"/>
      <c r="ISG380" s="15"/>
      <c r="ISH380" s="15"/>
      <c r="ISI380" s="15"/>
      <c r="ISJ380" s="15"/>
      <c r="ISK380" s="15"/>
      <c r="ISL380" s="10"/>
      <c r="ISM380" s="10"/>
      <c r="ISN380" s="21"/>
      <c r="ISO380" s="21"/>
      <c r="ISR380" s="21"/>
      <c r="ISS380" s="15"/>
      <c r="IST380" s="15"/>
      <c r="ISU380" s="15"/>
      <c r="ISV380" s="15"/>
      <c r="ISW380" s="15"/>
      <c r="ISX380" s="15"/>
      <c r="ISY380" s="15"/>
      <c r="ISZ380" s="15"/>
      <c r="ITA380" s="15"/>
      <c r="ITB380" s="15"/>
      <c r="ITC380" s="10"/>
      <c r="ITD380" s="10"/>
      <c r="ITE380" s="21"/>
      <c r="ITF380" s="21"/>
      <c r="ITI380" s="21"/>
      <c r="ITJ380" s="15"/>
      <c r="ITK380" s="15"/>
      <c r="ITL380" s="15"/>
      <c r="ITM380" s="15"/>
      <c r="ITN380" s="15"/>
      <c r="ITO380" s="15"/>
      <c r="ITP380" s="15"/>
      <c r="ITQ380" s="15"/>
      <c r="ITR380" s="15"/>
      <c r="ITS380" s="15"/>
      <c r="ITT380" s="10"/>
      <c r="ITU380" s="10"/>
      <c r="ITV380" s="21"/>
      <c r="ITW380" s="21"/>
      <c r="ITZ380" s="21"/>
      <c r="IUA380" s="15"/>
      <c r="IUB380" s="15"/>
      <c r="IUC380" s="15"/>
      <c r="IUD380" s="15"/>
      <c r="IUE380" s="15"/>
      <c r="IUF380" s="15"/>
      <c r="IUG380" s="15"/>
      <c r="IUH380" s="15"/>
      <c r="IUI380" s="15"/>
      <c r="IUJ380" s="15"/>
      <c r="IUK380" s="10"/>
      <c r="IUL380" s="10"/>
      <c r="IUM380" s="21"/>
      <c r="IUN380" s="21"/>
      <c r="IUQ380" s="21"/>
      <c r="IUR380" s="15"/>
      <c r="IUS380" s="15"/>
      <c r="IUT380" s="15"/>
      <c r="IUU380" s="15"/>
      <c r="IUV380" s="15"/>
      <c r="IUW380" s="15"/>
      <c r="IUX380" s="15"/>
      <c r="IUY380" s="15"/>
      <c r="IUZ380" s="15"/>
      <c r="IVA380" s="15"/>
      <c r="IVB380" s="10"/>
      <c r="IVC380" s="10"/>
      <c r="IVD380" s="21"/>
      <c r="IVE380" s="21"/>
      <c r="IVH380" s="21"/>
      <c r="IVI380" s="15"/>
      <c r="IVJ380" s="15"/>
      <c r="IVK380" s="15"/>
      <c r="IVL380" s="15"/>
      <c r="IVM380" s="15"/>
      <c r="IVN380" s="15"/>
      <c r="IVO380" s="15"/>
      <c r="IVP380" s="15"/>
      <c r="IVQ380" s="15"/>
      <c r="IVR380" s="15"/>
      <c r="IVS380" s="10"/>
      <c r="IVT380" s="10"/>
      <c r="IVU380" s="21"/>
      <c r="IVV380" s="21"/>
      <c r="IVY380" s="21"/>
      <c r="IVZ380" s="15"/>
      <c r="IWA380" s="15"/>
      <c r="IWB380" s="15"/>
      <c r="IWC380" s="15"/>
      <c r="IWD380" s="15"/>
      <c r="IWE380" s="15"/>
      <c r="IWF380" s="15"/>
      <c r="IWG380" s="15"/>
      <c r="IWH380" s="15"/>
      <c r="IWI380" s="15"/>
      <c r="IWJ380" s="10"/>
      <c r="IWK380" s="10"/>
      <c r="IWL380" s="21"/>
      <c r="IWM380" s="21"/>
      <c r="IWP380" s="21"/>
      <c r="IWQ380" s="15"/>
      <c r="IWR380" s="15"/>
      <c r="IWS380" s="15"/>
      <c r="IWT380" s="15"/>
      <c r="IWU380" s="15"/>
      <c r="IWV380" s="15"/>
      <c r="IWW380" s="15"/>
      <c r="IWX380" s="15"/>
      <c r="IWY380" s="15"/>
      <c r="IWZ380" s="15"/>
      <c r="IXA380" s="10"/>
      <c r="IXB380" s="10"/>
      <c r="IXC380" s="21"/>
      <c r="IXD380" s="21"/>
      <c r="IXG380" s="21"/>
      <c r="IXH380" s="15"/>
      <c r="IXI380" s="15"/>
      <c r="IXJ380" s="15"/>
      <c r="IXK380" s="15"/>
      <c r="IXL380" s="15"/>
      <c r="IXM380" s="15"/>
      <c r="IXN380" s="15"/>
      <c r="IXO380" s="15"/>
      <c r="IXP380" s="15"/>
      <c r="IXQ380" s="15"/>
      <c r="IXR380" s="10"/>
      <c r="IXS380" s="10"/>
      <c r="IXT380" s="21"/>
      <c r="IXU380" s="21"/>
      <c r="IXX380" s="21"/>
      <c r="IXY380" s="15"/>
      <c r="IXZ380" s="15"/>
      <c r="IYA380" s="15"/>
      <c r="IYB380" s="15"/>
      <c r="IYC380" s="15"/>
      <c r="IYD380" s="15"/>
      <c r="IYE380" s="15"/>
      <c r="IYF380" s="15"/>
      <c r="IYG380" s="15"/>
      <c r="IYH380" s="15"/>
      <c r="IYI380" s="10"/>
      <c r="IYJ380" s="10"/>
      <c r="IYK380" s="21"/>
      <c r="IYL380" s="21"/>
      <c r="IYO380" s="21"/>
      <c r="IYP380" s="15"/>
      <c r="IYQ380" s="15"/>
      <c r="IYR380" s="15"/>
      <c r="IYS380" s="15"/>
      <c r="IYT380" s="15"/>
      <c r="IYU380" s="15"/>
      <c r="IYV380" s="15"/>
      <c r="IYW380" s="15"/>
      <c r="IYX380" s="15"/>
      <c r="IYY380" s="15"/>
      <c r="IYZ380" s="10"/>
      <c r="IZA380" s="10"/>
      <c r="IZB380" s="21"/>
      <c r="IZC380" s="21"/>
      <c r="IZF380" s="21"/>
      <c r="IZG380" s="15"/>
      <c r="IZH380" s="15"/>
      <c r="IZI380" s="15"/>
      <c r="IZJ380" s="15"/>
      <c r="IZK380" s="15"/>
      <c r="IZL380" s="15"/>
      <c r="IZM380" s="15"/>
      <c r="IZN380" s="15"/>
      <c r="IZO380" s="15"/>
      <c r="IZP380" s="15"/>
      <c r="IZQ380" s="10"/>
      <c r="IZR380" s="10"/>
      <c r="IZS380" s="21"/>
      <c r="IZT380" s="21"/>
      <c r="IZW380" s="21"/>
      <c r="IZX380" s="15"/>
      <c r="IZY380" s="15"/>
      <c r="IZZ380" s="15"/>
      <c r="JAA380" s="15"/>
      <c r="JAB380" s="15"/>
      <c r="JAC380" s="15"/>
      <c r="JAD380" s="15"/>
      <c r="JAE380" s="15"/>
      <c r="JAF380" s="15"/>
      <c r="JAG380" s="15"/>
      <c r="JAH380" s="10"/>
      <c r="JAI380" s="10"/>
      <c r="JAJ380" s="21"/>
      <c r="JAK380" s="21"/>
      <c r="JAN380" s="21"/>
      <c r="JAO380" s="15"/>
      <c r="JAP380" s="15"/>
      <c r="JAQ380" s="15"/>
      <c r="JAR380" s="15"/>
      <c r="JAS380" s="15"/>
      <c r="JAT380" s="15"/>
      <c r="JAU380" s="15"/>
      <c r="JAV380" s="15"/>
      <c r="JAW380" s="15"/>
      <c r="JAX380" s="15"/>
      <c r="JAY380" s="10"/>
      <c r="JAZ380" s="10"/>
      <c r="JBA380" s="21"/>
      <c r="JBB380" s="21"/>
      <c r="JBE380" s="21"/>
      <c r="JBF380" s="15"/>
      <c r="JBG380" s="15"/>
      <c r="JBH380" s="15"/>
      <c r="JBI380" s="15"/>
      <c r="JBJ380" s="15"/>
      <c r="JBK380" s="15"/>
      <c r="JBL380" s="15"/>
      <c r="JBM380" s="15"/>
      <c r="JBN380" s="15"/>
      <c r="JBO380" s="15"/>
      <c r="JBP380" s="10"/>
      <c r="JBQ380" s="10"/>
      <c r="JBR380" s="21"/>
      <c r="JBS380" s="21"/>
      <c r="JBV380" s="21"/>
      <c r="JBW380" s="15"/>
      <c r="JBX380" s="15"/>
      <c r="JBY380" s="15"/>
      <c r="JBZ380" s="15"/>
      <c r="JCA380" s="15"/>
      <c r="JCB380" s="15"/>
      <c r="JCC380" s="15"/>
      <c r="JCD380" s="15"/>
      <c r="JCE380" s="15"/>
      <c r="JCF380" s="15"/>
      <c r="JCG380" s="10"/>
      <c r="JCH380" s="10"/>
      <c r="JCI380" s="21"/>
      <c r="JCJ380" s="21"/>
      <c r="JCM380" s="21"/>
      <c r="JCN380" s="15"/>
      <c r="JCO380" s="15"/>
      <c r="JCP380" s="15"/>
      <c r="JCQ380" s="15"/>
      <c r="JCR380" s="15"/>
      <c r="JCS380" s="15"/>
      <c r="JCT380" s="15"/>
      <c r="JCU380" s="15"/>
      <c r="JCV380" s="15"/>
      <c r="JCW380" s="15"/>
      <c r="JCX380" s="10"/>
      <c r="JCY380" s="10"/>
      <c r="JCZ380" s="21"/>
      <c r="JDA380" s="21"/>
      <c r="JDD380" s="21"/>
      <c r="JDE380" s="15"/>
      <c r="JDF380" s="15"/>
      <c r="JDG380" s="15"/>
      <c r="JDH380" s="15"/>
      <c r="JDI380" s="15"/>
      <c r="JDJ380" s="15"/>
      <c r="JDK380" s="15"/>
      <c r="JDL380" s="15"/>
      <c r="JDM380" s="15"/>
      <c r="JDN380" s="15"/>
      <c r="JDO380" s="10"/>
      <c r="JDP380" s="10"/>
      <c r="JDQ380" s="21"/>
      <c r="JDR380" s="21"/>
      <c r="JDU380" s="21"/>
      <c r="JDV380" s="15"/>
      <c r="JDW380" s="15"/>
      <c r="JDX380" s="15"/>
      <c r="JDY380" s="15"/>
      <c r="JDZ380" s="15"/>
      <c r="JEA380" s="15"/>
      <c r="JEB380" s="15"/>
      <c r="JEC380" s="15"/>
      <c r="JED380" s="15"/>
      <c r="JEE380" s="15"/>
      <c r="JEF380" s="10"/>
      <c r="JEG380" s="10"/>
      <c r="JEH380" s="21"/>
      <c r="JEI380" s="21"/>
      <c r="JEL380" s="21"/>
      <c r="JEM380" s="15"/>
      <c r="JEN380" s="15"/>
      <c r="JEO380" s="15"/>
      <c r="JEP380" s="15"/>
      <c r="JEQ380" s="15"/>
      <c r="JER380" s="15"/>
      <c r="JES380" s="15"/>
      <c r="JET380" s="15"/>
      <c r="JEU380" s="15"/>
      <c r="JEV380" s="15"/>
      <c r="JEW380" s="10"/>
      <c r="JEX380" s="10"/>
      <c r="JEY380" s="21"/>
      <c r="JEZ380" s="21"/>
      <c r="JFC380" s="21"/>
      <c r="JFD380" s="15"/>
      <c r="JFE380" s="15"/>
      <c r="JFF380" s="15"/>
      <c r="JFG380" s="15"/>
      <c r="JFH380" s="15"/>
      <c r="JFI380" s="15"/>
      <c r="JFJ380" s="15"/>
      <c r="JFK380" s="15"/>
      <c r="JFL380" s="15"/>
      <c r="JFM380" s="15"/>
      <c r="JFN380" s="10"/>
      <c r="JFO380" s="10"/>
      <c r="JFP380" s="21"/>
      <c r="JFQ380" s="21"/>
      <c r="JFT380" s="21"/>
      <c r="JFU380" s="15"/>
      <c r="JFV380" s="15"/>
      <c r="JFW380" s="15"/>
      <c r="JFX380" s="15"/>
      <c r="JFY380" s="15"/>
      <c r="JFZ380" s="15"/>
      <c r="JGA380" s="15"/>
      <c r="JGB380" s="15"/>
      <c r="JGC380" s="15"/>
      <c r="JGD380" s="15"/>
      <c r="JGE380" s="10"/>
      <c r="JGF380" s="10"/>
      <c r="JGG380" s="21"/>
      <c r="JGH380" s="21"/>
      <c r="JGK380" s="21"/>
      <c r="JGL380" s="15"/>
      <c r="JGM380" s="15"/>
      <c r="JGN380" s="15"/>
      <c r="JGO380" s="15"/>
      <c r="JGP380" s="15"/>
      <c r="JGQ380" s="15"/>
      <c r="JGR380" s="15"/>
      <c r="JGS380" s="15"/>
      <c r="JGT380" s="15"/>
      <c r="JGU380" s="15"/>
      <c r="JGV380" s="10"/>
      <c r="JGW380" s="10"/>
      <c r="JGX380" s="21"/>
      <c r="JGY380" s="21"/>
      <c r="JHB380" s="21"/>
      <c r="JHC380" s="15"/>
      <c r="JHD380" s="15"/>
      <c r="JHE380" s="15"/>
      <c r="JHF380" s="15"/>
      <c r="JHG380" s="15"/>
      <c r="JHH380" s="15"/>
      <c r="JHI380" s="15"/>
      <c r="JHJ380" s="15"/>
      <c r="JHK380" s="15"/>
      <c r="JHL380" s="15"/>
      <c r="JHM380" s="10"/>
      <c r="JHN380" s="10"/>
      <c r="JHO380" s="21"/>
      <c r="JHP380" s="21"/>
      <c r="JHS380" s="21"/>
      <c r="JHT380" s="15"/>
      <c r="JHU380" s="15"/>
      <c r="JHV380" s="15"/>
      <c r="JHW380" s="15"/>
      <c r="JHX380" s="15"/>
      <c r="JHY380" s="15"/>
      <c r="JHZ380" s="15"/>
      <c r="JIA380" s="15"/>
      <c r="JIB380" s="15"/>
      <c r="JIC380" s="15"/>
      <c r="JID380" s="10"/>
      <c r="JIE380" s="10"/>
      <c r="JIF380" s="21"/>
      <c r="JIG380" s="21"/>
      <c r="JIJ380" s="21"/>
      <c r="JIK380" s="15"/>
      <c r="JIL380" s="15"/>
      <c r="JIM380" s="15"/>
      <c r="JIN380" s="15"/>
      <c r="JIO380" s="15"/>
      <c r="JIP380" s="15"/>
      <c r="JIQ380" s="15"/>
      <c r="JIR380" s="15"/>
      <c r="JIS380" s="15"/>
      <c r="JIT380" s="15"/>
      <c r="JIU380" s="10"/>
      <c r="JIV380" s="10"/>
      <c r="JIW380" s="21"/>
      <c r="JIX380" s="21"/>
      <c r="JJA380" s="21"/>
      <c r="JJB380" s="15"/>
      <c r="JJC380" s="15"/>
      <c r="JJD380" s="15"/>
      <c r="JJE380" s="15"/>
      <c r="JJF380" s="15"/>
      <c r="JJG380" s="15"/>
      <c r="JJH380" s="15"/>
      <c r="JJI380" s="15"/>
      <c r="JJJ380" s="15"/>
      <c r="JJK380" s="15"/>
      <c r="JJL380" s="10"/>
      <c r="JJM380" s="10"/>
      <c r="JJN380" s="21"/>
      <c r="JJO380" s="21"/>
      <c r="JJR380" s="21"/>
      <c r="JJS380" s="15"/>
      <c r="JJT380" s="15"/>
      <c r="JJU380" s="15"/>
      <c r="JJV380" s="15"/>
      <c r="JJW380" s="15"/>
      <c r="JJX380" s="15"/>
      <c r="JJY380" s="15"/>
      <c r="JJZ380" s="15"/>
      <c r="JKA380" s="15"/>
      <c r="JKB380" s="15"/>
      <c r="JKC380" s="10"/>
      <c r="JKD380" s="10"/>
      <c r="JKE380" s="21"/>
      <c r="JKF380" s="21"/>
      <c r="JKI380" s="21"/>
      <c r="JKJ380" s="15"/>
      <c r="JKK380" s="15"/>
      <c r="JKL380" s="15"/>
      <c r="JKM380" s="15"/>
      <c r="JKN380" s="15"/>
      <c r="JKO380" s="15"/>
      <c r="JKP380" s="15"/>
      <c r="JKQ380" s="15"/>
      <c r="JKR380" s="15"/>
      <c r="JKS380" s="15"/>
      <c r="JKT380" s="10"/>
      <c r="JKU380" s="10"/>
      <c r="JKV380" s="21"/>
      <c r="JKW380" s="21"/>
      <c r="JKZ380" s="21"/>
      <c r="JLA380" s="15"/>
      <c r="JLB380" s="15"/>
      <c r="JLC380" s="15"/>
      <c r="JLD380" s="15"/>
      <c r="JLE380" s="15"/>
      <c r="JLF380" s="15"/>
      <c r="JLG380" s="15"/>
      <c r="JLH380" s="15"/>
      <c r="JLI380" s="15"/>
      <c r="JLJ380" s="15"/>
      <c r="JLK380" s="10"/>
      <c r="JLL380" s="10"/>
      <c r="JLM380" s="21"/>
      <c r="JLN380" s="21"/>
      <c r="JLQ380" s="21"/>
      <c r="JLR380" s="15"/>
      <c r="JLS380" s="15"/>
      <c r="JLT380" s="15"/>
      <c r="JLU380" s="15"/>
      <c r="JLV380" s="15"/>
      <c r="JLW380" s="15"/>
      <c r="JLX380" s="15"/>
      <c r="JLY380" s="15"/>
      <c r="JLZ380" s="15"/>
      <c r="JMA380" s="15"/>
      <c r="JMB380" s="10"/>
      <c r="JMC380" s="10"/>
      <c r="JMD380" s="21"/>
      <c r="JME380" s="21"/>
      <c r="JMH380" s="21"/>
      <c r="JMI380" s="15"/>
      <c r="JMJ380" s="15"/>
      <c r="JMK380" s="15"/>
      <c r="JML380" s="15"/>
      <c r="JMM380" s="15"/>
      <c r="JMN380" s="15"/>
      <c r="JMO380" s="15"/>
      <c r="JMP380" s="15"/>
      <c r="JMQ380" s="15"/>
      <c r="JMR380" s="15"/>
      <c r="JMS380" s="10"/>
      <c r="JMT380" s="10"/>
      <c r="JMU380" s="21"/>
      <c r="JMV380" s="21"/>
      <c r="JMY380" s="21"/>
      <c r="JMZ380" s="15"/>
      <c r="JNA380" s="15"/>
      <c r="JNB380" s="15"/>
      <c r="JNC380" s="15"/>
      <c r="JND380" s="15"/>
      <c r="JNE380" s="15"/>
      <c r="JNF380" s="15"/>
      <c r="JNG380" s="15"/>
      <c r="JNH380" s="15"/>
      <c r="JNI380" s="15"/>
      <c r="JNJ380" s="10"/>
      <c r="JNK380" s="10"/>
      <c r="JNL380" s="21"/>
      <c r="JNM380" s="21"/>
      <c r="JNP380" s="21"/>
      <c r="JNQ380" s="15"/>
      <c r="JNR380" s="15"/>
      <c r="JNS380" s="15"/>
      <c r="JNT380" s="15"/>
      <c r="JNU380" s="15"/>
      <c r="JNV380" s="15"/>
      <c r="JNW380" s="15"/>
      <c r="JNX380" s="15"/>
      <c r="JNY380" s="15"/>
      <c r="JNZ380" s="15"/>
      <c r="JOA380" s="10"/>
      <c r="JOB380" s="10"/>
      <c r="JOC380" s="21"/>
      <c r="JOD380" s="21"/>
      <c r="JOG380" s="21"/>
      <c r="JOH380" s="15"/>
      <c r="JOI380" s="15"/>
      <c r="JOJ380" s="15"/>
      <c r="JOK380" s="15"/>
      <c r="JOL380" s="15"/>
      <c r="JOM380" s="15"/>
      <c r="JON380" s="15"/>
      <c r="JOO380" s="15"/>
      <c r="JOP380" s="15"/>
      <c r="JOQ380" s="15"/>
      <c r="JOR380" s="10"/>
      <c r="JOS380" s="10"/>
      <c r="JOT380" s="21"/>
      <c r="JOU380" s="21"/>
      <c r="JOX380" s="21"/>
      <c r="JOY380" s="15"/>
      <c r="JOZ380" s="15"/>
      <c r="JPA380" s="15"/>
      <c r="JPB380" s="15"/>
      <c r="JPC380" s="15"/>
      <c r="JPD380" s="15"/>
      <c r="JPE380" s="15"/>
      <c r="JPF380" s="15"/>
      <c r="JPG380" s="15"/>
      <c r="JPH380" s="15"/>
      <c r="JPI380" s="10"/>
      <c r="JPJ380" s="10"/>
      <c r="JPK380" s="21"/>
      <c r="JPL380" s="21"/>
      <c r="JPO380" s="21"/>
      <c r="JPP380" s="15"/>
      <c r="JPQ380" s="15"/>
      <c r="JPR380" s="15"/>
      <c r="JPS380" s="15"/>
      <c r="JPT380" s="15"/>
      <c r="JPU380" s="15"/>
      <c r="JPV380" s="15"/>
      <c r="JPW380" s="15"/>
      <c r="JPX380" s="15"/>
      <c r="JPY380" s="15"/>
      <c r="JPZ380" s="10"/>
      <c r="JQA380" s="10"/>
      <c r="JQB380" s="21"/>
      <c r="JQC380" s="21"/>
      <c r="JQF380" s="21"/>
      <c r="JQG380" s="15"/>
      <c r="JQH380" s="15"/>
      <c r="JQI380" s="15"/>
      <c r="JQJ380" s="15"/>
      <c r="JQK380" s="15"/>
      <c r="JQL380" s="15"/>
      <c r="JQM380" s="15"/>
      <c r="JQN380" s="15"/>
      <c r="JQO380" s="15"/>
      <c r="JQP380" s="15"/>
      <c r="JQQ380" s="10"/>
      <c r="JQR380" s="10"/>
      <c r="JQS380" s="21"/>
      <c r="JQT380" s="21"/>
      <c r="JQW380" s="21"/>
      <c r="JQX380" s="15"/>
      <c r="JQY380" s="15"/>
      <c r="JQZ380" s="15"/>
      <c r="JRA380" s="15"/>
      <c r="JRB380" s="15"/>
      <c r="JRC380" s="15"/>
      <c r="JRD380" s="15"/>
      <c r="JRE380" s="15"/>
      <c r="JRF380" s="15"/>
      <c r="JRG380" s="15"/>
      <c r="JRH380" s="10"/>
      <c r="JRI380" s="10"/>
      <c r="JRJ380" s="21"/>
      <c r="JRK380" s="21"/>
      <c r="JRN380" s="21"/>
      <c r="JRO380" s="15"/>
      <c r="JRP380" s="15"/>
      <c r="JRQ380" s="15"/>
      <c r="JRR380" s="15"/>
      <c r="JRS380" s="15"/>
      <c r="JRT380" s="15"/>
      <c r="JRU380" s="15"/>
      <c r="JRV380" s="15"/>
      <c r="JRW380" s="15"/>
      <c r="JRX380" s="15"/>
      <c r="JRY380" s="10"/>
      <c r="JRZ380" s="10"/>
      <c r="JSA380" s="21"/>
      <c r="JSB380" s="21"/>
      <c r="JSE380" s="21"/>
      <c r="JSF380" s="15"/>
      <c r="JSG380" s="15"/>
      <c r="JSH380" s="15"/>
      <c r="JSI380" s="15"/>
      <c r="JSJ380" s="15"/>
      <c r="JSK380" s="15"/>
      <c r="JSL380" s="15"/>
      <c r="JSM380" s="15"/>
      <c r="JSN380" s="15"/>
      <c r="JSO380" s="15"/>
      <c r="JSP380" s="10"/>
      <c r="JSQ380" s="10"/>
      <c r="JSR380" s="21"/>
      <c r="JSS380" s="21"/>
      <c r="JSV380" s="21"/>
      <c r="JSW380" s="15"/>
      <c r="JSX380" s="15"/>
      <c r="JSY380" s="15"/>
      <c r="JSZ380" s="15"/>
      <c r="JTA380" s="15"/>
      <c r="JTB380" s="15"/>
      <c r="JTC380" s="15"/>
      <c r="JTD380" s="15"/>
      <c r="JTE380" s="15"/>
      <c r="JTF380" s="15"/>
      <c r="JTG380" s="10"/>
      <c r="JTH380" s="10"/>
      <c r="JTI380" s="21"/>
      <c r="JTJ380" s="21"/>
      <c r="JTM380" s="21"/>
      <c r="JTN380" s="15"/>
      <c r="JTO380" s="15"/>
      <c r="JTP380" s="15"/>
      <c r="JTQ380" s="15"/>
      <c r="JTR380" s="15"/>
      <c r="JTS380" s="15"/>
      <c r="JTT380" s="15"/>
      <c r="JTU380" s="15"/>
      <c r="JTV380" s="15"/>
      <c r="JTW380" s="15"/>
      <c r="JTX380" s="10"/>
      <c r="JTY380" s="10"/>
      <c r="JTZ380" s="21"/>
      <c r="JUA380" s="21"/>
      <c r="JUD380" s="21"/>
      <c r="JUE380" s="15"/>
      <c r="JUF380" s="15"/>
      <c r="JUG380" s="15"/>
      <c r="JUH380" s="15"/>
      <c r="JUI380" s="15"/>
      <c r="JUJ380" s="15"/>
      <c r="JUK380" s="15"/>
      <c r="JUL380" s="15"/>
      <c r="JUM380" s="15"/>
      <c r="JUN380" s="15"/>
      <c r="JUO380" s="10"/>
      <c r="JUP380" s="10"/>
      <c r="JUQ380" s="21"/>
      <c r="JUR380" s="21"/>
      <c r="JUU380" s="21"/>
      <c r="JUV380" s="15"/>
      <c r="JUW380" s="15"/>
      <c r="JUX380" s="15"/>
      <c r="JUY380" s="15"/>
      <c r="JUZ380" s="15"/>
      <c r="JVA380" s="15"/>
      <c r="JVB380" s="15"/>
      <c r="JVC380" s="15"/>
      <c r="JVD380" s="15"/>
      <c r="JVE380" s="15"/>
      <c r="JVF380" s="10"/>
      <c r="JVG380" s="10"/>
      <c r="JVH380" s="21"/>
      <c r="JVI380" s="21"/>
      <c r="JVL380" s="21"/>
      <c r="JVM380" s="15"/>
      <c r="JVN380" s="15"/>
      <c r="JVO380" s="15"/>
      <c r="JVP380" s="15"/>
      <c r="JVQ380" s="15"/>
      <c r="JVR380" s="15"/>
      <c r="JVS380" s="15"/>
      <c r="JVT380" s="15"/>
      <c r="JVU380" s="15"/>
      <c r="JVV380" s="15"/>
      <c r="JVW380" s="10"/>
      <c r="JVX380" s="10"/>
      <c r="JVY380" s="21"/>
      <c r="JVZ380" s="21"/>
      <c r="JWC380" s="21"/>
      <c r="JWD380" s="15"/>
      <c r="JWE380" s="15"/>
      <c r="JWF380" s="15"/>
      <c r="JWG380" s="15"/>
      <c r="JWH380" s="15"/>
      <c r="JWI380" s="15"/>
      <c r="JWJ380" s="15"/>
      <c r="JWK380" s="15"/>
      <c r="JWL380" s="15"/>
      <c r="JWM380" s="15"/>
      <c r="JWN380" s="10"/>
      <c r="JWO380" s="10"/>
      <c r="JWP380" s="21"/>
      <c r="JWQ380" s="21"/>
      <c r="JWT380" s="21"/>
      <c r="JWU380" s="15"/>
      <c r="JWV380" s="15"/>
      <c r="JWW380" s="15"/>
      <c r="JWX380" s="15"/>
      <c r="JWY380" s="15"/>
      <c r="JWZ380" s="15"/>
      <c r="JXA380" s="15"/>
      <c r="JXB380" s="15"/>
      <c r="JXC380" s="15"/>
      <c r="JXD380" s="15"/>
      <c r="JXE380" s="10"/>
      <c r="JXF380" s="10"/>
      <c r="JXG380" s="21"/>
      <c r="JXH380" s="21"/>
      <c r="JXK380" s="21"/>
      <c r="JXL380" s="15"/>
      <c r="JXM380" s="15"/>
      <c r="JXN380" s="15"/>
      <c r="JXO380" s="15"/>
      <c r="JXP380" s="15"/>
      <c r="JXQ380" s="15"/>
      <c r="JXR380" s="15"/>
      <c r="JXS380" s="15"/>
      <c r="JXT380" s="15"/>
      <c r="JXU380" s="15"/>
      <c r="JXV380" s="10"/>
      <c r="JXW380" s="10"/>
      <c r="JXX380" s="21"/>
      <c r="JXY380" s="21"/>
      <c r="JYB380" s="21"/>
      <c r="JYC380" s="15"/>
      <c r="JYD380" s="15"/>
      <c r="JYE380" s="15"/>
      <c r="JYF380" s="15"/>
      <c r="JYG380" s="15"/>
      <c r="JYH380" s="15"/>
      <c r="JYI380" s="15"/>
      <c r="JYJ380" s="15"/>
      <c r="JYK380" s="15"/>
      <c r="JYL380" s="15"/>
      <c r="JYM380" s="10"/>
      <c r="JYN380" s="10"/>
      <c r="JYO380" s="21"/>
      <c r="JYP380" s="21"/>
      <c r="JYS380" s="21"/>
      <c r="JYT380" s="15"/>
      <c r="JYU380" s="15"/>
      <c r="JYV380" s="15"/>
      <c r="JYW380" s="15"/>
      <c r="JYX380" s="15"/>
      <c r="JYY380" s="15"/>
      <c r="JYZ380" s="15"/>
      <c r="JZA380" s="15"/>
      <c r="JZB380" s="15"/>
      <c r="JZC380" s="15"/>
      <c r="JZD380" s="10"/>
      <c r="JZE380" s="10"/>
      <c r="JZF380" s="21"/>
      <c r="JZG380" s="21"/>
      <c r="JZJ380" s="21"/>
      <c r="JZK380" s="15"/>
      <c r="JZL380" s="15"/>
      <c r="JZM380" s="15"/>
      <c r="JZN380" s="15"/>
      <c r="JZO380" s="15"/>
      <c r="JZP380" s="15"/>
      <c r="JZQ380" s="15"/>
      <c r="JZR380" s="15"/>
      <c r="JZS380" s="15"/>
      <c r="JZT380" s="15"/>
      <c r="JZU380" s="10"/>
      <c r="JZV380" s="10"/>
      <c r="JZW380" s="21"/>
      <c r="JZX380" s="21"/>
      <c r="KAA380" s="21"/>
      <c r="KAB380" s="15"/>
      <c r="KAC380" s="15"/>
      <c r="KAD380" s="15"/>
      <c r="KAE380" s="15"/>
      <c r="KAF380" s="15"/>
      <c r="KAG380" s="15"/>
      <c r="KAH380" s="15"/>
      <c r="KAI380" s="15"/>
      <c r="KAJ380" s="15"/>
      <c r="KAK380" s="15"/>
      <c r="KAL380" s="10"/>
      <c r="KAM380" s="10"/>
      <c r="KAN380" s="21"/>
      <c r="KAO380" s="21"/>
      <c r="KAR380" s="21"/>
      <c r="KAS380" s="15"/>
      <c r="KAT380" s="15"/>
      <c r="KAU380" s="15"/>
      <c r="KAV380" s="15"/>
      <c r="KAW380" s="15"/>
      <c r="KAX380" s="15"/>
      <c r="KAY380" s="15"/>
      <c r="KAZ380" s="15"/>
      <c r="KBA380" s="15"/>
      <c r="KBB380" s="15"/>
      <c r="KBC380" s="10"/>
      <c r="KBD380" s="10"/>
      <c r="KBE380" s="21"/>
      <c r="KBF380" s="21"/>
      <c r="KBI380" s="21"/>
      <c r="KBJ380" s="15"/>
      <c r="KBK380" s="15"/>
      <c r="KBL380" s="15"/>
      <c r="KBM380" s="15"/>
      <c r="KBN380" s="15"/>
      <c r="KBO380" s="15"/>
      <c r="KBP380" s="15"/>
      <c r="KBQ380" s="15"/>
      <c r="KBR380" s="15"/>
      <c r="KBS380" s="15"/>
      <c r="KBT380" s="10"/>
      <c r="KBU380" s="10"/>
      <c r="KBV380" s="21"/>
      <c r="KBW380" s="21"/>
      <c r="KBZ380" s="21"/>
      <c r="KCA380" s="15"/>
      <c r="KCB380" s="15"/>
      <c r="KCC380" s="15"/>
      <c r="KCD380" s="15"/>
      <c r="KCE380" s="15"/>
      <c r="KCF380" s="15"/>
      <c r="KCG380" s="15"/>
      <c r="KCH380" s="15"/>
      <c r="KCI380" s="15"/>
      <c r="KCJ380" s="15"/>
      <c r="KCK380" s="10"/>
      <c r="KCL380" s="10"/>
      <c r="KCM380" s="21"/>
      <c r="KCN380" s="21"/>
      <c r="KCQ380" s="21"/>
      <c r="KCR380" s="15"/>
      <c r="KCS380" s="15"/>
      <c r="KCT380" s="15"/>
      <c r="KCU380" s="15"/>
      <c r="KCV380" s="15"/>
      <c r="KCW380" s="15"/>
      <c r="KCX380" s="15"/>
      <c r="KCY380" s="15"/>
      <c r="KCZ380" s="15"/>
      <c r="KDA380" s="15"/>
      <c r="KDB380" s="10"/>
      <c r="KDC380" s="10"/>
      <c r="KDD380" s="21"/>
      <c r="KDE380" s="21"/>
      <c r="KDH380" s="21"/>
      <c r="KDI380" s="15"/>
      <c r="KDJ380" s="15"/>
      <c r="KDK380" s="15"/>
      <c r="KDL380" s="15"/>
      <c r="KDM380" s="15"/>
      <c r="KDN380" s="15"/>
      <c r="KDO380" s="15"/>
      <c r="KDP380" s="15"/>
      <c r="KDQ380" s="15"/>
      <c r="KDR380" s="15"/>
      <c r="KDS380" s="10"/>
      <c r="KDT380" s="10"/>
      <c r="KDU380" s="21"/>
      <c r="KDV380" s="21"/>
      <c r="KDY380" s="21"/>
      <c r="KDZ380" s="15"/>
      <c r="KEA380" s="15"/>
      <c r="KEB380" s="15"/>
      <c r="KEC380" s="15"/>
      <c r="KED380" s="15"/>
      <c r="KEE380" s="15"/>
      <c r="KEF380" s="15"/>
      <c r="KEG380" s="15"/>
      <c r="KEH380" s="15"/>
      <c r="KEI380" s="15"/>
      <c r="KEJ380" s="10"/>
      <c r="KEK380" s="10"/>
      <c r="KEL380" s="21"/>
      <c r="KEM380" s="21"/>
      <c r="KEP380" s="21"/>
      <c r="KEQ380" s="15"/>
      <c r="KER380" s="15"/>
      <c r="KES380" s="15"/>
      <c r="KET380" s="15"/>
      <c r="KEU380" s="15"/>
      <c r="KEV380" s="15"/>
      <c r="KEW380" s="15"/>
      <c r="KEX380" s="15"/>
      <c r="KEY380" s="15"/>
      <c r="KEZ380" s="15"/>
      <c r="KFA380" s="10"/>
      <c r="KFB380" s="10"/>
      <c r="KFC380" s="21"/>
      <c r="KFD380" s="21"/>
      <c r="KFG380" s="21"/>
      <c r="KFH380" s="15"/>
      <c r="KFI380" s="15"/>
      <c r="KFJ380" s="15"/>
      <c r="KFK380" s="15"/>
      <c r="KFL380" s="15"/>
      <c r="KFM380" s="15"/>
      <c r="KFN380" s="15"/>
      <c r="KFO380" s="15"/>
      <c r="KFP380" s="15"/>
      <c r="KFQ380" s="15"/>
      <c r="KFR380" s="10"/>
      <c r="KFS380" s="10"/>
      <c r="KFT380" s="21"/>
      <c r="KFU380" s="21"/>
      <c r="KFX380" s="21"/>
      <c r="KFY380" s="15"/>
      <c r="KFZ380" s="15"/>
      <c r="KGA380" s="15"/>
      <c r="KGB380" s="15"/>
      <c r="KGC380" s="15"/>
      <c r="KGD380" s="15"/>
      <c r="KGE380" s="15"/>
      <c r="KGF380" s="15"/>
      <c r="KGG380" s="15"/>
      <c r="KGH380" s="15"/>
      <c r="KGI380" s="10"/>
      <c r="KGJ380" s="10"/>
      <c r="KGK380" s="21"/>
      <c r="KGL380" s="21"/>
      <c r="KGO380" s="21"/>
      <c r="KGP380" s="15"/>
      <c r="KGQ380" s="15"/>
      <c r="KGR380" s="15"/>
      <c r="KGS380" s="15"/>
      <c r="KGT380" s="15"/>
      <c r="KGU380" s="15"/>
      <c r="KGV380" s="15"/>
      <c r="KGW380" s="15"/>
      <c r="KGX380" s="15"/>
      <c r="KGY380" s="15"/>
      <c r="KGZ380" s="10"/>
      <c r="KHA380" s="10"/>
      <c r="KHB380" s="21"/>
      <c r="KHC380" s="21"/>
      <c r="KHF380" s="21"/>
      <c r="KHG380" s="15"/>
      <c r="KHH380" s="15"/>
      <c r="KHI380" s="15"/>
      <c r="KHJ380" s="15"/>
      <c r="KHK380" s="15"/>
      <c r="KHL380" s="15"/>
      <c r="KHM380" s="15"/>
      <c r="KHN380" s="15"/>
      <c r="KHO380" s="15"/>
      <c r="KHP380" s="15"/>
      <c r="KHQ380" s="10"/>
      <c r="KHR380" s="10"/>
      <c r="KHS380" s="21"/>
      <c r="KHT380" s="21"/>
      <c r="KHW380" s="21"/>
      <c r="KHX380" s="15"/>
      <c r="KHY380" s="15"/>
      <c r="KHZ380" s="15"/>
      <c r="KIA380" s="15"/>
      <c r="KIB380" s="15"/>
      <c r="KIC380" s="15"/>
      <c r="KID380" s="15"/>
      <c r="KIE380" s="15"/>
      <c r="KIF380" s="15"/>
      <c r="KIG380" s="15"/>
      <c r="KIH380" s="10"/>
      <c r="KII380" s="10"/>
      <c r="KIJ380" s="21"/>
      <c r="KIK380" s="21"/>
      <c r="KIN380" s="21"/>
      <c r="KIO380" s="15"/>
      <c r="KIP380" s="15"/>
      <c r="KIQ380" s="15"/>
      <c r="KIR380" s="15"/>
      <c r="KIS380" s="15"/>
      <c r="KIT380" s="15"/>
      <c r="KIU380" s="15"/>
      <c r="KIV380" s="15"/>
      <c r="KIW380" s="15"/>
      <c r="KIX380" s="15"/>
      <c r="KIY380" s="10"/>
      <c r="KIZ380" s="10"/>
      <c r="KJA380" s="21"/>
      <c r="KJB380" s="21"/>
      <c r="KJE380" s="21"/>
      <c r="KJF380" s="15"/>
      <c r="KJG380" s="15"/>
      <c r="KJH380" s="15"/>
      <c r="KJI380" s="15"/>
      <c r="KJJ380" s="15"/>
      <c r="KJK380" s="15"/>
      <c r="KJL380" s="15"/>
      <c r="KJM380" s="15"/>
      <c r="KJN380" s="15"/>
      <c r="KJO380" s="15"/>
      <c r="KJP380" s="10"/>
      <c r="KJQ380" s="10"/>
      <c r="KJR380" s="21"/>
      <c r="KJS380" s="21"/>
      <c r="KJV380" s="21"/>
      <c r="KJW380" s="15"/>
      <c r="KJX380" s="15"/>
      <c r="KJY380" s="15"/>
      <c r="KJZ380" s="15"/>
      <c r="KKA380" s="15"/>
      <c r="KKB380" s="15"/>
      <c r="KKC380" s="15"/>
      <c r="KKD380" s="15"/>
      <c r="KKE380" s="15"/>
      <c r="KKF380" s="15"/>
      <c r="KKG380" s="10"/>
      <c r="KKH380" s="10"/>
      <c r="KKI380" s="21"/>
      <c r="KKJ380" s="21"/>
      <c r="KKM380" s="21"/>
      <c r="KKN380" s="15"/>
      <c r="KKO380" s="15"/>
      <c r="KKP380" s="15"/>
      <c r="KKQ380" s="15"/>
      <c r="KKR380" s="15"/>
      <c r="KKS380" s="15"/>
      <c r="KKT380" s="15"/>
      <c r="KKU380" s="15"/>
      <c r="KKV380" s="15"/>
      <c r="KKW380" s="15"/>
      <c r="KKX380" s="10"/>
      <c r="KKY380" s="10"/>
      <c r="KKZ380" s="21"/>
      <c r="KLA380" s="21"/>
      <c r="KLD380" s="21"/>
      <c r="KLE380" s="15"/>
      <c r="KLF380" s="15"/>
      <c r="KLG380" s="15"/>
      <c r="KLH380" s="15"/>
      <c r="KLI380" s="15"/>
      <c r="KLJ380" s="15"/>
      <c r="KLK380" s="15"/>
      <c r="KLL380" s="15"/>
      <c r="KLM380" s="15"/>
      <c r="KLN380" s="15"/>
      <c r="KLO380" s="10"/>
      <c r="KLP380" s="10"/>
      <c r="KLQ380" s="21"/>
      <c r="KLR380" s="21"/>
      <c r="KLU380" s="21"/>
      <c r="KLV380" s="15"/>
      <c r="KLW380" s="15"/>
      <c r="KLX380" s="15"/>
      <c r="KLY380" s="15"/>
      <c r="KLZ380" s="15"/>
      <c r="KMA380" s="15"/>
      <c r="KMB380" s="15"/>
      <c r="KMC380" s="15"/>
      <c r="KMD380" s="15"/>
      <c r="KME380" s="15"/>
      <c r="KMF380" s="10"/>
      <c r="KMG380" s="10"/>
      <c r="KMH380" s="21"/>
      <c r="KMI380" s="21"/>
      <c r="KML380" s="21"/>
      <c r="KMM380" s="15"/>
      <c r="KMN380" s="15"/>
      <c r="KMO380" s="15"/>
      <c r="KMP380" s="15"/>
      <c r="KMQ380" s="15"/>
      <c r="KMR380" s="15"/>
      <c r="KMS380" s="15"/>
      <c r="KMT380" s="15"/>
      <c r="KMU380" s="15"/>
      <c r="KMV380" s="15"/>
      <c r="KMW380" s="10"/>
      <c r="KMX380" s="10"/>
      <c r="KMY380" s="21"/>
      <c r="KMZ380" s="21"/>
      <c r="KNC380" s="21"/>
      <c r="KND380" s="15"/>
      <c r="KNE380" s="15"/>
      <c r="KNF380" s="15"/>
      <c r="KNG380" s="15"/>
      <c r="KNH380" s="15"/>
      <c r="KNI380" s="15"/>
      <c r="KNJ380" s="15"/>
      <c r="KNK380" s="15"/>
      <c r="KNL380" s="15"/>
      <c r="KNM380" s="15"/>
      <c r="KNN380" s="10"/>
      <c r="KNO380" s="10"/>
      <c r="KNP380" s="21"/>
      <c r="KNQ380" s="21"/>
      <c r="KNT380" s="21"/>
      <c r="KNU380" s="15"/>
      <c r="KNV380" s="15"/>
      <c r="KNW380" s="15"/>
      <c r="KNX380" s="15"/>
      <c r="KNY380" s="15"/>
      <c r="KNZ380" s="15"/>
      <c r="KOA380" s="15"/>
      <c r="KOB380" s="15"/>
      <c r="KOC380" s="15"/>
      <c r="KOD380" s="15"/>
      <c r="KOE380" s="10"/>
      <c r="KOF380" s="10"/>
      <c r="KOG380" s="21"/>
      <c r="KOH380" s="21"/>
      <c r="KOK380" s="21"/>
      <c r="KOL380" s="15"/>
      <c r="KOM380" s="15"/>
      <c r="KON380" s="15"/>
      <c r="KOO380" s="15"/>
      <c r="KOP380" s="15"/>
      <c r="KOQ380" s="15"/>
      <c r="KOR380" s="15"/>
      <c r="KOS380" s="15"/>
      <c r="KOT380" s="15"/>
      <c r="KOU380" s="15"/>
      <c r="KOV380" s="10"/>
      <c r="KOW380" s="10"/>
      <c r="KOX380" s="21"/>
      <c r="KOY380" s="21"/>
      <c r="KPB380" s="21"/>
      <c r="KPC380" s="15"/>
      <c r="KPD380" s="15"/>
      <c r="KPE380" s="15"/>
      <c r="KPF380" s="15"/>
      <c r="KPG380" s="15"/>
      <c r="KPH380" s="15"/>
      <c r="KPI380" s="15"/>
      <c r="KPJ380" s="15"/>
      <c r="KPK380" s="15"/>
      <c r="KPL380" s="15"/>
      <c r="KPM380" s="10"/>
      <c r="KPN380" s="10"/>
      <c r="KPO380" s="21"/>
      <c r="KPP380" s="21"/>
      <c r="KPS380" s="21"/>
      <c r="KPT380" s="15"/>
      <c r="KPU380" s="15"/>
      <c r="KPV380" s="15"/>
      <c r="KPW380" s="15"/>
      <c r="KPX380" s="15"/>
      <c r="KPY380" s="15"/>
      <c r="KPZ380" s="15"/>
      <c r="KQA380" s="15"/>
      <c r="KQB380" s="15"/>
      <c r="KQC380" s="15"/>
      <c r="KQD380" s="10"/>
      <c r="KQE380" s="10"/>
      <c r="KQF380" s="21"/>
      <c r="KQG380" s="21"/>
      <c r="KQJ380" s="21"/>
      <c r="KQK380" s="15"/>
      <c r="KQL380" s="15"/>
      <c r="KQM380" s="15"/>
      <c r="KQN380" s="15"/>
      <c r="KQO380" s="15"/>
      <c r="KQP380" s="15"/>
      <c r="KQQ380" s="15"/>
      <c r="KQR380" s="15"/>
      <c r="KQS380" s="15"/>
      <c r="KQT380" s="15"/>
      <c r="KQU380" s="10"/>
      <c r="KQV380" s="10"/>
      <c r="KQW380" s="21"/>
      <c r="KQX380" s="21"/>
      <c r="KRA380" s="21"/>
      <c r="KRB380" s="15"/>
      <c r="KRC380" s="15"/>
      <c r="KRD380" s="15"/>
      <c r="KRE380" s="15"/>
      <c r="KRF380" s="15"/>
      <c r="KRG380" s="15"/>
      <c r="KRH380" s="15"/>
      <c r="KRI380" s="15"/>
      <c r="KRJ380" s="15"/>
      <c r="KRK380" s="15"/>
      <c r="KRL380" s="10"/>
      <c r="KRM380" s="10"/>
      <c r="KRN380" s="21"/>
      <c r="KRO380" s="21"/>
      <c r="KRR380" s="21"/>
      <c r="KRS380" s="15"/>
      <c r="KRT380" s="15"/>
      <c r="KRU380" s="15"/>
      <c r="KRV380" s="15"/>
      <c r="KRW380" s="15"/>
      <c r="KRX380" s="15"/>
      <c r="KRY380" s="15"/>
      <c r="KRZ380" s="15"/>
      <c r="KSA380" s="15"/>
      <c r="KSB380" s="15"/>
      <c r="KSC380" s="10"/>
      <c r="KSD380" s="10"/>
      <c r="KSE380" s="21"/>
      <c r="KSF380" s="21"/>
      <c r="KSI380" s="21"/>
      <c r="KSJ380" s="15"/>
      <c r="KSK380" s="15"/>
      <c r="KSL380" s="15"/>
      <c r="KSM380" s="15"/>
      <c r="KSN380" s="15"/>
      <c r="KSO380" s="15"/>
      <c r="KSP380" s="15"/>
      <c r="KSQ380" s="15"/>
      <c r="KSR380" s="15"/>
      <c r="KSS380" s="15"/>
      <c r="KST380" s="10"/>
      <c r="KSU380" s="10"/>
      <c r="KSV380" s="21"/>
      <c r="KSW380" s="21"/>
      <c r="KSZ380" s="21"/>
      <c r="KTA380" s="15"/>
      <c r="KTB380" s="15"/>
      <c r="KTC380" s="15"/>
      <c r="KTD380" s="15"/>
      <c r="KTE380" s="15"/>
      <c r="KTF380" s="15"/>
      <c r="KTG380" s="15"/>
      <c r="KTH380" s="15"/>
      <c r="KTI380" s="15"/>
      <c r="KTJ380" s="15"/>
      <c r="KTK380" s="10"/>
      <c r="KTL380" s="10"/>
      <c r="KTM380" s="21"/>
      <c r="KTN380" s="21"/>
      <c r="KTQ380" s="21"/>
      <c r="KTR380" s="15"/>
      <c r="KTS380" s="15"/>
      <c r="KTT380" s="15"/>
      <c r="KTU380" s="15"/>
      <c r="KTV380" s="15"/>
      <c r="KTW380" s="15"/>
      <c r="KTX380" s="15"/>
      <c r="KTY380" s="15"/>
      <c r="KTZ380" s="15"/>
      <c r="KUA380" s="15"/>
      <c r="KUB380" s="10"/>
      <c r="KUC380" s="10"/>
      <c r="KUD380" s="21"/>
      <c r="KUE380" s="21"/>
      <c r="KUH380" s="21"/>
      <c r="KUI380" s="15"/>
      <c r="KUJ380" s="15"/>
      <c r="KUK380" s="15"/>
      <c r="KUL380" s="15"/>
      <c r="KUM380" s="15"/>
      <c r="KUN380" s="15"/>
      <c r="KUO380" s="15"/>
      <c r="KUP380" s="15"/>
      <c r="KUQ380" s="15"/>
      <c r="KUR380" s="15"/>
      <c r="KUS380" s="10"/>
      <c r="KUT380" s="10"/>
      <c r="KUU380" s="21"/>
      <c r="KUV380" s="21"/>
      <c r="KUY380" s="21"/>
      <c r="KUZ380" s="15"/>
      <c r="KVA380" s="15"/>
      <c r="KVB380" s="15"/>
      <c r="KVC380" s="15"/>
      <c r="KVD380" s="15"/>
      <c r="KVE380" s="15"/>
      <c r="KVF380" s="15"/>
      <c r="KVG380" s="15"/>
      <c r="KVH380" s="15"/>
      <c r="KVI380" s="15"/>
      <c r="KVJ380" s="10"/>
      <c r="KVK380" s="10"/>
      <c r="KVL380" s="21"/>
      <c r="KVM380" s="21"/>
      <c r="KVP380" s="21"/>
      <c r="KVQ380" s="15"/>
      <c r="KVR380" s="15"/>
      <c r="KVS380" s="15"/>
      <c r="KVT380" s="15"/>
      <c r="KVU380" s="15"/>
      <c r="KVV380" s="15"/>
      <c r="KVW380" s="15"/>
      <c r="KVX380" s="15"/>
      <c r="KVY380" s="15"/>
      <c r="KVZ380" s="15"/>
      <c r="KWA380" s="10"/>
      <c r="KWB380" s="10"/>
      <c r="KWC380" s="21"/>
      <c r="KWD380" s="21"/>
      <c r="KWG380" s="21"/>
      <c r="KWH380" s="15"/>
      <c r="KWI380" s="15"/>
      <c r="KWJ380" s="15"/>
      <c r="KWK380" s="15"/>
      <c r="KWL380" s="15"/>
      <c r="KWM380" s="15"/>
      <c r="KWN380" s="15"/>
      <c r="KWO380" s="15"/>
      <c r="KWP380" s="15"/>
      <c r="KWQ380" s="15"/>
      <c r="KWR380" s="10"/>
      <c r="KWS380" s="10"/>
      <c r="KWT380" s="21"/>
      <c r="KWU380" s="21"/>
      <c r="KWX380" s="21"/>
      <c r="KWY380" s="15"/>
      <c r="KWZ380" s="15"/>
      <c r="KXA380" s="15"/>
      <c r="KXB380" s="15"/>
      <c r="KXC380" s="15"/>
      <c r="KXD380" s="15"/>
      <c r="KXE380" s="15"/>
      <c r="KXF380" s="15"/>
      <c r="KXG380" s="15"/>
      <c r="KXH380" s="15"/>
      <c r="KXI380" s="10"/>
      <c r="KXJ380" s="10"/>
      <c r="KXK380" s="21"/>
      <c r="KXL380" s="21"/>
      <c r="KXO380" s="21"/>
      <c r="KXP380" s="15"/>
      <c r="KXQ380" s="15"/>
      <c r="KXR380" s="15"/>
      <c r="KXS380" s="15"/>
      <c r="KXT380" s="15"/>
      <c r="KXU380" s="15"/>
      <c r="KXV380" s="15"/>
      <c r="KXW380" s="15"/>
      <c r="KXX380" s="15"/>
      <c r="KXY380" s="15"/>
      <c r="KXZ380" s="10"/>
      <c r="KYA380" s="10"/>
      <c r="KYB380" s="21"/>
      <c r="KYC380" s="21"/>
      <c r="KYF380" s="21"/>
      <c r="KYG380" s="15"/>
      <c r="KYH380" s="15"/>
      <c r="KYI380" s="15"/>
      <c r="KYJ380" s="15"/>
      <c r="KYK380" s="15"/>
      <c r="KYL380" s="15"/>
      <c r="KYM380" s="15"/>
      <c r="KYN380" s="15"/>
      <c r="KYO380" s="15"/>
      <c r="KYP380" s="15"/>
      <c r="KYQ380" s="10"/>
      <c r="KYR380" s="10"/>
      <c r="KYS380" s="21"/>
      <c r="KYT380" s="21"/>
      <c r="KYW380" s="21"/>
      <c r="KYX380" s="15"/>
      <c r="KYY380" s="15"/>
      <c r="KYZ380" s="15"/>
      <c r="KZA380" s="15"/>
      <c r="KZB380" s="15"/>
      <c r="KZC380" s="15"/>
      <c r="KZD380" s="15"/>
      <c r="KZE380" s="15"/>
      <c r="KZF380" s="15"/>
      <c r="KZG380" s="15"/>
      <c r="KZH380" s="10"/>
      <c r="KZI380" s="10"/>
      <c r="KZJ380" s="21"/>
      <c r="KZK380" s="21"/>
      <c r="KZN380" s="21"/>
      <c r="KZO380" s="15"/>
      <c r="KZP380" s="15"/>
      <c r="KZQ380" s="15"/>
      <c r="KZR380" s="15"/>
      <c r="KZS380" s="15"/>
      <c r="KZT380" s="15"/>
      <c r="KZU380" s="15"/>
      <c r="KZV380" s="15"/>
      <c r="KZW380" s="15"/>
      <c r="KZX380" s="15"/>
      <c r="KZY380" s="10"/>
      <c r="KZZ380" s="10"/>
      <c r="LAA380" s="21"/>
      <c r="LAB380" s="21"/>
      <c r="LAE380" s="21"/>
      <c r="LAF380" s="15"/>
      <c r="LAG380" s="15"/>
      <c r="LAH380" s="15"/>
      <c r="LAI380" s="15"/>
      <c r="LAJ380" s="15"/>
      <c r="LAK380" s="15"/>
      <c r="LAL380" s="15"/>
      <c r="LAM380" s="15"/>
      <c r="LAN380" s="15"/>
      <c r="LAO380" s="15"/>
      <c r="LAP380" s="10"/>
      <c r="LAQ380" s="10"/>
      <c r="LAR380" s="21"/>
      <c r="LAS380" s="21"/>
      <c r="LAV380" s="21"/>
      <c r="LAW380" s="15"/>
      <c r="LAX380" s="15"/>
      <c r="LAY380" s="15"/>
      <c r="LAZ380" s="15"/>
      <c r="LBA380" s="15"/>
      <c r="LBB380" s="15"/>
      <c r="LBC380" s="15"/>
      <c r="LBD380" s="15"/>
      <c r="LBE380" s="15"/>
      <c r="LBF380" s="15"/>
      <c r="LBG380" s="10"/>
      <c r="LBH380" s="10"/>
      <c r="LBI380" s="21"/>
      <c r="LBJ380" s="21"/>
      <c r="LBM380" s="21"/>
      <c r="LBN380" s="15"/>
      <c r="LBO380" s="15"/>
      <c r="LBP380" s="15"/>
      <c r="LBQ380" s="15"/>
      <c r="LBR380" s="15"/>
      <c r="LBS380" s="15"/>
      <c r="LBT380" s="15"/>
      <c r="LBU380" s="15"/>
      <c r="LBV380" s="15"/>
      <c r="LBW380" s="15"/>
      <c r="LBX380" s="10"/>
      <c r="LBY380" s="10"/>
      <c r="LBZ380" s="21"/>
      <c r="LCA380" s="21"/>
      <c r="LCD380" s="21"/>
      <c r="LCE380" s="15"/>
      <c r="LCF380" s="15"/>
      <c r="LCG380" s="15"/>
      <c r="LCH380" s="15"/>
      <c r="LCI380" s="15"/>
      <c r="LCJ380" s="15"/>
      <c r="LCK380" s="15"/>
      <c r="LCL380" s="15"/>
      <c r="LCM380" s="15"/>
      <c r="LCN380" s="15"/>
      <c r="LCO380" s="10"/>
      <c r="LCP380" s="10"/>
      <c r="LCQ380" s="21"/>
      <c r="LCR380" s="21"/>
      <c r="LCU380" s="21"/>
      <c r="LCV380" s="15"/>
      <c r="LCW380" s="15"/>
      <c r="LCX380" s="15"/>
      <c r="LCY380" s="15"/>
      <c r="LCZ380" s="15"/>
      <c r="LDA380" s="15"/>
      <c r="LDB380" s="15"/>
      <c r="LDC380" s="15"/>
      <c r="LDD380" s="15"/>
      <c r="LDE380" s="15"/>
      <c r="LDF380" s="10"/>
      <c r="LDG380" s="10"/>
      <c r="LDH380" s="21"/>
      <c r="LDI380" s="21"/>
      <c r="LDL380" s="21"/>
      <c r="LDM380" s="15"/>
      <c r="LDN380" s="15"/>
      <c r="LDO380" s="15"/>
      <c r="LDP380" s="15"/>
      <c r="LDQ380" s="15"/>
      <c r="LDR380" s="15"/>
      <c r="LDS380" s="15"/>
      <c r="LDT380" s="15"/>
      <c r="LDU380" s="15"/>
      <c r="LDV380" s="15"/>
      <c r="LDW380" s="10"/>
      <c r="LDX380" s="10"/>
      <c r="LDY380" s="21"/>
      <c r="LDZ380" s="21"/>
      <c r="LEC380" s="21"/>
      <c r="LED380" s="15"/>
      <c r="LEE380" s="15"/>
      <c r="LEF380" s="15"/>
      <c r="LEG380" s="15"/>
      <c r="LEH380" s="15"/>
      <c r="LEI380" s="15"/>
      <c r="LEJ380" s="15"/>
      <c r="LEK380" s="15"/>
      <c r="LEL380" s="15"/>
      <c r="LEM380" s="15"/>
      <c r="LEN380" s="10"/>
      <c r="LEO380" s="10"/>
      <c r="LEP380" s="21"/>
      <c r="LEQ380" s="21"/>
      <c r="LET380" s="21"/>
      <c r="LEU380" s="15"/>
      <c r="LEV380" s="15"/>
      <c r="LEW380" s="15"/>
      <c r="LEX380" s="15"/>
      <c r="LEY380" s="15"/>
      <c r="LEZ380" s="15"/>
      <c r="LFA380" s="15"/>
      <c r="LFB380" s="15"/>
      <c r="LFC380" s="15"/>
      <c r="LFD380" s="15"/>
      <c r="LFE380" s="10"/>
      <c r="LFF380" s="10"/>
      <c r="LFG380" s="21"/>
      <c r="LFH380" s="21"/>
      <c r="LFK380" s="21"/>
      <c r="LFL380" s="15"/>
      <c r="LFM380" s="15"/>
      <c r="LFN380" s="15"/>
      <c r="LFO380" s="15"/>
      <c r="LFP380" s="15"/>
      <c r="LFQ380" s="15"/>
      <c r="LFR380" s="15"/>
      <c r="LFS380" s="15"/>
      <c r="LFT380" s="15"/>
      <c r="LFU380" s="15"/>
      <c r="LFV380" s="10"/>
      <c r="LFW380" s="10"/>
      <c r="LFX380" s="21"/>
      <c r="LFY380" s="21"/>
      <c r="LGB380" s="21"/>
      <c r="LGC380" s="15"/>
      <c r="LGD380" s="15"/>
      <c r="LGE380" s="15"/>
      <c r="LGF380" s="15"/>
      <c r="LGG380" s="15"/>
      <c r="LGH380" s="15"/>
      <c r="LGI380" s="15"/>
      <c r="LGJ380" s="15"/>
      <c r="LGK380" s="15"/>
      <c r="LGL380" s="15"/>
      <c r="LGM380" s="10"/>
      <c r="LGN380" s="10"/>
      <c r="LGO380" s="21"/>
      <c r="LGP380" s="21"/>
      <c r="LGS380" s="21"/>
      <c r="LGT380" s="15"/>
      <c r="LGU380" s="15"/>
      <c r="LGV380" s="15"/>
      <c r="LGW380" s="15"/>
      <c r="LGX380" s="15"/>
      <c r="LGY380" s="15"/>
      <c r="LGZ380" s="15"/>
      <c r="LHA380" s="15"/>
      <c r="LHB380" s="15"/>
      <c r="LHC380" s="15"/>
      <c r="LHD380" s="10"/>
      <c r="LHE380" s="10"/>
      <c r="LHF380" s="21"/>
      <c r="LHG380" s="21"/>
      <c r="LHJ380" s="21"/>
      <c r="LHK380" s="15"/>
      <c r="LHL380" s="15"/>
      <c r="LHM380" s="15"/>
      <c r="LHN380" s="15"/>
      <c r="LHO380" s="15"/>
      <c r="LHP380" s="15"/>
      <c r="LHQ380" s="15"/>
      <c r="LHR380" s="15"/>
      <c r="LHS380" s="15"/>
      <c r="LHT380" s="15"/>
      <c r="LHU380" s="10"/>
      <c r="LHV380" s="10"/>
      <c r="LHW380" s="21"/>
      <c r="LHX380" s="21"/>
      <c r="LIA380" s="21"/>
      <c r="LIB380" s="15"/>
      <c r="LIC380" s="15"/>
      <c r="LID380" s="15"/>
      <c r="LIE380" s="15"/>
      <c r="LIF380" s="15"/>
      <c r="LIG380" s="15"/>
      <c r="LIH380" s="15"/>
      <c r="LII380" s="15"/>
      <c r="LIJ380" s="15"/>
      <c r="LIK380" s="15"/>
      <c r="LIL380" s="10"/>
      <c r="LIM380" s="10"/>
      <c r="LIN380" s="21"/>
      <c r="LIO380" s="21"/>
      <c r="LIR380" s="21"/>
      <c r="LIS380" s="15"/>
      <c r="LIT380" s="15"/>
      <c r="LIU380" s="15"/>
      <c r="LIV380" s="15"/>
      <c r="LIW380" s="15"/>
      <c r="LIX380" s="15"/>
      <c r="LIY380" s="15"/>
      <c r="LIZ380" s="15"/>
      <c r="LJA380" s="15"/>
      <c r="LJB380" s="15"/>
      <c r="LJC380" s="10"/>
      <c r="LJD380" s="10"/>
      <c r="LJE380" s="21"/>
      <c r="LJF380" s="21"/>
      <c r="LJI380" s="21"/>
      <c r="LJJ380" s="15"/>
      <c r="LJK380" s="15"/>
      <c r="LJL380" s="15"/>
      <c r="LJM380" s="15"/>
      <c r="LJN380" s="15"/>
      <c r="LJO380" s="15"/>
      <c r="LJP380" s="15"/>
      <c r="LJQ380" s="15"/>
      <c r="LJR380" s="15"/>
      <c r="LJS380" s="15"/>
      <c r="LJT380" s="10"/>
      <c r="LJU380" s="10"/>
      <c r="LJV380" s="21"/>
      <c r="LJW380" s="21"/>
      <c r="LJZ380" s="21"/>
      <c r="LKA380" s="15"/>
      <c r="LKB380" s="15"/>
      <c r="LKC380" s="15"/>
      <c r="LKD380" s="15"/>
      <c r="LKE380" s="15"/>
      <c r="LKF380" s="15"/>
      <c r="LKG380" s="15"/>
      <c r="LKH380" s="15"/>
      <c r="LKI380" s="15"/>
      <c r="LKJ380" s="15"/>
      <c r="LKK380" s="10"/>
      <c r="LKL380" s="10"/>
      <c r="LKM380" s="21"/>
      <c r="LKN380" s="21"/>
      <c r="LKQ380" s="21"/>
      <c r="LKR380" s="15"/>
      <c r="LKS380" s="15"/>
      <c r="LKT380" s="15"/>
      <c r="LKU380" s="15"/>
      <c r="LKV380" s="15"/>
      <c r="LKW380" s="15"/>
      <c r="LKX380" s="15"/>
      <c r="LKY380" s="15"/>
      <c r="LKZ380" s="15"/>
      <c r="LLA380" s="15"/>
      <c r="LLB380" s="10"/>
      <c r="LLC380" s="10"/>
      <c r="LLD380" s="21"/>
      <c r="LLE380" s="21"/>
      <c r="LLH380" s="21"/>
      <c r="LLI380" s="15"/>
      <c r="LLJ380" s="15"/>
      <c r="LLK380" s="15"/>
      <c r="LLL380" s="15"/>
      <c r="LLM380" s="15"/>
      <c r="LLN380" s="15"/>
      <c r="LLO380" s="15"/>
      <c r="LLP380" s="15"/>
      <c r="LLQ380" s="15"/>
      <c r="LLR380" s="15"/>
      <c r="LLS380" s="10"/>
      <c r="LLT380" s="10"/>
      <c r="LLU380" s="21"/>
      <c r="LLV380" s="21"/>
      <c r="LLY380" s="21"/>
      <c r="LLZ380" s="15"/>
      <c r="LMA380" s="15"/>
      <c r="LMB380" s="15"/>
      <c r="LMC380" s="15"/>
      <c r="LMD380" s="15"/>
      <c r="LME380" s="15"/>
      <c r="LMF380" s="15"/>
      <c r="LMG380" s="15"/>
      <c r="LMH380" s="15"/>
      <c r="LMI380" s="15"/>
      <c r="LMJ380" s="10"/>
      <c r="LMK380" s="10"/>
      <c r="LML380" s="21"/>
      <c r="LMM380" s="21"/>
      <c r="LMP380" s="21"/>
      <c r="LMQ380" s="15"/>
      <c r="LMR380" s="15"/>
      <c r="LMS380" s="15"/>
      <c r="LMT380" s="15"/>
      <c r="LMU380" s="15"/>
      <c r="LMV380" s="15"/>
      <c r="LMW380" s="15"/>
      <c r="LMX380" s="15"/>
      <c r="LMY380" s="15"/>
      <c r="LMZ380" s="15"/>
      <c r="LNA380" s="10"/>
      <c r="LNB380" s="10"/>
      <c r="LNC380" s="21"/>
      <c r="LND380" s="21"/>
      <c r="LNG380" s="21"/>
      <c r="LNH380" s="15"/>
      <c r="LNI380" s="15"/>
      <c r="LNJ380" s="15"/>
      <c r="LNK380" s="15"/>
      <c r="LNL380" s="15"/>
      <c r="LNM380" s="15"/>
      <c r="LNN380" s="15"/>
      <c r="LNO380" s="15"/>
      <c r="LNP380" s="15"/>
      <c r="LNQ380" s="15"/>
      <c r="LNR380" s="10"/>
      <c r="LNS380" s="10"/>
      <c r="LNT380" s="21"/>
      <c r="LNU380" s="21"/>
      <c r="LNX380" s="21"/>
      <c r="LNY380" s="15"/>
      <c r="LNZ380" s="15"/>
      <c r="LOA380" s="15"/>
      <c r="LOB380" s="15"/>
      <c r="LOC380" s="15"/>
      <c r="LOD380" s="15"/>
      <c r="LOE380" s="15"/>
      <c r="LOF380" s="15"/>
      <c r="LOG380" s="15"/>
      <c r="LOH380" s="15"/>
      <c r="LOI380" s="10"/>
      <c r="LOJ380" s="10"/>
      <c r="LOK380" s="21"/>
      <c r="LOL380" s="21"/>
      <c r="LOO380" s="21"/>
      <c r="LOP380" s="15"/>
      <c r="LOQ380" s="15"/>
      <c r="LOR380" s="15"/>
      <c r="LOS380" s="15"/>
      <c r="LOT380" s="15"/>
      <c r="LOU380" s="15"/>
      <c r="LOV380" s="15"/>
      <c r="LOW380" s="15"/>
      <c r="LOX380" s="15"/>
      <c r="LOY380" s="15"/>
      <c r="LOZ380" s="10"/>
      <c r="LPA380" s="10"/>
      <c r="LPB380" s="21"/>
      <c r="LPC380" s="21"/>
      <c r="LPF380" s="21"/>
      <c r="LPG380" s="15"/>
      <c r="LPH380" s="15"/>
      <c r="LPI380" s="15"/>
      <c r="LPJ380" s="15"/>
      <c r="LPK380" s="15"/>
      <c r="LPL380" s="15"/>
      <c r="LPM380" s="15"/>
      <c r="LPN380" s="15"/>
      <c r="LPO380" s="15"/>
      <c r="LPP380" s="15"/>
      <c r="LPQ380" s="10"/>
      <c r="LPR380" s="10"/>
      <c r="LPS380" s="21"/>
      <c r="LPT380" s="21"/>
      <c r="LPW380" s="21"/>
      <c r="LPX380" s="15"/>
      <c r="LPY380" s="15"/>
      <c r="LPZ380" s="15"/>
      <c r="LQA380" s="15"/>
      <c r="LQB380" s="15"/>
      <c r="LQC380" s="15"/>
      <c r="LQD380" s="15"/>
      <c r="LQE380" s="15"/>
      <c r="LQF380" s="15"/>
      <c r="LQG380" s="15"/>
      <c r="LQH380" s="10"/>
      <c r="LQI380" s="10"/>
      <c r="LQJ380" s="21"/>
      <c r="LQK380" s="21"/>
      <c r="LQN380" s="21"/>
      <c r="LQO380" s="15"/>
      <c r="LQP380" s="15"/>
      <c r="LQQ380" s="15"/>
      <c r="LQR380" s="15"/>
      <c r="LQS380" s="15"/>
      <c r="LQT380" s="15"/>
      <c r="LQU380" s="15"/>
      <c r="LQV380" s="15"/>
      <c r="LQW380" s="15"/>
      <c r="LQX380" s="15"/>
      <c r="LQY380" s="10"/>
      <c r="LQZ380" s="10"/>
      <c r="LRA380" s="21"/>
      <c r="LRB380" s="21"/>
      <c r="LRE380" s="21"/>
      <c r="LRF380" s="15"/>
      <c r="LRG380" s="15"/>
      <c r="LRH380" s="15"/>
      <c r="LRI380" s="15"/>
      <c r="LRJ380" s="15"/>
      <c r="LRK380" s="15"/>
      <c r="LRL380" s="15"/>
      <c r="LRM380" s="15"/>
      <c r="LRN380" s="15"/>
      <c r="LRO380" s="15"/>
      <c r="LRP380" s="10"/>
      <c r="LRQ380" s="10"/>
      <c r="LRR380" s="21"/>
      <c r="LRS380" s="21"/>
      <c r="LRV380" s="21"/>
      <c r="LRW380" s="15"/>
      <c r="LRX380" s="15"/>
      <c r="LRY380" s="15"/>
      <c r="LRZ380" s="15"/>
      <c r="LSA380" s="15"/>
      <c r="LSB380" s="15"/>
      <c r="LSC380" s="15"/>
      <c r="LSD380" s="15"/>
      <c r="LSE380" s="15"/>
      <c r="LSF380" s="15"/>
      <c r="LSG380" s="10"/>
      <c r="LSH380" s="10"/>
      <c r="LSI380" s="21"/>
      <c r="LSJ380" s="21"/>
      <c r="LSM380" s="21"/>
      <c r="LSN380" s="15"/>
      <c r="LSO380" s="15"/>
      <c r="LSP380" s="15"/>
      <c r="LSQ380" s="15"/>
      <c r="LSR380" s="15"/>
      <c r="LSS380" s="15"/>
      <c r="LST380" s="15"/>
      <c r="LSU380" s="15"/>
      <c r="LSV380" s="15"/>
      <c r="LSW380" s="15"/>
      <c r="LSX380" s="10"/>
      <c r="LSY380" s="10"/>
      <c r="LSZ380" s="21"/>
      <c r="LTA380" s="21"/>
      <c r="LTD380" s="21"/>
      <c r="LTE380" s="15"/>
      <c r="LTF380" s="15"/>
      <c r="LTG380" s="15"/>
      <c r="LTH380" s="15"/>
      <c r="LTI380" s="15"/>
      <c r="LTJ380" s="15"/>
      <c r="LTK380" s="15"/>
      <c r="LTL380" s="15"/>
      <c r="LTM380" s="15"/>
      <c r="LTN380" s="15"/>
      <c r="LTO380" s="10"/>
      <c r="LTP380" s="10"/>
      <c r="LTQ380" s="21"/>
      <c r="LTR380" s="21"/>
      <c r="LTU380" s="21"/>
      <c r="LTV380" s="15"/>
      <c r="LTW380" s="15"/>
      <c r="LTX380" s="15"/>
      <c r="LTY380" s="15"/>
      <c r="LTZ380" s="15"/>
      <c r="LUA380" s="15"/>
      <c r="LUB380" s="15"/>
      <c r="LUC380" s="15"/>
      <c r="LUD380" s="15"/>
      <c r="LUE380" s="15"/>
      <c r="LUF380" s="10"/>
      <c r="LUG380" s="10"/>
      <c r="LUH380" s="21"/>
      <c r="LUI380" s="21"/>
      <c r="LUL380" s="21"/>
      <c r="LUM380" s="15"/>
      <c r="LUN380" s="15"/>
      <c r="LUO380" s="15"/>
      <c r="LUP380" s="15"/>
      <c r="LUQ380" s="15"/>
      <c r="LUR380" s="15"/>
      <c r="LUS380" s="15"/>
      <c r="LUT380" s="15"/>
      <c r="LUU380" s="15"/>
      <c r="LUV380" s="15"/>
      <c r="LUW380" s="10"/>
      <c r="LUX380" s="10"/>
      <c r="LUY380" s="21"/>
      <c r="LUZ380" s="21"/>
      <c r="LVC380" s="21"/>
      <c r="LVD380" s="15"/>
      <c r="LVE380" s="15"/>
      <c r="LVF380" s="15"/>
      <c r="LVG380" s="15"/>
      <c r="LVH380" s="15"/>
      <c r="LVI380" s="15"/>
      <c r="LVJ380" s="15"/>
      <c r="LVK380" s="15"/>
      <c r="LVL380" s="15"/>
      <c r="LVM380" s="15"/>
      <c r="LVN380" s="10"/>
      <c r="LVO380" s="10"/>
      <c r="LVP380" s="21"/>
      <c r="LVQ380" s="21"/>
      <c r="LVT380" s="21"/>
      <c r="LVU380" s="15"/>
      <c r="LVV380" s="15"/>
      <c r="LVW380" s="15"/>
      <c r="LVX380" s="15"/>
      <c r="LVY380" s="15"/>
      <c r="LVZ380" s="15"/>
      <c r="LWA380" s="15"/>
      <c r="LWB380" s="15"/>
      <c r="LWC380" s="15"/>
      <c r="LWD380" s="15"/>
      <c r="LWE380" s="10"/>
      <c r="LWF380" s="10"/>
      <c r="LWG380" s="21"/>
      <c r="LWH380" s="21"/>
      <c r="LWK380" s="21"/>
      <c r="LWL380" s="15"/>
      <c r="LWM380" s="15"/>
      <c r="LWN380" s="15"/>
      <c r="LWO380" s="15"/>
      <c r="LWP380" s="15"/>
      <c r="LWQ380" s="15"/>
      <c r="LWR380" s="15"/>
      <c r="LWS380" s="15"/>
      <c r="LWT380" s="15"/>
      <c r="LWU380" s="15"/>
      <c r="LWV380" s="10"/>
      <c r="LWW380" s="10"/>
      <c r="LWX380" s="21"/>
      <c r="LWY380" s="21"/>
      <c r="LXB380" s="21"/>
      <c r="LXC380" s="15"/>
      <c r="LXD380" s="15"/>
      <c r="LXE380" s="15"/>
      <c r="LXF380" s="15"/>
      <c r="LXG380" s="15"/>
      <c r="LXH380" s="15"/>
      <c r="LXI380" s="15"/>
      <c r="LXJ380" s="15"/>
      <c r="LXK380" s="15"/>
      <c r="LXL380" s="15"/>
      <c r="LXM380" s="10"/>
      <c r="LXN380" s="10"/>
      <c r="LXO380" s="21"/>
      <c r="LXP380" s="21"/>
      <c r="LXS380" s="21"/>
      <c r="LXT380" s="15"/>
      <c r="LXU380" s="15"/>
      <c r="LXV380" s="15"/>
      <c r="LXW380" s="15"/>
      <c r="LXX380" s="15"/>
      <c r="LXY380" s="15"/>
      <c r="LXZ380" s="15"/>
      <c r="LYA380" s="15"/>
      <c r="LYB380" s="15"/>
      <c r="LYC380" s="15"/>
      <c r="LYD380" s="10"/>
      <c r="LYE380" s="10"/>
      <c r="LYF380" s="21"/>
      <c r="LYG380" s="21"/>
      <c r="LYJ380" s="21"/>
      <c r="LYK380" s="15"/>
      <c r="LYL380" s="15"/>
      <c r="LYM380" s="15"/>
      <c r="LYN380" s="15"/>
      <c r="LYO380" s="15"/>
      <c r="LYP380" s="15"/>
      <c r="LYQ380" s="15"/>
      <c r="LYR380" s="15"/>
      <c r="LYS380" s="15"/>
      <c r="LYT380" s="15"/>
      <c r="LYU380" s="10"/>
      <c r="LYV380" s="10"/>
      <c r="LYW380" s="21"/>
      <c r="LYX380" s="21"/>
      <c r="LZA380" s="21"/>
      <c r="LZB380" s="15"/>
      <c r="LZC380" s="15"/>
      <c r="LZD380" s="15"/>
      <c r="LZE380" s="15"/>
      <c r="LZF380" s="15"/>
      <c r="LZG380" s="15"/>
      <c r="LZH380" s="15"/>
      <c r="LZI380" s="15"/>
      <c r="LZJ380" s="15"/>
      <c r="LZK380" s="15"/>
      <c r="LZL380" s="10"/>
      <c r="LZM380" s="10"/>
      <c r="LZN380" s="21"/>
      <c r="LZO380" s="21"/>
      <c r="LZR380" s="21"/>
      <c r="LZS380" s="15"/>
      <c r="LZT380" s="15"/>
      <c r="LZU380" s="15"/>
      <c r="LZV380" s="15"/>
      <c r="LZW380" s="15"/>
      <c r="LZX380" s="15"/>
      <c r="LZY380" s="15"/>
      <c r="LZZ380" s="15"/>
      <c r="MAA380" s="15"/>
      <c r="MAB380" s="15"/>
      <c r="MAC380" s="10"/>
      <c r="MAD380" s="10"/>
      <c r="MAE380" s="21"/>
      <c r="MAF380" s="21"/>
      <c r="MAI380" s="21"/>
      <c r="MAJ380" s="15"/>
      <c r="MAK380" s="15"/>
      <c r="MAL380" s="15"/>
      <c r="MAM380" s="15"/>
      <c r="MAN380" s="15"/>
      <c r="MAO380" s="15"/>
      <c r="MAP380" s="15"/>
      <c r="MAQ380" s="15"/>
      <c r="MAR380" s="15"/>
      <c r="MAS380" s="15"/>
      <c r="MAT380" s="10"/>
      <c r="MAU380" s="10"/>
      <c r="MAV380" s="21"/>
      <c r="MAW380" s="21"/>
      <c r="MAZ380" s="21"/>
      <c r="MBA380" s="15"/>
      <c r="MBB380" s="15"/>
      <c r="MBC380" s="15"/>
      <c r="MBD380" s="15"/>
      <c r="MBE380" s="15"/>
      <c r="MBF380" s="15"/>
      <c r="MBG380" s="15"/>
      <c r="MBH380" s="15"/>
      <c r="MBI380" s="15"/>
      <c r="MBJ380" s="15"/>
      <c r="MBK380" s="10"/>
      <c r="MBL380" s="10"/>
      <c r="MBM380" s="21"/>
      <c r="MBN380" s="21"/>
      <c r="MBQ380" s="21"/>
      <c r="MBR380" s="15"/>
      <c r="MBS380" s="15"/>
      <c r="MBT380" s="15"/>
      <c r="MBU380" s="15"/>
      <c r="MBV380" s="15"/>
      <c r="MBW380" s="15"/>
      <c r="MBX380" s="15"/>
      <c r="MBY380" s="15"/>
      <c r="MBZ380" s="15"/>
      <c r="MCA380" s="15"/>
      <c r="MCB380" s="10"/>
      <c r="MCC380" s="10"/>
      <c r="MCD380" s="21"/>
      <c r="MCE380" s="21"/>
      <c r="MCH380" s="21"/>
      <c r="MCI380" s="15"/>
      <c r="MCJ380" s="15"/>
      <c r="MCK380" s="15"/>
      <c r="MCL380" s="15"/>
      <c r="MCM380" s="15"/>
      <c r="MCN380" s="15"/>
      <c r="MCO380" s="15"/>
      <c r="MCP380" s="15"/>
      <c r="MCQ380" s="15"/>
      <c r="MCR380" s="15"/>
      <c r="MCS380" s="10"/>
      <c r="MCT380" s="10"/>
      <c r="MCU380" s="21"/>
      <c r="MCV380" s="21"/>
      <c r="MCY380" s="21"/>
      <c r="MCZ380" s="15"/>
      <c r="MDA380" s="15"/>
      <c r="MDB380" s="15"/>
      <c r="MDC380" s="15"/>
      <c r="MDD380" s="15"/>
      <c r="MDE380" s="15"/>
      <c r="MDF380" s="15"/>
      <c r="MDG380" s="15"/>
      <c r="MDH380" s="15"/>
      <c r="MDI380" s="15"/>
      <c r="MDJ380" s="10"/>
      <c r="MDK380" s="10"/>
      <c r="MDL380" s="21"/>
      <c r="MDM380" s="21"/>
      <c r="MDP380" s="21"/>
      <c r="MDQ380" s="15"/>
      <c r="MDR380" s="15"/>
      <c r="MDS380" s="15"/>
      <c r="MDT380" s="15"/>
      <c r="MDU380" s="15"/>
      <c r="MDV380" s="15"/>
      <c r="MDW380" s="15"/>
      <c r="MDX380" s="15"/>
      <c r="MDY380" s="15"/>
      <c r="MDZ380" s="15"/>
      <c r="MEA380" s="10"/>
      <c r="MEB380" s="10"/>
      <c r="MEC380" s="21"/>
      <c r="MED380" s="21"/>
      <c r="MEG380" s="21"/>
      <c r="MEH380" s="15"/>
      <c r="MEI380" s="15"/>
      <c r="MEJ380" s="15"/>
      <c r="MEK380" s="15"/>
      <c r="MEL380" s="15"/>
      <c r="MEM380" s="15"/>
      <c r="MEN380" s="15"/>
      <c r="MEO380" s="15"/>
      <c r="MEP380" s="15"/>
      <c r="MEQ380" s="15"/>
      <c r="MER380" s="10"/>
      <c r="MES380" s="10"/>
      <c r="MET380" s="21"/>
      <c r="MEU380" s="21"/>
      <c r="MEX380" s="21"/>
      <c r="MEY380" s="15"/>
      <c r="MEZ380" s="15"/>
      <c r="MFA380" s="15"/>
      <c r="MFB380" s="15"/>
      <c r="MFC380" s="15"/>
      <c r="MFD380" s="15"/>
      <c r="MFE380" s="15"/>
      <c r="MFF380" s="15"/>
      <c r="MFG380" s="15"/>
      <c r="MFH380" s="15"/>
      <c r="MFI380" s="10"/>
      <c r="MFJ380" s="10"/>
      <c r="MFK380" s="21"/>
      <c r="MFL380" s="21"/>
      <c r="MFO380" s="21"/>
      <c r="MFP380" s="15"/>
      <c r="MFQ380" s="15"/>
      <c r="MFR380" s="15"/>
      <c r="MFS380" s="15"/>
      <c r="MFT380" s="15"/>
      <c r="MFU380" s="15"/>
      <c r="MFV380" s="15"/>
      <c r="MFW380" s="15"/>
      <c r="MFX380" s="15"/>
      <c r="MFY380" s="15"/>
      <c r="MFZ380" s="10"/>
      <c r="MGA380" s="10"/>
      <c r="MGB380" s="21"/>
      <c r="MGC380" s="21"/>
      <c r="MGF380" s="21"/>
      <c r="MGG380" s="15"/>
      <c r="MGH380" s="15"/>
      <c r="MGI380" s="15"/>
      <c r="MGJ380" s="15"/>
      <c r="MGK380" s="15"/>
      <c r="MGL380" s="15"/>
      <c r="MGM380" s="15"/>
      <c r="MGN380" s="15"/>
      <c r="MGO380" s="15"/>
      <c r="MGP380" s="15"/>
      <c r="MGQ380" s="10"/>
      <c r="MGR380" s="10"/>
      <c r="MGS380" s="21"/>
      <c r="MGT380" s="21"/>
      <c r="MGW380" s="21"/>
      <c r="MGX380" s="15"/>
      <c r="MGY380" s="15"/>
      <c r="MGZ380" s="15"/>
      <c r="MHA380" s="15"/>
      <c r="MHB380" s="15"/>
      <c r="MHC380" s="15"/>
      <c r="MHD380" s="15"/>
      <c r="MHE380" s="15"/>
      <c r="MHF380" s="15"/>
      <c r="MHG380" s="15"/>
      <c r="MHH380" s="10"/>
      <c r="MHI380" s="10"/>
      <c r="MHJ380" s="21"/>
      <c r="MHK380" s="21"/>
      <c r="MHN380" s="21"/>
      <c r="MHO380" s="15"/>
      <c r="MHP380" s="15"/>
      <c r="MHQ380" s="15"/>
      <c r="MHR380" s="15"/>
      <c r="MHS380" s="15"/>
      <c r="MHT380" s="15"/>
      <c r="MHU380" s="15"/>
      <c r="MHV380" s="15"/>
      <c r="MHW380" s="15"/>
      <c r="MHX380" s="15"/>
      <c r="MHY380" s="10"/>
      <c r="MHZ380" s="10"/>
      <c r="MIA380" s="21"/>
      <c r="MIB380" s="21"/>
      <c r="MIE380" s="21"/>
      <c r="MIF380" s="15"/>
      <c r="MIG380" s="15"/>
      <c r="MIH380" s="15"/>
      <c r="MII380" s="15"/>
      <c r="MIJ380" s="15"/>
      <c r="MIK380" s="15"/>
      <c r="MIL380" s="15"/>
      <c r="MIM380" s="15"/>
      <c r="MIN380" s="15"/>
      <c r="MIO380" s="15"/>
      <c r="MIP380" s="10"/>
      <c r="MIQ380" s="10"/>
      <c r="MIR380" s="21"/>
      <c r="MIS380" s="21"/>
      <c r="MIV380" s="21"/>
      <c r="MIW380" s="15"/>
      <c r="MIX380" s="15"/>
      <c r="MIY380" s="15"/>
      <c r="MIZ380" s="15"/>
      <c r="MJA380" s="15"/>
      <c r="MJB380" s="15"/>
      <c r="MJC380" s="15"/>
      <c r="MJD380" s="15"/>
      <c r="MJE380" s="15"/>
      <c r="MJF380" s="15"/>
      <c r="MJG380" s="10"/>
      <c r="MJH380" s="10"/>
      <c r="MJI380" s="21"/>
      <c r="MJJ380" s="21"/>
      <c r="MJM380" s="21"/>
      <c r="MJN380" s="15"/>
      <c r="MJO380" s="15"/>
      <c r="MJP380" s="15"/>
      <c r="MJQ380" s="15"/>
      <c r="MJR380" s="15"/>
      <c r="MJS380" s="15"/>
      <c r="MJT380" s="15"/>
      <c r="MJU380" s="15"/>
      <c r="MJV380" s="15"/>
      <c r="MJW380" s="15"/>
      <c r="MJX380" s="10"/>
      <c r="MJY380" s="10"/>
      <c r="MJZ380" s="21"/>
      <c r="MKA380" s="21"/>
      <c r="MKD380" s="21"/>
      <c r="MKE380" s="15"/>
      <c r="MKF380" s="15"/>
      <c r="MKG380" s="15"/>
      <c r="MKH380" s="15"/>
      <c r="MKI380" s="15"/>
      <c r="MKJ380" s="15"/>
      <c r="MKK380" s="15"/>
      <c r="MKL380" s="15"/>
      <c r="MKM380" s="15"/>
      <c r="MKN380" s="15"/>
      <c r="MKO380" s="10"/>
      <c r="MKP380" s="10"/>
      <c r="MKQ380" s="21"/>
      <c r="MKR380" s="21"/>
      <c r="MKU380" s="21"/>
      <c r="MKV380" s="15"/>
      <c r="MKW380" s="15"/>
      <c r="MKX380" s="15"/>
      <c r="MKY380" s="15"/>
      <c r="MKZ380" s="15"/>
      <c r="MLA380" s="15"/>
      <c r="MLB380" s="15"/>
      <c r="MLC380" s="15"/>
      <c r="MLD380" s="15"/>
      <c r="MLE380" s="15"/>
      <c r="MLF380" s="10"/>
      <c r="MLG380" s="10"/>
      <c r="MLH380" s="21"/>
      <c r="MLI380" s="21"/>
      <c r="MLL380" s="21"/>
      <c r="MLM380" s="15"/>
      <c r="MLN380" s="15"/>
      <c r="MLO380" s="15"/>
      <c r="MLP380" s="15"/>
      <c r="MLQ380" s="15"/>
      <c r="MLR380" s="15"/>
      <c r="MLS380" s="15"/>
      <c r="MLT380" s="15"/>
      <c r="MLU380" s="15"/>
      <c r="MLV380" s="15"/>
      <c r="MLW380" s="10"/>
      <c r="MLX380" s="10"/>
      <c r="MLY380" s="21"/>
      <c r="MLZ380" s="21"/>
      <c r="MMC380" s="21"/>
      <c r="MMD380" s="15"/>
      <c r="MME380" s="15"/>
      <c r="MMF380" s="15"/>
      <c r="MMG380" s="15"/>
      <c r="MMH380" s="15"/>
      <c r="MMI380" s="15"/>
      <c r="MMJ380" s="15"/>
      <c r="MMK380" s="15"/>
      <c r="MML380" s="15"/>
      <c r="MMM380" s="15"/>
      <c r="MMN380" s="10"/>
      <c r="MMO380" s="10"/>
      <c r="MMP380" s="21"/>
      <c r="MMQ380" s="21"/>
      <c r="MMT380" s="21"/>
      <c r="MMU380" s="15"/>
      <c r="MMV380" s="15"/>
      <c r="MMW380" s="15"/>
      <c r="MMX380" s="15"/>
      <c r="MMY380" s="15"/>
      <c r="MMZ380" s="15"/>
      <c r="MNA380" s="15"/>
      <c r="MNB380" s="15"/>
      <c r="MNC380" s="15"/>
      <c r="MND380" s="15"/>
      <c r="MNE380" s="10"/>
      <c r="MNF380" s="10"/>
      <c r="MNG380" s="21"/>
      <c r="MNH380" s="21"/>
      <c r="MNK380" s="21"/>
      <c r="MNL380" s="15"/>
      <c r="MNM380" s="15"/>
      <c r="MNN380" s="15"/>
      <c r="MNO380" s="15"/>
      <c r="MNP380" s="15"/>
      <c r="MNQ380" s="15"/>
      <c r="MNR380" s="15"/>
      <c r="MNS380" s="15"/>
      <c r="MNT380" s="15"/>
      <c r="MNU380" s="15"/>
      <c r="MNV380" s="10"/>
      <c r="MNW380" s="10"/>
      <c r="MNX380" s="21"/>
      <c r="MNY380" s="21"/>
      <c r="MOB380" s="21"/>
      <c r="MOC380" s="15"/>
      <c r="MOD380" s="15"/>
      <c r="MOE380" s="15"/>
      <c r="MOF380" s="15"/>
      <c r="MOG380" s="15"/>
      <c r="MOH380" s="15"/>
      <c r="MOI380" s="15"/>
      <c r="MOJ380" s="15"/>
      <c r="MOK380" s="15"/>
      <c r="MOL380" s="15"/>
      <c r="MOM380" s="10"/>
      <c r="MON380" s="10"/>
      <c r="MOO380" s="21"/>
      <c r="MOP380" s="21"/>
      <c r="MOS380" s="21"/>
      <c r="MOT380" s="15"/>
      <c r="MOU380" s="15"/>
      <c r="MOV380" s="15"/>
      <c r="MOW380" s="15"/>
      <c r="MOX380" s="15"/>
      <c r="MOY380" s="15"/>
      <c r="MOZ380" s="15"/>
      <c r="MPA380" s="15"/>
      <c r="MPB380" s="15"/>
      <c r="MPC380" s="15"/>
      <c r="MPD380" s="10"/>
      <c r="MPE380" s="10"/>
      <c r="MPF380" s="21"/>
      <c r="MPG380" s="21"/>
      <c r="MPJ380" s="21"/>
      <c r="MPK380" s="15"/>
      <c r="MPL380" s="15"/>
      <c r="MPM380" s="15"/>
      <c r="MPN380" s="15"/>
      <c r="MPO380" s="15"/>
      <c r="MPP380" s="15"/>
      <c r="MPQ380" s="15"/>
      <c r="MPR380" s="15"/>
      <c r="MPS380" s="15"/>
      <c r="MPT380" s="15"/>
      <c r="MPU380" s="10"/>
      <c r="MPV380" s="10"/>
      <c r="MPW380" s="21"/>
      <c r="MPX380" s="21"/>
      <c r="MQA380" s="21"/>
      <c r="MQB380" s="15"/>
      <c r="MQC380" s="15"/>
      <c r="MQD380" s="15"/>
      <c r="MQE380" s="15"/>
      <c r="MQF380" s="15"/>
      <c r="MQG380" s="15"/>
      <c r="MQH380" s="15"/>
      <c r="MQI380" s="15"/>
      <c r="MQJ380" s="15"/>
      <c r="MQK380" s="15"/>
      <c r="MQL380" s="10"/>
      <c r="MQM380" s="10"/>
      <c r="MQN380" s="21"/>
      <c r="MQO380" s="21"/>
      <c r="MQR380" s="21"/>
      <c r="MQS380" s="15"/>
      <c r="MQT380" s="15"/>
      <c r="MQU380" s="15"/>
      <c r="MQV380" s="15"/>
      <c r="MQW380" s="15"/>
      <c r="MQX380" s="15"/>
      <c r="MQY380" s="15"/>
      <c r="MQZ380" s="15"/>
      <c r="MRA380" s="15"/>
      <c r="MRB380" s="15"/>
      <c r="MRC380" s="10"/>
      <c r="MRD380" s="10"/>
      <c r="MRE380" s="21"/>
      <c r="MRF380" s="21"/>
      <c r="MRI380" s="21"/>
      <c r="MRJ380" s="15"/>
      <c r="MRK380" s="15"/>
      <c r="MRL380" s="15"/>
      <c r="MRM380" s="15"/>
      <c r="MRN380" s="15"/>
      <c r="MRO380" s="15"/>
      <c r="MRP380" s="15"/>
      <c r="MRQ380" s="15"/>
      <c r="MRR380" s="15"/>
      <c r="MRS380" s="15"/>
      <c r="MRT380" s="10"/>
      <c r="MRU380" s="10"/>
      <c r="MRV380" s="21"/>
      <c r="MRW380" s="21"/>
      <c r="MRZ380" s="21"/>
      <c r="MSA380" s="15"/>
      <c r="MSB380" s="15"/>
      <c r="MSC380" s="15"/>
      <c r="MSD380" s="15"/>
      <c r="MSE380" s="15"/>
      <c r="MSF380" s="15"/>
      <c r="MSG380" s="15"/>
      <c r="MSH380" s="15"/>
      <c r="MSI380" s="15"/>
      <c r="MSJ380" s="15"/>
      <c r="MSK380" s="10"/>
      <c r="MSL380" s="10"/>
      <c r="MSM380" s="21"/>
      <c r="MSN380" s="21"/>
      <c r="MSQ380" s="21"/>
      <c r="MSR380" s="15"/>
      <c r="MSS380" s="15"/>
      <c r="MST380" s="15"/>
      <c r="MSU380" s="15"/>
      <c r="MSV380" s="15"/>
      <c r="MSW380" s="15"/>
      <c r="MSX380" s="15"/>
      <c r="MSY380" s="15"/>
      <c r="MSZ380" s="15"/>
      <c r="MTA380" s="15"/>
      <c r="MTB380" s="10"/>
      <c r="MTC380" s="10"/>
      <c r="MTD380" s="21"/>
      <c r="MTE380" s="21"/>
      <c r="MTH380" s="21"/>
      <c r="MTI380" s="15"/>
      <c r="MTJ380" s="15"/>
      <c r="MTK380" s="15"/>
      <c r="MTL380" s="15"/>
      <c r="MTM380" s="15"/>
      <c r="MTN380" s="15"/>
      <c r="MTO380" s="15"/>
      <c r="MTP380" s="15"/>
      <c r="MTQ380" s="15"/>
      <c r="MTR380" s="15"/>
      <c r="MTS380" s="10"/>
      <c r="MTT380" s="10"/>
      <c r="MTU380" s="21"/>
      <c r="MTV380" s="21"/>
      <c r="MTY380" s="21"/>
      <c r="MTZ380" s="15"/>
      <c r="MUA380" s="15"/>
      <c r="MUB380" s="15"/>
      <c r="MUC380" s="15"/>
      <c r="MUD380" s="15"/>
      <c r="MUE380" s="15"/>
      <c r="MUF380" s="15"/>
      <c r="MUG380" s="15"/>
      <c r="MUH380" s="15"/>
      <c r="MUI380" s="15"/>
      <c r="MUJ380" s="10"/>
      <c r="MUK380" s="10"/>
      <c r="MUL380" s="21"/>
      <c r="MUM380" s="21"/>
      <c r="MUP380" s="21"/>
      <c r="MUQ380" s="15"/>
      <c r="MUR380" s="15"/>
      <c r="MUS380" s="15"/>
      <c r="MUT380" s="15"/>
      <c r="MUU380" s="15"/>
      <c r="MUV380" s="15"/>
      <c r="MUW380" s="15"/>
      <c r="MUX380" s="15"/>
      <c r="MUY380" s="15"/>
      <c r="MUZ380" s="15"/>
      <c r="MVA380" s="10"/>
      <c r="MVB380" s="10"/>
      <c r="MVC380" s="21"/>
      <c r="MVD380" s="21"/>
      <c r="MVG380" s="21"/>
      <c r="MVH380" s="15"/>
      <c r="MVI380" s="15"/>
      <c r="MVJ380" s="15"/>
      <c r="MVK380" s="15"/>
      <c r="MVL380" s="15"/>
      <c r="MVM380" s="15"/>
      <c r="MVN380" s="15"/>
      <c r="MVO380" s="15"/>
      <c r="MVP380" s="15"/>
      <c r="MVQ380" s="15"/>
      <c r="MVR380" s="10"/>
      <c r="MVS380" s="10"/>
      <c r="MVT380" s="21"/>
      <c r="MVU380" s="21"/>
      <c r="MVX380" s="21"/>
      <c r="MVY380" s="15"/>
      <c r="MVZ380" s="15"/>
      <c r="MWA380" s="15"/>
      <c r="MWB380" s="15"/>
      <c r="MWC380" s="15"/>
      <c r="MWD380" s="15"/>
      <c r="MWE380" s="15"/>
      <c r="MWF380" s="15"/>
      <c r="MWG380" s="15"/>
      <c r="MWH380" s="15"/>
      <c r="MWI380" s="10"/>
      <c r="MWJ380" s="10"/>
      <c r="MWK380" s="21"/>
      <c r="MWL380" s="21"/>
      <c r="MWO380" s="21"/>
      <c r="MWP380" s="15"/>
      <c r="MWQ380" s="15"/>
      <c r="MWR380" s="15"/>
      <c r="MWS380" s="15"/>
      <c r="MWT380" s="15"/>
      <c r="MWU380" s="15"/>
      <c r="MWV380" s="15"/>
      <c r="MWW380" s="15"/>
      <c r="MWX380" s="15"/>
      <c r="MWY380" s="15"/>
      <c r="MWZ380" s="10"/>
      <c r="MXA380" s="10"/>
      <c r="MXB380" s="21"/>
      <c r="MXC380" s="21"/>
      <c r="MXF380" s="21"/>
      <c r="MXG380" s="15"/>
      <c r="MXH380" s="15"/>
      <c r="MXI380" s="15"/>
      <c r="MXJ380" s="15"/>
      <c r="MXK380" s="15"/>
      <c r="MXL380" s="15"/>
      <c r="MXM380" s="15"/>
      <c r="MXN380" s="15"/>
      <c r="MXO380" s="15"/>
      <c r="MXP380" s="15"/>
      <c r="MXQ380" s="10"/>
      <c r="MXR380" s="10"/>
      <c r="MXS380" s="21"/>
      <c r="MXT380" s="21"/>
      <c r="MXW380" s="21"/>
      <c r="MXX380" s="15"/>
      <c r="MXY380" s="15"/>
      <c r="MXZ380" s="15"/>
      <c r="MYA380" s="15"/>
      <c r="MYB380" s="15"/>
      <c r="MYC380" s="15"/>
      <c r="MYD380" s="15"/>
      <c r="MYE380" s="15"/>
      <c r="MYF380" s="15"/>
      <c r="MYG380" s="15"/>
      <c r="MYH380" s="10"/>
      <c r="MYI380" s="10"/>
      <c r="MYJ380" s="21"/>
      <c r="MYK380" s="21"/>
      <c r="MYN380" s="21"/>
      <c r="MYO380" s="15"/>
      <c r="MYP380" s="15"/>
      <c r="MYQ380" s="15"/>
      <c r="MYR380" s="15"/>
      <c r="MYS380" s="15"/>
      <c r="MYT380" s="15"/>
      <c r="MYU380" s="15"/>
      <c r="MYV380" s="15"/>
      <c r="MYW380" s="15"/>
      <c r="MYX380" s="15"/>
      <c r="MYY380" s="10"/>
      <c r="MYZ380" s="10"/>
      <c r="MZA380" s="21"/>
      <c r="MZB380" s="21"/>
      <c r="MZE380" s="21"/>
      <c r="MZF380" s="15"/>
      <c r="MZG380" s="15"/>
      <c r="MZH380" s="15"/>
      <c r="MZI380" s="15"/>
      <c r="MZJ380" s="15"/>
      <c r="MZK380" s="15"/>
      <c r="MZL380" s="15"/>
      <c r="MZM380" s="15"/>
      <c r="MZN380" s="15"/>
      <c r="MZO380" s="15"/>
      <c r="MZP380" s="10"/>
      <c r="MZQ380" s="10"/>
      <c r="MZR380" s="21"/>
      <c r="MZS380" s="21"/>
      <c r="MZV380" s="21"/>
      <c r="MZW380" s="15"/>
      <c r="MZX380" s="15"/>
      <c r="MZY380" s="15"/>
      <c r="MZZ380" s="15"/>
      <c r="NAA380" s="15"/>
      <c r="NAB380" s="15"/>
      <c r="NAC380" s="15"/>
      <c r="NAD380" s="15"/>
      <c r="NAE380" s="15"/>
      <c r="NAF380" s="15"/>
      <c r="NAG380" s="10"/>
      <c r="NAH380" s="10"/>
      <c r="NAI380" s="21"/>
      <c r="NAJ380" s="21"/>
      <c r="NAM380" s="21"/>
      <c r="NAN380" s="15"/>
      <c r="NAO380" s="15"/>
      <c r="NAP380" s="15"/>
      <c r="NAQ380" s="15"/>
      <c r="NAR380" s="15"/>
      <c r="NAS380" s="15"/>
      <c r="NAT380" s="15"/>
      <c r="NAU380" s="15"/>
      <c r="NAV380" s="15"/>
      <c r="NAW380" s="15"/>
      <c r="NAX380" s="10"/>
      <c r="NAY380" s="10"/>
      <c r="NAZ380" s="21"/>
      <c r="NBA380" s="21"/>
      <c r="NBD380" s="21"/>
      <c r="NBE380" s="15"/>
      <c r="NBF380" s="15"/>
      <c r="NBG380" s="15"/>
      <c r="NBH380" s="15"/>
      <c r="NBI380" s="15"/>
      <c r="NBJ380" s="15"/>
      <c r="NBK380" s="15"/>
      <c r="NBL380" s="15"/>
      <c r="NBM380" s="15"/>
      <c r="NBN380" s="15"/>
      <c r="NBO380" s="10"/>
      <c r="NBP380" s="10"/>
      <c r="NBQ380" s="21"/>
      <c r="NBR380" s="21"/>
      <c r="NBU380" s="21"/>
      <c r="NBV380" s="15"/>
      <c r="NBW380" s="15"/>
      <c r="NBX380" s="15"/>
      <c r="NBY380" s="15"/>
      <c r="NBZ380" s="15"/>
      <c r="NCA380" s="15"/>
      <c r="NCB380" s="15"/>
      <c r="NCC380" s="15"/>
      <c r="NCD380" s="15"/>
      <c r="NCE380" s="15"/>
      <c r="NCF380" s="10"/>
      <c r="NCG380" s="10"/>
      <c r="NCH380" s="21"/>
      <c r="NCI380" s="21"/>
      <c r="NCL380" s="21"/>
      <c r="NCM380" s="15"/>
      <c r="NCN380" s="15"/>
      <c r="NCO380" s="15"/>
      <c r="NCP380" s="15"/>
      <c r="NCQ380" s="15"/>
      <c r="NCR380" s="15"/>
      <c r="NCS380" s="15"/>
      <c r="NCT380" s="15"/>
      <c r="NCU380" s="15"/>
      <c r="NCV380" s="15"/>
      <c r="NCW380" s="10"/>
      <c r="NCX380" s="10"/>
      <c r="NCY380" s="21"/>
      <c r="NCZ380" s="21"/>
      <c r="NDC380" s="21"/>
      <c r="NDD380" s="15"/>
      <c r="NDE380" s="15"/>
      <c r="NDF380" s="15"/>
      <c r="NDG380" s="15"/>
      <c r="NDH380" s="15"/>
      <c r="NDI380" s="15"/>
      <c r="NDJ380" s="15"/>
      <c r="NDK380" s="15"/>
      <c r="NDL380" s="15"/>
      <c r="NDM380" s="15"/>
      <c r="NDN380" s="10"/>
      <c r="NDO380" s="10"/>
      <c r="NDP380" s="21"/>
      <c r="NDQ380" s="21"/>
      <c r="NDT380" s="21"/>
      <c r="NDU380" s="15"/>
      <c r="NDV380" s="15"/>
      <c r="NDW380" s="15"/>
      <c r="NDX380" s="15"/>
      <c r="NDY380" s="15"/>
      <c r="NDZ380" s="15"/>
      <c r="NEA380" s="15"/>
      <c r="NEB380" s="15"/>
      <c r="NEC380" s="15"/>
      <c r="NED380" s="15"/>
      <c r="NEE380" s="10"/>
      <c r="NEF380" s="10"/>
      <c r="NEG380" s="21"/>
      <c r="NEH380" s="21"/>
      <c r="NEK380" s="21"/>
      <c r="NEL380" s="15"/>
      <c r="NEM380" s="15"/>
      <c r="NEN380" s="15"/>
      <c r="NEO380" s="15"/>
      <c r="NEP380" s="15"/>
      <c r="NEQ380" s="15"/>
      <c r="NER380" s="15"/>
      <c r="NES380" s="15"/>
      <c r="NET380" s="15"/>
      <c r="NEU380" s="15"/>
      <c r="NEV380" s="10"/>
      <c r="NEW380" s="10"/>
      <c r="NEX380" s="21"/>
      <c r="NEY380" s="21"/>
      <c r="NFB380" s="21"/>
      <c r="NFC380" s="15"/>
      <c r="NFD380" s="15"/>
      <c r="NFE380" s="15"/>
      <c r="NFF380" s="15"/>
      <c r="NFG380" s="15"/>
      <c r="NFH380" s="15"/>
      <c r="NFI380" s="15"/>
      <c r="NFJ380" s="15"/>
      <c r="NFK380" s="15"/>
      <c r="NFL380" s="15"/>
      <c r="NFM380" s="10"/>
      <c r="NFN380" s="10"/>
      <c r="NFO380" s="21"/>
      <c r="NFP380" s="21"/>
      <c r="NFS380" s="21"/>
      <c r="NFT380" s="15"/>
      <c r="NFU380" s="15"/>
      <c r="NFV380" s="15"/>
      <c r="NFW380" s="15"/>
      <c r="NFX380" s="15"/>
      <c r="NFY380" s="15"/>
      <c r="NFZ380" s="15"/>
      <c r="NGA380" s="15"/>
      <c r="NGB380" s="15"/>
      <c r="NGC380" s="15"/>
      <c r="NGD380" s="10"/>
      <c r="NGE380" s="10"/>
      <c r="NGF380" s="21"/>
      <c r="NGG380" s="21"/>
      <c r="NGJ380" s="21"/>
      <c r="NGK380" s="15"/>
      <c r="NGL380" s="15"/>
      <c r="NGM380" s="15"/>
      <c r="NGN380" s="15"/>
      <c r="NGO380" s="15"/>
      <c r="NGP380" s="15"/>
      <c r="NGQ380" s="15"/>
      <c r="NGR380" s="15"/>
      <c r="NGS380" s="15"/>
      <c r="NGT380" s="15"/>
      <c r="NGU380" s="10"/>
      <c r="NGV380" s="10"/>
      <c r="NGW380" s="21"/>
      <c r="NGX380" s="21"/>
      <c r="NHA380" s="21"/>
      <c r="NHB380" s="15"/>
      <c r="NHC380" s="15"/>
      <c r="NHD380" s="15"/>
      <c r="NHE380" s="15"/>
      <c r="NHF380" s="15"/>
      <c r="NHG380" s="15"/>
      <c r="NHH380" s="15"/>
      <c r="NHI380" s="15"/>
      <c r="NHJ380" s="15"/>
      <c r="NHK380" s="15"/>
      <c r="NHL380" s="10"/>
      <c r="NHM380" s="10"/>
      <c r="NHN380" s="21"/>
      <c r="NHO380" s="21"/>
      <c r="NHR380" s="21"/>
      <c r="NHS380" s="15"/>
      <c r="NHT380" s="15"/>
      <c r="NHU380" s="15"/>
      <c r="NHV380" s="15"/>
      <c r="NHW380" s="15"/>
      <c r="NHX380" s="15"/>
      <c r="NHY380" s="15"/>
      <c r="NHZ380" s="15"/>
      <c r="NIA380" s="15"/>
      <c r="NIB380" s="15"/>
      <c r="NIC380" s="10"/>
      <c r="NID380" s="10"/>
      <c r="NIE380" s="21"/>
      <c r="NIF380" s="21"/>
      <c r="NII380" s="21"/>
      <c r="NIJ380" s="15"/>
      <c r="NIK380" s="15"/>
      <c r="NIL380" s="15"/>
      <c r="NIM380" s="15"/>
      <c r="NIN380" s="15"/>
      <c r="NIO380" s="15"/>
      <c r="NIP380" s="15"/>
      <c r="NIQ380" s="15"/>
      <c r="NIR380" s="15"/>
      <c r="NIS380" s="15"/>
      <c r="NIT380" s="10"/>
      <c r="NIU380" s="10"/>
      <c r="NIV380" s="21"/>
      <c r="NIW380" s="21"/>
      <c r="NIZ380" s="21"/>
      <c r="NJA380" s="15"/>
      <c r="NJB380" s="15"/>
      <c r="NJC380" s="15"/>
      <c r="NJD380" s="15"/>
      <c r="NJE380" s="15"/>
      <c r="NJF380" s="15"/>
      <c r="NJG380" s="15"/>
      <c r="NJH380" s="15"/>
      <c r="NJI380" s="15"/>
      <c r="NJJ380" s="15"/>
      <c r="NJK380" s="10"/>
      <c r="NJL380" s="10"/>
      <c r="NJM380" s="21"/>
      <c r="NJN380" s="21"/>
      <c r="NJQ380" s="21"/>
      <c r="NJR380" s="15"/>
      <c r="NJS380" s="15"/>
      <c r="NJT380" s="15"/>
      <c r="NJU380" s="15"/>
      <c r="NJV380" s="15"/>
      <c r="NJW380" s="15"/>
      <c r="NJX380" s="15"/>
      <c r="NJY380" s="15"/>
      <c r="NJZ380" s="15"/>
      <c r="NKA380" s="15"/>
      <c r="NKB380" s="10"/>
      <c r="NKC380" s="10"/>
      <c r="NKD380" s="21"/>
      <c r="NKE380" s="21"/>
      <c r="NKH380" s="21"/>
      <c r="NKI380" s="15"/>
      <c r="NKJ380" s="15"/>
      <c r="NKK380" s="15"/>
      <c r="NKL380" s="15"/>
      <c r="NKM380" s="15"/>
      <c r="NKN380" s="15"/>
      <c r="NKO380" s="15"/>
      <c r="NKP380" s="15"/>
      <c r="NKQ380" s="15"/>
      <c r="NKR380" s="15"/>
      <c r="NKS380" s="10"/>
      <c r="NKT380" s="10"/>
      <c r="NKU380" s="21"/>
      <c r="NKV380" s="21"/>
      <c r="NKY380" s="21"/>
      <c r="NKZ380" s="15"/>
      <c r="NLA380" s="15"/>
      <c r="NLB380" s="15"/>
      <c r="NLC380" s="15"/>
      <c r="NLD380" s="15"/>
      <c r="NLE380" s="15"/>
      <c r="NLF380" s="15"/>
      <c r="NLG380" s="15"/>
      <c r="NLH380" s="15"/>
      <c r="NLI380" s="15"/>
      <c r="NLJ380" s="10"/>
      <c r="NLK380" s="10"/>
      <c r="NLL380" s="21"/>
      <c r="NLM380" s="21"/>
      <c r="NLP380" s="21"/>
      <c r="NLQ380" s="15"/>
      <c r="NLR380" s="15"/>
      <c r="NLS380" s="15"/>
      <c r="NLT380" s="15"/>
      <c r="NLU380" s="15"/>
      <c r="NLV380" s="15"/>
      <c r="NLW380" s="15"/>
      <c r="NLX380" s="15"/>
      <c r="NLY380" s="15"/>
      <c r="NLZ380" s="15"/>
      <c r="NMA380" s="10"/>
      <c r="NMB380" s="10"/>
      <c r="NMC380" s="21"/>
      <c r="NMD380" s="21"/>
      <c r="NMG380" s="21"/>
      <c r="NMH380" s="15"/>
      <c r="NMI380" s="15"/>
      <c r="NMJ380" s="15"/>
      <c r="NMK380" s="15"/>
      <c r="NML380" s="15"/>
      <c r="NMM380" s="15"/>
      <c r="NMN380" s="15"/>
      <c r="NMO380" s="15"/>
      <c r="NMP380" s="15"/>
      <c r="NMQ380" s="15"/>
      <c r="NMR380" s="10"/>
      <c r="NMS380" s="10"/>
      <c r="NMT380" s="21"/>
      <c r="NMU380" s="21"/>
      <c r="NMX380" s="21"/>
      <c r="NMY380" s="15"/>
      <c r="NMZ380" s="15"/>
      <c r="NNA380" s="15"/>
      <c r="NNB380" s="15"/>
      <c r="NNC380" s="15"/>
      <c r="NND380" s="15"/>
      <c r="NNE380" s="15"/>
      <c r="NNF380" s="15"/>
      <c r="NNG380" s="15"/>
      <c r="NNH380" s="15"/>
      <c r="NNI380" s="10"/>
      <c r="NNJ380" s="10"/>
      <c r="NNK380" s="21"/>
      <c r="NNL380" s="21"/>
      <c r="NNO380" s="21"/>
      <c r="NNP380" s="15"/>
      <c r="NNQ380" s="15"/>
      <c r="NNR380" s="15"/>
      <c r="NNS380" s="15"/>
      <c r="NNT380" s="15"/>
      <c r="NNU380" s="15"/>
      <c r="NNV380" s="15"/>
      <c r="NNW380" s="15"/>
      <c r="NNX380" s="15"/>
      <c r="NNY380" s="15"/>
      <c r="NNZ380" s="10"/>
      <c r="NOA380" s="10"/>
      <c r="NOB380" s="21"/>
      <c r="NOC380" s="21"/>
      <c r="NOF380" s="21"/>
      <c r="NOG380" s="15"/>
      <c r="NOH380" s="15"/>
      <c r="NOI380" s="15"/>
      <c r="NOJ380" s="15"/>
      <c r="NOK380" s="15"/>
      <c r="NOL380" s="15"/>
      <c r="NOM380" s="15"/>
      <c r="NON380" s="15"/>
      <c r="NOO380" s="15"/>
      <c r="NOP380" s="15"/>
      <c r="NOQ380" s="10"/>
      <c r="NOR380" s="10"/>
      <c r="NOS380" s="21"/>
      <c r="NOT380" s="21"/>
      <c r="NOW380" s="21"/>
      <c r="NOX380" s="15"/>
      <c r="NOY380" s="15"/>
      <c r="NOZ380" s="15"/>
      <c r="NPA380" s="15"/>
      <c r="NPB380" s="15"/>
      <c r="NPC380" s="15"/>
      <c r="NPD380" s="15"/>
      <c r="NPE380" s="15"/>
      <c r="NPF380" s="15"/>
      <c r="NPG380" s="15"/>
      <c r="NPH380" s="10"/>
      <c r="NPI380" s="10"/>
      <c r="NPJ380" s="21"/>
      <c r="NPK380" s="21"/>
      <c r="NPN380" s="21"/>
      <c r="NPO380" s="15"/>
      <c r="NPP380" s="15"/>
      <c r="NPQ380" s="15"/>
      <c r="NPR380" s="15"/>
      <c r="NPS380" s="15"/>
      <c r="NPT380" s="15"/>
      <c r="NPU380" s="15"/>
      <c r="NPV380" s="15"/>
      <c r="NPW380" s="15"/>
      <c r="NPX380" s="15"/>
      <c r="NPY380" s="10"/>
      <c r="NPZ380" s="10"/>
      <c r="NQA380" s="21"/>
      <c r="NQB380" s="21"/>
      <c r="NQE380" s="21"/>
      <c r="NQF380" s="15"/>
      <c r="NQG380" s="15"/>
      <c r="NQH380" s="15"/>
      <c r="NQI380" s="15"/>
      <c r="NQJ380" s="15"/>
      <c r="NQK380" s="15"/>
      <c r="NQL380" s="15"/>
      <c r="NQM380" s="15"/>
      <c r="NQN380" s="15"/>
      <c r="NQO380" s="15"/>
      <c r="NQP380" s="10"/>
      <c r="NQQ380" s="10"/>
      <c r="NQR380" s="21"/>
      <c r="NQS380" s="21"/>
      <c r="NQV380" s="21"/>
      <c r="NQW380" s="15"/>
      <c r="NQX380" s="15"/>
      <c r="NQY380" s="15"/>
      <c r="NQZ380" s="15"/>
      <c r="NRA380" s="15"/>
      <c r="NRB380" s="15"/>
      <c r="NRC380" s="15"/>
      <c r="NRD380" s="15"/>
      <c r="NRE380" s="15"/>
      <c r="NRF380" s="15"/>
      <c r="NRG380" s="10"/>
      <c r="NRH380" s="10"/>
      <c r="NRI380" s="21"/>
      <c r="NRJ380" s="21"/>
      <c r="NRM380" s="21"/>
      <c r="NRN380" s="15"/>
      <c r="NRO380" s="15"/>
      <c r="NRP380" s="15"/>
      <c r="NRQ380" s="15"/>
      <c r="NRR380" s="15"/>
      <c r="NRS380" s="15"/>
      <c r="NRT380" s="15"/>
      <c r="NRU380" s="15"/>
      <c r="NRV380" s="15"/>
      <c r="NRW380" s="15"/>
      <c r="NRX380" s="10"/>
      <c r="NRY380" s="10"/>
      <c r="NRZ380" s="21"/>
      <c r="NSA380" s="21"/>
      <c r="NSD380" s="21"/>
      <c r="NSE380" s="15"/>
      <c r="NSF380" s="15"/>
      <c r="NSG380" s="15"/>
      <c r="NSH380" s="15"/>
      <c r="NSI380" s="15"/>
      <c r="NSJ380" s="15"/>
      <c r="NSK380" s="15"/>
      <c r="NSL380" s="15"/>
      <c r="NSM380" s="15"/>
      <c r="NSN380" s="15"/>
      <c r="NSO380" s="10"/>
      <c r="NSP380" s="10"/>
      <c r="NSQ380" s="21"/>
      <c r="NSR380" s="21"/>
      <c r="NSU380" s="21"/>
      <c r="NSV380" s="15"/>
      <c r="NSW380" s="15"/>
      <c r="NSX380" s="15"/>
      <c r="NSY380" s="15"/>
      <c r="NSZ380" s="15"/>
      <c r="NTA380" s="15"/>
      <c r="NTB380" s="15"/>
      <c r="NTC380" s="15"/>
      <c r="NTD380" s="15"/>
      <c r="NTE380" s="15"/>
      <c r="NTF380" s="10"/>
      <c r="NTG380" s="10"/>
      <c r="NTH380" s="21"/>
      <c r="NTI380" s="21"/>
      <c r="NTL380" s="21"/>
      <c r="NTM380" s="15"/>
      <c r="NTN380" s="15"/>
      <c r="NTO380" s="15"/>
      <c r="NTP380" s="15"/>
      <c r="NTQ380" s="15"/>
      <c r="NTR380" s="15"/>
      <c r="NTS380" s="15"/>
      <c r="NTT380" s="15"/>
      <c r="NTU380" s="15"/>
      <c r="NTV380" s="15"/>
      <c r="NTW380" s="10"/>
      <c r="NTX380" s="10"/>
      <c r="NTY380" s="21"/>
      <c r="NTZ380" s="21"/>
      <c r="NUC380" s="21"/>
      <c r="NUD380" s="15"/>
      <c r="NUE380" s="15"/>
      <c r="NUF380" s="15"/>
      <c r="NUG380" s="15"/>
      <c r="NUH380" s="15"/>
      <c r="NUI380" s="15"/>
      <c r="NUJ380" s="15"/>
      <c r="NUK380" s="15"/>
      <c r="NUL380" s="15"/>
      <c r="NUM380" s="15"/>
      <c r="NUN380" s="10"/>
      <c r="NUO380" s="10"/>
      <c r="NUP380" s="21"/>
      <c r="NUQ380" s="21"/>
      <c r="NUT380" s="21"/>
      <c r="NUU380" s="15"/>
      <c r="NUV380" s="15"/>
      <c r="NUW380" s="15"/>
      <c r="NUX380" s="15"/>
      <c r="NUY380" s="15"/>
      <c r="NUZ380" s="15"/>
      <c r="NVA380" s="15"/>
      <c r="NVB380" s="15"/>
      <c r="NVC380" s="15"/>
      <c r="NVD380" s="15"/>
      <c r="NVE380" s="10"/>
      <c r="NVF380" s="10"/>
      <c r="NVG380" s="21"/>
      <c r="NVH380" s="21"/>
      <c r="NVK380" s="21"/>
      <c r="NVL380" s="15"/>
      <c r="NVM380" s="15"/>
      <c r="NVN380" s="15"/>
      <c r="NVO380" s="15"/>
      <c r="NVP380" s="15"/>
      <c r="NVQ380" s="15"/>
      <c r="NVR380" s="15"/>
      <c r="NVS380" s="15"/>
      <c r="NVT380" s="15"/>
      <c r="NVU380" s="15"/>
      <c r="NVV380" s="10"/>
      <c r="NVW380" s="10"/>
      <c r="NVX380" s="21"/>
      <c r="NVY380" s="21"/>
      <c r="NWB380" s="21"/>
      <c r="NWC380" s="15"/>
      <c r="NWD380" s="15"/>
      <c r="NWE380" s="15"/>
      <c r="NWF380" s="15"/>
      <c r="NWG380" s="15"/>
      <c r="NWH380" s="15"/>
      <c r="NWI380" s="15"/>
      <c r="NWJ380" s="15"/>
      <c r="NWK380" s="15"/>
      <c r="NWL380" s="15"/>
      <c r="NWM380" s="10"/>
      <c r="NWN380" s="10"/>
      <c r="NWO380" s="21"/>
      <c r="NWP380" s="21"/>
      <c r="NWS380" s="21"/>
      <c r="NWT380" s="15"/>
      <c r="NWU380" s="15"/>
      <c r="NWV380" s="15"/>
      <c r="NWW380" s="15"/>
      <c r="NWX380" s="15"/>
      <c r="NWY380" s="15"/>
      <c r="NWZ380" s="15"/>
      <c r="NXA380" s="15"/>
      <c r="NXB380" s="15"/>
      <c r="NXC380" s="15"/>
      <c r="NXD380" s="10"/>
      <c r="NXE380" s="10"/>
      <c r="NXF380" s="21"/>
      <c r="NXG380" s="21"/>
      <c r="NXJ380" s="21"/>
      <c r="NXK380" s="15"/>
      <c r="NXL380" s="15"/>
      <c r="NXM380" s="15"/>
      <c r="NXN380" s="15"/>
      <c r="NXO380" s="15"/>
      <c r="NXP380" s="15"/>
      <c r="NXQ380" s="15"/>
      <c r="NXR380" s="15"/>
      <c r="NXS380" s="15"/>
      <c r="NXT380" s="15"/>
      <c r="NXU380" s="10"/>
      <c r="NXV380" s="10"/>
      <c r="NXW380" s="21"/>
      <c r="NXX380" s="21"/>
      <c r="NYA380" s="21"/>
      <c r="NYB380" s="15"/>
      <c r="NYC380" s="15"/>
      <c r="NYD380" s="15"/>
      <c r="NYE380" s="15"/>
      <c r="NYF380" s="15"/>
      <c r="NYG380" s="15"/>
      <c r="NYH380" s="15"/>
      <c r="NYI380" s="15"/>
      <c r="NYJ380" s="15"/>
      <c r="NYK380" s="15"/>
      <c r="NYL380" s="10"/>
      <c r="NYM380" s="10"/>
      <c r="NYN380" s="21"/>
      <c r="NYO380" s="21"/>
      <c r="NYR380" s="21"/>
      <c r="NYS380" s="15"/>
      <c r="NYT380" s="15"/>
      <c r="NYU380" s="15"/>
      <c r="NYV380" s="15"/>
      <c r="NYW380" s="15"/>
      <c r="NYX380" s="15"/>
      <c r="NYY380" s="15"/>
      <c r="NYZ380" s="15"/>
      <c r="NZA380" s="15"/>
      <c r="NZB380" s="15"/>
      <c r="NZC380" s="10"/>
      <c r="NZD380" s="10"/>
      <c r="NZE380" s="21"/>
      <c r="NZF380" s="21"/>
      <c r="NZI380" s="21"/>
      <c r="NZJ380" s="15"/>
      <c r="NZK380" s="15"/>
      <c r="NZL380" s="15"/>
      <c r="NZM380" s="15"/>
      <c r="NZN380" s="15"/>
      <c r="NZO380" s="15"/>
      <c r="NZP380" s="15"/>
      <c r="NZQ380" s="15"/>
      <c r="NZR380" s="15"/>
      <c r="NZS380" s="15"/>
      <c r="NZT380" s="10"/>
      <c r="NZU380" s="10"/>
      <c r="NZV380" s="21"/>
      <c r="NZW380" s="21"/>
      <c r="NZZ380" s="21"/>
      <c r="OAA380" s="15"/>
      <c r="OAB380" s="15"/>
      <c r="OAC380" s="15"/>
      <c r="OAD380" s="15"/>
      <c r="OAE380" s="15"/>
      <c r="OAF380" s="15"/>
      <c r="OAG380" s="15"/>
      <c r="OAH380" s="15"/>
      <c r="OAI380" s="15"/>
      <c r="OAJ380" s="15"/>
      <c r="OAK380" s="10"/>
      <c r="OAL380" s="10"/>
      <c r="OAM380" s="21"/>
      <c r="OAN380" s="21"/>
      <c r="OAQ380" s="21"/>
      <c r="OAR380" s="15"/>
      <c r="OAS380" s="15"/>
      <c r="OAT380" s="15"/>
      <c r="OAU380" s="15"/>
      <c r="OAV380" s="15"/>
      <c r="OAW380" s="15"/>
      <c r="OAX380" s="15"/>
      <c r="OAY380" s="15"/>
      <c r="OAZ380" s="15"/>
      <c r="OBA380" s="15"/>
      <c r="OBB380" s="10"/>
      <c r="OBC380" s="10"/>
      <c r="OBD380" s="21"/>
      <c r="OBE380" s="21"/>
      <c r="OBH380" s="21"/>
      <c r="OBI380" s="15"/>
      <c r="OBJ380" s="15"/>
      <c r="OBK380" s="15"/>
      <c r="OBL380" s="15"/>
      <c r="OBM380" s="15"/>
      <c r="OBN380" s="15"/>
      <c r="OBO380" s="15"/>
      <c r="OBP380" s="15"/>
      <c r="OBQ380" s="15"/>
      <c r="OBR380" s="15"/>
      <c r="OBS380" s="10"/>
      <c r="OBT380" s="10"/>
      <c r="OBU380" s="21"/>
      <c r="OBV380" s="21"/>
      <c r="OBY380" s="21"/>
      <c r="OBZ380" s="15"/>
      <c r="OCA380" s="15"/>
      <c r="OCB380" s="15"/>
      <c r="OCC380" s="15"/>
      <c r="OCD380" s="15"/>
      <c r="OCE380" s="15"/>
      <c r="OCF380" s="15"/>
      <c r="OCG380" s="15"/>
      <c r="OCH380" s="15"/>
      <c r="OCI380" s="15"/>
      <c r="OCJ380" s="10"/>
      <c r="OCK380" s="10"/>
      <c r="OCL380" s="21"/>
      <c r="OCM380" s="21"/>
      <c r="OCP380" s="21"/>
      <c r="OCQ380" s="15"/>
      <c r="OCR380" s="15"/>
      <c r="OCS380" s="15"/>
      <c r="OCT380" s="15"/>
      <c r="OCU380" s="15"/>
      <c r="OCV380" s="15"/>
      <c r="OCW380" s="15"/>
      <c r="OCX380" s="15"/>
      <c r="OCY380" s="15"/>
      <c r="OCZ380" s="15"/>
      <c r="ODA380" s="10"/>
      <c r="ODB380" s="10"/>
      <c r="ODC380" s="21"/>
      <c r="ODD380" s="21"/>
      <c r="ODG380" s="21"/>
      <c r="ODH380" s="15"/>
      <c r="ODI380" s="15"/>
      <c r="ODJ380" s="15"/>
      <c r="ODK380" s="15"/>
      <c r="ODL380" s="15"/>
      <c r="ODM380" s="15"/>
      <c r="ODN380" s="15"/>
      <c r="ODO380" s="15"/>
      <c r="ODP380" s="15"/>
      <c r="ODQ380" s="15"/>
      <c r="ODR380" s="10"/>
      <c r="ODS380" s="10"/>
      <c r="ODT380" s="21"/>
      <c r="ODU380" s="21"/>
      <c r="ODX380" s="21"/>
      <c r="ODY380" s="15"/>
      <c r="ODZ380" s="15"/>
      <c r="OEA380" s="15"/>
      <c r="OEB380" s="15"/>
      <c r="OEC380" s="15"/>
      <c r="OED380" s="15"/>
      <c r="OEE380" s="15"/>
      <c r="OEF380" s="15"/>
      <c r="OEG380" s="15"/>
      <c r="OEH380" s="15"/>
      <c r="OEI380" s="10"/>
      <c r="OEJ380" s="10"/>
      <c r="OEK380" s="21"/>
      <c r="OEL380" s="21"/>
      <c r="OEO380" s="21"/>
      <c r="OEP380" s="15"/>
      <c r="OEQ380" s="15"/>
      <c r="OER380" s="15"/>
      <c r="OES380" s="15"/>
      <c r="OET380" s="15"/>
      <c r="OEU380" s="15"/>
      <c r="OEV380" s="15"/>
      <c r="OEW380" s="15"/>
      <c r="OEX380" s="15"/>
      <c r="OEY380" s="15"/>
      <c r="OEZ380" s="10"/>
      <c r="OFA380" s="10"/>
      <c r="OFB380" s="21"/>
      <c r="OFC380" s="21"/>
      <c r="OFF380" s="21"/>
      <c r="OFG380" s="15"/>
      <c r="OFH380" s="15"/>
      <c r="OFI380" s="15"/>
      <c r="OFJ380" s="15"/>
      <c r="OFK380" s="15"/>
      <c r="OFL380" s="15"/>
      <c r="OFM380" s="15"/>
      <c r="OFN380" s="15"/>
      <c r="OFO380" s="15"/>
      <c r="OFP380" s="15"/>
      <c r="OFQ380" s="10"/>
      <c r="OFR380" s="10"/>
      <c r="OFS380" s="21"/>
      <c r="OFT380" s="21"/>
      <c r="OFW380" s="21"/>
      <c r="OFX380" s="15"/>
      <c r="OFY380" s="15"/>
      <c r="OFZ380" s="15"/>
      <c r="OGA380" s="15"/>
      <c r="OGB380" s="15"/>
      <c r="OGC380" s="15"/>
      <c r="OGD380" s="15"/>
      <c r="OGE380" s="15"/>
      <c r="OGF380" s="15"/>
      <c r="OGG380" s="15"/>
      <c r="OGH380" s="10"/>
      <c r="OGI380" s="10"/>
      <c r="OGJ380" s="21"/>
      <c r="OGK380" s="21"/>
      <c r="OGN380" s="21"/>
      <c r="OGO380" s="15"/>
      <c r="OGP380" s="15"/>
      <c r="OGQ380" s="15"/>
      <c r="OGR380" s="15"/>
      <c r="OGS380" s="15"/>
      <c r="OGT380" s="15"/>
      <c r="OGU380" s="15"/>
      <c r="OGV380" s="15"/>
      <c r="OGW380" s="15"/>
      <c r="OGX380" s="15"/>
      <c r="OGY380" s="10"/>
      <c r="OGZ380" s="10"/>
      <c r="OHA380" s="21"/>
      <c r="OHB380" s="21"/>
      <c r="OHE380" s="21"/>
      <c r="OHF380" s="15"/>
      <c r="OHG380" s="15"/>
      <c r="OHH380" s="15"/>
      <c r="OHI380" s="15"/>
      <c r="OHJ380" s="15"/>
      <c r="OHK380" s="15"/>
      <c r="OHL380" s="15"/>
      <c r="OHM380" s="15"/>
      <c r="OHN380" s="15"/>
      <c r="OHO380" s="15"/>
      <c r="OHP380" s="10"/>
      <c r="OHQ380" s="10"/>
      <c r="OHR380" s="21"/>
      <c r="OHS380" s="21"/>
      <c r="OHV380" s="21"/>
      <c r="OHW380" s="15"/>
      <c r="OHX380" s="15"/>
      <c r="OHY380" s="15"/>
      <c r="OHZ380" s="15"/>
      <c r="OIA380" s="15"/>
      <c r="OIB380" s="15"/>
      <c r="OIC380" s="15"/>
      <c r="OID380" s="15"/>
      <c r="OIE380" s="15"/>
      <c r="OIF380" s="15"/>
      <c r="OIG380" s="10"/>
      <c r="OIH380" s="10"/>
      <c r="OII380" s="21"/>
      <c r="OIJ380" s="21"/>
      <c r="OIM380" s="21"/>
      <c r="OIN380" s="15"/>
      <c r="OIO380" s="15"/>
      <c r="OIP380" s="15"/>
      <c r="OIQ380" s="15"/>
      <c r="OIR380" s="15"/>
      <c r="OIS380" s="15"/>
      <c r="OIT380" s="15"/>
      <c r="OIU380" s="15"/>
      <c r="OIV380" s="15"/>
      <c r="OIW380" s="15"/>
      <c r="OIX380" s="10"/>
      <c r="OIY380" s="10"/>
      <c r="OIZ380" s="21"/>
      <c r="OJA380" s="21"/>
      <c r="OJD380" s="21"/>
      <c r="OJE380" s="15"/>
      <c r="OJF380" s="15"/>
      <c r="OJG380" s="15"/>
      <c r="OJH380" s="15"/>
      <c r="OJI380" s="15"/>
      <c r="OJJ380" s="15"/>
      <c r="OJK380" s="15"/>
      <c r="OJL380" s="15"/>
      <c r="OJM380" s="15"/>
      <c r="OJN380" s="15"/>
      <c r="OJO380" s="10"/>
      <c r="OJP380" s="10"/>
      <c r="OJQ380" s="21"/>
      <c r="OJR380" s="21"/>
      <c r="OJU380" s="21"/>
      <c r="OJV380" s="15"/>
      <c r="OJW380" s="15"/>
      <c r="OJX380" s="15"/>
      <c r="OJY380" s="15"/>
      <c r="OJZ380" s="15"/>
      <c r="OKA380" s="15"/>
      <c r="OKB380" s="15"/>
      <c r="OKC380" s="15"/>
      <c r="OKD380" s="15"/>
      <c r="OKE380" s="15"/>
      <c r="OKF380" s="10"/>
      <c r="OKG380" s="10"/>
      <c r="OKH380" s="21"/>
      <c r="OKI380" s="21"/>
      <c r="OKL380" s="21"/>
      <c r="OKM380" s="15"/>
      <c r="OKN380" s="15"/>
      <c r="OKO380" s="15"/>
      <c r="OKP380" s="15"/>
      <c r="OKQ380" s="15"/>
      <c r="OKR380" s="15"/>
      <c r="OKS380" s="15"/>
      <c r="OKT380" s="15"/>
      <c r="OKU380" s="15"/>
      <c r="OKV380" s="15"/>
      <c r="OKW380" s="10"/>
      <c r="OKX380" s="10"/>
      <c r="OKY380" s="21"/>
      <c r="OKZ380" s="21"/>
      <c r="OLC380" s="21"/>
      <c r="OLD380" s="15"/>
      <c r="OLE380" s="15"/>
      <c r="OLF380" s="15"/>
      <c r="OLG380" s="15"/>
      <c r="OLH380" s="15"/>
      <c r="OLI380" s="15"/>
      <c r="OLJ380" s="15"/>
      <c r="OLK380" s="15"/>
      <c r="OLL380" s="15"/>
      <c r="OLM380" s="15"/>
      <c r="OLN380" s="10"/>
      <c r="OLO380" s="10"/>
      <c r="OLP380" s="21"/>
      <c r="OLQ380" s="21"/>
      <c r="OLT380" s="21"/>
      <c r="OLU380" s="15"/>
      <c r="OLV380" s="15"/>
      <c r="OLW380" s="15"/>
      <c r="OLX380" s="15"/>
      <c r="OLY380" s="15"/>
      <c r="OLZ380" s="15"/>
      <c r="OMA380" s="15"/>
      <c r="OMB380" s="15"/>
      <c r="OMC380" s="15"/>
      <c r="OMD380" s="15"/>
      <c r="OME380" s="10"/>
      <c r="OMF380" s="10"/>
      <c r="OMG380" s="21"/>
      <c r="OMH380" s="21"/>
      <c r="OMK380" s="21"/>
      <c r="OML380" s="15"/>
      <c r="OMM380" s="15"/>
      <c r="OMN380" s="15"/>
      <c r="OMO380" s="15"/>
      <c r="OMP380" s="15"/>
      <c r="OMQ380" s="15"/>
      <c r="OMR380" s="15"/>
      <c r="OMS380" s="15"/>
      <c r="OMT380" s="15"/>
      <c r="OMU380" s="15"/>
      <c r="OMV380" s="10"/>
      <c r="OMW380" s="10"/>
      <c r="OMX380" s="21"/>
      <c r="OMY380" s="21"/>
      <c r="ONB380" s="21"/>
      <c r="ONC380" s="15"/>
      <c r="OND380" s="15"/>
      <c r="ONE380" s="15"/>
      <c r="ONF380" s="15"/>
      <c r="ONG380" s="15"/>
      <c r="ONH380" s="15"/>
      <c r="ONI380" s="15"/>
      <c r="ONJ380" s="15"/>
      <c r="ONK380" s="15"/>
      <c r="ONL380" s="15"/>
      <c r="ONM380" s="10"/>
      <c r="ONN380" s="10"/>
      <c r="ONO380" s="21"/>
      <c r="ONP380" s="21"/>
      <c r="ONS380" s="21"/>
      <c r="ONT380" s="15"/>
      <c r="ONU380" s="15"/>
      <c r="ONV380" s="15"/>
      <c r="ONW380" s="15"/>
      <c r="ONX380" s="15"/>
      <c r="ONY380" s="15"/>
      <c r="ONZ380" s="15"/>
      <c r="OOA380" s="15"/>
      <c r="OOB380" s="15"/>
      <c r="OOC380" s="15"/>
      <c r="OOD380" s="10"/>
      <c r="OOE380" s="10"/>
      <c r="OOF380" s="21"/>
      <c r="OOG380" s="21"/>
      <c r="OOJ380" s="21"/>
      <c r="OOK380" s="15"/>
      <c r="OOL380" s="15"/>
      <c r="OOM380" s="15"/>
      <c r="OON380" s="15"/>
      <c r="OOO380" s="15"/>
      <c r="OOP380" s="15"/>
      <c r="OOQ380" s="15"/>
      <c r="OOR380" s="15"/>
      <c r="OOS380" s="15"/>
      <c r="OOT380" s="15"/>
      <c r="OOU380" s="10"/>
      <c r="OOV380" s="10"/>
      <c r="OOW380" s="21"/>
      <c r="OOX380" s="21"/>
      <c r="OPA380" s="21"/>
      <c r="OPB380" s="15"/>
      <c r="OPC380" s="15"/>
      <c r="OPD380" s="15"/>
      <c r="OPE380" s="15"/>
      <c r="OPF380" s="15"/>
      <c r="OPG380" s="15"/>
      <c r="OPH380" s="15"/>
      <c r="OPI380" s="15"/>
      <c r="OPJ380" s="15"/>
      <c r="OPK380" s="15"/>
      <c r="OPL380" s="10"/>
      <c r="OPM380" s="10"/>
      <c r="OPN380" s="21"/>
      <c r="OPO380" s="21"/>
      <c r="OPR380" s="21"/>
      <c r="OPS380" s="15"/>
      <c r="OPT380" s="15"/>
      <c r="OPU380" s="15"/>
      <c r="OPV380" s="15"/>
      <c r="OPW380" s="15"/>
      <c r="OPX380" s="15"/>
      <c r="OPY380" s="15"/>
      <c r="OPZ380" s="15"/>
      <c r="OQA380" s="15"/>
      <c r="OQB380" s="15"/>
      <c r="OQC380" s="10"/>
      <c r="OQD380" s="10"/>
      <c r="OQE380" s="21"/>
      <c r="OQF380" s="21"/>
      <c r="OQI380" s="21"/>
      <c r="OQJ380" s="15"/>
      <c r="OQK380" s="15"/>
      <c r="OQL380" s="15"/>
      <c r="OQM380" s="15"/>
      <c r="OQN380" s="15"/>
      <c r="OQO380" s="15"/>
      <c r="OQP380" s="15"/>
      <c r="OQQ380" s="15"/>
      <c r="OQR380" s="15"/>
      <c r="OQS380" s="15"/>
      <c r="OQT380" s="10"/>
      <c r="OQU380" s="10"/>
      <c r="OQV380" s="21"/>
      <c r="OQW380" s="21"/>
      <c r="OQZ380" s="21"/>
      <c r="ORA380" s="15"/>
      <c r="ORB380" s="15"/>
      <c r="ORC380" s="15"/>
      <c r="ORD380" s="15"/>
      <c r="ORE380" s="15"/>
      <c r="ORF380" s="15"/>
      <c r="ORG380" s="15"/>
      <c r="ORH380" s="15"/>
      <c r="ORI380" s="15"/>
      <c r="ORJ380" s="15"/>
      <c r="ORK380" s="10"/>
      <c r="ORL380" s="10"/>
      <c r="ORM380" s="21"/>
      <c r="ORN380" s="21"/>
      <c r="ORQ380" s="21"/>
      <c r="ORR380" s="15"/>
      <c r="ORS380" s="15"/>
      <c r="ORT380" s="15"/>
      <c r="ORU380" s="15"/>
      <c r="ORV380" s="15"/>
      <c r="ORW380" s="15"/>
      <c r="ORX380" s="15"/>
      <c r="ORY380" s="15"/>
      <c r="ORZ380" s="15"/>
      <c r="OSA380" s="15"/>
      <c r="OSB380" s="10"/>
      <c r="OSC380" s="10"/>
      <c r="OSD380" s="21"/>
      <c r="OSE380" s="21"/>
      <c r="OSH380" s="21"/>
      <c r="OSI380" s="15"/>
      <c r="OSJ380" s="15"/>
      <c r="OSK380" s="15"/>
      <c r="OSL380" s="15"/>
      <c r="OSM380" s="15"/>
      <c r="OSN380" s="15"/>
      <c r="OSO380" s="15"/>
      <c r="OSP380" s="15"/>
      <c r="OSQ380" s="15"/>
      <c r="OSR380" s="15"/>
      <c r="OSS380" s="10"/>
      <c r="OST380" s="10"/>
      <c r="OSU380" s="21"/>
      <c r="OSV380" s="21"/>
      <c r="OSY380" s="21"/>
      <c r="OSZ380" s="15"/>
      <c r="OTA380" s="15"/>
      <c r="OTB380" s="15"/>
      <c r="OTC380" s="15"/>
      <c r="OTD380" s="15"/>
      <c r="OTE380" s="15"/>
      <c r="OTF380" s="15"/>
      <c r="OTG380" s="15"/>
      <c r="OTH380" s="15"/>
      <c r="OTI380" s="15"/>
      <c r="OTJ380" s="10"/>
      <c r="OTK380" s="10"/>
      <c r="OTL380" s="21"/>
      <c r="OTM380" s="21"/>
      <c r="OTP380" s="21"/>
      <c r="OTQ380" s="15"/>
      <c r="OTR380" s="15"/>
      <c r="OTS380" s="15"/>
      <c r="OTT380" s="15"/>
      <c r="OTU380" s="15"/>
      <c r="OTV380" s="15"/>
      <c r="OTW380" s="15"/>
      <c r="OTX380" s="15"/>
      <c r="OTY380" s="15"/>
      <c r="OTZ380" s="15"/>
      <c r="OUA380" s="10"/>
      <c r="OUB380" s="10"/>
      <c r="OUC380" s="21"/>
      <c r="OUD380" s="21"/>
      <c r="OUG380" s="21"/>
      <c r="OUH380" s="15"/>
      <c r="OUI380" s="15"/>
      <c r="OUJ380" s="15"/>
      <c r="OUK380" s="15"/>
      <c r="OUL380" s="15"/>
      <c r="OUM380" s="15"/>
      <c r="OUN380" s="15"/>
      <c r="OUO380" s="15"/>
      <c r="OUP380" s="15"/>
      <c r="OUQ380" s="15"/>
      <c r="OUR380" s="10"/>
      <c r="OUS380" s="10"/>
      <c r="OUT380" s="21"/>
      <c r="OUU380" s="21"/>
      <c r="OUX380" s="21"/>
      <c r="OUY380" s="15"/>
      <c r="OUZ380" s="15"/>
      <c r="OVA380" s="15"/>
      <c r="OVB380" s="15"/>
      <c r="OVC380" s="15"/>
      <c r="OVD380" s="15"/>
      <c r="OVE380" s="15"/>
      <c r="OVF380" s="15"/>
      <c r="OVG380" s="15"/>
      <c r="OVH380" s="15"/>
      <c r="OVI380" s="10"/>
      <c r="OVJ380" s="10"/>
      <c r="OVK380" s="21"/>
      <c r="OVL380" s="21"/>
      <c r="OVO380" s="21"/>
      <c r="OVP380" s="15"/>
      <c r="OVQ380" s="15"/>
      <c r="OVR380" s="15"/>
      <c r="OVS380" s="15"/>
      <c r="OVT380" s="15"/>
      <c r="OVU380" s="15"/>
      <c r="OVV380" s="15"/>
      <c r="OVW380" s="15"/>
      <c r="OVX380" s="15"/>
      <c r="OVY380" s="15"/>
      <c r="OVZ380" s="10"/>
      <c r="OWA380" s="10"/>
      <c r="OWB380" s="21"/>
      <c r="OWC380" s="21"/>
      <c r="OWF380" s="21"/>
      <c r="OWG380" s="15"/>
      <c r="OWH380" s="15"/>
      <c r="OWI380" s="15"/>
      <c r="OWJ380" s="15"/>
      <c r="OWK380" s="15"/>
      <c r="OWL380" s="15"/>
      <c r="OWM380" s="15"/>
      <c r="OWN380" s="15"/>
      <c r="OWO380" s="15"/>
      <c r="OWP380" s="15"/>
      <c r="OWQ380" s="10"/>
      <c r="OWR380" s="10"/>
      <c r="OWS380" s="21"/>
      <c r="OWT380" s="21"/>
      <c r="OWW380" s="21"/>
      <c r="OWX380" s="15"/>
      <c r="OWY380" s="15"/>
      <c r="OWZ380" s="15"/>
      <c r="OXA380" s="15"/>
      <c r="OXB380" s="15"/>
      <c r="OXC380" s="15"/>
      <c r="OXD380" s="15"/>
      <c r="OXE380" s="15"/>
      <c r="OXF380" s="15"/>
      <c r="OXG380" s="15"/>
      <c r="OXH380" s="10"/>
      <c r="OXI380" s="10"/>
      <c r="OXJ380" s="21"/>
      <c r="OXK380" s="21"/>
      <c r="OXN380" s="21"/>
      <c r="OXO380" s="15"/>
      <c r="OXP380" s="15"/>
      <c r="OXQ380" s="15"/>
      <c r="OXR380" s="15"/>
      <c r="OXS380" s="15"/>
      <c r="OXT380" s="15"/>
      <c r="OXU380" s="15"/>
      <c r="OXV380" s="15"/>
      <c r="OXW380" s="15"/>
      <c r="OXX380" s="15"/>
      <c r="OXY380" s="10"/>
      <c r="OXZ380" s="10"/>
      <c r="OYA380" s="21"/>
      <c r="OYB380" s="21"/>
      <c r="OYE380" s="21"/>
      <c r="OYF380" s="15"/>
      <c r="OYG380" s="15"/>
      <c r="OYH380" s="15"/>
      <c r="OYI380" s="15"/>
      <c r="OYJ380" s="15"/>
      <c r="OYK380" s="15"/>
      <c r="OYL380" s="15"/>
      <c r="OYM380" s="15"/>
      <c r="OYN380" s="15"/>
      <c r="OYO380" s="15"/>
      <c r="OYP380" s="10"/>
      <c r="OYQ380" s="10"/>
      <c r="OYR380" s="21"/>
      <c r="OYS380" s="21"/>
      <c r="OYV380" s="21"/>
      <c r="OYW380" s="15"/>
      <c r="OYX380" s="15"/>
      <c r="OYY380" s="15"/>
      <c r="OYZ380" s="15"/>
      <c r="OZA380" s="15"/>
      <c r="OZB380" s="15"/>
      <c r="OZC380" s="15"/>
      <c r="OZD380" s="15"/>
      <c r="OZE380" s="15"/>
      <c r="OZF380" s="15"/>
      <c r="OZG380" s="10"/>
      <c r="OZH380" s="10"/>
      <c r="OZI380" s="21"/>
      <c r="OZJ380" s="21"/>
      <c r="OZM380" s="21"/>
      <c r="OZN380" s="15"/>
      <c r="OZO380" s="15"/>
      <c r="OZP380" s="15"/>
      <c r="OZQ380" s="15"/>
      <c r="OZR380" s="15"/>
      <c r="OZS380" s="15"/>
      <c r="OZT380" s="15"/>
      <c r="OZU380" s="15"/>
      <c r="OZV380" s="15"/>
      <c r="OZW380" s="15"/>
      <c r="OZX380" s="10"/>
      <c r="OZY380" s="10"/>
      <c r="OZZ380" s="21"/>
      <c r="PAA380" s="21"/>
      <c r="PAD380" s="21"/>
      <c r="PAE380" s="15"/>
      <c r="PAF380" s="15"/>
      <c r="PAG380" s="15"/>
      <c r="PAH380" s="15"/>
      <c r="PAI380" s="15"/>
      <c r="PAJ380" s="15"/>
      <c r="PAK380" s="15"/>
      <c r="PAL380" s="15"/>
      <c r="PAM380" s="15"/>
      <c r="PAN380" s="15"/>
      <c r="PAO380" s="10"/>
      <c r="PAP380" s="10"/>
      <c r="PAQ380" s="21"/>
      <c r="PAR380" s="21"/>
      <c r="PAU380" s="21"/>
      <c r="PAV380" s="15"/>
      <c r="PAW380" s="15"/>
      <c r="PAX380" s="15"/>
      <c r="PAY380" s="15"/>
      <c r="PAZ380" s="15"/>
      <c r="PBA380" s="15"/>
      <c r="PBB380" s="15"/>
      <c r="PBC380" s="15"/>
      <c r="PBD380" s="15"/>
      <c r="PBE380" s="15"/>
      <c r="PBF380" s="10"/>
      <c r="PBG380" s="10"/>
      <c r="PBH380" s="21"/>
      <c r="PBI380" s="21"/>
      <c r="PBL380" s="21"/>
      <c r="PBM380" s="15"/>
      <c r="PBN380" s="15"/>
      <c r="PBO380" s="15"/>
      <c r="PBP380" s="15"/>
      <c r="PBQ380" s="15"/>
      <c r="PBR380" s="15"/>
      <c r="PBS380" s="15"/>
      <c r="PBT380" s="15"/>
      <c r="PBU380" s="15"/>
      <c r="PBV380" s="15"/>
      <c r="PBW380" s="10"/>
      <c r="PBX380" s="10"/>
      <c r="PBY380" s="21"/>
      <c r="PBZ380" s="21"/>
      <c r="PCC380" s="21"/>
      <c r="PCD380" s="15"/>
      <c r="PCE380" s="15"/>
      <c r="PCF380" s="15"/>
      <c r="PCG380" s="15"/>
      <c r="PCH380" s="15"/>
      <c r="PCI380" s="15"/>
      <c r="PCJ380" s="15"/>
      <c r="PCK380" s="15"/>
      <c r="PCL380" s="15"/>
      <c r="PCM380" s="15"/>
      <c r="PCN380" s="10"/>
      <c r="PCO380" s="10"/>
      <c r="PCP380" s="21"/>
      <c r="PCQ380" s="21"/>
      <c r="PCT380" s="21"/>
      <c r="PCU380" s="15"/>
      <c r="PCV380" s="15"/>
      <c r="PCW380" s="15"/>
      <c r="PCX380" s="15"/>
      <c r="PCY380" s="15"/>
      <c r="PCZ380" s="15"/>
      <c r="PDA380" s="15"/>
      <c r="PDB380" s="15"/>
      <c r="PDC380" s="15"/>
      <c r="PDD380" s="15"/>
      <c r="PDE380" s="10"/>
      <c r="PDF380" s="10"/>
      <c r="PDG380" s="21"/>
      <c r="PDH380" s="21"/>
      <c r="PDK380" s="21"/>
      <c r="PDL380" s="15"/>
      <c r="PDM380" s="15"/>
      <c r="PDN380" s="15"/>
      <c r="PDO380" s="15"/>
      <c r="PDP380" s="15"/>
      <c r="PDQ380" s="15"/>
      <c r="PDR380" s="15"/>
      <c r="PDS380" s="15"/>
      <c r="PDT380" s="15"/>
      <c r="PDU380" s="15"/>
      <c r="PDV380" s="10"/>
      <c r="PDW380" s="10"/>
      <c r="PDX380" s="21"/>
      <c r="PDY380" s="21"/>
      <c r="PEB380" s="21"/>
      <c r="PEC380" s="15"/>
      <c r="PED380" s="15"/>
      <c r="PEE380" s="15"/>
      <c r="PEF380" s="15"/>
      <c r="PEG380" s="15"/>
      <c r="PEH380" s="15"/>
      <c r="PEI380" s="15"/>
      <c r="PEJ380" s="15"/>
      <c r="PEK380" s="15"/>
      <c r="PEL380" s="15"/>
      <c r="PEM380" s="10"/>
      <c r="PEN380" s="10"/>
      <c r="PEO380" s="21"/>
      <c r="PEP380" s="21"/>
      <c r="PES380" s="21"/>
      <c r="PET380" s="15"/>
      <c r="PEU380" s="15"/>
      <c r="PEV380" s="15"/>
      <c r="PEW380" s="15"/>
      <c r="PEX380" s="15"/>
      <c r="PEY380" s="15"/>
      <c r="PEZ380" s="15"/>
      <c r="PFA380" s="15"/>
      <c r="PFB380" s="15"/>
      <c r="PFC380" s="15"/>
      <c r="PFD380" s="10"/>
      <c r="PFE380" s="10"/>
      <c r="PFF380" s="21"/>
      <c r="PFG380" s="21"/>
      <c r="PFJ380" s="21"/>
      <c r="PFK380" s="15"/>
      <c r="PFL380" s="15"/>
      <c r="PFM380" s="15"/>
      <c r="PFN380" s="15"/>
      <c r="PFO380" s="15"/>
      <c r="PFP380" s="15"/>
      <c r="PFQ380" s="15"/>
      <c r="PFR380" s="15"/>
      <c r="PFS380" s="15"/>
      <c r="PFT380" s="15"/>
      <c r="PFU380" s="10"/>
      <c r="PFV380" s="10"/>
      <c r="PFW380" s="21"/>
      <c r="PFX380" s="21"/>
      <c r="PGA380" s="21"/>
      <c r="PGB380" s="15"/>
      <c r="PGC380" s="15"/>
      <c r="PGD380" s="15"/>
      <c r="PGE380" s="15"/>
      <c r="PGF380" s="15"/>
      <c r="PGG380" s="15"/>
      <c r="PGH380" s="15"/>
      <c r="PGI380" s="15"/>
      <c r="PGJ380" s="15"/>
      <c r="PGK380" s="15"/>
      <c r="PGL380" s="10"/>
      <c r="PGM380" s="10"/>
      <c r="PGN380" s="21"/>
      <c r="PGO380" s="21"/>
      <c r="PGR380" s="21"/>
      <c r="PGS380" s="15"/>
      <c r="PGT380" s="15"/>
      <c r="PGU380" s="15"/>
      <c r="PGV380" s="15"/>
      <c r="PGW380" s="15"/>
      <c r="PGX380" s="15"/>
      <c r="PGY380" s="15"/>
      <c r="PGZ380" s="15"/>
      <c r="PHA380" s="15"/>
      <c r="PHB380" s="15"/>
      <c r="PHC380" s="10"/>
      <c r="PHD380" s="10"/>
      <c r="PHE380" s="21"/>
      <c r="PHF380" s="21"/>
      <c r="PHI380" s="21"/>
      <c r="PHJ380" s="15"/>
      <c r="PHK380" s="15"/>
      <c r="PHL380" s="15"/>
      <c r="PHM380" s="15"/>
      <c r="PHN380" s="15"/>
      <c r="PHO380" s="15"/>
      <c r="PHP380" s="15"/>
      <c r="PHQ380" s="15"/>
      <c r="PHR380" s="15"/>
      <c r="PHS380" s="15"/>
      <c r="PHT380" s="10"/>
      <c r="PHU380" s="10"/>
      <c r="PHV380" s="21"/>
      <c r="PHW380" s="21"/>
      <c r="PHZ380" s="21"/>
      <c r="PIA380" s="15"/>
      <c r="PIB380" s="15"/>
      <c r="PIC380" s="15"/>
      <c r="PID380" s="15"/>
      <c r="PIE380" s="15"/>
      <c r="PIF380" s="15"/>
      <c r="PIG380" s="15"/>
      <c r="PIH380" s="15"/>
      <c r="PII380" s="15"/>
      <c r="PIJ380" s="15"/>
      <c r="PIK380" s="10"/>
      <c r="PIL380" s="10"/>
      <c r="PIM380" s="21"/>
      <c r="PIN380" s="21"/>
      <c r="PIQ380" s="21"/>
      <c r="PIR380" s="15"/>
      <c r="PIS380" s="15"/>
      <c r="PIT380" s="15"/>
      <c r="PIU380" s="15"/>
      <c r="PIV380" s="15"/>
      <c r="PIW380" s="15"/>
      <c r="PIX380" s="15"/>
      <c r="PIY380" s="15"/>
      <c r="PIZ380" s="15"/>
      <c r="PJA380" s="15"/>
      <c r="PJB380" s="10"/>
      <c r="PJC380" s="10"/>
      <c r="PJD380" s="21"/>
      <c r="PJE380" s="21"/>
      <c r="PJH380" s="21"/>
      <c r="PJI380" s="15"/>
      <c r="PJJ380" s="15"/>
      <c r="PJK380" s="15"/>
      <c r="PJL380" s="15"/>
      <c r="PJM380" s="15"/>
      <c r="PJN380" s="15"/>
      <c r="PJO380" s="15"/>
      <c r="PJP380" s="15"/>
      <c r="PJQ380" s="15"/>
      <c r="PJR380" s="15"/>
      <c r="PJS380" s="10"/>
      <c r="PJT380" s="10"/>
      <c r="PJU380" s="21"/>
      <c r="PJV380" s="21"/>
      <c r="PJY380" s="21"/>
      <c r="PJZ380" s="15"/>
      <c r="PKA380" s="15"/>
      <c r="PKB380" s="15"/>
      <c r="PKC380" s="15"/>
      <c r="PKD380" s="15"/>
      <c r="PKE380" s="15"/>
      <c r="PKF380" s="15"/>
      <c r="PKG380" s="15"/>
      <c r="PKH380" s="15"/>
      <c r="PKI380" s="15"/>
      <c r="PKJ380" s="10"/>
      <c r="PKK380" s="10"/>
      <c r="PKL380" s="21"/>
      <c r="PKM380" s="21"/>
      <c r="PKP380" s="21"/>
      <c r="PKQ380" s="15"/>
      <c r="PKR380" s="15"/>
      <c r="PKS380" s="15"/>
      <c r="PKT380" s="15"/>
      <c r="PKU380" s="15"/>
      <c r="PKV380" s="15"/>
      <c r="PKW380" s="15"/>
      <c r="PKX380" s="15"/>
      <c r="PKY380" s="15"/>
      <c r="PKZ380" s="15"/>
      <c r="PLA380" s="10"/>
      <c r="PLB380" s="10"/>
      <c r="PLC380" s="21"/>
      <c r="PLD380" s="21"/>
      <c r="PLG380" s="21"/>
      <c r="PLH380" s="15"/>
      <c r="PLI380" s="15"/>
      <c r="PLJ380" s="15"/>
      <c r="PLK380" s="15"/>
      <c r="PLL380" s="15"/>
      <c r="PLM380" s="15"/>
      <c r="PLN380" s="15"/>
      <c r="PLO380" s="15"/>
      <c r="PLP380" s="15"/>
      <c r="PLQ380" s="15"/>
      <c r="PLR380" s="10"/>
      <c r="PLS380" s="10"/>
      <c r="PLT380" s="21"/>
      <c r="PLU380" s="21"/>
      <c r="PLX380" s="21"/>
      <c r="PLY380" s="15"/>
      <c r="PLZ380" s="15"/>
      <c r="PMA380" s="15"/>
      <c r="PMB380" s="15"/>
      <c r="PMC380" s="15"/>
      <c r="PMD380" s="15"/>
      <c r="PME380" s="15"/>
      <c r="PMF380" s="15"/>
      <c r="PMG380" s="15"/>
      <c r="PMH380" s="15"/>
      <c r="PMI380" s="10"/>
      <c r="PMJ380" s="10"/>
      <c r="PMK380" s="21"/>
      <c r="PML380" s="21"/>
      <c r="PMO380" s="21"/>
      <c r="PMP380" s="15"/>
      <c r="PMQ380" s="15"/>
      <c r="PMR380" s="15"/>
      <c r="PMS380" s="15"/>
      <c r="PMT380" s="15"/>
      <c r="PMU380" s="15"/>
      <c r="PMV380" s="15"/>
      <c r="PMW380" s="15"/>
      <c r="PMX380" s="15"/>
      <c r="PMY380" s="15"/>
      <c r="PMZ380" s="10"/>
      <c r="PNA380" s="10"/>
      <c r="PNB380" s="21"/>
      <c r="PNC380" s="21"/>
      <c r="PNF380" s="21"/>
      <c r="PNG380" s="15"/>
      <c r="PNH380" s="15"/>
      <c r="PNI380" s="15"/>
      <c r="PNJ380" s="15"/>
      <c r="PNK380" s="15"/>
      <c r="PNL380" s="15"/>
      <c r="PNM380" s="15"/>
      <c r="PNN380" s="15"/>
      <c r="PNO380" s="15"/>
      <c r="PNP380" s="15"/>
      <c r="PNQ380" s="10"/>
      <c r="PNR380" s="10"/>
      <c r="PNS380" s="21"/>
      <c r="PNT380" s="21"/>
      <c r="PNW380" s="21"/>
      <c r="PNX380" s="15"/>
      <c r="PNY380" s="15"/>
      <c r="PNZ380" s="15"/>
      <c r="POA380" s="15"/>
      <c r="POB380" s="15"/>
      <c r="POC380" s="15"/>
      <c r="POD380" s="15"/>
      <c r="POE380" s="15"/>
      <c r="POF380" s="15"/>
      <c r="POG380" s="15"/>
      <c r="POH380" s="10"/>
      <c r="POI380" s="10"/>
      <c r="POJ380" s="21"/>
      <c r="POK380" s="21"/>
      <c r="PON380" s="21"/>
      <c r="POO380" s="15"/>
      <c r="POP380" s="15"/>
      <c r="POQ380" s="15"/>
      <c r="POR380" s="15"/>
      <c r="POS380" s="15"/>
      <c r="POT380" s="15"/>
      <c r="POU380" s="15"/>
      <c r="POV380" s="15"/>
      <c r="POW380" s="15"/>
      <c r="POX380" s="15"/>
      <c r="POY380" s="10"/>
      <c r="POZ380" s="10"/>
      <c r="PPA380" s="21"/>
      <c r="PPB380" s="21"/>
      <c r="PPE380" s="21"/>
      <c r="PPF380" s="15"/>
      <c r="PPG380" s="15"/>
      <c r="PPH380" s="15"/>
      <c r="PPI380" s="15"/>
      <c r="PPJ380" s="15"/>
      <c r="PPK380" s="15"/>
      <c r="PPL380" s="15"/>
      <c r="PPM380" s="15"/>
      <c r="PPN380" s="15"/>
      <c r="PPO380" s="15"/>
      <c r="PPP380" s="10"/>
      <c r="PPQ380" s="10"/>
      <c r="PPR380" s="21"/>
      <c r="PPS380" s="21"/>
      <c r="PPV380" s="21"/>
      <c r="PPW380" s="15"/>
      <c r="PPX380" s="15"/>
      <c r="PPY380" s="15"/>
      <c r="PPZ380" s="15"/>
      <c r="PQA380" s="15"/>
      <c r="PQB380" s="15"/>
      <c r="PQC380" s="15"/>
      <c r="PQD380" s="15"/>
      <c r="PQE380" s="15"/>
      <c r="PQF380" s="15"/>
      <c r="PQG380" s="10"/>
      <c r="PQH380" s="10"/>
      <c r="PQI380" s="21"/>
      <c r="PQJ380" s="21"/>
      <c r="PQM380" s="21"/>
      <c r="PQN380" s="15"/>
      <c r="PQO380" s="15"/>
      <c r="PQP380" s="15"/>
      <c r="PQQ380" s="15"/>
      <c r="PQR380" s="15"/>
      <c r="PQS380" s="15"/>
      <c r="PQT380" s="15"/>
      <c r="PQU380" s="15"/>
      <c r="PQV380" s="15"/>
      <c r="PQW380" s="15"/>
      <c r="PQX380" s="10"/>
      <c r="PQY380" s="10"/>
      <c r="PQZ380" s="21"/>
      <c r="PRA380" s="21"/>
      <c r="PRD380" s="21"/>
      <c r="PRE380" s="15"/>
      <c r="PRF380" s="15"/>
      <c r="PRG380" s="15"/>
      <c r="PRH380" s="15"/>
      <c r="PRI380" s="15"/>
      <c r="PRJ380" s="15"/>
      <c r="PRK380" s="15"/>
      <c r="PRL380" s="15"/>
      <c r="PRM380" s="15"/>
      <c r="PRN380" s="15"/>
      <c r="PRO380" s="10"/>
      <c r="PRP380" s="10"/>
      <c r="PRQ380" s="21"/>
      <c r="PRR380" s="21"/>
      <c r="PRU380" s="21"/>
      <c r="PRV380" s="15"/>
      <c r="PRW380" s="15"/>
      <c r="PRX380" s="15"/>
      <c r="PRY380" s="15"/>
      <c r="PRZ380" s="15"/>
      <c r="PSA380" s="15"/>
      <c r="PSB380" s="15"/>
      <c r="PSC380" s="15"/>
      <c r="PSD380" s="15"/>
      <c r="PSE380" s="15"/>
      <c r="PSF380" s="10"/>
      <c r="PSG380" s="10"/>
      <c r="PSH380" s="21"/>
      <c r="PSI380" s="21"/>
      <c r="PSL380" s="21"/>
      <c r="PSM380" s="15"/>
      <c r="PSN380" s="15"/>
      <c r="PSO380" s="15"/>
      <c r="PSP380" s="15"/>
      <c r="PSQ380" s="15"/>
      <c r="PSR380" s="15"/>
      <c r="PSS380" s="15"/>
      <c r="PST380" s="15"/>
      <c r="PSU380" s="15"/>
      <c r="PSV380" s="15"/>
      <c r="PSW380" s="10"/>
      <c r="PSX380" s="10"/>
      <c r="PSY380" s="21"/>
      <c r="PSZ380" s="21"/>
      <c r="PTC380" s="21"/>
      <c r="PTD380" s="15"/>
      <c r="PTE380" s="15"/>
      <c r="PTF380" s="15"/>
      <c r="PTG380" s="15"/>
      <c r="PTH380" s="15"/>
      <c r="PTI380" s="15"/>
      <c r="PTJ380" s="15"/>
      <c r="PTK380" s="15"/>
      <c r="PTL380" s="15"/>
      <c r="PTM380" s="15"/>
      <c r="PTN380" s="10"/>
      <c r="PTO380" s="10"/>
      <c r="PTP380" s="21"/>
      <c r="PTQ380" s="21"/>
      <c r="PTT380" s="21"/>
      <c r="PTU380" s="15"/>
      <c r="PTV380" s="15"/>
      <c r="PTW380" s="15"/>
      <c r="PTX380" s="15"/>
      <c r="PTY380" s="15"/>
      <c r="PTZ380" s="15"/>
      <c r="PUA380" s="15"/>
      <c r="PUB380" s="15"/>
      <c r="PUC380" s="15"/>
      <c r="PUD380" s="15"/>
      <c r="PUE380" s="10"/>
      <c r="PUF380" s="10"/>
      <c r="PUG380" s="21"/>
      <c r="PUH380" s="21"/>
      <c r="PUK380" s="21"/>
      <c r="PUL380" s="15"/>
      <c r="PUM380" s="15"/>
      <c r="PUN380" s="15"/>
      <c r="PUO380" s="15"/>
      <c r="PUP380" s="15"/>
      <c r="PUQ380" s="15"/>
      <c r="PUR380" s="15"/>
      <c r="PUS380" s="15"/>
      <c r="PUT380" s="15"/>
      <c r="PUU380" s="15"/>
      <c r="PUV380" s="10"/>
      <c r="PUW380" s="10"/>
      <c r="PUX380" s="21"/>
      <c r="PUY380" s="21"/>
      <c r="PVB380" s="21"/>
      <c r="PVC380" s="15"/>
      <c r="PVD380" s="15"/>
      <c r="PVE380" s="15"/>
      <c r="PVF380" s="15"/>
      <c r="PVG380" s="15"/>
      <c r="PVH380" s="15"/>
      <c r="PVI380" s="15"/>
      <c r="PVJ380" s="15"/>
      <c r="PVK380" s="15"/>
      <c r="PVL380" s="15"/>
      <c r="PVM380" s="10"/>
      <c r="PVN380" s="10"/>
      <c r="PVO380" s="21"/>
      <c r="PVP380" s="21"/>
      <c r="PVS380" s="21"/>
      <c r="PVT380" s="15"/>
      <c r="PVU380" s="15"/>
      <c r="PVV380" s="15"/>
      <c r="PVW380" s="15"/>
      <c r="PVX380" s="15"/>
      <c r="PVY380" s="15"/>
      <c r="PVZ380" s="15"/>
      <c r="PWA380" s="15"/>
      <c r="PWB380" s="15"/>
      <c r="PWC380" s="15"/>
      <c r="PWD380" s="10"/>
      <c r="PWE380" s="10"/>
      <c r="PWF380" s="21"/>
      <c r="PWG380" s="21"/>
      <c r="PWJ380" s="21"/>
      <c r="PWK380" s="15"/>
      <c r="PWL380" s="15"/>
      <c r="PWM380" s="15"/>
      <c r="PWN380" s="15"/>
      <c r="PWO380" s="15"/>
      <c r="PWP380" s="15"/>
      <c r="PWQ380" s="15"/>
      <c r="PWR380" s="15"/>
      <c r="PWS380" s="15"/>
      <c r="PWT380" s="15"/>
      <c r="PWU380" s="10"/>
      <c r="PWV380" s="10"/>
      <c r="PWW380" s="21"/>
      <c r="PWX380" s="21"/>
      <c r="PXA380" s="21"/>
      <c r="PXB380" s="15"/>
      <c r="PXC380" s="15"/>
      <c r="PXD380" s="15"/>
      <c r="PXE380" s="15"/>
      <c r="PXF380" s="15"/>
      <c r="PXG380" s="15"/>
      <c r="PXH380" s="15"/>
      <c r="PXI380" s="15"/>
      <c r="PXJ380" s="15"/>
      <c r="PXK380" s="15"/>
      <c r="PXL380" s="10"/>
      <c r="PXM380" s="10"/>
      <c r="PXN380" s="21"/>
      <c r="PXO380" s="21"/>
      <c r="PXR380" s="21"/>
      <c r="PXS380" s="15"/>
      <c r="PXT380" s="15"/>
      <c r="PXU380" s="15"/>
      <c r="PXV380" s="15"/>
      <c r="PXW380" s="15"/>
      <c r="PXX380" s="15"/>
      <c r="PXY380" s="15"/>
      <c r="PXZ380" s="15"/>
      <c r="PYA380" s="15"/>
      <c r="PYB380" s="15"/>
      <c r="PYC380" s="10"/>
      <c r="PYD380" s="10"/>
      <c r="PYE380" s="21"/>
      <c r="PYF380" s="21"/>
      <c r="PYI380" s="21"/>
      <c r="PYJ380" s="15"/>
      <c r="PYK380" s="15"/>
      <c r="PYL380" s="15"/>
      <c r="PYM380" s="15"/>
      <c r="PYN380" s="15"/>
      <c r="PYO380" s="15"/>
      <c r="PYP380" s="15"/>
      <c r="PYQ380" s="15"/>
      <c r="PYR380" s="15"/>
      <c r="PYS380" s="15"/>
      <c r="PYT380" s="10"/>
      <c r="PYU380" s="10"/>
      <c r="PYV380" s="21"/>
      <c r="PYW380" s="21"/>
      <c r="PYZ380" s="21"/>
      <c r="PZA380" s="15"/>
      <c r="PZB380" s="15"/>
      <c r="PZC380" s="15"/>
      <c r="PZD380" s="15"/>
      <c r="PZE380" s="15"/>
      <c r="PZF380" s="15"/>
      <c r="PZG380" s="15"/>
      <c r="PZH380" s="15"/>
      <c r="PZI380" s="15"/>
      <c r="PZJ380" s="15"/>
      <c r="PZK380" s="10"/>
      <c r="PZL380" s="10"/>
      <c r="PZM380" s="21"/>
      <c r="PZN380" s="21"/>
      <c r="PZQ380" s="21"/>
      <c r="PZR380" s="15"/>
      <c r="PZS380" s="15"/>
      <c r="PZT380" s="15"/>
      <c r="PZU380" s="15"/>
      <c r="PZV380" s="15"/>
      <c r="PZW380" s="15"/>
      <c r="PZX380" s="15"/>
      <c r="PZY380" s="15"/>
      <c r="PZZ380" s="15"/>
      <c r="QAA380" s="15"/>
      <c r="QAB380" s="10"/>
      <c r="QAC380" s="10"/>
      <c r="QAD380" s="21"/>
      <c r="QAE380" s="21"/>
      <c r="QAH380" s="21"/>
      <c r="QAI380" s="15"/>
      <c r="QAJ380" s="15"/>
      <c r="QAK380" s="15"/>
      <c r="QAL380" s="15"/>
      <c r="QAM380" s="15"/>
      <c r="QAN380" s="15"/>
      <c r="QAO380" s="15"/>
      <c r="QAP380" s="15"/>
      <c r="QAQ380" s="15"/>
      <c r="QAR380" s="15"/>
      <c r="QAS380" s="10"/>
      <c r="QAT380" s="10"/>
      <c r="QAU380" s="21"/>
      <c r="QAV380" s="21"/>
      <c r="QAY380" s="21"/>
      <c r="QAZ380" s="15"/>
      <c r="QBA380" s="15"/>
      <c r="QBB380" s="15"/>
      <c r="QBC380" s="15"/>
      <c r="QBD380" s="15"/>
      <c r="QBE380" s="15"/>
      <c r="QBF380" s="15"/>
      <c r="QBG380" s="15"/>
      <c r="QBH380" s="15"/>
      <c r="QBI380" s="15"/>
      <c r="QBJ380" s="10"/>
      <c r="QBK380" s="10"/>
      <c r="QBL380" s="21"/>
      <c r="QBM380" s="21"/>
      <c r="QBP380" s="21"/>
      <c r="QBQ380" s="15"/>
      <c r="QBR380" s="15"/>
      <c r="QBS380" s="15"/>
      <c r="QBT380" s="15"/>
      <c r="QBU380" s="15"/>
      <c r="QBV380" s="15"/>
      <c r="QBW380" s="15"/>
      <c r="QBX380" s="15"/>
      <c r="QBY380" s="15"/>
      <c r="QBZ380" s="15"/>
      <c r="QCA380" s="10"/>
      <c r="QCB380" s="10"/>
      <c r="QCC380" s="21"/>
      <c r="QCD380" s="21"/>
      <c r="QCG380" s="21"/>
      <c r="QCH380" s="15"/>
      <c r="QCI380" s="15"/>
      <c r="QCJ380" s="15"/>
      <c r="QCK380" s="15"/>
      <c r="QCL380" s="15"/>
      <c r="QCM380" s="15"/>
      <c r="QCN380" s="15"/>
      <c r="QCO380" s="15"/>
      <c r="QCP380" s="15"/>
      <c r="QCQ380" s="15"/>
      <c r="QCR380" s="10"/>
      <c r="QCS380" s="10"/>
      <c r="QCT380" s="21"/>
      <c r="QCU380" s="21"/>
      <c r="QCX380" s="21"/>
      <c r="QCY380" s="15"/>
      <c r="QCZ380" s="15"/>
      <c r="QDA380" s="15"/>
      <c r="QDB380" s="15"/>
      <c r="QDC380" s="15"/>
      <c r="QDD380" s="15"/>
      <c r="QDE380" s="15"/>
      <c r="QDF380" s="15"/>
      <c r="QDG380" s="15"/>
      <c r="QDH380" s="15"/>
      <c r="QDI380" s="10"/>
      <c r="QDJ380" s="10"/>
      <c r="QDK380" s="21"/>
      <c r="QDL380" s="21"/>
      <c r="QDO380" s="21"/>
      <c r="QDP380" s="15"/>
      <c r="QDQ380" s="15"/>
      <c r="QDR380" s="15"/>
      <c r="QDS380" s="15"/>
      <c r="QDT380" s="15"/>
      <c r="QDU380" s="15"/>
      <c r="QDV380" s="15"/>
      <c r="QDW380" s="15"/>
      <c r="QDX380" s="15"/>
      <c r="QDY380" s="15"/>
      <c r="QDZ380" s="10"/>
      <c r="QEA380" s="10"/>
      <c r="QEB380" s="21"/>
      <c r="QEC380" s="21"/>
      <c r="QEF380" s="21"/>
      <c r="QEG380" s="15"/>
      <c r="QEH380" s="15"/>
      <c r="QEI380" s="15"/>
      <c r="QEJ380" s="15"/>
      <c r="QEK380" s="15"/>
      <c r="QEL380" s="15"/>
      <c r="QEM380" s="15"/>
      <c r="QEN380" s="15"/>
      <c r="QEO380" s="15"/>
      <c r="QEP380" s="15"/>
      <c r="QEQ380" s="10"/>
      <c r="QER380" s="10"/>
      <c r="QES380" s="21"/>
      <c r="QET380" s="21"/>
      <c r="QEW380" s="21"/>
      <c r="QEX380" s="15"/>
      <c r="QEY380" s="15"/>
      <c r="QEZ380" s="15"/>
      <c r="QFA380" s="15"/>
      <c r="QFB380" s="15"/>
      <c r="QFC380" s="15"/>
      <c r="QFD380" s="15"/>
      <c r="QFE380" s="15"/>
      <c r="QFF380" s="15"/>
      <c r="QFG380" s="15"/>
      <c r="QFH380" s="10"/>
      <c r="QFI380" s="10"/>
      <c r="QFJ380" s="21"/>
      <c r="QFK380" s="21"/>
      <c r="QFN380" s="21"/>
      <c r="QFO380" s="15"/>
      <c r="QFP380" s="15"/>
      <c r="QFQ380" s="15"/>
      <c r="QFR380" s="15"/>
      <c r="QFS380" s="15"/>
      <c r="QFT380" s="15"/>
      <c r="QFU380" s="15"/>
      <c r="QFV380" s="15"/>
      <c r="QFW380" s="15"/>
      <c r="QFX380" s="15"/>
      <c r="QFY380" s="10"/>
      <c r="QFZ380" s="10"/>
      <c r="QGA380" s="21"/>
      <c r="QGB380" s="21"/>
      <c r="QGE380" s="21"/>
      <c r="QGF380" s="15"/>
      <c r="QGG380" s="15"/>
      <c r="QGH380" s="15"/>
      <c r="QGI380" s="15"/>
      <c r="QGJ380" s="15"/>
      <c r="QGK380" s="15"/>
      <c r="QGL380" s="15"/>
      <c r="QGM380" s="15"/>
      <c r="QGN380" s="15"/>
      <c r="QGO380" s="15"/>
      <c r="QGP380" s="10"/>
      <c r="QGQ380" s="10"/>
      <c r="QGR380" s="21"/>
      <c r="QGS380" s="21"/>
      <c r="QGV380" s="21"/>
      <c r="QGW380" s="15"/>
      <c r="QGX380" s="15"/>
      <c r="QGY380" s="15"/>
      <c r="QGZ380" s="15"/>
      <c r="QHA380" s="15"/>
      <c r="QHB380" s="15"/>
      <c r="QHC380" s="15"/>
      <c r="QHD380" s="15"/>
      <c r="QHE380" s="15"/>
      <c r="QHF380" s="15"/>
      <c r="QHG380" s="10"/>
      <c r="QHH380" s="10"/>
      <c r="QHI380" s="21"/>
      <c r="QHJ380" s="21"/>
      <c r="QHM380" s="21"/>
      <c r="QHN380" s="15"/>
      <c r="QHO380" s="15"/>
      <c r="QHP380" s="15"/>
      <c r="QHQ380" s="15"/>
      <c r="QHR380" s="15"/>
      <c r="QHS380" s="15"/>
      <c r="QHT380" s="15"/>
      <c r="QHU380" s="15"/>
      <c r="QHV380" s="15"/>
      <c r="QHW380" s="15"/>
      <c r="QHX380" s="10"/>
      <c r="QHY380" s="10"/>
      <c r="QHZ380" s="21"/>
      <c r="QIA380" s="21"/>
      <c r="QID380" s="21"/>
      <c r="QIE380" s="15"/>
      <c r="QIF380" s="15"/>
      <c r="QIG380" s="15"/>
      <c r="QIH380" s="15"/>
      <c r="QII380" s="15"/>
      <c r="QIJ380" s="15"/>
      <c r="QIK380" s="15"/>
      <c r="QIL380" s="15"/>
      <c r="QIM380" s="15"/>
      <c r="QIN380" s="15"/>
      <c r="QIO380" s="10"/>
      <c r="QIP380" s="10"/>
      <c r="QIQ380" s="21"/>
      <c r="QIR380" s="21"/>
      <c r="QIU380" s="21"/>
      <c r="QIV380" s="15"/>
      <c r="QIW380" s="15"/>
      <c r="QIX380" s="15"/>
      <c r="QIY380" s="15"/>
      <c r="QIZ380" s="15"/>
      <c r="QJA380" s="15"/>
      <c r="QJB380" s="15"/>
      <c r="QJC380" s="15"/>
      <c r="QJD380" s="15"/>
      <c r="QJE380" s="15"/>
      <c r="QJF380" s="10"/>
      <c r="QJG380" s="10"/>
      <c r="QJH380" s="21"/>
      <c r="QJI380" s="21"/>
      <c r="QJL380" s="21"/>
      <c r="QJM380" s="15"/>
      <c r="QJN380" s="15"/>
      <c r="QJO380" s="15"/>
      <c r="QJP380" s="15"/>
      <c r="QJQ380" s="15"/>
      <c r="QJR380" s="15"/>
      <c r="QJS380" s="15"/>
      <c r="QJT380" s="15"/>
      <c r="QJU380" s="15"/>
      <c r="QJV380" s="15"/>
      <c r="QJW380" s="10"/>
      <c r="QJX380" s="10"/>
      <c r="QJY380" s="21"/>
      <c r="QJZ380" s="21"/>
      <c r="QKC380" s="21"/>
      <c r="QKD380" s="15"/>
      <c r="QKE380" s="15"/>
      <c r="QKF380" s="15"/>
      <c r="QKG380" s="15"/>
      <c r="QKH380" s="15"/>
      <c r="QKI380" s="15"/>
      <c r="QKJ380" s="15"/>
      <c r="QKK380" s="15"/>
      <c r="QKL380" s="15"/>
      <c r="QKM380" s="15"/>
      <c r="QKN380" s="10"/>
      <c r="QKO380" s="10"/>
      <c r="QKP380" s="21"/>
      <c r="QKQ380" s="21"/>
      <c r="QKT380" s="21"/>
      <c r="QKU380" s="15"/>
      <c r="QKV380" s="15"/>
      <c r="QKW380" s="15"/>
      <c r="QKX380" s="15"/>
      <c r="QKY380" s="15"/>
      <c r="QKZ380" s="15"/>
      <c r="QLA380" s="15"/>
      <c r="QLB380" s="15"/>
      <c r="QLC380" s="15"/>
      <c r="QLD380" s="15"/>
      <c r="QLE380" s="10"/>
      <c r="QLF380" s="10"/>
      <c r="QLG380" s="21"/>
      <c r="QLH380" s="21"/>
      <c r="QLK380" s="21"/>
      <c r="QLL380" s="15"/>
      <c r="QLM380" s="15"/>
      <c r="QLN380" s="15"/>
      <c r="QLO380" s="15"/>
      <c r="QLP380" s="15"/>
      <c r="QLQ380" s="15"/>
      <c r="QLR380" s="15"/>
      <c r="QLS380" s="15"/>
      <c r="QLT380" s="15"/>
      <c r="QLU380" s="15"/>
      <c r="QLV380" s="10"/>
      <c r="QLW380" s="10"/>
      <c r="QLX380" s="21"/>
      <c r="QLY380" s="21"/>
      <c r="QMB380" s="21"/>
      <c r="QMC380" s="15"/>
      <c r="QMD380" s="15"/>
      <c r="QME380" s="15"/>
      <c r="QMF380" s="15"/>
      <c r="QMG380" s="15"/>
      <c r="QMH380" s="15"/>
      <c r="QMI380" s="15"/>
      <c r="QMJ380" s="15"/>
      <c r="QMK380" s="15"/>
      <c r="QML380" s="15"/>
      <c r="QMM380" s="10"/>
      <c r="QMN380" s="10"/>
      <c r="QMO380" s="21"/>
      <c r="QMP380" s="21"/>
      <c r="QMS380" s="21"/>
      <c r="QMT380" s="15"/>
      <c r="QMU380" s="15"/>
      <c r="QMV380" s="15"/>
      <c r="QMW380" s="15"/>
      <c r="QMX380" s="15"/>
      <c r="QMY380" s="15"/>
      <c r="QMZ380" s="15"/>
      <c r="QNA380" s="15"/>
      <c r="QNB380" s="15"/>
      <c r="QNC380" s="15"/>
      <c r="QND380" s="10"/>
      <c r="QNE380" s="10"/>
      <c r="QNF380" s="21"/>
      <c r="QNG380" s="21"/>
      <c r="QNJ380" s="21"/>
      <c r="QNK380" s="15"/>
      <c r="QNL380" s="15"/>
      <c r="QNM380" s="15"/>
      <c r="QNN380" s="15"/>
      <c r="QNO380" s="15"/>
      <c r="QNP380" s="15"/>
      <c r="QNQ380" s="15"/>
      <c r="QNR380" s="15"/>
      <c r="QNS380" s="15"/>
      <c r="QNT380" s="15"/>
      <c r="QNU380" s="10"/>
      <c r="QNV380" s="10"/>
      <c r="QNW380" s="21"/>
      <c r="QNX380" s="21"/>
      <c r="QOA380" s="21"/>
      <c r="QOB380" s="15"/>
      <c r="QOC380" s="15"/>
      <c r="QOD380" s="15"/>
      <c r="QOE380" s="15"/>
      <c r="QOF380" s="15"/>
      <c r="QOG380" s="15"/>
      <c r="QOH380" s="15"/>
      <c r="QOI380" s="15"/>
      <c r="QOJ380" s="15"/>
      <c r="QOK380" s="15"/>
      <c r="QOL380" s="10"/>
      <c r="QOM380" s="10"/>
      <c r="QON380" s="21"/>
      <c r="QOO380" s="21"/>
      <c r="QOR380" s="21"/>
      <c r="QOS380" s="15"/>
      <c r="QOT380" s="15"/>
      <c r="QOU380" s="15"/>
      <c r="QOV380" s="15"/>
      <c r="QOW380" s="15"/>
      <c r="QOX380" s="15"/>
      <c r="QOY380" s="15"/>
      <c r="QOZ380" s="15"/>
      <c r="QPA380" s="15"/>
      <c r="QPB380" s="15"/>
      <c r="QPC380" s="10"/>
      <c r="QPD380" s="10"/>
      <c r="QPE380" s="21"/>
      <c r="QPF380" s="21"/>
      <c r="QPI380" s="21"/>
      <c r="QPJ380" s="15"/>
      <c r="QPK380" s="15"/>
      <c r="QPL380" s="15"/>
      <c r="QPM380" s="15"/>
      <c r="QPN380" s="15"/>
      <c r="QPO380" s="15"/>
      <c r="QPP380" s="15"/>
      <c r="QPQ380" s="15"/>
      <c r="QPR380" s="15"/>
      <c r="QPS380" s="15"/>
      <c r="QPT380" s="10"/>
      <c r="QPU380" s="10"/>
      <c r="QPV380" s="21"/>
      <c r="QPW380" s="21"/>
      <c r="QPZ380" s="21"/>
      <c r="QQA380" s="15"/>
      <c r="QQB380" s="15"/>
      <c r="QQC380" s="15"/>
      <c r="QQD380" s="15"/>
      <c r="QQE380" s="15"/>
      <c r="QQF380" s="15"/>
      <c r="QQG380" s="15"/>
      <c r="QQH380" s="15"/>
      <c r="QQI380" s="15"/>
      <c r="QQJ380" s="15"/>
      <c r="QQK380" s="10"/>
      <c r="QQL380" s="10"/>
      <c r="QQM380" s="21"/>
      <c r="QQN380" s="21"/>
      <c r="QQQ380" s="21"/>
      <c r="QQR380" s="15"/>
      <c r="QQS380" s="15"/>
      <c r="QQT380" s="15"/>
      <c r="QQU380" s="15"/>
      <c r="QQV380" s="15"/>
      <c r="QQW380" s="15"/>
      <c r="QQX380" s="15"/>
      <c r="QQY380" s="15"/>
      <c r="QQZ380" s="15"/>
      <c r="QRA380" s="15"/>
      <c r="QRB380" s="10"/>
      <c r="QRC380" s="10"/>
      <c r="QRD380" s="21"/>
      <c r="QRE380" s="21"/>
      <c r="QRH380" s="21"/>
      <c r="QRI380" s="15"/>
      <c r="QRJ380" s="15"/>
      <c r="QRK380" s="15"/>
      <c r="QRL380" s="15"/>
      <c r="QRM380" s="15"/>
      <c r="QRN380" s="15"/>
      <c r="QRO380" s="15"/>
      <c r="QRP380" s="15"/>
      <c r="QRQ380" s="15"/>
      <c r="QRR380" s="15"/>
      <c r="QRS380" s="10"/>
      <c r="QRT380" s="10"/>
      <c r="QRU380" s="21"/>
      <c r="QRV380" s="21"/>
      <c r="QRY380" s="21"/>
      <c r="QRZ380" s="15"/>
      <c r="QSA380" s="15"/>
      <c r="QSB380" s="15"/>
      <c r="QSC380" s="15"/>
      <c r="QSD380" s="15"/>
      <c r="QSE380" s="15"/>
      <c r="QSF380" s="15"/>
      <c r="QSG380" s="15"/>
      <c r="QSH380" s="15"/>
      <c r="QSI380" s="15"/>
      <c r="QSJ380" s="10"/>
      <c r="QSK380" s="10"/>
      <c r="QSL380" s="21"/>
      <c r="QSM380" s="21"/>
      <c r="QSP380" s="21"/>
      <c r="QSQ380" s="15"/>
      <c r="QSR380" s="15"/>
      <c r="QSS380" s="15"/>
      <c r="QST380" s="15"/>
      <c r="QSU380" s="15"/>
      <c r="QSV380" s="15"/>
      <c r="QSW380" s="15"/>
      <c r="QSX380" s="15"/>
      <c r="QSY380" s="15"/>
      <c r="QSZ380" s="15"/>
      <c r="QTA380" s="10"/>
      <c r="QTB380" s="10"/>
      <c r="QTC380" s="21"/>
      <c r="QTD380" s="21"/>
      <c r="QTG380" s="21"/>
      <c r="QTH380" s="15"/>
      <c r="QTI380" s="15"/>
      <c r="QTJ380" s="15"/>
      <c r="QTK380" s="15"/>
      <c r="QTL380" s="15"/>
      <c r="QTM380" s="15"/>
      <c r="QTN380" s="15"/>
      <c r="QTO380" s="15"/>
      <c r="QTP380" s="15"/>
      <c r="QTQ380" s="15"/>
      <c r="QTR380" s="10"/>
      <c r="QTS380" s="10"/>
      <c r="QTT380" s="21"/>
      <c r="QTU380" s="21"/>
      <c r="QTX380" s="21"/>
      <c r="QTY380" s="15"/>
      <c r="QTZ380" s="15"/>
      <c r="QUA380" s="15"/>
      <c r="QUB380" s="15"/>
      <c r="QUC380" s="15"/>
      <c r="QUD380" s="15"/>
      <c r="QUE380" s="15"/>
      <c r="QUF380" s="15"/>
      <c r="QUG380" s="15"/>
      <c r="QUH380" s="15"/>
      <c r="QUI380" s="10"/>
      <c r="QUJ380" s="10"/>
      <c r="QUK380" s="21"/>
      <c r="QUL380" s="21"/>
      <c r="QUO380" s="21"/>
      <c r="QUP380" s="15"/>
      <c r="QUQ380" s="15"/>
      <c r="QUR380" s="15"/>
      <c r="QUS380" s="15"/>
      <c r="QUT380" s="15"/>
      <c r="QUU380" s="15"/>
      <c r="QUV380" s="15"/>
      <c r="QUW380" s="15"/>
      <c r="QUX380" s="15"/>
      <c r="QUY380" s="15"/>
      <c r="QUZ380" s="10"/>
      <c r="QVA380" s="10"/>
      <c r="QVB380" s="21"/>
      <c r="QVC380" s="21"/>
      <c r="QVF380" s="21"/>
      <c r="QVG380" s="15"/>
      <c r="QVH380" s="15"/>
      <c r="QVI380" s="15"/>
      <c r="QVJ380" s="15"/>
      <c r="QVK380" s="15"/>
      <c r="QVL380" s="15"/>
      <c r="QVM380" s="15"/>
      <c r="QVN380" s="15"/>
      <c r="QVO380" s="15"/>
      <c r="QVP380" s="15"/>
      <c r="QVQ380" s="10"/>
      <c r="QVR380" s="10"/>
      <c r="QVS380" s="21"/>
      <c r="QVT380" s="21"/>
      <c r="QVW380" s="21"/>
      <c r="QVX380" s="15"/>
      <c r="QVY380" s="15"/>
      <c r="QVZ380" s="15"/>
      <c r="QWA380" s="15"/>
      <c r="QWB380" s="15"/>
      <c r="QWC380" s="15"/>
      <c r="QWD380" s="15"/>
      <c r="QWE380" s="15"/>
      <c r="QWF380" s="15"/>
      <c r="QWG380" s="15"/>
      <c r="QWH380" s="10"/>
      <c r="QWI380" s="10"/>
      <c r="QWJ380" s="21"/>
      <c r="QWK380" s="21"/>
      <c r="QWN380" s="21"/>
      <c r="QWO380" s="15"/>
      <c r="QWP380" s="15"/>
      <c r="QWQ380" s="15"/>
      <c r="QWR380" s="15"/>
      <c r="QWS380" s="15"/>
      <c r="QWT380" s="15"/>
      <c r="QWU380" s="15"/>
      <c r="QWV380" s="15"/>
      <c r="QWW380" s="15"/>
      <c r="QWX380" s="15"/>
      <c r="QWY380" s="10"/>
      <c r="QWZ380" s="10"/>
      <c r="QXA380" s="21"/>
      <c r="QXB380" s="21"/>
      <c r="QXE380" s="21"/>
      <c r="QXF380" s="15"/>
      <c r="QXG380" s="15"/>
      <c r="QXH380" s="15"/>
      <c r="QXI380" s="15"/>
      <c r="QXJ380" s="15"/>
      <c r="QXK380" s="15"/>
      <c r="QXL380" s="15"/>
      <c r="QXM380" s="15"/>
      <c r="QXN380" s="15"/>
      <c r="QXO380" s="15"/>
      <c r="QXP380" s="10"/>
      <c r="QXQ380" s="10"/>
      <c r="QXR380" s="21"/>
      <c r="QXS380" s="21"/>
      <c r="QXV380" s="21"/>
      <c r="QXW380" s="15"/>
      <c r="QXX380" s="15"/>
      <c r="QXY380" s="15"/>
      <c r="QXZ380" s="15"/>
      <c r="QYA380" s="15"/>
      <c r="QYB380" s="15"/>
      <c r="QYC380" s="15"/>
      <c r="QYD380" s="15"/>
      <c r="QYE380" s="15"/>
      <c r="QYF380" s="15"/>
      <c r="QYG380" s="10"/>
      <c r="QYH380" s="10"/>
      <c r="QYI380" s="21"/>
      <c r="QYJ380" s="21"/>
      <c r="QYM380" s="21"/>
      <c r="QYN380" s="15"/>
      <c r="QYO380" s="15"/>
      <c r="QYP380" s="15"/>
      <c r="QYQ380" s="15"/>
      <c r="QYR380" s="15"/>
      <c r="QYS380" s="15"/>
      <c r="QYT380" s="15"/>
      <c r="QYU380" s="15"/>
      <c r="QYV380" s="15"/>
      <c r="QYW380" s="15"/>
      <c r="QYX380" s="10"/>
      <c r="QYY380" s="10"/>
      <c r="QYZ380" s="21"/>
      <c r="QZA380" s="21"/>
      <c r="QZD380" s="21"/>
      <c r="QZE380" s="15"/>
      <c r="QZF380" s="15"/>
      <c r="QZG380" s="15"/>
      <c r="QZH380" s="15"/>
      <c r="QZI380" s="15"/>
      <c r="QZJ380" s="15"/>
      <c r="QZK380" s="15"/>
      <c r="QZL380" s="15"/>
      <c r="QZM380" s="15"/>
      <c r="QZN380" s="15"/>
      <c r="QZO380" s="10"/>
      <c r="QZP380" s="10"/>
      <c r="QZQ380" s="21"/>
      <c r="QZR380" s="21"/>
      <c r="QZU380" s="21"/>
      <c r="QZV380" s="15"/>
      <c r="QZW380" s="15"/>
      <c r="QZX380" s="15"/>
      <c r="QZY380" s="15"/>
      <c r="QZZ380" s="15"/>
      <c r="RAA380" s="15"/>
      <c r="RAB380" s="15"/>
      <c r="RAC380" s="15"/>
      <c r="RAD380" s="15"/>
      <c r="RAE380" s="15"/>
      <c r="RAF380" s="10"/>
      <c r="RAG380" s="10"/>
      <c r="RAH380" s="21"/>
      <c r="RAI380" s="21"/>
      <c r="RAL380" s="21"/>
      <c r="RAM380" s="15"/>
      <c r="RAN380" s="15"/>
      <c r="RAO380" s="15"/>
      <c r="RAP380" s="15"/>
      <c r="RAQ380" s="15"/>
      <c r="RAR380" s="15"/>
      <c r="RAS380" s="15"/>
      <c r="RAT380" s="15"/>
      <c r="RAU380" s="15"/>
      <c r="RAV380" s="15"/>
      <c r="RAW380" s="10"/>
      <c r="RAX380" s="10"/>
      <c r="RAY380" s="21"/>
      <c r="RAZ380" s="21"/>
      <c r="RBC380" s="21"/>
      <c r="RBD380" s="15"/>
      <c r="RBE380" s="15"/>
      <c r="RBF380" s="15"/>
      <c r="RBG380" s="15"/>
      <c r="RBH380" s="15"/>
      <c r="RBI380" s="15"/>
      <c r="RBJ380" s="15"/>
      <c r="RBK380" s="15"/>
      <c r="RBL380" s="15"/>
      <c r="RBM380" s="15"/>
      <c r="RBN380" s="10"/>
      <c r="RBO380" s="10"/>
      <c r="RBP380" s="21"/>
      <c r="RBQ380" s="21"/>
      <c r="RBT380" s="21"/>
      <c r="RBU380" s="15"/>
      <c r="RBV380" s="15"/>
      <c r="RBW380" s="15"/>
      <c r="RBX380" s="15"/>
      <c r="RBY380" s="15"/>
      <c r="RBZ380" s="15"/>
      <c r="RCA380" s="15"/>
      <c r="RCB380" s="15"/>
      <c r="RCC380" s="15"/>
      <c r="RCD380" s="15"/>
      <c r="RCE380" s="10"/>
      <c r="RCF380" s="10"/>
      <c r="RCG380" s="21"/>
      <c r="RCH380" s="21"/>
      <c r="RCK380" s="21"/>
      <c r="RCL380" s="15"/>
      <c r="RCM380" s="15"/>
      <c r="RCN380" s="15"/>
      <c r="RCO380" s="15"/>
      <c r="RCP380" s="15"/>
      <c r="RCQ380" s="15"/>
      <c r="RCR380" s="15"/>
      <c r="RCS380" s="15"/>
      <c r="RCT380" s="15"/>
      <c r="RCU380" s="15"/>
      <c r="RCV380" s="10"/>
      <c r="RCW380" s="10"/>
      <c r="RCX380" s="21"/>
      <c r="RCY380" s="21"/>
      <c r="RDB380" s="21"/>
      <c r="RDC380" s="15"/>
      <c r="RDD380" s="15"/>
      <c r="RDE380" s="15"/>
      <c r="RDF380" s="15"/>
      <c r="RDG380" s="15"/>
      <c r="RDH380" s="15"/>
      <c r="RDI380" s="15"/>
      <c r="RDJ380" s="15"/>
      <c r="RDK380" s="15"/>
      <c r="RDL380" s="15"/>
      <c r="RDM380" s="10"/>
      <c r="RDN380" s="10"/>
      <c r="RDO380" s="21"/>
      <c r="RDP380" s="21"/>
      <c r="RDS380" s="21"/>
      <c r="RDT380" s="15"/>
      <c r="RDU380" s="15"/>
      <c r="RDV380" s="15"/>
      <c r="RDW380" s="15"/>
      <c r="RDX380" s="15"/>
      <c r="RDY380" s="15"/>
      <c r="RDZ380" s="15"/>
      <c r="REA380" s="15"/>
      <c r="REB380" s="15"/>
      <c r="REC380" s="15"/>
      <c r="RED380" s="10"/>
      <c r="REE380" s="10"/>
      <c r="REF380" s="21"/>
      <c r="REG380" s="21"/>
      <c r="REJ380" s="21"/>
      <c r="REK380" s="15"/>
      <c r="REL380" s="15"/>
      <c r="REM380" s="15"/>
      <c r="REN380" s="15"/>
      <c r="REO380" s="15"/>
      <c r="REP380" s="15"/>
      <c r="REQ380" s="15"/>
      <c r="RER380" s="15"/>
      <c r="RES380" s="15"/>
      <c r="RET380" s="15"/>
      <c r="REU380" s="10"/>
      <c r="REV380" s="10"/>
      <c r="REW380" s="21"/>
      <c r="REX380" s="21"/>
      <c r="RFA380" s="21"/>
      <c r="RFB380" s="15"/>
      <c r="RFC380" s="15"/>
      <c r="RFD380" s="15"/>
      <c r="RFE380" s="15"/>
      <c r="RFF380" s="15"/>
      <c r="RFG380" s="15"/>
      <c r="RFH380" s="15"/>
      <c r="RFI380" s="15"/>
      <c r="RFJ380" s="15"/>
      <c r="RFK380" s="15"/>
      <c r="RFL380" s="10"/>
      <c r="RFM380" s="10"/>
      <c r="RFN380" s="21"/>
      <c r="RFO380" s="21"/>
      <c r="RFR380" s="21"/>
      <c r="RFS380" s="15"/>
      <c r="RFT380" s="15"/>
      <c r="RFU380" s="15"/>
      <c r="RFV380" s="15"/>
      <c r="RFW380" s="15"/>
      <c r="RFX380" s="15"/>
      <c r="RFY380" s="15"/>
      <c r="RFZ380" s="15"/>
      <c r="RGA380" s="15"/>
      <c r="RGB380" s="15"/>
      <c r="RGC380" s="10"/>
      <c r="RGD380" s="10"/>
      <c r="RGE380" s="21"/>
      <c r="RGF380" s="21"/>
      <c r="RGI380" s="21"/>
      <c r="RGJ380" s="15"/>
      <c r="RGK380" s="15"/>
      <c r="RGL380" s="15"/>
      <c r="RGM380" s="15"/>
      <c r="RGN380" s="15"/>
      <c r="RGO380" s="15"/>
      <c r="RGP380" s="15"/>
      <c r="RGQ380" s="15"/>
      <c r="RGR380" s="15"/>
      <c r="RGS380" s="15"/>
      <c r="RGT380" s="10"/>
      <c r="RGU380" s="10"/>
      <c r="RGV380" s="21"/>
      <c r="RGW380" s="21"/>
      <c r="RGZ380" s="21"/>
      <c r="RHA380" s="15"/>
      <c r="RHB380" s="15"/>
      <c r="RHC380" s="15"/>
      <c r="RHD380" s="15"/>
      <c r="RHE380" s="15"/>
      <c r="RHF380" s="15"/>
      <c r="RHG380" s="15"/>
      <c r="RHH380" s="15"/>
      <c r="RHI380" s="15"/>
      <c r="RHJ380" s="15"/>
      <c r="RHK380" s="10"/>
      <c r="RHL380" s="10"/>
      <c r="RHM380" s="21"/>
      <c r="RHN380" s="21"/>
      <c r="RHQ380" s="21"/>
      <c r="RHR380" s="15"/>
      <c r="RHS380" s="15"/>
      <c r="RHT380" s="15"/>
      <c r="RHU380" s="15"/>
      <c r="RHV380" s="15"/>
      <c r="RHW380" s="15"/>
      <c r="RHX380" s="15"/>
      <c r="RHY380" s="15"/>
      <c r="RHZ380" s="15"/>
      <c r="RIA380" s="15"/>
      <c r="RIB380" s="10"/>
      <c r="RIC380" s="10"/>
      <c r="RID380" s="21"/>
      <c r="RIE380" s="21"/>
      <c r="RIH380" s="21"/>
      <c r="RII380" s="15"/>
      <c r="RIJ380" s="15"/>
      <c r="RIK380" s="15"/>
      <c r="RIL380" s="15"/>
      <c r="RIM380" s="15"/>
      <c r="RIN380" s="15"/>
      <c r="RIO380" s="15"/>
      <c r="RIP380" s="15"/>
      <c r="RIQ380" s="15"/>
      <c r="RIR380" s="15"/>
      <c r="RIS380" s="10"/>
      <c r="RIT380" s="10"/>
      <c r="RIU380" s="21"/>
      <c r="RIV380" s="21"/>
      <c r="RIY380" s="21"/>
      <c r="RIZ380" s="15"/>
      <c r="RJA380" s="15"/>
      <c r="RJB380" s="15"/>
      <c r="RJC380" s="15"/>
      <c r="RJD380" s="15"/>
      <c r="RJE380" s="15"/>
      <c r="RJF380" s="15"/>
      <c r="RJG380" s="15"/>
      <c r="RJH380" s="15"/>
      <c r="RJI380" s="15"/>
      <c r="RJJ380" s="10"/>
      <c r="RJK380" s="10"/>
      <c r="RJL380" s="21"/>
      <c r="RJM380" s="21"/>
      <c r="RJP380" s="21"/>
      <c r="RJQ380" s="15"/>
      <c r="RJR380" s="15"/>
      <c r="RJS380" s="15"/>
      <c r="RJT380" s="15"/>
      <c r="RJU380" s="15"/>
      <c r="RJV380" s="15"/>
      <c r="RJW380" s="15"/>
      <c r="RJX380" s="15"/>
      <c r="RJY380" s="15"/>
      <c r="RJZ380" s="15"/>
      <c r="RKA380" s="10"/>
      <c r="RKB380" s="10"/>
      <c r="RKC380" s="21"/>
      <c r="RKD380" s="21"/>
      <c r="RKG380" s="21"/>
      <c r="RKH380" s="15"/>
      <c r="RKI380" s="15"/>
      <c r="RKJ380" s="15"/>
      <c r="RKK380" s="15"/>
      <c r="RKL380" s="15"/>
      <c r="RKM380" s="15"/>
      <c r="RKN380" s="15"/>
      <c r="RKO380" s="15"/>
      <c r="RKP380" s="15"/>
      <c r="RKQ380" s="15"/>
      <c r="RKR380" s="10"/>
      <c r="RKS380" s="10"/>
      <c r="RKT380" s="21"/>
      <c r="RKU380" s="21"/>
      <c r="RKX380" s="21"/>
      <c r="RKY380" s="15"/>
      <c r="RKZ380" s="15"/>
      <c r="RLA380" s="15"/>
      <c r="RLB380" s="15"/>
      <c r="RLC380" s="15"/>
      <c r="RLD380" s="15"/>
      <c r="RLE380" s="15"/>
      <c r="RLF380" s="15"/>
      <c r="RLG380" s="15"/>
      <c r="RLH380" s="15"/>
      <c r="RLI380" s="10"/>
      <c r="RLJ380" s="10"/>
      <c r="RLK380" s="21"/>
      <c r="RLL380" s="21"/>
      <c r="RLO380" s="21"/>
      <c r="RLP380" s="15"/>
      <c r="RLQ380" s="15"/>
      <c r="RLR380" s="15"/>
      <c r="RLS380" s="15"/>
      <c r="RLT380" s="15"/>
      <c r="RLU380" s="15"/>
      <c r="RLV380" s="15"/>
      <c r="RLW380" s="15"/>
      <c r="RLX380" s="15"/>
      <c r="RLY380" s="15"/>
      <c r="RLZ380" s="10"/>
      <c r="RMA380" s="10"/>
      <c r="RMB380" s="21"/>
      <c r="RMC380" s="21"/>
      <c r="RMF380" s="21"/>
      <c r="RMG380" s="15"/>
      <c r="RMH380" s="15"/>
      <c r="RMI380" s="15"/>
      <c r="RMJ380" s="15"/>
      <c r="RMK380" s="15"/>
      <c r="RML380" s="15"/>
      <c r="RMM380" s="15"/>
      <c r="RMN380" s="15"/>
      <c r="RMO380" s="15"/>
      <c r="RMP380" s="15"/>
      <c r="RMQ380" s="10"/>
      <c r="RMR380" s="10"/>
      <c r="RMS380" s="21"/>
      <c r="RMT380" s="21"/>
      <c r="RMW380" s="21"/>
      <c r="RMX380" s="15"/>
      <c r="RMY380" s="15"/>
      <c r="RMZ380" s="15"/>
      <c r="RNA380" s="15"/>
      <c r="RNB380" s="15"/>
      <c r="RNC380" s="15"/>
      <c r="RND380" s="15"/>
      <c r="RNE380" s="15"/>
      <c r="RNF380" s="15"/>
      <c r="RNG380" s="15"/>
      <c r="RNH380" s="10"/>
      <c r="RNI380" s="10"/>
      <c r="RNJ380" s="21"/>
      <c r="RNK380" s="21"/>
      <c r="RNN380" s="21"/>
      <c r="RNO380" s="15"/>
      <c r="RNP380" s="15"/>
      <c r="RNQ380" s="15"/>
      <c r="RNR380" s="15"/>
      <c r="RNS380" s="15"/>
      <c r="RNT380" s="15"/>
      <c r="RNU380" s="15"/>
      <c r="RNV380" s="15"/>
      <c r="RNW380" s="15"/>
      <c r="RNX380" s="15"/>
      <c r="RNY380" s="10"/>
      <c r="RNZ380" s="10"/>
      <c r="ROA380" s="21"/>
      <c r="ROB380" s="21"/>
      <c r="ROE380" s="21"/>
      <c r="ROF380" s="15"/>
      <c r="ROG380" s="15"/>
      <c r="ROH380" s="15"/>
      <c r="ROI380" s="15"/>
      <c r="ROJ380" s="15"/>
      <c r="ROK380" s="15"/>
      <c r="ROL380" s="15"/>
      <c r="ROM380" s="15"/>
      <c r="RON380" s="15"/>
      <c r="ROO380" s="15"/>
      <c r="ROP380" s="10"/>
      <c r="ROQ380" s="10"/>
      <c r="ROR380" s="21"/>
      <c r="ROS380" s="21"/>
      <c r="ROV380" s="21"/>
      <c r="ROW380" s="15"/>
      <c r="ROX380" s="15"/>
      <c r="ROY380" s="15"/>
      <c r="ROZ380" s="15"/>
      <c r="RPA380" s="15"/>
      <c r="RPB380" s="15"/>
      <c r="RPC380" s="15"/>
      <c r="RPD380" s="15"/>
      <c r="RPE380" s="15"/>
      <c r="RPF380" s="15"/>
      <c r="RPG380" s="10"/>
      <c r="RPH380" s="10"/>
      <c r="RPI380" s="21"/>
      <c r="RPJ380" s="21"/>
      <c r="RPM380" s="21"/>
      <c r="RPN380" s="15"/>
      <c r="RPO380" s="15"/>
      <c r="RPP380" s="15"/>
      <c r="RPQ380" s="15"/>
      <c r="RPR380" s="15"/>
      <c r="RPS380" s="15"/>
      <c r="RPT380" s="15"/>
      <c r="RPU380" s="15"/>
      <c r="RPV380" s="15"/>
      <c r="RPW380" s="15"/>
      <c r="RPX380" s="10"/>
      <c r="RPY380" s="10"/>
      <c r="RPZ380" s="21"/>
      <c r="RQA380" s="21"/>
      <c r="RQD380" s="21"/>
      <c r="RQE380" s="15"/>
      <c r="RQF380" s="15"/>
      <c r="RQG380" s="15"/>
      <c r="RQH380" s="15"/>
      <c r="RQI380" s="15"/>
      <c r="RQJ380" s="15"/>
      <c r="RQK380" s="15"/>
      <c r="RQL380" s="15"/>
      <c r="RQM380" s="15"/>
      <c r="RQN380" s="15"/>
      <c r="RQO380" s="10"/>
      <c r="RQP380" s="10"/>
      <c r="RQQ380" s="21"/>
      <c r="RQR380" s="21"/>
      <c r="RQU380" s="21"/>
      <c r="RQV380" s="15"/>
      <c r="RQW380" s="15"/>
      <c r="RQX380" s="15"/>
      <c r="RQY380" s="15"/>
      <c r="RQZ380" s="15"/>
      <c r="RRA380" s="15"/>
      <c r="RRB380" s="15"/>
      <c r="RRC380" s="15"/>
      <c r="RRD380" s="15"/>
      <c r="RRE380" s="15"/>
      <c r="RRF380" s="10"/>
      <c r="RRG380" s="10"/>
      <c r="RRH380" s="21"/>
      <c r="RRI380" s="21"/>
      <c r="RRL380" s="21"/>
      <c r="RRM380" s="15"/>
      <c r="RRN380" s="15"/>
      <c r="RRO380" s="15"/>
      <c r="RRP380" s="15"/>
      <c r="RRQ380" s="15"/>
      <c r="RRR380" s="15"/>
      <c r="RRS380" s="15"/>
      <c r="RRT380" s="15"/>
      <c r="RRU380" s="15"/>
      <c r="RRV380" s="15"/>
      <c r="RRW380" s="10"/>
      <c r="RRX380" s="10"/>
      <c r="RRY380" s="21"/>
      <c r="RRZ380" s="21"/>
      <c r="RSC380" s="21"/>
      <c r="RSD380" s="15"/>
      <c r="RSE380" s="15"/>
      <c r="RSF380" s="15"/>
      <c r="RSG380" s="15"/>
      <c r="RSH380" s="15"/>
      <c r="RSI380" s="15"/>
      <c r="RSJ380" s="15"/>
      <c r="RSK380" s="15"/>
      <c r="RSL380" s="15"/>
      <c r="RSM380" s="15"/>
      <c r="RSN380" s="10"/>
      <c r="RSO380" s="10"/>
      <c r="RSP380" s="21"/>
      <c r="RSQ380" s="21"/>
      <c r="RST380" s="21"/>
      <c r="RSU380" s="15"/>
      <c r="RSV380" s="15"/>
      <c r="RSW380" s="15"/>
      <c r="RSX380" s="15"/>
      <c r="RSY380" s="15"/>
      <c r="RSZ380" s="15"/>
      <c r="RTA380" s="15"/>
      <c r="RTB380" s="15"/>
      <c r="RTC380" s="15"/>
      <c r="RTD380" s="15"/>
      <c r="RTE380" s="10"/>
      <c r="RTF380" s="10"/>
      <c r="RTG380" s="21"/>
      <c r="RTH380" s="21"/>
      <c r="RTK380" s="21"/>
      <c r="RTL380" s="15"/>
      <c r="RTM380" s="15"/>
      <c r="RTN380" s="15"/>
      <c r="RTO380" s="15"/>
      <c r="RTP380" s="15"/>
      <c r="RTQ380" s="15"/>
      <c r="RTR380" s="15"/>
      <c r="RTS380" s="15"/>
      <c r="RTT380" s="15"/>
      <c r="RTU380" s="15"/>
      <c r="RTV380" s="10"/>
      <c r="RTW380" s="10"/>
      <c r="RTX380" s="21"/>
      <c r="RTY380" s="21"/>
      <c r="RUB380" s="21"/>
      <c r="RUC380" s="15"/>
      <c r="RUD380" s="15"/>
      <c r="RUE380" s="15"/>
      <c r="RUF380" s="15"/>
      <c r="RUG380" s="15"/>
      <c r="RUH380" s="15"/>
      <c r="RUI380" s="15"/>
      <c r="RUJ380" s="15"/>
      <c r="RUK380" s="15"/>
      <c r="RUL380" s="15"/>
      <c r="RUM380" s="10"/>
      <c r="RUN380" s="10"/>
      <c r="RUO380" s="21"/>
      <c r="RUP380" s="21"/>
      <c r="RUS380" s="21"/>
      <c r="RUT380" s="15"/>
      <c r="RUU380" s="15"/>
      <c r="RUV380" s="15"/>
      <c r="RUW380" s="15"/>
      <c r="RUX380" s="15"/>
      <c r="RUY380" s="15"/>
      <c r="RUZ380" s="15"/>
      <c r="RVA380" s="15"/>
      <c r="RVB380" s="15"/>
      <c r="RVC380" s="15"/>
      <c r="RVD380" s="10"/>
      <c r="RVE380" s="10"/>
      <c r="RVF380" s="21"/>
      <c r="RVG380" s="21"/>
      <c r="RVJ380" s="21"/>
      <c r="RVK380" s="15"/>
      <c r="RVL380" s="15"/>
      <c r="RVM380" s="15"/>
      <c r="RVN380" s="15"/>
      <c r="RVO380" s="15"/>
      <c r="RVP380" s="15"/>
      <c r="RVQ380" s="15"/>
      <c r="RVR380" s="15"/>
      <c r="RVS380" s="15"/>
      <c r="RVT380" s="15"/>
      <c r="RVU380" s="10"/>
      <c r="RVV380" s="10"/>
      <c r="RVW380" s="21"/>
      <c r="RVX380" s="21"/>
      <c r="RWA380" s="21"/>
      <c r="RWB380" s="15"/>
      <c r="RWC380" s="15"/>
      <c r="RWD380" s="15"/>
      <c r="RWE380" s="15"/>
      <c r="RWF380" s="15"/>
      <c r="RWG380" s="15"/>
      <c r="RWH380" s="15"/>
      <c r="RWI380" s="15"/>
      <c r="RWJ380" s="15"/>
      <c r="RWK380" s="15"/>
      <c r="RWL380" s="10"/>
      <c r="RWM380" s="10"/>
      <c r="RWN380" s="21"/>
      <c r="RWO380" s="21"/>
      <c r="RWR380" s="21"/>
      <c r="RWS380" s="15"/>
      <c r="RWT380" s="15"/>
      <c r="RWU380" s="15"/>
      <c r="RWV380" s="15"/>
      <c r="RWW380" s="15"/>
      <c r="RWX380" s="15"/>
      <c r="RWY380" s="15"/>
      <c r="RWZ380" s="15"/>
      <c r="RXA380" s="15"/>
      <c r="RXB380" s="15"/>
      <c r="RXC380" s="10"/>
      <c r="RXD380" s="10"/>
      <c r="RXE380" s="21"/>
      <c r="RXF380" s="21"/>
      <c r="RXI380" s="21"/>
      <c r="RXJ380" s="15"/>
      <c r="RXK380" s="15"/>
      <c r="RXL380" s="15"/>
      <c r="RXM380" s="15"/>
      <c r="RXN380" s="15"/>
      <c r="RXO380" s="15"/>
      <c r="RXP380" s="15"/>
      <c r="RXQ380" s="15"/>
      <c r="RXR380" s="15"/>
      <c r="RXS380" s="15"/>
      <c r="RXT380" s="10"/>
      <c r="RXU380" s="10"/>
      <c r="RXV380" s="21"/>
      <c r="RXW380" s="21"/>
      <c r="RXZ380" s="21"/>
      <c r="RYA380" s="15"/>
      <c r="RYB380" s="15"/>
      <c r="RYC380" s="15"/>
      <c r="RYD380" s="15"/>
      <c r="RYE380" s="15"/>
      <c r="RYF380" s="15"/>
      <c r="RYG380" s="15"/>
      <c r="RYH380" s="15"/>
      <c r="RYI380" s="15"/>
      <c r="RYJ380" s="15"/>
      <c r="RYK380" s="10"/>
      <c r="RYL380" s="10"/>
      <c r="RYM380" s="21"/>
      <c r="RYN380" s="21"/>
      <c r="RYQ380" s="21"/>
      <c r="RYR380" s="15"/>
      <c r="RYS380" s="15"/>
      <c r="RYT380" s="15"/>
      <c r="RYU380" s="15"/>
      <c r="RYV380" s="15"/>
      <c r="RYW380" s="15"/>
      <c r="RYX380" s="15"/>
      <c r="RYY380" s="15"/>
      <c r="RYZ380" s="15"/>
      <c r="RZA380" s="15"/>
      <c r="RZB380" s="10"/>
      <c r="RZC380" s="10"/>
      <c r="RZD380" s="21"/>
      <c r="RZE380" s="21"/>
      <c r="RZH380" s="21"/>
      <c r="RZI380" s="15"/>
      <c r="RZJ380" s="15"/>
      <c r="RZK380" s="15"/>
      <c r="RZL380" s="15"/>
      <c r="RZM380" s="15"/>
      <c r="RZN380" s="15"/>
      <c r="RZO380" s="15"/>
      <c r="RZP380" s="15"/>
      <c r="RZQ380" s="15"/>
      <c r="RZR380" s="15"/>
      <c r="RZS380" s="10"/>
      <c r="RZT380" s="10"/>
      <c r="RZU380" s="21"/>
      <c r="RZV380" s="21"/>
      <c r="RZY380" s="21"/>
      <c r="RZZ380" s="15"/>
      <c r="SAA380" s="15"/>
      <c r="SAB380" s="15"/>
      <c r="SAC380" s="15"/>
      <c r="SAD380" s="15"/>
      <c r="SAE380" s="15"/>
      <c r="SAF380" s="15"/>
      <c r="SAG380" s="15"/>
      <c r="SAH380" s="15"/>
      <c r="SAI380" s="15"/>
      <c r="SAJ380" s="10"/>
      <c r="SAK380" s="10"/>
      <c r="SAL380" s="21"/>
      <c r="SAM380" s="21"/>
      <c r="SAP380" s="21"/>
      <c r="SAQ380" s="15"/>
      <c r="SAR380" s="15"/>
      <c r="SAS380" s="15"/>
      <c r="SAT380" s="15"/>
      <c r="SAU380" s="15"/>
      <c r="SAV380" s="15"/>
      <c r="SAW380" s="15"/>
      <c r="SAX380" s="15"/>
      <c r="SAY380" s="15"/>
      <c r="SAZ380" s="15"/>
      <c r="SBA380" s="10"/>
      <c r="SBB380" s="10"/>
      <c r="SBC380" s="21"/>
      <c r="SBD380" s="21"/>
      <c r="SBG380" s="21"/>
      <c r="SBH380" s="15"/>
      <c r="SBI380" s="15"/>
      <c r="SBJ380" s="15"/>
      <c r="SBK380" s="15"/>
      <c r="SBL380" s="15"/>
      <c r="SBM380" s="15"/>
      <c r="SBN380" s="15"/>
      <c r="SBO380" s="15"/>
      <c r="SBP380" s="15"/>
      <c r="SBQ380" s="15"/>
      <c r="SBR380" s="10"/>
      <c r="SBS380" s="10"/>
      <c r="SBT380" s="21"/>
      <c r="SBU380" s="21"/>
      <c r="SBX380" s="21"/>
      <c r="SBY380" s="15"/>
      <c r="SBZ380" s="15"/>
      <c r="SCA380" s="15"/>
      <c r="SCB380" s="15"/>
      <c r="SCC380" s="15"/>
      <c r="SCD380" s="15"/>
      <c r="SCE380" s="15"/>
      <c r="SCF380" s="15"/>
      <c r="SCG380" s="15"/>
      <c r="SCH380" s="15"/>
      <c r="SCI380" s="10"/>
      <c r="SCJ380" s="10"/>
      <c r="SCK380" s="21"/>
      <c r="SCL380" s="21"/>
      <c r="SCO380" s="21"/>
      <c r="SCP380" s="15"/>
      <c r="SCQ380" s="15"/>
      <c r="SCR380" s="15"/>
      <c r="SCS380" s="15"/>
      <c r="SCT380" s="15"/>
      <c r="SCU380" s="15"/>
      <c r="SCV380" s="15"/>
      <c r="SCW380" s="15"/>
      <c r="SCX380" s="15"/>
      <c r="SCY380" s="15"/>
      <c r="SCZ380" s="10"/>
      <c r="SDA380" s="10"/>
      <c r="SDB380" s="21"/>
      <c r="SDC380" s="21"/>
      <c r="SDF380" s="21"/>
      <c r="SDG380" s="15"/>
      <c r="SDH380" s="15"/>
      <c r="SDI380" s="15"/>
      <c r="SDJ380" s="15"/>
      <c r="SDK380" s="15"/>
      <c r="SDL380" s="15"/>
      <c r="SDM380" s="15"/>
      <c r="SDN380" s="15"/>
      <c r="SDO380" s="15"/>
      <c r="SDP380" s="15"/>
      <c r="SDQ380" s="10"/>
      <c r="SDR380" s="10"/>
      <c r="SDS380" s="21"/>
      <c r="SDT380" s="21"/>
      <c r="SDW380" s="21"/>
      <c r="SDX380" s="15"/>
      <c r="SDY380" s="15"/>
      <c r="SDZ380" s="15"/>
      <c r="SEA380" s="15"/>
      <c r="SEB380" s="15"/>
      <c r="SEC380" s="15"/>
      <c r="SED380" s="15"/>
      <c r="SEE380" s="15"/>
      <c r="SEF380" s="15"/>
      <c r="SEG380" s="15"/>
      <c r="SEH380" s="10"/>
      <c r="SEI380" s="10"/>
      <c r="SEJ380" s="21"/>
      <c r="SEK380" s="21"/>
      <c r="SEN380" s="21"/>
      <c r="SEO380" s="15"/>
      <c r="SEP380" s="15"/>
      <c r="SEQ380" s="15"/>
      <c r="SER380" s="15"/>
      <c r="SES380" s="15"/>
      <c r="SET380" s="15"/>
      <c r="SEU380" s="15"/>
      <c r="SEV380" s="15"/>
      <c r="SEW380" s="15"/>
      <c r="SEX380" s="15"/>
      <c r="SEY380" s="10"/>
      <c r="SEZ380" s="10"/>
      <c r="SFA380" s="21"/>
      <c r="SFB380" s="21"/>
      <c r="SFE380" s="21"/>
      <c r="SFF380" s="15"/>
      <c r="SFG380" s="15"/>
      <c r="SFH380" s="15"/>
      <c r="SFI380" s="15"/>
      <c r="SFJ380" s="15"/>
      <c r="SFK380" s="15"/>
      <c r="SFL380" s="15"/>
      <c r="SFM380" s="15"/>
      <c r="SFN380" s="15"/>
      <c r="SFO380" s="15"/>
      <c r="SFP380" s="10"/>
      <c r="SFQ380" s="10"/>
      <c r="SFR380" s="21"/>
      <c r="SFS380" s="21"/>
      <c r="SFV380" s="21"/>
      <c r="SFW380" s="15"/>
      <c r="SFX380" s="15"/>
      <c r="SFY380" s="15"/>
      <c r="SFZ380" s="15"/>
      <c r="SGA380" s="15"/>
      <c r="SGB380" s="15"/>
      <c r="SGC380" s="15"/>
      <c r="SGD380" s="15"/>
      <c r="SGE380" s="15"/>
      <c r="SGF380" s="15"/>
      <c r="SGG380" s="10"/>
      <c r="SGH380" s="10"/>
      <c r="SGI380" s="21"/>
      <c r="SGJ380" s="21"/>
      <c r="SGM380" s="21"/>
      <c r="SGN380" s="15"/>
      <c r="SGO380" s="15"/>
      <c r="SGP380" s="15"/>
      <c r="SGQ380" s="15"/>
      <c r="SGR380" s="15"/>
      <c r="SGS380" s="15"/>
      <c r="SGT380" s="15"/>
      <c r="SGU380" s="15"/>
      <c r="SGV380" s="15"/>
      <c r="SGW380" s="15"/>
      <c r="SGX380" s="10"/>
      <c r="SGY380" s="10"/>
      <c r="SGZ380" s="21"/>
      <c r="SHA380" s="21"/>
      <c r="SHD380" s="21"/>
      <c r="SHE380" s="15"/>
      <c r="SHF380" s="15"/>
      <c r="SHG380" s="15"/>
      <c r="SHH380" s="15"/>
      <c r="SHI380" s="15"/>
      <c r="SHJ380" s="15"/>
      <c r="SHK380" s="15"/>
      <c r="SHL380" s="15"/>
      <c r="SHM380" s="15"/>
      <c r="SHN380" s="15"/>
      <c r="SHO380" s="10"/>
      <c r="SHP380" s="10"/>
      <c r="SHQ380" s="21"/>
      <c r="SHR380" s="21"/>
      <c r="SHU380" s="21"/>
      <c r="SHV380" s="15"/>
      <c r="SHW380" s="15"/>
      <c r="SHX380" s="15"/>
      <c r="SHY380" s="15"/>
      <c r="SHZ380" s="15"/>
      <c r="SIA380" s="15"/>
      <c r="SIB380" s="15"/>
      <c r="SIC380" s="15"/>
      <c r="SID380" s="15"/>
      <c r="SIE380" s="15"/>
      <c r="SIF380" s="10"/>
      <c r="SIG380" s="10"/>
      <c r="SIH380" s="21"/>
      <c r="SII380" s="21"/>
      <c r="SIL380" s="21"/>
      <c r="SIM380" s="15"/>
      <c r="SIN380" s="15"/>
      <c r="SIO380" s="15"/>
      <c r="SIP380" s="15"/>
      <c r="SIQ380" s="15"/>
      <c r="SIR380" s="15"/>
      <c r="SIS380" s="15"/>
      <c r="SIT380" s="15"/>
      <c r="SIU380" s="15"/>
      <c r="SIV380" s="15"/>
      <c r="SIW380" s="10"/>
      <c r="SIX380" s="10"/>
      <c r="SIY380" s="21"/>
      <c r="SIZ380" s="21"/>
      <c r="SJC380" s="21"/>
      <c r="SJD380" s="15"/>
      <c r="SJE380" s="15"/>
      <c r="SJF380" s="15"/>
      <c r="SJG380" s="15"/>
      <c r="SJH380" s="15"/>
      <c r="SJI380" s="15"/>
      <c r="SJJ380" s="15"/>
      <c r="SJK380" s="15"/>
      <c r="SJL380" s="15"/>
      <c r="SJM380" s="15"/>
      <c r="SJN380" s="10"/>
      <c r="SJO380" s="10"/>
      <c r="SJP380" s="21"/>
      <c r="SJQ380" s="21"/>
      <c r="SJT380" s="21"/>
      <c r="SJU380" s="15"/>
      <c r="SJV380" s="15"/>
      <c r="SJW380" s="15"/>
      <c r="SJX380" s="15"/>
      <c r="SJY380" s="15"/>
      <c r="SJZ380" s="15"/>
      <c r="SKA380" s="15"/>
      <c r="SKB380" s="15"/>
      <c r="SKC380" s="15"/>
      <c r="SKD380" s="15"/>
      <c r="SKE380" s="10"/>
      <c r="SKF380" s="10"/>
      <c r="SKG380" s="21"/>
      <c r="SKH380" s="21"/>
      <c r="SKK380" s="21"/>
      <c r="SKL380" s="15"/>
      <c r="SKM380" s="15"/>
      <c r="SKN380" s="15"/>
      <c r="SKO380" s="15"/>
      <c r="SKP380" s="15"/>
      <c r="SKQ380" s="15"/>
      <c r="SKR380" s="15"/>
      <c r="SKS380" s="15"/>
      <c r="SKT380" s="15"/>
      <c r="SKU380" s="15"/>
      <c r="SKV380" s="10"/>
      <c r="SKW380" s="10"/>
      <c r="SKX380" s="21"/>
      <c r="SKY380" s="21"/>
      <c r="SLB380" s="21"/>
      <c r="SLC380" s="15"/>
      <c r="SLD380" s="15"/>
      <c r="SLE380" s="15"/>
      <c r="SLF380" s="15"/>
      <c r="SLG380" s="15"/>
      <c r="SLH380" s="15"/>
      <c r="SLI380" s="15"/>
      <c r="SLJ380" s="15"/>
      <c r="SLK380" s="15"/>
      <c r="SLL380" s="15"/>
      <c r="SLM380" s="10"/>
      <c r="SLN380" s="10"/>
      <c r="SLO380" s="21"/>
      <c r="SLP380" s="21"/>
      <c r="SLS380" s="21"/>
      <c r="SLT380" s="15"/>
      <c r="SLU380" s="15"/>
      <c r="SLV380" s="15"/>
      <c r="SLW380" s="15"/>
      <c r="SLX380" s="15"/>
      <c r="SLY380" s="15"/>
      <c r="SLZ380" s="15"/>
      <c r="SMA380" s="15"/>
      <c r="SMB380" s="15"/>
      <c r="SMC380" s="15"/>
      <c r="SMD380" s="10"/>
      <c r="SME380" s="10"/>
      <c r="SMF380" s="21"/>
      <c r="SMG380" s="21"/>
      <c r="SMJ380" s="21"/>
      <c r="SMK380" s="15"/>
      <c r="SML380" s="15"/>
      <c r="SMM380" s="15"/>
      <c r="SMN380" s="15"/>
      <c r="SMO380" s="15"/>
      <c r="SMP380" s="15"/>
      <c r="SMQ380" s="15"/>
      <c r="SMR380" s="15"/>
      <c r="SMS380" s="15"/>
      <c r="SMT380" s="15"/>
      <c r="SMU380" s="10"/>
      <c r="SMV380" s="10"/>
      <c r="SMW380" s="21"/>
      <c r="SMX380" s="21"/>
      <c r="SNA380" s="21"/>
      <c r="SNB380" s="15"/>
      <c r="SNC380" s="15"/>
      <c r="SND380" s="15"/>
      <c r="SNE380" s="15"/>
      <c r="SNF380" s="15"/>
      <c r="SNG380" s="15"/>
      <c r="SNH380" s="15"/>
      <c r="SNI380" s="15"/>
      <c r="SNJ380" s="15"/>
      <c r="SNK380" s="15"/>
      <c r="SNL380" s="10"/>
      <c r="SNM380" s="10"/>
      <c r="SNN380" s="21"/>
      <c r="SNO380" s="21"/>
      <c r="SNR380" s="21"/>
      <c r="SNS380" s="15"/>
      <c r="SNT380" s="15"/>
      <c r="SNU380" s="15"/>
      <c r="SNV380" s="15"/>
      <c r="SNW380" s="15"/>
      <c r="SNX380" s="15"/>
      <c r="SNY380" s="15"/>
      <c r="SNZ380" s="15"/>
      <c r="SOA380" s="15"/>
      <c r="SOB380" s="15"/>
      <c r="SOC380" s="10"/>
      <c r="SOD380" s="10"/>
      <c r="SOE380" s="21"/>
      <c r="SOF380" s="21"/>
      <c r="SOI380" s="21"/>
      <c r="SOJ380" s="15"/>
      <c r="SOK380" s="15"/>
      <c r="SOL380" s="15"/>
      <c r="SOM380" s="15"/>
      <c r="SON380" s="15"/>
      <c r="SOO380" s="15"/>
      <c r="SOP380" s="15"/>
      <c r="SOQ380" s="15"/>
      <c r="SOR380" s="15"/>
      <c r="SOS380" s="15"/>
      <c r="SOT380" s="10"/>
      <c r="SOU380" s="10"/>
      <c r="SOV380" s="21"/>
      <c r="SOW380" s="21"/>
      <c r="SOZ380" s="21"/>
      <c r="SPA380" s="15"/>
      <c r="SPB380" s="15"/>
      <c r="SPC380" s="15"/>
      <c r="SPD380" s="15"/>
      <c r="SPE380" s="15"/>
      <c r="SPF380" s="15"/>
      <c r="SPG380" s="15"/>
      <c r="SPH380" s="15"/>
      <c r="SPI380" s="15"/>
      <c r="SPJ380" s="15"/>
      <c r="SPK380" s="10"/>
      <c r="SPL380" s="10"/>
      <c r="SPM380" s="21"/>
      <c r="SPN380" s="21"/>
      <c r="SPQ380" s="21"/>
      <c r="SPR380" s="15"/>
      <c r="SPS380" s="15"/>
      <c r="SPT380" s="15"/>
      <c r="SPU380" s="15"/>
      <c r="SPV380" s="15"/>
      <c r="SPW380" s="15"/>
      <c r="SPX380" s="15"/>
      <c r="SPY380" s="15"/>
      <c r="SPZ380" s="15"/>
      <c r="SQA380" s="15"/>
      <c r="SQB380" s="10"/>
      <c r="SQC380" s="10"/>
      <c r="SQD380" s="21"/>
      <c r="SQE380" s="21"/>
      <c r="SQH380" s="21"/>
      <c r="SQI380" s="15"/>
      <c r="SQJ380" s="15"/>
      <c r="SQK380" s="15"/>
      <c r="SQL380" s="15"/>
      <c r="SQM380" s="15"/>
      <c r="SQN380" s="15"/>
      <c r="SQO380" s="15"/>
      <c r="SQP380" s="15"/>
      <c r="SQQ380" s="15"/>
      <c r="SQR380" s="15"/>
      <c r="SQS380" s="10"/>
      <c r="SQT380" s="10"/>
      <c r="SQU380" s="21"/>
      <c r="SQV380" s="21"/>
      <c r="SQY380" s="21"/>
      <c r="SQZ380" s="15"/>
      <c r="SRA380" s="15"/>
      <c r="SRB380" s="15"/>
      <c r="SRC380" s="15"/>
      <c r="SRD380" s="15"/>
      <c r="SRE380" s="15"/>
      <c r="SRF380" s="15"/>
      <c r="SRG380" s="15"/>
      <c r="SRH380" s="15"/>
      <c r="SRI380" s="15"/>
      <c r="SRJ380" s="10"/>
      <c r="SRK380" s="10"/>
      <c r="SRL380" s="21"/>
      <c r="SRM380" s="21"/>
      <c r="SRP380" s="21"/>
      <c r="SRQ380" s="15"/>
      <c r="SRR380" s="15"/>
      <c r="SRS380" s="15"/>
      <c r="SRT380" s="15"/>
      <c r="SRU380" s="15"/>
      <c r="SRV380" s="15"/>
      <c r="SRW380" s="15"/>
      <c r="SRX380" s="15"/>
      <c r="SRY380" s="15"/>
      <c r="SRZ380" s="15"/>
      <c r="SSA380" s="10"/>
      <c r="SSB380" s="10"/>
      <c r="SSC380" s="21"/>
      <c r="SSD380" s="21"/>
      <c r="SSG380" s="21"/>
      <c r="SSH380" s="15"/>
      <c r="SSI380" s="15"/>
      <c r="SSJ380" s="15"/>
      <c r="SSK380" s="15"/>
      <c r="SSL380" s="15"/>
      <c r="SSM380" s="15"/>
      <c r="SSN380" s="15"/>
      <c r="SSO380" s="15"/>
      <c r="SSP380" s="15"/>
      <c r="SSQ380" s="15"/>
      <c r="SSR380" s="10"/>
      <c r="SSS380" s="10"/>
      <c r="SST380" s="21"/>
      <c r="SSU380" s="21"/>
      <c r="SSX380" s="21"/>
      <c r="SSY380" s="15"/>
      <c r="SSZ380" s="15"/>
      <c r="STA380" s="15"/>
      <c r="STB380" s="15"/>
      <c r="STC380" s="15"/>
      <c r="STD380" s="15"/>
      <c r="STE380" s="15"/>
      <c r="STF380" s="15"/>
      <c r="STG380" s="15"/>
      <c r="STH380" s="15"/>
      <c r="STI380" s="10"/>
      <c r="STJ380" s="10"/>
      <c r="STK380" s="21"/>
      <c r="STL380" s="21"/>
      <c r="STO380" s="21"/>
      <c r="STP380" s="15"/>
      <c r="STQ380" s="15"/>
      <c r="STR380" s="15"/>
      <c r="STS380" s="15"/>
      <c r="STT380" s="15"/>
      <c r="STU380" s="15"/>
      <c r="STV380" s="15"/>
      <c r="STW380" s="15"/>
      <c r="STX380" s="15"/>
      <c r="STY380" s="15"/>
      <c r="STZ380" s="10"/>
      <c r="SUA380" s="10"/>
      <c r="SUB380" s="21"/>
      <c r="SUC380" s="21"/>
      <c r="SUF380" s="21"/>
      <c r="SUG380" s="15"/>
      <c r="SUH380" s="15"/>
      <c r="SUI380" s="15"/>
      <c r="SUJ380" s="15"/>
      <c r="SUK380" s="15"/>
      <c r="SUL380" s="15"/>
      <c r="SUM380" s="15"/>
      <c r="SUN380" s="15"/>
      <c r="SUO380" s="15"/>
      <c r="SUP380" s="15"/>
      <c r="SUQ380" s="10"/>
      <c r="SUR380" s="10"/>
      <c r="SUS380" s="21"/>
      <c r="SUT380" s="21"/>
      <c r="SUW380" s="21"/>
      <c r="SUX380" s="15"/>
      <c r="SUY380" s="15"/>
      <c r="SUZ380" s="15"/>
      <c r="SVA380" s="15"/>
      <c r="SVB380" s="15"/>
      <c r="SVC380" s="15"/>
      <c r="SVD380" s="15"/>
      <c r="SVE380" s="15"/>
      <c r="SVF380" s="15"/>
      <c r="SVG380" s="15"/>
      <c r="SVH380" s="10"/>
      <c r="SVI380" s="10"/>
      <c r="SVJ380" s="21"/>
      <c r="SVK380" s="21"/>
      <c r="SVN380" s="21"/>
      <c r="SVO380" s="15"/>
      <c r="SVP380" s="15"/>
      <c r="SVQ380" s="15"/>
      <c r="SVR380" s="15"/>
      <c r="SVS380" s="15"/>
      <c r="SVT380" s="15"/>
      <c r="SVU380" s="15"/>
      <c r="SVV380" s="15"/>
      <c r="SVW380" s="15"/>
      <c r="SVX380" s="15"/>
      <c r="SVY380" s="10"/>
      <c r="SVZ380" s="10"/>
      <c r="SWA380" s="21"/>
      <c r="SWB380" s="21"/>
      <c r="SWE380" s="21"/>
      <c r="SWF380" s="15"/>
      <c r="SWG380" s="15"/>
      <c r="SWH380" s="15"/>
      <c r="SWI380" s="15"/>
      <c r="SWJ380" s="15"/>
      <c r="SWK380" s="15"/>
      <c r="SWL380" s="15"/>
      <c r="SWM380" s="15"/>
      <c r="SWN380" s="15"/>
      <c r="SWO380" s="15"/>
      <c r="SWP380" s="10"/>
      <c r="SWQ380" s="10"/>
      <c r="SWR380" s="21"/>
      <c r="SWS380" s="21"/>
      <c r="SWV380" s="21"/>
      <c r="SWW380" s="15"/>
      <c r="SWX380" s="15"/>
      <c r="SWY380" s="15"/>
      <c r="SWZ380" s="15"/>
      <c r="SXA380" s="15"/>
      <c r="SXB380" s="15"/>
      <c r="SXC380" s="15"/>
      <c r="SXD380" s="15"/>
      <c r="SXE380" s="15"/>
      <c r="SXF380" s="15"/>
      <c r="SXG380" s="10"/>
      <c r="SXH380" s="10"/>
      <c r="SXI380" s="21"/>
      <c r="SXJ380" s="21"/>
      <c r="SXM380" s="21"/>
      <c r="SXN380" s="15"/>
      <c r="SXO380" s="15"/>
      <c r="SXP380" s="15"/>
      <c r="SXQ380" s="15"/>
      <c r="SXR380" s="15"/>
      <c r="SXS380" s="15"/>
      <c r="SXT380" s="15"/>
      <c r="SXU380" s="15"/>
      <c r="SXV380" s="15"/>
      <c r="SXW380" s="15"/>
      <c r="SXX380" s="10"/>
      <c r="SXY380" s="10"/>
      <c r="SXZ380" s="21"/>
      <c r="SYA380" s="21"/>
      <c r="SYD380" s="21"/>
      <c r="SYE380" s="15"/>
      <c r="SYF380" s="15"/>
      <c r="SYG380" s="15"/>
      <c r="SYH380" s="15"/>
      <c r="SYI380" s="15"/>
      <c r="SYJ380" s="15"/>
      <c r="SYK380" s="15"/>
      <c r="SYL380" s="15"/>
      <c r="SYM380" s="15"/>
      <c r="SYN380" s="15"/>
      <c r="SYO380" s="10"/>
      <c r="SYP380" s="10"/>
      <c r="SYQ380" s="21"/>
      <c r="SYR380" s="21"/>
      <c r="SYU380" s="21"/>
      <c r="SYV380" s="15"/>
      <c r="SYW380" s="15"/>
      <c r="SYX380" s="15"/>
      <c r="SYY380" s="15"/>
      <c r="SYZ380" s="15"/>
      <c r="SZA380" s="15"/>
      <c r="SZB380" s="15"/>
      <c r="SZC380" s="15"/>
      <c r="SZD380" s="15"/>
      <c r="SZE380" s="15"/>
      <c r="SZF380" s="10"/>
      <c r="SZG380" s="10"/>
      <c r="SZH380" s="21"/>
      <c r="SZI380" s="21"/>
      <c r="SZL380" s="21"/>
      <c r="SZM380" s="15"/>
      <c r="SZN380" s="15"/>
      <c r="SZO380" s="15"/>
      <c r="SZP380" s="15"/>
      <c r="SZQ380" s="15"/>
      <c r="SZR380" s="15"/>
      <c r="SZS380" s="15"/>
      <c r="SZT380" s="15"/>
      <c r="SZU380" s="15"/>
      <c r="SZV380" s="15"/>
      <c r="SZW380" s="10"/>
      <c r="SZX380" s="10"/>
      <c r="SZY380" s="21"/>
      <c r="SZZ380" s="21"/>
      <c r="TAC380" s="21"/>
      <c r="TAD380" s="15"/>
      <c r="TAE380" s="15"/>
      <c r="TAF380" s="15"/>
      <c r="TAG380" s="15"/>
      <c r="TAH380" s="15"/>
      <c r="TAI380" s="15"/>
      <c r="TAJ380" s="15"/>
      <c r="TAK380" s="15"/>
      <c r="TAL380" s="15"/>
      <c r="TAM380" s="15"/>
      <c r="TAN380" s="10"/>
      <c r="TAO380" s="10"/>
      <c r="TAP380" s="21"/>
      <c r="TAQ380" s="21"/>
      <c r="TAT380" s="21"/>
      <c r="TAU380" s="15"/>
      <c r="TAV380" s="15"/>
      <c r="TAW380" s="15"/>
      <c r="TAX380" s="15"/>
      <c r="TAY380" s="15"/>
      <c r="TAZ380" s="15"/>
      <c r="TBA380" s="15"/>
      <c r="TBB380" s="15"/>
      <c r="TBC380" s="15"/>
      <c r="TBD380" s="15"/>
      <c r="TBE380" s="10"/>
      <c r="TBF380" s="10"/>
      <c r="TBG380" s="21"/>
      <c r="TBH380" s="21"/>
      <c r="TBK380" s="21"/>
      <c r="TBL380" s="15"/>
      <c r="TBM380" s="15"/>
      <c r="TBN380" s="15"/>
      <c r="TBO380" s="15"/>
      <c r="TBP380" s="15"/>
      <c r="TBQ380" s="15"/>
      <c r="TBR380" s="15"/>
      <c r="TBS380" s="15"/>
      <c r="TBT380" s="15"/>
      <c r="TBU380" s="15"/>
      <c r="TBV380" s="10"/>
      <c r="TBW380" s="10"/>
      <c r="TBX380" s="21"/>
      <c r="TBY380" s="21"/>
      <c r="TCB380" s="21"/>
      <c r="TCC380" s="15"/>
      <c r="TCD380" s="15"/>
      <c r="TCE380" s="15"/>
      <c r="TCF380" s="15"/>
      <c r="TCG380" s="15"/>
      <c r="TCH380" s="15"/>
      <c r="TCI380" s="15"/>
      <c r="TCJ380" s="15"/>
      <c r="TCK380" s="15"/>
      <c r="TCL380" s="15"/>
      <c r="TCM380" s="10"/>
      <c r="TCN380" s="10"/>
      <c r="TCO380" s="21"/>
      <c r="TCP380" s="21"/>
      <c r="TCS380" s="21"/>
      <c r="TCT380" s="15"/>
      <c r="TCU380" s="15"/>
      <c r="TCV380" s="15"/>
      <c r="TCW380" s="15"/>
      <c r="TCX380" s="15"/>
      <c r="TCY380" s="15"/>
      <c r="TCZ380" s="15"/>
      <c r="TDA380" s="15"/>
      <c r="TDB380" s="15"/>
      <c r="TDC380" s="15"/>
      <c r="TDD380" s="10"/>
      <c r="TDE380" s="10"/>
      <c r="TDF380" s="21"/>
      <c r="TDG380" s="21"/>
      <c r="TDJ380" s="21"/>
      <c r="TDK380" s="15"/>
      <c r="TDL380" s="15"/>
      <c r="TDM380" s="15"/>
      <c r="TDN380" s="15"/>
      <c r="TDO380" s="15"/>
      <c r="TDP380" s="15"/>
      <c r="TDQ380" s="15"/>
      <c r="TDR380" s="15"/>
      <c r="TDS380" s="15"/>
      <c r="TDT380" s="15"/>
      <c r="TDU380" s="10"/>
      <c r="TDV380" s="10"/>
      <c r="TDW380" s="21"/>
      <c r="TDX380" s="21"/>
      <c r="TEA380" s="21"/>
      <c r="TEB380" s="15"/>
      <c r="TEC380" s="15"/>
      <c r="TED380" s="15"/>
      <c r="TEE380" s="15"/>
      <c r="TEF380" s="15"/>
      <c r="TEG380" s="15"/>
      <c r="TEH380" s="15"/>
      <c r="TEI380" s="15"/>
      <c r="TEJ380" s="15"/>
      <c r="TEK380" s="15"/>
      <c r="TEL380" s="10"/>
      <c r="TEM380" s="10"/>
      <c r="TEN380" s="21"/>
      <c r="TEO380" s="21"/>
      <c r="TER380" s="21"/>
      <c r="TES380" s="15"/>
      <c r="TET380" s="15"/>
      <c r="TEU380" s="15"/>
      <c r="TEV380" s="15"/>
      <c r="TEW380" s="15"/>
      <c r="TEX380" s="15"/>
      <c r="TEY380" s="15"/>
      <c r="TEZ380" s="15"/>
      <c r="TFA380" s="15"/>
      <c r="TFB380" s="15"/>
      <c r="TFC380" s="10"/>
      <c r="TFD380" s="10"/>
      <c r="TFE380" s="21"/>
      <c r="TFF380" s="21"/>
      <c r="TFI380" s="21"/>
      <c r="TFJ380" s="15"/>
      <c r="TFK380" s="15"/>
      <c r="TFL380" s="15"/>
      <c r="TFM380" s="15"/>
      <c r="TFN380" s="15"/>
      <c r="TFO380" s="15"/>
      <c r="TFP380" s="15"/>
      <c r="TFQ380" s="15"/>
      <c r="TFR380" s="15"/>
      <c r="TFS380" s="15"/>
      <c r="TFT380" s="10"/>
      <c r="TFU380" s="10"/>
      <c r="TFV380" s="21"/>
      <c r="TFW380" s="21"/>
      <c r="TFZ380" s="21"/>
      <c r="TGA380" s="15"/>
      <c r="TGB380" s="15"/>
      <c r="TGC380" s="15"/>
      <c r="TGD380" s="15"/>
      <c r="TGE380" s="15"/>
      <c r="TGF380" s="15"/>
      <c r="TGG380" s="15"/>
      <c r="TGH380" s="15"/>
      <c r="TGI380" s="15"/>
      <c r="TGJ380" s="15"/>
      <c r="TGK380" s="10"/>
      <c r="TGL380" s="10"/>
      <c r="TGM380" s="21"/>
      <c r="TGN380" s="21"/>
      <c r="TGQ380" s="21"/>
      <c r="TGR380" s="15"/>
      <c r="TGS380" s="15"/>
      <c r="TGT380" s="15"/>
      <c r="TGU380" s="15"/>
      <c r="TGV380" s="15"/>
      <c r="TGW380" s="15"/>
      <c r="TGX380" s="15"/>
      <c r="TGY380" s="15"/>
      <c r="TGZ380" s="15"/>
      <c r="THA380" s="15"/>
      <c r="THB380" s="10"/>
      <c r="THC380" s="10"/>
      <c r="THD380" s="21"/>
      <c r="THE380" s="21"/>
      <c r="THH380" s="21"/>
      <c r="THI380" s="15"/>
      <c r="THJ380" s="15"/>
      <c r="THK380" s="15"/>
      <c r="THL380" s="15"/>
      <c r="THM380" s="15"/>
      <c r="THN380" s="15"/>
      <c r="THO380" s="15"/>
      <c r="THP380" s="15"/>
      <c r="THQ380" s="15"/>
      <c r="THR380" s="15"/>
      <c r="THS380" s="10"/>
      <c r="THT380" s="10"/>
      <c r="THU380" s="21"/>
      <c r="THV380" s="21"/>
      <c r="THY380" s="21"/>
      <c r="THZ380" s="15"/>
      <c r="TIA380" s="15"/>
      <c r="TIB380" s="15"/>
      <c r="TIC380" s="15"/>
      <c r="TID380" s="15"/>
      <c r="TIE380" s="15"/>
      <c r="TIF380" s="15"/>
      <c r="TIG380" s="15"/>
      <c r="TIH380" s="15"/>
      <c r="TII380" s="15"/>
      <c r="TIJ380" s="10"/>
      <c r="TIK380" s="10"/>
      <c r="TIL380" s="21"/>
      <c r="TIM380" s="21"/>
      <c r="TIP380" s="21"/>
      <c r="TIQ380" s="15"/>
      <c r="TIR380" s="15"/>
      <c r="TIS380" s="15"/>
      <c r="TIT380" s="15"/>
      <c r="TIU380" s="15"/>
      <c r="TIV380" s="15"/>
      <c r="TIW380" s="15"/>
      <c r="TIX380" s="15"/>
      <c r="TIY380" s="15"/>
      <c r="TIZ380" s="15"/>
      <c r="TJA380" s="10"/>
      <c r="TJB380" s="10"/>
      <c r="TJC380" s="21"/>
      <c r="TJD380" s="21"/>
      <c r="TJG380" s="21"/>
      <c r="TJH380" s="15"/>
      <c r="TJI380" s="15"/>
      <c r="TJJ380" s="15"/>
      <c r="TJK380" s="15"/>
      <c r="TJL380" s="15"/>
      <c r="TJM380" s="15"/>
      <c r="TJN380" s="15"/>
      <c r="TJO380" s="15"/>
      <c r="TJP380" s="15"/>
      <c r="TJQ380" s="15"/>
      <c r="TJR380" s="10"/>
      <c r="TJS380" s="10"/>
      <c r="TJT380" s="21"/>
      <c r="TJU380" s="21"/>
      <c r="TJX380" s="21"/>
      <c r="TJY380" s="15"/>
      <c r="TJZ380" s="15"/>
      <c r="TKA380" s="15"/>
      <c r="TKB380" s="15"/>
      <c r="TKC380" s="15"/>
      <c r="TKD380" s="15"/>
      <c r="TKE380" s="15"/>
      <c r="TKF380" s="15"/>
      <c r="TKG380" s="15"/>
      <c r="TKH380" s="15"/>
      <c r="TKI380" s="10"/>
      <c r="TKJ380" s="10"/>
      <c r="TKK380" s="21"/>
      <c r="TKL380" s="21"/>
      <c r="TKO380" s="21"/>
      <c r="TKP380" s="15"/>
      <c r="TKQ380" s="15"/>
      <c r="TKR380" s="15"/>
      <c r="TKS380" s="15"/>
      <c r="TKT380" s="15"/>
      <c r="TKU380" s="15"/>
      <c r="TKV380" s="15"/>
      <c r="TKW380" s="15"/>
      <c r="TKX380" s="15"/>
      <c r="TKY380" s="15"/>
      <c r="TKZ380" s="10"/>
      <c r="TLA380" s="10"/>
      <c r="TLB380" s="21"/>
      <c r="TLC380" s="21"/>
      <c r="TLF380" s="21"/>
      <c r="TLG380" s="15"/>
      <c r="TLH380" s="15"/>
      <c r="TLI380" s="15"/>
      <c r="TLJ380" s="15"/>
      <c r="TLK380" s="15"/>
      <c r="TLL380" s="15"/>
      <c r="TLM380" s="15"/>
      <c r="TLN380" s="15"/>
      <c r="TLO380" s="15"/>
      <c r="TLP380" s="15"/>
      <c r="TLQ380" s="10"/>
      <c r="TLR380" s="10"/>
      <c r="TLS380" s="21"/>
      <c r="TLT380" s="21"/>
      <c r="TLW380" s="21"/>
      <c r="TLX380" s="15"/>
      <c r="TLY380" s="15"/>
      <c r="TLZ380" s="15"/>
      <c r="TMA380" s="15"/>
      <c r="TMB380" s="15"/>
      <c r="TMC380" s="15"/>
      <c r="TMD380" s="15"/>
      <c r="TME380" s="15"/>
      <c r="TMF380" s="15"/>
      <c r="TMG380" s="15"/>
      <c r="TMH380" s="10"/>
      <c r="TMI380" s="10"/>
      <c r="TMJ380" s="21"/>
      <c r="TMK380" s="21"/>
      <c r="TMN380" s="21"/>
      <c r="TMO380" s="15"/>
      <c r="TMP380" s="15"/>
      <c r="TMQ380" s="15"/>
      <c r="TMR380" s="15"/>
      <c r="TMS380" s="15"/>
      <c r="TMT380" s="15"/>
      <c r="TMU380" s="15"/>
      <c r="TMV380" s="15"/>
      <c r="TMW380" s="15"/>
      <c r="TMX380" s="15"/>
      <c r="TMY380" s="10"/>
      <c r="TMZ380" s="10"/>
      <c r="TNA380" s="21"/>
      <c r="TNB380" s="21"/>
      <c r="TNE380" s="21"/>
      <c r="TNF380" s="15"/>
      <c r="TNG380" s="15"/>
      <c r="TNH380" s="15"/>
      <c r="TNI380" s="15"/>
      <c r="TNJ380" s="15"/>
      <c r="TNK380" s="15"/>
      <c r="TNL380" s="15"/>
      <c r="TNM380" s="15"/>
      <c r="TNN380" s="15"/>
      <c r="TNO380" s="15"/>
      <c r="TNP380" s="10"/>
      <c r="TNQ380" s="10"/>
      <c r="TNR380" s="21"/>
      <c r="TNS380" s="21"/>
      <c r="TNV380" s="21"/>
      <c r="TNW380" s="15"/>
      <c r="TNX380" s="15"/>
      <c r="TNY380" s="15"/>
      <c r="TNZ380" s="15"/>
      <c r="TOA380" s="15"/>
      <c r="TOB380" s="15"/>
      <c r="TOC380" s="15"/>
      <c r="TOD380" s="15"/>
      <c r="TOE380" s="15"/>
      <c r="TOF380" s="15"/>
      <c r="TOG380" s="10"/>
      <c r="TOH380" s="10"/>
      <c r="TOI380" s="21"/>
      <c r="TOJ380" s="21"/>
      <c r="TOM380" s="21"/>
      <c r="TON380" s="15"/>
      <c r="TOO380" s="15"/>
      <c r="TOP380" s="15"/>
      <c r="TOQ380" s="15"/>
      <c r="TOR380" s="15"/>
      <c r="TOS380" s="15"/>
      <c r="TOT380" s="15"/>
      <c r="TOU380" s="15"/>
      <c r="TOV380" s="15"/>
      <c r="TOW380" s="15"/>
      <c r="TOX380" s="10"/>
      <c r="TOY380" s="10"/>
      <c r="TOZ380" s="21"/>
      <c r="TPA380" s="21"/>
      <c r="TPD380" s="21"/>
      <c r="TPE380" s="15"/>
      <c r="TPF380" s="15"/>
      <c r="TPG380" s="15"/>
      <c r="TPH380" s="15"/>
      <c r="TPI380" s="15"/>
      <c r="TPJ380" s="15"/>
      <c r="TPK380" s="15"/>
      <c r="TPL380" s="15"/>
      <c r="TPM380" s="15"/>
      <c r="TPN380" s="15"/>
      <c r="TPO380" s="10"/>
      <c r="TPP380" s="10"/>
      <c r="TPQ380" s="21"/>
      <c r="TPR380" s="21"/>
      <c r="TPU380" s="21"/>
      <c r="TPV380" s="15"/>
      <c r="TPW380" s="15"/>
      <c r="TPX380" s="15"/>
      <c r="TPY380" s="15"/>
      <c r="TPZ380" s="15"/>
      <c r="TQA380" s="15"/>
      <c r="TQB380" s="15"/>
      <c r="TQC380" s="15"/>
      <c r="TQD380" s="15"/>
      <c r="TQE380" s="15"/>
      <c r="TQF380" s="10"/>
      <c r="TQG380" s="10"/>
      <c r="TQH380" s="21"/>
      <c r="TQI380" s="21"/>
      <c r="TQL380" s="21"/>
      <c r="TQM380" s="15"/>
      <c r="TQN380" s="15"/>
      <c r="TQO380" s="15"/>
      <c r="TQP380" s="15"/>
      <c r="TQQ380" s="15"/>
      <c r="TQR380" s="15"/>
      <c r="TQS380" s="15"/>
      <c r="TQT380" s="15"/>
      <c r="TQU380" s="15"/>
      <c r="TQV380" s="15"/>
      <c r="TQW380" s="10"/>
      <c r="TQX380" s="10"/>
      <c r="TQY380" s="21"/>
      <c r="TQZ380" s="21"/>
      <c r="TRC380" s="21"/>
      <c r="TRD380" s="15"/>
      <c r="TRE380" s="15"/>
      <c r="TRF380" s="15"/>
      <c r="TRG380" s="15"/>
      <c r="TRH380" s="15"/>
      <c r="TRI380" s="15"/>
      <c r="TRJ380" s="15"/>
      <c r="TRK380" s="15"/>
      <c r="TRL380" s="15"/>
      <c r="TRM380" s="15"/>
      <c r="TRN380" s="10"/>
      <c r="TRO380" s="10"/>
      <c r="TRP380" s="21"/>
      <c r="TRQ380" s="21"/>
      <c r="TRT380" s="21"/>
      <c r="TRU380" s="15"/>
      <c r="TRV380" s="15"/>
      <c r="TRW380" s="15"/>
      <c r="TRX380" s="15"/>
      <c r="TRY380" s="15"/>
      <c r="TRZ380" s="15"/>
      <c r="TSA380" s="15"/>
      <c r="TSB380" s="15"/>
      <c r="TSC380" s="15"/>
      <c r="TSD380" s="15"/>
      <c r="TSE380" s="10"/>
      <c r="TSF380" s="10"/>
      <c r="TSG380" s="21"/>
      <c r="TSH380" s="21"/>
      <c r="TSK380" s="21"/>
      <c r="TSL380" s="15"/>
      <c r="TSM380" s="15"/>
      <c r="TSN380" s="15"/>
      <c r="TSO380" s="15"/>
      <c r="TSP380" s="15"/>
      <c r="TSQ380" s="15"/>
      <c r="TSR380" s="15"/>
      <c r="TSS380" s="15"/>
      <c r="TST380" s="15"/>
      <c r="TSU380" s="15"/>
      <c r="TSV380" s="10"/>
      <c r="TSW380" s="10"/>
      <c r="TSX380" s="21"/>
      <c r="TSY380" s="21"/>
      <c r="TTB380" s="21"/>
      <c r="TTC380" s="15"/>
      <c r="TTD380" s="15"/>
      <c r="TTE380" s="15"/>
      <c r="TTF380" s="15"/>
      <c r="TTG380" s="15"/>
      <c r="TTH380" s="15"/>
      <c r="TTI380" s="15"/>
      <c r="TTJ380" s="15"/>
      <c r="TTK380" s="15"/>
      <c r="TTL380" s="15"/>
      <c r="TTM380" s="10"/>
      <c r="TTN380" s="10"/>
      <c r="TTO380" s="21"/>
      <c r="TTP380" s="21"/>
      <c r="TTS380" s="21"/>
      <c r="TTT380" s="15"/>
      <c r="TTU380" s="15"/>
      <c r="TTV380" s="15"/>
      <c r="TTW380" s="15"/>
      <c r="TTX380" s="15"/>
      <c r="TTY380" s="15"/>
      <c r="TTZ380" s="15"/>
      <c r="TUA380" s="15"/>
      <c r="TUB380" s="15"/>
      <c r="TUC380" s="15"/>
      <c r="TUD380" s="10"/>
      <c r="TUE380" s="10"/>
      <c r="TUF380" s="21"/>
      <c r="TUG380" s="21"/>
      <c r="TUJ380" s="21"/>
      <c r="TUK380" s="15"/>
      <c r="TUL380" s="15"/>
      <c r="TUM380" s="15"/>
      <c r="TUN380" s="15"/>
      <c r="TUO380" s="15"/>
      <c r="TUP380" s="15"/>
      <c r="TUQ380" s="15"/>
      <c r="TUR380" s="15"/>
      <c r="TUS380" s="15"/>
      <c r="TUT380" s="15"/>
      <c r="TUU380" s="10"/>
      <c r="TUV380" s="10"/>
      <c r="TUW380" s="21"/>
      <c r="TUX380" s="21"/>
      <c r="TVA380" s="21"/>
      <c r="TVB380" s="15"/>
      <c r="TVC380" s="15"/>
      <c r="TVD380" s="15"/>
      <c r="TVE380" s="15"/>
      <c r="TVF380" s="15"/>
      <c r="TVG380" s="15"/>
      <c r="TVH380" s="15"/>
      <c r="TVI380" s="15"/>
      <c r="TVJ380" s="15"/>
      <c r="TVK380" s="15"/>
      <c r="TVL380" s="10"/>
      <c r="TVM380" s="10"/>
      <c r="TVN380" s="21"/>
      <c r="TVO380" s="21"/>
      <c r="TVR380" s="21"/>
      <c r="TVS380" s="15"/>
      <c r="TVT380" s="15"/>
      <c r="TVU380" s="15"/>
      <c r="TVV380" s="15"/>
      <c r="TVW380" s="15"/>
      <c r="TVX380" s="15"/>
      <c r="TVY380" s="15"/>
      <c r="TVZ380" s="15"/>
      <c r="TWA380" s="15"/>
      <c r="TWB380" s="15"/>
      <c r="TWC380" s="10"/>
      <c r="TWD380" s="10"/>
      <c r="TWE380" s="21"/>
      <c r="TWF380" s="21"/>
      <c r="TWI380" s="21"/>
      <c r="TWJ380" s="15"/>
      <c r="TWK380" s="15"/>
      <c r="TWL380" s="15"/>
      <c r="TWM380" s="15"/>
      <c r="TWN380" s="15"/>
      <c r="TWO380" s="15"/>
      <c r="TWP380" s="15"/>
      <c r="TWQ380" s="15"/>
      <c r="TWR380" s="15"/>
      <c r="TWS380" s="15"/>
      <c r="TWT380" s="10"/>
      <c r="TWU380" s="10"/>
      <c r="TWV380" s="21"/>
      <c r="TWW380" s="21"/>
      <c r="TWZ380" s="21"/>
      <c r="TXA380" s="15"/>
      <c r="TXB380" s="15"/>
      <c r="TXC380" s="15"/>
      <c r="TXD380" s="15"/>
      <c r="TXE380" s="15"/>
      <c r="TXF380" s="15"/>
      <c r="TXG380" s="15"/>
      <c r="TXH380" s="15"/>
      <c r="TXI380" s="15"/>
      <c r="TXJ380" s="15"/>
      <c r="TXK380" s="10"/>
      <c r="TXL380" s="10"/>
      <c r="TXM380" s="21"/>
      <c r="TXN380" s="21"/>
      <c r="TXQ380" s="21"/>
      <c r="TXR380" s="15"/>
      <c r="TXS380" s="15"/>
      <c r="TXT380" s="15"/>
      <c r="TXU380" s="15"/>
      <c r="TXV380" s="15"/>
      <c r="TXW380" s="15"/>
      <c r="TXX380" s="15"/>
      <c r="TXY380" s="15"/>
      <c r="TXZ380" s="15"/>
      <c r="TYA380" s="15"/>
      <c r="TYB380" s="10"/>
      <c r="TYC380" s="10"/>
      <c r="TYD380" s="21"/>
      <c r="TYE380" s="21"/>
      <c r="TYH380" s="21"/>
      <c r="TYI380" s="15"/>
      <c r="TYJ380" s="15"/>
      <c r="TYK380" s="15"/>
      <c r="TYL380" s="15"/>
      <c r="TYM380" s="15"/>
      <c r="TYN380" s="15"/>
      <c r="TYO380" s="15"/>
      <c r="TYP380" s="15"/>
      <c r="TYQ380" s="15"/>
      <c r="TYR380" s="15"/>
      <c r="TYS380" s="10"/>
      <c r="TYT380" s="10"/>
      <c r="TYU380" s="21"/>
      <c r="TYV380" s="21"/>
      <c r="TYY380" s="21"/>
      <c r="TYZ380" s="15"/>
      <c r="TZA380" s="15"/>
      <c r="TZB380" s="15"/>
      <c r="TZC380" s="15"/>
      <c r="TZD380" s="15"/>
      <c r="TZE380" s="15"/>
      <c r="TZF380" s="15"/>
      <c r="TZG380" s="15"/>
      <c r="TZH380" s="15"/>
      <c r="TZI380" s="15"/>
      <c r="TZJ380" s="10"/>
      <c r="TZK380" s="10"/>
      <c r="TZL380" s="21"/>
      <c r="TZM380" s="21"/>
      <c r="TZP380" s="21"/>
      <c r="TZQ380" s="15"/>
      <c r="TZR380" s="15"/>
      <c r="TZS380" s="15"/>
      <c r="TZT380" s="15"/>
      <c r="TZU380" s="15"/>
      <c r="TZV380" s="15"/>
      <c r="TZW380" s="15"/>
      <c r="TZX380" s="15"/>
      <c r="TZY380" s="15"/>
      <c r="TZZ380" s="15"/>
      <c r="UAA380" s="10"/>
      <c r="UAB380" s="10"/>
      <c r="UAC380" s="21"/>
      <c r="UAD380" s="21"/>
      <c r="UAG380" s="21"/>
      <c r="UAH380" s="15"/>
      <c r="UAI380" s="15"/>
      <c r="UAJ380" s="15"/>
      <c r="UAK380" s="15"/>
      <c r="UAL380" s="15"/>
      <c r="UAM380" s="15"/>
      <c r="UAN380" s="15"/>
      <c r="UAO380" s="15"/>
      <c r="UAP380" s="15"/>
      <c r="UAQ380" s="15"/>
      <c r="UAR380" s="10"/>
      <c r="UAS380" s="10"/>
      <c r="UAT380" s="21"/>
      <c r="UAU380" s="21"/>
      <c r="UAX380" s="21"/>
      <c r="UAY380" s="15"/>
      <c r="UAZ380" s="15"/>
      <c r="UBA380" s="15"/>
      <c r="UBB380" s="15"/>
      <c r="UBC380" s="15"/>
      <c r="UBD380" s="15"/>
      <c r="UBE380" s="15"/>
      <c r="UBF380" s="15"/>
      <c r="UBG380" s="15"/>
      <c r="UBH380" s="15"/>
      <c r="UBI380" s="10"/>
      <c r="UBJ380" s="10"/>
      <c r="UBK380" s="21"/>
      <c r="UBL380" s="21"/>
      <c r="UBO380" s="21"/>
      <c r="UBP380" s="15"/>
      <c r="UBQ380" s="15"/>
      <c r="UBR380" s="15"/>
      <c r="UBS380" s="15"/>
      <c r="UBT380" s="15"/>
      <c r="UBU380" s="15"/>
      <c r="UBV380" s="15"/>
      <c r="UBW380" s="15"/>
      <c r="UBX380" s="15"/>
      <c r="UBY380" s="15"/>
      <c r="UBZ380" s="10"/>
      <c r="UCA380" s="10"/>
      <c r="UCB380" s="21"/>
      <c r="UCC380" s="21"/>
      <c r="UCF380" s="21"/>
      <c r="UCG380" s="15"/>
      <c r="UCH380" s="15"/>
      <c r="UCI380" s="15"/>
      <c r="UCJ380" s="15"/>
      <c r="UCK380" s="15"/>
      <c r="UCL380" s="15"/>
      <c r="UCM380" s="15"/>
      <c r="UCN380" s="15"/>
      <c r="UCO380" s="15"/>
      <c r="UCP380" s="15"/>
      <c r="UCQ380" s="10"/>
      <c r="UCR380" s="10"/>
      <c r="UCS380" s="21"/>
      <c r="UCT380" s="21"/>
      <c r="UCW380" s="21"/>
      <c r="UCX380" s="15"/>
      <c r="UCY380" s="15"/>
      <c r="UCZ380" s="15"/>
      <c r="UDA380" s="15"/>
      <c r="UDB380" s="15"/>
      <c r="UDC380" s="15"/>
      <c r="UDD380" s="15"/>
      <c r="UDE380" s="15"/>
      <c r="UDF380" s="15"/>
      <c r="UDG380" s="15"/>
      <c r="UDH380" s="10"/>
      <c r="UDI380" s="10"/>
      <c r="UDJ380" s="21"/>
      <c r="UDK380" s="21"/>
      <c r="UDN380" s="21"/>
      <c r="UDO380" s="15"/>
      <c r="UDP380" s="15"/>
      <c r="UDQ380" s="15"/>
      <c r="UDR380" s="15"/>
      <c r="UDS380" s="15"/>
      <c r="UDT380" s="15"/>
      <c r="UDU380" s="15"/>
      <c r="UDV380" s="15"/>
      <c r="UDW380" s="15"/>
      <c r="UDX380" s="15"/>
      <c r="UDY380" s="10"/>
      <c r="UDZ380" s="10"/>
      <c r="UEA380" s="21"/>
      <c r="UEB380" s="21"/>
      <c r="UEE380" s="21"/>
      <c r="UEF380" s="15"/>
      <c r="UEG380" s="15"/>
      <c r="UEH380" s="15"/>
      <c r="UEI380" s="15"/>
      <c r="UEJ380" s="15"/>
      <c r="UEK380" s="15"/>
      <c r="UEL380" s="15"/>
      <c r="UEM380" s="15"/>
      <c r="UEN380" s="15"/>
      <c r="UEO380" s="15"/>
      <c r="UEP380" s="10"/>
      <c r="UEQ380" s="10"/>
      <c r="UER380" s="21"/>
      <c r="UES380" s="21"/>
      <c r="UEV380" s="21"/>
      <c r="UEW380" s="15"/>
      <c r="UEX380" s="15"/>
      <c r="UEY380" s="15"/>
      <c r="UEZ380" s="15"/>
      <c r="UFA380" s="15"/>
      <c r="UFB380" s="15"/>
      <c r="UFC380" s="15"/>
      <c r="UFD380" s="15"/>
      <c r="UFE380" s="15"/>
      <c r="UFF380" s="15"/>
      <c r="UFG380" s="10"/>
      <c r="UFH380" s="10"/>
      <c r="UFI380" s="21"/>
      <c r="UFJ380" s="21"/>
      <c r="UFM380" s="21"/>
      <c r="UFN380" s="15"/>
      <c r="UFO380" s="15"/>
      <c r="UFP380" s="15"/>
      <c r="UFQ380" s="15"/>
      <c r="UFR380" s="15"/>
      <c r="UFS380" s="15"/>
      <c r="UFT380" s="15"/>
      <c r="UFU380" s="15"/>
      <c r="UFV380" s="15"/>
      <c r="UFW380" s="15"/>
      <c r="UFX380" s="10"/>
      <c r="UFY380" s="10"/>
      <c r="UFZ380" s="21"/>
      <c r="UGA380" s="21"/>
      <c r="UGD380" s="21"/>
      <c r="UGE380" s="15"/>
      <c r="UGF380" s="15"/>
      <c r="UGG380" s="15"/>
      <c r="UGH380" s="15"/>
      <c r="UGI380" s="15"/>
      <c r="UGJ380" s="15"/>
      <c r="UGK380" s="15"/>
      <c r="UGL380" s="15"/>
      <c r="UGM380" s="15"/>
      <c r="UGN380" s="15"/>
      <c r="UGO380" s="10"/>
      <c r="UGP380" s="10"/>
      <c r="UGQ380" s="21"/>
      <c r="UGR380" s="21"/>
      <c r="UGU380" s="21"/>
      <c r="UGV380" s="15"/>
      <c r="UGW380" s="15"/>
      <c r="UGX380" s="15"/>
      <c r="UGY380" s="15"/>
      <c r="UGZ380" s="15"/>
      <c r="UHA380" s="15"/>
      <c r="UHB380" s="15"/>
      <c r="UHC380" s="15"/>
      <c r="UHD380" s="15"/>
      <c r="UHE380" s="15"/>
      <c r="UHF380" s="10"/>
      <c r="UHG380" s="10"/>
      <c r="UHH380" s="21"/>
      <c r="UHI380" s="21"/>
      <c r="UHL380" s="21"/>
      <c r="UHM380" s="15"/>
      <c r="UHN380" s="15"/>
      <c r="UHO380" s="15"/>
      <c r="UHP380" s="15"/>
      <c r="UHQ380" s="15"/>
      <c r="UHR380" s="15"/>
      <c r="UHS380" s="15"/>
      <c r="UHT380" s="15"/>
      <c r="UHU380" s="15"/>
      <c r="UHV380" s="15"/>
      <c r="UHW380" s="10"/>
      <c r="UHX380" s="10"/>
      <c r="UHY380" s="21"/>
      <c r="UHZ380" s="21"/>
      <c r="UIC380" s="21"/>
      <c r="UID380" s="15"/>
      <c r="UIE380" s="15"/>
      <c r="UIF380" s="15"/>
      <c r="UIG380" s="15"/>
      <c r="UIH380" s="15"/>
      <c r="UII380" s="15"/>
      <c r="UIJ380" s="15"/>
      <c r="UIK380" s="15"/>
      <c r="UIL380" s="15"/>
      <c r="UIM380" s="15"/>
      <c r="UIN380" s="10"/>
      <c r="UIO380" s="10"/>
      <c r="UIP380" s="21"/>
      <c r="UIQ380" s="21"/>
      <c r="UIT380" s="21"/>
      <c r="UIU380" s="15"/>
      <c r="UIV380" s="15"/>
      <c r="UIW380" s="15"/>
      <c r="UIX380" s="15"/>
      <c r="UIY380" s="15"/>
      <c r="UIZ380" s="15"/>
      <c r="UJA380" s="15"/>
      <c r="UJB380" s="15"/>
      <c r="UJC380" s="15"/>
      <c r="UJD380" s="15"/>
      <c r="UJE380" s="10"/>
      <c r="UJF380" s="10"/>
      <c r="UJG380" s="21"/>
      <c r="UJH380" s="21"/>
      <c r="UJK380" s="21"/>
      <c r="UJL380" s="15"/>
      <c r="UJM380" s="15"/>
      <c r="UJN380" s="15"/>
      <c r="UJO380" s="15"/>
      <c r="UJP380" s="15"/>
      <c r="UJQ380" s="15"/>
      <c r="UJR380" s="15"/>
      <c r="UJS380" s="15"/>
      <c r="UJT380" s="15"/>
      <c r="UJU380" s="15"/>
      <c r="UJV380" s="10"/>
      <c r="UJW380" s="10"/>
      <c r="UJX380" s="21"/>
      <c r="UJY380" s="21"/>
      <c r="UKB380" s="21"/>
      <c r="UKC380" s="15"/>
      <c r="UKD380" s="15"/>
      <c r="UKE380" s="15"/>
      <c r="UKF380" s="15"/>
      <c r="UKG380" s="15"/>
      <c r="UKH380" s="15"/>
      <c r="UKI380" s="15"/>
      <c r="UKJ380" s="15"/>
      <c r="UKK380" s="15"/>
      <c r="UKL380" s="15"/>
      <c r="UKM380" s="10"/>
      <c r="UKN380" s="10"/>
      <c r="UKO380" s="21"/>
      <c r="UKP380" s="21"/>
      <c r="UKS380" s="21"/>
      <c r="UKT380" s="15"/>
      <c r="UKU380" s="15"/>
      <c r="UKV380" s="15"/>
      <c r="UKW380" s="15"/>
      <c r="UKX380" s="15"/>
      <c r="UKY380" s="15"/>
      <c r="UKZ380" s="15"/>
      <c r="ULA380" s="15"/>
      <c r="ULB380" s="15"/>
      <c r="ULC380" s="15"/>
      <c r="ULD380" s="10"/>
      <c r="ULE380" s="10"/>
      <c r="ULF380" s="21"/>
      <c r="ULG380" s="21"/>
      <c r="ULJ380" s="21"/>
      <c r="ULK380" s="15"/>
      <c r="ULL380" s="15"/>
      <c r="ULM380" s="15"/>
      <c r="ULN380" s="15"/>
      <c r="ULO380" s="15"/>
      <c r="ULP380" s="15"/>
      <c r="ULQ380" s="15"/>
      <c r="ULR380" s="15"/>
      <c r="ULS380" s="15"/>
      <c r="ULT380" s="15"/>
      <c r="ULU380" s="10"/>
      <c r="ULV380" s="10"/>
      <c r="ULW380" s="21"/>
      <c r="ULX380" s="21"/>
      <c r="UMA380" s="21"/>
      <c r="UMB380" s="15"/>
      <c r="UMC380" s="15"/>
      <c r="UMD380" s="15"/>
      <c r="UME380" s="15"/>
      <c r="UMF380" s="15"/>
      <c r="UMG380" s="15"/>
      <c r="UMH380" s="15"/>
      <c r="UMI380" s="15"/>
      <c r="UMJ380" s="15"/>
      <c r="UMK380" s="15"/>
      <c r="UML380" s="10"/>
      <c r="UMM380" s="10"/>
      <c r="UMN380" s="21"/>
      <c r="UMO380" s="21"/>
      <c r="UMR380" s="21"/>
      <c r="UMS380" s="15"/>
      <c r="UMT380" s="15"/>
      <c r="UMU380" s="15"/>
      <c r="UMV380" s="15"/>
      <c r="UMW380" s="15"/>
      <c r="UMX380" s="15"/>
      <c r="UMY380" s="15"/>
      <c r="UMZ380" s="15"/>
      <c r="UNA380" s="15"/>
      <c r="UNB380" s="15"/>
      <c r="UNC380" s="10"/>
      <c r="UND380" s="10"/>
      <c r="UNE380" s="21"/>
      <c r="UNF380" s="21"/>
      <c r="UNI380" s="21"/>
      <c r="UNJ380" s="15"/>
      <c r="UNK380" s="15"/>
      <c r="UNL380" s="15"/>
      <c r="UNM380" s="15"/>
      <c r="UNN380" s="15"/>
      <c r="UNO380" s="15"/>
      <c r="UNP380" s="15"/>
      <c r="UNQ380" s="15"/>
      <c r="UNR380" s="15"/>
      <c r="UNS380" s="15"/>
      <c r="UNT380" s="10"/>
      <c r="UNU380" s="10"/>
      <c r="UNV380" s="21"/>
      <c r="UNW380" s="21"/>
      <c r="UNZ380" s="21"/>
      <c r="UOA380" s="15"/>
      <c r="UOB380" s="15"/>
      <c r="UOC380" s="15"/>
      <c r="UOD380" s="15"/>
      <c r="UOE380" s="15"/>
      <c r="UOF380" s="15"/>
      <c r="UOG380" s="15"/>
      <c r="UOH380" s="15"/>
      <c r="UOI380" s="15"/>
      <c r="UOJ380" s="15"/>
      <c r="UOK380" s="10"/>
      <c r="UOL380" s="10"/>
      <c r="UOM380" s="21"/>
      <c r="UON380" s="21"/>
      <c r="UOQ380" s="21"/>
      <c r="UOR380" s="15"/>
      <c r="UOS380" s="15"/>
      <c r="UOT380" s="15"/>
      <c r="UOU380" s="15"/>
      <c r="UOV380" s="15"/>
      <c r="UOW380" s="15"/>
      <c r="UOX380" s="15"/>
      <c r="UOY380" s="15"/>
      <c r="UOZ380" s="15"/>
      <c r="UPA380" s="15"/>
      <c r="UPB380" s="10"/>
      <c r="UPC380" s="10"/>
      <c r="UPD380" s="21"/>
      <c r="UPE380" s="21"/>
      <c r="UPH380" s="21"/>
      <c r="UPI380" s="15"/>
      <c r="UPJ380" s="15"/>
      <c r="UPK380" s="15"/>
      <c r="UPL380" s="15"/>
      <c r="UPM380" s="15"/>
      <c r="UPN380" s="15"/>
      <c r="UPO380" s="15"/>
      <c r="UPP380" s="15"/>
      <c r="UPQ380" s="15"/>
      <c r="UPR380" s="15"/>
      <c r="UPS380" s="10"/>
      <c r="UPT380" s="10"/>
      <c r="UPU380" s="21"/>
      <c r="UPV380" s="21"/>
      <c r="UPY380" s="21"/>
      <c r="UPZ380" s="15"/>
      <c r="UQA380" s="15"/>
      <c r="UQB380" s="15"/>
      <c r="UQC380" s="15"/>
      <c r="UQD380" s="15"/>
      <c r="UQE380" s="15"/>
      <c r="UQF380" s="15"/>
      <c r="UQG380" s="15"/>
      <c r="UQH380" s="15"/>
      <c r="UQI380" s="15"/>
      <c r="UQJ380" s="10"/>
      <c r="UQK380" s="10"/>
      <c r="UQL380" s="21"/>
      <c r="UQM380" s="21"/>
      <c r="UQP380" s="21"/>
      <c r="UQQ380" s="15"/>
      <c r="UQR380" s="15"/>
      <c r="UQS380" s="15"/>
      <c r="UQT380" s="15"/>
      <c r="UQU380" s="15"/>
      <c r="UQV380" s="15"/>
      <c r="UQW380" s="15"/>
      <c r="UQX380" s="15"/>
      <c r="UQY380" s="15"/>
      <c r="UQZ380" s="15"/>
      <c r="URA380" s="10"/>
      <c r="URB380" s="10"/>
      <c r="URC380" s="21"/>
      <c r="URD380" s="21"/>
      <c r="URG380" s="21"/>
      <c r="URH380" s="15"/>
      <c r="URI380" s="15"/>
      <c r="URJ380" s="15"/>
      <c r="URK380" s="15"/>
      <c r="URL380" s="15"/>
      <c r="URM380" s="15"/>
      <c r="URN380" s="15"/>
      <c r="URO380" s="15"/>
      <c r="URP380" s="15"/>
      <c r="URQ380" s="15"/>
      <c r="URR380" s="10"/>
      <c r="URS380" s="10"/>
      <c r="URT380" s="21"/>
      <c r="URU380" s="21"/>
      <c r="URX380" s="21"/>
      <c r="URY380" s="15"/>
      <c r="URZ380" s="15"/>
      <c r="USA380" s="15"/>
      <c r="USB380" s="15"/>
      <c r="USC380" s="15"/>
      <c r="USD380" s="15"/>
      <c r="USE380" s="15"/>
      <c r="USF380" s="15"/>
      <c r="USG380" s="15"/>
      <c r="USH380" s="15"/>
      <c r="USI380" s="10"/>
      <c r="USJ380" s="10"/>
      <c r="USK380" s="21"/>
      <c r="USL380" s="21"/>
      <c r="USO380" s="21"/>
      <c r="USP380" s="15"/>
      <c r="USQ380" s="15"/>
      <c r="USR380" s="15"/>
      <c r="USS380" s="15"/>
      <c r="UST380" s="15"/>
      <c r="USU380" s="15"/>
      <c r="USV380" s="15"/>
      <c r="USW380" s="15"/>
      <c r="USX380" s="15"/>
      <c r="USY380" s="15"/>
      <c r="USZ380" s="10"/>
      <c r="UTA380" s="10"/>
      <c r="UTB380" s="21"/>
      <c r="UTC380" s="21"/>
      <c r="UTF380" s="21"/>
      <c r="UTG380" s="15"/>
      <c r="UTH380" s="15"/>
      <c r="UTI380" s="15"/>
      <c r="UTJ380" s="15"/>
      <c r="UTK380" s="15"/>
      <c r="UTL380" s="15"/>
      <c r="UTM380" s="15"/>
      <c r="UTN380" s="15"/>
      <c r="UTO380" s="15"/>
      <c r="UTP380" s="15"/>
      <c r="UTQ380" s="10"/>
      <c r="UTR380" s="10"/>
      <c r="UTS380" s="21"/>
      <c r="UTT380" s="21"/>
      <c r="UTW380" s="21"/>
      <c r="UTX380" s="15"/>
      <c r="UTY380" s="15"/>
      <c r="UTZ380" s="15"/>
      <c r="UUA380" s="15"/>
      <c r="UUB380" s="15"/>
      <c r="UUC380" s="15"/>
      <c r="UUD380" s="15"/>
      <c r="UUE380" s="15"/>
      <c r="UUF380" s="15"/>
      <c r="UUG380" s="15"/>
      <c r="UUH380" s="10"/>
      <c r="UUI380" s="10"/>
      <c r="UUJ380" s="21"/>
      <c r="UUK380" s="21"/>
      <c r="UUN380" s="21"/>
      <c r="UUO380" s="15"/>
      <c r="UUP380" s="15"/>
      <c r="UUQ380" s="15"/>
      <c r="UUR380" s="15"/>
      <c r="UUS380" s="15"/>
      <c r="UUT380" s="15"/>
      <c r="UUU380" s="15"/>
      <c r="UUV380" s="15"/>
      <c r="UUW380" s="15"/>
      <c r="UUX380" s="15"/>
      <c r="UUY380" s="10"/>
      <c r="UUZ380" s="10"/>
      <c r="UVA380" s="21"/>
      <c r="UVB380" s="21"/>
      <c r="UVE380" s="21"/>
      <c r="UVF380" s="15"/>
      <c r="UVG380" s="15"/>
      <c r="UVH380" s="15"/>
      <c r="UVI380" s="15"/>
      <c r="UVJ380" s="15"/>
      <c r="UVK380" s="15"/>
      <c r="UVL380" s="15"/>
      <c r="UVM380" s="15"/>
      <c r="UVN380" s="15"/>
      <c r="UVO380" s="15"/>
      <c r="UVP380" s="10"/>
      <c r="UVQ380" s="10"/>
      <c r="UVR380" s="21"/>
      <c r="UVS380" s="21"/>
      <c r="UVV380" s="21"/>
      <c r="UVW380" s="15"/>
      <c r="UVX380" s="15"/>
      <c r="UVY380" s="15"/>
      <c r="UVZ380" s="15"/>
      <c r="UWA380" s="15"/>
      <c r="UWB380" s="15"/>
      <c r="UWC380" s="15"/>
      <c r="UWD380" s="15"/>
      <c r="UWE380" s="15"/>
      <c r="UWF380" s="15"/>
      <c r="UWG380" s="10"/>
      <c r="UWH380" s="10"/>
      <c r="UWI380" s="21"/>
      <c r="UWJ380" s="21"/>
      <c r="UWM380" s="21"/>
      <c r="UWN380" s="15"/>
      <c r="UWO380" s="15"/>
      <c r="UWP380" s="15"/>
      <c r="UWQ380" s="15"/>
      <c r="UWR380" s="15"/>
      <c r="UWS380" s="15"/>
      <c r="UWT380" s="15"/>
      <c r="UWU380" s="15"/>
      <c r="UWV380" s="15"/>
      <c r="UWW380" s="15"/>
      <c r="UWX380" s="10"/>
      <c r="UWY380" s="10"/>
      <c r="UWZ380" s="21"/>
      <c r="UXA380" s="21"/>
      <c r="UXD380" s="21"/>
      <c r="UXE380" s="15"/>
      <c r="UXF380" s="15"/>
      <c r="UXG380" s="15"/>
      <c r="UXH380" s="15"/>
      <c r="UXI380" s="15"/>
      <c r="UXJ380" s="15"/>
      <c r="UXK380" s="15"/>
      <c r="UXL380" s="15"/>
      <c r="UXM380" s="15"/>
      <c r="UXN380" s="15"/>
      <c r="UXO380" s="10"/>
      <c r="UXP380" s="10"/>
      <c r="UXQ380" s="21"/>
      <c r="UXR380" s="21"/>
      <c r="UXU380" s="21"/>
      <c r="UXV380" s="15"/>
      <c r="UXW380" s="15"/>
      <c r="UXX380" s="15"/>
      <c r="UXY380" s="15"/>
      <c r="UXZ380" s="15"/>
      <c r="UYA380" s="15"/>
      <c r="UYB380" s="15"/>
      <c r="UYC380" s="15"/>
      <c r="UYD380" s="15"/>
      <c r="UYE380" s="15"/>
      <c r="UYF380" s="10"/>
      <c r="UYG380" s="10"/>
      <c r="UYH380" s="21"/>
      <c r="UYI380" s="21"/>
      <c r="UYL380" s="21"/>
      <c r="UYM380" s="15"/>
      <c r="UYN380" s="15"/>
      <c r="UYO380" s="15"/>
      <c r="UYP380" s="15"/>
      <c r="UYQ380" s="15"/>
      <c r="UYR380" s="15"/>
      <c r="UYS380" s="15"/>
      <c r="UYT380" s="15"/>
      <c r="UYU380" s="15"/>
      <c r="UYV380" s="15"/>
      <c r="UYW380" s="10"/>
      <c r="UYX380" s="10"/>
      <c r="UYY380" s="21"/>
      <c r="UYZ380" s="21"/>
      <c r="UZC380" s="21"/>
      <c r="UZD380" s="15"/>
      <c r="UZE380" s="15"/>
      <c r="UZF380" s="15"/>
      <c r="UZG380" s="15"/>
      <c r="UZH380" s="15"/>
      <c r="UZI380" s="15"/>
      <c r="UZJ380" s="15"/>
      <c r="UZK380" s="15"/>
      <c r="UZL380" s="15"/>
      <c r="UZM380" s="15"/>
      <c r="UZN380" s="10"/>
      <c r="UZO380" s="10"/>
      <c r="UZP380" s="21"/>
      <c r="UZQ380" s="21"/>
      <c r="UZT380" s="21"/>
      <c r="UZU380" s="15"/>
      <c r="UZV380" s="15"/>
      <c r="UZW380" s="15"/>
      <c r="UZX380" s="15"/>
      <c r="UZY380" s="15"/>
      <c r="UZZ380" s="15"/>
      <c r="VAA380" s="15"/>
      <c r="VAB380" s="15"/>
      <c r="VAC380" s="15"/>
      <c r="VAD380" s="15"/>
      <c r="VAE380" s="10"/>
      <c r="VAF380" s="10"/>
      <c r="VAG380" s="21"/>
      <c r="VAH380" s="21"/>
      <c r="VAK380" s="21"/>
      <c r="VAL380" s="15"/>
      <c r="VAM380" s="15"/>
      <c r="VAN380" s="15"/>
      <c r="VAO380" s="15"/>
      <c r="VAP380" s="15"/>
      <c r="VAQ380" s="15"/>
      <c r="VAR380" s="15"/>
      <c r="VAS380" s="15"/>
      <c r="VAT380" s="15"/>
      <c r="VAU380" s="15"/>
      <c r="VAV380" s="10"/>
      <c r="VAW380" s="10"/>
      <c r="VAX380" s="21"/>
      <c r="VAY380" s="21"/>
      <c r="VBB380" s="21"/>
      <c r="VBC380" s="15"/>
      <c r="VBD380" s="15"/>
      <c r="VBE380" s="15"/>
      <c r="VBF380" s="15"/>
      <c r="VBG380" s="15"/>
      <c r="VBH380" s="15"/>
      <c r="VBI380" s="15"/>
      <c r="VBJ380" s="15"/>
      <c r="VBK380" s="15"/>
      <c r="VBL380" s="15"/>
      <c r="VBM380" s="10"/>
      <c r="VBN380" s="10"/>
      <c r="VBO380" s="21"/>
      <c r="VBP380" s="21"/>
      <c r="VBS380" s="21"/>
      <c r="VBT380" s="15"/>
      <c r="VBU380" s="15"/>
      <c r="VBV380" s="15"/>
      <c r="VBW380" s="15"/>
      <c r="VBX380" s="15"/>
      <c r="VBY380" s="15"/>
      <c r="VBZ380" s="15"/>
      <c r="VCA380" s="15"/>
      <c r="VCB380" s="15"/>
      <c r="VCC380" s="15"/>
      <c r="VCD380" s="10"/>
      <c r="VCE380" s="10"/>
      <c r="VCF380" s="21"/>
      <c r="VCG380" s="21"/>
      <c r="VCJ380" s="21"/>
      <c r="VCK380" s="15"/>
      <c r="VCL380" s="15"/>
      <c r="VCM380" s="15"/>
      <c r="VCN380" s="15"/>
      <c r="VCO380" s="15"/>
      <c r="VCP380" s="15"/>
      <c r="VCQ380" s="15"/>
      <c r="VCR380" s="15"/>
      <c r="VCS380" s="15"/>
      <c r="VCT380" s="15"/>
      <c r="VCU380" s="10"/>
      <c r="VCV380" s="10"/>
      <c r="VCW380" s="21"/>
      <c r="VCX380" s="21"/>
      <c r="VDA380" s="21"/>
      <c r="VDB380" s="15"/>
      <c r="VDC380" s="15"/>
      <c r="VDD380" s="15"/>
      <c r="VDE380" s="15"/>
      <c r="VDF380" s="15"/>
      <c r="VDG380" s="15"/>
      <c r="VDH380" s="15"/>
      <c r="VDI380" s="15"/>
      <c r="VDJ380" s="15"/>
      <c r="VDK380" s="15"/>
      <c r="VDL380" s="10"/>
      <c r="VDM380" s="10"/>
      <c r="VDN380" s="21"/>
      <c r="VDO380" s="21"/>
      <c r="VDR380" s="21"/>
      <c r="VDS380" s="15"/>
      <c r="VDT380" s="15"/>
      <c r="VDU380" s="15"/>
      <c r="VDV380" s="15"/>
      <c r="VDW380" s="15"/>
      <c r="VDX380" s="15"/>
      <c r="VDY380" s="15"/>
      <c r="VDZ380" s="15"/>
      <c r="VEA380" s="15"/>
      <c r="VEB380" s="15"/>
      <c r="VEC380" s="10"/>
      <c r="VED380" s="10"/>
      <c r="VEE380" s="21"/>
      <c r="VEF380" s="21"/>
      <c r="VEI380" s="21"/>
      <c r="VEJ380" s="15"/>
      <c r="VEK380" s="15"/>
      <c r="VEL380" s="15"/>
      <c r="VEM380" s="15"/>
      <c r="VEN380" s="15"/>
      <c r="VEO380" s="15"/>
      <c r="VEP380" s="15"/>
      <c r="VEQ380" s="15"/>
      <c r="VER380" s="15"/>
      <c r="VES380" s="15"/>
      <c r="VET380" s="10"/>
      <c r="VEU380" s="10"/>
      <c r="VEV380" s="21"/>
      <c r="VEW380" s="21"/>
      <c r="VEZ380" s="21"/>
      <c r="VFA380" s="15"/>
      <c r="VFB380" s="15"/>
      <c r="VFC380" s="15"/>
      <c r="VFD380" s="15"/>
      <c r="VFE380" s="15"/>
      <c r="VFF380" s="15"/>
      <c r="VFG380" s="15"/>
      <c r="VFH380" s="15"/>
      <c r="VFI380" s="15"/>
      <c r="VFJ380" s="15"/>
      <c r="VFK380" s="10"/>
      <c r="VFL380" s="10"/>
      <c r="VFM380" s="21"/>
      <c r="VFN380" s="21"/>
      <c r="VFQ380" s="21"/>
      <c r="VFR380" s="15"/>
      <c r="VFS380" s="15"/>
      <c r="VFT380" s="15"/>
      <c r="VFU380" s="15"/>
      <c r="VFV380" s="15"/>
      <c r="VFW380" s="15"/>
      <c r="VFX380" s="15"/>
      <c r="VFY380" s="15"/>
      <c r="VFZ380" s="15"/>
      <c r="VGA380" s="15"/>
      <c r="VGB380" s="10"/>
      <c r="VGC380" s="10"/>
      <c r="VGD380" s="21"/>
      <c r="VGE380" s="21"/>
      <c r="VGH380" s="21"/>
      <c r="VGI380" s="15"/>
      <c r="VGJ380" s="15"/>
      <c r="VGK380" s="15"/>
      <c r="VGL380" s="15"/>
      <c r="VGM380" s="15"/>
      <c r="VGN380" s="15"/>
      <c r="VGO380" s="15"/>
      <c r="VGP380" s="15"/>
      <c r="VGQ380" s="15"/>
      <c r="VGR380" s="15"/>
      <c r="VGS380" s="10"/>
      <c r="VGT380" s="10"/>
      <c r="VGU380" s="21"/>
      <c r="VGV380" s="21"/>
      <c r="VGY380" s="21"/>
      <c r="VGZ380" s="15"/>
      <c r="VHA380" s="15"/>
      <c r="VHB380" s="15"/>
      <c r="VHC380" s="15"/>
      <c r="VHD380" s="15"/>
      <c r="VHE380" s="15"/>
      <c r="VHF380" s="15"/>
      <c r="VHG380" s="15"/>
      <c r="VHH380" s="15"/>
      <c r="VHI380" s="15"/>
      <c r="VHJ380" s="10"/>
      <c r="VHK380" s="10"/>
      <c r="VHL380" s="21"/>
      <c r="VHM380" s="21"/>
      <c r="VHP380" s="21"/>
      <c r="VHQ380" s="15"/>
      <c r="VHR380" s="15"/>
      <c r="VHS380" s="15"/>
      <c r="VHT380" s="15"/>
      <c r="VHU380" s="15"/>
      <c r="VHV380" s="15"/>
      <c r="VHW380" s="15"/>
      <c r="VHX380" s="15"/>
      <c r="VHY380" s="15"/>
      <c r="VHZ380" s="15"/>
      <c r="VIA380" s="10"/>
      <c r="VIB380" s="10"/>
      <c r="VIC380" s="21"/>
      <c r="VID380" s="21"/>
      <c r="VIG380" s="21"/>
      <c r="VIH380" s="15"/>
      <c r="VII380" s="15"/>
      <c r="VIJ380" s="15"/>
      <c r="VIK380" s="15"/>
      <c r="VIL380" s="15"/>
      <c r="VIM380" s="15"/>
      <c r="VIN380" s="15"/>
      <c r="VIO380" s="15"/>
      <c r="VIP380" s="15"/>
      <c r="VIQ380" s="15"/>
      <c r="VIR380" s="10"/>
      <c r="VIS380" s="10"/>
      <c r="VIT380" s="21"/>
      <c r="VIU380" s="21"/>
      <c r="VIX380" s="21"/>
      <c r="VIY380" s="15"/>
      <c r="VIZ380" s="15"/>
      <c r="VJA380" s="15"/>
      <c r="VJB380" s="15"/>
      <c r="VJC380" s="15"/>
      <c r="VJD380" s="15"/>
      <c r="VJE380" s="15"/>
      <c r="VJF380" s="15"/>
      <c r="VJG380" s="15"/>
      <c r="VJH380" s="15"/>
      <c r="VJI380" s="10"/>
      <c r="VJJ380" s="10"/>
      <c r="VJK380" s="21"/>
      <c r="VJL380" s="21"/>
      <c r="VJO380" s="21"/>
      <c r="VJP380" s="15"/>
      <c r="VJQ380" s="15"/>
      <c r="VJR380" s="15"/>
      <c r="VJS380" s="15"/>
      <c r="VJT380" s="15"/>
      <c r="VJU380" s="15"/>
      <c r="VJV380" s="15"/>
      <c r="VJW380" s="15"/>
      <c r="VJX380" s="15"/>
      <c r="VJY380" s="15"/>
      <c r="VJZ380" s="10"/>
      <c r="VKA380" s="10"/>
      <c r="VKB380" s="21"/>
      <c r="VKC380" s="21"/>
      <c r="VKF380" s="21"/>
      <c r="VKG380" s="15"/>
      <c r="VKH380" s="15"/>
      <c r="VKI380" s="15"/>
      <c r="VKJ380" s="15"/>
      <c r="VKK380" s="15"/>
      <c r="VKL380" s="15"/>
      <c r="VKM380" s="15"/>
      <c r="VKN380" s="15"/>
      <c r="VKO380" s="15"/>
      <c r="VKP380" s="15"/>
      <c r="VKQ380" s="10"/>
      <c r="VKR380" s="10"/>
      <c r="VKS380" s="21"/>
      <c r="VKT380" s="21"/>
      <c r="VKW380" s="21"/>
      <c r="VKX380" s="15"/>
      <c r="VKY380" s="15"/>
      <c r="VKZ380" s="15"/>
      <c r="VLA380" s="15"/>
      <c r="VLB380" s="15"/>
      <c r="VLC380" s="15"/>
      <c r="VLD380" s="15"/>
      <c r="VLE380" s="15"/>
      <c r="VLF380" s="15"/>
      <c r="VLG380" s="15"/>
      <c r="VLH380" s="10"/>
      <c r="VLI380" s="10"/>
      <c r="VLJ380" s="21"/>
      <c r="VLK380" s="21"/>
      <c r="VLN380" s="21"/>
      <c r="VLO380" s="15"/>
      <c r="VLP380" s="15"/>
      <c r="VLQ380" s="15"/>
      <c r="VLR380" s="15"/>
      <c r="VLS380" s="15"/>
      <c r="VLT380" s="15"/>
      <c r="VLU380" s="15"/>
      <c r="VLV380" s="15"/>
      <c r="VLW380" s="15"/>
      <c r="VLX380" s="15"/>
      <c r="VLY380" s="10"/>
      <c r="VLZ380" s="10"/>
      <c r="VMA380" s="21"/>
      <c r="VMB380" s="21"/>
      <c r="VME380" s="21"/>
      <c r="VMF380" s="15"/>
      <c r="VMG380" s="15"/>
      <c r="VMH380" s="15"/>
      <c r="VMI380" s="15"/>
      <c r="VMJ380" s="15"/>
      <c r="VMK380" s="15"/>
      <c r="VML380" s="15"/>
      <c r="VMM380" s="15"/>
      <c r="VMN380" s="15"/>
      <c r="VMO380" s="15"/>
      <c r="VMP380" s="10"/>
      <c r="VMQ380" s="10"/>
      <c r="VMR380" s="21"/>
      <c r="VMS380" s="21"/>
      <c r="VMV380" s="21"/>
      <c r="VMW380" s="15"/>
      <c r="VMX380" s="15"/>
      <c r="VMY380" s="15"/>
      <c r="VMZ380" s="15"/>
      <c r="VNA380" s="15"/>
      <c r="VNB380" s="15"/>
      <c r="VNC380" s="15"/>
      <c r="VND380" s="15"/>
      <c r="VNE380" s="15"/>
      <c r="VNF380" s="15"/>
      <c r="VNG380" s="10"/>
      <c r="VNH380" s="10"/>
      <c r="VNI380" s="21"/>
      <c r="VNJ380" s="21"/>
      <c r="VNM380" s="21"/>
      <c r="VNN380" s="15"/>
      <c r="VNO380" s="15"/>
      <c r="VNP380" s="15"/>
      <c r="VNQ380" s="15"/>
      <c r="VNR380" s="15"/>
      <c r="VNS380" s="15"/>
      <c r="VNT380" s="15"/>
      <c r="VNU380" s="15"/>
      <c r="VNV380" s="15"/>
      <c r="VNW380" s="15"/>
      <c r="VNX380" s="10"/>
      <c r="VNY380" s="10"/>
      <c r="VNZ380" s="21"/>
      <c r="VOA380" s="21"/>
      <c r="VOD380" s="21"/>
      <c r="VOE380" s="15"/>
      <c r="VOF380" s="15"/>
      <c r="VOG380" s="15"/>
      <c r="VOH380" s="15"/>
      <c r="VOI380" s="15"/>
      <c r="VOJ380" s="15"/>
      <c r="VOK380" s="15"/>
      <c r="VOL380" s="15"/>
      <c r="VOM380" s="15"/>
      <c r="VON380" s="15"/>
      <c r="VOO380" s="10"/>
      <c r="VOP380" s="10"/>
      <c r="VOQ380" s="21"/>
      <c r="VOR380" s="21"/>
      <c r="VOU380" s="21"/>
      <c r="VOV380" s="15"/>
      <c r="VOW380" s="15"/>
      <c r="VOX380" s="15"/>
      <c r="VOY380" s="15"/>
      <c r="VOZ380" s="15"/>
      <c r="VPA380" s="15"/>
      <c r="VPB380" s="15"/>
      <c r="VPC380" s="15"/>
      <c r="VPD380" s="15"/>
      <c r="VPE380" s="15"/>
      <c r="VPF380" s="10"/>
      <c r="VPG380" s="10"/>
      <c r="VPH380" s="21"/>
      <c r="VPI380" s="21"/>
      <c r="VPL380" s="21"/>
      <c r="VPM380" s="15"/>
      <c r="VPN380" s="15"/>
      <c r="VPO380" s="15"/>
      <c r="VPP380" s="15"/>
      <c r="VPQ380" s="15"/>
      <c r="VPR380" s="15"/>
      <c r="VPS380" s="15"/>
      <c r="VPT380" s="15"/>
      <c r="VPU380" s="15"/>
      <c r="VPV380" s="15"/>
      <c r="VPW380" s="10"/>
      <c r="VPX380" s="10"/>
      <c r="VPY380" s="21"/>
      <c r="VPZ380" s="21"/>
      <c r="VQC380" s="21"/>
      <c r="VQD380" s="15"/>
      <c r="VQE380" s="15"/>
      <c r="VQF380" s="15"/>
      <c r="VQG380" s="15"/>
      <c r="VQH380" s="15"/>
      <c r="VQI380" s="15"/>
      <c r="VQJ380" s="15"/>
      <c r="VQK380" s="15"/>
      <c r="VQL380" s="15"/>
      <c r="VQM380" s="15"/>
      <c r="VQN380" s="10"/>
      <c r="VQO380" s="10"/>
      <c r="VQP380" s="21"/>
      <c r="VQQ380" s="21"/>
      <c r="VQT380" s="21"/>
      <c r="VQU380" s="15"/>
      <c r="VQV380" s="15"/>
      <c r="VQW380" s="15"/>
      <c r="VQX380" s="15"/>
      <c r="VQY380" s="15"/>
      <c r="VQZ380" s="15"/>
      <c r="VRA380" s="15"/>
      <c r="VRB380" s="15"/>
      <c r="VRC380" s="15"/>
      <c r="VRD380" s="15"/>
      <c r="VRE380" s="10"/>
      <c r="VRF380" s="10"/>
      <c r="VRG380" s="21"/>
      <c r="VRH380" s="21"/>
      <c r="VRK380" s="21"/>
      <c r="VRL380" s="15"/>
      <c r="VRM380" s="15"/>
      <c r="VRN380" s="15"/>
      <c r="VRO380" s="15"/>
      <c r="VRP380" s="15"/>
      <c r="VRQ380" s="15"/>
      <c r="VRR380" s="15"/>
      <c r="VRS380" s="15"/>
      <c r="VRT380" s="15"/>
      <c r="VRU380" s="15"/>
      <c r="VRV380" s="10"/>
      <c r="VRW380" s="10"/>
      <c r="VRX380" s="21"/>
      <c r="VRY380" s="21"/>
      <c r="VSB380" s="21"/>
      <c r="VSC380" s="15"/>
      <c r="VSD380" s="15"/>
      <c r="VSE380" s="15"/>
      <c r="VSF380" s="15"/>
      <c r="VSG380" s="15"/>
      <c r="VSH380" s="15"/>
      <c r="VSI380" s="15"/>
      <c r="VSJ380" s="15"/>
      <c r="VSK380" s="15"/>
      <c r="VSL380" s="15"/>
      <c r="VSM380" s="10"/>
      <c r="VSN380" s="10"/>
      <c r="VSO380" s="21"/>
      <c r="VSP380" s="21"/>
      <c r="VSS380" s="21"/>
      <c r="VST380" s="15"/>
      <c r="VSU380" s="15"/>
      <c r="VSV380" s="15"/>
      <c r="VSW380" s="15"/>
      <c r="VSX380" s="15"/>
      <c r="VSY380" s="15"/>
      <c r="VSZ380" s="15"/>
      <c r="VTA380" s="15"/>
      <c r="VTB380" s="15"/>
      <c r="VTC380" s="15"/>
      <c r="VTD380" s="10"/>
      <c r="VTE380" s="10"/>
      <c r="VTF380" s="21"/>
      <c r="VTG380" s="21"/>
      <c r="VTJ380" s="21"/>
      <c r="VTK380" s="15"/>
      <c r="VTL380" s="15"/>
      <c r="VTM380" s="15"/>
      <c r="VTN380" s="15"/>
      <c r="VTO380" s="15"/>
      <c r="VTP380" s="15"/>
      <c r="VTQ380" s="15"/>
      <c r="VTR380" s="15"/>
      <c r="VTS380" s="15"/>
      <c r="VTT380" s="15"/>
      <c r="VTU380" s="10"/>
      <c r="VTV380" s="10"/>
      <c r="VTW380" s="21"/>
      <c r="VTX380" s="21"/>
      <c r="VUA380" s="21"/>
      <c r="VUB380" s="15"/>
      <c r="VUC380" s="15"/>
      <c r="VUD380" s="15"/>
      <c r="VUE380" s="15"/>
      <c r="VUF380" s="15"/>
      <c r="VUG380" s="15"/>
      <c r="VUH380" s="15"/>
      <c r="VUI380" s="15"/>
      <c r="VUJ380" s="15"/>
      <c r="VUK380" s="15"/>
      <c r="VUL380" s="10"/>
      <c r="VUM380" s="10"/>
      <c r="VUN380" s="21"/>
      <c r="VUO380" s="21"/>
      <c r="VUR380" s="21"/>
      <c r="VUS380" s="15"/>
      <c r="VUT380" s="15"/>
      <c r="VUU380" s="15"/>
      <c r="VUV380" s="15"/>
      <c r="VUW380" s="15"/>
      <c r="VUX380" s="15"/>
      <c r="VUY380" s="15"/>
      <c r="VUZ380" s="15"/>
      <c r="VVA380" s="15"/>
      <c r="VVB380" s="15"/>
      <c r="VVC380" s="10"/>
      <c r="VVD380" s="10"/>
      <c r="VVE380" s="21"/>
      <c r="VVF380" s="21"/>
      <c r="VVI380" s="21"/>
      <c r="VVJ380" s="15"/>
      <c r="VVK380" s="15"/>
      <c r="VVL380" s="15"/>
      <c r="VVM380" s="15"/>
      <c r="VVN380" s="15"/>
      <c r="VVO380" s="15"/>
      <c r="VVP380" s="15"/>
      <c r="VVQ380" s="15"/>
      <c r="VVR380" s="15"/>
      <c r="VVS380" s="15"/>
      <c r="VVT380" s="10"/>
      <c r="VVU380" s="10"/>
      <c r="VVV380" s="21"/>
      <c r="VVW380" s="21"/>
      <c r="VVZ380" s="21"/>
      <c r="VWA380" s="15"/>
      <c r="VWB380" s="15"/>
      <c r="VWC380" s="15"/>
      <c r="VWD380" s="15"/>
      <c r="VWE380" s="15"/>
      <c r="VWF380" s="15"/>
      <c r="VWG380" s="15"/>
      <c r="VWH380" s="15"/>
      <c r="VWI380" s="15"/>
      <c r="VWJ380" s="15"/>
      <c r="VWK380" s="10"/>
      <c r="VWL380" s="10"/>
      <c r="VWM380" s="21"/>
      <c r="VWN380" s="21"/>
      <c r="VWQ380" s="21"/>
      <c r="VWR380" s="15"/>
      <c r="VWS380" s="15"/>
      <c r="VWT380" s="15"/>
      <c r="VWU380" s="15"/>
      <c r="VWV380" s="15"/>
      <c r="VWW380" s="15"/>
      <c r="VWX380" s="15"/>
      <c r="VWY380" s="15"/>
      <c r="VWZ380" s="15"/>
      <c r="VXA380" s="15"/>
      <c r="VXB380" s="10"/>
      <c r="VXC380" s="10"/>
      <c r="VXD380" s="21"/>
      <c r="VXE380" s="21"/>
      <c r="VXH380" s="21"/>
      <c r="VXI380" s="15"/>
      <c r="VXJ380" s="15"/>
      <c r="VXK380" s="15"/>
      <c r="VXL380" s="15"/>
      <c r="VXM380" s="15"/>
      <c r="VXN380" s="15"/>
      <c r="VXO380" s="15"/>
      <c r="VXP380" s="15"/>
      <c r="VXQ380" s="15"/>
      <c r="VXR380" s="15"/>
      <c r="VXS380" s="10"/>
      <c r="VXT380" s="10"/>
      <c r="VXU380" s="21"/>
      <c r="VXV380" s="21"/>
      <c r="VXY380" s="21"/>
      <c r="VXZ380" s="15"/>
      <c r="VYA380" s="15"/>
      <c r="VYB380" s="15"/>
      <c r="VYC380" s="15"/>
      <c r="VYD380" s="15"/>
      <c r="VYE380" s="15"/>
      <c r="VYF380" s="15"/>
      <c r="VYG380" s="15"/>
      <c r="VYH380" s="15"/>
      <c r="VYI380" s="15"/>
      <c r="VYJ380" s="10"/>
      <c r="VYK380" s="10"/>
      <c r="VYL380" s="21"/>
      <c r="VYM380" s="21"/>
      <c r="VYP380" s="21"/>
      <c r="VYQ380" s="15"/>
      <c r="VYR380" s="15"/>
      <c r="VYS380" s="15"/>
      <c r="VYT380" s="15"/>
      <c r="VYU380" s="15"/>
      <c r="VYV380" s="15"/>
      <c r="VYW380" s="15"/>
      <c r="VYX380" s="15"/>
      <c r="VYY380" s="15"/>
      <c r="VYZ380" s="15"/>
      <c r="VZA380" s="10"/>
      <c r="VZB380" s="10"/>
      <c r="VZC380" s="21"/>
      <c r="VZD380" s="21"/>
      <c r="VZG380" s="21"/>
      <c r="VZH380" s="15"/>
      <c r="VZI380" s="15"/>
      <c r="VZJ380" s="15"/>
      <c r="VZK380" s="15"/>
      <c r="VZL380" s="15"/>
      <c r="VZM380" s="15"/>
      <c r="VZN380" s="15"/>
      <c r="VZO380" s="15"/>
      <c r="VZP380" s="15"/>
      <c r="VZQ380" s="15"/>
      <c r="VZR380" s="10"/>
      <c r="VZS380" s="10"/>
      <c r="VZT380" s="21"/>
      <c r="VZU380" s="21"/>
      <c r="VZX380" s="21"/>
      <c r="VZY380" s="15"/>
      <c r="VZZ380" s="15"/>
      <c r="WAA380" s="15"/>
      <c r="WAB380" s="15"/>
      <c r="WAC380" s="15"/>
      <c r="WAD380" s="15"/>
      <c r="WAE380" s="15"/>
      <c r="WAF380" s="15"/>
      <c r="WAG380" s="15"/>
      <c r="WAH380" s="15"/>
      <c r="WAI380" s="10"/>
      <c r="WAJ380" s="10"/>
      <c r="WAK380" s="21"/>
      <c r="WAL380" s="21"/>
      <c r="WAO380" s="21"/>
      <c r="WAP380" s="15"/>
      <c r="WAQ380" s="15"/>
      <c r="WAR380" s="15"/>
      <c r="WAS380" s="15"/>
      <c r="WAT380" s="15"/>
      <c r="WAU380" s="15"/>
      <c r="WAV380" s="15"/>
      <c r="WAW380" s="15"/>
      <c r="WAX380" s="15"/>
      <c r="WAY380" s="15"/>
      <c r="WAZ380" s="10"/>
      <c r="WBA380" s="10"/>
      <c r="WBB380" s="21"/>
      <c r="WBC380" s="21"/>
      <c r="WBF380" s="21"/>
      <c r="WBG380" s="15"/>
      <c r="WBH380" s="15"/>
      <c r="WBI380" s="15"/>
      <c r="WBJ380" s="15"/>
      <c r="WBK380" s="15"/>
      <c r="WBL380" s="15"/>
      <c r="WBM380" s="15"/>
      <c r="WBN380" s="15"/>
      <c r="WBO380" s="15"/>
      <c r="WBP380" s="15"/>
      <c r="WBQ380" s="10"/>
      <c r="WBR380" s="10"/>
      <c r="WBS380" s="21"/>
      <c r="WBT380" s="21"/>
      <c r="WBW380" s="21"/>
      <c r="WBX380" s="15"/>
      <c r="WBY380" s="15"/>
      <c r="WBZ380" s="15"/>
      <c r="WCA380" s="15"/>
      <c r="WCB380" s="15"/>
      <c r="WCC380" s="15"/>
      <c r="WCD380" s="15"/>
      <c r="WCE380" s="15"/>
      <c r="WCF380" s="15"/>
      <c r="WCG380" s="15"/>
      <c r="WCH380" s="10"/>
      <c r="WCI380" s="10"/>
      <c r="WCJ380" s="21"/>
      <c r="WCK380" s="21"/>
      <c r="WCN380" s="21"/>
      <c r="WCO380" s="15"/>
      <c r="WCP380" s="15"/>
      <c r="WCQ380" s="15"/>
      <c r="WCR380" s="15"/>
      <c r="WCS380" s="15"/>
      <c r="WCT380" s="15"/>
      <c r="WCU380" s="15"/>
      <c r="WCV380" s="15"/>
      <c r="WCW380" s="15"/>
      <c r="WCX380" s="15"/>
      <c r="WCY380" s="10"/>
      <c r="WCZ380" s="10"/>
      <c r="WDA380" s="21"/>
      <c r="WDB380" s="21"/>
      <c r="WDE380" s="21"/>
      <c r="WDF380" s="15"/>
      <c r="WDG380" s="15"/>
      <c r="WDH380" s="15"/>
      <c r="WDI380" s="15"/>
      <c r="WDJ380" s="15"/>
      <c r="WDK380" s="15"/>
      <c r="WDL380" s="15"/>
      <c r="WDM380" s="15"/>
      <c r="WDN380" s="15"/>
      <c r="WDO380" s="15"/>
      <c r="WDP380" s="10"/>
      <c r="WDQ380" s="10"/>
      <c r="WDR380" s="21"/>
      <c r="WDS380" s="21"/>
      <c r="WDV380" s="21"/>
      <c r="WDW380" s="15"/>
      <c r="WDX380" s="15"/>
      <c r="WDY380" s="15"/>
      <c r="WDZ380" s="15"/>
      <c r="WEA380" s="15"/>
      <c r="WEB380" s="15"/>
      <c r="WEC380" s="15"/>
      <c r="WED380" s="15"/>
      <c r="WEE380" s="15"/>
      <c r="WEF380" s="15"/>
      <c r="WEG380" s="10"/>
      <c r="WEH380" s="10"/>
      <c r="WEI380" s="21"/>
      <c r="WEJ380" s="21"/>
      <c r="WEM380" s="21"/>
      <c r="WEN380" s="15"/>
      <c r="WEO380" s="15"/>
      <c r="WEP380" s="15"/>
      <c r="WEQ380" s="15"/>
      <c r="WER380" s="15"/>
      <c r="WES380" s="15"/>
      <c r="WET380" s="15"/>
      <c r="WEU380" s="15"/>
      <c r="WEV380" s="15"/>
      <c r="WEW380" s="15"/>
      <c r="WEX380" s="10"/>
      <c r="WEY380" s="10"/>
      <c r="WEZ380" s="21"/>
      <c r="WFA380" s="21"/>
      <c r="WFD380" s="21"/>
      <c r="WFE380" s="15"/>
      <c r="WFF380" s="15"/>
      <c r="WFG380" s="15"/>
      <c r="WFH380" s="15"/>
      <c r="WFI380" s="15"/>
      <c r="WFJ380" s="15"/>
      <c r="WFK380" s="15"/>
      <c r="WFL380" s="15"/>
      <c r="WFM380" s="15"/>
      <c r="WFN380" s="15"/>
      <c r="WFO380" s="10"/>
      <c r="WFP380" s="10"/>
      <c r="WFQ380" s="21"/>
      <c r="WFR380" s="21"/>
      <c r="WFU380" s="21"/>
      <c r="WFV380" s="15"/>
      <c r="WFW380" s="15"/>
      <c r="WFX380" s="15"/>
      <c r="WFY380" s="15"/>
      <c r="WFZ380" s="15"/>
      <c r="WGA380" s="15"/>
      <c r="WGB380" s="15"/>
      <c r="WGC380" s="15"/>
      <c r="WGD380" s="15"/>
      <c r="WGE380" s="15"/>
      <c r="WGF380" s="10"/>
      <c r="WGG380" s="10"/>
      <c r="WGH380" s="21"/>
      <c r="WGI380" s="21"/>
      <c r="WGL380" s="21"/>
      <c r="WGM380" s="15"/>
      <c r="WGN380" s="15"/>
      <c r="WGO380" s="15"/>
      <c r="WGP380" s="15"/>
      <c r="WGQ380" s="15"/>
      <c r="WGR380" s="15"/>
      <c r="WGS380" s="15"/>
      <c r="WGT380" s="15"/>
      <c r="WGU380" s="15"/>
      <c r="WGV380" s="15"/>
      <c r="WGW380" s="10"/>
      <c r="WGX380" s="10"/>
      <c r="WGY380" s="21"/>
      <c r="WGZ380" s="21"/>
      <c r="WHC380" s="21"/>
      <c r="WHD380" s="15"/>
      <c r="WHE380" s="15"/>
      <c r="WHF380" s="15"/>
      <c r="WHG380" s="15"/>
      <c r="WHH380" s="15"/>
      <c r="WHI380" s="15"/>
      <c r="WHJ380" s="15"/>
      <c r="WHK380" s="15"/>
      <c r="WHL380" s="15"/>
      <c r="WHM380" s="15"/>
      <c r="WHN380" s="10"/>
      <c r="WHO380" s="10"/>
      <c r="WHP380" s="21"/>
      <c r="WHQ380" s="21"/>
      <c r="WHT380" s="21"/>
      <c r="WHU380" s="15"/>
      <c r="WHV380" s="15"/>
      <c r="WHW380" s="15"/>
      <c r="WHX380" s="15"/>
      <c r="WHY380" s="15"/>
      <c r="WHZ380" s="15"/>
      <c r="WIA380" s="15"/>
      <c r="WIB380" s="15"/>
      <c r="WIC380" s="15"/>
      <c r="WID380" s="15"/>
      <c r="WIE380" s="10"/>
      <c r="WIF380" s="10"/>
      <c r="WIG380" s="21"/>
      <c r="WIH380" s="21"/>
      <c r="WIK380" s="21"/>
      <c r="WIL380" s="15"/>
      <c r="WIM380" s="15"/>
      <c r="WIN380" s="15"/>
      <c r="WIO380" s="15"/>
      <c r="WIP380" s="15"/>
      <c r="WIQ380" s="15"/>
      <c r="WIR380" s="15"/>
      <c r="WIS380" s="15"/>
      <c r="WIT380" s="15"/>
      <c r="WIU380" s="15"/>
      <c r="WIV380" s="10"/>
      <c r="WIW380" s="10"/>
      <c r="WIX380" s="21"/>
      <c r="WIY380" s="21"/>
      <c r="WJB380" s="21"/>
      <c r="WJC380" s="15"/>
      <c r="WJD380" s="15"/>
      <c r="WJE380" s="15"/>
      <c r="WJF380" s="15"/>
      <c r="WJG380" s="15"/>
      <c r="WJH380" s="15"/>
      <c r="WJI380" s="15"/>
      <c r="WJJ380" s="15"/>
      <c r="WJK380" s="15"/>
      <c r="WJL380" s="15"/>
      <c r="WJM380" s="10"/>
      <c r="WJN380" s="10"/>
      <c r="WJO380" s="21"/>
      <c r="WJP380" s="21"/>
      <c r="WJS380" s="21"/>
      <c r="WJT380" s="15"/>
      <c r="WJU380" s="15"/>
      <c r="WJV380" s="15"/>
      <c r="WJW380" s="15"/>
      <c r="WJX380" s="15"/>
      <c r="WJY380" s="15"/>
      <c r="WJZ380" s="15"/>
      <c r="WKA380" s="15"/>
      <c r="WKB380" s="15"/>
      <c r="WKC380" s="15"/>
      <c r="WKD380" s="10"/>
      <c r="WKE380" s="10"/>
      <c r="WKF380" s="21"/>
      <c r="WKG380" s="21"/>
      <c r="WKJ380" s="21"/>
      <c r="WKK380" s="15"/>
      <c r="WKL380" s="15"/>
      <c r="WKM380" s="15"/>
      <c r="WKN380" s="15"/>
      <c r="WKO380" s="15"/>
      <c r="WKP380" s="15"/>
      <c r="WKQ380" s="15"/>
      <c r="WKR380" s="15"/>
      <c r="WKS380" s="15"/>
      <c r="WKT380" s="15"/>
      <c r="WKU380" s="10"/>
      <c r="WKV380" s="10"/>
      <c r="WKW380" s="21"/>
      <c r="WKX380" s="21"/>
      <c r="WLA380" s="21"/>
      <c r="WLB380" s="15"/>
      <c r="WLC380" s="15"/>
      <c r="WLD380" s="15"/>
      <c r="WLE380" s="15"/>
      <c r="WLF380" s="15"/>
      <c r="WLG380" s="15"/>
      <c r="WLH380" s="15"/>
      <c r="WLI380" s="15"/>
      <c r="WLJ380" s="15"/>
      <c r="WLK380" s="15"/>
      <c r="WLL380" s="10"/>
      <c r="WLM380" s="10"/>
      <c r="WLN380" s="21"/>
      <c r="WLO380" s="21"/>
      <c r="WLR380" s="21"/>
      <c r="WLS380" s="15"/>
      <c r="WLT380" s="15"/>
      <c r="WLU380" s="15"/>
      <c r="WLV380" s="15"/>
      <c r="WLW380" s="15"/>
      <c r="WLX380" s="15"/>
      <c r="WLY380" s="15"/>
      <c r="WLZ380" s="15"/>
      <c r="WMA380" s="15"/>
      <c r="WMB380" s="15"/>
      <c r="WMC380" s="10"/>
      <c r="WMD380" s="10"/>
      <c r="WME380" s="21"/>
      <c r="WMF380" s="21"/>
      <c r="WMI380" s="21"/>
      <c r="WMJ380" s="15"/>
      <c r="WMK380" s="15"/>
      <c r="WML380" s="15"/>
      <c r="WMM380" s="15"/>
      <c r="WMN380" s="15"/>
      <c r="WMO380" s="15"/>
      <c r="WMP380" s="15"/>
      <c r="WMQ380" s="15"/>
      <c r="WMR380" s="15"/>
      <c r="WMS380" s="15"/>
      <c r="WMT380" s="10"/>
      <c r="WMU380" s="10"/>
      <c r="WMV380" s="21"/>
      <c r="WMW380" s="21"/>
      <c r="WMZ380" s="21"/>
      <c r="WNA380" s="15"/>
      <c r="WNB380" s="15"/>
      <c r="WNC380" s="15"/>
      <c r="WND380" s="15"/>
      <c r="WNE380" s="15"/>
      <c r="WNF380" s="15"/>
      <c r="WNG380" s="15"/>
      <c r="WNH380" s="15"/>
      <c r="WNI380" s="15"/>
      <c r="WNJ380" s="15"/>
      <c r="WNK380" s="10"/>
      <c r="WNL380" s="10"/>
      <c r="WNM380" s="21"/>
      <c r="WNN380" s="21"/>
      <c r="WNQ380" s="21"/>
      <c r="WNR380" s="15"/>
      <c r="WNS380" s="15"/>
      <c r="WNT380" s="15"/>
      <c r="WNU380" s="15"/>
      <c r="WNV380" s="15"/>
      <c r="WNW380" s="15"/>
      <c r="WNX380" s="15"/>
      <c r="WNY380" s="15"/>
      <c r="WNZ380" s="15"/>
      <c r="WOA380" s="15"/>
      <c r="WOB380" s="10"/>
      <c r="WOC380" s="10"/>
      <c r="WOD380" s="21"/>
      <c r="WOE380" s="21"/>
      <c r="WOH380" s="21"/>
      <c r="WOI380" s="15"/>
      <c r="WOJ380" s="15"/>
      <c r="WOK380" s="15"/>
      <c r="WOL380" s="15"/>
      <c r="WOM380" s="15"/>
      <c r="WON380" s="15"/>
      <c r="WOO380" s="15"/>
      <c r="WOP380" s="15"/>
      <c r="WOQ380" s="15"/>
      <c r="WOR380" s="15"/>
      <c r="WOS380" s="10"/>
      <c r="WOT380" s="10"/>
      <c r="WOU380" s="21"/>
      <c r="WOV380" s="21"/>
      <c r="WOY380" s="21"/>
      <c r="WOZ380" s="15"/>
      <c r="WPA380" s="15"/>
      <c r="WPB380" s="15"/>
      <c r="WPC380" s="15"/>
      <c r="WPD380" s="15"/>
      <c r="WPE380" s="15"/>
      <c r="WPF380" s="15"/>
      <c r="WPG380" s="15"/>
      <c r="WPH380" s="15"/>
      <c r="WPI380" s="15"/>
      <c r="WPJ380" s="10"/>
      <c r="WPK380" s="10"/>
      <c r="WPL380" s="21"/>
      <c r="WPM380" s="21"/>
      <c r="WPP380" s="21"/>
      <c r="WPQ380" s="15"/>
      <c r="WPR380" s="15"/>
      <c r="WPS380" s="15"/>
      <c r="WPT380" s="15"/>
      <c r="WPU380" s="15"/>
      <c r="WPV380" s="15"/>
      <c r="WPW380" s="15"/>
      <c r="WPX380" s="15"/>
      <c r="WPY380" s="15"/>
      <c r="WPZ380" s="15"/>
      <c r="WQA380" s="10"/>
      <c r="WQB380" s="10"/>
      <c r="WQC380" s="21"/>
      <c r="WQD380" s="21"/>
      <c r="WQG380" s="21"/>
      <c r="WQH380" s="15"/>
      <c r="WQI380" s="15"/>
      <c r="WQJ380" s="15"/>
      <c r="WQK380" s="15"/>
      <c r="WQL380" s="15"/>
      <c r="WQM380" s="15"/>
      <c r="WQN380" s="15"/>
      <c r="WQO380" s="15"/>
      <c r="WQP380" s="15"/>
      <c r="WQQ380" s="15"/>
      <c r="WQR380" s="10"/>
      <c r="WQS380" s="10"/>
      <c r="WQT380" s="21"/>
      <c r="WQU380" s="21"/>
      <c r="WQX380" s="21"/>
      <c r="WQY380" s="15"/>
      <c r="WQZ380" s="15"/>
      <c r="WRA380" s="15"/>
      <c r="WRB380" s="15"/>
      <c r="WRC380" s="15"/>
      <c r="WRD380" s="15"/>
      <c r="WRE380" s="15"/>
      <c r="WRF380" s="15"/>
      <c r="WRG380" s="15"/>
      <c r="WRH380" s="15"/>
      <c r="WRI380" s="10"/>
      <c r="WRJ380" s="10"/>
      <c r="WRK380" s="21"/>
      <c r="WRL380" s="21"/>
      <c r="WRO380" s="21"/>
      <c r="WRP380" s="15"/>
      <c r="WRQ380" s="15"/>
      <c r="WRR380" s="15"/>
      <c r="WRS380" s="15"/>
      <c r="WRT380" s="15"/>
      <c r="WRU380" s="15"/>
      <c r="WRV380" s="15"/>
      <c r="WRW380" s="15"/>
      <c r="WRX380" s="15"/>
      <c r="WRY380" s="15"/>
      <c r="WRZ380" s="10"/>
      <c r="WSA380" s="10"/>
      <c r="WSB380" s="21"/>
      <c r="WSC380" s="21"/>
      <c r="WSF380" s="21"/>
      <c r="WSG380" s="15"/>
      <c r="WSH380" s="15"/>
      <c r="WSI380" s="15"/>
      <c r="WSJ380" s="15"/>
      <c r="WSK380" s="15"/>
      <c r="WSL380" s="15"/>
      <c r="WSM380" s="15"/>
      <c r="WSN380" s="15"/>
      <c r="WSO380" s="15"/>
      <c r="WSP380" s="15"/>
      <c r="WSQ380" s="10"/>
      <c r="WSR380" s="10"/>
      <c r="WSS380" s="21"/>
      <c r="WST380" s="21"/>
      <c r="WSW380" s="21"/>
      <c r="WSX380" s="15"/>
      <c r="WSY380" s="15"/>
      <c r="WSZ380" s="15"/>
      <c r="WTA380" s="15"/>
      <c r="WTB380" s="15"/>
      <c r="WTC380" s="15"/>
      <c r="WTD380" s="15"/>
      <c r="WTE380" s="15"/>
      <c r="WTF380" s="15"/>
      <c r="WTG380" s="15"/>
      <c r="WTH380" s="10"/>
      <c r="WTI380" s="10"/>
      <c r="WTJ380" s="21"/>
      <c r="WTK380" s="21"/>
      <c r="WTN380" s="21"/>
      <c r="WTO380" s="15"/>
      <c r="WTP380" s="15"/>
      <c r="WTQ380" s="15"/>
      <c r="WTR380" s="15"/>
      <c r="WTS380" s="15"/>
      <c r="WTT380" s="15"/>
      <c r="WTU380" s="15"/>
      <c r="WTV380" s="15"/>
      <c r="WTW380" s="15"/>
      <c r="WTX380" s="15"/>
      <c r="WTY380" s="10"/>
      <c r="WTZ380" s="10"/>
      <c r="WUA380" s="21"/>
      <c r="WUB380" s="21"/>
      <c r="WUE380" s="21"/>
      <c r="WUF380" s="15"/>
      <c r="WUG380" s="15"/>
      <c r="WUH380" s="15"/>
      <c r="WUI380" s="15"/>
      <c r="WUJ380" s="15"/>
      <c r="WUK380" s="15"/>
      <c r="WUL380" s="15"/>
      <c r="WUM380" s="15"/>
      <c r="WUN380" s="15"/>
      <c r="WUO380" s="15"/>
      <c r="WUP380" s="10"/>
      <c r="WUQ380" s="10"/>
      <c r="WUR380" s="21"/>
      <c r="WUS380" s="21"/>
      <c r="WUV380" s="21"/>
      <c r="WUW380" s="15"/>
      <c r="WUX380" s="15"/>
      <c r="WUY380" s="15"/>
      <c r="WUZ380" s="15"/>
      <c r="WVA380" s="15"/>
      <c r="WVB380" s="15"/>
      <c r="WVC380" s="15"/>
      <c r="WVD380" s="15"/>
      <c r="WVE380" s="15"/>
      <c r="WVF380" s="15"/>
      <c r="WVG380" s="10"/>
      <c r="WVH380" s="10"/>
      <c r="WVI380" s="21"/>
      <c r="WVJ380" s="21"/>
      <c r="WVM380" s="21"/>
      <c r="WVN380" s="15"/>
      <c r="WVO380" s="15"/>
      <c r="WVP380" s="15"/>
      <c r="WVQ380" s="15"/>
      <c r="WVR380" s="15"/>
      <c r="WVS380" s="15"/>
      <c r="WVT380" s="15"/>
      <c r="WVU380" s="15"/>
      <c r="WVV380" s="15"/>
      <c r="WVW380" s="15"/>
      <c r="WVX380" s="10"/>
      <c r="WVY380" s="10"/>
      <c r="WVZ380" s="21"/>
      <c r="WWA380" s="21"/>
      <c r="WWD380" s="21"/>
      <c r="WWE380" s="15"/>
      <c r="WWF380" s="15"/>
      <c r="WWG380" s="15"/>
      <c r="WWH380" s="15"/>
      <c r="WWI380" s="15"/>
      <c r="WWJ380" s="15"/>
      <c r="WWK380" s="15"/>
      <c r="WWL380" s="15"/>
      <c r="WWM380" s="15"/>
      <c r="WWN380" s="15"/>
      <c r="WWO380" s="10"/>
      <c r="WWP380" s="10"/>
      <c r="WWQ380" s="21"/>
      <c r="WWR380" s="21"/>
      <c r="WWU380" s="21"/>
      <c r="WWV380" s="15"/>
      <c r="WWW380" s="15"/>
      <c r="WWX380" s="15"/>
      <c r="WWY380" s="15"/>
      <c r="WWZ380" s="15"/>
      <c r="WXA380" s="15"/>
      <c r="WXB380" s="15"/>
      <c r="WXC380" s="15"/>
      <c r="WXD380" s="15"/>
      <c r="WXE380" s="15"/>
      <c r="WXF380" s="10"/>
      <c r="WXG380" s="10"/>
      <c r="WXH380" s="21"/>
      <c r="WXI380" s="21"/>
      <c r="WXL380" s="21"/>
      <c r="WXM380" s="15"/>
      <c r="WXN380" s="15"/>
      <c r="WXO380" s="15"/>
      <c r="WXP380" s="15"/>
      <c r="WXQ380" s="15"/>
      <c r="WXR380" s="15"/>
      <c r="WXS380" s="15"/>
      <c r="WXT380" s="15"/>
      <c r="WXU380" s="15"/>
      <c r="WXV380" s="15"/>
      <c r="WXW380" s="10"/>
      <c r="WXX380" s="10"/>
      <c r="WXY380" s="21"/>
      <c r="WXZ380" s="21"/>
      <c r="WYC380" s="21"/>
      <c r="WYD380" s="15"/>
      <c r="WYE380" s="15"/>
      <c r="WYF380" s="15"/>
      <c r="WYG380" s="15"/>
      <c r="WYH380" s="15"/>
      <c r="WYI380" s="15"/>
      <c r="WYJ380" s="15"/>
      <c r="WYK380" s="15"/>
      <c r="WYL380" s="15"/>
      <c r="WYM380" s="15"/>
      <c r="WYN380" s="10"/>
      <c r="WYO380" s="10"/>
      <c r="WYP380" s="21"/>
      <c r="WYQ380" s="21"/>
      <c r="WYT380" s="21"/>
      <c r="WYU380" s="15"/>
      <c r="WYV380" s="15"/>
      <c r="WYW380" s="15"/>
      <c r="WYX380" s="15"/>
      <c r="WYY380" s="15"/>
      <c r="WYZ380" s="15"/>
      <c r="WZA380" s="15"/>
      <c r="WZB380" s="15"/>
      <c r="WZC380" s="15"/>
      <c r="WZD380" s="15"/>
      <c r="WZE380" s="10"/>
      <c r="WZF380" s="10"/>
      <c r="WZG380" s="21"/>
      <c r="WZH380" s="21"/>
      <c r="WZK380" s="21"/>
      <c r="WZL380" s="15"/>
      <c r="WZM380" s="15"/>
      <c r="WZN380" s="15"/>
      <c r="WZO380" s="15"/>
      <c r="WZP380" s="15"/>
      <c r="WZQ380" s="15"/>
      <c r="WZR380" s="15"/>
      <c r="WZS380" s="15"/>
      <c r="WZT380" s="15"/>
      <c r="WZU380" s="15"/>
      <c r="WZV380" s="10"/>
      <c r="WZW380" s="10"/>
      <c r="WZX380" s="21"/>
      <c r="WZY380" s="21"/>
      <c r="XAB380" s="21"/>
      <c r="XAC380" s="15"/>
      <c r="XAD380" s="15"/>
      <c r="XAE380" s="15"/>
      <c r="XAF380" s="15"/>
      <c r="XAG380" s="15"/>
      <c r="XAH380" s="15"/>
      <c r="XAI380" s="15"/>
      <c r="XAJ380" s="15"/>
      <c r="XAK380" s="15"/>
      <c r="XAL380" s="15"/>
      <c r="XAM380" s="10"/>
      <c r="XAN380" s="10"/>
      <c r="XAO380" s="21"/>
      <c r="XAP380" s="21"/>
      <c r="XAS380" s="21"/>
      <c r="XAT380" s="15"/>
      <c r="XAU380" s="15"/>
      <c r="XAV380" s="15"/>
      <c r="XAW380" s="15"/>
      <c r="XAX380" s="15"/>
      <c r="XAY380" s="15"/>
      <c r="XAZ380" s="15"/>
      <c r="XBA380" s="15"/>
      <c r="XBB380" s="15"/>
      <c r="XBC380" s="15"/>
      <c r="XBD380" s="10"/>
      <c r="XBE380" s="10"/>
      <c r="XBF380" s="21"/>
      <c r="XBG380" s="21"/>
      <c r="XBJ380" s="21"/>
      <c r="XBK380" s="15"/>
      <c r="XBL380" s="15"/>
      <c r="XBM380" s="15"/>
      <c r="XBN380" s="15"/>
      <c r="XBO380" s="15"/>
      <c r="XBP380" s="15"/>
      <c r="XBQ380" s="15"/>
      <c r="XBR380" s="15"/>
      <c r="XBS380" s="15"/>
      <c r="XBT380" s="15"/>
      <c r="XBU380" s="10"/>
      <c r="XBV380" s="10"/>
      <c r="XBW380" s="21"/>
      <c r="XBX380" s="21"/>
      <c r="XCA380" s="21"/>
      <c r="XCB380" s="15"/>
      <c r="XCC380" s="15"/>
      <c r="XCD380" s="15"/>
      <c r="XCE380" s="15"/>
      <c r="XCF380" s="15"/>
      <c r="XCG380" s="15"/>
      <c r="XCH380" s="15"/>
      <c r="XCI380" s="15"/>
      <c r="XCJ380" s="15"/>
      <c r="XCK380" s="15"/>
      <c r="XCL380" s="10"/>
      <c r="XCM380" s="10"/>
      <c r="XCN380" s="21"/>
      <c r="XCO380" s="21"/>
      <c r="XCR380" s="21"/>
      <c r="XCS380" s="15"/>
      <c r="XCT380" s="15"/>
      <c r="XCU380" s="15"/>
      <c r="XCV380" s="15"/>
      <c r="XCW380" s="15"/>
      <c r="XCX380" s="15"/>
      <c r="XCY380" s="15"/>
      <c r="XCZ380" s="15"/>
      <c r="XDA380" s="15"/>
      <c r="XDB380" s="15"/>
      <c r="XDC380" s="10"/>
      <c r="XDD380" s="10"/>
      <c r="XDE380" s="21"/>
      <c r="XDF380" s="21"/>
      <c r="XDI380" s="21"/>
      <c r="XDJ380" s="15"/>
      <c r="XDK380" s="15"/>
      <c r="XDL380" s="15"/>
      <c r="XDM380" s="15"/>
      <c r="XDN380" s="15"/>
      <c r="XDO380" s="15"/>
      <c r="XDP380" s="15"/>
      <c r="XDQ380" s="15"/>
      <c r="XDR380" s="15"/>
      <c r="XDS380" s="15"/>
      <c r="XDT380" s="10"/>
      <c r="XDU380" s="10"/>
      <c r="XDV380" s="21"/>
      <c r="XDW380" s="21"/>
      <c r="XDZ380" s="21"/>
      <c r="XEA380" s="15"/>
      <c r="XEB380" s="15"/>
      <c r="XEC380" s="15"/>
      <c r="XED380" s="15"/>
      <c r="XEE380" s="15"/>
      <c r="XEF380" s="15"/>
      <c r="XEG380" s="15"/>
      <c r="XEH380" s="15"/>
      <c r="XEI380" s="15"/>
      <c r="XEJ380" s="15"/>
      <c r="XEK380" s="10"/>
      <c r="XEL380" s="10"/>
      <c r="XEM380" s="21"/>
      <c r="XEN380" s="21"/>
      <c r="XEQ380" s="21"/>
      <c r="XER380" s="15"/>
      <c r="XES380" s="15"/>
      <c r="XET380" s="15"/>
      <c r="XEU380" s="15"/>
      <c r="XEV380" s="15"/>
      <c r="XEW380" s="15"/>
      <c r="XEX380" s="15"/>
      <c r="XEY380" s="15"/>
      <c r="XEZ380" s="15"/>
      <c r="XFA380" s="15"/>
      <c r="XFB380" s="10"/>
      <c r="XFC380" s="10"/>
      <c r="XFD380" s="21"/>
    </row>
    <row r="381" spans="1:4094 4097:8191 8194:12288 12291:16384" s="1" customFormat="1" ht="14.25" customHeight="1" x14ac:dyDescent="0.25">
      <c r="A381" s="44">
        <v>0</v>
      </c>
      <c r="B381" s="44">
        <v>2</v>
      </c>
      <c r="C381" s="44">
        <v>5</v>
      </c>
      <c r="D381" s="45" t="s">
        <v>766</v>
      </c>
      <c r="E381" s="45" t="s">
        <v>763</v>
      </c>
      <c r="F381" s="45" t="s">
        <v>768</v>
      </c>
      <c r="G381" s="45" t="s">
        <v>206</v>
      </c>
      <c r="H381" s="45" t="s">
        <v>352</v>
      </c>
      <c r="I381" s="44" t="s">
        <v>767</v>
      </c>
      <c r="J381" s="44">
        <v>99</v>
      </c>
      <c r="K381" s="46" t="s">
        <v>708</v>
      </c>
      <c r="L381" s="46" t="s">
        <v>690</v>
      </c>
      <c r="M381" s="47" t="s">
        <v>1410</v>
      </c>
      <c r="N381" s="47" t="s">
        <v>1719</v>
      </c>
      <c r="O381" s="48"/>
      <c r="P381" s="48"/>
      <c r="Q381" s="45"/>
      <c r="S381" s="1">
        <f t="shared" si="135"/>
        <v>0</v>
      </c>
      <c r="T381" s="1">
        <f t="shared" si="136"/>
        <v>0</v>
      </c>
      <c r="U381" s="1">
        <f t="shared" si="137"/>
        <v>0</v>
      </c>
      <c r="V381" s="1">
        <f t="shared" si="138"/>
        <v>0</v>
      </c>
      <c r="W381" s="1">
        <f t="shared" si="139"/>
        <v>0</v>
      </c>
      <c r="X381" s="1">
        <f t="shared" si="140"/>
        <v>0</v>
      </c>
      <c r="Y381" s="1">
        <f t="shared" si="141"/>
        <v>0</v>
      </c>
      <c r="Z381" s="1">
        <f t="shared" si="142"/>
        <v>0</v>
      </c>
      <c r="AA381" s="1">
        <f t="shared" si="143"/>
        <v>0</v>
      </c>
      <c r="AB381" s="1">
        <f t="shared" si="144"/>
        <v>0</v>
      </c>
      <c r="AD381" s="1">
        <f t="shared" si="145"/>
        <v>0</v>
      </c>
      <c r="AE381" s="1">
        <f t="shared" si="146"/>
        <v>0</v>
      </c>
      <c r="AF381" s="1">
        <f t="shared" si="131"/>
        <v>0</v>
      </c>
      <c r="AG381" s="1">
        <f t="shared" si="132"/>
        <v>0</v>
      </c>
      <c r="AH381" s="1">
        <f t="shared" si="133"/>
        <v>0</v>
      </c>
      <c r="AI381" s="1">
        <f t="shared" si="134"/>
        <v>1</v>
      </c>
    </row>
    <row r="382" spans="1:4094 4097:8191 8194:12288 12291:16384" s="1" customFormat="1" ht="14.25" customHeight="1" x14ac:dyDescent="0.25">
      <c r="A382" s="44">
        <v>1</v>
      </c>
      <c r="B382" s="44">
        <v>2</v>
      </c>
      <c r="C382" s="44">
        <v>5</v>
      </c>
      <c r="D382" s="45" t="s">
        <v>766</v>
      </c>
      <c r="E382" s="45" t="s">
        <v>763</v>
      </c>
      <c r="F382" s="45" t="s">
        <v>993</v>
      </c>
      <c r="G382" s="45" t="s">
        <v>189</v>
      </c>
      <c r="H382" s="45" t="s">
        <v>352</v>
      </c>
      <c r="I382" s="44" t="s">
        <v>994</v>
      </c>
      <c r="J382" s="44">
        <v>99</v>
      </c>
      <c r="K382" s="46" t="s">
        <v>708</v>
      </c>
      <c r="L382" s="46" t="s">
        <v>690</v>
      </c>
      <c r="M382" s="47" t="s">
        <v>1410</v>
      </c>
      <c r="N382" s="47" t="s">
        <v>1719</v>
      </c>
      <c r="O382" s="48"/>
      <c r="P382" s="48"/>
      <c r="Q382" s="45"/>
      <c r="S382" s="1">
        <f t="shared" si="135"/>
        <v>0</v>
      </c>
      <c r="T382" s="1">
        <f t="shared" si="136"/>
        <v>0</v>
      </c>
      <c r="U382" s="1">
        <f t="shared" si="137"/>
        <v>0</v>
      </c>
      <c r="V382" s="1">
        <f t="shared" si="138"/>
        <v>0</v>
      </c>
      <c r="W382" s="1">
        <f t="shared" si="139"/>
        <v>0</v>
      </c>
      <c r="X382" s="1">
        <f t="shared" si="140"/>
        <v>0</v>
      </c>
      <c r="Y382" s="1">
        <f t="shared" si="141"/>
        <v>0</v>
      </c>
      <c r="Z382" s="1">
        <f t="shared" si="142"/>
        <v>0</v>
      </c>
      <c r="AA382" s="1">
        <f t="shared" si="143"/>
        <v>0</v>
      </c>
      <c r="AB382" s="1">
        <f t="shared" si="144"/>
        <v>0</v>
      </c>
      <c r="AD382" s="1">
        <f t="shared" si="145"/>
        <v>0</v>
      </c>
      <c r="AE382" s="1">
        <f t="shared" si="146"/>
        <v>0</v>
      </c>
      <c r="AF382" s="1">
        <f t="shared" si="131"/>
        <v>0</v>
      </c>
      <c r="AG382" s="1">
        <f t="shared" si="132"/>
        <v>0</v>
      </c>
      <c r="AH382" s="1">
        <f t="shared" si="133"/>
        <v>0</v>
      </c>
      <c r="AI382" s="1">
        <f t="shared" si="134"/>
        <v>0</v>
      </c>
    </row>
    <row r="383" spans="1:4094 4097:8191 8194:12288 12291:16384" s="1" customFormat="1" ht="14.25" customHeight="1" x14ac:dyDescent="0.25">
      <c r="A383" s="15">
        <v>0</v>
      </c>
      <c r="B383" s="15">
        <v>2</v>
      </c>
      <c r="C383" s="15">
        <v>5</v>
      </c>
      <c r="D383" s="16" t="s">
        <v>905</v>
      </c>
      <c r="E383" s="16" t="s">
        <v>900</v>
      </c>
      <c r="F383" s="16" t="s">
        <v>918</v>
      </c>
      <c r="G383" s="16" t="s">
        <v>1334</v>
      </c>
      <c r="H383" s="16" t="s">
        <v>352</v>
      </c>
      <c r="I383" s="15" t="s">
        <v>761</v>
      </c>
      <c r="J383" s="15">
        <v>99</v>
      </c>
      <c r="K383" s="10" t="s">
        <v>699</v>
      </c>
      <c r="L383" s="10">
        <v>20</v>
      </c>
      <c r="M383" s="19" t="s">
        <v>1411</v>
      </c>
      <c r="N383" s="19"/>
      <c r="Q383" s="16"/>
      <c r="S383" s="1">
        <f t="shared" si="135"/>
        <v>0</v>
      </c>
      <c r="T383" s="1">
        <f t="shared" si="136"/>
        <v>0</v>
      </c>
      <c r="U383" s="1">
        <f t="shared" si="137"/>
        <v>0</v>
      </c>
      <c r="V383" s="1">
        <f t="shared" si="138"/>
        <v>0</v>
      </c>
      <c r="W383" s="1">
        <f t="shared" si="139"/>
        <v>0</v>
      </c>
      <c r="X383" s="1">
        <f t="shared" si="140"/>
        <v>0</v>
      </c>
      <c r="Y383" s="1">
        <f t="shared" si="141"/>
        <v>0</v>
      </c>
      <c r="Z383" s="1">
        <f t="shared" si="142"/>
        <v>0</v>
      </c>
      <c r="AA383" s="1">
        <f t="shared" si="143"/>
        <v>0</v>
      </c>
      <c r="AB383" s="1">
        <f t="shared" si="144"/>
        <v>0</v>
      </c>
      <c r="AD383" s="1">
        <f t="shared" si="145"/>
        <v>0</v>
      </c>
      <c r="AE383" s="1">
        <f t="shared" si="146"/>
        <v>0</v>
      </c>
      <c r="AF383" s="1">
        <f t="shared" si="131"/>
        <v>0</v>
      </c>
      <c r="AG383" s="1">
        <f t="shared" si="132"/>
        <v>0</v>
      </c>
      <c r="AH383" s="1">
        <f t="shared" si="133"/>
        <v>0</v>
      </c>
      <c r="AI383" s="1">
        <f t="shared" si="134"/>
        <v>1</v>
      </c>
    </row>
    <row r="384" spans="1:4094 4097:8191 8194:12288 12291:16384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1905</v>
      </c>
      <c r="E384" s="32"/>
      <c r="F384" s="32" t="s">
        <v>1906</v>
      </c>
      <c r="G384" s="32" t="s">
        <v>207</v>
      </c>
      <c r="H384" s="32" t="s">
        <v>352</v>
      </c>
      <c r="I384" s="31" t="s">
        <v>1907</v>
      </c>
      <c r="J384" s="31">
        <v>3</v>
      </c>
      <c r="K384" s="33" t="s">
        <v>699</v>
      </c>
      <c r="L384" s="33"/>
      <c r="M384" s="34"/>
      <c r="N384" s="34" t="s">
        <v>1711</v>
      </c>
      <c r="O384" s="35">
        <v>1</v>
      </c>
      <c r="P384" s="35">
        <v>1</v>
      </c>
      <c r="Q384" s="32" t="s">
        <v>1908</v>
      </c>
      <c r="S384" s="1">
        <f t="shared" si="135"/>
        <v>0</v>
      </c>
      <c r="T384" s="1">
        <f t="shared" si="136"/>
        <v>0</v>
      </c>
      <c r="U384" s="1">
        <f t="shared" si="137"/>
        <v>1</v>
      </c>
      <c r="V384" s="1">
        <f t="shared" si="138"/>
        <v>0</v>
      </c>
      <c r="W384" s="1">
        <f t="shared" si="139"/>
        <v>0</v>
      </c>
      <c r="X384" s="1">
        <f t="shared" si="140"/>
        <v>0</v>
      </c>
      <c r="Y384" s="1">
        <f t="shared" si="141"/>
        <v>0</v>
      </c>
      <c r="Z384" s="1">
        <f t="shared" si="142"/>
        <v>0</v>
      </c>
      <c r="AA384" s="1">
        <f t="shared" si="143"/>
        <v>0</v>
      </c>
      <c r="AB384" s="1">
        <f t="shared" si="144"/>
        <v>0</v>
      </c>
      <c r="AD384" s="1">
        <f t="shared" si="145"/>
        <v>1</v>
      </c>
      <c r="AE384" s="1">
        <f t="shared" si="146"/>
        <v>0</v>
      </c>
      <c r="AF384" s="1">
        <f t="shared" si="131"/>
        <v>1</v>
      </c>
      <c r="AG384" s="1">
        <f t="shared" si="132"/>
        <v>0</v>
      </c>
      <c r="AH384" s="1">
        <f t="shared" si="133"/>
        <v>1</v>
      </c>
      <c r="AI384" s="1">
        <f t="shared" si="134"/>
        <v>0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1254</v>
      </c>
      <c r="E385" s="32" t="s">
        <v>1255</v>
      </c>
      <c r="F385" s="32" t="s">
        <v>1256</v>
      </c>
      <c r="G385" s="32" t="s">
        <v>219</v>
      </c>
      <c r="H385" s="32" t="s">
        <v>352</v>
      </c>
      <c r="I385" s="31" t="s">
        <v>1707</v>
      </c>
      <c r="J385" s="31">
        <v>8</v>
      </c>
      <c r="K385" s="33" t="s">
        <v>709</v>
      </c>
      <c r="L385" s="33" t="s">
        <v>39</v>
      </c>
      <c r="M385" s="34" t="s">
        <v>39</v>
      </c>
      <c r="N385" s="34" t="s">
        <v>1711</v>
      </c>
      <c r="O385" s="35">
        <v>1</v>
      </c>
      <c r="P385" s="35">
        <v>1</v>
      </c>
      <c r="Q385" s="32"/>
      <c r="S385" s="1">
        <f t="shared" si="135"/>
        <v>0</v>
      </c>
      <c r="T385" s="1">
        <f t="shared" si="136"/>
        <v>0</v>
      </c>
      <c r="U385" s="1">
        <f t="shared" si="137"/>
        <v>0</v>
      </c>
      <c r="V385" s="1">
        <f t="shared" si="138"/>
        <v>0</v>
      </c>
      <c r="W385" s="1">
        <f t="shared" si="139"/>
        <v>0</v>
      </c>
      <c r="X385" s="1">
        <f t="shared" si="140"/>
        <v>0</v>
      </c>
      <c r="Y385" s="1">
        <f t="shared" si="141"/>
        <v>0</v>
      </c>
      <c r="Z385" s="1">
        <f t="shared" si="142"/>
        <v>1</v>
      </c>
      <c r="AA385" s="1">
        <f t="shared" si="143"/>
        <v>0</v>
      </c>
      <c r="AB385" s="1">
        <f t="shared" si="144"/>
        <v>0</v>
      </c>
      <c r="AD385" s="1">
        <f t="shared" si="145"/>
        <v>1</v>
      </c>
      <c r="AE385" s="1">
        <f t="shared" si="146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1069</v>
      </c>
      <c r="E386" s="32" t="s">
        <v>154</v>
      </c>
      <c r="F386" s="32" t="s">
        <v>1053</v>
      </c>
      <c r="G386" s="32" t="s">
        <v>319</v>
      </c>
      <c r="H386" s="32" t="s">
        <v>352</v>
      </c>
      <c r="I386" s="31" t="s">
        <v>1054</v>
      </c>
      <c r="J386" s="31">
        <v>99</v>
      </c>
      <c r="K386" s="33" t="s">
        <v>709</v>
      </c>
      <c r="L386" s="33" t="s">
        <v>690</v>
      </c>
      <c r="M386" s="34" t="s">
        <v>1412</v>
      </c>
      <c r="N386" s="34" t="s">
        <v>1740</v>
      </c>
      <c r="O386" s="35">
        <v>1</v>
      </c>
      <c r="P386" s="35"/>
      <c r="Q386" s="32"/>
      <c r="S386" s="1">
        <f t="shared" si="135"/>
        <v>0</v>
      </c>
      <c r="T386" s="1">
        <f t="shared" si="136"/>
        <v>0</v>
      </c>
      <c r="U386" s="1">
        <f t="shared" si="137"/>
        <v>0</v>
      </c>
      <c r="V386" s="1">
        <f t="shared" si="138"/>
        <v>0</v>
      </c>
      <c r="W386" s="1">
        <f t="shared" si="139"/>
        <v>0</v>
      </c>
      <c r="X386" s="1">
        <f t="shared" si="140"/>
        <v>0</v>
      </c>
      <c r="Y386" s="1">
        <f t="shared" si="141"/>
        <v>0</v>
      </c>
      <c r="Z386" s="1">
        <f t="shared" si="142"/>
        <v>0</v>
      </c>
      <c r="AA386" s="1">
        <f t="shared" si="143"/>
        <v>0</v>
      </c>
      <c r="AB386" s="1">
        <f t="shared" si="144"/>
        <v>0</v>
      </c>
      <c r="AD386" s="1">
        <f t="shared" si="145"/>
        <v>0</v>
      </c>
      <c r="AE386" s="1">
        <f t="shared" si="146"/>
        <v>1</v>
      </c>
      <c r="AF386" s="1">
        <f t="shared" si="131"/>
        <v>0</v>
      </c>
      <c r="AG386" s="1">
        <f t="shared" si="132"/>
        <v>1</v>
      </c>
      <c r="AH386" s="1">
        <f t="shared" si="133"/>
        <v>0</v>
      </c>
      <c r="AI386" s="1">
        <f t="shared" si="134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787</v>
      </c>
      <c r="E387" s="32" t="s">
        <v>763</v>
      </c>
      <c r="F387" s="32" t="s">
        <v>921</v>
      </c>
      <c r="G387" s="32" t="s">
        <v>219</v>
      </c>
      <c r="H387" s="32" t="s">
        <v>352</v>
      </c>
      <c r="I387" s="31" t="s">
        <v>788</v>
      </c>
      <c r="J387" s="31">
        <v>8</v>
      </c>
      <c r="K387" s="33" t="s">
        <v>699</v>
      </c>
      <c r="L387" s="33">
        <v>20</v>
      </c>
      <c r="M387" s="34" t="s">
        <v>1403</v>
      </c>
      <c r="N387" s="34" t="s">
        <v>1809</v>
      </c>
      <c r="O387" s="35">
        <v>1</v>
      </c>
      <c r="P387" s="35"/>
      <c r="Q387" s="32"/>
      <c r="S387" s="1">
        <f t="shared" si="135"/>
        <v>0</v>
      </c>
      <c r="T387" s="1">
        <f t="shared" si="136"/>
        <v>0</v>
      </c>
      <c r="U387" s="1">
        <f t="shared" si="137"/>
        <v>0</v>
      </c>
      <c r="V387" s="1">
        <f t="shared" si="138"/>
        <v>0</v>
      </c>
      <c r="W387" s="1">
        <f t="shared" si="139"/>
        <v>0</v>
      </c>
      <c r="X387" s="1">
        <f t="shared" si="140"/>
        <v>0</v>
      </c>
      <c r="Y387" s="1">
        <f t="shared" si="141"/>
        <v>0</v>
      </c>
      <c r="Z387" s="1">
        <f t="shared" si="142"/>
        <v>1</v>
      </c>
      <c r="AA387" s="1">
        <f t="shared" si="143"/>
        <v>0</v>
      </c>
      <c r="AB387" s="1">
        <f t="shared" si="144"/>
        <v>0</v>
      </c>
      <c r="AD387" s="1">
        <f t="shared" si="145"/>
        <v>0</v>
      </c>
      <c r="AE387" s="1">
        <f t="shared" si="146"/>
        <v>1</v>
      </c>
      <c r="AF387" s="1">
        <f t="shared" si="131"/>
        <v>0</v>
      </c>
      <c r="AG387" s="1">
        <f t="shared" si="132"/>
        <v>1</v>
      </c>
      <c r="AH387" s="1">
        <f t="shared" si="133"/>
        <v>0</v>
      </c>
      <c r="AI387" s="1">
        <f t="shared" si="134"/>
        <v>1</v>
      </c>
    </row>
    <row r="388" spans="1:35" s="1" customFormat="1" ht="14.25" customHeight="1" x14ac:dyDescent="0.25">
      <c r="A388" s="49">
        <v>0</v>
      </c>
      <c r="B388" s="49">
        <v>2</v>
      </c>
      <c r="C388" s="49">
        <v>5</v>
      </c>
      <c r="D388" s="50" t="s">
        <v>79</v>
      </c>
      <c r="E388" s="50" t="s">
        <v>158</v>
      </c>
      <c r="F388" s="50" t="s">
        <v>267</v>
      </c>
      <c r="G388" s="50" t="s">
        <v>212</v>
      </c>
      <c r="H388" s="50" t="s">
        <v>352</v>
      </c>
      <c r="I388" s="49" t="s">
        <v>423</v>
      </c>
      <c r="J388" s="49">
        <v>1</v>
      </c>
      <c r="K388" s="51" t="s">
        <v>942</v>
      </c>
      <c r="L388" s="51" t="s">
        <v>700</v>
      </c>
      <c r="M388" s="52" t="s">
        <v>723</v>
      </c>
      <c r="N388" s="52" t="s">
        <v>1727</v>
      </c>
      <c r="O388" s="53">
        <v>1</v>
      </c>
      <c r="P388" s="53"/>
      <c r="Q388" s="50"/>
      <c r="S388" s="1">
        <f t="shared" si="135"/>
        <v>1</v>
      </c>
      <c r="T388" s="1">
        <f t="shared" si="136"/>
        <v>0</v>
      </c>
      <c r="U388" s="1">
        <f t="shared" si="137"/>
        <v>0</v>
      </c>
      <c r="V388" s="1">
        <f t="shared" si="138"/>
        <v>0</v>
      </c>
      <c r="W388" s="1">
        <f t="shared" si="139"/>
        <v>0</v>
      </c>
      <c r="X388" s="1">
        <f t="shared" si="140"/>
        <v>0</v>
      </c>
      <c r="Y388" s="1">
        <f t="shared" si="141"/>
        <v>0</v>
      </c>
      <c r="Z388" s="1">
        <f t="shared" si="142"/>
        <v>0</v>
      </c>
      <c r="AA388" s="1">
        <f t="shared" si="143"/>
        <v>0</v>
      </c>
      <c r="AB388" s="1">
        <f t="shared" si="144"/>
        <v>0</v>
      </c>
      <c r="AD388" s="1">
        <f t="shared" si="145"/>
        <v>0</v>
      </c>
      <c r="AE388" s="1">
        <f t="shared" si="146"/>
        <v>1</v>
      </c>
      <c r="AF388" s="1">
        <f t="shared" si="131"/>
        <v>0</v>
      </c>
      <c r="AG388" s="1">
        <f t="shared" si="132"/>
        <v>1</v>
      </c>
      <c r="AH388" s="1">
        <f t="shared" si="133"/>
        <v>0</v>
      </c>
      <c r="AI388" s="1">
        <f t="shared" si="134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1626</v>
      </c>
      <c r="E389" s="32" t="s">
        <v>1638</v>
      </c>
      <c r="F389" s="32" t="s">
        <v>1535</v>
      </c>
      <c r="G389" s="32" t="s">
        <v>261</v>
      </c>
      <c r="H389" s="32" t="s">
        <v>352</v>
      </c>
      <c r="I389" s="31" t="s">
        <v>1536</v>
      </c>
      <c r="J389" s="31">
        <v>99</v>
      </c>
      <c r="K389" s="33" t="s">
        <v>942</v>
      </c>
      <c r="L389" s="33">
        <v>40</v>
      </c>
      <c r="M389" s="34" t="s">
        <v>39</v>
      </c>
      <c r="N389" s="34" t="s">
        <v>1809</v>
      </c>
      <c r="O389" s="35">
        <v>1</v>
      </c>
      <c r="P389" s="35"/>
      <c r="Q389" s="32"/>
      <c r="S389" s="1">
        <f t="shared" si="135"/>
        <v>0</v>
      </c>
      <c r="T389" s="1">
        <f t="shared" si="136"/>
        <v>0</v>
      </c>
      <c r="U389" s="1">
        <f t="shared" si="137"/>
        <v>0</v>
      </c>
      <c r="V389" s="1">
        <f t="shared" si="138"/>
        <v>0</v>
      </c>
      <c r="W389" s="1">
        <f t="shared" si="139"/>
        <v>0</v>
      </c>
      <c r="X389" s="1">
        <f t="shared" si="140"/>
        <v>0</v>
      </c>
      <c r="Y389" s="1">
        <f t="shared" si="141"/>
        <v>0</v>
      </c>
      <c r="Z389" s="1">
        <f t="shared" si="142"/>
        <v>0</v>
      </c>
      <c r="AA389" s="1">
        <f t="shared" si="143"/>
        <v>0</v>
      </c>
      <c r="AB389" s="1">
        <f t="shared" si="144"/>
        <v>0</v>
      </c>
      <c r="AD389" s="1">
        <f t="shared" si="145"/>
        <v>0</v>
      </c>
      <c r="AE389" s="1">
        <f t="shared" si="146"/>
        <v>1</v>
      </c>
      <c r="AF389" s="1">
        <f t="shared" si="131"/>
        <v>0</v>
      </c>
      <c r="AG389" s="1">
        <f t="shared" si="132"/>
        <v>1</v>
      </c>
      <c r="AH389" s="1">
        <f t="shared" si="133"/>
        <v>0</v>
      </c>
      <c r="AI389" s="1">
        <f t="shared" si="134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1281</v>
      </c>
      <c r="E390" s="32" t="s">
        <v>27</v>
      </c>
      <c r="F390" s="32" t="s">
        <v>1282</v>
      </c>
      <c r="G390" s="32" t="s">
        <v>1283</v>
      </c>
      <c r="H390" s="32" t="s">
        <v>352</v>
      </c>
      <c r="I390" s="31" t="s">
        <v>1284</v>
      </c>
      <c r="J390" s="31">
        <v>99</v>
      </c>
      <c r="K390" s="33" t="s">
        <v>942</v>
      </c>
      <c r="L390" s="33" t="s">
        <v>39</v>
      </c>
      <c r="M390" s="34" t="s">
        <v>39</v>
      </c>
      <c r="N390" s="34" t="s">
        <v>1711</v>
      </c>
      <c r="O390" s="35">
        <v>1</v>
      </c>
      <c r="P390" s="35">
        <v>1</v>
      </c>
      <c r="Q390" s="36"/>
      <c r="S390" s="1">
        <f t="shared" si="135"/>
        <v>0</v>
      </c>
      <c r="T390" s="1">
        <f t="shared" si="136"/>
        <v>0</v>
      </c>
      <c r="U390" s="1">
        <f t="shared" si="137"/>
        <v>0</v>
      </c>
      <c r="V390" s="1">
        <f t="shared" si="138"/>
        <v>0</v>
      </c>
      <c r="W390" s="1">
        <f t="shared" si="139"/>
        <v>0</v>
      </c>
      <c r="X390" s="1">
        <f t="shared" si="140"/>
        <v>0</v>
      </c>
      <c r="Y390" s="1">
        <f t="shared" si="141"/>
        <v>0</v>
      </c>
      <c r="Z390" s="1">
        <f t="shared" si="142"/>
        <v>0</v>
      </c>
      <c r="AA390" s="1">
        <f t="shared" si="143"/>
        <v>0</v>
      </c>
      <c r="AB390" s="1">
        <f t="shared" si="144"/>
        <v>0</v>
      </c>
      <c r="AD390" s="1">
        <f t="shared" si="145"/>
        <v>1</v>
      </c>
      <c r="AE390" s="1">
        <f t="shared" si="146"/>
        <v>0</v>
      </c>
      <c r="AF390" s="1">
        <f t="shared" si="131"/>
        <v>1</v>
      </c>
      <c r="AG390" s="1">
        <f t="shared" si="132"/>
        <v>0</v>
      </c>
      <c r="AH390" s="1">
        <f t="shared" si="133"/>
        <v>1</v>
      </c>
      <c r="AI390" s="1">
        <f t="shared" si="134"/>
        <v>0</v>
      </c>
    </row>
    <row r="391" spans="1:35" s="1" customFormat="1" ht="14.25" customHeight="1" x14ac:dyDescent="0.25">
      <c r="A391" s="44">
        <v>0</v>
      </c>
      <c r="B391" s="44">
        <v>2</v>
      </c>
      <c r="C391" s="44">
        <v>5</v>
      </c>
      <c r="D391" s="45" t="s">
        <v>1587</v>
      </c>
      <c r="E391" s="45" t="s">
        <v>158</v>
      </c>
      <c r="F391" s="45" t="s">
        <v>1659</v>
      </c>
      <c r="G391" s="45" t="s">
        <v>1452</v>
      </c>
      <c r="H391" s="45" t="s">
        <v>352</v>
      </c>
      <c r="I391" s="44" t="s">
        <v>1453</v>
      </c>
      <c r="J391" s="44">
        <v>99</v>
      </c>
      <c r="K391" s="46" t="s">
        <v>709</v>
      </c>
      <c r="L391" s="46" t="s">
        <v>692</v>
      </c>
      <c r="M391" s="47" t="s">
        <v>1454</v>
      </c>
      <c r="N391" s="47" t="s">
        <v>1731</v>
      </c>
      <c r="O391" s="48"/>
      <c r="P391" s="48"/>
      <c r="Q391" s="45"/>
      <c r="S391" s="1">
        <f t="shared" si="135"/>
        <v>0</v>
      </c>
      <c r="T391" s="1">
        <f t="shared" si="136"/>
        <v>0</v>
      </c>
      <c r="U391" s="1">
        <f t="shared" si="137"/>
        <v>0</v>
      </c>
      <c r="V391" s="1">
        <f t="shared" si="138"/>
        <v>0</v>
      </c>
      <c r="W391" s="1">
        <f t="shared" si="139"/>
        <v>0</v>
      </c>
      <c r="X391" s="1">
        <f t="shared" si="140"/>
        <v>0</v>
      </c>
      <c r="Y391" s="1">
        <f t="shared" si="141"/>
        <v>0</v>
      </c>
      <c r="Z391" s="1">
        <f t="shared" si="142"/>
        <v>0</v>
      </c>
      <c r="AA391" s="1">
        <f t="shared" si="143"/>
        <v>0</v>
      </c>
      <c r="AB391" s="1">
        <f t="shared" si="144"/>
        <v>0</v>
      </c>
      <c r="AD391" s="1">
        <f t="shared" si="145"/>
        <v>0</v>
      </c>
      <c r="AE391" s="1">
        <f t="shared" si="146"/>
        <v>0</v>
      </c>
      <c r="AF391" s="1">
        <f t="shared" si="131"/>
        <v>0</v>
      </c>
      <c r="AG391" s="1">
        <f t="shared" si="132"/>
        <v>0</v>
      </c>
      <c r="AH391" s="1">
        <f t="shared" si="133"/>
        <v>0</v>
      </c>
      <c r="AI391" s="1">
        <f t="shared" si="134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2025</v>
      </c>
      <c r="E392" s="32" t="s">
        <v>2026</v>
      </c>
      <c r="F392" s="32" t="s">
        <v>2027</v>
      </c>
      <c r="G392" s="32" t="s">
        <v>2030</v>
      </c>
      <c r="H392" s="32" t="s">
        <v>352</v>
      </c>
      <c r="I392" s="31" t="s">
        <v>2028</v>
      </c>
      <c r="J392" s="31"/>
      <c r="K392" s="33" t="s">
        <v>1806</v>
      </c>
      <c r="L392" s="33"/>
      <c r="M392" s="34"/>
      <c r="N392" s="34" t="s">
        <v>1711</v>
      </c>
      <c r="O392" s="35">
        <v>1</v>
      </c>
      <c r="P392" s="35">
        <v>1</v>
      </c>
      <c r="Q392" s="32" t="s">
        <v>2029</v>
      </c>
      <c r="S392" s="1">
        <f t="shared" si="135"/>
        <v>0</v>
      </c>
      <c r="T392" s="1">
        <f t="shared" si="136"/>
        <v>0</v>
      </c>
      <c r="U392" s="1">
        <f t="shared" si="137"/>
        <v>0</v>
      </c>
      <c r="V392" s="1">
        <f t="shared" si="138"/>
        <v>0</v>
      </c>
      <c r="W392" s="1">
        <f t="shared" si="139"/>
        <v>0</v>
      </c>
      <c r="X392" s="1">
        <f t="shared" si="140"/>
        <v>0</v>
      </c>
      <c r="Y392" s="1">
        <f t="shared" si="141"/>
        <v>0</v>
      </c>
      <c r="Z392" s="1">
        <f t="shared" si="142"/>
        <v>0</v>
      </c>
      <c r="AA392" s="1">
        <f t="shared" si="143"/>
        <v>0</v>
      </c>
      <c r="AB392" s="1">
        <f t="shared" si="144"/>
        <v>0</v>
      </c>
      <c r="AD392" s="1">
        <f t="shared" si="145"/>
        <v>1</v>
      </c>
      <c r="AE392" s="1">
        <f t="shared" si="146"/>
        <v>0</v>
      </c>
      <c r="AF392" s="1">
        <f t="shared" si="131"/>
        <v>1</v>
      </c>
      <c r="AG392" s="1">
        <f t="shared" si="132"/>
        <v>0</v>
      </c>
      <c r="AH392" s="1">
        <f t="shared" si="133"/>
        <v>1</v>
      </c>
      <c r="AI392" s="1">
        <f t="shared" si="134"/>
        <v>0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1762</v>
      </c>
      <c r="E393" s="32" t="s">
        <v>154</v>
      </c>
      <c r="F393" s="32" t="s">
        <v>1763</v>
      </c>
      <c r="G393" s="32" t="s">
        <v>652</v>
      </c>
      <c r="H393" s="32" t="s">
        <v>352</v>
      </c>
      <c r="I393" s="31" t="s">
        <v>1764</v>
      </c>
      <c r="J393" s="31"/>
      <c r="K393" s="33" t="s">
        <v>699</v>
      </c>
      <c r="L393" s="33">
        <v>40</v>
      </c>
      <c r="M393" s="34" t="s">
        <v>1765</v>
      </c>
      <c r="N393" s="34" t="s">
        <v>1727</v>
      </c>
      <c r="O393" s="35">
        <v>1</v>
      </c>
      <c r="P393" s="35"/>
      <c r="Q393" s="32"/>
      <c r="S393" s="1">
        <f t="shared" si="135"/>
        <v>0</v>
      </c>
      <c r="T393" s="1">
        <f t="shared" si="136"/>
        <v>0</v>
      </c>
      <c r="U393" s="1">
        <f t="shared" si="137"/>
        <v>0</v>
      </c>
      <c r="V393" s="1">
        <f t="shared" si="138"/>
        <v>0</v>
      </c>
      <c r="W393" s="1">
        <f t="shared" si="139"/>
        <v>0</v>
      </c>
      <c r="X393" s="1">
        <f t="shared" si="140"/>
        <v>0</v>
      </c>
      <c r="Y393" s="1">
        <f t="shared" si="141"/>
        <v>0</v>
      </c>
      <c r="Z393" s="1">
        <f t="shared" si="142"/>
        <v>0</v>
      </c>
      <c r="AA393" s="1">
        <f t="shared" si="143"/>
        <v>0</v>
      </c>
      <c r="AB393" s="1">
        <f t="shared" si="144"/>
        <v>0</v>
      </c>
      <c r="AD393" s="1">
        <f t="shared" si="145"/>
        <v>0</v>
      </c>
      <c r="AE393" s="1">
        <f t="shared" si="146"/>
        <v>1</v>
      </c>
      <c r="AF393" s="1">
        <f t="shared" si="131"/>
        <v>0</v>
      </c>
      <c r="AG393" s="1">
        <f t="shared" si="132"/>
        <v>1</v>
      </c>
      <c r="AH393" s="1">
        <f t="shared" si="133"/>
        <v>0</v>
      </c>
      <c r="AI393" s="1">
        <f t="shared" si="134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828</v>
      </c>
      <c r="E394" s="32" t="s">
        <v>822</v>
      </c>
      <c r="F394" s="32" t="s">
        <v>929</v>
      </c>
      <c r="G394" s="32" t="s">
        <v>179</v>
      </c>
      <c r="H394" s="32" t="s">
        <v>352</v>
      </c>
      <c r="I394" s="31" t="s">
        <v>1096</v>
      </c>
      <c r="J394" s="31">
        <v>10</v>
      </c>
      <c r="K394" s="33" t="s">
        <v>708</v>
      </c>
      <c r="L394" s="33" t="s">
        <v>689</v>
      </c>
      <c r="M394" s="34" t="s">
        <v>1413</v>
      </c>
      <c r="N394" s="34" t="s">
        <v>1739</v>
      </c>
      <c r="O394" s="35">
        <v>1</v>
      </c>
      <c r="P394" s="35"/>
      <c r="Q394" s="32"/>
      <c r="S394" s="1">
        <f t="shared" si="135"/>
        <v>0</v>
      </c>
      <c r="T394" s="1">
        <f t="shared" si="136"/>
        <v>0</v>
      </c>
      <c r="U394" s="1">
        <f t="shared" si="137"/>
        <v>0</v>
      </c>
      <c r="V394" s="1">
        <f t="shared" si="138"/>
        <v>0</v>
      </c>
      <c r="W394" s="1">
        <f t="shared" si="139"/>
        <v>0</v>
      </c>
      <c r="X394" s="1">
        <f t="shared" si="140"/>
        <v>0</v>
      </c>
      <c r="Y394" s="1">
        <f t="shared" si="141"/>
        <v>0</v>
      </c>
      <c r="Z394" s="1">
        <f t="shared" si="142"/>
        <v>0</v>
      </c>
      <c r="AA394" s="1">
        <f t="shared" si="143"/>
        <v>0</v>
      </c>
      <c r="AB394" s="1">
        <f t="shared" si="144"/>
        <v>1</v>
      </c>
      <c r="AD394" s="1">
        <f t="shared" si="145"/>
        <v>0</v>
      </c>
      <c r="AE394" s="1">
        <f t="shared" si="146"/>
        <v>1</v>
      </c>
      <c r="AF394" s="1">
        <f t="shared" si="131"/>
        <v>0</v>
      </c>
      <c r="AG394" s="1">
        <f t="shared" si="132"/>
        <v>1</v>
      </c>
      <c r="AH394" s="1">
        <f t="shared" si="133"/>
        <v>0</v>
      </c>
      <c r="AI394" s="1">
        <f t="shared" si="134"/>
        <v>1</v>
      </c>
    </row>
    <row r="395" spans="1:35" s="1" customFormat="1" ht="14.25" customHeight="1" x14ac:dyDescent="0.25">
      <c r="A395" s="57">
        <v>0</v>
      </c>
      <c r="B395" s="57">
        <v>2</v>
      </c>
      <c r="C395" s="57">
        <v>6</v>
      </c>
      <c r="D395" s="58" t="s">
        <v>1527</v>
      </c>
      <c r="E395" s="58" t="s">
        <v>27</v>
      </c>
      <c r="F395" s="58" t="s">
        <v>1529</v>
      </c>
      <c r="G395" s="58" t="s">
        <v>1518</v>
      </c>
      <c r="H395" s="58" t="s">
        <v>352</v>
      </c>
      <c r="I395" s="57" t="s">
        <v>1528</v>
      </c>
      <c r="J395" s="57">
        <v>5</v>
      </c>
      <c r="K395" s="59" t="s">
        <v>942</v>
      </c>
      <c r="L395" s="59" t="s">
        <v>39</v>
      </c>
      <c r="M395" s="60" t="s">
        <v>39</v>
      </c>
      <c r="N395" s="61"/>
      <c r="O395" s="62"/>
      <c r="P395" s="62"/>
      <c r="Q395" s="66" t="s">
        <v>1884</v>
      </c>
      <c r="S395" s="1">
        <f t="shared" si="135"/>
        <v>0</v>
      </c>
      <c r="T395" s="1">
        <f t="shared" si="136"/>
        <v>0</v>
      </c>
      <c r="U395" s="1">
        <f t="shared" si="137"/>
        <v>0</v>
      </c>
      <c r="V395" s="1">
        <f t="shared" si="138"/>
        <v>0</v>
      </c>
      <c r="W395" s="1">
        <f t="shared" si="139"/>
        <v>1</v>
      </c>
      <c r="X395" s="1">
        <f t="shared" si="140"/>
        <v>0</v>
      </c>
      <c r="Y395" s="1">
        <f t="shared" si="141"/>
        <v>0</v>
      </c>
      <c r="Z395" s="1">
        <f t="shared" si="142"/>
        <v>0</v>
      </c>
      <c r="AA395" s="1">
        <f t="shared" si="143"/>
        <v>0</v>
      </c>
      <c r="AB395" s="1">
        <f t="shared" si="144"/>
        <v>0</v>
      </c>
      <c r="AD395" s="1">
        <f t="shared" si="145"/>
        <v>0</v>
      </c>
      <c r="AE395" s="1">
        <f t="shared" si="146"/>
        <v>0</v>
      </c>
      <c r="AF395" s="1">
        <f t="shared" si="131"/>
        <v>0</v>
      </c>
      <c r="AG395" s="1">
        <f t="shared" si="132"/>
        <v>0</v>
      </c>
      <c r="AH395" s="1">
        <f t="shared" si="133"/>
        <v>0</v>
      </c>
      <c r="AI395" s="1">
        <f t="shared" si="134"/>
        <v>1</v>
      </c>
    </row>
    <row r="396" spans="1:35" s="1" customFormat="1" ht="14.25" customHeight="1" x14ac:dyDescent="0.25">
      <c r="A396" s="44">
        <v>0</v>
      </c>
      <c r="B396" s="44">
        <v>2</v>
      </c>
      <c r="C396" s="44">
        <v>6</v>
      </c>
      <c r="D396" s="45" t="s">
        <v>515</v>
      </c>
      <c r="E396" s="45" t="s">
        <v>31</v>
      </c>
      <c r="F396" s="45" t="s">
        <v>668</v>
      </c>
      <c r="G396" s="45" t="s">
        <v>199</v>
      </c>
      <c r="H396" s="45" t="s">
        <v>352</v>
      </c>
      <c r="I396" s="44" t="s">
        <v>516</v>
      </c>
      <c r="J396" s="44">
        <v>2</v>
      </c>
      <c r="K396" s="46" t="s">
        <v>941</v>
      </c>
      <c r="L396" s="46" t="s">
        <v>690</v>
      </c>
      <c r="M396" s="47" t="s">
        <v>1414</v>
      </c>
      <c r="N396" s="47" t="s">
        <v>1719</v>
      </c>
      <c r="O396" s="48"/>
      <c r="P396" s="48"/>
      <c r="Q396" s="45"/>
      <c r="S396" s="1">
        <f t="shared" si="135"/>
        <v>0</v>
      </c>
      <c r="T396" s="1">
        <f t="shared" si="136"/>
        <v>1</v>
      </c>
      <c r="U396" s="1">
        <f t="shared" si="137"/>
        <v>0</v>
      </c>
      <c r="V396" s="1">
        <f t="shared" si="138"/>
        <v>0</v>
      </c>
      <c r="W396" s="1">
        <f t="shared" si="139"/>
        <v>0</v>
      </c>
      <c r="X396" s="1">
        <f t="shared" si="140"/>
        <v>0</v>
      </c>
      <c r="Y396" s="1">
        <f t="shared" si="141"/>
        <v>0</v>
      </c>
      <c r="Z396" s="1">
        <f t="shared" si="142"/>
        <v>0</v>
      </c>
      <c r="AA396" s="1">
        <f t="shared" si="143"/>
        <v>0</v>
      </c>
      <c r="AB396" s="1">
        <f t="shared" si="144"/>
        <v>0</v>
      </c>
      <c r="AD396" s="1">
        <f t="shared" si="145"/>
        <v>0</v>
      </c>
      <c r="AE396" s="1">
        <f t="shared" si="146"/>
        <v>0</v>
      </c>
      <c r="AF396" s="1">
        <f t="shared" si="131"/>
        <v>0</v>
      </c>
      <c r="AG396" s="1">
        <f t="shared" si="132"/>
        <v>0</v>
      </c>
      <c r="AH396" s="1">
        <f t="shared" si="133"/>
        <v>0</v>
      </c>
      <c r="AI396" s="1">
        <f t="shared" si="134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6</v>
      </c>
      <c r="D397" s="32" t="s">
        <v>53</v>
      </c>
      <c r="E397" s="32" t="s">
        <v>31</v>
      </c>
      <c r="F397" s="32" t="s">
        <v>209</v>
      </c>
      <c r="G397" s="32" t="s">
        <v>210</v>
      </c>
      <c r="H397" s="32" t="s">
        <v>352</v>
      </c>
      <c r="I397" s="31" t="s">
        <v>390</v>
      </c>
      <c r="J397" s="31">
        <v>1</v>
      </c>
      <c r="K397" s="33" t="s">
        <v>708</v>
      </c>
      <c r="L397" s="33" t="s">
        <v>700</v>
      </c>
      <c r="M397" s="34" t="s">
        <v>724</v>
      </c>
      <c r="N397" s="34" t="s">
        <v>1727</v>
      </c>
      <c r="O397" s="35">
        <v>1</v>
      </c>
      <c r="P397" s="35"/>
      <c r="Q397" s="32"/>
      <c r="S397" s="1">
        <f t="shared" si="135"/>
        <v>1</v>
      </c>
      <c r="T397" s="1">
        <f t="shared" si="136"/>
        <v>0</v>
      </c>
      <c r="U397" s="1">
        <f t="shared" si="137"/>
        <v>0</v>
      </c>
      <c r="V397" s="1">
        <f t="shared" si="138"/>
        <v>0</v>
      </c>
      <c r="W397" s="1">
        <f t="shared" si="139"/>
        <v>0</v>
      </c>
      <c r="X397" s="1">
        <f t="shared" si="140"/>
        <v>0</v>
      </c>
      <c r="Y397" s="1">
        <f t="shared" si="141"/>
        <v>0</v>
      </c>
      <c r="Z397" s="1">
        <f t="shared" si="142"/>
        <v>0</v>
      </c>
      <c r="AA397" s="1">
        <f t="shared" si="143"/>
        <v>0</v>
      </c>
      <c r="AB397" s="1">
        <f t="shared" si="144"/>
        <v>0</v>
      </c>
      <c r="AD397" s="1">
        <f t="shared" si="145"/>
        <v>0</v>
      </c>
      <c r="AE397" s="1">
        <f t="shared" si="146"/>
        <v>1</v>
      </c>
      <c r="AF397" s="1">
        <f t="shared" si="131"/>
        <v>0</v>
      </c>
      <c r="AG397" s="1">
        <f t="shared" si="132"/>
        <v>1</v>
      </c>
      <c r="AH397" s="1">
        <f t="shared" si="133"/>
        <v>0</v>
      </c>
      <c r="AI397" s="1">
        <f t="shared" si="134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6</v>
      </c>
      <c r="D398" s="32" t="s">
        <v>1846</v>
      </c>
      <c r="E398" s="32" t="s">
        <v>1847</v>
      </c>
      <c r="F398" s="32" t="s">
        <v>1848</v>
      </c>
      <c r="G398" s="32"/>
      <c r="H398" s="32" t="s">
        <v>352</v>
      </c>
      <c r="I398" s="31" t="s">
        <v>1849</v>
      </c>
      <c r="J398" s="31">
        <v>99</v>
      </c>
      <c r="K398" s="33" t="s">
        <v>699</v>
      </c>
      <c r="L398" s="33">
        <v>25</v>
      </c>
      <c r="M398" s="34" t="s">
        <v>1850</v>
      </c>
      <c r="N398" s="34" t="s">
        <v>1727</v>
      </c>
      <c r="O398" s="35">
        <v>1</v>
      </c>
      <c r="P398" s="35"/>
      <c r="Q398" s="32" t="s">
        <v>2031</v>
      </c>
      <c r="S398" s="1">
        <f t="shared" si="135"/>
        <v>0</v>
      </c>
      <c r="T398" s="1">
        <f t="shared" si="136"/>
        <v>0</v>
      </c>
      <c r="U398" s="1">
        <f t="shared" si="137"/>
        <v>0</v>
      </c>
      <c r="V398" s="1">
        <f t="shared" si="138"/>
        <v>0</v>
      </c>
      <c r="W398" s="1">
        <f t="shared" si="139"/>
        <v>0</v>
      </c>
      <c r="X398" s="1">
        <f t="shared" si="140"/>
        <v>0</v>
      </c>
      <c r="Y398" s="1">
        <f t="shared" si="141"/>
        <v>0</v>
      </c>
      <c r="Z398" s="1">
        <f t="shared" si="142"/>
        <v>0</v>
      </c>
      <c r="AA398" s="1">
        <f t="shared" si="143"/>
        <v>0</v>
      </c>
      <c r="AB398" s="1">
        <f t="shared" si="144"/>
        <v>0</v>
      </c>
      <c r="AD398" s="1">
        <f t="shared" si="145"/>
        <v>0</v>
      </c>
      <c r="AE398" s="1">
        <f t="shared" si="146"/>
        <v>1</v>
      </c>
      <c r="AF398" s="1">
        <f t="shared" si="131"/>
        <v>0</v>
      </c>
      <c r="AG398" s="1">
        <f t="shared" si="132"/>
        <v>1</v>
      </c>
      <c r="AH398" s="1">
        <f t="shared" si="133"/>
        <v>0</v>
      </c>
      <c r="AI398" s="1">
        <f t="shared" si="134"/>
        <v>1</v>
      </c>
    </row>
    <row r="399" spans="1:35" s="1" customFormat="1" ht="14.25" customHeight="1" x14ac:dyDescent="0.25">
      <c r="A399" s="44">
        <v>0</v>
      </c>
      <c r="B399" s="44">
        <v>2</v>
      </c>
      <c r="C399" s="44">
        <v>6</v>
      </c>
      <c r="D399" s="45" t="s">
        <v>80</v>
      </c>
      <c r="E399" s="45" t="s">
        <v>31</v>
      </c>
      <c r="F399" s="45" t="s">
        <v>269</v>
      </c>
      <c r="G399" s="45" t="s">
        <v>223</v>
      </c>
      <c r="H399" s="45" t="s">
        <v>352</v>
      </c>
      <c r="I399" s="44" t="s">
        <v>674</v>
      </c>
      <c r="J399" s="44">
        <v>99</v>
      </c>
      <c r="K399" s="46" t="s">
        <v>942</v>
      </c>
      <c r="L399" s="46" t="s">
        <v>690</v>
      </c>
      <c r="M399" s="47" t="s">
        <v>1415</v>
      </c>
      <c r="N399" s="47" t="s">
        <v>1793</v>
      </c>
      <c r="O399" s="48"/>
      <c r="P399" s="48"/>
      <c r="Q399" s="45"/>
      <c r="S399" s="1">
        <f t="shared" si="135"/>
        <v>0</v>
      </c>
      <c r="T399" s="1">
        <f t="shared" si="136"/>
        <v>0</v>
      </c>
      <c r="U399" s="1">
        <f t="shared" si="137"/>
        <v>0</v>
      </c>
      <c r="V399" s="1">
        <f t="shared" si="138"/>
        <v>0</v>
      </c>
      <c r="W399" s="1">
        <f t="shared" si="139"/>
        <v>0</v>
      </c>
      <c r="X399" s="1">
        <f t="shared" si="140"/>
        <v>0</v>
      </c>
      <c r="Y399" s="1">
        <f t="shared" si="141"/>
        <v>0</v>
      </c>
      <c r="Z399" s="1">
        <f t="shared" si="142"/>
        <v>0</v>
      </c>
      <c r="AA399" s="1">
        <f t="shared" si="143"/>
        <v>0</v>
      </c>
      <c r="AB399" s="1">
        <f t="shared" si="144"/>
        <v>0</v>
      </c>
      <c r="AD399" s="1">
        <f t="shared" si="145"/>
        <v>0</v>
      </c>
      <c r="AE399" s="1">
        <f t="shared" si="146"/>
        <v>0</v>
      </c>
      <c r="AF399" s="1">
        <f t="shared" ref="AF399:AF417" si="147">+O399*P399*(1-A399)</f>
        <v>0</v>
      </c>
      <c r="AG399" s="1">
        <f t="shared" ref="AG399:AG417" si="148">O399*(1-P399)*(1-A399)</f>
        <v>0</v>
      </c>
      <c r="AH399" s="1">
        <f t="shared" ref="AH399:AH417" si="149">+P399*(1-A399)</f>
        <v>0</v>
      </c>
      <c r="AI399" s="1">
        <f t="shared" ref="AI399:AI417" si="150">+(1-A399)*(1-P399)</f>
        <v>1</v>
      </c>
    </row>
    <row r="400" spans="1:35" s="1" customFormat="1" ht="14.25" customHeight="1" x14ac:dyDescent="0.25">
      <c r="A400" s="44">
        <v>0</v>
      </c>
      <c r="B400" s="44">
        <v>2</v>
      </c>
      <c r="C400" s="44">
        <v>6</v>
      </c>
      <c r="D400" s="45" t="s">
        <v>635</v>
      </c>
      <c r="E400" s="45" t="s">
        <v>31</v>
      </c>
      <c r="F400" s="45" t="s">
        <v>636</v>
      </c>
      <c r="G400" s="45" t="s">
        <v>239</v>
      </c>
      <c r="H400" s="45" t="s">
        <v>352</v>
      </c>
      <c r="I400" s="44" t="s">
        <v>637</v>
      </c>
      <c r="J400" s="44">
        <v>1</v>
      </c>
      <c r="K400" s="46" t="s">
        <v>709</v>
      </c>
      <c r="L400" s="46" t="s">
        <v>690</v>
      </c>
      <c r="M400" s="47" t="s">
        <v>1416</v>
      </c>
      <c r="N400" s="47" t="s">
        <v>1719</v>
      </c>
      <c r="O400" s="48"/>
      <c r="P400" s="48"/>
      <c r="Q400" s="45"/>
      <c r="S400" s="1">
        <f t="shared" si="135"/>
        <v>1</v>
      </c>
      <c r="T400" s="1">
        <f t="shared" si="136"/>
        <v>0</v>
      </c>
      <c r="U400" s="1">
        <f t="shared" si="137"/>
        <v>0</v>
      </c>
      <c r="V400" s="1">
        <f t="shared" si="138"/>
        <v>0</v>
      </c>
      <c r="W400" s="1">
        <f t="shared" si="139"/>
        <v>0</v>
      </c>
      <c r="X400" s="1">
        <f t="shared" si="140"/>
        <v>0</v>
      </c>
      <c r="Y400" s="1">
        <f t="shared" si="141"/>
        <v>0</v>
      </c>
      <c r="Z400" s="1">
        <f t="shared" si="142"/>
        <v>0</v>
      </c>
      <c r="AA400" s="1">
        <f t="shared" si="143"/>
        <v>0</v>
      </c>
      <c r="AB400" s="1">
        <f t="shared" si="144"/>
        <v>0</v>
      </c>
      <c r="AD400" s="1">
        <f t="shared" si="145"/>
        <v>0</v>
      </c>
      <c r="AE400" s="1">
        <f t="shared" si="146"/>
        <v>0</v>
      </c>
      <c r="AF400" s="1">
        <f t="shared" si="147"/>
        <v>0</v>
      </c>
      <c r="AG400" s="1">
        <f t="shared" si="148"/>
        <v>0</v>
      </c>
      <c r="AH400" s="1">
        <f t="shared" si="149"/>
        <v>0</v>
      </c>
      <c r="AI400" s="1">
        <f t="shared" si="150"/>
        <v>1</v>
      </c>
    </row>
    <row r="401" spans="1:35" s="1" customFormat="1" ht="14.25" customHeight="1" x14ac:dyDescent="0.25">
      <c r="A401" s="44">
        <v>0</v>
      </c>
      <c r="B401" s="44">
        <v>2</v>
      </c>
      <c r="C401" s="44">
        <v>6</v>
      </c>
      <c r="D401" s="45" t="s">
        <v>1119</v>
      </c>
      <c r="E401" s="45" t="s">
        <v>31</v>
      </c>
      <c r="F401" s="45" t="s">
        <v>668</v>
      </c>
      <c r="G401" s="45" t="s">
        <v>199</v>
      </c>
      <c r="H401" s="45" t="s">
        <v>352</v>
      </c>
      <c r="I401" s="44" t="s">
        <v>516</v>
      </c>
      <c r="J401" s="44">
        <v>2</v>
      </c>
      <c r="K401" s="46" t="s">
        <v>708</v>
      </c>
      <c r="L401" s="46" t="s">
        <v>690</v>
      </c>
      <c r="M401" s="47" t="s">
        <v>724</v>
      </c>
      <c r="N401" s="47" t="s">
        <v>1719</v>
      </c>
      <c r="O401" s="48"/>
      <c r="P401" s="48"/>
      <c r="Q401" s="45"/>
      <c r="S401" s="1">
        <f t="shared" si="135"/>
        <v>0</v>
      </c>
      <c r="T401" s="1">
        <f t="shared" si="136"/>
        <v>1</v>
      </c>
      <c r="U401" s="1">
        <f t="shared" si="137"/>
        <v>0</v>
      </c>
      <c r="V401" s="1">
        <f t="shared" si="138"/>
        <v>0</v>
      </c>
      <c r="W401" s="1">
        <f t="shared" si="139"/>
        <v>0</v>
      </c>
      <c r="X401" s="1">
        <f t="shared" si="140"/>
        <v>0</v>
      </c>
      <c r="Y401" s="1">
        <f t="shared" si="141"/>
        <v>0</v>
      </c>
      <c r="Z401" s="1">
        <f t="shared" si="142"/>
        <v>0</v>
      </c>
      <c r="AA401" s="1">
        <f t="shared" si="143"/>
        <v>0</v>
      </c>
      <c r="AB401" s="1">
        <f t="shared" si="144"/>
        <v>0</v>
      </c>
      <c r="AD401" s="1">
        <f t="shared" si="145"/>
        <v>0</v>
      </c>
      <c r="AE401" s="1">
        <f t="shared" si="146"/>
        <v>0</v>
      </c>
      <c r="AF401" s="1">
        <f t="shared" si="147"/>
        <v>0</v>
      </c>
      <c r="AG401" s="1">
        <f t="shared" si="148"/>
        <v>0</v>
      </c>
      <c r="AH401" s="1">
        <f t="shared" si="149"/>
        <v>0</v>
      </c>
      <c r="AI401" s="1">
        <f t="shared" si="150"/>
        <v>1</v>
      </c>
    </row>
    <row r="402" spans="1:35" s="1" customFormat="1" ht="14.25" customHeight="1" x14ac:dyDescent="0.25">
      <c r="A402" s="44">
        <v>0</v>
      </c>
      <c r="B402" s="44">
        <v>2</v>
      </c>
      <c r="C402" s="44">
        <v>6</v>
      </c>
      <c r="D402" s="45" t="s">
        <v>1070</v>
      </c>
      <c r="E402" s="45" t="s">
        <v>158</v>
      </c>
      <c r="F402" s="45" t="s">
        <v>197</v>
      </c>
      <c r="G402" s="45" t="s">
        <v>198</v>
      </c>
      <c r="H402" s="45" t="s">
        <v>352</v>
      </c>
      <c r="I402" s="44" t="s">
        <v>386</v>
      </c>
      <c r="J402" s="44">
        <v>99</v>
      </c>
      <c r="K402" s="46" t="s">
        <v>708</v>
      </c>
      <c r="L402" s="46" t="s">
        <v>712</v>
      </c>
      <c r="M402" s="47" t="s">
        <v>726</v>
      </c>
      <c r="N402" s="47" t="s">
        <v>1718</v>
      </c>
      <c r="O402" s="48"/>
      <c r="P402" s="48"/>
      <c r="Q402" s="45"/>
      <c r="S402" s="1">
        <f t="shared" si="135"/>
        <v>0</v>
      </c>
      <c r="T402" s="1">
        <f t="shared" si="136"/>
        <v>0</v>
      </c>
      <c r="U402" s="1">
        <f t="shared" si="137"/>
        <v>0</v>
      </c>
      <c r="V402" s="1">
        <f t="shared" si="138"/>
        <v>0</v>
      </c>
      <c r="W402" s="1">
        <f t="shared" si="139"/>
        <v>0</v>
      </c>
      <c r="X402" s="1">
        <f t="shared" si="140"/>
        <v>0</v>
      </c>
      <c r="Y402" s="1">
        <f t="shared" si="141"/>
        <v>0</v>
      </c>
      <c r="Z402" s="1">
        <f t="shared" si="142"/>
        <v>0</v>
      </c>
      <c r="AA402" s="1">
        <f t="shared" si="143"/>
        <v>0</v>
      </c>
      <c r="AB402" s="1">
        <f t="shared" si="144"/>
        <v>0</v>
      </c>
      <c r="AD402" s="1">
        <f t="shared" si="145"/>
        <v>0</v>
      </c>
      <c r="AE402" s="1">
        <f t="shared" si="146"/>
        <v>0</v>
      </c>
      <c r="AF402" s="1">
        <f t="shared" si="147"/>
        <v>0</v>
      </c>
      <c r="AG402" s="1">
        <f t="shared" si="148"/>
        <v>0</v>
      </c>
      <c r="AH402" s="1">
        <f t="shared" si="149"/>
        <v>0</v>
      </c>
      <c r="AI402" s="1">
        <f t="shared" si="150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7</v>
      </c>
      <c r="D403" s="32" t="s">
        <v>505</v>
      </c>
      <c r="E403" s="32" t="s">
        <v>155</v>
      </c>
      <c r="F403" s="32" t="s">
        <v>506</v>
      </c>
      <c r="G403" s="32" t="s">
        <v>39</v>
      </c>
      <c r="H403" s="32" t="s">
        <v>352</v>
      </c>
      <c r="I403" s="31" t="s">
        <v>930</v>
      </c>
      <c r="J403" s="31">
        <v>7</v>
      </c>
      <c r="K403" s="33" t="s">
        <v>942</v>
      </c>
      <c r="L403" s="33" t="s">
        <v>39</v>
      </c>
      <c r="M403" s="34" t="s">
        <v>39</v>
      </c>
      <c r="N403" s="34" t="s">
        <v>1711</v>
      </c>
      <c r="O403" s="35">
        <v>1</v>
      </c>
      <c r="P403" s="35">
        <v>1</v>
      </c>
      <c r="Q403" s="32"/>
      <c r="S403" s="1">
        <f t="shared" ref="S403:S417" si="151">IF(J403=$S$7,1,0)</f>
        <v>0</v>
      </c>
      <c r="T403" s="1">
        <f t="shared" ref="T403:T417" si="152">IF(J403=$T$7,1,0)</f>
        <v>0</v>
      </c>
      <c r="U403" s="1">
        <f t="shared" ref="U403:U417" si="153">IF(J403=$U$7,1,0)</f>
        <v>0</v>
      </c>
      <c r="V403" s="1">
        <f t="shared" ref="V403:V417" si="154">IF(J403=$V$7,1,0)</f>
        <v>0</v>
      </c>
      <c r="W403" s="1">
        <f t="shared" ref="W403:W417" si="155">IF(J403=$W$7,1,0)</f>
        <v>0</v>
      </c>
      <c r="X403" s="1">
        <f t="shared" ref="X403:X417" si="156">IF(J403=$X$7,1,0)</f>
        <v>0</v>
      </c>
      <c r="Y403" s="1">
        <f t="shared" ref="Y403:Y417" si="157">IF(J403=$Y$7,1,0)</f>
        <v>1</v>
      </c>
      <c r="Z403" s="1">
        <f t="shared" ref="Z403:Z417" si="158">IF(J403=$Z$7,1,0)</f>
        <v>0</v>
      </c>
      <c r="AA403" s="1">
        <f t="shared" ref="AA403:AA417" si="159">IF(J403=$AA$7,1,0)</f>
        <v>0</v>
      </c>
      <c r="AB403" s="1">
        <f t="shared" ref="AB403:AB417" si="160">IF(J403=$AB$7,1,0)</f>
        <v>0</v>
      </c>
      <c r="AD403" s="1">
        <f t="shared" ref="AD403:AD417" si="161">+O403*P403</f>
        <v>1</v>
      </c>
      <c r="AE403" s="1">
        <f t="shared" ref="AE403:AE417" si="162">O403*(1-P403)</f>
        <v>0</v>
      </c>
      <c r="AF403" s="1">
        <f t="shared" si="147"/>
        <v>1</v>
      </c>
      <c r="AG403" s="1">
        <f t="shared" si="148"/>
        <v>0</v>
      </c>
      <c r="AH403" s="1">
        <f t="shared" si="149"/>
        <v>1</v>
      </c>
      <c r="AI403" s="1">
        <f t="shared" si="150"/>
        <v>0</v>
      </c>
    </row>
    <row r="404" spans="1:35" s="1" customFormat="1" ht="14.25" customHeight="1" x14ac:dyDescent="0.25">
      <c r="A404" s="31">
        <v>0</v>
      </c>
      <c r="B404" s="31">
        <v>2</v>
      </c>
      <c r="C404" s="31">
        <v>7</v>
      </c>
      <c r="D404" s="32" t="s">
        <v>70</v>
      </c>
      <c r="E404" s="32" t="s">
        <v>28</v>
      </c>
      <c r="F404" s="32" t="s">
        <v>669</v>
      </c>
      <c r="G404" s="32" t="s">
        <v>257</v>
      </c>
      <c r="H404" s="32" t="s">
        <v>352</v>
      </c>
      <c r="I404" s="31" t="s">
        <v>415</v>
      </c>
      <c r="J404" s="31">
        <v>8</v>
      </c>
      <c r="K404" s="33" t="s">
        <v>709</v>
      </c>
      <c r="L404" s="33" t="s">
        <v>709</v>
      </c>
      <c r="M404" s="34" t="s">
        <v>727</v>
      </c>
      <c r="N404" s="34" t="s">
        <v>1727</v>
      </c>
      <c r="O404" s="35">
        <v>1</v>
      </c>
      <c r="P404" s="35"/>
      <c r="Q404" s="32"/>
      <c r="S404" s="1">
        <f t="shared" si="151"/>
        <v>0</v>
      </c>
      <c r="T404" s="1">
        <f t="shared" si="152"/>
        <v>0</v>
      </c>
      <c r="U404" s="1">
        <f t="shared" si="153"/>
        <v>0</v>
      </c>
      <c r="V404" s="1">
        <f t="shared" si="154"/>
        <v>0</v>
      </c>
      <c r="W404" s="1">
        <f t="shared" si="155"/>
        <v>0</v>
      </c>
      <c r="X404" s="1">
        <f t="shared" si="156"/>
        <v>0</v>
      </c>
      <c r="Y404" s="1">
        <f t="shared" si="157"/>
        <v>0</v>
      </c>
      <c r="Z404" s="1">
        <f t="shared" si="158"/>
        <v>1</v>
      </c>
      <c r="AA404" s="1">
        <f t="shared" si="159"/>
        <v>0</v>
      </c>
      <c r="AB404" s="1">
        <f t="shared" si="160"/>
        <v>0</v>
      </c>
      <c r="AD404" s="1">
        <f t="shared" si="161"/>
        <v>0</v>
      </c>
      <c r="AE404" s="1">
        <f t="shared" si="162"/>
        <v>1</v>
      </c>
      <c r="AF404" s="1">
        <f t="shared" si="147"/>
        <v>0</v>
      </c>
      <c r="AG404" s="1">
        <f t="shared" si="148"/>
        <v>1</v>
      </c>
      <c r="AH404" s="1">
        <f t="shared" si="149"/>
        <v>0</v>
      </c>
      <c r="AI404" s="1">
        <f t="shared" si="150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7</v>
      </c>
      <c r="D405" s="32" t="s">
        <v>650</v>
      </c>
      <c r="E405" s="32" t="s">
        <v>155</v>
      </c>
      <c r="F405" s="32" t="s">
        <v>581</v>
      </c>
      <c r="G405" s="32" t="s">
        <v>248</v>
      </c>
      <c r="H405" s="32" t="s">
        <v>352</v>
      </c>
      <c r="I405" s="31" t="s">
        <v>675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1711</v>
      </c>
      <c r="O405" s="35">
        <v>1</v>
      </c>
      <c r="P405" s="35">
        <v>1</v>
      </c>
      <c r="Q405" s="32"/>
      <c r="S405" s="1">
        <f t="shared" si="151"/>
        <v>0</v>
      </c>
      <c r="T405" s="1">
        <f t="shared" si="152"/>
        <v>0</v>
      </c>
      <c r="U405" s="1">
        <f t="shared" si="153"/>
        <v>0</v>
      </c>
      <c r="V405" s="1">
        <f t="shared" si="154"/>
        <v>0</v>
      </c>
      <c r="W405" s="1">
        <f t="shared" si="155"/>
        <v>0</v>
      </c>
      <c r="X405" s="1">
        <f t="shared" si="156"/>
        <v>0</v>
      </c>
      <c r="Y405" s="1">
        <f t="shared" si="157"/>
        <v>1</v>
      </c>
      <c r="Z405" s="1">
        <f t="shared" si="158"/>
        <v>0</v>
      </c>
      <c r="AA405" s="1">
        <f t="shared" si="159"/>
        <v>0</v>
      </c>
      <c r="AB405" s="1">
        <f t="shared" si="160"/>
        <v>0</v>
      </c>
      <c r="AD405" s="1">
        <f t="shared" si="161"/>
        <v>1</v>
      </c>
      <c r="AE405" s="1">
        <f t="shared" si="162"/>
        <v>0</v>
      </c>
      <c r="AF405" s="1">
        <f t="shared" si="147"/>
        <v>1</v>
      </c>
      <c r="AG405" s="1">
        <f t="shared" si="148"/>
        <v>0</v>
      </c>
      <c r="AH405" s="1">
        <f t="shared" si="149"/>
        <v>1</v>
      </c>
      <c r="AI405" s="1">
        <f t="shared" si="150"/>
        <v>0</v>
      </c>
    </row>
    <row r="406" spans="1:35" s="1" customFormat="1" ht="14.25" customHeight="1" x14ac:dyDescent="0.25">
      <c r="A406" s="44">
        <v>0</v>
      </c>
      <c r="B406" s="44">
        <v>2</v>
      </c>
      <c r="C406" s="44">
        <v>7</v>
      </c>
      <c r="D406" s="45" t="s">
        <v>1618</v>
      </c>
      <c r="E406" s="45" t="s">
        <v>155</v>
      </c>
      <c r="F406" s="45" t="s">
        <v>1641</v>
      </c>
      <c r="G406" s="45" t="s">
        <v>212</v>
      </c>
      <c r="H406" s="45" t="s">
        <v>352</v>
      </c>
      <c r="I406" s="44" t="s">
        <v>590</v>
      </c>
      <c r="J406" s="44">
        <v>1</v>
      </c>
      <c r="K406" s="46" t="s">
        <v>708</v>
      </c>
      <c r="L406" s="46" t="s">
        <v>718</v>
      </c>
      <c r="M406" s="47" t="s">
        <v>1417</v>
      </c>
      <c r="N406" s="47" t="s">
        <v>1719</v>
      </c>
      <c r="O406" s="48"/>
      <c r="P406" s="48"/>
      <c r="Q406" s="45"/>
      <c r="S406" s="1">
        <f t="shared" si="151"/>
        <v>1</v>
      </c>
      <c r="T406" s="1">
        <f t="shared" si="152"/>
        <v>0</v>
      </c>
      <c r="U406" s="1">
        <f t="shared" si="153"/>
        <v>0</v>
      </c>
      <c r="V406" s="1">
        <f t="shared" si="154"/>
        <v>0</v>
      </c>
      <c r="W406" s="1">
        <f t="shared" si="155"/>
        <v>0</v>
      </c>
      <c r="X406" s="1">
        <f t="shared" si="156"/>
        <v>0</v>
      </c>
      <c r="Y406" s="1">
        <f t="shared" si="157"/>
        <v>0</v>
      </c>
      <c r="Z406" s="1">
        <f t="shared" si="158"/>
        <v>0</v>
      </c>
      <c r="AA406" s="1">
        <f t="shared" si="159"/>
        <v>0</v>
      </c>
      <c r="AB406" s="1">
        <f t="shared" si="160"/>
        <v>0</v>
      </c>
      <c r="AD406" s="1">
        <f t="shared" si="161"/>
        <v>0</v>
      </c>
      <c r="AE406" s="1">
        <f t="shared" si="162"/>
        <v>0</v>
      </c>
      <c r="AF406" s="1">
        <f t="shared" si="147"/>
        <v>0</v>
      </c>
      <c r="AG406" s="1">
        <f t="shared" si="148"/>
        <v>0</v>
      </c>
      <c r="AH406" s="1">
        <f t="shared" si="149"/>
        <v>0</v>
      </c>
      <c r="AI406" s="1">
        <f t="shared" si="150"/>
        <v>1</v>
      </c>
    </row>
    <row r="407" spans="1:35" s="1" customFormat="1" ht="14.25" customHeight="1" x14ac:dyDescent="0.25">
      <c r="A407" s="44">
        <v>0</v>
      </c>
      <c r="B407" s="44">
        <v>2</v>
      </c>
      <c r="C407" s="44">
        <v>7</v>
      </c>
      <c r="D407" s="45" t="s">
        <v>1057</v>
      </c>
      <c r="E407" s="45" t="s">
        <v>1033</v>
      </c>
      <c r="F407" s="45" t="s">
        <v>1058</v>
      </c>
      <c r="G407" s="45" t="s">
        <v>212</v>
      </c>
      <c r="H407" s="45" t="s">
        <v>352</v>
      </c>
      <c r="I407" s="44" t="s">
        <v>1059</v>
      </c>
      <c r="J407" s="44">
        <v>1</v>
      </c>
      <c r="K407" s="46" t="s">
        <v>942</v>
      </c>
      <c r="L407" s="46" t="s">
        <v>718</v>
      </c>
      <c r="M407" s="47" t="s">
        <v>1418</v>
      </c>
      <c r="N407" s="47" t="s">
        <v>1719</v>
      </c>
      <c r="O407" s="48"/>
      <c r="P407" s="48"/>
      <c r="Q407" s="45" t="s">
        <v>1902</v>
      </c>
      <c r="S407" s="1">
        <f t="shared" si="151"/>
        <v>1</v>
      </c>
      <c r="T407" s="1">
        <f t="shared" si="152"/>
        <v>0</v>
      </c>
      <c r="U407" s="1">
        <f t="shared" si="153"/>
        <v>0</v>
      </c>
      <c r="V407" s="1">
        <f t="shared" si="154"/>
        <v>0</v>
      </c>
      <c r="W407" s="1">
        <f t="shared" si="155"/>
        <v>0</v>
      </c>
      <c r="X407" s="1">
        <f t="shared" si="156"/>
        <v>0</v>
      </c>
      <c r="Y407" s="1">
        <f t="shared" si="157"/>
        <v>0</v>
      </c>
      <c r="Z407" s="1">
        <f t="shared" si="158"/>
        <v>0</v>
      </c>
      <c r="AA407" s="1">
        <f t="shared" si="159"/>
        <v>0</v>
      </c>
      <c r="AB407" s="1">
        <f t="shared" si="160"/>
        <v>0</v>
      </c>
      <c r="AD407" s="1">
        <f t="shared" si="161"/>
        <v>0</v>
      </c>
      <c r="AE407" s="1">
        <f t="shared" si="162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7</v>
      </c>
      <c r="D408" s="32" t="s">
        <v>1004</v>
      </c>
      <c r="E408" s="32" t="s">
        <v>155</v>
      </c>
      <c r="F408" s="32" t="s">
        <v>1075</v>
      </c>
      <c r="G408" s="32" t="s">
        <v>1085</v>
      </c>
      <c r="H408" s="32" t="s">
        <v>352</v>
      </c>
      <c r="I408" s="31" t="s">
        <v>1005</v>
      </c>
      <c r="J408" s="31">
        <v>99</v>
      </c>
      <c r="K408" s="33" t="s">
        <v>709</v>
      </c>
      <c r="L408" s="33" t="s">
        <v>718</v>
      </c>
      <c r="M408" s="34" t="s">
        <v>1418</v>
      </c>
      <c r="N408" s="34" t="s">
        <v>1732</v>
      </c>
      <c r="O408" s="35">
        <v>1</v>
      </c>
      <c r="P408" s="35"/>
      <c r="Q408" s="32"/>
      <c r="S408" s="1">
        <f t="shared" si="151"/>
        <v>0</v>
      </c>
      <c r="T408" s="1">
        <f t="shared" si="152"/>
        <v>0</v>
      </c>
      <c r="U408" s="1">
        <f t="shared" si="153"/>
        <v>0</v>
      </c>
      <c r="V408" s="1">
        <f t="shared" si="154"/>
        <v>0</v>
      </c>
      <c r="W408" s="1">
        <f t="shared" si="155"/>
        <v>0</v>
      </c>
      <c r="X408" s="1">
        <f t="shared" si="156"/>
        <v>0</v>
      </c>
      <c r="Y408" s="1">
        <f t="shared" si="157"/>
        <v>0</v>
      </c>
      <c r="Z408" s="1">
        <f t="shared" si="158"/>
        <v>0</v>
      </c>
      <c r="AA408" s="1">
        <f t="shared" si="159"/>
        <v>0</v>
      </c>
      <c r="AB408" s="1">
        <f t="shared" si="160"/>
        <v>0</v>
      </c>
      <c r="AD408" s="1">
        <f t="shared" si="161"/>
        <v>0</v>
      </c>
      <c r="AE408" s="1">
        <f t="shared" si="162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7</v>
      </c>
      <c r="D409" s="32" t="s">
        <v>1189</v>
      </c>
      <c r="E409" s="32" t="s">
        <v>1316</v>
      </c>
      <c r="F409" s="32" t="s">
        <v>1190</v>
      </c>
      <c r="G409" s="32" t="s">
        <v>39</v>
      </c>
      <c r="H409" s="32" t="s">
        <v>352</v>
      </c>
      <c r="I409" s="31" t="s">
        <v>1669</v>
      </c>
      <c r="J409" s="31">
        <v>99</v>
      </c>
      <c r="K409" s="33" t="s">
        <v>942</v>
      </c>
      <c r="L409" s="33" t="s">
        <v>725</v>
      </c>
      <c r="M409" s="34" t="s">
        <v>1419</v>
      </c>
      <c r="N409" s="34" t="s">
        <v>1732</v>
      </c>
      <c r="O409" s="35">
        <v>1</v>
      </c>
      <c r="P409" s="35"/>
      <c r="Q409" s="32"/>
      <c r="S409" s="1">
        <f t="shared" si="151"/>
        <v>0</v>
      </c>
      <c r="T409" s="1">
        <f t="shared" si="152"/>
        <v>0</v>
      </c>
      <c r="U409" s="1">
        <f t="shared" si="153"/>
        <v>0</v>
      </c>
      <c r="V409" s="1">
        <f t="shared" si="154"/>
        <v>0</v>
      </c>
      <c r="W409" s="1">
        <f t="shared" si="155"/>
        <v>0</v>
      </c>
      <c r="X409" s="1">
        <f t="shared" si="156"/>
        <v>0</v>
      </c>
      <c r="Y409" s="1">
        <f t="shared" si="157"/>
        <v>0</v>
      </c>
      <c r="Z409" s="1">
        <f t="shared" si="158"/>
        <v>0</v>
      </c>
      <c r="AA409" s="1">
        <f t="shared" si="159"/>
        <v>0</v>
      </c>
      <c r="AB409" s="1">
        <f t="shared" si="160"/>
        <v>0</v>
      </c>
      <c r="AD409" s="1">
        <f t="shared" si="161"/>
        <v>0</v>
      </c>
      <c r="AE409" s="1">
        <f t="shared" si="162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640</v>
      </c>
      <c r="G410" s="32" t="s">
        <v>531</v>
      </c>
      <c r="H410" s="32" t="s">
        <v>352</v>
      </c>
      <c r="I410" s="31" t="s">
        <v>392</v>
      </c>
      <c r="J410" s="31">
        <v>6</v>
      </c>
      <c r="K410" s="33" t="s">
        <v>708</v>
      </c>
      <c r="L410" s="33" t="s">
        <v>709</v>
      </c>
      <c r="M410" s="34" t="s">
        <v>727</v>
      </c>
      <c r="N410" s="34" t="s">
        <v>1745</v>
      </c>
      <c r="O410" s="35">
        <v>1</v>
      </c>
      <c r="P410" s="35"/>
      <c r="Q410" s="32"/>
      <c r="S410" s="1">
        <f t="shared" si="151"/>
        <v>0</v>
      </c>
      <c r="T410" s="1">
        <f t="shared" si="152"/>
        <v>0</v>
      </c>
      <c r="U410" s="1">
        <f t="shared" si="153"/>
        <v>0</v>
      </c>
      <c r="V410" s="1">
        <f t="shared" si="154"/>
        <v>0</v>
      </c>
      <c r="W410" s="1">
        <f t="shared" si="155"/>
        <v>0</v>
      </c>
      <c r="X410" s="1">
        <f t="shared" si="156"/>
        <v>1</v>
      </c>
      <c r="Y410" s="1">
        <f t="shared" si="157"/>
        <v>0</v>
      </c>
      <c r="Z410" s="1">
        <f t="shared" si="158"/>
        <v>0</v>
      </c>
      <c r="AA410" s="1">
        <f t="shared" si="159"/>
        <v>0</v>
      </c>
      <c r="AB410" s="1">
        <f t="shared" si="160"/>
        <v>0</v>
      </c>
      <c r="AD410" s="1">
        <f t="shared" si="161"/>
        <v>0</v>
      </c>
      <c r="AE410" s="1">
        <f t="shared" si="162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s="1" customFormat="1" ht="14.25" customHeight="1" x14ac:dyDescent="0.25">
      <c r="A411" s="31">
        <v>1</v>
      </c>
      <c r="B411" s="31">
        <v>2</v>
      </c>
      <c r="C411" s="31">
        <v>7</v>
      </c>
      <c r="D411" s="32" t="s">
        <v>55</v>
      </c>
      <c r="E411" s="32" t="s">
        <v>28</v>
      </c>
      <c r="F411" s="32" t="s">
        <v>215</v>
      </c>
      <c r="G411" s="32" t="s">
        <v>39</v>
      </c>
      <c r="H411" s="32" t="s">
        <v>352</v>
      </c>
      <c r="I411" s="31" t="s">
        <v>30</v>
      </c>
      <c r="J411" s="31">
        <v>99</v>
      </c>
      <c r="K411" s="33" t="s">
        <v>708</v>
      </c>
      <c r="L411" s="33" t="s">
        <v>709</v>
      </c>
      <c r="M411" s="34" t="s">
        <v>727</v>
      </c>
      <c r="N411" s="34" t="s">
        <v>1745</v>
      </c>
      <c r="O411" s="35">
        <v>1</v>
      </c>
      <c r="P411" s="35"/>
      <c r="Q411" s="32"/>
      <c r="S411" s="1">
        <f t="shared" si="151"/>
        <v>0</v>
      </c>
      <c r="T411" s="1">
        <f t="shared" si="152"/>
        <v>0</v>
      </c>
      <c r="U411" s="1">
        <f t="shared" si="153"/>
        <v>0</v>
      </c>
      <c r="V411" s="1">
        <f t="shared" si="154"/>
        <v>0</v>
      </c>
      <c r="W411" s="1">
        <f t="shared" si="155"/>
        <v>0</v>
      </c>
      <c r="X411" s="1">
        <f t="shared" si="156"/>
        <v>0</v>
      </c>
      <c r="Y411" s="1">
        <f t="shared" si="157"/>
        <v>0</v>
      </c>
      <c r="Z411" s="1">
        <f t="shared" si="158"/>
        <v>0</v>
      </c>
      <c r="AA411" s="1">
        <f t="shared" si="159"/>
        <v>0</v>
      </c>
      <c r="AB411" s="1">
        <f t="shared" si="160"/>
        <v>0</v>
      </c>
      <c r="AD411" s="1">
        <f t="shared" si="161"/>
        <v>0</v>
      </c>
      <c r="AE411" s="1">
        <f t="shared" si="162"/>
        <v>1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0</v>
      </c>
    </row>
    <row r="412" spans="1:35" s="1" customFormat="1" ht="14.25" customHeight="1" x14ac:dyDescent="0.25">
      <c r="A412" s="31">
        <v>1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214</v>
      </c>
      <c r="G412" s="32" t="s">
        <v>39</v>
      </c>
      <c r="H412" s="32" t="s">
        <v>352</v>
      </c>
      <c r="I412" s="31" t="s">
        <v>392</v>
      </c>
      <c r="J412" s="31">
        <v>99</v>
      </c>
      <c r="K412" s="33" t="s">
        <v>708</v>
      </c>
      <c r="L412" s="33" t="s">
        <v>709</v>
      </c>
      <c r="M412" s="34" t="s">
        <v>727</v>
      </c>
      <c r="N412" s="34" t="s">
        <v>1745</v>
      </c>
      <c r="O412" s="35">
        <v>1</v>
      </c>
      <c r="P412" s="35"/>
      <c r="Q412" s="32"/>
      <c r="S412" s="1">
        <f t="shared" si="151"/>
        <v>0</v>
      </c>
      <c r="T412" s="1">
        <f t="shared" si="152"/>
        <v>0</v>
      </c>
      <c r="U412" s="1">
        <f t="shared" si="153"/>
        <v>0</v>
      </c>
      <c r="V412" s="1">
        <f t="shared" si="154"/>
        <v>0</v>
      </c>
      <c r="W412" s="1">
        <f t="shared" si="155"/>
        <v>0</v>
      </c>
      <c r="X412" s="1">
        <f t="shared" si="156"/>
        <v>0</v>
      </c>
      <c r="Y412" s="1">
        <f t="shared" si="157"/>
        <v>0</v>
      </c>
      <c r="Z412" s="1">
        <f t="shared" si="158"/>
        <v>0</v>
      </c>
      <c r="AA412" s="1">
        <f t="shared" si="159"/>
        <v>0</v>
      </c>
      <c r="AB412" s="1">
        <f t="shared" si="160"/>
        <v>0</v>
      </c>
      <c r="AD412" s="1">
        <f t="shared" si="161"/>
        <v>0</v>
      </c>
      <c r="AE412" s="1">
        <f t="shared" si="162"/>
        <v>1</v>
      </c>
      <c r="AF412" s="1">
        <f t="shared" si="147"/>
        <v>0</v>
      </c>
      <c r="AG412" s="1">
        <f t="shared" si="148"/>
        <v>0</v>
      </c>
      <c r="AH412" s="1">
        <f t="shared" si="149"/>
        <v>0</v>
      </c>
      <c r="AI412" s="1">
        <f t="shared" si="150"/>
        <v>0</v>
      </c>
    </row>
    <row r="413" spans="1:35" s="1" customFormat="1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216</v>
      </c>
      <c r="G413" s="32" t="s">
        <v>217</v>
      </c>
      <c r="H413" s="32" t="s">
        <v>352</v>
      </c>
      <c r="I413" s="31" t="s">
        <v>393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1745</v>
      </c>
      <c r="O413" s="35">
        <v>1</v>
      </c>
      <c r="P413" s="35"/>
      <c r="Q413" s="32"/>
      <c r="S413" s="1">
        <f t="shared" si="151"/>
        <v>0</v>
      </c>
      <c r="T413" s="1">
        <f t="shared" si="152"/>
        <v>0</v>
      </c>
      <c r="U413" s="1">
        <f t="shared" si="153"/>
        <v>0</v>
      </c>
      <c r="V413" s="1">
        <f t="shared" si="154"/>
        <v>0</v>
      </c>
      <c r="W413" s="1">
        <f t="shared" si="155"/>
        <v>0</v>
      </c>
      <c r="X413" s="1">
        <f t="shared" si="156"/>
        <v>0</v>
      </c>
      <c r="Y413" s="1">
        <f t="shared" si="157"/>
        <v>0</v>
      </c>
      <c r="Z413" s="1">
        <f t="shared" si="158"/>
        <v>0</v>
      </c>
      <c r="AA413" s="1">
        <f t="shared" si="159"/>
        <v>0</v>
      </c>
      <c r="AB413" s="1">
        <f t="shared" si="160"/>
        <v>0</v>
      </c>
      <c r="AD413" s="1">
        <f t="shared" si="161"/>
        <v>0</v>
      </c>
      <c r="AE413" s="1">
        <f t="shared" si="162"/>
        <v>1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0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6" t="s">
        <v>2033</v>
      </c>
      <c r="E414" s="36" t="s">
        <v>155</v>
      </c>
      <c r="F414" s="36" t="s">
        <v>2034</v>
      </c>
      <c r="G414" s="36" t="s">
        <v>219</v>
      </c>
      <c r="H414" s="36" t="s">
        <v>352</v>
      </c>
      <c r="I414" s="37" t="s">
        <v>2035</v>
      </c>
      <c r="J414" s="31">
        <v>99</v>
      </c>
      <c r="K414" s="33" t="s">
        <v>699</v>
      </c>
      <c r="L414" s="33">
        <v>10</v>
      </c>
      <c r="M414" s="34" t="s">
        <v>2036</v>
      </c>
      <c r="N414" s="34" t="s">
        <v>1732</v>
      </c>
      <c r="O414" s="35">
        <v>1</v>
      </c>
      <c r="P414" s="35"/>
      <c r="Q414" s="32"/>
      <c r="S414" s="1">
        <f t="shared" si="151"/>
        <v>0</v>
      </c>
      <c r="T414" s="1">
        <f t="shared" si="152"/>
        <v>0</v>
      </c>
      <c r="U414" s="1">
        <f t="shared" si="153"/>
        <v>0</v>
      </c>
      <c r="V414" s="1">
        <f t="shared" si="154"/>
        <v>0</v>
      </c>
      <c r="W414" s="1">
        <f t="shared" si="155"/>
        <v>0</v>
      </c>
      <c r="X414" s="1">
        <f t="shared" si="156"/>
        <v>0</v>
      </c>
      <c r="Y414" s="1">
        <f t="shared" si="157"/>
        <v>0</v>
      </c>
      <c r="Z414" s="1">
        <f t="shared" si="158"/>
        <v>0</v>
      </c>
      <c r="AA414" s="1">
        <f t="shared" si="159"/>
        <v>0</v>
      </c>
      <c r="AB414" s="1">
        <f t="shared" si="160"/>
        <v>0</v>
      </c>
      <c r="AD414" s="1">
        <f t="shared" si="161"/>
        <v>0</v>
      </c>
      <c r="AE414" s="1">
        <f t="shared" si="162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s="1" customFormat="1" ht="14.25" customHeight="1" x14ac:dyDescent="0.25">
      <c r="A415" s="44">
        <v>0</v>
      </c>
      <c r="B415" s="44">
        <v>2</v>
      </c>
      <c r="C415" s="44">
        <v>7</v>
      </c>
      <c r="D415" s="45" t="s">
        <v>68</v>
      </c>
      <c r="E415" s="45" t="s">
        <v>28</v>
      </c>
      <c r="F415" s="45" t="s">
        <v>252</v>
      </c>
      <c r="G415" s="45" t="s">
        <v>253</v>
      </c>
      <c r="H415" s="45" t="s">
        <v>352</v>
      </c>
      <c r="I415" s="44" t="s">
        <v>412</v>
      </c>
      <c r="J415" s="44">
        <v>99</v>
      </c>
      <c r="K415" s="46" t="s">
        <v>709</v>
      </c>
      <c r="L415" s="46" t="s">
        <v>709</v>
      </c>
      <c r="M415" s="47" t="s">
        <v>727</v>
      </c>
      <c r="N415" s="47" t="s">
        <v>1786</v>
      </c>
      <c r="O415" s="48"/>
      <c r="P415" s="48"/>
      <c r="Q415" s="45"/>
      <c r="S415" s="1">
        <f t="shared" si="151"/>
        <v>0</v>
      </c>
      <c r="T415" s="1">
        <f t="shared" si="152"/>
        <v>0</v>
      </c>
      <c r="U415" s="1">
        <f t="shared" si="153"/>
        <v>0</v>
      </c>
      <c r="V415" s="1">
        <f t="shared" si="154"/>
        <v>0</v>
      </c>
      <c r="W415" s="1">
        <f t="shared" si="155"/>
        <v>0</v>
      </c>
      <c r="X415" s="1">
        <f t="shared" si="156"/>
        <v>0</v>
      </c>
      <c r="Y415" s="1">
        <f t="shared" si="157"/>
        <v>0</v>
      </c>
      <c r="Z415" s="1">
        <f t="shared" si="158"/>
        <v>0</v>
      </c>
      <c r="AA415" s="1">
        <f t="shared" si="159"/>
        <v>0</v>
      </c>
      <c r="AB415" s="1">
        <f t="shared" si="160"/>
        <v>0</v>
      </c>
      <c r="AD415" s="1">
        <f t="shared" si="161"/>
        <v>0</v>
      </c>
      <c r="AE415" s="1">
        <f t="shared" si="162"/>
        <v>0</v>
      </c>
      <c r="AF415" s="1">
        <f t="shared" si="147"/>
        <v>0</v>
      </c>
      <c r="AG415" s="1">
        <f t="shared" si="148"/>
        <v>0</v>
      </c>
      <c r="AH415" s="1">
        <f t="shared" si="149"/>
        <v>0</v>
      </c>
      <c r="AI415" s="1">
        <f t="shared" si="150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1997</v>
      </c>
      <c r="E416" s="32" t="s">
        <v>28</v>
      </c>
      <c r="F416" s="32" t="s">
        <v>1999</v>
      </c>
      <c r="G416" s="32" t="s">
        <v>1091</v>
      </c>
      <c r="H416" s="32" t="s">
        <v>352</v>
      </c>
      <c r="I416" s="31" t="s">
        <v>2000</v>
      </c>
      <c r="J416" s="31">
        <v>1</v>
      </c>
      <c r="K416" s="33" t="s">
        <v>699</v>
      </c>
      <c r="L416" s="33"/>
      <c r="M416" s="34"/>
      <c r="N416" s="34" t="s">
        <v>1711</v>
      </c>
      <c r="O416" s="35">
        <v>1</v>
      </c>
      <c r="P416" s="35">
        <v>1</v>
      </c>
      <c r="Q416" s="32" t="s">
        <v>2002</v>
      </c>
      <c r="S416" s="1">
        <f t="shared" si="151"/>
        <v>1</v>
      </c>
      <c r="T416" s="1">
        <f t="shared" si="152"/>
        <v>0</v>
      </c>
      <c r="U416" s="1">
        <f t="shared" si="153"/>
        <v>0</v>
      </c>
      <c r="V416" s="1">
        <f t="shared" si="154"/>
        <v>0</v>
      </c>
      <c r="W416" s="1">
        <f t="shared" si="155"/>
        <v>0</v>
      </c>
      <c r="X416" s="1">
        <f t="shared" si="156"/>
        <v>0</v>
      </c>
      <c r="Y416" s="1">
        <f t="shared" si="157"/>
        <v>0</v>
      </c>
      <c r="Z416" s="1">
        <f t="shared" si="158"/>
        <v>0</v>
      </c>
      <c r="AA416" s="1">
        <f t="shared" si="159"/>
        <v>0</v>
      </c>
      <c r="AB416" s="1">
        <f t="shared" si="160"/>
        <v>0</v>
      </c>
      <c r="AD416" s="1">
        <f t="shared" si="161"/>
        <v>1</v>
      </c>
      <c r="AE416" s="1">
        <f t="shared" si="162"/>
        <v>0</v>
      </c>
      <c r="AF416" s="1">
        <f t="shared" si="147"/>
        <v>1</v>
      </c>
      <c r="AG416" s="1">
        <f t="shared" si="148"/>
        <v>0</v>
      </c>
      <c r="AH416" s="1">
        <f t="shared" si="149"/>
        <v>1</v>
      </c>
      <c r="AI416" s="1">
        <f t="shared" si="150"/>
        <v>0</v>
      </c>
    </row>
    <row r="417" spans="1:35" s="1" customFormat="1" ht="14.25" customHeight="1" x14ac:dyDescent="0.25">
      <c r="A417" s="31">
        <v>1</v>
      </c>
      <c r="B417" s="31">
        <v>2</v>
      </c>
      <c r="C417" s="31">
        <v>7</v>
      </c>
      <c r="D417" s="32" t="s">
        <v>1997</v>
      </c>
      <c r="E417" s="32" t="s">
        <v>28</v>
      </c>
      <c r="F417" s="32" t="s">
        <v>1998</v>
      </c>
      <c r="G417" s="36" t="s">
        <v>2004</v>
      </c>
      <c r="H417" s="32" t="s">
        <v>352</v>
      </c>
      <c r="I417" s="31" t="s">
        <v>2001</v>
      </c>
      <c r="J417" s="31">
        <v>8</v>
      </c>
      <c r="K417" s="33" t="s">
        <v>699</v>
      </c>
      <c r="L417" s="33"/>
      <c r="M417" s="34"/>
      <c r="N417" s="34" t="s">
        <v>1711</v>
      </c>
      <c r="O417" s="35">
        <v>1</v>
      </c>
      <c r="P417" s="35">
        <v>1</v>
      </c>
      <c r="Q417" s="32" t="s">
        <v>2003</v>
      </c>
      <c r="S417" s="1">
        <f t="shared" si="151"/>
        <v>0</v>
      </c>
      <c r="T417" s="1">
        <f t="shared" si="152"/>
        <v>0</v>
      </c>
      <c r="U417" s="1">
        <f t="shared" si="153"/>
        <v>0</v>
      </c>
      <c r="V417" s="1">
        <f t="shared" si="154"/>
        <v>0</v>
      </c>
      <c r="W417" s="1">
        <f t="shared" si="155"/>
        <v>0</v>
      </c>
      <c r="X417" s="1">
        <f t="shared" si="156"/>
        <v>0</v>
      </c>
      <c r="Y417" s="1">
        <f t="shared" si="157"/>
        <v>0</v>
      </c>
      <c r="Z417" s="1">
        <f t="shared" si="158"/>
        <v>1</v>
      </c>
      <c r="AA417" s="1">
        <f t="shared" si="159"/>
        <v>0</v>
      </c>
      <c r="AB417" s="1">
        <f t="shared" si="160"/>
        <v>0</v>
      </c>
      <c r="AD417" s="1">
        <f t="shared" si="161"/>
        <v>1</v>
      </c>
      <c r="AE417" s="1">
        <f t="shared" si="162"/>
        <v>0</v>
      </c>
      <c r="AF417" s="1">
        <f t="shared" si="147"/>
        <v>0</v>
      </c>
      <c r="AG417" s="1">
        <f t="shared" si="148"/>
        <v>0</v>
      </c>
      <c r="AH417" s="1">
        <f t="shared" si="149"/>
        <v>0</v>
      </c>
      <c r="AI417" s="1">
        <f t="shared" si="150"/>
        <v>0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69</v>
      </c>
      <c r="E418" s="32" t="s">
        <v>28</v>
      </c>
      <c r="F418" s="32" t="s">
        <v>254</v>
      </c>
      <c r="G418" s="36" t="s">
        <v>206</v>
      </c>
      <c r="H418" s="32" t="s">
        <v>352</v>
      </c>
      <c r="I418" s="31" t="s">
        <v>413</v>
      </c>
      <c r="J418" s="31">
        <v>99</v>
      </c>
      <c r="K418" s="33" t="s">
        <v>942</v>
      </c>
      <c r="L418" s="33" t="s">
        <v>709</v>
      </c>
      <c r="M418" s="34" t="s">
        <v>727</v>
      </c>
      <c r="N418" s="34" t="s">
        <v>1717</v>
      </c>
      <c r="O418" s="35">
        <v>1</v>
      </c>
      <c r="P418" s="35">
        <v>1</v>
      </c>
      <c r="Q418" s="32"/>
      <c r="S418" s="1">
        <f t="shared" ref="S418:S468" si="163">IF(J418=$S$7,1,0)</f>
        <v>0</v>
      </c>
      <c r="T418" s="1">
        <f t="shared" ref="T418:T468" si="164">IF(J418=$T$7,1,0)</f>
        <v>0</v>
      </c>
      <c r="U418" s="1">
        <f t="shared" ref="U418:U468" si="165">IF(J418=$U$7,1,0)</f>
        <v>0</v>
      </c>
      <c r="V418" s="1">
        <f t="shared" ref="V418:V468" si="166">IF(J418=$V$7,1,0)</f>
        <v>0</v>
      </c>
      <c r="W418" s="1">
        <f t="shared" ref="W418:W468" si="167">IF(J418=$W$7,1,0)</f>
        <v>0</v>
      </c>
      <c r="X418" s="1">
        <f t="shared" ref="X418:X468" si="168">IF(J418=$X$7,1,0)</f>
        <v>0</v>
      </c>
      <c r="Y418" s="1">
        <f t="shared" ref="Y418:Y468" si="169">IF(J418=$Y$7,1,0)</f>
        <v>0</v>
      </c>
      <c r="Z418" s="1">
        <f t="shared" ref="Z418:Z468" si="170">IF(J418=$Z$7,1,0)</f>
        <v>0</v>
      </c>
      <c r="AA418" s="1">
        <f t="shared" ref="AA418:AA468" si="171">IF(J418=$AA$7,1,0)</f>
        <v>0</v>
      </c>
      <c r="AB418" s="1">
        <f t="shared" ref="AB418:AB468" si="172">IF(J418=$AB$7,1,0)</f>
        <v>0</v>
      </c>
      <c r="AD418" s="1">
        <f t="shared" ref="AD418:AD468" si="173">+O418*P418</f>
        <v>1</v>
      </c>
      <c r="AE418" s="1">
        <f t="shared" ref="AE418:AE468" si="174">O418*(1-P418)</f>
        <v>0</v>
      </c>
      <c r="AF418" s="1">
        <f t="shared" ref="AF418:AF464" si="175">+O418*P418*(1-A418)</f>
        <v>1</v>
      </c>
      <c r="AG418" s="1">
        <f t="shared" ref="AG418:AG464" si="176">O418*(1-P418)*(1-A418)</f>
        <v>0</v>
      </c>
      <c r="AH418" s="1">
        <f t="shared" ref="AH418:AH464" si="177">+P418*(1-A418)</f>
        <v>1</v>
      </c>
      <c r="AI418" s="1">
        <f t="shared" ref="AI418:AI464" si="178">+(1-A418)*(1-P418)</f>
        <v>0</v>
      </c>
    </row>
    <row r="419" spans="1:35" s="1" customFormat="1" ht="14.25" customHeight="1" x14ac:dyDescent="0.25">
      <c r="A419" s="31">
        <v>1</v>
      </c>
      <c r="B419" s="31">
        <v>2</v>
      </c>
      <c r="C419" s="31">
        <v>7</v>
      </c>
      <c r="D419" s="32" t="s">
        <v>69</v>
      </c>
      <c r="E419" s="32" t="s">
        <v>28</v>
      </c>
      <c r="F419" s="32" t="s">
        <v>1858</v>
      </c>
      <c r="G419" s="36" t="s">
        <v>255</v>
      </c>
      <c r="H419" s="32" t="s">
        <v>352</v>
      </c>
      <c r="I419" s="31" t="s">
        <v>414</v>
      </c>
      <c r="J419" s="31">
        <v>99</v>
      </c>
      <c r="K419" s="33" t="s">
        <v>942</v>
      </c>
      <c r="L419" s="33" t="s">
        <v>709</v>
      </c>
      <c r="M419" s="34" t="s">
        <v>727</v>
      </c>
      <c r="N419" s="34" t="s">
        <v>1717</v>
      </c>
      <c r="O419" s="35">
        <v>1</v>
      </c>
      <c r="P419" s="35">
        <v>1</v>
      </c>
      <c r="Q419" s="32"/>
      <c r="S419" s="1">
        <f t="shared" si="163"/>
        <v>0</v>
      </c>
      <c r="T419" s="1">
        <f t="shared" si="164"/>
        <v>0</v>
      </c>
      <c r="U419" s="1">
        <f t="shared" si="165"/>
        <v>0</v>
      </c>
      <c r="V419" s="1">
        <f t="shared" si="166"/>
        <v>0</v>
      </c>
      <c r="W419" s="1">
        <f t="shared" si="167"/>
        <v>0</v>
      </c>
      <c r="X419" s="1">
        <f t="shared" si="168"/>
        <v>0</v>
      </c>
      <c r="Y419" s="1">
        <f t="shared" si="169"/>
        <v>0</v>
      </c>
      <c r="Z419" s="1">
        <f t="shared" si="170"/>
        <v>0</v>
      </c>
      <c r="AA419" s="1">
        <f t="shared" si="171"/>
        <v>0</v>
      </c>
      <c r="AB419" s="1">
        <f t="shared" si="172"/>
        <v>0</v>
      </c>
      <c r="AD419" s="1">
        <f t="shared" si="173"/>
        <v>1</v>
      </c>
      <c r="AE419" s="1">
        <f t="shared" si="174"/>
        <v>0</v>
      </c>
      <c r="AF419" s="1">
        <f t="shared" si="175"/>
        <v>0</v>
      </c>
      <c r="AG419" s="1">
        <f t="shared" si="176"/>
        <v>0</v>
      </c>
      <c r="AH419" s="1">
        <f t="shared" si="177"/>
        <v>0</v>
      </c>
      <c r="AI419" s="1">
        <f t="shared" si="178"/>
        <v>0</v>
      </c>
    </row>
    <row r="420" spans="1:35" s="1" customFormat="1" ht="14.25" customHeight="1" x14ac:dyDescent="0.25">
      <c r="A420" s="31">
        <v>1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566</v>
      </c>
      <c r="G420" s="36" t="s">
        <v>567</v>
      </c>
      <c r="H420" s="32" t="s">
        <v>352</v>
      </c>
      <c r="I420" s="31" t="s">
        <v>576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1717</v>
      </c>
      <c r="O420" s="35">
        <v>1</v>
      </c>
      <c r="P420" s="35">
        <v>1</v>
      </c>
      <c r="Q420" s="32"/>
      <c r="S420" s="1">
        <f t="shared" si="163"/>
        <v>0</v>
      </c>
      <c r="T420" s="1">
        <f t="shared" si="164"/>
        <v>0</v>
      </c>
      <c r="U420" s="1">
        <f t="shared" si="165"/>
        <v>0</v>
      </c>
      <c r="V420" s="1">
        <f t="shared" si="166"/>
        <v>0</v>
      </c>
      <c r="W420" s="1">
        <f t="shared" si="167"/>
        <v>0</v>
      </c>
      <c r="X420" s="1">
        <f t="shared" si="168"/>
        <v>0</v>
      </c>
      <c r="Y420" s="1">
        <f t="shared" si="169"/>
        <v>0</v>
      </c>
      <c r="Z420" s="1">
        <f t="shared" si="170"/>
        <v>0</v>
      </c>
      <c r="AA420" s="1">
        <f t="shared" si="171"/>
        <v>0</v>
      </c>
      <c r="AB420" s="1">
        <f t="shared" si="172"/>
        <v>0</v>
      </c>
      <c r="AD420" s="1">
        <f t="shared" si="173"/>
        <v>1</v>
      </c>
      <c r="AE420" s="1">
        <f t="shared" si="174"/>
        <v>0</v>
      </c>
      <c r="AF420" s="1">
        <f t="shared" si="175"/>
        <v>0</v>
      </c>
      <c r="AG420" s="1">
        <f t="shared" si="176"/>
        <v>0</v>
      </c>
      <c r="AH420" s="1">
        <f t="shared" si="177"/>
        <v>0</v>
      </c>
      <c r="AI420" s="1">
        <f t="shared" si="178"/>
        <v>0</v>
      </c>
    </row>
    <row r="421" spans="1:35" s="1" customFormat="1" ht="14.25" customHeight="1" x14ac:dyDescent="0.25">
      <c r="A421" s="44">
        <v>0</v>
      </c>
      <c r="B421" s="44">
        <v>2</v>
      </c>
      <c r="C421" s="44">
        <v>7</v>
      </c>
      <c r="D421" s="45" t="s">
        <v>71</v>
      </c>
      <c r="E421" s="45" t="s">
        <v>28</v>
      </c>
      <c r="F421" s="45" t="s">
        <v>1333</v>
      </c>
      <c r="G421" s="45" t="s">
        <v>258</v>
      </c>
      <c r="H421" s="45" t="s">
        <v>352</v>
      </c>
      <c r="I421" s="44" t="s">
        <v>416</v>
      </c>
      <c r="J421" s="44">
        <v>99</v>
      </c>
      <c r="K421" s="46" t="s">
        <v>709</v>
      </c>
      <c r="L421" s="46" t="s">
        <v>709</v>
      </c>
      <c r="M421" s="47" t="s">
        <v>727</v>
      </c>
      <c r="N421" s="47" t="s">
        <v>1786</v>
      </c>
      <c r="O421" s="48"/>
      <c r="P421" s="48"/>
      <c r="Q421" s="45"/>
      <c r="S421" s="1">
        <f t="shared" si="163"/>
        <v>0</v>
      </c>
      <c r="T421" s="1">
        <f t="shared" si="164"/>
        <v>0</v>
      </c>
      <c r="U421" s="1">
        <f t="shared" si="165"/>
        <v>0</v>
      </c>
      <c r="V421" s="1">
        <f t="shared" si="166"/>
        <v>0</v>
      </c>
      <c r="W421" s="1">
        <f t="shared" si="167"/>
        <v>0</v>
      </c>
      <c r="X421" s="1">
        <f t="shared" si="168"/>
        <v>0</v>
      </c>
      <c r="Y421" s="1">
        <f t="shared" si="169"/>
        <v>0</v>
      </c>
      <c r="Z421" s="1">
        <f t="shared" si="170"/>
        <v>0</v>
      </c>
      <c r="AA421" s="1">
        <f t="shared" si="171"/>
        <v>0</v>
      </c>
      <c r="AB421" s="1">
        <f t="shared" si="172"/>
        <v>0</v>
      </c>
      <c r="AD421" s="1">
        <f t="shared" si="173"/>
        <v>0</v>
      </c>
      <c r="AE421" s="1">
        <f t="shared" si="174"/>
        <v>0</v>
      </c>
      <c r="AF421" s="1">
        <f t="shared" si="175"/>
        <v>0</v>
      </c>
      <c r="AG421" s="1">
        <f t="shared" si="176"/>
        <v>0</v>
      </c>
      <c r="AH421" s="1">
        <f t="shared" si="177"/>
        <v>0</v>
      </c>
      <c r="AI421" s="1">
        <f t="shared" si="178"/>
        <v>1</v>
      </c>
    </row>
    <row r="422" spans="1:35" s="1" customFormat="1" ht="14.25" customHeight="1" x14ac:dyDescent="0.25">
      <c r="A422" s="44">
        <v>0</v>
      </c>
      <c r="B422" s="44">
        <v>2</v>
      </c>
      <c r="C422" s="44">
        <v>7</v>
      </c>
      <c r="D422" s="45" t="s">
        <v>1049</v>
      </c>
      <c r="E422" s="45" t="s">
        <v>28</v>
      </c>
      <c r="F422" s="45" t="s">
        <v>1050</v>
      </c>
      <c r="G422" s="45" t="s">
        <v>1051</v>
      </c>
      <c r="H422" s="45" t="s">
        <v>352</v>
      </c>
      <c r="I422" s="44" t="s">
        <v>1052</v>
      </c>
      <c r="J422" s="44">
        <v>99</v>
      </c>
      <c r="K422" s="46" t="s">
        <v>709</v>
      </c>
      <c r="L422" s="46" t="s">
        <v>709</v>
      </c>
      <c r="M422" s="47" t="s">
        <v>727</v>
      </c>
      <c r="N422" s="47" t="s">
        <v>1786</v>
      </c>
      <c r="O422" s="48"/>
      <c r="P422" s="48"/>
      <c r="Q422" s="45"/>
      <c r="S422" s="1">
        <f t="shared" si="163"/>
        <v>0</v>
      </c>
      <c r="T422" s="1">
        <f t="shared" si="164"/>
        <v>0</v>
      </c>
      <c r="U422" s="1">
        <f t="shared" si="165"/>
        <v>0</v>
      </c>
      <c r="V422" s="1">
        <f t="shared" si="166"/>
        <v>0</v>
      </c>
      <c r="W422" s="1">
        <f t="shared" si="167"/>
        <v>0</v>
      </c>
      <c r="X422" s="1">
        <f t="shared" si="168"/>
        <v>0</v>
      </c>
      <c r="Y422" s="1">
        <f t="shared" si="169"/>
        <v>0</v>
      </c>
      <c r="Z422" s="1">
        <f t="shared" si="170"/>
        <v>0</v>
      </c>
      <c r="AA422" s="1">
        <f t="shared" si="171"/>
        <v>0</v>
      </c>
      <c r="AB422" s="1">
        <f t="shared" si="172"/>
        <v>0</v>
      </c>
      <c r="AD422" s="1">
        <f t="shared" si="173"/>
        <v>0</v>
      </c>
      <c r="AE422" s="1">
        <f t="shared" si="174"/>
        <v>0</v>
      </c>
      <c r="AF422" s="1">
        <f t="shared" si="175"/>
        <v>0</v>
      </c>
      <c r="AG422" s="1">
        <f t="shared" si="176"/>
        <v>0</v>
      </c>
      <c r="AH422" s="1">
        <f t="shared" si="177"/>
        <v>0</v>
      </c>
      <c r="AI422" s="1">
        <f t="shared" si="178"/>
        <v>1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1790</v>
      </c>
      <c r="E423" s="32" t="s">
        <v>155</v>
      </c>
      <c r="F423" s="32" t="s">
        <v>1791</v>
      </c>
      <c r="G423" s="32"/>
      <c r="H423" s="32" t="s">
        <v>352</v>
      </c>
      <c r="I423" s="31" t="s">
        <v>1792</v>
      </c>
      <c r="J423" s="31">
        <v>99</v>
      </c>
      <c r="K423" s="33" t="s">
        <v>699</v>
      </c>
      <c r="L423" s="33"/>
      <c r="M423" s="34"/>
      <c r="N423" s="34" t="s">
        <v>1711</v>
      </c>
      <c r="O423" s="35">
        <v>1</v>
      </c>
      <c r="P423" s="35">
        <v>1</v>
      </c>
      <c r="Q423" s="32"/>
      <c r="S423" s="1">
        <f t="shared" si="163"/>
        <v>0</v>
      </c>
      <c r="T423" s="1">
        <f t="shared" si="164"/>
        <v>0</v>
      </c>
      <c r="U423" s="1">
        <f t="shared" si="165"/>
        <v>0</v>
      </c>
      <c r="V423" s="1">
        <f t="shared" si="166"/>
        <v>0</v>
      </c>
      <c r="W423" s="1">
        <f t="shared" si="167"/>
        <v>0</v>
      </c>
      <c r="X423" s="1">
        <f t="shared" si="168"/>
        <v>0</v>
      </c>
      <c r="Y423" s="1">
        <f t="shared" si="169"/>
        <v>0</v>
      </c>
      <c r="Z423" s="1">
        <f t="shared" si="170"/>
        <v>0</v>
      </c>
      <c r="AA423" s="1">
        <f t="shared" si="171"/>
        <v>0</v>
      </c>
      <c r="AB423" s="1">
        <f t="shared" si="172"/>
        <v>0</v>
      </c>
      <c r="AD423" s="1">
        <f t="shared" si="173"/>
        <v>1</v>
      </c>
      <c r="AE423" s="1">
        <f t="shared" si="174"/>
        <v>0</v>
      </c>
      <c r="AF423" s="1">
        <f t="shared" si="175"/>
        <v>1</v>
      </c>
      <c r="AG423" s="1">
        <f t="shared" si="176"/>
        <v>0</v>
      </c>
      <c r="AH423" s="1">
        <f t="shared" si="177"/>
        <v>1</v>
      </c>
      <c r="AI423" s="1">
        <f t="shared" si="178"/>
        <v>0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1162</v>
      </c>
      <c r="E424" s="32" t="s">
        <v>155</v>
      </c>
      <c r="F424" s="32" t="s">
        <v>1163</v>
      </c>
      <c r="G424" s="32" t="s">
        <v>291</v>
      </c>
      <c r="H424" s="32" t="s">
        <v>352</v>
      </c>
      <c r="I424" s="31" t="s">
        <v>1164</v>
      </c>
      <c r="J424" s="31">
        <v>99</v>
      </c>
      <c r="K424" s="33" t="s">
        <v>709</v>
      </c>
      <c r="L424" s="33" t="s">
        <v>718</v>
      </c>
      <c r="M424" s="34" t="s">
        <v>1418</v>
      </c>
      <c r="N424" s="34" t="s">
        <v>1732</v>
      </c>
      <c r="O424" s="35">
        <v>1</v>
      </c>
      <c r="P424" s="35"/>
      <c r="Q424" s="32"/>
      <c r="S424" s="1">
        <f t="shared" si="163"/>
        <v>0</v>
      </c>
      <c r="T424" s="1">
        <f t="shared" si="164"/>
        <v>0</v>
      </c>
      <c r="U424" s="1">
        <f t="shared" si="165"/>
        <v>0</v>
      </c>
      <c r="V424" s="1">
        <f t="shared" si="166"/>
        <v>0</v>
      </c>
      <c r="W424" s="1">
        <f t="shared" si="167"/>
        <v>0</v>
      </c>
      <c r="X424" s="1">
        <f t="shared" si="168"/>
        <v>0</v>
      </c>
      <c r="Y424" s="1">
        <f t="shared" si="169"/>
        <v>0</v>
      </c>
      <c r="Z424" s="1">
        <f t="shared" si="170"/>
        <v>0</v>
      </c>
      <c r="AA424" s="1">
        <f t="shared" si="171"/>
        <v>0</v>
      </c>
      <c r="AB424" s="1">
        <f t="shared" si="172"/>
        <v>0</v>
      </c>
      <c r="AD424" s="1">
        <f t="shared" si="173"/>
        <v>0</v>
      </c>
      <c r="AE424" s="1">
        <f t="shared" si="174"/>
        <v>1</v>
      </c>
      <c r="AF424" s="1">
        <f t="shared" si="175"/>
        <v>0</v>
      </c>
      <c r="AG424" s="1">
        <f t="shared" si="176"/>
        <v>1</v>
      </c>
      <c r="AH424" s="1">
        <f t="shared" si="177"/>
        <v>0</v>
      </c>
      <c r="AI424" s="1">
        <f t="shared" si="178"/>
        <v>1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2" t="s">
        <v>1137</v>
      </c>
      <c r="E425" s="32" t="s">
        <v>1138</v>
      </c>
      <c r="F425" s="36" t="s">
        <v>1862</v>
      </c>
      <c r="G425" s="32" t="s">
        <v>624</v>
      </c>
      <c r="H425" s="32" t="s">
        <v>352</v>
      </c>
      <c r="I425" s="31" t="s">
        <v>1139</v>
      </c>
      <c r="J425" s="31">
        <v>99</v>
      </c>
      <c r="K425" s="33" t="s">
        <v>709</v>
      </c>
      <c r="L425" s="33" t="s">
        <v>709</v>
      </c>
      <c r="M425" s="34" t="s">
        <v>727</v>
      </c>
      <c r="N425" s="34" t="s">
        <v>1727</v>
      </c>
      <c r="O425" s="35">
        <v>1</v>
      </c>
      <c r="P425" s="35"/>
      <c r="Q425" s="36" t="s">
        <v>1882</v>
      </c>
      <c r="S425" s="1">
        <f t="shared" si="163"/>
        <v>0</v>
      </c>
      <c r="T425" s="1">
        <f t="shared" si="164"/>
        <v>0</v>
      </c>
      <c r="U425" s="1">
        <f t="shared" si="165"/>
        <v>0</v>
      </c>
      <c r="V425" s="1">
        <f t="shared" si="166"/>
        <v>0</v>
      </c>
      <c r="W425" s="1">
        <f t="shared" si="167"/>
        <v>0</v>
      </c>
      <c r="X425" s="1">
        <f t="shared" si="168"/>
        <v>0</v>
      </c>
      <c r="Y425" s="1">
        <f t="shared" si="169"/>
        <v>0</v>
      </c>
      <c r="Z425" s="1">
        <f t="shared" si="170"/>
        <v>0</v>
      </c>
      <c r="AA425" s="1">
        <f t="shared" si="171"/>
        <v>0</v>
      </c>
      <c r="AB425" s="1">
        <f t="shared" si="172"/>
        <v>0</v>
      </c>
      <c r="AD425" s="1">
        <f t="shared" si="173"/>
        <v>0</v>
      </c>
      <c r="AE425" s="1">
        <f t="shared" si="174"/>
        <v>1</v>
      </c>
      <c r="AF425" s="1">
        <f t="shared" si="175"/>
        <v>0</v>
      </c>
      <c r="AG425" s="1">
        <f t="shared" si="176"/>
        <v>1</v>
      </c>
      <c r="AH425" s="1">
        <f t="shared" si="177"/>
        <v>0</v>
      </c>
      <c r="AI425" s="1">
        <f t="shared" si="178"/>
        <v>1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2" t="s">
        <v>538</v>
      </c>
      <c r="E426" s="32" t="s">
        <v>157</v>
      </c>
      <c r="F426" s="32" t="s">
        <v>194</v>
      </c>
      <c r="G426" s="32" t="s">
        <v>195</v>
      </c>
      <c r="H426" s="32" t="s">
        <v>352</v>
      </c>
      <c r="I426" s="31" t="s">
        <v>546</v>
      </c>
      <c r="J426" s="31">
        <v>99</v>
      </c>
      <c r="K426" s="33" t="s">
        <v>942</v>
      </c>
      <c r="L426" s="33" t="s">
        <v>692</v>
      </c>
      <c r="M426" s="34" t="s">
        <v>1420</v>
      </c>
      <c r="N426" s="34" t="s">
        <v>1732</v>
      </c>
      <c r="O426" s="35">
        <v>1</v>
      </c>
      <c r="P426" s="35"/>
      <c r="Q426" s="32"/>
      <c r="S426" s="1">
        <f t="shared" si="163"/>
        <v>0</v>
      </c>
      <c r="T426" s="1">
        <f t="shared" si="164"/>
        <v>0</v>
      </c>
      <c r="U426" s="1">
        <f t="shared" si="165"/>
        <v>0</v>
      </c>
      <c r="V426" s="1">
        <f t="shared" si="166"/>
        <v>0</v>
      </c>
      <c r="W426" s="1">
        <f t="shared" si="167"/>
        <v>0</v>
      </c>
      <c r="X426" s="1">
        <f t="shared" si="168"/>
        <v>0</v>
      </c>
      <c r="Y426" s="1">
        <f t="shared" si="169"/>
        <v>0</v>
      </c>
      <c r="Z426" s="1">
        <f t="shared" si="170"/>
        <v>0</v>
      </c>
      <c r="AA426" s="1">
        <f t="shared" si="171"/>
        <v>0</v>
      </c>
      <c r="AB426" s="1">
        <f t="shared" si="172"/>
        <v>0</v>
      </c>
      <c r="AD426" s="1">
        <f t="shared" si="173"/>
        <v>0</v>
      </c>
      <c r="AE426" s="1">
        <f t="shared" si="174"/>
        <v>1</v>
      </c>
      <c r="AF426" s="1">
        <f t="shared" si="175"/>
        <v>0</v>
      </c>
      <c r="AG426" s="1">
        <f t="shared" si="176"/>
        <v>1</v>
      </c>
      <c r="AH426" s="1">
        <f t="shared" si="177"/>
        <v>0</v>
      </c>
      <c r="AI426" s="1">
        <f t="shared" si="178"/>
        <v>1</v>
      </c>
    </row>
    <row r="427" spans="1:35" s="1" customFormat="1" ht="14.25" customHeight="1" x14ac:dyDescent="0.25">
      <c r="A427" s="44">
        <v>0</v>
      </c>
      <c r="B427" s="44">
        <v>2</v>
      </c>
      <c r="C427" s="44">
        <v>7</v>
      </c>
      <c r="D427" s="45" t="s">
        <v>46</v>
      </c>
      <c r="E427" s="45" t="s">
        <v>155</v>
      </c>
      <c r="F427" s="45" t="s">
        <v>182</v>
      </c>
      <c r="G427" s="45" t="s">
        <v>178</v>
      </c>
      <c r="H427" s="45" t="s">
        <v>352</v>
      </c>
      <c r="I427" s="44" t="s">
        <v>380</v>
      </c>
      <c r="J427" s="44">
        <v>10</v>
      </c>
      <c r="K427" s="46" t="s">
        <v>942</v>
      </c>
      <c r="L427" s="46" t="s">
        <v>718</v>
      </c>
      <c r="M427" s="47" t="s">
        <v>1418</v>
      </c>
      <c r="N427" s="47" t="s">
        <v>1793</v>
      </c>
      <c r="O427" s="48"/>
      <c r="P427" s="48"/>
      <c r="Q427" s="45"/>
      <c r="S427" s="1">
        <f t="shared" si="163"/>
        <v>0</v>
      </c>
      <c r="T427" s="1">
        <f t="shared" si="164"/>
        <v>0</v>
      </c>
      <c r="U427" s="1">
        <f t="shared" si="165"/>
        <v>0</v>
      </c>
      <c r="V427" s="1">
        <f t="shared" si="166"/>
        <v>0</v>
      </c>
      <c r="W427" s="1">
        <f t="shared" si="167"/>
        <v>0</v>
      </c>
      <c r="X427" s="1">
        <f t="shared" si="168"/>
        <v>0</v>
      </c>
      <c r="Y427" s="1">
        <f t="shared" si="169"/>
        <v>0</v>
      </c>
      <c r="Z427" s="1">
        <f t="shared" si="170"/>
        <v>0</v>
      </c>
      <c r="AA427" s="1">
        <f t="shared" si="171"/>
        <v>0</v>
      </c>
      <c r="AB427" s="1">
        <f t="shared" si="172"/>
        <v>1</v>
      </c>
      <c r="AD427" s="1">
        <f t="shared" si="173"/>
        <v>0</v>
      </c>
      <c r="AE427" s="1">
        <f t="shared" si="174"/>
        <v>0</v>
      </c>
      <c r="AF427" s="1">
        <f t="shared" si="175"/>
        <v>0</v>
      </c>
      <c r="AG427" s="1">
        <f t="shared" si="176"/>
        <v>0</v>
      </c>
      <c r="AH427" s="1">
        <f t="shared" si="177"/>
        <v>0</v>
      </c>
      <c r="AI427" s="1">
        <f t="shared" si="178"/>
        <v>1</v>
      </c>
    </row>
    <row r="428" spans="1:35" s="1" customFormat="1" ht="14.25" customHeight="1" x14ac:dyDescent="0.25">
      <c r="A428" s="44">
        <v>0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248</v>
      </c>
      <c r="H428" s="45" t="s">
        <v>352</v>
      </c>
      <c r="I428" s="44" t="s">
        <v>409</v>
      </c>
      <c r="J428" s="44">
        <v>7</v>
      </c>
      <c r="K428" s="46" t="s">
        <v>709</v>
      </c>
      <c r="L428" s="46" t="s">
        <v>709</v>
      </c>
      <c r="M428" s="47" t="s">
        <v>727</v>
      </c>
      <c r="N428" s="47" t="s">
        <v>1718</v>
      </c>
      <c r="O428" s="48"/>
      <c r="P428" s="48"/>
      <c r="Q428" s="45"/>
      <c r="S428" s="1">
        <f t="shared" si="163"/>
        <v>0</v>
      </c>
      <c r="T428" s="1">
        <f t="shared" si="164"/>
        <v>0</v>
      </c>
      <c r="U428" s="1">
        <f t="shared" si="165"/>
        <v>0</v>
      </c>
      <c r="V428" s="1">
        <f t="shared" si="166"/>
        <v>0</v>
      </c>
      <c r="W428" s="1">
        <f t="shared" si="167"/>
        <v>0</v>
      </c>
      <c r="X428" s="1">
        <f t="shared" si="168"/>
        <v>0</v>
      </c>
      <c r="Y428" s="1">
        <f t="shared" si="169"/>
        <v>1</v>
      </c>
      <c r="Z428" s="1">
        <f t="shared" si="170"/>
        <v>0</v>
      </c>
      <c r="AA428" s="1">
        <f t="shared" si="171"/>
        <v>0</v>
      </c>
      <c r="AB428" s="1">
        <f t="shared" si="172"/>
        <v>0</v>
      </c>
      <c r="AD428" s="1">
        <f t="shared" si="173"/>
        <v>0</v>
      </c>
      <c r="AE428" s="1">
        <f t="shared" si="174"/>
        <v>0</v>
      </c>
      <c r="AF428" s="1">
        <f t="shared" si="175"/>
        <v>0</v>
      </c>
      <c r="AG428" s="1">
        <f t="shared" si="176"/>
        <v>0</v>
      </c>
      <c r="AH428" s="1">
        <f t="shared" si="177"/>
        <v>0</v>
      </c>
      <c r="AI428" s="1">
        <f t="shared" si="178"/>
        <v>1</v>
      </c>
    </row>
    <row r="429" spans="1:35" s="1" customFormat="1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1026</v>
      </c>
      <c r="G429" s="45" t="s">
        <v>535</v>
      </c>
      <c r="H429" s="45" t="s">
        <v>352</v>
      </c>
      <c r="I429" s="44" t="s">
        <v>30</v>
      </c>
      <c r="J429" s="44">
        <v>1</v>
      </c>
      <c r="K429" s="46" t="s">
        <v>709</v>
      </c>
      <c r="L429" s="46" t="s">
        <v>709</v>
      </c>
      <c r="M429" s="47" t="s">
        <v>727</v>
      </c>
      <c r="N429" s="47" t="s">
        <v>1718</v>
      </c>
      <c r="O429" s="48"/>
      <c r="P429" s="48"/>
      <c r="Q429" s="45"/>
      <c r="S429" s="1">
        <f t="shared" si="163"/>
        <v>1</v>
      </c>
      <c r="T429" s="1">
        <f t="shared" si="164"/>
        <v>0</v>
      </c>
      <c r="U429" s="1">
        <f t="shared" si="165"/>
        <v>0</v>
      </c>
      <c r="V429" s="1">
        <f t="shared" si="166"/>
        <v>0</v>
      </c>
      <c r="W429" s="1">
        <f t="shared" si="167"/>
        <v>0</v>
      </c>
      <c r="X429" s="1">
        <f t="shared" si="168"/>
        <v>0</v>
      </c>
      <c r="Y429" s="1">
        <f t="shared" si="169"/>
        <v>0</v>
      </c>
      <c r="Z429" s="1">
        <f t="shared" si="170"/>
        <v>0</v>
      </c>
      <c r="AA429" s="1">
        <f t="shared" si="171"/>
        <v>0</v>
      </c>
      <c r="AB429" s="1">
        <f t="shared" si="172"/>
        <v>0</v>
      </c>
      <c r="AD429" s="1">
        <f t="shared" si="173"/>
        <v>0</v>
      </c>
      <c r="AE429" s="1">
        <f t="shared" si="174"/>
        <v>0</v>
      </c>
      <c r="AF429" s="1">
        <f t="shared" si="175"/>
        <v>0</v>
      </c>
      <c r="AG429" s="1">
        <f t="shared" si="176"/>
        <v>0</v>
      </c>
      <c r="AH429" s="1">
        <f t="shared" si="177"/>
        <v>0</v>
      </c>
      <c r="AI429" s="1">
        <f t="shared" si="178"/>
        <v>0</v>
      </c>
    </row>
    <row r="430" spans="1:35" s="1" customFormat="1" ht="14.25" customHeight="1" x14ac:dyDescent="0.25">
      <c r="A430" s="44">
        <v>1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249</v>
      </c>
      <c r="G430" s="45" t="s">
        <v>199</v>
      </c>
      <c r="H430" s="45" t="s">
        <v>352</v>
      </c>
      <c r="I430" s="44" t="s">
        <v>410</v>
      </c>
      <c r="J430" s="44">
        <v>2</v>
      </c>
      <c r="K430" s="46" t="s">
        <v>709</v>
      </c>
      <c r="L430" s="46" t="s">
        <v>709</v>
      </c>
      <c r="M430" s="47" t="s">
        <v>727</v>
      </c>
      <c r="N430" s="47" t="s">
        <v>1718</v>
      </c>
      <c r="O430" s="48"/>
      <c r="P430" s="48"/>
      <c r="Q430" s="45"/>
      <c r="S430" s="1">
        <f t="shared" si="163"/>
        <v>0</v>
      </c>
      <c r="T430" s="1">
        <f t="shared" si="164"/>
        <v>1</v>
      </c>
      <c r="U430" s="1">
        <f t="shared" si="165"/>
        <v>0</v>
      </c>
      <c r="V430" s="1">
        <f t="shared" si="166"/>
        <v>0</v>
      </c>
      <c r="W430" s="1">
        <f t="shared" si="167"/>
        <v>0</v>
      </c>
      <c r="X430" s="1">
        <f t="shared" si="168"/>
        <v>0</v>
      </c>
      <c r="Y430" s="1">
        <f t="shared" si="169"/>
        <v>0</v>
      </c>
      <c r="Z430" s="1">
        <f t="shared" si="170"/>
        <v>0</v>
      </c>
      <c r="AA430" s="1">
        <f t="shared" si="171"/>
        <v>0</v>
      </c>
      <c r="AB430" s="1">
        <f t="shared" si="172"/>
        <v>0</v>
      </c>
      <c r="AD430" s="1">
        <f t="shared" si="173"/>
        <v>0</v>
      </c>
      <c r="AE430" s="1">
        <f t="shared" si="174"/>
        <v>0</v>
      </c>
      <c r="AF430" s="1">
        <f t="shared" si="175"/>
        <v>0</v>
      </c>
      <c r="AG430" s="1">
        <f t="shared" si="176"/>
        <v>0</v>
      </c>
      <c r="AH430" s="1">
        <f t="shared" si="177"/>
        <v>0</v>
      </c>
      <c r="AI430" s="1">
        <f t="shared" si="178"/>
        <v>0</v>
      </c>
    </row>
    <row r="431" spans="1:35" s="1" customFormat="1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246</v>
      </c>
      <c r="G431" s="45" t="s">
        <v>1335</v>
      </c>
      <c r="H431" s="45" t="s">
        <v>352</v>
      </c>
      <c r="I431" s="44" t="s">
        <v>30</v>
      </c>
      <c r="J431" s="44">
        <v>1</v>
      </c>
      <c r="K431" s="46" t="s">
        <v>709</v>
      </c>
      <c r="L431" s="46" t="s">
        <v>709</v>
      </c>
      <c r="M431" s="47" t="s">
        <v>727</v>
      </c>
      <c r="N431" s="47" t="s">
        <v>1718</v>
      </c>
      <c r="O431" s="48"/>
      <c r="P431" s="48"/>
      <c r="Q431" s="45" t="s">
        <v>1901</v>
      </c>
      <c r="S431" s="1">
        <f t="shared" si="163"/>
        <v>1</v>
      </c>
      <c r="T431" s="1">
        <f t="shared" si="164"/>
        <v>0</v>
      </c>
      <c r="U431" s="1">
        <f t="shared" si="165"/>
        <v>0</v>
      </c>
      <c r="V431" s="1">
        <f t="shared" si="166"/>
        <v>0</v>
      </c>
      <c r="W431" s="1">
        <f t="shared" si="167"/>
        <v>0</v>
      </c>
      <c r="X431" s="1">
        <f t="shared" si="168"/>
        <v>0</v>
      </c>
      <c r="Y431" s="1">
        <f t="shared" si="169"/>
        <v>0</v>
      </c>
      <c r="Z431" s="1">
        <f t="shared" si="170"/>
        <v>0</v>
      </c>
      <c r="AA431" s="1">
        <f t="shared" si="171"/>
        <v>0</v>
      </c>
      <c r="AB431" s="1">
        <f t="shared" si="172"/>
        <v>0</v>
      </c>
      <c r="AD431" s="1">
        <f t="shared" si="173"/>
        <v>0</v>
      </c>
      <c r="AE431" s="1">
        <f t="shared" si="174"/>
        <v>0</v>
      </c>
      <c r="AF431" s="1">
        <f t="shared" si="175"/>
        <v>0</v>
      </c>
      <c r="AG431" s="1">
        <f t="shared" si="176"/>
        <v>0</v>
      </c>
      <c r="AH431" s="1">
        <f t="shared" si="177"/>
        <v>0</v>
      </c>
      <c r="AI431" s="1">
        <f t="shared" si="178"/>
        <v>0</v>
      </c>
    </row>
    <row r="432" spans="1:35" s="1" customFormat="1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251</v>
      </c>
      <c r="G432" s="45" t="s">
        <v>193</v>
      </c>
      <c r="H432" s="45" t="s">
        <v>352</v>
      </c>
      <c r="I432" s="44" t="s">
        <v>411</v>
      </c>
      <c r="J432" s="44">
        <v>9</v>
      </c>
      <c r="K432" s="46" t="s">
        <v>709</v>
      </c>
      <c r="L432" s="46" t="s">
        <v>709</v>
      </c>
      <c r="M432" s="47" t="s">
        <v>727</v>
      </c>
      <c r="N432" s="47" t="s">
        <v>1718</v>
      </c>
      <c r="O432" s="48"/>
      <c r="P432" s="48"/>
      <c r="Q432" s="45"/>
      <c r="S432" s="1">
        <f t="shared" si="163"/>
        <v>0</v>
      </c>
      <c r="T432" s="1">
        <f t="shared" si="164"/>
        <v>0</v>
      </c>
      <c r="U432" s="1">
        <f t="shared" si="165"/>
        <v>0</v>
      </c>
      <c r="V432" s="1">
        <f t="shared" si="166"/>
        <v>0</v>
      </c>
      <c r="W432" s="1">
        <f t="shared" si="167"/>
        <v>0</v>
      </c>
      <c r="X432" s="1">
        <f t="shared" si="168"/>
        <v>0</v>
      </c>
      <c r="Y432" s="1">
        <f t="shared" si="169"/>
        <v>0</v>
      </c>
      <c r="Z432" s="1">
        <f t="shared" si="170"/>
        <v>0</v>
      </c>
      <c r="AA432" s="1">
        <f t="shared" si="171"/>
        <v>1</v>
      </c>
      <c r="AB432" s="1">
        <f t="shared" si="172"/>
        <v>0</v>
      </c>
      <c r="AD432" s="1">
        <f t="shared" si="173"/>
        <v>0</v>
      </c>
      <c r="AE432" s="1">
        <f t="shared" si="174"/>
        <v>0</v>
      </c>
      <c r="AF432" s="1">
        <f t="shared" si="175"/>
        <v>0</v>
      </c>
      <c r="AG432" s="1">
        <f t="shared" si="176"/>
        <v>0</v>
      </c>
      <c r="AH432" s="1">
        <f t="shared" si="177"/>
        <v>0</v>
      </c>
      <c r="AI432" s="1">
        <f t="shared" si="178"/>
        <v>0</v>
      </c>
    </row>
    <row r="433" spans="1:35" s="1" customFormat="1" ht="14.25" customHeight="1" x14ac:dyDescent="0.25">
      <c r="A433" s="44">
        <v>0</v>
      </c>
      <c r="B433" s="44">
        <v>2</v>
      </c>
      <c r="C433" s="44">
        <v>7</v>
      </c>
      <c r="D433" s="45" t="s">
        <v>1010</v>
      </c>
      <c r="E433" s="45" t="s">
        <v>28</v>
      </c>
      <c r="F433" s="45" t="s">
        <v>1011</v>
      </c>
      <c r="G433" s="45" t="s">
        <v>193</v>
      </c>
      <c r="H433" s="45" t="s">
        <v>352</v>
      </c>
      <c r="I433" s="44" t="s">
        <v>1012</v>
      </c>
      <c r="J433" s="44">
        <v>9</v>
      </c>
      <c r="K433" s="46" t="s">
        <v>708</v>
      </c>
      <c r="L433" s="46" t="s">
        <v>709</v>
      </c>
      <c r="M433" s="47" t="s">
        <v>727</v>
      </c>
      <c r="N433" s="47" t="s">
        <v>1719</v>
      </c>
      <c r="O433" s="48"/>
      <c r="P433" s="48"/>
      <c r="Q433" s="45"/>
      <c r="S433" s="1">
        <f t="shared" si="163"/>
        <v>0</v>
      </c>
      <c r="T433" s="1">
        <f t="shared" si="164"/>
        <v>0</v>
      </c>
      <c r="U433" s="1">
        <f t="shared" si="165"/>
        <v>0</v>
      </c>
      <c r="V433" s="1">
        <f t="shared" si="166"/>
        <v>0</v>
      </c>
      <c r="W433" s="1">
        <f t="shared" si="167"/>
        <v>0</v>
      </c>
      <c r="X433" s="1">
        <f t="shared" si="168"/>
        <v>0</v>
      </c>
      <c r="Y433" s="1">
        <f t="shared" si="169"/>
        <v>0</v>
      </c>
      <c r="Z433" s="1">
        <f t="shared" si="170"/>
        <v>0</v>
      </c>
      <c r="AA433" s="1">
        <f t="shared" si="171"/>
        <v>1</v>
      </c>
      <c r="AB433" s="1">
        <f t="shared" si="172"/>
        <v>0</v>
      </c>
      <c r="AD433" s="1">
        <f t="shared" si="173"/>
        <v>0</v>
      </c>
      <c r="AE433" s="1">
        <f t="shared" si="174"/>
        <v>0</v>
      </c>
      <c r="AF433" s="1">
        <f t="shared" si="175"/>
        <v>0</v>
      </c>
      <c r="AG433" s="1">
        <f t="shared" si="176"/>
        <v>0</v>
      </c>
      <c r="AH433" s="1">
        <f t="shared" si="177"/>
        <v>0</v>
      </c>
      <c r="AI433" s="1">
        <f t="shared" si="178"/>
        <v>1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1817</v>
      </c>
      <c r="E434" s="32" t="s">
        <v>1818</v>
      </c>
      <c r="F434" s="32" t="s">
        <v>1819</v>
      </c>
      <c r="G434" s="32" t="s">
        <v>206</v>
      </c>
      <c r="H434" s="32" t="s">
        <v>352</v>
      </c>
      <c r="I434" s="31" t="s">
        <v>30</v>
      </c>
      <c r="J434" s="31"/>
      <c r="K434" s="33" t="s">
        <v>699</v>
      </c>
      <c r="L434" s="33">
        <v>20</v>
      </c>
      <c r="M434" s="34" t="s">
        <v>1820</v>
      </c>
      <c r="N434" s="34" t="s">
        <v>1727</v>
      </c>
      <c r="O434" s="35">
        <v>1</v>
      </c>
      <c r="P434" s="35"/>
      <c r="Q434" s="32"/>
      <c r="S434" s="1">
        <f t="shared" si="163"/>
        <v>0</v>
      </c>
      <c r="T434" s="1">
        <f t="shared" si="164"/>
        <v>0</v>
      </c>
      <c r="U434" s="1">
        <f t="shared" si="165"/>
        <v>0</v>
      </c>
      <c r="V434" s="1">
        <f t="shared" si="166"/>
        <v>0</v>
      </c>
      <c r="W434" s="1">
        <f t="shared" si="167"/>
        <v>0</v>
      </c>
      <c r="X434" s="1">
        <f t="shared" si="168"/>
        <v>0</v>
      </c>
      <c r="Y434" s="1">
        <f t="shared" si="169"/>
        <v>0</v>
      </c>
      <c r="Z434" s="1">
        <f t="shared" si="170"/>
        <v>0</v>
      </c>
      <c r="AA434" s="1">
        <f t="shared" si="171"/>
        <v>0</v>
      </c>
      <c r="AB434" s="1">
        <f t="shared" si="172"/>
        <v>0</v>
      </c>
      <c r="AD434" s="1">
        <f t="shared" si="173"/>
        <v>0</v>
      </c>
      <c r="AE434" s="1">
        <f t="shared" si="174"/>
        <v>1</v>
      </c>
      <c r="AF434" s="1">
        <f t="shared" si="175"/>
        <v>0</v>
      </c>
      <c r="AG434" s="1">
        <f t="shared" si="176"/>
        <v>1</v>
      </c>
      <c r="AH434" s="1">
        <f t="shared" si="177"/>
        <v>0</v>
      </c>
      <c r="AI434" s="1">
        <f t="shared" si="178"/>
        <v>1</v>
      </c>
    </row>
    <row r="435" spans="1:35" s="1" customFormat="1" ht="14.25" customHeight="1" x14ac:dyDescent="0.25">
      <c r="A435" s="49">
        <v>0</v>
      </c>
      <c r="B435" s="49">
        <v>2</v>
      </c>
      <c r="C435" s="49">
        <v>7</v>
      </c>
      <c r="D435" s="50" t="s">
        <v>1066</v>
      </c>
      <c r="E435" s="50" t="s">
        <v>540</v>
      </c>
      <c r="F435" s="50" t="s">
        <v>1047</v>
      </c>
      <c r="G435" s="50" t="s">
        <v>237</v>
      </c>
      <c r="H435" s="50" t="s">
        <v>352</v>
      </c>
      <c r="I435" s="49" t="s">
        <v>1048</v>
      </c>
      <c r="J435" s="49">
        <v>99</v>
      </c>
      <c r="K435" s="51" t="s">
        <v>942</v>
      </c>
      <c r="L435" s="51" t="s">
        <v>718</v>
      </c>
      <c r="M435" s="52" t="s">
        <v>1421</v>
      </c>
      <c r="N435" s="52" t="s">
        <v>1727</v>
      </c>
      <c r="O435" s="53">
        <v>1</v>
      </c>
      <c r="P435" s="53"/>
      <c r="Q435" s="50"/>
      <c r="S435" s="1">
        <f t="shared" si="163"/>
        <v>0</v>
      </c>
      <c r="T435" s="1">
        <f t="shared" si="164"/>
        <v>0</v>
      </c>
      <c r="U435" s="1">
        <f t="shared" si="165"/>
        <v>0</v>
      </c>
      <c r="V435" s="1">
        <f t="shared" si="166"/>
        <v>0</v>
      </c>
      <c r="W435" s="1">
        <f t="shared" si="167"/>
        <v>0</v>
      </c>
      <c r="X435" s="1">
        <f t="shared" si="168"/>
        <v>0</v>
      </c>
      <c r="Y435" s="1">
        <f t="shared" si="169"/>
        <v>0</v>
      </c>
      <c r="Z435" s="1">
        <f t="shared" si="170"/>
        <v>0</v>
      </c>
      <c r="AA435" s="1">
        <f t="shared" si="171"/>
        <v>0</v>
      </c>
      <c r="AB435" s="1">
        <f t="shared" si="172"/>
        <v>0</v>
      </c>
      <c r="AD435" s="1">
        <f t="shared" si="173"/>
        <v>0</v>
      </c>
      <c r="AE435" s="1">
        <f t="shared" si="174"/>
        <v>1</v>
      </c>
      <c r="AF435" s="1">
        <f t="shared" si="175"/>
        <v>0</v>
      </c>
      <c r="AG435" s="1">
        <f t="shared" si="176"/>
        <v>1</v>
      </c>
      <c r="AH435" s="1">
        <f t="shared" si="177"/>
        <v>0</v>
      </c>
      <c r="AI435" s="1">
        <f t="shared" si="178"/>
        <v>1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2" t="s">
        <v>1210</v>
      </c>
      <c r="E436" s="32" t="s">
        <v>155</v>
      </c>
      <c r="F436" s="32" t="s">
        <v>1211</v>
      </c>
      <c r="G436" s="32" t="s">
        <v>250</v>
      </c>
      <c r="H436" s="32" t="s">
        <v>352</v>
      </c>
      <c r="I436" s="31" t="s">
        <v>1212</v>
      </c>
      <c r="J436" s="31">
        <v>99</v>
      </c>
      <c r="K436" s="33" t="s">
        <v>709</v>
      </c>
      <c r="L436" s="33">
        <v>10</v>
      </c>
      <c r="M436" s="34" t="s">
        <v>1730</v>
      </c>
      <c r="N436" s="34" t="s">
        <v>1711</v>
      </c>
      <c r="O436" s="35">
        <v>1</v>
      </c>
      <c r="P436" s="35">
        <v>1</v>
      </c>
      <c r="Q436" s="32"/>
      <c r="S436" s="1">
        <f t="shared" si="163"/>
        <v>0</v>
      </c>
      <c r="T436" s="1">
        <f t="shared" si="164"/>
        <v>0</v>
      </c>
      <c r="U436" s="1">
        <f t="shared" si="165"/>
        <v>0</v>
      </c>
      <c r="V436" s="1">
        <f t="shared" si="166"/>
        <v>0</v>
      </c>
      <c r="W436" s="1">
        <f t="shared" si="167"/>
        <v>0</v>
      </c>
      <c r="X436" s="1">
        <f t="shared" si="168"/>
        <v>0</v>
      </c>
      <c r="Y436" s="1">
        <f t="shared" si="169"/>
        <v>0</v>
      </c>
      <c r="Z436" s="1">
        <f t="shared" si="170"/>
        <v>0</v>
      </c>
      <c r="AA436" s="1">
        <f t="shared" si="171"/>
        <v>0</v>
      </c>
      <c r="AB436" s="1">
        <f t="shared" si="172"/>
        <v>0</v>
      </c>
      <c r="AD436" s="1">
        <f t="shared" si="173"/>
        <v>1</v>
      </c>
      <c r="AE436" s="1">
        <f t="shared" si="174"/>
        <v>0</v>
      </c>
      <c r="AF436" s="1">
        <f t="shared" si="175"/>
        <v>1</v>
      </c>
      <c r="AG436" s="1">
        <f t="shared" si="176"/>
        <v>0</v>
      </c>
      <c r="AH436" s="1">
        <f t="shared" si="177"/>
        <v>1</v>
      </c>
      <c r="AI436" s="1">
        <f t="shared" si="178"/>
        <v>0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6" t="s">
        <v>1787</v>
      </c>
      <c r="E437" s="36" t="s">
        <v>28</v>
      </c>
      <c r="F437" s="36" t="s">
        <v>1788</v>
      </c>
      <c r="G437" s="36" t="s">
        <v>179</v>
      </c>
      <c r="H437" s="36" t="s">
        <v>352</v>
      </c>
      <c r="I437" s="37" t="s">
        <v>1789</v>
      </c>
      <c r="J437" s="31">
        <v>10</v>
      </c>
      <c r="K437" s="33" t="s">
        <v>699</v>
      </c>
      <c r="L437" s="33">
        <v>10</v>
      </c>
      <c r="M437" s="34"/>
      <c r="N437" s="34" t="s">
        <v>1711</v>
      </c>
      <c r="O437" s="35">
        <v>1</v>
      </c>
      <c r="P437" s="35">
        <v>1</v>
      </c>
      <c r="Q437" s="36"/>
      <c r="S437" s="1">
        <f t="shared" si="163"/>
        <v>0</v>
      </c>
      <c r="T437" s="1">
        <f t="shared" si="164"/>
        <v>0</v>
      </c>
      <c r="U437" s="1">
        <f t="shared" si="165"/>
        <v>0</v>
      </c>
      <c r="V437" s="1">
        <f t="shared" si="166"/>
        <v>0</v>
      </c>
      <c r="W437" s="1">
        <f t="shared" si="167"/>
        <v>0</v>
      </c>
      <c r="X437" s="1">
        <f t="shared" si="168"/>
        <v>0</v>
      </c>
      <c r="Y437" s="1">
        <f t="shared" si="169"/>
        <v>0</v>
      </c>
      <c r="Z437" s="1">
        <f t="shared" si="170"/>
        <v>0</v>
      </c>
      <c r="AA437" s="1">
        <f t="shared" si="171"/>
        <v>0</v>
      </c>
      <c r="AB437" s="1">
        <f t="shared" si="172"/>
        <v>1</v>
      </c>
      <c r="AD437" s="1">
        <f t="shared" si="173"/>
        <v>1</v>
      </c>
      <c r="AE437" s="1">
        <f t="shared" si="174"/>
        <v>0</v>
      </c>
      <c r="AF437" s="1">
        <f t="shared" si="175"/>
        <v>1</v>
      </c>
      <c r="AG437" s="1">
        <f t="shared" si="176"/>
        <v>0</v>
      </c>
      <c r="AH437" s="1">
        <f t="shared" si="177"/>
        <v>1</v>
      </c>
      <c r="AI437" s="1">
        <f t="shared" si="178"/>
        <v>0</v>
      </c>
    </row>
    <row r="438" spans="1:35" s="1" customFormat="1" ht="14.25" customHeight="1" x14ac:dyDescent="0.25">
      <c r="A438" s="37">
        <v>0</v>
      </c>
      <c r="B438" s="37">
        <v>2</v>
      </c>
      <c r="C438" s="37">
        <v>7</v>
      </c>
      <c r="D438" s="36" t="s">
        <v>1569</v>
      </c>
      <c r="E438" s="36" t="s">
        <v>1635</v>
      </c>
      <c r="F438" s="36" t="s">
        <v>1570</v>
      </c>
      <c r="G438" s="36" t="s">
        <v>652</v>
      </c>
      <c r="H438" s="36" t="s">
        <v>352</v>
      </c>
      <c r="I438" s="37" t="s">
        <v>1571</v>
      </c>
      <c r="J438" s="37">
        <v>99</v>
      </c>
      <c r="K438" s="33" t="s">
        <v>709</v>
      </c>
      <c r="L438" s="33" t="s">
        <v>39</v>
      </c>
      <c r="M438" s="34" t="s">
        <v>39</v>
      </c>
      <c r="N438" s="34" t="s">
        <v>1711</v>
      </c>
      <c r="O438" s="35">
        <v>1</v>
      </c>
      <c r="P438" s="35">
        <v>1</v>
      </c>
      <c r="Q438" s="36"/>
      <c r="S438" s="1">
        <f t="shared" si="163"/>
        <v>0</v>
      </c>
      <c r="T438" s="1">
        <f t="shared" si="164"/>
        <v>0</v>
      </c>
      <c r="U438" s="1">
        <f t="shared" si="165"/>
        <v>0</v>
      </c>
      <c r="V438" s="1">
        <f t="shared" si="166"/>
        <v>0</v>
      </c>
      <c r="W438" s="1">
        <f t="shared" si="167"/>
        <v>0</v>
      </c>
      <c r="X438" s="1">
        <f t="shared" si="168"/>
        <v>0</v>
      </c>
      <c r="Y438" s="1">
        <f t="shared" si="169"/>
        <v>0</v>
      </c>
      <c r="Z438" s="1">
        <f t="shared" si="170"/>
        <v>0</v>
      </c>
      <c r="AA438" s="1">
        <f t="shared" si="171"/>
        <v>0</v>
      </c>
      <c r="AB438" s="1">
        <f t="shared" si="172"/>
        <v>0</v>
      </c>
      <c r="AD438" s="1">
        <f t="shared" si="173"/>
        <v>1</v>
      </c>
      <c r="AE438" s="1">
        <f t="shared" si="174"/>
        <v>0</v>
      </c>
      <c r="AF438" s="1">
        <f t="shared" si="175"/>
        <v>1</v>
      </c>
      <c r="AG438" s="1">
        <f t="shared" si="176"/>
        <v>0</v>
      </c>
      <c r="AH438" s="1">
        <f t="shared" si="177"/>
        <v>1</v>
      </c>
      <c r="AI438" s="1">
        <f t="shared" si="178"/>
        <v>0</v>
      </c>
    </row>
    <row r="439" spans="1:35" s="1" customFormat="1" ht="14.25" customHeight="1" x14ac:dyDescent="0.25">
      <c r="A439" s="44">
        <v>0</v>
      </c>
      <c r="B439" s="44">
        <v>2</v>
      </c>
      <c r="C439" s="44">
        <v>7</v>
      </c>
      <c r="D439" s="45" t="s">
        <v>1521</v>
      </c>
      <c r="E439" s="45" t="s">
        <v>28</v>
      </c>
      <c r="F439" s="45" t="s">
        <v>1646</v>
      </c>
      <c r="G439" s="45" t="s">
        <v>285</v>
      </c>
      <c r="H439" s="45" t="s">
        <v>352</v>
      </c>
      <c r="I439" s="44" t="s">
        <v>1672</v>
      </c>
      <c r="J439" s="44">
        <v>99</v>
      </c>
      <c r="K439" s="46" t="s">
        <v>709</v>
      </c>
      <c r="L439" s="46" t="s">
        <v>709</v>
      </c>
      <c r="M439" s="47" t="s">
        <v>727</v>
      </c>
      <c r="N439" s="47" t="s">
        <v>1719</v>
      </c>
      <c r="O439" s="48"/>
      <c r="P439" s="48"/>
      <c r="Q439" s="45"/>
      <c r="S439" s="1">
        <f t="shared" si="163"/>
        <v>0</v>
      </c>
      <c r="T439" s="1">
        <f t="shared" si="164"/>
        <v>0</v>
      </c>
      <c r="U439" s="1">
        <f t="shared" si="165"/>
        <v>0</v>
      </c>
      <c r="V439" s="1">
        <f t="shared" si="166"/>
        <v>0</v>
      </c>
      <c r="W439" s="1">
        <f t="shared" si="167"/>
        <v>0</v>
      </c>
      <c r="X439" s="1">
        <f t="shared" si="168"/>
        <v>0</v>
      </c>
      <c r="Y439" s="1">
        <f t="shared" si="169"/>
        <v>0</v>
      </c>
      <c r="Z439" s="1">
        <f t="shared" si="170"/>
        <v>0</v>
      </c>
      <c r="AA439" s="1">
        <f t="shared" si="171"/>
        <v>0</v>
      </c>
      <c r="AB439" s="1">
        <f t="shared" si="172"/>
        <v>0</v>
      </c>
      <c r="AD439" s="1">
        <f t="shared" si="173"/>
        <v>0</v>
      </c>
      <c r="AE439" s="1">
        <f t="shared" si="174"/>
        <v>0</v>
      </c>
      <c r="AF439" s="1">
        <f t="shared" si="175"/>
        <v>0</v>
      </c>
      <c r="AG439" s="1">
        <f t="shared" si="176"/>
        <v>0</v>
      </c>
      <c r="AH439" s="1">
        <f t="shared" si="177"/>
        <v>0</v>
      </c>
      <c r="AI439" s="1">
        <f t="shared" si="178"/>
        <v>1</v>
      </c>
    </row>
    <row r="440" spans="1:35" s="1" customFormat="1" ht="14.25" customHeight="1" x14ac:dyDescent="0.25">
      <c r="A440" s="44">
        <v>0</v>
      </c>
      <c r="B440" s="44">
        <v>2</v>
      </c>
      <c r="C440" s="44">
        <v>7</v>
      </c>
      <c r="D440" s="45" t="s">
        <v>1312</v>
      </c>
      <c r="E440" s="45" t="s">
        <v>28</v>
      </c>
      <c r="F440" s="45" t="s">
        <v>568</v>
      </c>
      <c r="G440" s="45" t="s">
        <v>180</v>
      </c>
      <c r="H440" s="45" t="s">
        <v>352</v>
      </c>
      <c r="I440" s="44" t="s">
        <v>428</v>
      </c>
      <c r="J440" s="44">
        <v>7</v>
      </c>
      <c r="K440" s="46" t="s">
        <v>708</v>
      </c>
      <c r="L440" s="46" t="s">
        <v>709</v>
      </c>
      <c r="M440" s="47" t="s">
        <v>727</v>
      </c>
      <c r="N440" s="47" t="s">
        <v>1719</v>
      </c>
      <c r="O440" s="48"/>
      <c r="P440" s="48"/>
      <c r="Q440" s="45"/>
      <c r="S440" s="1">
        <f t="shared" si="163"/>
        <v>0</v>
      </c>
      <c r="T440" s="1">
        <f t="shared" si="164"/>
        <v>0</v>
      </c>
      <c r="U440" s="1">
        <f t="shared" si="165"/>
        <v>0</v>
      </c>
      <c r="V440" s="1">
        <f t="shared" si="166"/>
        <v>0</v>
      </c>
      <c r="W440" s="1">
        <f t="shared" si="167"/>
        <v>0</v>
      </c>
      <c r="X440" s="1">
        <f t="shared" si="168"/>
        <v>0</v>
      </c>
      <c r="Y440" s="1">
        <f t="shared" si="169"/>
        <v>1</v>
      </c>
      <c r="Z440" s="1">
        <f t="shared" si="170"/>
        <v>0</v>
      </c>
      <c r="AA440" s="1">
        <f t="shared" si="171"/>
        <v>0</v>
      </c>
      <c r="AB440" s="1">
        <f t="shared" si="172"/>
        <v>0</v>
      </c>
      <c r="AD440" s="1">
        <f t="shared" si="173"/>
        <v>0</v>
      </c>
      <c r="AE440" s="1">
        <f t="shared" si="174"/>
        <v>0</v>
      </c>
      <c r="AF440" s="1">
        <f t="shared" si="175"/>
        <v>0</v>
      </c>
      <c r="AG440" s="1">
        <f t="shared" si="176"/>
        <v>0</v>
      </c>
      <c r="AH440" s="1">
        <f t="shared" si="177"/>
        <v>0</v>
      </c>
      <c r="AI440" s="1">
        <f t="shared" si="178"/>
        <v>1</v>
      </c>
    </row>
    <row r="441" spans="1:35" s="1" customFormat="1" ht="14.25" customHeight="1" x14ac:dyDescent="0.25">
      <c r="A441" s="44">
        <v>0</v>
      </c>
      <c r="B441" s="44">
        <v>2</v>
      </c>
      <c r="C441" s="44">
        <v>7</v>
      </c>
      <c r="D441" s="45" t="s">
        <v>72</v>
      </c>
      <c r="E441" s="45" t="s">
        <v>28</v>
      </c>
      <c r="F441" s="65" t="s">
        <v>1859</v>
      </c>
      <c r="G441" s="45" t="s">
        <v>234</v>
      </c>
      <c r="H441" s="45" t="s">
        <v>352</v>
      </c>
      <c r="I441" s="44" t="s">
        <v>676</v>
      </c>
      <c r="J441" s="44">
        <v>99</v>
      </c>
      <c r="K441" s="46" t="s">
        <v>709</v>
      </c>
      <c r="L441" s="46" t="s">
        <v>709</v>
      </c>
      <c r="M441" s="47" t="s">
        <v>727</v>
      </c>
      <c r="N441" s="47" t="s">
        <v>1719</v>
      </c>
      <c r="O441" s="48"/>
      <c r="P441" s="48"/>
      <c r="Q441" s="45"/>
      <c r="S441" s="1">
        <f t="shared" si="163"/>
        <v>0</v>
      </c>
      <c r="T441" s="1">
        <f t="shared" si="164"/>
        <v>0</v>
      </c>
      <c r="U441" s="1">
        <f t="shared" si="165"/>
        <v>0</v>
      </c>
      <c r="V441" s="1">
        <f t="shared" si="166"/>
        <v>0</v>
      </c>
      <c r="W441" s="1">
        <f t="shared" si="167"/>
        <v>0</v>
      </c>
      <c r="X441" s="1">
        <f t="shared" si="168"/>
        <v>0</v>
      </c>
      <c r="Y441" s="1">
        <f t="shared" si="169"/>
        <v>0</v>
      </c>
      <c r="Z441" s="1">
        <f t="shared" si="170"/>
        <v>0</v>
      </c>
      <c r="AA441" s="1">
        <f t="shared" si="171"/>
        <v>0</v>
      </c>
      <c r="AB441" s="1">
        <f t="shared" si="172"/>
        <v>0</v>
      </c>
      <c r="AD441" s="1">
        <f t="shared" si="173"/>
        <v>0</v>
      </c>
      <c r="AE441" s="1">
        <f t="shared" si="174"/>
        <v>0</v>
      </c>
      <c r="AF441" s="1">
        <f t="shared" si="175"/>
        <v>0</v>
      </c>
      <c r="AG441" s="1">
        <f t="shared" si="176"/>
        <v>0</v>
      </c>
      <c r="AH441" s="1">
        <f t="shared" si="177"/>
        <v>0</v>
      </c>
      <c r="AI441" s="1">
        <f t="shared" si="178"/>
        <v>1</v>
      </c>
    </row>
    <row r="442" spans="1:35" s="1" customFormat="1" ht="14.25" customHeight="1" x14ac:dyDescent="0.25">
      <c r="A442" s="44">
        <v>1</v>
      </c>
      <c r="B442" s="44">
        <v>2</v>
      </c>
      <c r="C442" s="44">
        <v>7</v>
      </c>
      <c r="D442" s="45" t="s">
        <v>72</v>
      </c>
      <c r="E442" s="45" t="s">
        <v>28</v>
      </c>
      <c r="F442" s="45" t="s">
        <v>260</v>
      </c>
      <c r="G442" s="45" t="s">
        <v>219</v>
      </c>
      <c r="H442" s="45" t="s">
        <v>352</v>
      </c>
      <c r="I442" s="44" t="s">
        <v>418</v>
      </c>
      <c r="J442" s="44">
        <v>8</v>
      </c>
      <c r="K442" s="46" t="s">
        <v>709</v>
      </c>
      <c r="L442" s="46" t="s">
        <v>709</v>
      </c>
      <c r="M442" s="47" t="s">
        <v>727</v>
      </c>
      <c r="N442" s="47" t="s">
        <v>1719</v>
      </c>
      <c r="O442" s="48"/>
      <c r="P442" s="48"/>
      <c r="Q442" s="45"/>
      <c r="S442" s="1">
        <f t="shared" si="163"/>
        <v>0</v>
      </c>
      <c r="T442" s="1">
        <f t="shared" si="164"/>
        <v>0</v>
      </c>
      <c r="U442" s="1">
        <f t="shared" si="165"/>
        <v>0</v>
      </c>
      <c r="V442" s="1">
        <f t="shared" si="166"/>
        <v>0</v>
      </c>
      <c r="W442" s="1">
        <f t="shared" si="167"/>
        <v>0</v>
      </c>
      <c r="X442" s="1">
        <f t="shared" si="168"/>
        <v>0</v>
      </c>
      <c r="Y442" s="1">
        <f t="shared" si="169"/>
        <v>0</v>
      </c>
      <c r="Z442" s="1">
        <f t="shared" si="170"/>
        <v>1</v>
      </c>
      <c r="AA442" s="1">
        <f t="shared" si="171"/>
        <v>0</v>
      </c>
      <c r="AB442" s="1">
        <f t="shared" si="172"/>
        <v>0</v>
      </c>
      <c r="AD442" s="1">
        <f t="shared" si="173"/>
        <v>0</v>
      </c>
      <c r="AE442" s="1">
        <f t="shared" si="174"/>
        <v>0</v>
      </c>
      <c r="AF442" s="1">
        <f t="shared" si="175"/>
        <v>0</v>
      </c>
      <c r="AG442" s="1">
        <f t="shared" si="176"/>
        <v>0</v>
      </c>
      <c r="AH442" s="1">
        <f t="shared" si="177"/>
        <v>0</v>
      </c>
      <c r="AI442" s="1">
        <f t="shared" si="178"/>
        <v>0</v>
      </c>
    </row>
    <row r="443" spans="1:35" s="1" customFormat="1" ht="14.25" customHeight="1" x14ac:dyDescent="0.25">
      <c r="A443" s="44">
        <v>1</v>
      </c>
      <c r="B443" s="44">
        <v>2</v>
      </c>
      <c r="C443" s="44">
        <v>7</v>
      </c>
      <c r="D443" s="45" t="s">
        <v>72</v>
      </c>
      <c r="E443" s="45" t="s">
        <v>28</v>
      </c>
      <c r="F443" s="45" t="s">
        <v>259</v>
      </c>
      <c r="G443" s="45" t="s">
        <v>177</v>
      </c>
      <c r="H443" s="45" t="s">
        <v>352</v>
      </c>
      <c r="I443" s="44" t="s">
        <v>417</v>
      </c>
      <c r="J443" s="44">
        <v>1</v>
      </c>
      <c r="K443" s="46" t="s">
        <v>709</v>
      </c>
      <c r="L443" s="46" t="s">
        <v>709</v>
      </c>
      <c r="M443" s="47" t="s">
        <v>727</v>
      </c>
      <c r="N443" s="47" t="s">
        <v>1719</v>
      </c>
      <c r="O443" s="48"/>
      <c r="P443" s="48"/>
      <c r="Q443" s="45"/>
      <c r="S443" s="1">
        <f t="shared" si="163"/>
        <v>1</v>
      </c>
      <c r="T443" s="1">
        <f t="shared" si="164"/>
        <v>0</v>
      </c>
      <c r="U443" s="1">
        <f t="shared" si="165"/>
        <v>0</v>
      </c>
      <c r="V443" s="1">
        <f t="shared" si="166"/>
        <v>0</v>
      </c>
      <c r="W443" s="1">
        <f t="shared" si="167"/>
        <v>0</v>
      </c>
      <c r="X443" s="1">
        <f t="shared" si="168"/>
        <v>0</v>
      </c>
      <c r="Y443" s="1">
        <f t="shared" si="169"/>
        <v>0</v>
      </c>
      <c r="Z443" s="1">
        <f t="shared" si="170"/>
        <v>0</v>
      </c>
      <c r="AA443" s="1">
        <f t="shared" si="171"/>
        <v>0</v>
      </c>
      <c r="AB443" s="1">
        <f t="shared" si="172"/>
        <v>0</v>
      </c>
      <c r="AD443" s="1">
        <f t="shared" si="173"/>
        <v>0</v>
      </c>
      <c r="AE443" s="1">
        <f t="shared" si="174"/>
        <v>0</v>
      </c>
      <c r="AF443" s="1">
        <f t="shared" si="175"/>
        <v>0</v>
      </c>
      <c r="AG443" s="1">
        <f t="shared" si="176"/>
        <v>0</v>
      </c>
      <c r="AH443" s="1">
        <f t="shared" si="177"/>
        <v>0</v>
      </c>
      <c r="AI443" s="1">
        <f t="shared" si="178"/>
        <v>0</v>
      </c>
    </row>
    <row r="444" spans="1:35" s="1" customFormat="1" ht="14.25" customHeight="1" x14ac:dyDescent="0.25">
      <c r="A444" s="15">
        <v>0</v>
      </c>
      <c r="B444" s="15">
        <v>2</v>
      </c>
      <c r="C444" s="15">
        <v>7</v>
      </c>
      <c r="D444" s="16" t="s">
        <v>769</v>
      </c>
      <c r="E444" s="16" t="s">
        <v>28</v>
      </c>
      <c r="F444" s="16" t="s">
        <v>770</v>
      </c>
      <c r="G444" s="16" t="s">
        <v>278</v>
      </c>
      <c r="H444" s="16" t="s">
        <v>352</v>
      </c>
      <c r="I444" s="15" t="s">
        <v>771</v>
      </c>
      <c r="J444" s="15">
        <v>99</v>
      </c>
      <c r="K444" s="10" t="s">
        <v>709</v>
      </c>
      <c r="L444" s="10" t="s">
        <v>709</v>
      </c>
      <c r="M444" s="19" t="s">
        <v>727</v>
      </c>
      <c r="N444" s="17"/>
      <c r="Q444" s="16"/>
      <c r="S444" s="1">
        <f t="shared" si="163"/>
        <v>0</v>
      </c>
      <c r="T444" s="1">
        <f t="shared" si="164"/>
        <v>0</v>
      </c>
      <c r="U444" s="1">
        <f t="shared" si="165"/>
        <v>0</v>
      </c>
      <c r="V444" s="1">
        <f t="shared" si="166"/>
        <v>0</v>
      </c>
      <c r="W444" s="1">
        <f t="shared" si="167"/>
        <v>0</v>
      </c>
      <c r="X444" s="1">
        <f t="shared" si="168"/>
        <v>0</v>
      </c>
      <c r="Y444" s="1">
        <f t="shared" si="169"/>
        <v>0</v>
      </c>
      <c r="Z444" s="1">
        <f t="shared" si="170"/>
        <v>0</v>
      </c>
      <c r="AA444" s="1">
        <f t="shared" si="171"/>
        <v>0</v>
      </c>
      <c r="AB444" s="1">
        <f t="shared" si="172"/>
        <v>0</v>
      </c>
      <c r="AD444" s="1">
        <f t="shared" si="173"/>
        <v>0</v>
      </c>
      <c r="AE444" s="1">
        <f t="shared" si="174"/>
        <v>0</v>
      </c>
      <c r="AF444" s="1">
        <f t="shared" si="175"/>
        <v>0</v>
      </c>
      <c r="AG444" s="1">
        <f t="shared" si="176"/>
        <v>0</v>
      </c>
      <c r="AH444" s="1">
        <f t="shared" si="177"/>
        <v>0</v>
      </c>
      <c r="AI444" s="1">
        <f t="shared" si="178"/>
        <v>1</v>
      </c>
    </row>
    <row r="445" spans="1:35" s="1" customFormat="1" ht="14.25" customHeight="1" x14ac:dyDescent="0.25">
      <c r="A445" s="15">
        <v>0</v>
      </c>
      <c r="B445" s="15">
        <v>2</v>
      </c>
      <c r="C445" s="15">
        <v>7</v>
      </c>
      <c r="D445" s="16" t="s">
        <v>85</v>
      </c>
      <c r="E445" s="16" t="s">
        <v>28</v>
      </c>
      <c r="F445" s="16" t="s">
        <v>277</v>
      </c>
      <c r="G445" s="16" t="s">
        <v>278</v>
      </c>
      <c r="H445" s="16" t="s">
        <v>352</v>
      </c>
      <c r="I445" s="15" t="s">
        <v>432</v>
      </c>
      <c r="J445" s="15">
        <v>99</v>
      </c>
      <c r="K445" s="10" t="s">
        <v>709</v>
      </c>
      <c r="L445" s="10" t="s">
        <v>709</v>
      </c>
      <c r="M445" s="19" t="s">
        <v>727</v>
      </c>
      <c r="N445" s="17"/>
      <c r="Q445" s="16"/>
      <c r="S445" s="1">
        <f t="shared" si="163"/>
        <v>0</v>
      </c>
      <c r="T445" s="1">
        <f t="shared" si="164"/>
        <v>0</v>
      </c>
      <c r="U445" s="1">
        <f t="shared" si="165"/>
        <v>0</v>
      </c>
      <c r="V445" s="1">
        <f t="shared" si="166"/>
        <v>0</v>
      </c>
      <c r="W445" s="1">
        <f t="shared" si="167"/>
        <v>0</v>
      </c>
      <c r="X445" s="1">
        <f t="shared" si="168"/>
        <v>0</v>
      </c>
      <c r="Y445" s="1">
        <f t="shared" si="169"/>
        <v>0</v>
      </c>
      <c r="Z445" s="1">
        <f t="shared" si="170"/>
        <v>0</v>
      </c>
      <c r="AA445" s="1">
        <f t="shared" si="171"/>
        <v>0</v>
      </c>
      <c r="AB445" s="1">
        <f t="shared" si="172"/>
        <v>0</v>
      </c>
      <c r="AD445" s="1">
        <f t="shared" si="173"/>
        <v>0</v>
      </c>
      <c r="AE445" s="1">
        <f t="shared" si="174"/>
        <v>0</v>
      </c>
      <c r="AF445" s="1">
        <f t="shared" si="175"/>
        <v>0</v>
      </c>
      <c r="AG445" s="1">
        <f t="shared" si="176"/>
        <v>0</v>
      </c>
      <c r="AH445" s="1">
        <f t="shared" si="177"/>
        <v>0</v>
      </c>
      <c r="AI445" s="1">
        <f t="shared" si="178"/>
        <v>1</v>
      </c>
    </row>
    <row r="446" spans="1:35" s="1" customFormat="1" ht="14.25" customHeight="1" x14ac:dyDescent="0.25">
      <c r="A446" s="37">
        <v>0</v>
      </c>
      <c r="B446" s="37">
        <v>2</v>
      </c>
      <c r="C446" s="37">
        <v>7</v>
      </c>
      <c r="D446" s="36" t="s">
        <v>1921</v>
      </c>
      <c r="E446" s="36" t="s">
        <v>28</v>
      </c>
      <c r="F446" s="36" t="s">
        <v>1922</v>
      </c>
      <c r="G446" s="36" t="s">
        <v>184</v>
      </c>
      <c r="H446" s="36" t="s">
        <v>352</v>
      </c>
      <c r="I446" s="37" t="s">
        <v>1923</v>
      </c>
      <c r="J446" s="37">
        <v>99</v>
      </c>
      <c r="K446" s="33" t="s">
        <v>699</v>
      </c>
      <c r="L446" s="33">
        <v>4</v>
      </c>
      <c r="M446" s="34" t="s">
        <v>727</v>
      </c>
      <c r="N446" s="34" t="s">
        <v>1727</v>
      </c>
      <c r="O446" s="35">
        <v>1</v>
      </c>
      <c r="P446" s="35"/>
      <c r="Q446" s="36" t="s">
        <v>1924</v>
      </c>
      <c r="S446" s="1">
        <f t="shared" si="163"/>
        <v>0</v>
      </c>
      <c r="T446" s="1">
        <f t="shared" si="164"/>
        <v>0</v>
      </c>
      <c r="U446" s="1">
        <f t="shared" si="165"/>
        <v>0</v>
      </c>
      <c r="V446" s="1">
        <f t="shared" si="166"/>
        <v>0</v>
      </c>
      <c r="W446" s="1">
        <f t="shared" si="167"/>
        <v>0</v>
      </c>
      <c r="X446" s="1">
        <f t="shared" si="168"/>
        <v>0</v>
      </c>
      <c r="Y446" s="1">
        <f t="shared" si="169"/>
        <v>0</v>
      </c>
      <c r="Z446" s="1">
        <f t="shared" si="170"/>
        <v>0</v>
      </c>
      <c r="AA446" s="1">
        <f t="shared" si="171"/>
        <v>0</v>
      </c>
      <c r="AB446" s="1">
        <f t="shared" si="172"/>
        <v>0</v>
      </c>
      <c r="AD446" s="1">
        <f t="shared" si="173"/>
        <v>0</v>
      </c>
      <c r="AE446" s="1">
        <f t="shared" si="174"/>
        <v>1</v>
      </c>
      <c r="AF446" s="1">
        <f t="shared" si="175"/>
        <v>0</v>
      </c>
      <c r="AG446" s="1">
        <f t="shared" si="176"/>
        <v>1</v>
      </c>
      <c r="AH446" s="1">
        <f t="shared" si="177"/>
        <v>0</v>
      </c>
      <c r="AI446" s="1">
        <f t="shared" si="178"/>
        <v>1</v>
      </c>
    </row>
    <row r="447" spans="1:35" s="1" customFormat="1" ht="14.25" customHeight="1" x14ac:dyDescent="0.25">
      <c r="A447" s="37">
        <v>0</v>
      </c>
      <c r="B447" s="37">
        <v>2</v>
      </c>
      <c r="C447" s="37">
        <v>7</v>
      </c>
      <c r="D447" s="36" t="s">
        <v>549</v>
      </c>
      <c r="E447" s="36" t="s">
        <v>28</v>
      </c>
      <c r="F447" s="36" t="s">
        <v>1860</v>
      </c>
      <c r="G447" s="36" t="s">
        <v>552</v>
      </c>
      <c r="H447" s="36" t="s">
        <v>352</v>
      </c>
      <c r="I447" s="37" t="s">
        <v>553</v>
      </c>
      <c r="J447" s="37">
        <v>99</v>
      </c>
      <c r="K447" s="33" t="s">
        <v>709</v>
      </c>
      <c r="L447" s="33" t="s">
        <v>709</v>
      </c>
      <c r="M447" s="34" t="s">
        <v>727</v>
      </c>
      <c r="N447" s="34" t="s">
        <v>1809</v>
      </c>
      <c r="O447" s="35">
        <v>1</v>
      </c>
      <c r="P447" s="35"/>
      <c r="Q447" s="36"/>
      <c r="S447" s="1">
        <f t="shared" si="163"/>
        <v>0</v>
      </c>
      <c r="T447" s="1">
        <f t="shared" si="164"/>
        <v>0</v>
      </c>
      <c r="U447" s="1">
        <f t="shared" si="165"/>
        <v>0</v>
      </c>
      <c r="V447" s="1">
        <f t="shared" si="166"/>
        <v>0</v>
      </c>
      <c r="W447" s="1">
        <f t="shared" si="167"/>
        <v>0</v>
      </c>
      <c r="X447" s="1">
        <f t="shared" si="168"/>
        <v>0</v>
      </c>
      <c r="Y447" s="1">
        <f t="shared" si="169"/>
        <v>0</v>
      </c>
      <c r="Z447" s="1">
        <f t="shared" si="170"/>
        <v>0</v>
      </c>
      <c r="AA447" s="1">
        <f t="shared" si="171"/>
        <v>0</v>
      </c>
      <c r="AB447" s="1">
        <f t="shared" si="172"/>
        <v>0</v>
      </c>
      <c r="AD447" s="1">
        <f t="shared" si="173"/>
        <v>0</v>
      </c>
      <c r="AE447" s="1">
        <f t="shared" si="174"/>
        <v>1</v>
      </c>
      <c r="AF447" s="1">
        <f t="shared" si="175"/>
        <v>0</v>
      </c>
      <c r="AG447" s="1">
        <f t="shared" si="176"/>
        <v>1</v>
      </c>
      <c r="AH447" s="1">
        <f t="shared" si="177"/>
        <v>0</v>
      </c>
      <c r="AI447" s="1">
        <f t="shared" si="178"/>
        <v>1</v>
      </c>
    </row>
    <row r="448" spans="1:35" s="1" customFormat="1" ht="14.25" customHeight="1" x14ac:dyDescent="0.25">
      <c r="A448" s="37">
        <v>1</v>
      </c>
      <c r="B448" s="37">
        <v>2</v>
      </c>
      <c r="C448" s="37">
        <v>7</v>
      </c>
      <c r="D448" s="36" t="s">
        <v>549</v>
      </c>
      <c r="E448" s="36" t="s">
        <v>28</v>
      </c>
      <c r="F448" s="36" t="s">
        <v>1861</v>
      </c>
      <c r="G448" s="36" t="s">
        <v>550</v>
      </c>
      <c r="H448" s="36" t="s">
        <v>352</v>
      </c>
      <c r="I448" s="37" t="s">
        <v>551</v>
      </c>
      <c r="J448" s="37">
        <v>99</v>
      </c>
      <c r="K448" s="33" t="s">
        <v>709</v>
      </c>
      <c r="L448" s="33" t="s">
        <v>709</v>
      </c>
      <c r="M448" s="34" t="s">
        <v>727</v>
      </c>
      <c r="N448" s="34" t="s">
        <v>1809</v>
      </c>
      <c r="O448" s="35">
        <v>1</v>
      </c>
      <c r="P448" s="35"/>
      <c r="Q448" s="36"/>
      <c r="S448" s="1">
        <f t="shared" si="163"/>
        <v>0</v>
      </c>
      <c r="T448" s="1">
        <f t="shared" si="164"/>
        <v>0</v>
      </c>
      <c r="U448" s="1">
        <f t="shared" si="165"/>
        <v>0</v>
      </c>
      <c r="V448" s="1">
        <f t="shared" si="166"/>
        <v>0</v>
      </c>
      <c r="W448" s="1">
        <f t="shared" si="167"/>
        <v>0</v>
      </c>
      <c r="X448" s="1">
        <f t="shared" si="168"/>
        <v>0</v>
      </c>
      <c r="Y448" s="1">
        <f t="shared" si="169"/>
        <v>0</v>
      </c>
      <c r="Z448" s="1">
        <f t="shared" si="170"/>
        <v>0</v>
      </c>
      <c r="AA448" s="1">
        <f t="shared" si="171"/>
        <v>0</v>
      </c>
      <c r="AB448" s="1">
        <f t="shared" si="172"/>
        <v>0</v>
      </c>
      <c r="AD448" s="1">
        <f t="shared" si="173"/>
        <v>0</v>
      </c>
      <c r="AE448" s="1">
        <f t="shared" si="174"/>
        <v>1</v>
      </c>
      <c r="AF448" s="1">
        <f t="shared" si="175"/>
        <v>0</v>
      </c>
      <c r="AG448" s="1">
        <f t="shared" si="176"/>
        <v>0</v>
      </c>
      <c r="AH448" s="1">
        <f t="shared" si="177"/>
        <v>0</v>
      </c>
      <c r="AI448" s="1">
        <f t="shared" si="178"/>
        <v>0</v>
      </c>
    </row>
    <row r="449" spans="1:35" s="1" customFormat="1" ht="14.25" customHeight="1" x14ac:dyDescent="0.25">
      <c r="A449" s="44">
        <v>0</v>
      </c>
      <c r="B449" s="44">
        <v>2</v>
      </c>
      <c r="C449" s="44">
        <v>7</v>
      </c>
      <c r="D449" s="45" t="s">
        <v>1169</v>
      </c>
      <c r="E449" s="45" t="s">
        <v>28</v>
      </c>
      <c r="F449" s="45" t="s">
        <v>1662</v>
      </c>
      <c r="G449" s="45" t="s">
        <v>234</v>
      </c>
      <c r="H449" s="45" t="s">
        <v>352</v>
      </c>
      <c r="I449" s="44" t="s">
        <v>1350</v>
      </c>
      <c r="J449" s="44">
        <v>99</v>
      </c>
      <c r="K449" s="46" t="s">
        <v>708</v>
      </c>
      <c r="L449" s="46" t="s">
        <v>709</v>
      </c>
      <c r="M449" s="47" t="s">
        <v>727</v>
      </c>
      <c r="N449" s="47" t="s">
        <v>1719</v>
      </c>
      <c r="O449" s="48"/>
      <c r="P449" s="48"/>
      <c r="Q449" s="45"/>
      <c r="S449" s="1">
        <f t="shared" si="163"/>
        <v>0</v>
      </c>
      <c r="T449" s="1">
        <f t="shared" si="164"/>
        <v>0</v>
      </c>
      <c r="U449" s="1">
        <f t="shared" si="165"/>
        <v>0</v>
      </c>
      <c r="V449" s="1">
        <f t="shared" si="166"/>
        <v>0</v>
      </c>
      <c r="W449" s="1">
        <f t="shared" si="167"/>
        <v>0</v>
      </c>
      <c r="X449" s="1">
        <f t="shared" si="168"/>
        <v>0</v>
      </c>
      <c r="Y449" s="1">
        <f t="shared" si="169"/>
        <v>0</v>
      </c>
      <c r="Z449" s="1">
        <f t="shared" si="170"/>
        <v>0</v>
      </c>
      <c r="AA449" s="1">
        <f t="shared" si="171"/>
        <v>0</v>
      </c>
      <c r="AB449" s="1">
        <f t="shared" si="172"/>
        <v>0</v>
      </c>
      <c r="AD449" s="1">
        <f t="shared" si="173"/>
        <v>0</v>
      </c>
      <c r="AE449" s="1">
        <f t="shared" si="174"/>
        <v>0</v>
      </c>
      <c r="AF449" s="1">
        <f t="shared" si="175"/>
        <v>0</v>
      </c>
      <c r="AG449" s="1">
        <f t="shared" si="176"/>
        <v>0</v>
      </c>
      <c r="AH449" s="1">
        <f t="shared" si="177"/>
        <v>0</v>
      </c>
      <c r="AI449" s="1">
        <f t="shared" si="178"/>
        <v>1</v>
      </c>
    </row>
    <row r="450" spans="1:35" s="1" customFormat="1" ht="14.25" customHeight="1" x14ac:dyDescent="0.25">
      <c r="A450" s="44">
        <v>1</v>
      </c>
      <c r="B450" s="44">
        <v>2</v>
      </c>
      <c r="C450" s="44">
        <v>7</v>
      </c>
      <c r="D450" s="45" t="s">
        <v>1169</v>
      </c>
      <c r="E450" s="45" t="s">
        <v>28</v>
      </c>
      <c r="F450" s="45" t="s">
        <v>1663</v>
      </c>
      <c r="G450" s="45" t="s">
        <v>1336</v>
      </c>
      <c r="H450" s="45" t="s">
        <v>352</v>
      </c>
      <c r="I450" s="44" t="s">
        <v>1351</v>
      </c>
      <c r="J450" s="44">
        <v>99</v>
      </c>
      <c r="K450" s="46" t="s">
        <v>708</v>
      </c>
      <c r="L450" s="46" t="s">
        <v>709</v>
      </c>
      <c r="M450" s="47" t="s">
        <v>727</v>
      </c>
      <c r="N450" s="47" t="s">
        <v>1719</v>
      </c>
      <c r="O450" s="48"/>
      <c r="P450" s="48"/>
      <c r="Q450" s="45"/>
      <c r="S450" s="1">
        <f t="shared" si="163"/>
        <v>0</v>
      </c>
      <c r="T450" s="1">
        <f t="shared" si="164"/>
        <v>0</v>
      </c>
      <c r="U450" s="1">
        <f t="shared" si="165"/>
        <v>0</v>
      </c>
      <c r="V450" s="1">
        <f t="shared" si="166"/>
        <v>0</v>
      </c>
      <c r="W450" s="1">
        <f t="shared" si="167"/>
        <v>0</v>
      </c>
      <c r="X450" s="1">
        <f t="shared" si="168"/>
        <v>0</v>
      </c>
      <c r="Y450" s="1">
        <f t="shared" si="169"/>
        <v>0</v>
      </c>
      <c r="Z450" s="1">
        <f t="shared" si="170"/>
        <v>0</v>
      </c>
      <c r="AA450" s="1">
        <f t="shared" si="171"/>
        <v>0</v>
      </c>
      <c r="AB450" s="1">
        <f t="shared" si="172"/>
        <v>0</v>
      </c>
      <c r="AD450" s="1">
        <f t="shared" si="173"/>
        <v>0</v>
      </c>
      <c r="AE450" s="1">
        <f t="shared" si="174"/>
        <v>0</v>
      </c>
      <c r="AF450" s="1">
        <f t="shared" si="175"/>
        <v>0</v>
      </c>
      <c r="AG450" s="1">
        <f t="shared" si="176"/>
        <v>0</v>
      </c>
      <c r="AH450" s="1">
        <f t="shared" si="177"/>
        <v>0</v>
      </c>
      <c r="AI450" s="1">
        <f t="shared" si="178"/>
        <v>0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1237</v>
      </c>
      <c r="E451" s="32" t="s">
        <v>28</v>
      </c>
      <c r="F451" s="32" t="s">
        <v>1236</v>
      </c>
      <c r="G451" s="32" t="s">
        <v>1221</v>
      </c>
      <c r="H451" s="32" t="s">
        <v>352</v>
      </c>
      <c r="I451" s="31" t="s">
        <v>1238</v>
      </c>
      <c r="J451" s="31">
        <v>99</v>
      </c>
      <c r="K451" s="33" t="s">
        <v>699</v>
      </c>
      <c r="L451" s="33" t="s">
        <v>709</v>
      </c>
      <c r="M451" s="34" t="s">
        <v>727</v>
      </c>
      <c r="N451" s="34" t="s">
        <v>1727</v>
      </c>
      <c r="O451" s="35">
        <v>1</v>
      </c>
      <c r="P451" s="35"/>
      <c r="Q451" s="32"/>
      <c r="S451" s="1">
        <f t="shared" si="163"/>
        <v>0</v>
      </c>
      <c r="T451" s="1">
        <f t="shared" si="164"/>
        <v>0</v>
      </c>
      <c r="U451" s="1">
        <f t="shared" si="165"/>
        <v>0</v>
      </c>
      <c r="V451" s="1">
        <f t="shared" si="166"/>
        <v>0</v>
      </c>
      <c r="W451" s="1">
        <f t="shared" si="167"/>
        <v>0</v>
      </c>
      <c r="X451" s="1">
        <f t="shared" si="168"/>
        <v>0</v>
      </c>
      <c r="Y451" s="1">
        <f t="shared" si="169"/>
        <v>0</v>
      </c>
      <c r="Z451" s="1">
        <f t="shared" si="170"/>
        <v>0</v>
      </c>
      <c r="AA451" s="1">
        <f t="shared" si="171"/>
        <v>0</v>
      </c>
      <c r="AB451" s="1">
        <f t="shared" si="172"/>
        <v>0</v>
      </c>
      <c r="AD451" s="1">
        <f t="shared" si="173"/>
        <v>0</v>
      </c>
      <c r="AE451" s="1">
        <f t="shared" si="174"/>
        <v>1</v>
      </c>
      <c r="AF451" s="1">
        <f t="shared" si="175"/>
        <v>0</v>
      </c>
      <c r="AG451" s="1">
        <f t="shared" si="176"/>
        <v>1</v>
      </c>
      <c r="AH451" s="1">
        <f t="shared" si="177"/>
        <v>0</v>
      </c>
      <c r="AI451" s="1">
        <f t="shared" si="178"/>
        <v>1</v>
      </c>
    </row>
    <row r="452" spans="1:35" s="1" customFormat="1" ht="14.25" customHeight="1" x14ac:dyDescent="0.25">
      <c r="A452" s="31">
        <v>1</v>
      </c>
      <c r="B452" s="31">
        <v>2</v>
      </c>
      <c r="C452" s="31">
        <v>7</v>
      </c>
      <c r="D452" s="32" t="s">
        <v>1237</v>
      </c>
      <c r="E452" s="32" t="s">
        <v>28</v>
      </c>
      <c r="F452" s="32" t="s">
        <v>1235</v>
      </c>
      <c r="G452" s="32" t="s">
        <v>39</v>
      </c>
      <c r="H452" s="32" t="s">
        <v>352</v>
      </c>
      <c r="I452" s="31" t="s">
        <v>1239</v>
      </c>
      <c r="J452" s="31">
        <v>9</v>
      </c>
      <c r="K452" s="33" t="s">
        <v>699</v>
      </c>
      <c r="L452" s="33" t="s">
        <v>709</v>
      </c>
      <c r="M452" s="34" t="s">
        <v>727</v>
      </c>
      <c r="N452" s="34" t="s">
        <v>1727</v>
      </c>
      <c r="O452" s="35">
        <v>1</v>
      </c>
      <c r="P452" s="35"/>
      <c r="Q452" s="32"/>
      <c r="S452" s="1">
        <f t="shared" si="163"/>
        <v>0</v>
      </c>
      <c r="T452" s="1">
        <f t="shared" si="164"/>
        <v>0</v>
      </c>
      <c r="U452" s="1">
        <f t="shared" si="165"/>
        <v>0</v>
      </c>
      <c r="V452" s="1">
        <f t="shared" si="166"/>
        <v>0</v>
      </c>
      <c r="W452" s="1">
        <f t="shared" si="167"/>
        <v>0</v>
      </c>
      <c r="X452" s="1">
        <f t="shared" si="168"/>
        <v>0</v>
      </c>
      <c r="Y452" s="1">
        <f t="shared" si="169"/>
        <v>0</v>
      </c>
      <c r="Z452" s="1">
        <f t="shared" si="170"/>
        <v>0</v>
      </c>
      <c r="AA452" s="1">
        <f t="shared" si="171"/>
        <v>1</v>
      </c>
      <c r="AB452" s="1">
        <f t="shared" si="172"/>
        <v>0</v>
      </c>
      <c r="AD452" s="1">
        <f t="shared" si="173"/>
        <v>0</v>
      </c>
      <c r="AE452" s="1">
        <f t="shared" si="174"/>
        <v>1</v>
      </c>
      <c r="AF452" s="1">
        <f t="shared" si="175"/>
        <v>0</v>
      </c>
      <c r="AG452" s="1">
        <f t="shared" si="176"/>
        <v>0</v>
      </c>
      <c r="AH452" s="1">
        <f t="shared" si="177"/>
        <v>0</v>
      </c>
      <c r="AI452" s="1">
        <f t="shared" si="178"/>
        <v>0</v>
      </c>
    </row>
    <row r="453" spans="1:35" s="1" customFormat="1" ht="14.25" customHeight="1" x14ac:dyDescent="0.25">
      <c r="A453" s="31">
        <v>1</v>
      </c>
      <c r="B453" s="31">
        <v>2</v>
      </c>
      <c r="C453" s="31">
        <v>7</v>
      </c>
      <c r="D453" s="32" t="s">
        <v>1237</v>
      </c>
      <c r="E453" s="32" t="s">
        <v>28</v>
      </c>
      <c r="F453" s="36" t="s">
        <v>1808</v>
      </c>
      <c r="G453" s="36" t="s">
        <v>257</v>
      </c>
      <c r="H453" s="32" t="s">
        <v>352</v>
      </c>
      <c r="I453" s="37" t="s">
        <v>30</v>
      </c>
      <c r="J453" s="31">
        <v>8</v>
      </c>
      <c r="K453" s="33" t="s">
        <v>699</v>
      </c>
      <c r="L453" s="33" t="s">
        <v>709</v>
      </c>
      <c r="M453" s="34" t="s">
        <v>727</v>
      </c>
      <c r="N453" s="34" t="s">
        <v>1727</v>
      </c>
      <c r="O453" s="35">
        <v>1</v>
      </c>
      <c r="P453" s="35"/>
      <c r="Q453" s="32"/>
      <c r="S453" s="1">
        <f t="shared" si="163"/>
        <v>0</v>
      </c>
      <c r="T453" s="1">
        <f t="shared" si="164"/>
        <v>0</v>
      </c>
      <c r="U453" s="1">
        <f t="shared" si="165"/>
        <v>0</v>
      </c>
      <c r="V453" s="1">
        <f t="shared" si="166"/>
        <v>0</v>
      </c>
      <c r="W453" s="1">
        <f t="shared" si="167"/>
        <v>0</v>
      </c>
      <c r="X453" s="1">
        <f t="shared" si="168"/>
        <v>0</v>
      </c>
      <c r="Y453" s="1">
        <f t="shared" si="169"/>
        <v>0</v>
      </c>
      <c r="Z453" s="1">
        <f t="shared" si="170"/>
        <v>1</v>
      </c>
      <c r="AA453" s="1">
        <f t="shared" si="171"/>
        <v>0</v>
      </c>
      <c r="AB453" s="1">
        <f t="shared" si="172"/>
        <v>0</v>
      </c>
      <c r="AD453" s="1">
        <f t="shared" si="173"/>
        <v>0</v>
      </c>
      <c r="AE453" s="1">
        <f t="shared" si="174"/>
        <v>1</v>
      </c>
      <c r="AF453" s="1">
        <f t="shared" si="175"/>
        <v>0</v>
      </c>
      <c r="AG453" s="1">
        <f t="shared" si="176"/>
        <v>0</v>
      </c>
      <c r="AH453" s="1">
        <f t="shared" si="177"/>
        <v>0</v>
      </c>
      <c r="AI453" s="1">
        <f t="shared" si="178"/>
        <v>0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51</v>
      </c>
      <c r="E454" s="32" t="s">
        <v>28</v>
      </c>
      <c r="F454" s="32" t="s">
        <v>670</v>
      </c>
      <c r="G454" s="32" t="s">
        <v>184</v>
      </c>
      <c r="H454" s="32" t="s">
        <v>352</v>
      </c>
      <c r="I454" s="31" t="s">
        <v>388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1733</v>
      </c>
      <c r="O454" s="35">
        <v>1</v>
      </c>
      <c r="P454" s="35"/>
      <c r="Q454" s="32"/>
      <c r="S454" s="1">
        <f t="shared" si="163"/>
        <v>0</v>
      </c>
      <c r="T454" s="1">
        <f t="shared" si="164"/>
        <v>0</v>
      </c>
      <c r="U454" s="1">
        <f t="shared" si="165"/>
        <v>0</v>
      </c>
      <c r="V454" s="1">
        <f t="shared" si="166"/>
        <v>0</v>
      </c>
      <c r="W454" s="1">
        <f t="shared" si="167"/>
        <v>0</v>
      </c>
      <c r="X454" s="1">
        <f t="shared" si="168"/>
        <v>0</v>
      </c>
      <c r="Y454" s="1">
        <f t="shared" si="169"/>
        <v>0</v>
      </c>
      <c r="Z454" s="1">
        <f t="shared" si="170"/>
        <v>0</v>
      </c>
      <c r="AA454" s="1">
        <f t="shared" si="171"/>
        <v>0</v>
      </c>
      <c r="AB454" s="1">
        <f t="shared" si="172"/>
        <v>0</v>
      </c>
      <c r="AD454" s="1">
        <f t="shared" si="173"/>
        <v>0</v>
      </c>
      <c r="AE454" s="1">
        <f t="shared" si="174"/>
        <v>1</v>
      </c>
      <c r="AF454" s="1">
        <f t="shared" si="175"/>
        <v>0</v>
      </c>
      <c r="AG454" s="1">
        <f t="shared" si="176"/>
        <v>1</v>
      </c>
      <c r="AH454" s="1">
        <f t="shared" si="177"/>
        <v>0</v>
      </c>
      <c r="AI454" s="1">
        <f t="shared" si="178"/>
        <v>1</v>
      </c>
    </row>
    <row r="455" spans="1:35" s="1" customFormat="1" ht="14.25" customHeight="1" x14ac:dyDescent="0.25">
      <c r="A455" s="44">
        <v>0</v>
      </c>
      <c r="B455" s="44">
        <v>2</v>
      </c>
      <c r="C455" s="44">
        <v>7</v>
      </c>
      <c r="D455" s="45" t="s">
        <v>1068</v>
      </c>
      <c r="E455" s="45" t="s">
        <v>28</v>
      </c>
      <c r="F455" s="45" t="s">
        <v>985</v>
      </c>
      <c r="G455" s="45" t="s">
        <v>239</v>
      </c>
      <c r="H455" s="45" t="s">
        <v>352</v>
      </c>
      <c r="I455" s="44" t="s">
        <v>1093</v>
      </c>
      <c r="J455" s="44">
        <v>1</v>
      </c>
      <c r="K455" s="46" t="s">
        <v>708</v>
      </c>
      <c r="L455" s="46" t="s">
        <v>709</v>
      </c>
      <c r="M455" s="47" t="s">
        <v>727</v>
      </c>
      <c r="N455" s="47" t="s">
        <v>1719</v>
      </c>
      <c r="O455" s="48"/>
      <c r="P455" s="48"/>
      <c r="Q455" s="45"/>
      <c r="S455" s="1">
        <f t="shared" si="163"/>
        <v>1</v>
      </c>
      <c r="T455" s="1">
        <f t="shared" si="164"/>
        <v>0</v>
      </c>
      <c r="U455" s="1">
        <f t="shared" si="165"/>
        <v>0</v>
      </c>
      <c r="V455" s="1">
        <f t="shared" si="166"/>
        <v>0</v>
      </c>
      <c r="W455" s="1">
        <f t="shared" si="167"/>
        <v>0</v>
      </c>
      <c r="X455" s="1">
        <f t="shared" si="168"/>
        <v>0</v>
      </c>
      <c r="Y455" s="1">
        <f t="shared" si="169"/>
        <v>0</v>
      </c>
      <c r="Z455" s="1">
        <f t="shared" si="170"/>
        <v>0</v>
      </c>
      <c r="AA455" s="1">
        <f t="shared" si="171"/>
        <v>0</v>
      </c>
      <c r="AB455" s="1">
        <f t="shared" si="172"/>
        <v>0</v>
      </c>
      <c r="AD455" s="1">
        <f t="shared" si="173"/>
        <v>0</v>
      </c>
      <c r="AE455" s="1">
        <f t="shared" si="174"/>
        <v>0</v>
      </c>
      <c r="AF455" s="1">
        <f t="shared" si="175"/>
        <v>0</v>
      </c>
      <c r="AG455" s="1">
        <f t="shared" si="176"/>
        <v>0</v>
      </c>
      <c r="AH455" s="1">
        <f t="shared" si="177"/>
        <v>0</v>
      </c>
      <c r="AI455" s="1">
        <f t="shared" si="178"/>
        <v>1</v>
      </c>
    </row>
    <row r="456" spans="1:35" s="1" customFormat="1" ht="14.25" customHeight="1" x14ac:dyDescent="0.25">
      <c r="A456" s="44">
        <v>1</v>
      </c>
      <c r="B456" s="44">
        <v>2</v>
      </c>
      <c r="C456" s="44">
        <v>7</v>
      </c>
      <c r="D456" s="45" t="s">
        <v>1068</v>
      </c>
      <c r="E456" s="45" t="s">
        <v>28</v>
      </c>
      <c r="F456" s="45" t="s">
        <v>986</v>
      </c>
      <c r="G456" s="45" t="s">
        <v>1086</v>
      </c>
      <c r="H456" s="45" t="s">
        <v>352</v>
      </c>
      <c r="I456" s="44" t="s">
        <v>1094</v>
      </c>
      <c r="J456" s="44">
        <v>1</v>
      </c>
      <c r="K456" s="46" t="s">
        <v>708</v>
      </c>
      <c r="L456" s="46" t="s">
        <v>709</v>
      </c>
      <c r="M456" s="47" t="s">
        <v>727</v>
      </c>
      <c r="N456" s="47" t="s">
        <v>1719</v>
      </c>
      <c r="O456" s="48"/>
      <c r="P456" s="48"/>
      <c r="Q456" s="45"/>
      <c r="S456" s="1">
        <f t="shared" si="163"/>
        <v>1</v>
      </c>
      <c r="T456" s="1">
        <f t="shared" si="164"/>
        <v>0</v>
      </c>
      <c r="U456" s="1">
        <f t="shared" si="165"/>
        <v>0</v>
      </c>
      <c r="V456" s="1">
        <f t="shared" si="166"/>
        <v>0</v>
      </c>
      <c r="W456" s="1">
        <f t="shared" si="167"/>
        <v>0</v>
      </c>
      <c r="X456" s="1">
        <f t="shared" si="168"/>
        <v>0</v>
      </c>
      <c r="Y456" s="1">
        <f t="shared" si="169"/>
        <v>0</v>
      </c>
      <c r="Z456" s="1">
        <f t="shared" si="170"/>
        <v>0</v>
      </c>
      <c r="AA456" s="1">
        <f t="shared" si="171"/>
        <v>0</v>
      </c>
      <c r="AB456" s="1">
        <f t="shared" si="172"/>
        <v>0</v>
      </c>
      <c r="AD456" s="1">
        <f t="shared" si="173"/>
        <v>0</v>
      </c>
      <c r="AE456" s="1">
        <f t="shared" si="174"/>
        <v>0</v>
      </c>
      <c r="AF456" s="1">
        <f t="shared" si="175"/>
        <v>0</v>
      </c>
      <c r="AG456" s="1">
        <f t="shared" si="176"/>
        <v>0</v>
      </c>
      <c r="AH456" s="1">
        <f t="shared" si="177"/>
        <v>0</v>
      </c>
      <c r="AI456" s="1">
        <f t="shared" si="178"/>
        <v>0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1622</v>
      </c>
      <c r="E457" s="32" t="s">
        <v>155</v>
      </c>
      <c r="F457" s="32" t="s">
        <v>1475</v>
      </c>
      <c r="G457" s="32" t="s">
        <v>1476</v>
      </c>
      <c r="H457" s="32" t="s">
        <v>352</v>
      </c>
      <c r="I457" s="31" t="s">
        <v>1477</v>
      </c>
      <c r="J457" s="31">
        <v>99</v>
      </c>
      <c r="K457" s="33" t="s">
        <v>942</v>
      </c>
      <c r="L457" s="33" t="s">
        <v>718</v>
      </c>
      <c r="M457" s="34" t="s">
        <v>728</v>
      </c>
      <c r="N457" s="34" t="s">
        <v>1732</v>
      </c>
      <c r="O457" s="35">
        <v>1</v>
      </c>
      <c r="P457" s="35"/>
      <c r="Q457" s="32"/>
      <c r="S457" s="1">
        <f t="shared" si="163"/>
        <v>0</v>
      </c>
      <c r="T457" s="1">
        <f t="shared" si="164"/>
        <v>0</v>
      </c>
      <c r="U457" s="1">
        <f t="shared" si="165"/>
        <v>0</v>
      </c>
      <c r="V457" s="1">
        <f t="shared" si="166"/>
        <v>0</v>
      </c>
      <c r="W457" s="1">
        <f t="shared" si="167"/>
        <v>0</v>
      </c>
      <c r="X457" s="1">
        <f t="shared" si="168"/>
        <v>0</v>
      </c>
      <c r="Y457" s="1">
        <f t="shared" si="169"/>
        <v>0</v>
      </c>
      <c r="Z457" s="1">
        <f t="shared" si="170"/>
        <v>0</v>
      </c>
      <c r="AA457" s="1">
        <f t="shared" si="171"/>
        <v>0</v>
      </c>
      <c r="AB457" s="1">
        <f t="shared" si="172"/>
        <v>0</v>
      </c>
      <c r="AD457" s="1">
        <f t="shared" si="173"/>
        <v>0</v>
      </c>
      <c r="AE457" s="1">
        <f t="shared" si="174"/>
        <v>1</v>
      </c>
      <c r="AF457" s="1">
        <f t="shared" si="175"/>
        <v>0</v>
      </c>
      <c r="AG457" s="1">
        <f t="shared" si="176"/>
        <v>1</v>
      </c>
      <c r="AH457" s="1">
        <f t="shared" si="177"/>
        <v>0</v>
      </c>
      <c r="AI457" s="1">
        <f t="shared" si="178"/>
        <v>1</v>
      </c>
    </row>
    <row r="458" spans="1:35" s="1" customFormat="1" ht="14.25" customHeight="1" x14ac:dyDescent="0.25">
      <c r="A458" s="44">
        <v>0</v>
      </c>
      <c r="B458" s="44">
        <v>2</v>
      </c>
      <c r="C458" s="44">
        <v>7</v>
      </c>
      <c r="D458" s="45" t="s">
        <v>82</v>
      </c>
      <c r="E458" s="45" t="s">
        <v>28</v>
      </c>
      <c r="F458" s="45" t="s">
        <v>273</v>
      </c>
      <c r="G458" s="45" t="s">
        <v>274</v>
      </c>
      <c r="H458" s="45" t="s">
        <v>352</v>
      </c>
      <c r="I458" s="44" t="s">
        <v>427</v>
      </c>
      <c r="J458" s="44">
        <v>7</v>
      </c>
      <c r="K458" s="46" t="s">
        <v>942</v>
      </c>
      <c r="L458" s="46" t="s">
        <v>941</v>
      </c>
      <c r="M458" s="47" t="s">
        <v>955</v>
      </c>
      <c r="N458" s="47" t="s">
        <v>1793</v>
      </c>
      <c r="O458" s="48"/>
      <c r="P458" s="48"/>
      <c r="Q458" s="45"/>
      <c r="S458" s="1">
        <f t="shared" si="163"/>
        <v>0</v>
      </c>
      <c r="T458" s="1">
        <f t="shared" si="164"/>
        <v>0</v>
      </c>
      <c r="U458" s="1">
        <f t="shared" si="165"/>
        <v>0</v>
      </c>
      <c r="V458" s="1">
        <f t="shared" si="166"/>
        <v>0</v>
      </c>
      <c r="W458" s="1">
        <f t="shared" si="167"/>
        <v>0</v>
      </c>
      <c r="X458" s="1">
        <f t="shared" si="168"/>
        <v>0</v>
      </c>
      <c r="Y458" s="1">
        <f t="shared" si="169"/>
        <v>1</v>
      </c>
      <c r="Z458" s="1">
        <f t="shared" si="170"/>
        <v>0</v>
      </c>
      <c r="AA458" s="1">
        <f t="shared" si="171"/>
        <v>0</v>
      </c>
      <c r="AB458" s="1">
        <f t="shared" si="172"/>
        <v>0</v>
      </c>
      <c r="AD458" s="1">
        <f t="shared" si="173"/>
        <v>0</v>
      </c>
      <c r="AE458" s="1">
        <f t="shared" si="174"/>
        <v>0</v>
      </c>
      <c r="AF458" s="1">
        <f t="shared" si="175"/>
        <v>0</v>
      </c>
      <c r="AG458" s="1">
        <f t="shared" si="176"/>
        <v>0</v>
      </c>
      <c r="AH458" s="1">
        <f t="shared" si="177"/>
        <v>0</v>
      </c>
      <c r="AI458" s="1">
        <f t="shared" si="178"/>
        <v>1</v>
      </c>
    </row>
    <row r="459" spans="1:35" s="1" customFormat="1" ht="14.25" customHeight="1" x14ac:dyDescent="0.25">
      <c r="A459" s="44">
        <v>0</v>
      </c>
      <c r="B459" s="44">
        <v>2</v>
      </c>
      <c r="C459" s="44">
        <v>7</v>
      </c>
      <c r="D459" s="45" t="s">
        <v>76</v>
      </c>
      <c r="E459" s="45" t="s">
        <v>28</v>
      </c>
      <c r="F459" s="45" t="s">
        <v>1665</v>
      </c>
      <c r="G459" s="45" t="s">
        <v>189</v>
      </c>
      <c r="H459" s="45" t="s">
        <v>352</v>
      </c>
      <c r="I459" s="44" t="s">
        <v>421</v>
      </c>
      <c r="J459" s="44">
        <v>99</v>
      </c>
      <c r="K459" s="46" t="s">
        <v>941</v>
      </c>
      <c r="L459" s="46" t="s">
        <v>709</v>
      </c>
      <c r="M459" s="47" t="s">
        <v>727</v>
      </c>
      <c r="N459" s="47" t="s">
        <v>1719</v>
      </c>
      <c r="O459" s="48"/>
      <c r="P459" s="48"/>
      <c r="Q459" s="45"/>
      <c r="S459" s="1">
        <f t="shared" si="163"/>
        <v>0</v>
      </c>
      <c r="T459" s="1">
        <f t="shared" si="164"/>
        <v>0</v>
      </c>
      <c r="U459" s="1">
        <f t="shared" si="165"/>
        <v>0</v>
      </c>
      <c r="V459" s="1">
        <f t="shared" si="166"/>
        <v>0</v>
      </c>
      <c r="W459" s="1">
        <f t="shared" si="167"/>
        <v>0</v>
      </c>
      <c r="X459" s="1">
        <f t="shared" si="168"/>
        <v>0</v>
      </c>
      <c r="Y459" s="1">
        <f t="shared" si="169"/>
        <v>0</v>
      </c>
      <c r="Z459" s="1">
        <f t="shared" si="170"/>
        <v>0</v>
      </c>
      <c r="AA459" s="1">
        <f t="shared" si="171"/>
        <v>0</v>
      </c>
      <c r="AB459" s="1">
        <f t="shared" si="172"/>
        <v>0</v>
      </c>
      <c r="AD459" s="1">
        <f t="shared" si="173"/>
        <v>0</v>
      </c>
      <c r="AE459" s="1">
        <f t="shared" si="174"/>
        <v>0</v>
      </c>
      <c r="AF459" s="1">
        <f t="shared" si="175"/>
        <v>0</v>
      </c>
      <c r="AG459" s="1">
        <f t="shared" si="176"/>
        <v>0</v>
      </c>
      <c r="AH459" s="1">
        <f t="shared" si="177"/>
        <v>0</v>
      </c>
      <c r="AI459" s="1">
        <f t="shared" si="178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6" t="s">
        <v>2013</v>
      </c>
      <c r="E460" s="32" t="s">
        <v>2017</v>
      </c>
      <c r="F460" s="36" t="s">
        <v>2014</v>
      </c>
      <c r="G460" s="36" t="s">
        <v>2015</v>
      </c>
      <c r="H460" s="36" t="s">
        <v>352</v>
      </c>
      <c r="I460" s="37" t="s">
        <v>2016</v>
      </c>
      <c r="J460" s="31">
        <v>99</v>
      </c>
      <c r="K460" s="33" t="s">
        <v>699</v>
      </c>
      <c r="L460" s="33">
        <v>20</v>
      </c>
      <c r="M460" s="34" t="s">
        <v>2019</v>
      </c>
      <c r="N460" s="34" t="s">
        <v>1732</v>
      </c>
      <c r="O460" s="35">
        <v>1</v>
      </c>
      <c r="P460" s="35"/>
      <c r="Q460" s="36" t="s">
        <v>2018</v>
      </c>
      <c r="S460" s="1">
        <f t="shared" si="163"/>
        <v>0</v>
      </c>
      <c r="T460" s="1">
        <f t="shared" si="164"/>
        <v>0</v>
      </c>
      <c r="U460" s="1">
        <f t="shared" si="165"/>
        <v>0</v>
      </c>
      <c r="V460" s="1">
        <f t="shared" si="166"/>
        <v>0</v>
      </c>
      <c r="W460" s="1">
        <f t="shared" si="167"/>
        <v>0</v>
      </c>
      <c r="X460" s="1">
        <f t="shared" si="168"/>
        <v>0</v>
      </c>
      <c r="Y460" s="1">
        <f t="shared" si="169"/>
        <v>0</v>
      </c>
      <c r="Z460" s="1">
        <f t="shared" si="170"/>
        <v>0</v>
      </c>
      <c r="AA460" s="1">
        <f t="shared" si="171"/>
        <v>0</v>
      </c>
      <c r="AB460" s="1">
        <f t="shared" si="172"/>
        <v>0</v>
      </c>
      <c r="AD460" s="1">
        <f t="shared" si="173"/>
        <v>0</v>
      </c>
      <c r="AE460" s="1">
        <f t="shared" si="174"/>
        <v>1</v>
      </c>
      <c r="AF460" s="1">
        <f t="shared" si="175"/>
        <v>0</v>
      </c>
      <c r="AG460" s="1">
        <f t="shared" si="176"/>
        <v>1</v>
      </c>
      <c r="AH460" s="1">
        <f t="shared" si="177"/>
        <v>0</v>
      </c>
      <c r="AI460" s="1">
        <f t="shared" si="178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1624</v>
      </c>
      <c r="E461" s="32" t="s">
        <v>162</v>
      </c>
      <c r="F461" s="32" t="s">
        <v>243</v>
      </c>
      <c r="G461" s="32" t="s">
        <v>217</v>
      </c>
      <c r="H461" s="32" t="s">
        <v>352</v>
      </c>
      <c r="I461" s="31" t="s">
        <v>406</v>
      </c>
      <c r="J461" s="31">
        <v>99</v>
      </c>
      <c r="K461" s="33" t="s">
        <v>709</v>
      </c>
      <c r="L461" s="33" t="s">
        <v>718</v>
      </c>
      <c r="M461" s="34" t="s">
        <v>728</v>
      </c>
      <c r="N461" s="34" t="s">
        <v>1711</v>
      </c>
      <c r="O461" s="35">
        <v>1</v>
      </c>
      <c r="P461" s="35">
        <v>1</v>
      </c>
      <c r="Q461" s="32"/>
      <c r="S461" s="1">
        <f t="shared" si="163"/>
        <v>0</v>
      </c>
      <c r="T461" s="1">
        <f t="shared" si="164"/>
        <v>0</v>
      </c>
      <c r="U461" s="1">
        <f t="shared" si="165"/>
        <v>0</v>
      </c>
      <c r="V461" s="1">
        <f t="shared" si="166"/>
        <v>0</v>
      </c>
      <c r="W461" s="1">
        <f t="shared" si="167"/>
        <v>0</v>
      </c>
      <c r="X461" s="1">
        <f t="shared" si="168"/>
        <v>0</v>
      </c>
      <c r="Y461" s="1">
        <f t="shared" si="169"/>
        <v>0</v>
      </c>
      <c r="Z461" s="1">
        <f t="shared" si="170"/>
        <v>0</v>
      </c>
      <c r="AA461" s="1">
        <f t="shared" si="171"/>
        <v>0</v>
      </c>
      <c r="AB461" s="1">
        <f t="shared" si="172"/>
        <v>0</v>
      </c>
      <c r="AD461" s="1">
        <f t="shared" si="173"/>
        <v>1</v>
      </c>
      <c r="AE461" s="1">
        <f t="shared" si="174"/>
        <v>0</v>
      </c>
      <c r="AF461" s="1">
        <f t="shared" si="175"/>
        <v>1</v>
      </c>
      <c r="AG461" s="1">
        <f t="shared" si="176"/>
        <v>0</v>
      </c>
      <c r="AH461" s="1">
        <f t="shared" si="177"/>
        <v>1</v>
      </c>
      <c r="AI461" s="1">
        <f t="shared" si="178"/>
        <v>0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1522</v>
      </c>
      <c r="E462" s="32" t="s">
        <v>155</v>
      </c>
      <c r="F462" s="32" t="s">
        <v>1523</v>
      </c>
      <c r="G462" s="32" t="s">
        <v>39</v>
      </c>
      <c r="H462" s="32" t="s">
        <v>352</v>
      </c>
      <c r="I462" s="31" t="s">
        <v>1524</v>
      </c>
      <c r="J462" s="31">
        <v>99</v>
      </c>
      <c r="K462" s="33" t="s">
        <v>709</v>
      </c>
      <c r="L462" s="33" t="s">
        <v>718</v>
      </c>
      <c r="M462" s="34" t="s">
        <v>728</v>
      </c>
      <c r="N462" s="34" t="s">
        <v>1732</v>
      </c>
      <c r="O462" s="35">
        <v>1</v>
      </c>
      <c r="P462" s="35"/>
      <c r="Q462" s="32"/>
      <c r="S462" s="1">
        <f t="shared" si="163"/>
        <v>0</v>
      </c>
      <c r="T462" s="1">
        <f t="shared" si="164"/>
        <v>0</v>
      </c>
      <c r="U462" s="1">
        <f t="shared" si="165"/>
        <v>0</v>
      </c>
      <c r="V462" s="1">
        <f t="shared" si="166"/>
        <v>0</v>
      </c>
      <c r="W462" s="1">
        <f t="shared" si="167"/>
        <v>0</v>
      </c>
      <c r="X462" s="1">
        <f t="shared" si="168"/>
        <v>0</v>
      </c>
      <c r="Y462" s="1">
        <f t="shared" si="169"/>
        <v>0</v>
      </c>
      <c r="Z462" s="1">
        <f t="shared" si="170"/>
        <v>0</v>
      </c>
      <c r="AA462" s="1">
        <f t="shared" si="171"/>
        <v>0</v>
      </c>
      <c r="AB462" s="1">
        <f t="shared" si="172"/>
        <v>0</v>
      </c>
      <c r="AD462" s="1">
        <f t="shared" si="173"/>
        <v>0</v>
      </c>
      <c r="AE462" s="1">
        <f t="shared" si="174"/>
        <v>1</v>
      </c>
      <c r="AF462" s="1">
        <f t="shared" si="175"/>
        <v>0</v>
      </c>
      <c r="AG462" s="1">
        <f t="shared" si="176"/>
        <v>1</v>
      </c>
      <c r="AH462" s="1">
        <f t="shared" si="177"/>
        <v>0</v>
      </c>
      <c r="AI462" s="1">
        <f t="shared" si="178"/>
        <v>1</v>
      </c>
    </row>
    <row r="463" spans="1:35" s="1" customFormat="1" ht="14.25" customHeight="1" x14ac:dyDescent="0.25">
      <c r="A463" s="44">
        <v>0</v>
      </c>
      <c r="B463" s="44">
        <v>2</v>
      </c>
      <c r="C463" s="44">
        <v>7</v>
      </c>
      <c r="D463" s="45" t="s">
        <v>1246</v>
      </c>
      <c r="E463" s="45" t="s">
        <v>1508</v>
      </c>
      <c r="F463" s="45" t="s">
        <v>1339</v>
      </c>
      <c r="G463" s="45" t="s">
        <v>185</v>
      </c>
      <c r="H463" s="45" t="s">
        <v>352</v>
      </c>
      <c r="I463" s="44" t="s">
        <v>1352</v>
      </c>
      <c r="J463" s="44">
        <v>1</v>
      </c>
      <c r="K463" s="46" t="s">
        <v>709</v>
      </c>
      <c r="L463" s="46" t="s">
        <v>712</v>
      </c>
      <c r="M463" s="47" t="s">
        <v>1422</v>
      </c>
      <c r="N463" s="47" t="s">
        <v>1719</v>
      </c>
      <c r="O463" s="48"/>
      <c r="P463" s="48"/>
      <c r="Q463" s="45"/>
      <c r="S463" s="1">
        <f t="shared" si="163"/>
        <v>1</v>
      </c>
      <c r="T463" s="1">
        <f t="shared" si="164"/>
        <v>0</v>
      </c>
      <c r="U463" s="1">
        <f t="shared" si="165"/>
        <v>0</v>
      </c>
      <c r="V463" s="1">
        <f t="shared" si="166"/>
        <v>0</v>
      </c>
      <c r="W463" s="1">
        <f t="shared" si="167"/>
        <v>0</v>
      </c>
      <c r="X463" s="1">
        <f t="shared" si="168"/>
        <v>0</v>
      </c>
      <c r="Y463" s="1">
        <f t="shared" si="169"/>
        <v>0</v>
      </c>
      <c r="Z463" s="1">
        <f t="shared" si="170"/>
        <v>0</v>
      </c>
      <c r="AA463" s="1">
        <f t="shared" si="171"/>
        <v>0</v>
      </c>
      <c r="AB463" s="1">
        <f t="shared" si="172"/>
        <v>0</v>
      </c>
      <c r="AD463" s="1">
        <f t="shared" si="173"/>
        <v>0</v>
      </c>
      <c r="AE463" s="1">
        <f t="shared" si="174"/>
        <v>0</v>
      </c>
      <c r="AF463" s="1">
        <f t="shared" si="175"/>
        <v>0</v>
      </c>
      <c r="AG463" s="1">
        <f t="shared" si="176"/>
        <v>0</v>
      </c>
      <c r="AH463" s="1">
        <f t="shared" si="177"/>
        <v>0</v>
      </c>
      <c r="AI463" s="1">
        <f t="shared" si="178"/>
        <v>1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961</v>
      </c>
      <c r="G464" s="32" t="s">
        <v>1088</v>
      </c>
      <c r="H464" s="32" t="s">
        <v>352</v>
      </c>
      <c r="I464" s="31" t="s">
        <v>1095</v>
      </c>
      <c r="J464" s="31">
        <v>99</v>
      </c>
      <c r="K464" s="33" t="s">
        <v>709</v>
      </c>
      <c r="L464" s="33" t="s">
        <v>709</v>
      </c>
      <c r="M464" s="34" t="s">
        <v>727</v>
      </c>
      <c r="N464" s="34" t="s">
        <v>1727</v>
      </c>
      <c r="O464" s="35">
        <v>1</v>
      </c>
      <c r="P464" s="35"/>
      <c r="Q464" s="32"/>
      <c r="S464" s="1">
        <f t="shared" si="163"/>
        <v>0</v>
      </c>
      <c r="T464" s="1">
        <f t="shared" si="164"/>
        <v>0</v>
      </c>
      <c r="U464" s="1">
        <f t="shared" si="165"/>
        <v>0</v>
      </c>
      <c r="V464" s="1">
        <f t="shared" si="166"/>
        <v>0</v>
      </c>
      <c r="W464" s="1">
        <f t="shared" si="167"/>
        <v>0</v>
      </c>
      <c r="X464" s="1">
        <f t="shared" si="168"/>
        <v>0</v>
      </c>
      <c r="Y464" s="1">
        <f t="shared" si="169"/>
        <v>0</v>
      </c>
      <c r="Z464" s="1">
        <f t="shared" si="170"/>
        <v>0</v>
      </c>
      <c r="AA464" s="1">
        <f t="shared" si="171"/>
        <v>0</v>
      </c>
      <c r="AB464" s="1">
        <f t="shared" si="172"/>
        <v>0</v>
      </c>
      <c r="AD464" s="1">
        <f t="shared" si="173"/>
        <v>0</v>
      </c>
      <c r="AE464" s="1">
        <f t="shared" si="174"/>
        <v>1</v>
      </c>
      <c r="AF464" s="1">
        <f t="shared" si="175"/>
        <v>0</v>
      </c>
      <c r="AG464" s="1">
        <f t="shared" si="176"/>
        <v>1</v>
      </c>
      <c r="AH464" s="1">
        <f t="shared" si="177"/>
        <v>0</v>
      </c>
      <c r="AI464" s="1">
        <f t="shared" si="178"/>
        <v>1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244</v>
      </c>
      <c r="G465" s="32" t="s">
        <v>223</v>
      </c>
      <c r="H465" s="32" t="s">
        <v>352</v>
      </c>
      <c r="I465" s="31" t="s">
        <v>407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1727</v>
      </c>
      <c r="O465" s="35">
        <v>1</v>
      </c>
      <c r="P465" s="35"/>
      <c r="Q465" s="32"/>
      <c r="S465" s="1">
        <f t="shared" si="163"/>
        <v>0</v>
      </c>
      <c r="T465" s="1">
        <f t="shared" si="164"/>
        <v>0</v>
      </c>
      <c r="U465" s="1">
        <f t="shared" si="165"/>
        <v>0</v>
      </c>
      <c r="V465" s="1">
        <f t="shared" si="166"/>
        <v>0</v>
      </c>
      <c r="W465" s="1">
        <f t="shared" si="167"/>
        <v>0</v>
      </c>
      <c r="X465" s="1">
        <f t="shared" si="168"/>
        <v>0</v>
      </c>
      <c r="Y465" s="1">
        <f t="shared" si="169"/>
        <v>0</v>
      </c>
      <c r="Z465" s="1">
        <f t="shared" si="170"/>
        <v>0</v>
      </c>
      <c r="AA465" s="1">
        <f t="shared" si="171"/>
        <v>0</v>
      </c>
      <c r="AB465" s="1">
        <f t="shared" si="172"/>
        <v>0</v>
      </c>
      <c r="AD465" s="1">
        <f t="shared" si="173"/>
        <v>0</v>
      </c>
      <c r="AE465" s="1">
        <f t="shared" si="174"/>
        <v>1</v>
      </c>
      <c r="AF465" s="1">
        <f t="shared" ref="AF465:AF499" si="179">+O465*P465*(1-A465)</f>
        <v>0</v>
      </c>
      <c r="AG465" s="1">
        <f t="shared" ref="AG465:AG499" si="180">O465*(1-P465)*(1-A465)</f>
        <v>0</v>
      </c>
      <c r="AH465" s="1">
        <f t="shared" ref="AH465:AH499" si="181">+P465*(1-A465)</f>
        <v>0</v>
      </c>
      <c r="AI465" s="1">
        <f t="shared" ref="AI465:AI499" si="182">+(1-A465)*(1-P465)</f>
        <v>0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245</v>
      </c>
      <c r="G466" s="32" t="s">
        <v>219</v>
      </c>
      <c r="H466" s="32" t="s">
        <v>352</v>
      </c>
      <c r="I466" s="31" t="s">
        <v>408</v>
      </c>
      <c r="J466" s="31">
        <v>8</v>
      </c>
      <c r="K466" s="33" t="s">
        <v>709</v>
      </c>
      <c r="L466" s="33" t="s">
        <v>709</v>
      </c>
      <c r="M466" s="34" t="s">
        <v>727</v>
      </c>
      <c r="N466" s="34" t="s">
        <v>1727</v>
      </c>
      <c r="O466" s="35">
        <v>1</v>
      </c>
      <c r="P466" s="35"/>
      <c r="Q466" s="32" t="s">
        <v>1996</v>
      </c>
      <c r="S466" s="1">
        <f t="shared" si="163"/>
        <v>0</v>
      </c>
      <c r="T466" s="1">
        <f t="shared" si="164"/>
        <v>0</v>
      </c>
      <c r="U466" s="1">
        <f t="shared" si="165"/>
        <v>0</v>
      </c>
      <c r="V466" s="1">
        <f t="shared" si="166"/>
        <v>0</v>
      </c>
      <c r="W466" s="1">
        <f t="shared" si="167"/>
        <v>0</v>
      </c>
      <c r="X466" s="1">
        <f t="shared" si="168"/>
        <v>0</v>
      </c>
      <c r="Y466" s="1">
        <f t="shared" si="169"/>
        <v>0</v>
      </c>
      <c r="Z466" s="1">
        <f t="shared" si="170"/>
        <v>1</v>
      </c>
      <c r="AA466" s="1">
        <f t="shared" si="171"/>
        <v>0</v>
      </c>
      <c r="AB466" s="1">
        <f t="shared" si="172"/>
        <v>0</v>
      </c>
      <c r="AD466" s="1">
        <f t="shared" si="173"/>
        <v>0</v>
      </c>
      <c r="AE466" s="1">
        <f t="shared" si="174"/>
        <v>1</v>
      </c>
      <c r="AF466" s="1">
        <f t="shared" si="179"/>
        <v>0</v>
      </c>
      <c r="AG466" s="1">
        <f t="shared" si="180"/>
        <v>0</v>
      </c>
      <c r="AH466" s="1">
        <f t="shared" si="181"/>
        <v>0</v>
      </c>
      <c r="AI466" s="1">
        <f t="shared" si="182"/>
        <v>0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1021</v>
      </c>
      <c r="G467" s="32" t="s">
        <v>39</v>
      </c>
      <c r="H467" s="32" t="s">
        <v>352</v>
      </c>
      <c r="I467" s="31" t="s">
        <v>1022</v>
      </c>
      <c r="J467" s="31">
        <v>1</v>
      </c>
      <c r="K467" s="33" t="s">
        <v>709</v>
      </c>
      <c r="L467" s="33" t="s">
        <v>709</v>
      </c>
      <c r="M467" s="34" t="s">
        <v>727</v>
      </c>
      <c r="N467" s="34" t="s">
        <v>1727</v>
      </c>
      <c r="O467" s="35">
        <v>1</v>
      </c>
      <c r="P467" s="35"/>
      <c r="Q467" s="32"/>
      <c r="S467" s="1">
        <f t="shared" si="163"/>
        <v>1</v>
      </c>
      <c r="T467" s="1">
        <f t="shared" si="164"/>
        <v>0</v>
      </c>
      <c r="U467" s="1">
        <f t="shared" si="165"/>
        <v>0</v>
      </c>
      <c r="V467" s="1">
        <f t="shared" si="166"/>
        <v>0</v>
      </c>
      <c r="W467" s="1">
        <f t="shared" si="167"/>
        <v>0</v>
      </c>
      <c r="X467" s="1">
        <f t="shared" si="168"/>
        <v>0</v>
      </c>
      <c r="Y467" s="1">
        <f t="shared" si="169"/>
        <v>0</v>
      </c>
      <c r="Z467" s="1">
        <f t="shared" si="170"/>
        <v>0</v>
      </c>
      <c r="AA467" s="1">
        <f t="shared" si="171"/>
        <v>0</v>
      </c>
      <c r="AB467" s="1">
        <f t="shared" si="172"/>
        <v>0</v>
      </c>
      <c r="AD467" s="1">
        <f t="shared" si="173"/>
        <v>0</v>
      </c>
      <c r="AE467" s="1">
        <f t="shared" si="174"/>
        <v>1</v>
      </c>
      <c r="AF467" s="1">
        <f t="shared" si="179"/>
        <v>0</v>
      </c>
      <c r="AG467" s="1">
        <f t="shared" si="180"/>
        <v>0</v>
      </c>
      <c r="AH467" s="1">
        <f t="shared" si="181"/>
        <v>0</v>
      </c>
      <c r="AI467" s="1">
        <f t="shared" si="182"/>
        <v>0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1023</v>
      </c>
      <c r="G468" s="32" t="s">
        <v>300</v>
      </c>
      <c r="H468" s="32" t="s">
        <v>352</v>
      </c>
      <c r="I468" s="31" t="s">
        <v>1024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1727</v>
      </c>
      <c r="O468" s="35">
        <v>1</v>
      </c>
      <c r="P468" s="35"/>
      <c r="Q468" s="32"/>
      <c r="S468" s="1">
        <f t="shared" si="163"/>
        <v>1</v>
      </c>
      <c r="T468" s="1">
        <f t="shared" si="164"/>
        <v>0</v>
      </c>
      <c r="U468" s="1">
        <f t="shared" si="165"/>
        <v>0</v>
      </c>
      <c r="V468" s="1">
        <f t="shared" si="166"/>
        <v>0</v>
      </c>
      <c r="W468" s="1">
        <f t="shared" si="167"/>
        <v>0</v>
      </c>
      <c r="X468" s="1">
        <f t="shared" si="168"/>
        <v>0</v>
      </c>
      <c r="Y468" s="1">
        <f t="shared" si="169"/>
        <v>0</v>
      </c>
      <c r="Z468" s="1">
        <f t="shared" si="170"/>
        <v>0</v>
      </c>
      <c r="AA468" s="1">
        <f t="shared" si="171"/>
        <v>0</v>
      </c>
      <c r="AB468" s="1">
        <f t="shared" si="172"/>
        <v>0</v>
      </c>
      <c r="AD468" s="1">
        <f t="shared" si="173"/>
        <v>0</v>
      </c>
      <c r="AE468" s="1">
        <f t="shared" si="174"/>
        <v>1</v>
      </c>
      <c r="AF468" s="1">
        <f t="shared" si="179"/>
        <v>0</v>
      </c>
      <c r="AG468" s="1">
        <f t="shared" si="180"/>
        <v>0</v>
      </c>
      <c r="AH468" s="1">
        <f t="shared" si="181"/>
        <v>0</v>
      </c>
      <c r="AI468" s="1">
        <f t="shared" si="182"/>
        <v>0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1557</v>
      </c>
      <c r="E469" s="32" t="s">
        <v>155</v>
      </c>
      <c r="F469" s="32" t="s">
        <v>1558</v>
      </c>
      <c r="G469" s="32" t="s">
        <v>206</v>
      </c>
      <c r="H469" s="32" t="s">
        <v>352</v>
      </c>
      <c r="I469" s="31" t="s">
        <v>1559</v>
      </c>
      <c r="J469" s="31">
        <v>99</v>
      </c>
      <c r="K469" s="33" t="s">
        <v>708</v>
      </c>
      <c r="L469" s="33" t="s">
        <v>718</v>
      </c>
      <c r="M469" s="34" t="s">
        <v>728</v>
      </c>
      <c r="N469" s="34" t="s">
        <v>1930</v>
      </c>
      <c r="O469" s="35">
        <v>1</v>
      </c>
      <c r="P469" s="35"/>
      <c r="Q469" s="32"/>
      <c r="S469" s="1">
        <f t="shared" ref="S469:S499" si="183">IF(J469=$S$7,1,0)</f>
        <v>0</v>
      </c>
      <c r="T469" s="1">
        <f t="shared" ref="T469:T499" si="184">IF(J469=$T$7,1,0)</f>
        <v>0</v>
      </c>
      <c r="U469" s="1">
        <f t="shared" ref="U469:U499" si="185">IF(J469=$U$7,1,0)</f>
        <v>0</v>
      </c>
      <c r="V469" s="1">
        <f t="shared" ref="V469:V499" si="186">IF(J469=$V$7,1,0)</f>
        <v>0</v>
      </c>
      <c r="W469" s="1">
        <f t="shared" ref="W469:W499" si="187">IF(J469=$W$7,1,0)</f>
        <v>0</v>
      </c>
      <c r="X469" s="1">
        <f t="shared" ref="X469:X499" si="188">IF(J469=$X$7,1,0)</f>
        <v>0</v>
      </c>
      <c r="Y469" s="1">
        <f t="shared" ref="Y469:Y499" si="189">IF(J469=$Y$7,1,0)</f>
        <v>0</v>
      </c>
      <c r="Z469" s="1">
        <f t="shared" ref="Z469:Z499" si="190">IF(J469=$Z$7,1,0)</f>
        <v>0</v>
      </c>
      <c r="AA469" s="1">
        <f t="shared" ref="AA469:AA499" si="191">IF(J469=$AA$7,1,0)</f>
        <v>0</v>
      </c>
      <c r="AB469" s="1">
        <f t="shared" ref="AB469:AB499" si="192">IF(J469=$AB$7,1,0)</f>
        <v>0</v>
      </c>
      <c r="AD469" s="1">
        <f t="shared" ref="AD469:AD499" si="193">+O469*P469</f>
        <v>0</v>
      </c>
      <c r="AE469" s="1">
        <f t="shared" ref="AE469:AE499" si="194">O469*(1-P469)</f>
        <v>1</v>
      </c>
      <c r="AF469" s="1">
        <f t="shared" si="179"/>
        <v>0</v>
      </c>
      <c r="AG469" s="1">
        <f t="shared" si="180"/>
        <v>1</v>
      </c>
      <c r="AH469" s="1">
        <f t="shared" si="181"/>
        <v>0</v>
      </c>
      <c r="AI469" s="1">
        <f t="shared" si="182"/>
        <v>1</v>
      </c>
    </row>
    <row r="470" spans="1:35" s="1" customFormat="1" ht="14.25" customHeight="1" x14ac:dyDescent="0.25">
      <c r="A470" s="44">
        <v>0</v>
      </c>
      <c r="B470" s="44">
        <v>2</v>
      </c>
      <c r="C470" s="44">
        <v>7</v>
      </c>
      <c r="D470" s="45" t="s">
        <v>73</v>
      </c>
      <c r="E470" s="45" t="s">
        <v>28</v>
      </c>
      <c r="F470" s="45" t="s">
        <v>263</v>
      </c>
      <c r="G470" s="45" t="s">
        <v>193</v>
      </c>
      <c r="H470" s="45" t="s">
        <v>352</v>
      </c>
      <c r="I470" s="44" t="s">
        <v>419</v>
      </c>
      <c r="J470" s="44">
        <v>9</v>
      </c>
      <c r="K470" s="46" t="s">
        <v>708</v>
      </c>
      <c r="L470" s="46" t="s">
        <v>709</v>
      </c>
      <c r="M470" s="47" t="s">
        <v>727</v>
      </c>
      <c r="N470" s="47" t="s">
        <v>1719</v>
      </c>
      <c r="O470" s="48"/>
      <c r="P470" s="48"/>
      <c r="Q470" s="45"/>
      <c r="S470" s="1">
        <f t="shared" si="183"/>
        <v>0</v>
      </c>
      <c r="T470" s="1">
        <f t="shared" si="184"/>
        <v>0</v>
      </c>
      <c r="U470" s="1">
        <f t="shared" si="185"/>
        <v>0</v>
      </c>
      <c r="V470" s="1">
        <f t="shared" si="186"/>
        <v>0</v>
      </c>
      <c r="W470" s="1">
        <f t="shared" si="187"/>
        <v>0</v>
      </c>
      <c r="X470" s="1">
        <f t="shared" si="188"/>
        <v>0</v>
      </c>
      <c r="Y470" s="1">
        <f t="shared" si="189"/>
        <v>0</v>
      </c>
      <c r="Z470" s="1">
        <f t="shared" si="190"/>
        <v>0</v>
      </c>
      <c r="AA470" s="1">
        <f t="shared" si="191"/>
        <v>1</v>
      </c>
      <c r="AB470" s="1">
        <f t="shared" si="192"/>
        <v>0</v>
      </c>
      <c r="AD470" s="1">
        <f t="shared" si="193"/>
        <v>0</v>
      </c>
      <c r="AE470" s="1">
        <f t="shared" si="194"/>
        <v>0</v>
      </c>
      <c r="AF470" s="1">
        <f t="shared" si="179"/>
        <v>0</v>
      </c>
      <c r="AG470" s="1">
        <f t="shared" si="180"/>
        <v>0</v>
      </c>
      <c r="AH470" s="1">
        <f t="shared" si="181"/>
        <v>0</v>
      </c>
      <c r="AI470" s="1">
        <f t="shared" si="182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59</v>
      </c>
      <c r="E471" s="32" t="s">
        <v>162</v>
      </c>
      <c r="F471" s="32" t="s">
        <v>224</v>
      </c>
      <c r="G471" s="32" t="s">
        <v>225</v>
      </c>
      <c r="H471" s="32" t="s">
        <v>352</v>
      </c>
      <c r="I471" s="31" t="s">
        <v>396</v>
      </c>
      <c r="J471" s="31">
        <v>99</v>
      </c>
      <c r="K471" s="33" t="s">
        <v>709</v>
      </c>
      <c r="L471" s="33" t="s">
        <v>718</v>
      </c>
      <c r="M471" s="34" t="s">
        <v>728</v>
      </c>
      <c r="N471" s="34" t="s">
        <v>1734</v>
      </c>
      <c r="O471" s="35">
        <v>1</v>
      </c>
      <c r="P471" s="35"/>
      <c r="Q471" s="32"/>
      <c r="S471" s="1">
        <f t="shared" si="183"/>
        <v>0</v>
      </c>
      <c r="T471" s="1">
        <f t="shared" si="184"/>
        <v>0</v>
      </c>
      <c r="U471" s="1">
        <f t="shared" si="185"/>
        <v>0</v>
      </c>
      <c r="V471" s="1">
        <f t="shared" si="186"/>
        <v>0</v>
      </c>
      <c r="W471" s="1">
        <f t="shared" si="187"/>
        <v>0</v>
      </c>
      <c r="X471" s="1">
        <f t="shared" si="188"/>
        <v>0</v>
      </c>
      <c r="Y471" s="1">
        <f t="shared" si="189"/>
        <v>0</v>
      </c>
      <c r="Z471" s="1">
        <f t="shared" si="190"/>
        <v>0</v>
      </c>
      <c r="AA471" s="1">
        <f t="shared" si="191"/>
        <v>0</v>
      </c>
      <c r="AB471" s="1">
        <f t="shared" si="192"/>
        <v>0</v>
      </c>
      <c r="AD471" s="1">
        <f t="shared" si="193"/>
        <v>0</v>
      </c>
      <c r="AE471" s="1">
        <f t="shared" si="194"/>
        <v>1</v>
      </c>
      <c r="AF471" s="1">
        <f t="shared" si="179"/>
        <v>0</v>
      </c>
      <c r="AG471" s="1">
        <f t="shared" si="180"/>
        <v>1</v>
      </c>
      <c r="AH471" s="1">
        <f t="shared" si="181"/>
        <v>0</v>
      </c>
      <c r="AI471" s="1">
        <f t="shared" si="182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1062</v>
      </c>
      <c r="E472" s="32" t="s">
        <v>155</v>
      </c>
      <c r="F472" s="32" t="s">
        <v>1063</v>
      </c>
      <c r="G472" s="32" t="s">
        <v>219</v>
      </c>
      <c r="H472" s="32" t="s">
        <v>352</v>
      </c>
      <c r="I472" s="31" t="s">
        <v>1064</v>
      </c>
      <c r="J472" s="31">
        <v>8</v>
      </c>
      <c r="K472" s="33" t="s">
        <v>708</v>
      </c>
      <c r="L472" s="33" t="s">
        <v>718</v>
      </c>
      <c r="M472" s="34" t="s">
        <v>728</v>
      </c>
      <c r="N472" s="34" t="s">
        <v>1732</v>
      </c>
      <c r="O472" s="35">
        <v>1</v>
      </c>
      <c r="P472" s="35"/>
      <c r="Q472" s="32"/>
      <c r="S472" s="1">
        <f t="shared" si="183"/>
        <v>0</v>
      </c>
      <c r="T472" s="1">
        <f t="shared" si="184"/>
        <v>0</v>
      </c>
      <c r="U472" s="1">
        <f t="shared" si="185"/>
        <v>0</v>
      </c>
      <c r="V472" s="1">
        <f t="shared" si="186"/>
        <v>0</v>
      </c>
      <c r="W472" s="1">
        <f t="shared" si="187"/>
        <v>0</v>
      </c>
      <c r="X472" s="1">
        <f t="shared" si="188"/>
        <v>0</v>
      </c>
      <c r="Y472" s="1">
        <f t="shared" si="189"/>
        <v>0</v>
      </c>
      <c r="Z472" s="1">
        <f t="shared" si="190"/>
        <v>1</v>
      </c>
      <c r="AA472" s="1">
        <f t="shared" si="191"/>
        <v>0</v>
      </c>
      <c r="AB472" s="1">
        <f t="shared" si="192"/>
        <v>0</v>
      </c>
      <c r="AD472" s="1">
        <f t="shared" si="193"/>
        <v>0</v>
      </c>
      <c r="AE472" s="1">
        <f t="shared" si="194"/>
        <v>1</v>
      </c>
      <c r="AF472" s="1">
        <f t="shared" si="179"/>
        <v>0</v>
      </c>
      <c r="AG472" s="1">
        <f t="shared" si="180"/>
        <v>1</v>
      </c>
      <c r="AH472" s="1">
        <f t="shared" si="181"/>
        <v>0</v>
      </c>
      <c r="AI472" s="1">
        <f t="shared" si="182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81</v>
      </c>
      <c r="E473" s="32" t="s">
        <v>155</v>
      </c>
      <c r="F473" s="32" t="s">
        <v>272</v>
      </c>
      <c r="G473" s="32" t="s">
        <v>253</v>
      </c>
      <c r="H473" s="32" t="s">
        <v>352</v>
      </c>
      <c r="I473" s="31" t="s">
        <v>426</v>
      </c>
      <c r="J473" s="31">
        <v>99</v>
      </c>
      <c r="K473" s="33" t="s">
        <v>709</v>
      </c>
      <c r="L473" s="33" t="s">
        <v>729</v>
      </c>
      <c r="M473" s="34" t="s">
        <v>730</v>
      </c>
      <c r="N473" s="34" t="s">
        <v>1740</v>
      </c>
      <c r="O473" s="35">
        <v>1</v>
      </c>
      <c r="P473" s="35"/>
      <c r="Q473" s="32"/>
      <c r="S473" s="1">
        <f t="shared" si="183"/>
        <v>0</v>
      </c>
      <c r="T473" s="1">
        <f t="shared" si="184"/>
        <v>0</v>
      </c>
      <c r="U473" s="1">
        <f t="shared" si="185"/>
        <v>0</v>
      </c>
      <c r="V473" s="1">
        <f t="shared" si="186"/>
        <v>0</v>
      </c>
      <c r="W473" s="1">
        <f t="shared" si="187"/>
        <v>0</v>
      </c>
      <c r="X473" s="1">
        <f t="shared" si="188"/>
        <v>0</v>
      </c>
      <c r="Y473" s="1">
        <f t="shared" si="189"/>
        <v>0</v>
      </c>
      <c r="Z473" s="1">
        <f t="shared" si="190"/>
        <v>0</v>
      </c>
      <c r="AA473" s="1">
        <f t="shared" si="191"/>
        <v>0</v>
      </c>
      <c r="AB473" s="1">
        <f t="shared" si="192"/>
        <v>0</v>
      </c>
      <c r="AD473" s="1">
        <f t="shared" si="193"/>
        <v>0</v>
      </c>
      <c r="AE473" s="1">
        <f t="shared" si="194"/>
        <v>1</v>
      </c>
      <c r="AF473" s="1">
        <f t="shared" si="179"/>
        <v>0</v>
      </c>
      <c r="AG473" s="1">
        <f t="shared" si="180"/>
        <v>1</v>
      </c>
      <c r="AH473" s="1">
        <f t="shared" si="181"/>
        <v>0</v>
      </c>
      <c r="AI473" s="1">
        <f t="shared" si="182"/>
        <v>1</v>
      </c>
    </row>
    <row r="474" spans="1:35" s="1" customFormat="1" ht="14.25" customHeight="1" x14ac:dyDescent="0.25">
      <c r="A474" s="37">
        <v>0</v>
      </c>
      <c r="B474" s="37">
        <v>2</v>
      </c>
      <c r="C474" s="37">
        <v>7</v>
      </c>
      <c r="D474" s="36" t="s">
        <v>1759</v>
      </c>
      <c r="E474" s="36" t="s">
        <v>1760</v>
      </c>
      <c r="F474" s="36" t="s">
        <v>1761</v>
      </c>
      <c r="G474" s="36" t="s">
        <v>189</v>
      </c>
      <c r="H474" s="36" t="s">
        <v>352</v>
      </c>
      <c r="I474" s="37"/>
      <c r="J474" s="37"/>
      <c r="K474" s="33" t="s">
        <v>699</v>
      </c>
      <c r="L474" s="33"/>
      <c r="M474" s="34"/>
      <c r="N474" s="34" t="s">
        <v>1711</v>
      </c>
      <c r="O474" s="35">
        <v>1</v>
      </c>
      <c r="P474" s="35">
        <v>1</v>
      </c>
      <c r="Q474" s="36"/>
      <c r="S474" s="1">
        <f t="shared" si="183"/>
        <v>0</v>
      </c>
      <c r="T474" s="1">
        <f t="shared" si="184"/>
        <v>0</v>
      </c>
      <c r="U474" s="1">
        <f t="shared" si="185"/>
        <v>0</v>
      </c>
      <c r="V474" s="1">
        <f t="shared" si="186"/>
        <v>0</v>
      </c>
      <c r="W474" s="1">
        <f t="shared" si="187"/>
        <v>0</v>
      </c>
      <c r="X474" s="1">
        <f t="shared" si="188"/>
        <v>0</v>
      </c>
      <c r="Y474" s="1">
        <f t="shared" si="189"/>
        <v>0</v>
      </c>
      <c r="Z474" s="1">
        <f t="shared" si="190"/>
        <v>0</v>
      </c>
      <c r="AA474" s="1">
        <f t="shared" si="191"/>
        <v>0</v>
      </c>
      <c r="AB474" s="1">
        <f t="shared" si="192"/>
        <v>0</v>
      </c>
      <c r="AD474" s="1">
        <f t="shared" si="193"/>
        <v>1</v>
      </c>
      <c r="AE474" s="1">
        <f t="shared" si="194"/>
        <v>0</v>
      </c>
      <c r="AF474" s="1">
        <f t="shared" si="179"/>
        <v>1</v>
      </c>
      <c r="AG474" s="1">
        <f t="shared" si="180"/>
        <v>0</v>
      </c>
      <c r="AH474" s="1">
        <f t="shared" si="181"/>
        <v>1</v>
      </c>
      <c r="AI474" s="1">
        <f t="shared" si="182"/>
        <v>0</v>
      </c>
    </row>
    <row r="475" spans="1:35" s="1" customFormat="1" ht="14.25" customHeight="1" x14ac:dyDescent="0.25">
      <c r="A475" s="37">
        <v>0</v>
      </c>
      <c r="B475" s="37">
        <v>2</v>
      </c>
      <c r="C475" s="37">
        <v>7</v>
      </c>
      <c r="D475" s="36" t="s">
        <v>510</v>
      </c>
      <c r="E475" s="36" t="s">
        <v>155</v>
      </c>
      <c r="F475" s="36" t="s">
        <v>570</v>
      </c>
      <c r="G475" s="36" t="s">
        <v>319</v>
      </c>
      <c r="H475" s="36" t="s">
        <v>352</v>
      </c>
      <c r="I475" s="37" t="s">
        <v>577</v>
      </c>
      <c r="J475" s="37">
        <v>99</v>
      </c>
      <c r="K475" s="33" t="s">
        <v>941</v>
      </c>
      <c r="L475" s="33" t="s">
        <v>718</v>
      </c>
      <c r="M475" s="34" t="s">
        <v>728</v>
      </c>
      <c r="N475" s="34" t="s">
        <v>1745</v>
      </c>
      <c r="O475" s="35">
        <v>1</v>
      </c>
      <c r="P475" s="35"/>
      <c r="Q475" s="36"/>
      <c r="S475" s="1">
        <f t="shared" si="183"/>
        <v>0</v>
      </c>
      <c r="T475" s="1">
        <f t="shared" si="184"/>
        <v>0</v>
      </c>
      <c r="U475" s="1">
        <f t="shared" si="185"/>
        <v>0</v>
      </c>
      <c r="V475" s="1">
        <f t="shared" si="186"/>
        <v>0</v>
      </c>
      <c r="W475" s="1">
        <f t="shared" si="187"/>
        <v>0</v>
      </c>
      <c r="X475" s="1">
        <f t="shared" si="188"/>
        <v>0</v>
      </c>
      <c r="Y475" s="1">
        <f t="shared" si="189"/>
        <v>0</v>
      </c>
      <c r="Z475" s="1">
        <f t="shared" si="190"/>
        <v>0</v>
      </c>
      <c r="AA475" s="1">
        <f t="shared" si="191"/>
        <v>0</v>
      </c>
      <c r="AB475" s="1">
        <f t="shared" si="192"/>
        <v>0</v>
      </c>
      <c r="AD475" s="1">
        <f t="shared" si="193"/>
        <v>0</v>
      </c>
      <c r="AE475" s="1">
        <f t="shared" si="194"/>
        <v>1</v>
      </c>
      <c r="AF475" s="1">
        <f t="shared" si="179"/>
        <v>0</v>
      </c>
      <c r="AG475" s="1">
        <f t="shared" si="180"/>
        <v>1</v>
      </c>
      <c r="AH475" s="1">
        <f t="shared" si="181"/>
        <v>0</v>
      </c>
      <c r="AI475" s="1">
        <f t="shared" si="182"/>
        <v>1</v>
      </c>
    </row>
    <row r="476" spans="1:35" s="1" customFormat="1" ht="14.25" customHeight="1" x14ac:dyDescent="0.25">
      <c r="A476" s="44">
        <v>0</v>
      </c>
      <c r="B476" s="44">
        <v>2</v>
      </c>
      <c r="C476" s="44">
        <v>7</v>
      </c>
      <c r="D476" s="45" t="s">
        <v>74</v>
      </c>
      <c r="E476" s="45" t="s">
        <v>155</v>
      </c>
      <c r="F476" s="45" t="s">
        <v>671</v>
      </c>
      <c r="G476" s="45" t="s">
        <v>264</v>
      </c>
      <c r="H476" s="45" t="s">
        <v>352</v>
      </c>
      <c r="I476" s="44" t="s">
        <v>420</v>
      </c>
      <c r="J476" s="44">
        <v>99</v>
      </c>
      <c r="K476" s="46" t="s">
        <v>708</v>
      </c>
      <c r="L476" s="46" t="s">
        <v>725</v>
      </c>
      <c r="M476" s="47" t="s">
        <v>728</v>
      </c>
      <c r="N476" s="47" t="s">
        <v>1719</v>
      </c>
      <c r="O476" s="48"/>
      <c r="P476" s="48"/>
      <c r="Q476" s="45"/>
      <c r="S476" s="1">
        <f t="shared" si="183"/>
        <v>0</v>
      </c>
      <c r="T476" s="1">
        <f t="shared" si="184"/>
        <v>0</v>
      </c>
      <c r="U476" s="1">
        <f t="shared" si="185"/>
        <v>0</v>
      </c>
      <c r="V476" s="1">
        <f t="shared" si="186"/>
        <v>0</v>
      </c>
      <c r="W476" s="1">
        <f t="shared" si="187"/>
        <v>0</v>
      </c>
      <c r="X476" s="1">
        <f t="shared" si="188"/>
        <v>0</v>
      </c>
      <c r="Y476" s="1">
        <f t="shared" si="189"/>
        <v>0</v>
      </c>
      <c r="Z476" s="1">
        <f t="shared" si="190"/>
        <v>0</v>
      </c>
      <c r="AA476" s="1">
        <f t="shared" si="191"/>
        <v>0</v>
      </c>
      <c r="AB476" s="1">
        <f t="shared" si="192"/>
        <v>0</v>
      </c>
      <c r="AD476" s="1">
        <f t="shared" si="193"/>
        <v>0</v>
      </c>
      <c r="AE476" s="1">
        <f t="shared" si="194"/>
        <v>0</v>
      </c>
      <c r="AF476" s="1">
        <f t="shared" si="179"/>
        <v>0</v>
      </c>
      <c r="AG476" s="1">
        <f t="shared" si="180"/>
        <v>0</v>
      </c>
      <c r="AH476" s="1">
        <f t="shared" si="181"/>
        <v>0</v>
      </c>
      <c r="AI476" s="1">
        <f t="shared" si="182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1986</v>
      </c>
      <c r="E477" s="32" t="s">
        <v>155</v>
      </c>
      <c r="F477" s="32" t="s">
        <v>1987</v>
      </c>
      <c r="G477" s="32" t="s">
        <v>281</v>
      </c>
      <c r="H477" s="32" t="s">
        <v>352</v>
      </c>
      <c r="I477" s="31" t="s">
        <v>1988</v>
      </c>
      <c r="J477" s="31">
        <v>99</v>
      </c>
      <c r="K477" s="33" t="s">
        <v>699</v>
      </c>
      <c r="L477" s="33" t="s">
        <v>718</v>
      </c>
      <c r="M477" s="34" t="s">
        <v>728</v>
      </c>
      <c r="N477" s="34" t="s">
        <v>1711</v>
      </c>
      <c r="O477" s="35">
        <v>1</v>
      </c>
      <c r="P477" s="35">
        <v>1</v>
      </c>
      <c r="Q477" s="32"/>
      <c r="S477" s="1">
        <f t="shared" si="183"/>
        <v>0</v>
      </c>
      <c r="T477" s="1">
        <f t="shared" si="184"/>
        <v>0</v>
      </c>
      <c r="U477" s="1">
        <f t="shared" si="185"/>
        <v>0</v>
      </c>
      <c r="V477" s="1">
        <f t="shared" si="186"/>
        <v>0</v>
      </c>
      <c r="W477" s="1">
        <f t="shared" si="187"/>
        <v>0</v>
      </c>
      <c r="X477" s="1">
        <f t="shared" si="188"/>
        <v>0</v>
      </c>
      <c r="Y477" s="1">
        <f t="shared" si="189"/>
        <v>0</v>
      </c>
      <c r="Z477" s="1">
        <f t="shared" si="190"/>
        <v>0</v>
      </c>
      <c r="AA477" s="1">
        <f t="shared" si="191"/>
        <v>0</v>
      </c>
      <c r="AB477" s="1">
        <f t="shared" si="192"/>
        <v>0</v>
      </c>
      <c r="AD477" s="1">
        <f t="shared" si="193"/>
        <v>1</v>
      </c>
      <c r="AE477" s="1">
        <f t="shared" si="194"/>
        <v>0</v>
      </c>
      <c r="AF477" s="1">
        <f t="shared" si="179"/>
        <v>1</v>
      </c>
      <c r="AG477" s="1">
        <f t="shared" si="180"/>
        <v>0</v>
      </c>
      <c r="AH477" s="1">
        <f t="shared" si="181"/>
        <v>1</v>
      </c>
      <c r="AI477" s="1">
        <f t="shared" si="182"/>
        <v>0</v>
      </c>
    </row>
    <row r="478" spans="1:35" s="1" customFormat="1" ht="14.25" customHeight="1" x14ac:dyDescent="0.25">
      <c r="A478" s="31">
        <v>1</v>
      </c>
      <c r="B478" s="31">
        <v>2</v>
      </c>
      <c r="C478" s="31">
        <v>7</v>
      </c>
      <c r="D478" s="32" t="s">
        <v>1986</v>
      </c>
      <c r="E478" s="32" t="s">
        <v>155</v>
      </c>
      <c r="F478" s="32" t="s">
        <v>1989</v>
      </c>
      <c r="G478" s="32" t="s">
        <v>1990</v>
      </c>
      <c r="H478" s="32" t="s">
        <v>352</v>
      </c>
      <c r="I478" s="31" t="s">
        <v>1991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1711</v>
      </c>
      <c r="O478" s="35">
        <v>1</v>
      </c>
      <c r="P478" s="35">
        <v>1</v>
      </c>
      <c r="Q478" s="32"/>
      <c r="S478" s="1">
        <f t="shared" si="183"/>
        <v>0</v>
      </c>
      <c r="T478" s="1">
        <f t="shared" si="184"/>
        <v>0</v>
      </c>
      <c r="U478" s="1">
        <f t="shared" si="185"/>
        <v>0</v>
      </c>
      <c r="V478" s="1">
        <f t="shared" si="186"/>
        <v>0</v>
      </c>
      <c r="W478" s="1">
        <f t="shared" si="187"/>
        <v>0</v>
      </c>
      <c r="X478" s="1">
        <f t="shared" si="188"/>
        <v>0</v>
      </c>
      <c r="Y478" s="1">
        <f t="shared" si="189"/>
        <v>0</v>
      </c>
      <c r="Z478" s="1">
        <f t="shared" si="190"/>
        <v>0</v>
      </c>
      <c r="AA478" s="1">
        <f t="shared" si="191"/>
        <v>0</v>
      </c>
      <c r="AB478" s="1">
        <f t="shared" si="192"/>
        <v>0</v>
      </c>
      <c r="AD478" s="1">
        <f t="shared" si="193"/>
        <v>1</v>
      </c>
      <c r="AE478" s="1">
        <f t="shared" si="194"/>
        <v>0</v>
      </c>
      <c r="AF478" s="1">
        <f t="shared" si="179"/>
        <v>0</v>
      </c>
      <c r="AG478" s="1">
        <f t="shared" si="180"/>
        <v>0</v>
      </c>
      <c r="AH478" s="1">
        <f t="shared" si="181"/>
        <v>0</v>
      </c>
      <c r="AI478" s="1">
        <f t="shared" si="182"/>
        <v>0</v>
      </c>
    </row>
    <row r="479" spans="1:35" s="1" customFormat="1" ht="14.25" customHeight="1" x14ac:dyDescent="0.25">
      <c r="A479" s="15">
        <v>0</v>
      </c>
      <c r="B479" s="15">
        <v>2</v>
      </c>
      <c r="C479" s="15">
        <v>7</v>
      </c>
      <c r="D479" s="20" t="s">
        <v>1842</v>
      </c>
      <c r="E479" s="16" t="s">
        <v>155</v>
      </c>
      <c r="F479" s="20" t="s">
        <v>1843</v>
      </c>
      <c r="G479" s="20" t="s">
        <v>281</v>
      </c>
      <c r="H479" s="20" t="s">
        <v>352</v>
      </c>
      <c r="I479" s="21" t="s">
        <v>1844</v>
      </c>
      <c r="J479" s="15">
        <v>99</v>
      </c>
      <c r="K479" s="10" t="s">
        <v>699</v>
      </c>
      <c r="L479" s="10" t="s">
        <v>718</v>
      </c>
      <c r="M479" s="19" t="s">
        <v>728</v>
      </c>
      <c r="N479" s="19"/>
      <c r="Q479" s="20"/>
      <c r="S479" s="1">
        <f t="shared" si="183"/>
        <v>0</v>
      </c>
      <c r="T479" s="1">
        <f t="shared" si="184"/>
        <v>0</v>
      </c>
      <c r="U479" s="1">
        <f t="shared" si="185"/>
        <v>0</v>
      </c>
      <c r="V479" s="1">
        <f t="shared" si="186"/>
        <v>0</v>
      </c>
      <c r="W479" s="1">
        <f t="shared" si="187"/>
        <v>0</v>
      </c>
      <c r="X479" s="1">
        <f t="shared" si="188"/>
        <v>0</v>
      </c>
      <c r="Y479" s="1">
        <f t="shared" si="189"/>
        <v>0</v>
      </c>
      <c r="Z479" s="1">
        <f t="shared" si="190"/>
        <v>0</v>
      </c>
      <c r="AA479" s="1">
        <f t="shared" si="191"/>
        <v>0</v>
      </c>
      <c r="AB479" s="1">
        <f t="shared" si="192"/>
        <v>0</v>
      </c>
      <c r="AD479" s="1">
        <f t="shared" si="193"/>
        <v>0</v>
      </c>
      <c r="AE479" s="1">
        <f t="shared" si="194"/>
        <v>0</v>
      </c>
      <c r="AF479" s="1">
        <f t="shared" si="179"/>
        <v>0</v>
      </c>
      <c r="AG479" s="1">
        <f t="shared" si="180"/>
        <v>0</v>
      </c>
      <c r="AH479" s="1">
        <f t="shared" si="181"/>
        <v>0</v>
      </c>
      <c r="AI479" s="1">
        <f t="shared" si="182"/>
        <v>1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60</v>
      </c>
      <c r="E480" s="32" t="s">
        <v>162</v>
      </c>
      <c r="F480" s="32" t="s">
        <v>226</v>
      </c>
      <c r="G480" s="32" t="s">
        <v>189</v>
      </c>
      <c r="H480" s="32" t="s">
        <v>352</v>
      </c>
      <c r="I480" s="31" t="s">
        <v>397</v>
      </c>
      <c r="J480" s="31">
        <v>99</v>
      </c>
      <c r="K480" s="33" t="s">
        <v>709</v>
      </c>
      <c r="L480" s="33" t="s">
        <v>718</v>
      </c>
      <c r="M480" s="34" t="s">
        <v>728</v>
      </c>
      <c r="N480" s="34" t="s">
        <v>1732</v>
      </c>
      <c r="O480" s="35">
        <v>1</v>
      </c>
      <c r="P480" s="35"/>
      <c r="Q480" s="32"/>
      <c r="S480" s="1">
        <f t="shared" si="183"/>
        <v>0</v>
      </c>
      <c r="T480" s="1">
        <f t="shared" si="184"/>
        <v>0</v>
      </c>
      <c r="U480" s="1">
        <f t="shared" si="185"/>
        <v>0</v>
      </c>
      <c r="V480" s="1">
        <f t="shared" si="186"/>
        <v>0</v>
      </c>
      <c r="W480" s="1">
        <f t="shared" si="187"/>
        <v>0</v>
      </c>
      <c r="X480" s="1">
        <f t="shared" si="188"/>
        <v>0</v>
      </c>
      <c r="Y480" s="1">
        <f t="shared" si="189"/>
        <v>0</v>
      </c>
      <c r="Z480" s="1">
        <f t="shared" si="190"/>
        <v>0</v>
      </c>
      <c r="AA480" s="1">
        <f t="shared" si="191"/>
        <v>0</v>
      </c>
      <c r="AB480" s="1">
        <f t="shared" si="192"/>
        <v>0</v>
      </c>
      <c r="AD480" s="1">
        <f t="shared" si="193"/>
        <v>0</v>
      </c>
      <c r="AE480" s="1">
        <f t="shared" si="194"/>
        <v>1</v>
      </c>
      <c r="AF480" s="1">
        <f t="shared" si="179"/>
        <v>0</v>
      </c>
      <c r="AG480" s="1">
        <f t="shared" si="180"/>
        <v>1</v>
      </c>
      <c r="AH480" s="1">
        <f t="shared" si="181"/>
        <v>0</v>
      </c>
      <c r="AI480" s="1">
        <f t="shared" si="182"/>
        <v>1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1313</v>
      </c>
      <c r="E481" s="32" t="s">
        <v>155</v>
      </c>
      <c r="F481" s="32" t="s">
        <v>1127</v>
      </c>
      <c r="G481" s="32" t="s">
        <v>191</v>
      </c>
      <c r="H481" s="32" t="s">
        <v>352</v>
      </c>
      <c r="I481" s="31" t="s">
        <v>1353</v>
      </c>
      <c r="J481" s="31">
        <v>99</v>
      </c>
      <c r="K481" s="33" t="s">
        <v>708</v>
      </c>
      <c r="L481" s="33" t="s">
        <v>39</v>
      </c>
      <c r="M481" s="34" t="s">
        <v>39</v>
      </c>
      <c r="N481" s="34" t="s">
        <v>1711</v>
      </c>
      <c r="O481" s="35">
        <v>1</v>
      </c>
      <c r="P481" s="35">
        <v>1</v>
      </c>
      <c r="Q481" s="32"/>
      <c r="S481" s="1">
        <f t="shared" si="183"/>
        <v>0</v>
      </c>
      <c r="T481" s="1">
        <f t="shared" si="184"/>
        <v>0</v>
      </c>
      <c r="U481" s="1">
        <f t="shared" si="185"/>
        <v>0</v>
      </c>
      <c r="V481" s="1">
        <f t="shared" si="186"/>
        <v>0</v>
      </c>
      <c r="W481" s="1">
        <f t="shared" si="187"/>
        <v>0</v>
      </c>
      <c r="X481" s="1">
        <f t="shared" si="188"/>
        <v>0</v>
      </c>
      <c r="Y481" s="1">
        <f t="shared" si="189"/>
        <v>0</v>
      </c>
      <c r="Z481" s="1">
        <f t="shared" si="190"/>
        <v>0</v>
      </c>
      <c r="AA481" s="1">
        <f t="shared" si="191"/>
        <v>0</v>
      </c>
      <c r="AB481" s="1">
        <f t="shared" si="192"/>
        <v>0</v>
      </c>
      <c r="AD481" s="1">
        <f t="shared" si="193"/>
        <v>1</v>
      </c>
      <c r="AE481" s="1">
        <f t="shared" si="194"/>
        <v>0</v>
      </c>
      <c r="AF481" s="1">
        <f t="shared" si="179"/>
        <v>1</v>
      </c>
      <c r="AG481" s="1">
        <f t="shared" si="180"/>
        <v>0</v>
      </c>
      <c r="AH481" s="1">
        <f t="shared" si="181"/>
        <v>1</v>
      </c>
      <c r="AI481" s="1">
        <f t="shared" si="182"/>
        <v>0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585</v>
      </c>
      <c r="E482" s="32" t="s">
        <v>1321</v>
      </c>
      <c r="F482" s="32" t="s">
        <v>672</v>
      </c>
      <c r="G482" s="32" t="s">
        <v>239</v>
      </c>
      <c r="H482" s="32" t="s">
        <v>352</v>
      </c>
      <c r="I482" s="31" t="s">
        <v>403</v>
      </c>
      <c r="J482" s="31">
        <v>1</v>
      </c>
      <c r="K482" s="33" t="s">
        <v>709</v>
      </c>
      <c r="L482" s="33" t="s">
        <v>1695</v>
      </c>
      <c r="M482" s="34" t="s">
        <v>1423</v>
      </c>
      <c r="N482" s="34" t="s">
        <v>1732</v>
      </c>
      <c r="O482" s="35">
        <v>1</v>
      </c>
      <c r="P482" s="35"/>
      <c r="Q482" s="32"/>
      <c r="S482" s="1">
        <f t="shared" si="183"/>
        <v>1</v>
      </c>
      <c r="T482" s="1">
        <f t="shared" si="184"/>
        <v>0</v>
      </c>
      <c r="U482" s="1">
        <f t="shared" si="185"/>
        <v>0</v>
      </c>
      <c r="V482" s="1">
        <f t="shared" si="186"/>
        <v>0</v>
      </c>
      <c r="W482" s="1">
        <f t="shared" si="187"/>
        <v>0</v>
      </c>
      <c r="X482" s="1">
        <f t="shared" si="188"/>
        <v>0</v>
      </c>
      <c r="Y482" s="1">
        <f t="shared" si="189"/>
        <v>0</v>
      </c>
      <c r="Z482" s="1">
        <f t="shared" si="190"/>
        <v>0</v>
      </c>
      <c r="AA482" s="1">
        <f t="shared" si="191"/>
        <v>0</v>
      </c>
      <c r="AB482" s="1">
        <f t="shared" si="192"/>
        <v>0</v>
      </c>
      <c r="AD482" s="1">
        <f t="shared" si="193"/>
        <v>0</v>
      </c>
      <c r="AE482" s="1">
        <f t="shared" si="194"/>
        <v>1</v>
      </c>
      <c r="AF482" s="1">
        <f t="shared" si="179"/>
        <v>0</v>
      </c>
      <c r="AG482" s="1">
        <f t="shared" si="180"/>
        <v>1</v>
      </c>
      <c r="AH482" s="1">
        <f t="shared" si="181"/>
        <v>0</v>
      </c>
      <c r="AI482" s="1">
        <f t="shared" si="182"/>
        <v>1</v>
      </c>
    </row>
    <row r="483" spans="1:35" s="1" customFormat="1" ht="14.25" customHeight="1" x14ac:dyDescent="0.25">
      <c r="A483" s="31">
        <v>1</v>
      </c>
      <c r="B483" s="31">
        <v>2</v>
      </c>
      <c r="C483" s="31">
        <v>7</v>
      </c>
      <c r="D483" s="32" t="s">
        <v>585</v>
      </c>
      <c r="E483" s="32" t="s">
        <v>1321</v>
      </c>
      <c r="F483" s="32" t="s">
        <v>238</v>
      </c>
      <c r="G483" s="32" t="s">
        <v>177</v>
      </c>
      <c r="H483" s="32" t="s">
        <v>352</v>
      </c>
      <c r="I483" s="31" t="s">
        <v>402</v>
      </c>
      <c r="J483" s="31">
        <v>1</v>
      </c>
      <c r="K483" s="33" t="s">
        <v>709</v>
      </c>
      <c r="L483" s="33" t="s">
        <v>1695</v>
      </c>
      <c r="M483" s="34" t="s">
        <v>1423</v>
      </c>
      <c r="N483" s="34" t="s">
        <v>1732</v>
      </c>
      <c r="O483" s="35">
        <v>1</v>
      </c>
      <c r="P483" s="35"/>
      <c r="Q483" s="36" t="s">
        <v>1895</v>
      </c>
      <c r="S483" s="1">
        <f t="shared" si="183"/>
        <v>1</v>
      </c>
      <c r="T483" s="1">
        <f t="shared" si="184"/>
        <v>0</v>
      </c>
      <c r="U483" s="1">
        <f t="shared" si="185"/>
        <v>0</v>
      </c>
      <c r="V483" s="1">
        <f t="shared" si="186"/>
        <v>0</v>
      </c>
      <c r="W483" s="1">
        <f t="shared" si="187"/>
        <v>0</v>
      </c>
      <c r="X483" s="1">
        <f t="shared" si="188"/>
        <v>0</v>
      </c>
      <c r="Y483" s="1">
        <f t="shared" si="189"/>
        <v>0</v>
      </c>
      <c r="Z483" s="1">
        <f t="shared" si="190"/>
        <v>0</v>
      </c>
      <c r="AA483" s="1">
        <f t="shared" si="191"/>
        <v>0</v>
      </c>
      <c r="AB483" s="1">
        <f t="shared" si="192"/>
        <v>0</v>
      </c>
      <c r="AD483" s="1">
        <f t="shared" si="193"/>
        <v>0</v>
      </c>
      <c r="AE483" s="1">
        <f t="shared" si="194"/>
        <v>1</v>
      </c>
      <c r="AF483" s="1">
        <f t="shared" si="179"/>
        <v>0</v>
      </c>
      <c r="AG483" s="1">
        <f t="shared" si="180"/>
        <v>0</v>
      </c>
      <c r="AH483" s="1">
        <f t="shared" si="181"/>
        <v>0</v>
      </c>
      <c r="AI483" s="1">
        <f t="shared" si="182"/>
        <v>0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1314</v>
      </c>
      <c r="E484" s="32" t="s">
        <v>155</v>
      </c>
      <c r="F484" s="32" t="s">
        <v>1340</v>
      </c>
      <c r="G484" s="32" t="s">
        <v>257</v>
      </c>
      <c r="H484" s="32" t="s">
        <v>352</v>
      </c>
      <c r="I484" s="31" t="s">
        <v>1223</v>
      </c>
      <c r="J484" s="31">
        <v>8</v>
      </c>
      <c r="K484" s="33" t="s">
        <v>942</v>
      </c>
      <c r="L484" s="33" t="s">
        <v>718</v>
      </c>
      <c r="M484" s="34" t="s">
        <v>728</v>
      </c>
      <c r="N484" s="34" t="s">
        <v>1732</v>
      </c>
      <c r="O484" s="35">
        <v>1</v>
      </c>
      <c r="P484" s="35"/>
      <c r="Q484" s="32"/>
      <c r="S484" s="1">
        <f t="shared" si="183"/>
        <v>0</v>
      </c>
      <c r="T484" s="1">
        <f t="shared" si="184"/>
        <v>0</v>
      </c>
      <c r="U484" s="1">
        <f t="shared" si="185"/>
        <v>0</v>
      </c>
      <c r="V484" s="1">
        <f t="shared" si="186"/>
        <v>0</v>
      </c>
      <c r="W484" s="1">
        <f t="shared" si="187"/>
        <v>0</v>
      </c>
      <c r="X484" s="1">
        <f t="shared" si="188"/>
        <v>0</v>
      </c>
      <c r="Y484" s="1">
        <f t="shared" si="189"/>
        <v>0</v>
      </c>
      <c r="Z484" s="1">
        <f t="shared" si="190"/>
        <v>1</v>
      </c>
      <c r="AA484" s="1">
        <f t="shared" si="191"/>
        <v>0</v>
      </c>
      <c r="AB484" s="1">
        <f t="shared" si="192"/>
        <v>0</v>
      </c>
      <c r="AD484" s="1">
        <f t="shared" si="193"/>
        <v>0</v>
      </c>
      <c r="AE484" s="1">
        <f t="shared" si="194"/>
        <v>1</v>
      </c>
      <c r="AF484" s="1">
        <f t="shared" si="179"/>
        <v>0</v>
      </c>
      <c r="AG484" s="1">
        <f t="shared" si="180"/>
        <v>1</v>
      </c>
      <c r="AH484" s="1">
        <f t="shared" si="181"/>
        <v>0</v>
      </c>
      <c r="AI484" s="1">
        <f t="shared" si="182"/>
        <v>1</v>
      </c>
    </row>
    <row r="485" spans="1:35" s="1" customFormat="1" ht="14.25" customHeight="1" x14ac:dyDescent="0.25">
      <c r="A485" s="31">
        <v>1</v>
      </c>
      <c r="B485" s="31">
        <v>2</v>
      </c>
      <c r="C485" s="31">
        <v>7</v>
      </c>
      <c r="D485" s="32" t="s">
        <v>1314</v>
      </c>
      <c r="E485" s="32" t="s">
        <v>155</v>
      </c>
      <c r="F485" s="32" t="s">
        <v>1202</v>
      </c>
      <c r="G485" s="32" t="s">
        <v>217</v>
      </c>
      <c r="H485" s="32" t="s">
        <v>352</v>
      </c>
      <c r="I485" s="31" t="s">
        <v>1223</v>
      </c>
      <c r="J485" s="31">
        <v>99</v>
      </c>
      <c r="K485" s="33" t="s">
        <v>942</v>
      </c>
      <c r="L485" s="33" t="s">
        <v>718</v>
      </c>
      <c r="M485" s="34" t="s">
        <v>728</v>
      </c>
      <c r="N485" s="34" t="s">
        <v>1732</v>
      </c>
      <c r="O485" s="35">
        <v>1</v>
      </c>
      <c r="P485" s="35"/>
      <c r="Q485" s="32"/>
      <c r="S485" s="1">
        <f t="shared" si="183"/>
        <v>0</v>
      </c>
      <c r="T485" s="1">
        <f t="shared" si="184"/>
        <v>0</v>
      </c>
      <c r="U485" s="1">
        <f t="shared" si="185"/>
        <v>0</v>
      </c>
      <c r="V485" s="1">
        <f t="shared" si="186"/>
        <v>0</v>
      </c>
      <c r="W485" s="1">
        <f t="shared" si="187"/>
        <v>0</v>
      </c>
      <c r="X485" s="1">
        <f t="shared" si="188"/>
        <v>0</v>
      </c>
      <c r="Y485" s="1">
        <f t="shared" si="189"/>
        <v>0</v>
      </c>
      <c r="Z485" s="1">
        <f t="shared" si="190"/>
        <v>0</v>
      </c>
      <c r="AA485" s="1">
        <f t="shared" si="191"/>
        <v>0</v>
      </c>
      <c r="AB485" s="1">
        <f t="shared" si="192"/>
        <v>0</v>
      </c>
      <c r="AD485" s="1">
        <f t="shared" si="193"/>
        <v>0</v>
      </c>
      <c r="AE485" s="1">
        <f t="shared" si="194"/>
        <v>1</v>
      </c>
      <c r="AF485" s="1">
        <f t="shared" si="179"/>
        <v>0</v>
      </c>
      <c r="AG485" s="1">
        <f t="shared" si="180"/>
        <v>0</v>
      </c>
      <c r="AH485" s="1">
        <f t="shared" si="181"/>
        <v>0</v>
      </c>
      <c r="AI485" s="1">
        <f t="shared" si="182"/>
        <v>0</v>
      </c>
    </row>
    <row r="486" spans="1:35" s="1" customFormat="1" ht="14.25" customHeight="1" x14ac:dyDescent="0.25">
      <c r="A486" s="44">
        <v>0</v>
      </c>
      <c r="B486" s="44">
        <v>2</v>
      </c>
      <c r="C486" s="44">
        <v>7</v>
      </c>
      <c r="D486" s="45" t="s">
        <v>1232</v>
      </c>
      <c r="E486" s="45" t="s">
        <v>155</v>
      </c>
      <c r="F486" s="45" t="s">
        <v>1234</v>
      </c>
      <c r="G486" s="45" t="s">
        <v>219</v>
      </c>
      <c r="H486" s="45" t="s">
        <v>352</v>
      </c>
      <c r="I486" s="44" t="s">
        <v>1354</v>
      </c>
      <c r="J486" s="44">
        <v>8</v>
      </c>
      <c r="K486" s="46" t="s">
        <v>941</v>
      </c>
      <c r="L486" s="46" t="s">
        <v>718</v>
      </c>
      <c r="M486" s="47" t="s">
        <v>728</v>
      </c>
      <c r="N486" s="47" t="s">
        <v>1719</v>
      </c>
      <c r="O486" s="48"/>
      <c r="P486" s="48"/>
      <c r="Q486" s="45"/>
      <c r="S486" s="1">
        <f t="shared" si="183"/>
        <v>0</v>
      </c>
      <c r="T486" s="1">
        <f t="shared" si="184"/>
        <v>0</v>
      </c>
      <c r="U486" s="1">
        <f t="shared" si="185"/>
        <v>0</v>
      </c>
      <c r="V486" s="1">
        <f t="shared" si="186"/>
        <v>0</v>
      </c>
      <c r="W486" s="1">
        <f t="shared" si="187"/>
        <v>0</v>
      </c>
      <c r="X486" s="1">
        <f t="shared" si="188"/>
        <v>0</v>
      </c>
      <c r="Y486" s="1">
        <f t="shared" si="189"/>
        <v>0</v>
      </c>
      <c r="Z486" s="1">
        <f t="shared" si="190"/>
        <v>1</v>
      </c>
      <c r="AA486" s="1">
        <f t="shared" si="191"/>
        <v>0</v>
      </c>
      <c r="AB486" s="1">
        <f t="shared" si="192"/>
        <v>0</v>
      </c>
      <c r="AD486" s="1">
        <f t="shared" si="193"/>
        <v>0</v>
      </c>
      <c r="AE486" s="1">
        <f t="shared" si="194"/>
        <v>0</v>
      </c>
      <c r="AF486" s="1">
        <f t="shared" si="179"/>
        <v>0</v>
      </c>
      <c r="AG486" s="1">
        <f t="shared" si="180"/>
        <v>0</v>
      </c>
      <c r="AH486" s="1">
        <f t="shared" si="181"/>
        <v>0</v>
      </c>
      <c r="AI486" s="1">
        <f t="shared" si="182"/>
        <v>1</v>
      </c>
    </row>
    <row r="487" spans="1:35" s="1" customFormat="1" ht="14.25" customHeight="1" x14ac:dyDescent="0.25">
      <c r="A487" s="44">
        <v>1</v>
      </c>
      <c r="B487" s="44">
        <v>2</v>
      </c>
      <c r="C487" s="44">
        <v>7</v>
      </c>
      <c r="D487" s="45" t="s">
        <v>1232</v>
      </c>
      <c r="E487" s="45" t="s">
        <v>155</v>
      </c>
      <c r="F487" s="45" t="s">
        <v>1341</v>
      </c>
      <c r="G487" s="45" t="s">
        <v>39</v>
      </c>
      <c r="H487" s="45" t="s">
        <v>353</v>
      </c>
      <c r="I487" s="44" t="s">
        <v>1233</v>
      </c>
      <c r="J487" s="44">
        <v>99</v>
      </c>
      <c r="K487" s="46" t="s">
        <v>941</v>
      </c>
      <c r="L487" s="46" t="s">
        <v>718</v>
      </c>
      <c r="M487" s="47" t="s">
        <v>728</v>
      </c>
      <c r="N487" s="47" t="s">
        <v>1719</v>
      </c>
      <c r="O487" s="48"/>
      <c r="P487" s="48"/>
      <c r="Q487" s="65" t="s">
        <v>1888</v>
      </c>
      <c r="S487" s="1">
        <f t="shared" si="183"/>
        <v>0</v>
      </c>
      <c r="T487" s="1">
        <f t="shared" si="184"/>
        <v>0</v>
      </c>
      <c r="U487" s="1">
        <f t="shared" si="185"/>
        <v>0</v>
      </c>
      <c r="V487" s="1">
        <f t="shared" si="186"/>
        <v>0</v>
      </c>
      <c r="W487" s="1">
        <f t="shared" si="187"/>
        <v>0</v>
      </c>
      <c r="X487" s="1">
        <f t="shared" si="188"/>
        <v>0</v>
      </c>
      <c r="Y487" s="1">
        <f t="shared" si="189"/>
        <v>0</v>
      </c>
      <c r="Z487" s="1">
        <f t="shared" si="190"/>
        <v>0</v>
      </c>
      <c r="AA487" s="1">
        <f t="shared" si="191"/>
        <v>0</v>
      </c>
      <c r="AB487" s="1">
        <f t="shared" si="192"/>
        <v>0</v>
      </c>
      <c r="AD487" s="1">
        <f t="shared" si="193"/>
        <v>0</v>
      </c>
      <c r="AE487" s="1">
        <f t="shared" si="194"/>
        <v>0</v>
      </c>
      <c r="AF487" s="1">
        <f t="shared" si="179"/>
        <v>0</v>
      </c>
      <c r="AG487" s="1">
        <f t="shared" si="180"/>
        <v>0</v>
      </c>
      <c r="AH487" s="1">
        <f t="shared" si="181"/>
        <v>0</v>
      </c>
      <c r="AI487" s="1">
        <f t="shared" si="182"/>
        <v>0</v>
      </c>
    </row>
    <row r="488" spans="1:35" s="1" customFormat="1" ht="14.25" customHeight="1" x14ac:dyDescent="0.25">
      <c r="A488" s="44">
        <v>1</v>
      </c>
      <c r="B488" s="44">
        <v>2</v>
      </c>
      <c r="C488" s="44">
        <v>7</v>
      </c>
      <c r="D488" s="45" t="s">
        <v>1232</v>
      </c>
      <c r="E488" s="45" t="s">
        <v>155</v>
      </c>
      <c r="F488" s="45" t="s">
        <v>1507</v>
      </c>
      <c r="G488" s="45" t="s">
        <v>234</v>
      </c>
      <c r="H488" s="45" t="s">
        <v>352</v>
      </c>
      <c r="I488" s="44" t="s">
        <v>1675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1719</v>
      </c>
      <c r="O488" s="48"/>
      <c r="P488" s="48"/>
      <c r="Q488" s="45"/>
      <c r="S488" s="1">
        <f t="shared" si="183"/>
        <v>0</v>
      </c>
      <c r="T488" s="1">
        <f t="shared" si="184"/>
        <v>0</v>
      </c>
      <c r="U488" s="1">
        <f t="shared" si="185"/>
        <v>0</v>
      </c>
      <c r="V488" s="1">
        <f t="shared" si="186"/>
        <v>0</v>
      </c>
      <c r="W488" s="1">
        <f t="shared" si="187"/>
        <v>0</v>
      </c>
      <c r="X488" s="1">
        <f t="shared" si="188"/>
        <v>0</v>
      </c>
      <c r="Y488" s="1">
        <f t="shared" si="189"/>
        <v>0</v>
      </c>
      <c r="Z488" s="1">
        <f t="shared" si="190"/>
        <v>0</v>
      </c>
      <c r="AA488" s="1">
        <f t="shared" si="191"/>
        <v>0</v>
      </c>
      <c r="AB488" s="1">
        <f t="shared" si="192"/>
        <v>0</v>
      </c>
      <c r="AD488" s="1">
        <f t="shared" si="193"/>
        <v>0</v>
      </c>
      <c r="AE488" s="1">
        <f t="shared" si="194"/>
        <v>0</v>
      </c>
      <c r="AF488" s="1">
        <f t="shared" si="179"/>
        <v>0</v>
      </c>
      <c r="AG488" s="1">
        <f t="shared" si="180"/>
        <v>0</v>
      </c>
      <c r="AH488" s="1">
        <f t="shared" si="181"/>
        <v>0</v>
      </c>
      <c r="AI488" s="1">
        <f t="shared" si="182"/>
        <v>0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1834</v>
      </c>
      <c r="E489" s="32" t="s">
        <v>1835</v>
      </c>
      <c r="F489" s="32" t="s">
        <v>1836</v>
      </c>
      <c r="G489" s="32" t="s">
        <v>264</v>
      </c>
      <c r="H489" s="32" t="s">
        <v>352</v>
      </c>
      <c r="I489" s="31" t="s">
        <v>1837</v>
      </c>
      <c r="J489" s="31">
        <v>99</v>
      </c>
      <c r="K489" s="33" t="s">
        <v>699</v>
      </c>
      <c r="L489" s="33"/>
      <c r="M489" s="34"/>
      <c r="N489" s="34" t="s">
        <v>1711</v>
      </c>
      <c r="O489" s="35">
        <v>1</v>
      </c>
      <c r="P489" s="35">
        <v>1</v>
      </c>
      <c r="Q489" s="32"/>
      <c r="S489" s="1">
        <f t="shared" si="183"/>
        <v>0</v>
      </c>
      <c r="T489" s="1">
        <f t="shared" si="184"/>
        <v>0</v>
      </c>
      <c r="U489" s="1">
        <f t="shared" si="185"/>
        <v>0</v>
      </c>
      <c r="V489" s="1">
        <f t="shared" si="186"/>
        <v>0</v>
      </c>
      <c r="W489" s="1">
        <f t="shared" si="187"/>
        <v>0</v>
      </c>
      <c r="X489" s="1">
        <f t="shared" si="188"/>
        <v>0</v>
      </c>
      <c r="Y489" s="1">
        <f t="shared" si="189"/>
        <v>0</v>
      </c>
      <c r="Z489" s="1">
        <f t="shared" si="190"/>
        <v>0</v>
      </c>
      <c r="AA489" s="1">
        <f t="shared" si="191"/>
        <v>0</v>
      </c>
      <c r="AB489" s="1">
        <f t="shared" si="192"/>
        <v>0</v>
      </c>
      <c r="AD489" s="1">
        <f t="shared" si="193"/>
        <v>1</v>
      </c>
      <c r="AE489" s="1">
        <f t="shared" si="194"/>
        <v>0</v>
      </c>
      <c r="AF489" s="1">
        <f t="shared" si="179"/>
        <v>1</v>
      </c>
      <c r="AG489" s="1">
        <f t="shared" si="180"/>
        <v>0</v>
      </c>
      <c r="AH489" s="1">
        <f t="shared" si="181"/>
        <v>1</v>
      </c>
      <c r="AI489" s="1">
        <f t="shared" si="182"/>
        <v>0</v>
      </c>
    </row>
    <row r="490" spans="1:35" s="1" customFormat="1" ht="14.25" customHeight="1" x14ac:dyDescent="0.25">
      <c r="A490" s="44">
        <v>0</v>
      </c>
      <c r="B490" s="44">
        <v>2</v>
      </c>
      <c r="C490" s="44">
        <v>7</v>
      </c>
      <c r="D490" s="45" t="s">
        <v>1227</v>
      </c>
      <c r="E490" s="45" t="s">
        <v>28</v>
      </c>
      <c r="F490" s="45" t="s">
        <v>1220</v>
      </c>
      <c r="G490" s="45" t="s">
        <v>1221</v>
      </c>
      <c r="H490" s="45" t="s">
        <v>352</v>
      </c>
      <c r="I490" s="44" t="s">
        <v>1222</v>
      </c>
      <c r="J490" s="44">
        <v>99</v>
      </c>
      <c r="K490" s="46" t="s">
        <v>708</v>
      </c>
      <c r="L490" s="46" t="s">
        <v>709</v>
      </c>
      <c r="M490" s="47" t="s">
        <v>727</v>
      </c>
      <c r="N490" s="47" t="s">
        <v>1719</v>
      </c>
      <c r="O490" s="48"/>
      <c r="P490" s="48"/>
      <c r="Q490" s="45"/>
      <c r="S490" s="1">
        <f t="shared" si="183"/>
        <v>0</v>
      </c>
      <c r="T490" s="1">
        <f t="shared" si="184"/>
        <v>0</v>
      </c>
      <c r="U490" s="1">
        <f t="shared" si="185"/>
        <v>0</v>
      </c>
      <c r="V490" s="1">
        <f t="shared" si="186"/>
        <v>0</v>
      </c>
      <c r="W490" s="1">
        <f t="shared" si="187"/>
        <v>0</v>
      </c>
      <c r="X490" s="1">
        <f t="shared" si="188"/>
        <v>0</v>
      </c>
      <c r="Y490" s="1">
        <f t="shared" si="189"/>
        <v>0</v>
      </c>
      <c r="Z490" s="1">
        <f t="shared" si="190"/>
        <v>0</v>
      </c>
      <c r="AA490" s="1">
        <f t="shared" si="191"/>
        <v>0</v>
      </c>
      <c r="AB490" s="1">
        <f t="shared" si="192"/>
        <v>0</v>
      </c>
      <c r="AD490" s="1">
        <f t="shared" si="193"/>
        <v>0</v>
      </c>
      <c r="AE490" s="1">
        <f t="shared" si="194"/>
        <v>0</v>
      </c>
      <c r="AF490" s="1">
        <f t="shared" si="179"/>
        <v>0</v>
      </c>
      <c r="AG490" s="1">
        <f t="shared" si="180"/>
        <v>0</v>
      </c>
      <c r="AH490" s="1">
        <f t="shared" si="181"/>
        <v>0</v>
      </c>
      <c r="AI490" s="1">
        <f t="shared" si="182"/>
        <v>1</v>
      </c>
    </row>
    <row r="491" spans="1:35" s="1" customFormat="1" ht="14.25" customHeight="1" x14ac:dyDescent="0.25">
      <c r="A491" s="44">
        <v>1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1225</v>
      </c>
      <c r="G491" s="45" t="s">
        <v>519</v>
      </c>
      <c r="H491" s="45" t="s">
        <v>352</v>
      </c>
      <c r="I491" s="44" t="s">
        <v>1226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1719</v>
      </c>
      <c r="O491" s="48"/>
      <c r="P491" s="48"/>
      <c r="Q491" s="45"/>
      <c r="S491" s="1">
        <f t="shared" si="183"/>
        <v>0</v>
      </c>
      <c r="T491" s="1">
        <f t="shared" si="184"/>
        <v>0</v>
      </c>
      <c r="U491" s="1">
        <f t="shared" si="185"/>
        <v>0</v>
      </c>
      <c r="V491" s="1">
        <f t="shared" si="186"/>
        <v>0</v>
      </c>
      <c r="W491" s="1">
        <f t="shared" si="187"/>
        <v>0</v>
      </c>
      <c r="X491" s="1">
        <f t="shared" si="188"/>
        <v>0</v>
      </c>
      <c r="Y491" s="1">
        <f t="shared" si="189"/>
        <v>0</v>
      </c>
      <c r="Z491" s="1">
        <f t="shared" si="190"/>
        <v>0</v>
      </c>
      <c r="AA491" s="1">
        <f t="shared" si="191"/>
        <v>0</v>
      </c>
      <c r="AB491" s="1">
        <f t="shared" si="192"/>
        <v>0</v>
      </c>
      <c r="AD491" s="1">
        <f t="shared" si="193"/>
        <v>0</v>
      </c>
      <c r="AE491" s="1">
        <f t="shared" si="194"/>
        <v>0</v>
      </c>
      <c r="AF491" s="1">
        <f t="shared" si="179"/>
        <v>0</v>
      </c>
      <c r="AG491" s="1">
        <f t="shared" si="180"/>
        <v>0</v>
      </c>
      <c r="AH491" s="1">
        <f t="shared" si="181"/>
        <v>0</v>
      </c>
      <c r="AI491" s="1">
        <f t="shared" si="182"/>
        <v>0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1830</v>
      </c>
      <c r="E492" s="32" t="s">
        <v>1152</v>
      </c>
      <c r="F492" s="32" t="s">
        <v>1831</v>
      </c>
      <c r="G492" s="32"/>
      <c r="H492" s="32" t="s">
        <v>352</v>
      </c>
      <c r="I492" s="31" t="s">
        <v>1832</v>
      </c>
      <c r="J492" s="31">
        <v>6</v>
      </c>
      <c r="K492" s="33" t="s">
        <v>699</v>
      </c>
      <c r="L492" s="33"/>
      <c r="M492" s="34"/>
      <c r="N492" s="34" t="s">
        <v>1732</v>
      </c>
      <c r="O492" s="35">
        <v>1</v>
      </c>
      <c r="P492" s="35"/>
      <c r="Q492" s="32"/>
      <c r="S492" s="1">
        <f t="shared" si="183"/>
        <v>0</v>
      </c>
      <c r="T492" s="1">
        <f t="shared" si="184"/>
        <v>0</v>
      </c>
      <c r="U492" s="1">
        <f t="shared" si="185"/>
        <v>0</v>
      </c>
      <c r="V492" s="1">
        <f t="shared" si="186"/>
        <v>0</v>
      </c>
      <c r="W492" s="1">
        <f t="shared" si="187"/>
        <v>0</v>
      </c>
      <c r="X492" s="1">
        <f t="shared" si="188"/>
        <v>1</v>
      </c>
      <c r="Y492" s="1">
        <f t="shared" si="189"/>
        <v>0</v>
      </c>
      <c r="Z492" s="1">
        <f t="shared" si="190"/>
        <v>0</v>
      </c>
      <c r="AA492" s="1">
        <f t="shared" si="191"/>
        <v>0</v>
      </c>
      <c r="AB492" s="1">
        <f t="shared" si="192"/>
        <v>0</v>
      </c>
      <c r="AD492" s="1">
        <f t="shared" si="193"/>
        <v>0</v>
      </c>
      <c r="AE492" s="1">
        <f t="shared" si="194"/>
        <v>1</v>
      </c>
      <c r="AF492" s="1">
        <f t="shared" si="179"/>
        <v>0</v>
      </c>
      <c r="AG492" s="1">
        <f t="shared" si="180"/>
        <v>1</v>
      </c>
      <c r="AH492" s="1">
        <f t="shared" si="181"/>
        <v>0</v>
      </c>
      <c r="AI492" s="1">
        <f t="shared" si="182"/>
        <v>1</v>
      </c>
    </row>
    <row r="493" spans="1:35" s="1" customFormat="1" ht="14.25" customHeight="1" x14ac:dyDescent="0.25">
      <c r="A493" s="44">
        <v>0</v>
      </c>
      <c r="B493" s="44">
        <v>2</v>
      </c>
      <c r="C493" s="44">
        <v>7</v>
      </c>
      <c r="D493" s="45" t="s">
        <v>1442</v>
      </c>
      <c r="E493" s="45" t="s">
        <v>28</v>
      </c>
      <c r="F493" s="45" t="s">
        <v>1443</v>
      </c>
      <c r="G493" s="45" t="s">
        <v>1444</v>
      </c>
      <c r="H493" s="45" t="s">
        <v>352</v>
      </c>
      <c r="I493" s="44" t="s">
        <v>1445</v>
      </c>
      <c r="J493" s="44">
        <v>99</v>
      </c>
      <c r="K493" s="46" t="s">
        <v>708</v>
      </c>
      <c r="L493" s="46" t="s">
        <v>709</v>
      </c>
      <c r="M493" s="47" t="s">
        <v>727</v>
      </c>
      <c r="N493" s="47" t="s">
        <v>1719</v>
      </c>
      <c r="O493" s="48"/>
      <c r="P493" s="48"/>
      <c r="Q493" s="45" t="s">
        <v>1915</v>
      </c>
      <c r="S493" s="1">
        <f t="shared" si="183"/>
        <v>0</v>
      </c>
      <c r="T493" s="1">
        <f t="shared" si="184"/>
        <v>0</v>
      </c>
      <c r="U493" s="1">
        <f t="shared" si="185"/>
        <v>0</v>
      </c>
      <c r="V493" s="1">
        <f t="shared" si="186"/>
        <v>0</v>
      </c>
      <c r="W493" s="1">
        <f t="shared" si="187"/>
        <v>0</v>
      </c>
      <c r="X493" s="1">
        <f t="shared" si="188"/>
        <v>0</v>
      </c>
      <c r="Y493" s="1">
        <f t="shared" si="189"/>
        <v>0</v>
      </c>
      <c r="Z493" s="1">
        <f t="shared" si="190"/>
        <v>0</v>
      </c>
      <c r="AA493" s="1">
        <f t="shared" si="191"/>
        <v>0</v>
      </c>
      <c r="AB493" s="1">
        <f t="shared" si="192"/>
        <v>0</v>
      </c>
      <c r="AD493" s="1">
        <f t="shared" si="193"/>
        <v>0</v>
      </c>
      <c r="AE493" s="1">
        <f t="shared" si="194"/>
        <v>0</v>
      </c>
      <c r="AF493" s="1">
        <f t="shared" si="179"/>
        <v>0</v>
      </c>
      <c r="AG493" s="1">
        <f t="shared" si="180"/>
        <v>0</v>
      </c>
      <c r="AH493" s="1">
        <f t="shared" si="181"/>
        <v>0</v>
      </c>
      <c r="AI493" s="1">
        <f t="shared" si="182"/>
        <v>1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571</v>
      </c>
      <c r="G494" s="32" t="s">
        <v>234</v>
      </c>
      <c r="H494" s="32" t="s">
        <v>352</v>
      </c>
      <c r="I494" s="31" t="s">
        <v>578</v>
      </c>
      <c r="J494" s="31">
        <v>99</v>
      </c>
      <c r="K494" s="33" t="s">
        <v>708</v>
      </c>
      <c r="L494" s="33" t="s">
        <v>725</v>
      </c>
      <c r="M494" s="34" t="s">
        <v>1424</v>
      </c>
      <c r="N494" s="34" t="s">
        <v>1732</v>
      </c>
      <c r="O494" s="35">
        <v>1</v>
      </c>
      <c r="P494" s="35"/>
      <c r="Q494" s="32"/>
      <c r="S494" s="1">
        <f t="shared" si="183"/>
        <v>0</v>
      </c>
      <c r="T494" s="1">
        <f t="shared" si="184"/>
        <v>0</v>
      </c>
      <c r="U494" s="1">
        <f t="shared" si="185"/>
        <v>0</v>
      </c>
      <c r="V494" s="1">
        <f t="shared" si="186"/>
        <v>0</v>
      </c>
      <c r="W494" s="1">
        <f t="shared" si="187"/>
        <v>0</v>
      </c>
      <c r="X494" s="1">
        <f t="shared" si="188"/>
        <v>0</v>
      </c>
      <c r="Y494" s="1">
        <f t="shared" si="189"/>
        <v>0</v>
      </c>
      <c r="Z494" s="1">
        <f t="shared" si="190"/>
        <v>0</v>
      </c>
      <c r="AA494" s="1">
        <f t="shared" si="191"/>
        <v>0</v>
      </c>
      <c r="AB494" s="1">
        <f t="shared" si="192"/>
        <v>0</v>
      </c>
      <c r="AD494" s="1">
        <f t="shared" si="193"/>
        <v>0</v>
      </c>
      <c r="AE494" s="1">
        <f t="shared" si="194"/>
        <v>1</v>
      </c>
      <c r="AF494" s="1">
        <f t="shared" si="179"/>
        <v>0</v>
      </c>
      <c r="AG494" s="1">
        <f t="shared" si="180"/>
        <v>1</v>
      </c>
      <c r="AH494" s="1">
        <f t="shared" si="181"/>
        <v>0</v>
      </c>
      <c r="AI494" s="1">
        <f t="shared" si="182"/>
        <v>1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270</v>
      </c>
      <c r="G495" s="32" t="s">
        <v>179</v>
      </c>
      <c r="H495" s="32" t="s">
        <v>352</v>
      </c>
      <c r="I495" s="31" t="s">
        <v>424</v>
      </c>
      <c r="J495" s="31">
        <v>10</v>
      </c>
      <c r="K495" s="33" t="s">
        <v>708</v>
      </c>
      <c r="L495" s="33" t="s">
        <v>725</v>
      </c>
      <c r="M495" s="34" t="s">
        <v>1424</v>
      </c>
      <c r="N495" s="34" t="s">
        <v>1732</v>
      </c>
      <c r="O495" s="35">
        <v>1</v>
      </c>
      <c r="P495" s="35"/>
      <c r="Q495" s="32"/>
      <c r="S495" s="1">
        <f t="shared" si="183"/>
        <v>0</v>
      </c>
      <c r="T495" s="1">
        <f t="shared" si="184"/>
        <v>0</v>
      </c>
      <c r="U495" s="1">
        <f t="shared" si="185"/>
        <v>0</v>
      </c>
      <c r="V495" s="1">
        <f t="shared" si="186"/>
        <v>0</v>
      </c>
      <c r="W495" s="1">
        <f t="shared" si="187"/>
        <v>0</v>
      </c>
      <c r="X495" s="1">
        <f t="shared" si="188"/>
        <v>0</v>
      </c>
      <c r="Y495" s="1">
        <f t="shared" si="189"/>
        <v>0</v>
      </c>
      <c r="Z495" s="1">
        <f t="shared" si="190"/>
        <v>0</v>
      </c>
      <c r="AA495" s="1">
        <f t="shared" si="191"/>
        <v>0</v>
      </c>
      <c r="AB495" s="1">
        <f t="shared" si="192"/>
        <v>1</v>
      </c>
      <c r="AD495" s="1">
        <f t="shared" si="193"/>
        <v>0</v>
      </c>
      <c r="AE495" s="1">
        <f t="shared" si="194"/>
        <v>1</v>
      </c>
      <c r="AF495" s="1">
        <f t="shared" si="179"/>
        <v>0</v>
      </c>
      <c r="AG495" s="1">
        <f t="shared" si="180"/>
        <v>0</v>
      </c>
      <c r="AH495" s="1">
        <f t="shared" si="181"/>
        <v>0</v>
      </c>
      <c r="AI495" s="1">
        <f t="shared" si="182"/>
        <v>0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271</v>
      </c>
      <c r="G496" s="32" t="s">
        <v>39</v>
      </c>
      <c r="H496" s="32" t="s">
        <v>352</v>
      </c>
      <c r="I496" s="31" t="s">
        <v>425</v>
      </c>
      <c r="J496" s="31">
        <v>5</v>
      </c>
      <c r="K496" s="33" t="s">
        <v>708</v>
      </c>
      <c r="L496" s="33" t="s">
        <v>725</v>
      </c>
      <c r="M496" s="34" t="s">
        <v>1424</v>
      </c>
      <c r="N496" s="34" t="s">
        <v>1732</v>
      </c>
      <c r="O496" s="35">
        <v>1</v>
      </c>
      <c r="P496" s="35"/>
      <c r="Q496" s="32"/>
      <c r="S496" s="1">
        <f t="shared" si="183"/>
        <v>0</v>
      </c>
      <c r="T496" s="1">
        <f t="shared" si="184"/>
        <v>0</v>
      </c>
      <c r="U496" s="1">
        <f t="shared" si="185"/>
        <v>0</v>
      </c>
      <c r="V496" s="1">
        <f t="shared" si="186"/>
        <v>0</v>
      </c>
      <c r="W496" s="1">
        <f t="shared" si="187"/>
        <v>1</v>
      </c>
      <c r="X496" s="1">
        <f t="shared" si="188"/>
        <v>0</v>
      </c>
      <c r="Y496" s="1">
        <f t="shared" si="189"/>
        <v>0</v>
      </c>
      <c r="Z496" s="1">
        <f t="shared" si="190"/>
        <v>0</v>
      </c>
      <c r="AA496" s="1">
        <f t="shared" si="191"/>
        <v>0</v>
      </c>
      <c r="AB496" s="1">
        <f t="shared" si="192"/>
        <v>0</v>
      </c>
      <c r="AD496" s="1">
        <f t="shared" si="193"/>
        <v>0</v>
      </c>
      <c r="AE496" s="1">
        <f t="shared" si="194"/>
        <v>1</v>
      </c>
      <c r="AF496" s="1">
        <f t="shared" si="179"/>
        <v>0</v>
      </c>
      <c r="AG496" s="1">
        <f t="shared" si="180"/>
        <v>0</v>
      </c>
      <c r="AH496" s="1">
        <f t="shared" si="181"/>
        <v>0</v>
      </c>
      <c r="AI496" s="1">
        <f t="shared" si="182"/>
        <v>0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275</v>
      </c>
      <c r="G497" s="32" t="s">
        <v>193</v>
      </c>
      <c r="H497" s="32" t="s">
        <v>352</v>
      </c>
      <c r="I497" s="31" t="s">
        <v>429</v>
      </c>
      <c r="J497" s="31">
        <v>9</v>
      </c>
      <c r="K497" s="33" t="s">
        <v>708</v>
      </c>
      <c r="L497" s="33" t="s">
        <v>725</v>
      </c>
      <c r="M497" s="34" t="s">
        <v>1424</v>
      </c>
      <c r="N497" s="34" t="s">
        <v>1732</v>
      </c>
      <c r="O497" s="35">
        <v>1</v>
      </c>
      <c r="P497" s="35"/>
      <c r="Q497" s="32"/>
      <c r="S497" s="1">
        <f t="shared" si="183"/>
        <v>0</v>
      </c>
      <c r="T497" s="1">
        <f t="shared" si="184"/>
        <v>0</v>
      </c>
      <c r="U497" s="1">
        <f t="shared" si="185"/>
        <v>0</v>
      </c>
      <c r="V497" s="1">
        <f t="shared" si="186"/>
        <v>0</v>
      </c>
      <c r="W497" s="1">
        <f t="shared" si="187"/>
        <v>0</v>
      </c>
      <c r="X497" s="1">
        <f t="shared" si="188"/>
        <v>0</v>
      </c>
      <c r="Y497" s="1">
        <f t="shared" si="189"/>
        <v>0</v>
      </c>
      <c r="Z497" s="1">
        <f t="shared" si="190"/>
        <v>0</v>
      </c>
      <c r="AA497" s="1">
        <f t="shared" si="191"/>
        <v>1</v>
      </c>
      <c r="AB497" s="1">
        <f t="shared" si="192"/>
        <v>0</v>
      </c>
      <c r="AD497" s="1">
        <f t="shared" si="193"/>
        <v>0</v>
      </c>
      <c r="AE497" s="1">
        <f t="shared" si="194"/>
        <v>1</v>
      </c>
      <c r="AF497" s="1">
        <f t="shared" si="179"/>
        <v>0</v>
      </c>
      <c r="AG497" s="1">
        <f t="shared" si="180"/>
        <v>0</v>
      </c>
      <c r="AH497" s="1">
        <f t="shared" si="181"/>
        <v>0</v>
      </c>
      <c r="AI497" s="1">
        <f t="shared" si="182"/>
        <v>0</v>
      </c>
    </row>
    <row r="498" spans="1:35" s="1" customFormat="1" ht="14.25" customHeight="1" x14ac:dyDescent="0.25">
      <c r="A498" s="44">
        <v>0</v>
      </c>
      <c r="B498" s="44">
        <v>2</v>
      </c>
      <c r="C498" s="44">
        <v>7</v>
      </c>
      <c r="D498" s="45" t="s">
        <v>1545</v>
      </c>
      <c r="E498" s="45" t="s">
        <v>28</v>
      </c>
      <c r="F498" s="45" t="s">
        <v>1546</v>
      </c>
      <c r="G498" s="45" t="s">
        <v>237</v>
      </c>
      <c r="H498" s="45" t="s">
        <v>352</v>
      </c>
      <c r="I498" s="44" t="s">
        <v>1679</v>
      </c>
      <c r="J498" s="44">
        <v>4</v>
      </c>
      <c r="K498" s="46" t="s">
        <v>709</v>
      </c>
      <c r="L498" s="46" t="s">
        <v>709</v>
      </c>
      <c r="M498" s="47" t="s">
        <v>727</v>
      </c>
      <c r="N498" s="47" t="s">
        <v>1719</v>
      </c>
      <c r="O498" s="48"/>
      <c r="P498" s="48"/>
      <c r="Q498" s="45"/>
      <c r="S498" s="1">
        <f t="shared" si="183"/>
        <v>0</v>
      </c>
      <c r="T498" s="1">
        <f t="shared" si="184"/>
        <v>0</v>
      </c>
      <c r="U498" s="1">
        <f t="shared" si="185"/>
        <v>0</v>
      </c>
      <c r="V498" s="1">
        <f t="shared" si="186"/>
        <v>1</v>
      </c>
      <c r="W498" s="1">
        <f t="shared" si="187"/>
        <v>0</v>
      </c>
      <c r="X498" s="1">
        <f t="shared" si="188"/>
        <v>0</v>
      </c>
      <c r="Y498" s="1">
        <f t="shared" si="189"/>
        <v>0</v>
      </c>
      <c r="Z498" s="1">
        <f t="shared" si="190"/>
        <v>0</v>
      </c>
      <c r="AA498" s="1">
        <f t="shared" si="191"/>
        <v>0</v>
      </c>
      <c r="AB498" s="1">
        <f t="shared" si="192"/>
        <v>0</v>
      </c>
      <c r="AD498" s="1">
        <f t="shared" si="193"/>
        <v>0</v>
      </c>
      <c r="AE498" s="1">
        <f t="shared" si="194"/>
        <v>0</v>
      </c>
      <c r="AF498" s="1">
        <f t="shared" si="179"/>
        <v>0</v>
      </c>
      <c r="AG498" s="1">
        <f t="shared" si="180"/>
        <v>0</v>
      </c>
      <c r="AH498" s="1">
        <f t="shared" si="181"/>
        <v>0</v>
      </c>
      <c r="AI498" s="1">
        <f t="shared" si="182"/>
        <v>1</v>
      </c>
    </row>
    <row r="499" spans="1:35" s="1" customFormat="1" ht="14.25" customHeight="1" x14ac:dyDescent="0.25">
      <c r="A499" s="44">
        <v>0</v>
      </c>
      <c r="B499" s="44">
        <v>2</v>
      </c>
      <c r="C499" s="44">
        <v>7</v>
      </c>
      <c r="D499" s="45" t="s">
        <v>63</v>
      </c>
      <c r="E499" s="45" t="s">
        <v>44</v>
      </c>
      <c r="F499" s="45" t="s">
        <v>235</v>
      </c>
      <c r="G499" s="45" t="s">
        <v>199</v>
      </c>
      <c r="H499" s="45" t="s">
        <v>352</v>
      </c>
      <c r="I499" s="44" t="s">
        <v>400</v>
      </c>
      <c r="J499" s="44">
        <v>2</v>
      </c>
      <c r="K499" s="46" t="s">
        <v>709</v>
      </c>
      <c r="L499" s="46" t="s">
        <v>718</v>
      </c>
      <c r="M499" s="47" t="s">
        <v>731</v>
      </c>
      <c r="N499" s="47" t="s">
        <v>1719</v>
      </c>
      <c r="O499" s="48"/>
      <c r="P499" s="48"/>
      <c r="Q499" s="45"/>
      <c r="S499" s="1">
        <f t="shared" si="183"/>
        <v>0</v>
      </c>
      <c r="T499" s="1">
        <f t="shared" si="184"/>
        <v>1</v>
      </c>
      <c r="U499" s="1">
        <f t="shared" si="185"/>
        <v>0</v>
      </c>
      <c r="V499" s="1">
        <f t="shared" si="186"/>
        <v>0</v>
      </c>
      <c r="W499" s="1">
        <f t="shared" si="187"/>
        <v>0</v>
      </c>
      <c r="X499" s="1">
        <f t="shared" si="188"/>
        <v>0</v>
      </c>
      <c r="Y499" s="1">
        <f t="shared" si="189"/>
        <v>0</v>
      </c>
      <c r="Z499" s="1">
        <f t="shared" si="190"/>
        <v>0</v>
      </c>
      <c r="AA499" s="1">
        <f t="shared" si="191"/>
        <v>0</v>
      </c>
      <c r="AB499" s="1">
        <f t="shared" si="192"/>
        <v>0</v>
      </c>
      <c r="AD499" s="1">
        <f t="shared" si="193"/>
        <v>0</v>
      </c>
      <c r="AE499" s="1">
        <f t="shared" si="194"/>
        <v>0</v>
      </c>
      <c r="AF499" s="1">
        <f t="shared" si="179"/>
        <v>0</v>
      </c>
      <c r="AG499" s="1">
        <f t="shared" si="180"/>
        <v>0</v>
      </c>
      <c r="AH499" s="1">
        <f t="shared" si="181"/>
        <v>0</v>
      </c>
      <c r="AI499" s="1">
        <f t="shared" si="182"/>
        <v>1</v>
      </c>
    </row>
    <row r="500" spans="1:35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35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35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35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35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9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9"/>
      <c r="N793" s="17"/>
      <c r="Q793" s="16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9"/>
      <c r="N794" s="17"/>
      <c r="Q794" s="16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Q795" s="16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7"/>
      <c r="N796" s="17"/>
      <c r="Q796" s="16"/>
    </row>
    <row r="797" spans="1:17" s="1" customFormat="1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7"/>
      <c r="N797" s="17"/>
      <c r="Q797" s="16"/>
    </row>
    <row r="798" spans="1:17" s="1" customFormat="1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L798" s="10"/>
      <c r="M798" s="17"/>
      <c r="N798" s="17"/>
      <c r="Q798" s="16"/>
    </row>
  </sheetData>
  <autoFilter ref="A7:Q499" xr:uid="{AEE30112-88BB-441D-AEFC-A7A733AB1798}">
    <sortState xmlns:xlrd2="http://schemas.microsoft.com/office/spreadsheetml/2017/richdata2" ref="A8:Q499">
      <sortCondition ref="B8:B499"/>
      <sortCondition ref="C8:C499"/>
      <sortCondition ref="D8:D499"/>
      <sortCondition ref="A8:A499"/>
    </sortState>
  </autoFilter>
  <sortState xmlns:xlrd2="http://schemas.microsoft.com/office/spreadsheetml/2017/richdata2" ref="A8:Q499">
    <sortCondition ref="B8:B499"/>
    <sortCondition ref="C8:C499"/>
    <sortCondition ref="D8:D499"/>
    <sortCondition ref="A8:A49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2026-08-27T13:07:28Z</dcterms:modified>
</cp:coreProperties>
</file>